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ode learning\Anhnt-CleanArchitecture\Betting\Documents\ExcelData\UEFA EURO\"/>
    </mc:Choice>
  </mc:AlternateContent>
  <xr:revisionPtr revIDLastSave="0" documentId="13_ncr:1_{2D197BD4-4713-4D2A-8DE7-603C7CF37FB5}" xr6:coauthVersionLast="45" xr6:coauthVersionMax="45" xr10:uidLastSave="{00000000-0000-0000-0000-000000000000}"/>
  <bookViews>
    <workbookView xWindow="-120" yWindow="-120" windowWidth="20730" windowHeight="11160" activeTab="3" xr2:uid="{C0E12AC4-21B8-4828-A20E-76A2B66FE1A9}"/>
  </bookViews>
  <sheets>
    <sheet name="Sheet1" sheetId="1" r:id="rId1"/>
    <sheet name="Match" sheetId="2" r:id="rId2"/>
    <sheet name="SeedSeason" sheetId="4" r:id="rId3"/>
    <sheet name="SeedMatch" sheetId="3" r:id="rId4"/>
  </sheets>
  <externalReferences>
    <externalReference r:id="rId5"/>
    <externalReference r:id="rId6"/>
  </externalReferences>
  <definedNames>
    <definedName name="_xlnm._FilterDatabase" localSheetId="1" hidden="1">Match!$A$1:$T$88</definedName>
    <definedName name="Flag37">INDIRECT('[1]Dummy Table'!$EJ$40)</definedName>
    <definedName name="Flag37b">INDIRECT('[1]Dummy Table'!$EJ$55)</definedName>
    <definedName name="Flag38">INDIRECT('[1]Dummy Table'!$EJ$41)</definedName>
    <definedName name="Flag38b">INDIRECT('[1]Dummy Table'!$EJ$56)</definedName>
    <definedName name="Flag39">INDIRECT('[1]Dummy Table'!$EJ$42)</definedName>
    <definedName name="Flag39b">INDIRECT('[1]Dummy Table'!$EJ$57)</definedName>
    <definedName name="Flag40">INDIRECT('[1]Dummy Table'!$EJ$43)</definedName>
    <definedName name="Flag40b">INDIRECT('[1]Dummy Table'!$EJ$58)</definedName>
    <definedName name="Flag41">INDIRECT('[1]Dummy Table'!$EJ$44)</definedName>
    <definedName name="Flag41b">INDIRECT('[1]Dummy Table'!$EJ$59)</definedName>
    <definedName name="Flag42">INDIRECT('[1]Dummy Table'!$EJ$45)</definedName>
    <definedName name="Flag42b">INDIRECT('[1]Dummy Table'!$EJ$60)</definedName>
    <definedName name="Flag43">INDIRECT('[1]Dummy Table'!$EJ$46)</definedName>
    <definedName name="Flag43b">INDIRECT('[1]Dummy Table'!$EJ$61)</definedName>
    <definedName name="Flag44">INDIRECT('[1]Dummy Table'!$EJ$47)</definedName>
    <definedName name="Flag44b">INDIRECT('[1]Dummy Table'!$EJ$62)</definedName>
    <definedName name="Flag45">INDIRECT('[1]Dummy Table'!$EJ$48)</definedName>
    <definedName name="Flag45b">INDIRECT('[1]Dummy Table'!$EJ$63)</definedName>
    <definedName name="Flag46">INDIRECT('[1]Dummy Table'!$EJ$49)</definedName>
    <definedName name="Flag46b">INDIRECT('[1]Dummy Table'!$EJ$64)</definedName>
    <definedName name="Flag47">INDIRECT('[1]Dummy Table'!$EJ$50)</definedName>
    <definedName name="Flag47b">INDIRECT('[1]Dummy Table'!$EJ$65)</definedName>
    <definedName name="Flag48">INDIRECT('[1]Dummy Table'!$EJ$51)</definedName>
    <definedName name="Flag48b">INDIRECT('[1]Dummy Table'!$EJ$66)</definedName>
    <definedName name="Flag49">INDIRECT('[1]Dummy Table'!$EJ$52)</definedName>
    <definedName name="Flag49b">INDIRECT('[1]Dummy Table'!$EJ$67)</definedName>
    <definedName name="Flag50">INDIRECT('[1]Dummy Table'!$EJ$53)</definedName>
    <definedName name="Flag50b">INDIRECT('[1]Dummy Table'!$EJ$68)</definedName>
    <definedName name="Flag51">INDIRECT('[1]Dummy Table'!$EJ$54)</definedName>
    <definedName name="Flag51b">INDIRECT('[1]Dummy Table'!$EJ$69)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3" l="1"/>
  <c r="K3" i="3"/>
  <c r="L3" i="3"/>
  <c r="M3" i="3"/>
  <c r="N3" i="3"/>
  <c r="O3" i="3"/>
  <c r="P3" i="3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Q123" i="3" s="1"/>
  <c r="Q124" i="3" s="1"/>
  <c r="Q125" i="3" s="1"/>
  <c r="Q126" i="3" s="1"/>
  <c r="Q127" i="3" s="1"/>
  <c r="Q128" i="3" s="1"/>
  <c r="Q129" i="3" s="1"/>
  <c r="Q130" i="3" s="1"/>
  <c r="Q131" i="3" s="1"/>
  <c r="Q132" i="3" s="1"/>
  <c r="Q133" i="3" s="1"/>
  <c r="Q134" i="3" s="1"/>
  <c r="Q135" i="3" s="1"/>
  <c r="Q136" i="3" s="1"/>
  <c r="Q137" i="3" s="1"/>
  <c r="Q138" i="3" s="1"/>
  <c r="Q139" i="3" s="1"/>
  <c r="Q140" i="3" s="1"/>
  <c r="Q141" i="3" s="1"/>
  <c r="Q142" i="3" s="1"/>
  <c r="Q143" i="3" s="1"/>
  <c r="Q144" i="3" s="1"/>
  <c r="Q145" i="3" s="1"/>
  <c r="Q146" i="3" s="1"/>
  <c r="Q147" i="3" s="1"/>
  <c r="Q148" i="3" s="1"/>
  <c r="Q149" i="3" s="1"/>
  <c r="Q150" i="3" s="1"/>
  <c r="Q151" i="3" s="1"/>
  <c r="Q152" i="3" s="1"/>
  <c r="Q153" i="3" s="1"/>
  <c r="Q154" i="3" s="1"/>
  <c r="Q155" i="3" s="1"/>
  <c r="Q156" i="3" s="1"/>
  <c r="Q157" i="3" s="1"/>
  <c r="R3" i="3"/>
  <c r="S3" i="3"/>
  <c r="T3" i="3"/>
  <c r="U3" i="3"/>
  <c r="U4" i="3" s="1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U105" i="3" s="1"/>
  <c r="U106" i="3" s="1"/>
  <c r="U107" i="3" s="1"/>
  <c r="U108" i="3" s="1"/>
  <c r="U109" i="3" s="1"/>
  <c r="U110" i="3" s="1"/>
  <c r="U111" i="3" s="1"/>
  <c r="U112" i="3" s="1"/>
  <c r="U113" i="3" s="1"/>
  <c r="U114" i="3" s="1"/>
  <c r="U115" i="3" s="1"/>
  <c r="U116" i="3" s="1"/>
  <c r="U117" i="3" s="1"/>
  <c r="U118" i="3" s="1"/>
  <c r="U119" i="3" s="1"/>
  <c r="U120" i="3" s="1"/>
  <c r="U121" i="3" s="1"/>
  <c r="U122" i="3" s="1"/>
  <c r="U123" i="3" s="1"/>
  <c r="U124" i="3" s="1"/>
  <c r="U125" i="3" s="1"/>
  <c r="U126" i="3" s="1"/>
  <c r="U127" i="3" s="1"/>
  <c r="U128" i="3" s="1"/>
  <c r="U129" i="3" s="1"/>
  <c r="U130" i="3" s="1"/>
  <c r="U131" i="3" s="1"/>
  <c r="U132" i="3" s="1"/>
  <c r="U133" i="3" s="1"/>
  <c r="U134" i="3" s="1"/>
  <c r="U135" i="3" s="1"/>
  <c r="U136" i="3" s="1"/>
  <c r="U137" i="3" s="1"/>
  <c r="U138" i="3" s="1"/>
  <c r="U139" i="3" s="1"/>
  <c r="U140" i="3" s="1"/>
  <c r="U141" i="3" s="1"/>
  <c r="U142" i="3" s="1"/>
  <c r="U143" i="3" s="1"/>
  <c r="U144" i="3" s="1"/>
  <c r="U145" i="3" s="1"/>
  <c r="U146" i="3" s="1"/>
  <c r="U147" i="3" s="1"/>
  <c r="U148" i="3" s="1"/>
  <c r="U149" i="3" s="1"/>
  <c r="U150" i="3" s="1"/>
  <c r="U151" i="3" s="1"/>
  <c r="U152" i="3" s="1"/>
  <c r="U153" i="3" s="1"/>
  <c r="U154" i="3" s="1"/>
  <c r="U155" i="3" s="1"/>
  <c r="U156" i="3" s="1"/>
  <c r="U157" i="3" s="1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J4" i="3"/>
  <c r="K4" i="3"/>
  <c r="L4" i="3"/>
  <c r="M4" i="3"/>
  <c r="N4" i="3"/>
  <c r="O4" i="3"/>
  <c r="P4" i="3"/>
  <c r="R4" i="3"/>
  <c r="S4" i="3"/>
  <c r="T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J5" i="3"/>
  <c r="K5" i="3"/>
  <c r="L5" i="3"/>
  <c r="M5" i="3"/>
  <c r="N5" i="3"/>
  <c r="O5" i="3"/>
  <c r="P5" i="3"/>
  <c r="R5" i="3"/>
  <c r="S5" i="3"/>
  <c r="T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J6" i="3"/>
  <c r="K6" i="3"/>
  <c r="L6" i="3"/>
  <c r="M6" i="3"/>
  <c r="N6" i="3"/>
  <c r="O6" i="3"/>
  <c r="P6" i="3"/>
  <c r="R6" i="3"/>
  <c r="S6" i="3"/>
  <c r="T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J7" i="3"/>
  <c r="K7" i="3"/>
  <c r="L7" i="3"/>
  <c r="M7" i="3"/>
  <c r="N7" i="3"/>
  <c r="O7" i="3"/>
  <c r="P7" i="3"/>
  <c r="R7" i="3"/>
  <c r="S7" i="3"/>
  <c r="T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J8" i="3"/>
  <c r="K8" i="3"/>
  <c r="L8" i="3"/>
  <c r="M8" i="3"/>
  <c r="N8" i="3"/>
  <c r="O8" i="3"/>
  <c r="P8" i="3"/>
  <c r="R8" i="3"/>
  <c r="S8" i="3"/>
  <c r="T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J9" i="3"/>
  <c r="K9" i="3"/>
  <c r="L9" i="3"/>
  <c r="M9" i="3"/>
  <c r="N9" i="3"/>
  <c r="O9" i="3"/>
  <c r="P9" i="3"/>
  <c r="R9" i="3"/>
  <c r="S9" i="3"/>
  <c r="T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J10" i="3"/>
  <c r="K10" i="3"/>
  <c r="L10" i="3"/>
  <c r="M10" i="3"/>
  <c r="N10" i="3"/>
  <c r="O10" i="3"/>
  <c r="P10" i="3"/>
  <c r="R10" i="3"/>
  <c r="S10" i="3"/>
  <c r="T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J11" i="3"/>
  <c r="K11" i="3"/>
  <c r="L11" i="3"/>
  <c r="M11" i="3"/>
  <c r="N11" i="3"/>
  <c r="O11" i="3"/>
  <c r="P11" i="3"/>
  <c r="R11" i="3"/>
  <c r="S11" i="3"/>
  <c r="T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J12" i="3"/>
  <c r="K12" i="3"/>
  <c r="L12" i="3"/>
  <c r="M12" i="3"/>
  <c r="N12" i="3"/>
  <c r="O12" i="3"/>
  <c r="P12" i="3"/>
  <c r="R12" i="3"/>
  <c r="S12" i="3"/>
  <c r="T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J13" i="3"/>
  <c r="K13" i="3"/>
  <c r="L13" i="3"/>
  <c r="M13" i="3"/>
  <c r="N13" i="3"/>
  <c r="O13" i="3"/>
  <c r="P13" i="3"/>
  <c r="R13" i="3"/>
  <c r="S13" i="3"/>
  <c r="T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J14" i="3"/>
  <c r="K14" i="3"/>
  <c r="L14" i="3"/>
  <c r="M14" i="3"/>
  <c r="N14" i="3"/>
  <c r="O14" i="3"/>
  <c r="P14" i="3"/>
  <c r="R14" i="3"/>
  <c r="S14" i="3"/>
  <c r="T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J15" i="3"/>
  <c r="K15" i="3"/>
  <c r="L15" i="3"/>
  <c r="M15" i="3"/>
  <c r="N15" i="3"/>
  <c r="O15" i="3"/>
  <c r="P15" i="3"/>
  <c r="R15" i="3"/>
  <c r="S15" i="3"/>
  <c r="T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J16" i="3"/>
  <c r="K16" i="3"/>
  <c r="L16" i="3"/>
  <c r="M16" i="3"/>
  <c r="N16" i="3"/>
  <c r="O16" i="3"/>
  <c r="P16" i="3"/>
  <c r="R16" i="3"/>
  <c r="S16" i="3"/>
  <c r="T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J17" i="3"/>
  <c r="K17" i="3"/>
  <c r="L17" i="3"/>
  <c r="M17" i="3"/>
  <c r="N17" i="3"/>
  <c r="O17" i="3"/>
  <c r="P17" i="3"/>
  <c r="R17" i="3"/>
  <c r="S17" i="3"/>
  <c r="T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J18" i="3"/>
  <c r="K18" i="3"/>
  <c r="L18" i="3"/>
  <c r="M18" i="3"/>
  <c r="N18" i="3"/>
  <c r="O18" i="3"/>
  <c r="P18" i="3"/>
  <c r="R18" i="3"/>
  <c r="S18" i="3"/>
  <c r="T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J19" i="3"/>
  <c r="K19" i="3"/>
  <c r="L19" i="3"/>
  <c r="M19" i="3"/>
  <c r="N19" i="3"/>
  <c r="O19" i="3"/>
  <c r="P19" i="3"/>
  <c r="R19" i="3"/>
  <c r="S19" i="3"/>
  <c r="T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J20" i="3"/>
  <c r="K20" i="3"/>
  <c r="L20" i="3"/>
  <c r="M20" i="3"/>
  <c r="N20" i="3"/>
  <c r="O20" i="3"/>
  <c r="P20" i="3"/>
  <c r="R20" i="3"/>
  <c r="S20" i="3"/>
  <c r="T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J21" i="3"/>
  <c r="K21" i="3"/>
  <c r="L21" i="3"/>
  <c r="M21" i="3"/>
  <c r="N21" i="3"/>
  <c r="O21" i="3"/>
  <c r="P21" i="3"/>
  <c r="R21" i="3"/>
  <c r="S21" i="3"/>
  <c r="T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J22" i="3"/>
  <c r="K22" i="3"/>
  <c r="L22" i="3"/>
  <c r="M22" i="3"/>
  <c r="N22" i="3"/>
  <c r="O22" i="3"/>
  <c r="P22" i="3"/>
  <c r="R22" i="3"/>
  <c r="S22" i="3"/>
  <c r="T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J23" i="3"/>
  <c r="K23" i="3"/>
  <c r="L23" i="3"/>
  <c r="M23" i="3"/>
  <c r="N23" i="3"/>
  <c r="O23" i="3"/>
  <c r="P23" i="3"/>
  <c r="R23" i="3"/>
  <c r="S23" i="3"/>
  <c r="T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J24" i="3"/>
  <c r="K24" i="3"/>
  <c r="L24" i="3"/>
  <c r="M24" i="3"/>
  <c r="N24" i="3"/>
  <c r="O24" i="3"/>
  <c r="P24" i="3"/>
  <c r="R24" i="3"/>
  <c r="S24" i="3"/>
  <c r="T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J25" i="3"/>
  <c r="K25" i="3"/>
  <c r="L25" i="3"/>
  <c r="M25" i="3"/>
  <c r="N25" i="3"/>
  <c r="O25" i="3"/>
  <c r="P25" i="3"/>
  <c r="R25" i="3"/>
  <c r="S25" i="3"/>
  <c r="T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J26" i="3"/>
  <c r="K26" i="3"/>
  <c r="L26" i="3"/>
  <c r="M26" i="3"/>
  <c r="N26" i="3"/>
  <c r="O26" i="3"/>
  <c r="P26" i="3"/>
  <c r="R26" i="3"/>
  <c r="S26" i="3"/>
  <c r="T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J27" i="3"/>
  <c r="K27" i="3"/>
  <c r="L27" i="3"/>
  <c r="M27" i="3"/>
  <c r="N27" i="3"/>
  <c r="O27" i="3"/>
  <c r="P27" i="3"/>
  <c r="R27" i="3"/>
  <c r="S27" i="3"/>
  <c r="T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J28" i="3"/>
  <c r="K28" i="3"/>
  <c r="L28" i="3"/>
  <c r="M28" i="3"/>
  <c r="N28" i="3"/>
  <c r="O28" i="3"/>
  <c r="P28" i="3"/>
  <c r="R28" i="3"/>
  <c r="S28" i="3"/>
  <c r="T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J29" i="3"/>
  <c r="K29" i="3"/>
  <c r="L29" i="3"/>
  <c r="M29" i="3"/>
  <c r="N29" i="3"/>
  <c r="O29" i="3"/>
  <c r="P29" i="3"/>
  <c r="R29" i="3"/>
  <c r="S29" i="3"/>
  <c r="T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J30" i="3"/>
  <c r="K30" i="3"/>
  <c r="L30" i="3"/>
  <c r="M30" i="3"/>
  <c r="N30" i="3"/>
  <c r="O30" i="3"/>
  <c r="P30" i="3"/>
  <c r="R30" i="3"/>
  <c r="S30" i="3"/>
  <c r="T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J31" i="3"/>
  <c r="K31" i="3"/>
  <c r="L31" i="3"/>
  <c r="M31" i="3"/>
  <c r="N31" i="3"/>
  <c r="O31" i="3"/>
  <c r="P31" i="3"/>
  <c r="R31" i="3"/>
  <c r="S31" i="3"/>
  <c r="T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J32" i="3"/>
  <c r="K32" i="3"/>
  <c r="L32" i="3"/>
  <c r="M32" i="3"/>
  <c r="N32" i="3"/>
  <c r="O32" i="3"/>
  <c r="P32" i="3"/>
  <c r="R32" i="3"/>
  <c r="S32" i="3"/>
  <c r="T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J33" i="3"/>
  <c r="K33" i="3"/>
  <c r="L33" i="3"/>
  <c r="M33" i="3"/>
  <c r="N33" i="3"/>
  <c r="O33" i="3"/>
  <c r="P33" i="3"/>
  <c r="R33" i="3"/>
  <c r="S33" i="3"/>
  <c r="T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J34" i="3"/>
  <c r="K34" i="3"/>
  <c r="L34" i="3"/>
  <c r="M34" i="3"/>
  <c r="N34" i="3"/>
  <c r="O34" i="3"/>
  <c r="P34" i="3"/>
  <c r="R34" i="3"/>
  <c r="S34" i="3"/>
  <c r="T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J35" i="3"/>
  <c r="K35" i="3"/>
  <c r="L35" i="3"/>
  <c r="M35" i="3"/>
  <c r="N35" i="3"/>
  <c r="O35" i="3"/>
  <c r="P35" i="3"/>
  <c r="R35" i="3"/>
  <c r="S35" i="3"/>
  <c r="T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J36" i="3"/>
  <c r="K36" i="3"/>
  <c r="L36" i="3"/>
  <c r="M36" i="3"/>
  <c r="N36" i="3"/>
  <c r="O36" i="3"/>
  <c r="P36" i="3"/>
  <c r="R36" i="3"/>
  <c r="S36" i="3"/>
  <c r="T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J37" i="3"/>
  <c r="K37" i="3"/>
  <c r="L37" i="3"/>
  <c r="M37" i="3"/>
  <c r="N37" i="3"/>
  <c r="O37" i="3"/>
  <c r="P37" i="3"/>
  <c r="R37" i="3"/>
  <c r="S37" i="3"/>
  <c r="T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J38" i="3"/>
  <c r="K38" i="3"/>
  <c r="L38" i="3"/>
  <c r="M38" i="3"/>
  <c r="N38" i="3"/>
  <c r="O38" i="3"/>
  <c r="P38" i="3"/>
  <c r="R38" i="3"/>
  <c r="S38" i="3"/>
  <c r="T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J39" i="3"/>
  <c r="K39" i="3"/>
  <c r="L39" i="3"/>
  <c r="M39" i="3"/>
  <c r="N39" i="3"/>
  <c r="O39" i="3"/>
  <c r="P39" i="3"/>
  <c r="R39" i="3"/>
  <c r="S39" i="3"/>
  <c r="T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J40" i="3"/>
  <c r="K40" i="3"/>
  <c r="L40" i="3"/>
  <c r="M40" i="3"/>
  <c r="N40" i="3"/>
  <c r="O40" i="3"/>
  <c r="P40" i="3"/>
  <c r="R40" i="3"/>
  <c r="S40" i="3"/>
  <c r="T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J41" i="3"/>
  <c r="K41" i="3"/>
  <c r="L41" i="3"/>
  <c r="M41" i="3"/>
  <c r="N41" i="3"/>
  <c r="O41" i="3"/>
  <c r="P41" i="3"/>
  <c r="R41" i="3"/>
  <c r="S41" i="3"/>
  <c r="T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J42" i="3"/>
  <c r="K42" i="3"/>
  <c r="L42" i="3"/>
  <c r="M42" i="3"/>
  <c r="N42" i="3"/>
  <c r="O42" i="3"/>
  <c r="P42" i="3"/>
  <c r="R42" i="3"/>
  <c r="S42" i="3"/>
  <c r="T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J43" i="3"/>
  <c r="K43" i="3"/>
  <c r="L43" i="3"/>
  <c r="M43" i="3"/>
  <c r="N43" i="3"/>
  <c r="O43" i="3"/>
  <c r="P43" i="3"/>
  <c r="R43" i="3"/>
  <c r="S43" i="3"/>
  <c r="T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J44" i="3"/>
  <c r="K44" i="3"/>
  <c r="L44" i="3"/>
  <c r="M44" i="3"/>
  <c r="N44" i="3"/>
  <c r="O44" i="3"/>
  <c r="P44" i="3"/>
  <c r="R44" i="3"/>
  <c r="S44" i="3"/>
  <c r="T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J45" i="3"/>
  <c r="K45" i="3"/>
  <c r="L45" i="3"/>
  <c r="M45" i="3"/>
  <c r="N45" i="3"/>
  <c r="O45" i="3"/>
  <c r="P45" i="3"/>
  <c r="R45" i="3"/>
  <c r="S45" i="3"/>
  <c r="T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J46" i="3"/>
  <c r="K46" i="3"/>
  <c r="L46" i="3"/>
  <c r="M46" i="3"/>
  <c r="N46" i="3"/>
  <c r="O46" i="3"/>
  <c r="P46" i="3"/>
  <c r="R46" i="3"/>
  <c r="S46" i="3"/>
  <c r="T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J47" i="3"/>
  <c r="K47" i="3"/>
  <c r="L47" i="3"/>
  <c r="M47" i="3"/>
  <c r="N47" i="3"/>
  <c r="O47" i="3"/>
  <c r="P47" i="3"/>
  <c r="R47" i="3"/>
  <c r="S47" i="3"/>
  <c r="T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J48" i="3"/>
  <c r="K48" i="3"/>
  <c r="L48" i="3"/>
  <c r="M48" i="3"/>
  <c r="N48" i="3"/>
  <c r="O48" i="3"/>
  <c r="P48" i="3"/>
  <c r="R48" i="3"/>
  <c r="S48" i="3"/>
  <c r="T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J49" i="3"/>
  <c r="K49" i="3"/>
  <c r="L49" i="3"/>
  <c r="M49" i="3"/>
  <c r="N49" i="3"/>
  <c r="O49" i="3"/>
  <c r="P49" i="3"/>
  <c r="R49" i="3"/>
  <c r="S49" i="3"/>
  <c r="T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J50" i="3"/>
  <c r="K50" i="3"/>
  <c r="L50" i="3"/>
  <c r="M50" i="3"/>
  <c r="N50" i="3"/>
  <c r="O50" i="3"/>
  <c r="P50" i="3"/>
  <c r="R50" i="3"/>
  <c r="S50" i="3"/>
  <c r="T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J51" i="3"/>
  <c r="K51" i="3"/>
  <c r="L51" i="3"/>
  <c r="M51" i="3"/>
  <c r="N51" i="3"/>
  <c r="O51" i="3"/>
  <c r="P51" i="3"/>
  <c r="R51" i="3"/>
  <c r="S51" i="3"/>
  <c r="T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J52" i="3"/>
  <c r="K52" i="3"/>
  <c r="L52" i="3"/>
  <c r="M52" i="3"/>
  <c r="N52" i="3"/>
  <c r="O52" i="3"/>
  <c r="P52" i="3"/>
  <c r="R52" i="3"/>
  <c r="S52" i="3"/>
  <c r="T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J53" i="3"/>
  <c r="K53" i="3"/>
  <c r="L53" i="3"/>
  <c r="M53" i="3"/>
  <c r="N53" i="3"/>
  <c r="O53" i="3"/>
  <c r="P53" i="3"/>
  <c r="R53" i="3"/>
  <c r="S53" i="3"/>
  <c r="T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J54" i="3"/>
  <c r="K54" i="3"/>
  <c r="L54" i="3"/>
  <c r="M54" i="3"/>
  <c r="N54" i="3"/>
  <c r="O54" i="3"/>
  <c r="P54" i="3"/>
  <c r="R54" i="3"/>
  <c r="S54" i="3"/>
  <c r="T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J55" i="3"/>
  <c r="K55" i="3"/>
  <c r="L55" i="3"/>
  <c r="M55" i="3"/>
  <c r="N55" i="3"/>
  <c r="O55" i="3"/>
  <c r="P55" i="3"/>
  <c r="R55" i="3"/>
  <c r="S55" i="3"/>
  <c r="T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J56" i="3"/>
  <c r="K56" i="3"/>
  <c r="L56" i="3"/>
  <c r="M56" i="3"/>
  <c r="N56" i="3"/>
  <c r="O56" i="3"/>
  <c r="P56" i="3"/>
  <c r="R56" i="3"/>
  <c r="S56" i="3"/>
  <c r="T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J57" i="3"/>
  <c r="K57" i="3"/>
  <c r="L57" i="3"/>
  <c r="M57" i="3"/>
  <c r="N57" i="3"/>
  <c r="O57" i="3"/>
  <c r="P57" i="3"/>
  <c r="R57" i="3"/>
  <c r="S57" i="3"/>
  <c r="T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J58" i="3"/>
  <c r="K58" i="3"/>
  <c r="L58" i="3"/>
  <c r="M58" i="3"/>
  <c r="N58" i="3"/>
  <c r="O58" i="3"/>
  <c r="P58" i="3"/>
  <c r="R58" i="3"/>
  <c r="S58" i="3"/>
  <c r="T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J59" i="3"/>
  <c r="K59" i="3"/>
  <c r="L59" i="3"/>
  <c r="M59" i="3"/>
  <c r="N59" i="3"/>
  <c r="O59" i="3"/>
  <c r="P59" i="3"/>
  <c r="R59" i="3"/>
  <c r="S59" i="3"/>
  <c r="T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J60" i="3"/>
  <c r="K60" i="3"/>
  <c r="L60" i="3"/>
  <c r="M60" i="3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115" i="3" s="1"/>
  <c r="M116" i="3" s="1"/>
  <c r="M117" i="3" s="1"/>
  <c r="M118" i="3" s="1"/>
  <c r="M119" i="3" s="1"/>
  <c r="M120" i="3" s="1"/>
  <c r="M121" i="3" s="1"/>
  <c r="M122" i="3" s="1"/>
  <c r="M123" i="3" s="1"/>
  <c r="M124" i="3" s="1"/>
  <c r="M125" i="3" s="1"/>
  <c r="M126" i="3" s="1"/>
  <c r="M127" i="3" s="1"/>
  <c r="M128" i="3" s="1"/>
  <c r="M129" i="3" s="1"/>
  <c r="M130" i="3" s="1"/>
  <c r="M131" i="3" s="1"/>
  <c r="M132" i="3" s="1"/>
  <c r="M133" i="3" s="1"/>
  <c r="M134" i="3" s="1"/>
  <c r="M135" i="3" s="1"/>
  <c r="M136" i="3" s="1"/>
  <c r="M137" i="3" s="1"/>
  <c r="M138" i="3" s="1"/>
  <c r="M139" i="3" s="1"/>
  <c r="M140" i="3" s="1"/>
  <c r="M141" i="3" s="1"/>
  <c r="M142" i="3" s="1"/>
  <c r="M143" i="3" s="1"/>
  <c r="M144" i="3" s="1"/>
  <c r="M145" i="3" s="1"/>
  <c r="M146" i="3" s="1"/>
  <c r="M147" i="3" s="1"/>
  <c r="M148" i="3" s="1"/>
  <c r="M149" i="3" s="1"/>
  <c r="M150" i="3" s="1"/>
  <c r="M151" i="3" s="1"/>
  <c r="M152" i="3" s="1"/>
  <c r="M153" i="3" s="1"/>
  <c r="M154" i="3" s="1"/>
  <c r="M155" i="3" s="1"/>
  <c r="M156" i="3" s="1"/>
  <c r="M157" i="3" s="1"/>
  <c r="N60" i="3"/>
  <c r="O60" i="3"/>
  <c r="P60" i="3"/>
  <c r="R60" i="3"/>
  <c r="S60" i="3"/>
  <c r="T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J61" i="3"/>
  <c r="K61" i="3"/>
  <c r="L61" i="3"/>
  <c r="N61" i="3"/>
  <c r="O61" i="3"/>
  <c r="P61" i="3"/>
  <c r="R61" i="3"/>
  <c r="S61" i="3"/>
  <c r="T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J62" i="3"/>
  <c r="K62" i="3"/>
  <c r="L62" i="3"/>
  <c r="N62" i="3"/>
  <c r="O62" i="3"/>
  <c r="P62" i="3"/>
  <c r="R62" i="3"/>
  <c r="S62" i="3"/>
  <c r="T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J63" i="3"/>
  <c r="K63" i="3"/>
  <c r="L63" i="3"/>
  <c r="N63" i="3"/>
  <c r="O63" i="3"/>
  <c r="P63" i="3"/>
  <c r="R63" i="3"/>
  <c r="S63" i="3"/>
  <c r="T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J64" i="3"/>
  <c r="K64" i="3"/>
  <c r="L64" i="3"/>
  <c r="N64" i="3"/>
  <c r="O64" i="3"/>
  <c r="P64" i="3"/>
  <c r="R64" i="3"/>
  <c r="S64" i="3"/>
  <c r="T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J65" i="3"/>
  <c r="K65" i="3"/>
  <c r="L65" i="3"/>
  <c r="N65" i="3"/>
  <c r="O65" i="3"/>
  <c r="P65" i="3"/>
  <c r="R65" i="3"/>
  <c r="S65" i="3"/>
  <c r="T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J66" i="3"/>
  <c r="K66" i="3"/>
  <c r="L66" i="3"/>
  <c r="N66" i="3"/>
  <c r="O66" i="3"/>
  <c r="P66" i="3"/>
  <c r="R66" i="3"/>
  <c r="S66" i="3"/>
  <c r="T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J67" i="3"/>
  <c r="K67" i="3"/>
  <c r="L67" i="3"/>
  <c r="N67" i="3"/>
  <c r="O67" i="3"/>
  <c r="P67" i="3"/>
  <c r="R67" i="3"/>
  <c r="S67" i="3"/>
  <c r="T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J68" i="3"/>
  <c r="K68" i="3"/>
  <c r="L68" i="3"/>
  <c r="N68" i="3"/>
  <c r="O68" i="3"/>
  <c r="P68" i="3"/>
  <c r="R68" i="3"/>
  <c r="S68" i="3"/>
  <c r="T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J69" i="3"/>
  <c r="K69" i="3"/>
  <c r="L69" i="3"/>
  <c r="N69" i="3"/>
  <c r="O69" i="3"/>
  <c r="P69" i="3"/>
  <c r="R69" i="3"/>
  <c r="S69" i="3"/>
  <c r="T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J70" i="3"/>
  <c r="K70" i="3"/>
  <c r="L70" i="3"/>
  <c r="N70" i="3"/>
  <c r="O70" i="3"/>
  <c r="P70" i="3"/>
  <c r="R70" i="3"/>
  <c r="S70" i="3"/>
  <c r="T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J71" i="3"/>
  <c r="K71" i="3"/>
  <c r="L71" i="3"/>
  <c r="N71" i="3"/>
  <c r="O71" i="3"/>
  <c r="P71" i="3"/>
  <c r="R71" i="3"/>
  <c r="S71" i="3"/>
  <c r="T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J72" i="3"/>
  <c r="K72" i="3"/>
  <c r="L72" i="3"/>
  <c r="N72" i="3"/>
  <c r="O72" i="3"/>
  <c r="P72" i="3"/>
  <c r="R72" i="3"/>
  <c r="S72" i="3"/>
  <c r="T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J73" i="3"/>
  <c r="K73" i="3"/>
  <c r="L73" i="3"/>
  <c r="N73" i="3"/>
  <c r="O73" i="3"/>
  <c r="P73" i="3"/>
  <c r="R73" i="3"/>
  <c r="S73" i="3"/>
  <c r="T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J74" i="3"/>
  <c r="K74" i="3"/>
  <c r="L74" i="3"/>
  <c r="N74" i="3"/>
  <c r="O74" i="3"/>
  <c r="P74" i="3"/>
  <c r="R74" i="3"/>
  <c r="S74" i="3"/>
  <c r="T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J75" i="3"/>
  <c r="K75" i="3"/>
  <c r="L75" i="3"/>
  <c r="N75" i="3"/>
  <c r="O75" i="3"/>
  <c r="P75" i="3"/>
  <c r="R75" i="3"/>
  <c r="S75" i="3"/>
  <c r="T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J76" i="3"/>
  <c r="K76" i="3"/>
  <c r="L76" i="3"/>
  <c r="N76" i="3"/>
  <c r="O76" i="3"/>
  <c r="P76" i="3"/>
  <c r="R76" i="3"/>
  <c r="S76" i="3"/>
  <c r="T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J77" i="3"/>
  <c r="K77" i="3"/>
  <c r="L77" i="3"/>
  <c r="N77" i="3"/>
  <c r="O77" i="3"/>
  <c r="P77" i="3"/>
  <c r="R77" i="3"/>
  <c r="S77" i="3"/>
  <c r="T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AK103" i="3" s="1"/>
  <c r="AK104" i="3" s="1"/>
  <c r="AK105" i="3" s="1"/>
  <c r="AK106" i="3" s="1"/>
  <c r="AK107" i="3" s="1"/>
  <c r="AK108" i="3" s="1"/>
  <c r="AK109" i="3" s="1"/>
  <c r="AK110" i="3" s="1"/>
  <c r="AK111" i="3" s="1"/>
  <c r="AK112" i="3" s="1"/>
  <c r="AK113" i="3" s="1"/>
  <c r="AK114" i="3" s="1"/>
  <c r="AK115" i="3" s="1"/>
  <c r="AK116" i="3" s="1"/>
  <c r="AK117" i="3" s="1"/>
  <c r="AK118" i="3" s="1"/>
  <c r="AK119" i="3" s="1"/>
  <c r="AK120" i="3" s="1"/>
  <c r="AK121" i="3" s="1"/>
  <c r="AK122" i="3" s="1"/>
  <c r="AK123" i="3" s="1"/>
  <c r="AK124" i="3" s="1"/>
  <c r="AK125" i="3" s="1"/>
  <c r="AK126" i="3" s="1"/>
  <c r="AK127" i="3" s="1"/>
  <c r="AK128" i="3" s="1"/>
  <c r="AK129" i="3" s="1"/>
  <c r="AK130" i="3" s="1"/>
  <c r="AK131" i="3" s="1"/>
  <c r="AK132" i="3" s="1"/>
  <c r="AK133" i="3" s="1"/>
  <c r="AK134" i="3" s="1"/>
  <c r="AK135" i="3" s="1"/>
  <c r="AK136" i="3" s="1"/>
  <c r="AK137" i="3" s="1"/>
  <c r="AK138" i="3" s="1"/>
  <c r="AK139" i="3" s="1"/>
  <c r="AK140" i="3" s="1"/>
  <c r="AK141" i="3" s="1"/>
  <c r="AK142" i="3" s="1"/>
  <c r="AK143" i="3" s="1"/>
  <c r="AK144" i="3" s="1"/>
  <c r="AK145" i="3" s="1"/>
  <c r="AK146" i="3" s="1"/>
  <c r="AK147" i="3" s="1"/>
  <c r="AK148" i="3" s="1"/>
  <c r="AK149" i="3" s="1"/>
  <c r="AK150" i="3" s="1"/>
  <c r="AK151" i="3" s="1"/>
  <c r="AK152" i="3" s="1"/>
  <c r="AK153" i="3" s="1"/>
  <c r="AK154" i="3" s="1"/>
  <c r="AK155" i="3" s="1"/>
  <c r="AK156" i="3" s="1"/>
  <c r="J78" i="3"/>
  <c r="K78" i="3"/>
  <c r="L78" i="3"/>
  <c r="N78" i="3"/>
  <c r="O78" i="3"/>
  <c r="P78" i="3"/>
  <c r="R78" i="3"/>
  <c r="S78" i="3"/>
  <c r="T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J79" i="3"/>
  <c r="K79" i="3"/>
  <c r="L79" i="3"/>
  <c r="N79" i="3"/>
  <c r="O79" i="3"/>
  <c r="P79" i="3"/>
  <c r="R79" i="3"/>
  <c r="S79" i="3"/>
  <c r="T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J80" i="3"/>
  <c r="K80" i="3"/>
  <c r="L80" i="3"/>
  <c r="N80" i="3"/>
  <c r="O80" i="3"/>
  <c r="P80" i="3"/>
  <c r="R80" i="3"/>
  <c r="S80" i="3"/>
  <c r="T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J81" i="3"/>
  <c r="K81" i="3"/>
  <c r="L81" i="3"/>
  <c r="N81" i="3"/>
  <c r="O81" i="3"/>
  <c r="P81" i="3"/>
  <c r="R81" i="3"/>
  <c r="S81" i="3"/>
  <c r="T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J82" i="3"/>
  <c r="K82" i="3"/>
  <c r="L82" i="3"/>
  <c r="N82" i="3"/>
  <c r="O82" i="3"/>
  <c r="P82" i="3"/>
  <c r="R82" i="3"/>
  <c r="S82" i="3"/>
  <c r="T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J83" i="3"/>
  <c r="K83" i="3"/>
  <c r="L83" i="3"/>
  <c r="N83" i="3"/>
  <c r="O83" i="3"/>
  <c r="P83" i="3"/>
  <c r="R83" i="3"/>
  <c r="S83" i="3"/>
  <c r="T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J84" i="3"/>
  <c r="K84" i="3"/>
  <c r="L84" i="3"/>
  <c r="N84" i="3"/>
  <c r="O84" i="3"/>
  <c r="P84" i="3"/>
  <c r="R84" i="3"/>
  <c r="S84" i="3"/>
  <c r="T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J85" i="3"/>
  <c r="K85" i="3"/>
  <c r="L85" i="3"/>
  <c r="N85" i="3"/>
  <c r="O85" i="3"/>
  <c r="P85" i="3"/>
  <c r="R85" i="3"/>
  <c r="S85" i="3"/>
  <c r="T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J86" i="3"/>
  <c r="K86" i="3"/>
  <c r="L86" i="3"/>
  <c r="N86" i="3"/>
  <c r="O86" i="3"/>
  <c r="P86" i="3"/>
  <c r="R86" i="3"/>
  <c r="S86" i="3"/>
  <c r="T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J87" i="3"/>
  <c r="K87" i="3"/>
  <c r="L87" i="3"/>
  <c r="N87" i="3"/>
  <c r="O87" i="3"/>
  <c r="P87" i="3"/>
  <c r="R87" i="3"/>
  <c r="S87" i="3"/>
  <c r="T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J88" i="3"/>
  <c r="K88" i="3"/>
  <c r="L88" i="3"/>
  <c r="N88" i="3"/>
  <c r="O88" i="3"/>
  <c r="P88" i="3"/>
  <c r="R88" i="3"/>
  <c r="S88" i="3"/>
  <c r="T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J89" i="3"/>
  <c r="K89" i="3"/>
  <c r="L89" i="3"/>
  <c r="N89" i="3"/>
  <c r="O89" i="3"/>
  <c r="P89" i="3"/>
  <c r="R89" i="3"/>
  <c r="S89" i="3"/>
  <c r="T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J90" i="3"/>
  <c r="K90" i="3"/>
  <c r="L90" i="3"/>
  <c r="N90" i="3"/>
  <c r="O90" i="3"/>
  <c r="P90" i="3"/>
  <c r="R90" i="3"/>
  <c r="S90" i="3"/>
  <c r="T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J91" i="3"/>
  <c r="K91" i="3"/>
  <c r="L91" i="3"/>
  <c r="N91" i="3"/>
  <c r="O91" i="3"/>
  <c r="P91" i="3"/>
  <c r="R91" i="3"/>
  <c r="S91" i="3"/>
  <c r="T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J92" i="3"/>
  <c r="K92" i="3"/>
  <c r="L92" i="3"/>
  <c r="N92" i="3"/>
  <c r="O92" i="3"/>
  <c r="P92" i="3"/>
  <c r="R92" i="3"/>
  <c r="S92" i="3"/>
  <c r="T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J93" i="3"/>
  <c r="K93" i="3"/>
  <c r="L93" i="3"/>
  <c r="N93" i="3"/>
  <c r="O93" i="3"/>
  <c r="P93" i="3"/>
  <c r="R93" i="3"/>
  <c r="S93" i="3"/>
  <c r="T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J94" i="3"/>
  <c r="K94" i="3"/>
  <c r="L94" i="3"/>
  <c r="N94" i="3"/>
  <c r="O94" i="3"/>
  <c r="P94" i="3"/>
  <c r="R94" i="3"/>
  <c r="S94" i="3"/>
  <c r="T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J95" i="3"/>
  <c r="K95" i="3"/>
  <c r="L95" i="3"/>
  <c r="N95" i="3"/>
  <c r="O95" i="3"/>
  <c r="P95" i="3"/>
  <c r="R95" i="3"/>
  <c r="S95" i="3"/>
  <c r="T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J96" i="3"/>
  <c r="K96" i="3"/>
  <c r="L96" i="3"/>
  <c r="N96" i="3"/>
  <c r="O96" i="3"/>
  <c r="P96" i="3"/>
  <c r="R96" i="3"/>
  <c r="S96" i="3"/>
  <c r="T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J97" i="3"/>
  <c r="K97" i="3"/>
  <c r="L97" i="3"/>
  <c r="N97" i="3"/>
  <c r="O97" i="3"/>
  <c r="P97" i="3"/>
  <c r="R97" i="3"/>
  <c r="S97" i="3"/>
  <c r="T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J98" i="3"/>
  <c r="K98" i="3"/>
  <c r="L98" i="3"/>
  <c r="N98" i="3"/>
  <c r="O98" i="3"/>
  <c r="P98" i="3"/>
  <c r="R98" i="3"/>
  <c r="S98" i="3"/>
  <c r="T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J99" i="3"/>
  <c r="K99" i="3"/>
  <c r="L99" i="3"/>
  <c r="N99" i="3"/>
  <c r="O99" i="3"/>
  <c r="P99" i="3"/>
  <c r="R99" i="3"/>
  <c r="S99" i="3"/>
  <c r="T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J100" i="3"/>
  <c r="K100" i="3"/>
  <c r="L100" i="3"/>
  <c r="N100" i="3"/>
  <c r="O100" i="3"/>
  <c r="P100" i="3"/>
  <c r="R100" i="3"/>
  <c r="S100" i="3"/>
  <c r="T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J101" i="3"/>
  <c r="K101" i="3"/>
  <c r="L101" i="3"/>
  <c r="N101" i="3"/>
  <c r="O101" i="3"/>
  <c r="P101" i="3"/>
  <c r="R101" i="3"/>
  <c r="S101" i="3"/>
  <c r="T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J102" i="3"/>
  <c r="K102" i="3"/>
  <c r="L102" i="3"/>
  <c r="N102" i="3"/>
  <c r="O102" i="3"/>
  <c r="P102" i="3"/>
  <c r="R102" i="3"/>
  <c r="S102" i="3"/>
  <c r="T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J103" i="3"/>
  <c r="K103" i="3"/>
  <c r="L103" i="3"/>
  <c r="N103" i="3"/>
  <c r="O103" i="3"/>
  <c r="P103" i="3"/>
  <c r="R103" i="3"/>
  <c r="S103" i="3"/>
  <c r="T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J104" i="3"/>
  <c r="K104" i="3"/>
  <c r="L104" i="3"/>
  <c r="N104" i="3"/>
  <c r="O104" i="3"/>
  <c r="P104" i="3"/>
  <c r="R104" i="3"/>
  <c r="S104" i="3"/>
  <c r="T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J105" i="3"/>
  <c r="K105" i="3"/>
  <c r="L105" i="3"/>
  <c r="N105" i="3"/>
  <c r="O105" i="3"/>
  <c r="P105" i="3"/>
  <c r="R105" i="3"/>
  <c r="S105" i="3"/>
  <c r="T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J106" i="3"/>
  <c r="K106" i="3"/>
  <c r="L106" i="3"/>
  <c r="N106" i="3"/>
  <c r="O106" i="3"/>
  <c r="P106" i="3"/>
  <c r="R106" i="3"/>
  <c r="S106" i="3"/>
  <c r="T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J107" i="3"/>
  <c r="K107" i="3"/>
  <c r="L107" i="3"/>
  <c r="N107" i="3"/>
  <c r="O107" i="3"/>
  <c r="P107" i="3"/>
  <c r="R107" i="3"/>
  <c r="S107" i="3"/>
  <c r="T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J108" i="3"/>
  <c r="K108" i="3"/>
  <c r="L108" i="3"/>
  <c r="N108" i="3"/>
  <c r="O108" i="3"/>
  <c r="P108" i="3"/>
  <c r="R108" i="3"/>
  <c r="S108" i="3"/>
  <c r="T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J109" i="3"/>
  <c r="K109" i="3"/>
  <c r="L109" i="3"/>
  <c r="N109" i="3"/>
  <c r="O109" i="3"/>
  <c r="P109" i="3"/>
  <c r="R109" i="3"/>
  <c r="S109" i="3"/>
  <c r="T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J110" i="3"/>
  <c r="K110" i="3"/>
  <c r="L110" i="3"/>
  <c r="N110" i="3"/>
  <c r="O110" i="3"/>
  <c r="P110" i="3"/>
  <c r="R110" i="3"/>
  <c r="S110" i="3"/>
  <c r="T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J111" i="3"/>
  <c r="K111" i="3"/>
  <c r="L111" i="3"/>
  <c r="N111" i="3"/>
  <c r="O111" i="3"/>
  <c r="P111" i="3"/>
  <c r="R111" i="3"/>
  <c r="S111" i="3"/>
  <c r="T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J112" i="3"/>
  <c r="K112" i="3"/>
  <c r="L112" i="3"/>
  <c r="N112" i="3"/>
  <c r="O112" i="3"/>
  <c r="P112" i="3"/>
  <c r="R112" i="3"/>
  <c r="S112" i="3"/>
  <c r="T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J113" i="3"/>
  <c r="K113" i="3"/>
  <c r="L113" i="3"/>
  <c r="N113" i="3"/>
  <c r="O113" i="3"/>
  <c r="P113" i="3"/>
  <c r="R113" i="3"/>
  <c r="S113" i="3"/>
  <c r="T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J114" i="3"/>
  <c r="K114" i="3"/>
  <c r="L114" i="3"/>
  <c r="N114" i="3"/>
  <c r="O114" i="3"/>
  <c r="P114" i="3"/>
  <c r="R114" i="3"/>
  <c r="S114" i="3"/>
  <c r="T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J115" i="3"/>
  <c r="K115" i="3"/>
  <c r="L115" i="3"/>
  <c r="N115" i="3"/>
  <c r="O115" i="3"/>
  <c r="P115" i="3"/>
  <c r="R115" i="3"/>
  <c r="S115" i="3"/>
  <c r="T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J116" i="3"/>
  <c r="K116" i="3"/>
  <c r="L116" i="3"/>
  <c r="N116" i="3"/>
  <c r="O116" i="3"/>
  <c r="P116" i="3"/>
  <c r="R116" i="3"/>
  <c r="S116" i="3"/>
  <c r="T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J117" i="3"/>
  <c r="K117" i="3"/>
  <c r="L117" i="3"/>
  <c r="N117" i="3"/>
  <c r="O117" i="3"/>
  <c r="P117" i="3"/>
  <c r="R117" i="3"/>
  <c r="S117" i="3"/>
  <c r="T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J118" i="3"/>
  <c r="K118" i="3"/>
  <c r="L118" i="3"/>
  <c r="N118" i="3"/>
  <c r="O118" i="3"/>
  <c r="P118" i="3"/>
  <c r="R118" i="3"/>
  <c r="S118" i="3"/>
  <c r="T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J119" i="3"/>
  <c r="K119" i="3"/>
  <c r="L119" i="3"/>
  <c r="N119" i="3"/>
  <c r="O119" i="3"/>
  <c r="P119" i="3"/>
  <c r="R119" i="3"/>
  <c r="S119" i="3"/>
  <c r="T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J120" i="3"/>
  <c r="K120" i="3"/>
  <c r="L120" i="3"/>
  <c r="N120" i="3"/>
  <c r="O120" i="3"/>
  <c r="P120" i="3"/>
  <c r="R120" i="3"/>
  <c r="S120" i="3"/>
  <c r="T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J121" i="3"/>
  <c r="K121" i="3"/>
  <c r="L121" i="3"/>
  <c r="N121" i="3"/>
  <c r="O121" i="3"/>
  <c r="P121" i="3"/>
  <c r="R121" i="3"/>
  <c r="S121" i="3"/>
  <c r="T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J122" i="3"/>
  <c r="K122" i="3"/>
  <c r="L122" i="3"/>
  <c r="N122" i="3"/>
  <c r="O122" i="3"/>
  <c r="P122" i="3"/>
  <c r="R122" i="3"/>
  <c r="S122" i="3"/>
  <c r="T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J123" i="3"/>
  <c r="K123" i="3"/>
  <c r="L123" i="3"/>
  <c r="N123" i="3"/>
  <c r="O123" i="3"/>
  <c r="P123" i="3"/>
  <c r="R123" i="3"/>
  <c r="S123" i="3"/>
  <c r="T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J124" i="3"/>
  <c r="K124" i="3"/>
  <c r="L124" i="3"/>
  <c r="N124" i="3"/>
  <c r="O124" i="3"/>
  <c r="P124" i="3"/>
  <c r="R124" i="3"/>
  <c r="S124" i="3"/>
  <c r="T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J125" i="3"/>
  <c r="K125" i="3"/>
  <c r="L125" i="3"/>
  <c r="N125" i="3"/>
  <c r="O125" i="3"/>
  <c r="P125" i="3"/>
  <c r="R125" i="3"/>
  <c r="S125" i="3"/>
  <c r="T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J126" i="3"/>
  <c r="K126" i="3"/>
  <c r="L126" i="3"/>
  <c r="N126" i="3"/>
  <c r="O126" i="3"/>
  <c r="P126" i="3"/>
  <c r="R126" i="3"/>
  <c r="S126" i="3"/>
  <c r="T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J127" i="3"/>
  <c r="K127" i="3"/>
  <c r="L127" i="3"/>
  <c r="N127" i="3"/>
  <c r="O127" i="3"/>
  <c r="P127" i="3"/>
  <c r="R127" i="3"/>
  <c r="S127" i="3"/>
  <c r="T127" i="3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J128" i="3"/>
  <c r="K128" i="3"/>
  <c r="L128" i="3"/>
  <c r="N128" i="3"/>
  <c r="O128" i="3"/>
  <c r="P128" i="3"/>
  <c r="R128" i="3"/>
  <c r="S128" i="3"/>
  <c r="T128" i="3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J129" i="3"/>
  <c r="K129" i="3"/>
  <c r="L129" i="3"/>
  <c r="N129" i="3"/>
  <c r="O129" i="3"/>
  <c r="P129" i="3"/>
  <c r="R129" i="3"/>
  <c r="S129" i="3"/>
  <c r="T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AJ129" i="3"/>
  <c r="J130" i="3"/>
  <c r="K130" i="3"/>
  <c r="L130" i="3"/>
  <c r="N130" i="3"/>
  <c r="O130" i="3"/>
  <c r="P130" i="3"/>
  <c r="R130" i="3"/>
  <c r="S130" i="3"/>
  <c r="T130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AJ130" i="3"/>
  <c r="J131" i="3"/>
  <c r="K131" i="3"/>
  <c r="L131" i="3"/>
  <c r="N131" i="3"/>
  <c r="O131" i="3"/>
  <c r="P131" i="3"/>
  <c r="R131" i="3"/>
  <c r="S131" i="3"/>
  <c r="T131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AJ131" i="3"/>
  <c r="J132" i="3"/>
  <c r="K132" i="3"/>
  <c r="L132" i="3"/>
  <c r="N132" i="3"/>
  <c r="O132" i="3"/>
  <c r="P132" i="3"/>
  <c r="R132" i="3"/>
  <c r="S132" i="3"/>
  <c r="T132" i="3"/>
  <c r="V132" i="3"/>
  <c r="W132" i="3"/>
  <c r="X132" i="3"/>
  <c r="Y132" i="3"/>
  <c r="Z132" i="3"/>
  <c r="AA132" i="3"/>
  <c r="AB132" i="3"/>
  <c r="AC132" i="3"/>
  <c r="AD132" i="3"/>
  <c r="AE132" i="3"/>
  <c r="AF132" i="3"/>
  <c r="AG132" i="3"/>
  <c r="AH132" i="3"/>
  <c r="AI132" i="3"/>
  <c r="AJ132" i="3"/>
  <c r="J133" i="3"/>
  <c r="K133" i="3"/>
  <c r="L133" i="3"/>
  <c r="N133" i="3"/>
  <c r="O133" i="3"/>
  <c r="P133" i="3"/>
  <c r="R133" i="3"/>
  <c r="S133" i="3"/>
  <c r="T133" i="3"/>
  <c r="V133" i="3"/>
  <c r="W133" i="3"/>
  <c r="X133" i="3"/>
  <c r="Y133" i="3"/>
  <c r="Z133" i="3"/>
  <c r="AA133" i="3"/>
  <c r="AB133" i="3"/>
  <c r="AC133" i="3"/>
  <c r="AD133" i="3"/>
  <c r="AE133" i="3"/>
  <c r="AF133" i="3"/>
  <c r="AG133" i="3"/>
  <c r="AH133" i="3"/>
  <c r="AI133" i="3"/>
  <c r="AJ133" i="3"/>
  <c r="J134" i="3"/>
  <c r="K134" i="3"/>
  <c r="L134" i="3"/>
  <c r="N134" i="3"/>
  <c r="O134" i="3"/>
  <c r="P134" i="3"/>
  <c r="R134" i="3"/>
  <c r="S134" i="3"/>
  <c r="T134" i="3"/>
  <c r="V134" i="3"/>
  <c r="W134" i="3"/>
  <c r="X134" i="3"/>
  <c r="Y134" i="3"/>
  <c r="Z134" i="3"/>
  <c r="AA134" i="3"/>
  <c r="AB134" i="3"/>
  <c r="AC134" i="3"/>
  <c r="AD134" i="3"/>
  <c r="AE134" i="3"/>
  <c r="AF134" i="3"/>
  <c r="AG134" i="3"/>
  <c r="AH134" i="3"/>
  <c r="AI134" i="3"/>
  <c r="AJ134" i="3"/>
  <c r="J135" i="3"/>
  <c r="K135" i="3"/>
  <c r="L135" i="3"/>
  <c r="N135" i="3"/>
  <c r="O135" i="3"/>
  <c r="P135" i="3"/>
  <c r="R135" i="3"/>
  <c r="S135" i="3"/>
  <c r="T135" i="3"/>
  <c r="V135" i="3"/>
  <c r="W135" i="3"/>
  <c r="X135" i="3"/>
  <c r="Y135" i="3"/>
  <c r="Z135" i="3"/>
  <c r="AA135" i="3"/>
  <c r="AB135" i="3"/>
  <c r="AC135" i="3"/>
  <c r="AD135" i="3"/>
  <c r="AE135" i="3"/>
  <c r="AF135" i="3"/>
  <c r="AG135" i="3"/>
  <c r="AH135" i="3"/>
  <c r="AI135" i="3"/>
  <c r="AJ135" i="3"/>
  <c r="J136" i="3"/>
  <c r="K136" i="3"/>
  <c r="L136" i="3"/>
  <c r="N136" i="3"/>
  <c r="O136" i="3"/>
  <c r="P136" i="3"/>
  <c r="R136" i="3"/>
  <c r="S136" i="3"/>
  <c r="T136" i="3"/>
  <c r="V136" i="3"/>
  <c r="W136" i="3"/>
  <c r="X136" i="3"/>
  <c r="Y136" i="3"/>
  <c r="Z136" i="3"/>
  <c r="AA136" i="3"/>
  <c r="AB136" i="3"/>
  <c r="AC136" i="3"/>
  <c r="AD136" i="3"/>
  <c r="AE136" i="3"/>
  <c r="AF136" i="3"/>
  <c r="AG136" i="3"/>
  <c r="AH136" i="3"/>
  <c r="AI136" i="3"/>
  <c r="AJ136" i="3"/>
  <c r="J137" i="3"/>
  <c r="K137" i="3"/>
  <c r="L137" i="3"/>
  <c r="N137" i="3"/>
  <c r="O137" i="3"/>
  <c r="P137" i="3"/>
  <c r="R137" i="3"/>
  <c r="S137" i="3"/>
  <c r="T137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J138" i="3"/>
  <c r="K138" i="3"/>
  <c r="L138" i="3"/>
  <c r="N138" i="3"/>
  <c r="O138" i="3"/>
  <c r="P138" i="3"/>
  <c r="R138" i="3"/>
  <c r="S138" i="3"/>
  <c r="T138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AJ138" i="3"/>
  <c r="J139" i="3"/>
  <c r="K139" i="3"/>
  <c r="L139" i="3"/>
  <c r="N139" i="3"/>
  <c r="O139" i="3"/>
  <c r="P139" i="3"/>
  <c r="R139" i="3"/>
  <c r="S139" i="3"/>
  <c r="T139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AJ139" i="3"/>
  <c r="J140" i="3"/>
  <c r="K140" i="3"/>
  <c r="L140" i="3"/>
  <c r="N140" i="3"/>
  <c r="O140" i="3"/>
  <c r="P140" i="3"/>
  <c r="R140" i="3"/>
  <c r="S140" i="3"/>
  <c r="T140" i="3"/>
  <c r="V140" i="3"/>
  <c r="W140" i="3"/>
  <c r="X140" i="3"/>
  <c r="Y140" i="3"/>
  <c r="Z140" i="3"/>
  <c r="AA140" i="3"/>
  <c r="AB140" i="3"/>
  <c r="AC140" i="3"/>
  <c r="AD140" i="3"/>
  <c r="AE140" i="3"/>
  <c r="AF140" i="3"/>
  <c r="AG140" i="3"/>
  <c r="AH140" i="3"/>
  <c r="AI140" i="3"/>
  <c r="AJ140" i="3"/>
  <c r="J141" i="3"/>
  <c r="K141" i="3"/>
  <c r="L141" i="3"/>
  <c r="N141" i="3"/>
  <c r="O141" i="3"/>
  <c r="P141" i="3"/>
  <c r="R141" i="3"/>
  <c r="S141" i="3"/>
  <c r="T141" i="3"/>
  <c r="V141" i="3"/>
  <c r="W141" i="3"/>
  <c r="X141" i="3"/>
  <c r="Y141" i="3"/>
  <c r="Z141" i="3"/>
  <c r="AA141" i="3"/>
  <c r="AB141" i="3"/>
  <c r="AC141" i="3"/>
  <c r="AD141" i="3"/>
  <c r="AE141" i="3"/>
  <c r="AF141" i="3"/>
  <c r="AG141" i="3"/>
  <c r="AH141" i="3"/>
  <c r="AI141" i="3"/>
  <c r="AJ141" i="3"/>
  <c r="J142" i="3"/>
  <c r="K142" i="3"/>
  <c r="L142" i="3"/>
  <c r="N142" i="3"/>
  <c r="O142" i="3"/>
  <c r="P142" i="3"/>
  <c r="R142" i="3"/>
  <c r="S142" i="3"/>
  <c r="T142" i="3"/>
  <c r="V142" i="3"/>
  <c r="W142" i="3"/>
  <c r="X142" i="3"/>
  <c r="Y142" i="3"/>
  <c r="Z142" i="3"/>
  <c r="AA142" i="3"/>
  <c r="AB142" i="3"/>
  <c r="AC142" i="3"/>
  <c r="AD142" i="3"/>
  <c r="AE142" i="3"/>
  <c r="AF142" i="3"/>
  <c r="AG142" i="3"/>
  <c r="AH142" i="3"/>
  <c r="AI142" i="3"/>
  <c r="AJ142" i="3"/>
  <c r="J143" i="3"/>
  <c r="K143" i="3"/>
  <c r="L143" i="3"/>
  <c r="N143" i="3"/>
  <c r="O143" i="3"/>
  <c r="P143" i="3"/>
  <c r="R143" i="3"/>
  <c r="S143" i="3"/>
  <c r="T143" i="3"/>
  <c r="V143" i="3"/>
  <c r="W143" i="3"/>
  <c r="X143" i="3"/>
  <c r="Y143" i="3"/>
  <c r="Z143" i="3"/>
  <c r="AA143" i="3"/>
  <c r="AB143" i="3"/>
  <c r="AC143" i="3"/>
  <c r="AD143" i="3"/>
  <c r="AE143" i="3"/>
  <c r="AF143" i="3"/>
  <c r="AG143" i="3"/>
  <c r="AH143" i="3"/>
  <c r="AI143" i="3"/>
  <c r="AJ143" i="3"/>
  <c r="J144" i="3"/>
  <c r="K144" i="3"/>
  <c r="L144" i="3"/>
  <c r="N144" i="3"/>
  <c r="O144" i="3"/>
  <c r="P144" i="3"/>
  <c r="R144" i="3"/>
  <c r="S144" i="3"/>
  <c r="T144" i="3"/>
  <c r="V144" i="3"/>
  <c r="W144" i="3"/>
  <c r="X144" i="3"/>
  <c r="Y144" i="3"/>
  <c r="Z144" i="3"/>
  <c r="AA144" i="3"/>
  <c r="AB144" i="3"/>
  <c r="AC144" i="3"/>
  <c r="AD144" i="3"/>
  <c r="AE144" i="3"/>
  <c r="AF144" i="3"/>
  <c r="AG144" i="3"/>
  <c r="AH144" i="3"/>
  <c r="AI144" i="3"/>
  <c r="AJ144" i="3"/>
  <c r="J145" i="3"/>
  <c r="K145" i="3"/>
  <c r="L145" i="3"/>
  <c r="N145" i="3"/>
  <c r="O145" i="3"/>
  <c r="P145" i="3"/>
  <c r="R145" i="3"/>
  <c r="S145" i="3"/>
  <c r="T145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J146" i="3"/>
  <c r="K146" i="3"/>
  <c r="L146" i="3"/>
  <c r="N146" i="3"/>
  <c r="O146" i="3"/>
  <c r="P146" i="3"/>
  <c r="R146" i="3"/>
  <c r="S146" i="3"/>
  <c r="T146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AJ146" i="3"/>
  <c r="J147" i="3"/>
  <c r="K147" i="3"/>
  <c r="L147" i="3"/>
  <c r="N147" i="3"/>
  <c r="O147" i="3"/>
  <c r="P147" i="3"/>
  <c r="R147" i="3"/>
  <c r="S147" i="3"/>
  <c r="T147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AJ147" i="3"/>
  <c r="J148" i="3"/>
  <c r="K148" i="3"/>
  <c r="L148" i="3"/>
  <c r="N148" i="3"/>
  <c r="O148" i="3"/>
  <c r="P148" i="3"/>
  <c r="R148" i="3"/>
  <c r="S148" i="3"/>
  <c r="T148" i="3"/>
  <c r="V148" i="3"/>
  <c r="W148" i="3"/>
  <c r="X148" i="3"/>
  <c r="Y148" i="3"/>
  <c r="Z148" i="3"/>
  <c r="AA148" i="3"/>
  <c r="AB148" i="3"/>
  <c r="AC148" i="3"/>
  <c r="AD148" i="3"/>
  <c r="AE148" i="3"/>
  <c r="AF148" i="3"/>
  <c r="AG148" i="3"/>
  <c r="AH148" i="3"/>
  <c r="AI148" i="3"/>
  <c r="AJ148" i="3"/>
  <c r="J149" i="3"/>
  <c r="K149" i="3"/>
  <c r="L149" i="3"/>
  <c r="N149" i="3"/>
  <c r="O149" i="3"/>
  <c r="P149" i="3"/>
  <c r="R149" i="3"/>
  <c r="S149" i="3"/>
  <c r="T149" i="3"/>
  <c r="V149" i="3"/>
  <c r="W149" i="3"/>
  <c r="X149" i="3"/>
  <c r="Y149" i="3"/>
  <c r="Z149" i="3"/>
  <c r="AA149" i="3"/>
  <c r="AB149" i="3"/>
  <c r="AC149" i="3"/>
  <c r="AD149" i="3"/>
  <c r="AE149" i="3"/>
  <c r="AF149" i="3"/>
  <c r="AG149" i="3"/>
  <c r="AH149" i="3"/>
  <c r="AI149" i="3"/>
  <c r="AJ149" i="3"/>
  <c r="J150" i="3"/>
  <c r="K150" i="3"/>
  <c r="L150" i="3"/>
  <c r="N150" i="3"/>
  <c r="O150" i="3"/>
  <c r="P150" i="3"/>
  <c r="R150" i="3"/>
  <c r="S150" i="3"/>
  <c r="T150" i="3"/>
  <c r="V150" i="3"/>
  <c r="W150" i="3"/>
  <c r="X150" i="3"/>
  <c r="Y150" i="3"/>
  <c r="Z150" i="3"/>
  <c r="AA150" i="3"/>
  <c r="AB150" i="3"/>
  <c r="AC150" i="3"/>
  <c r="AD150" i="3"/>
  <c r="AE150" i="3"/>
  <c r="AF150" i="3"/>
  <c r="AG150" i="3"/>
  <c r="AH150" i="3"/>
  <c r="AI150" i="3"/>
  <c r="AJ150" i="3"/>
  <c r="J151" i="3"/>
  <c r="K151" i="3"/>
  <c r="L151" i="3"/>
  <c r="N151" i="3"/>
  <c r="O151" i="3"/>
  <c r="P151" i="3"/>
  <c r="R151" i="3"/>
  <c r="S151" i="3"/>
  <c r="T151" i="3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J152" i="3"/>
  <c r="K152" i="3"/>
  <c r="L152" i="3"/>
  <c r="N152" i="3"/>
  <c r="O152" i="3"/>
  <c r="P152" i="3"/>
  <c r="R152" i="3"/>
  <c r="S152" i="3"/>
  <c r="T152" i="3"/>
  <c r="V152" i="3"/>
  <c r="W152" i="3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J153" i="3"/>
  <c r="K153" i="3"/>
  <c r="L153" i="3"/>
  <c r="N153" i="3"/>
  <c r="O153" i="3"/>
  <c r="P153" i="3"/>
  <c r="R153" i="3"/>
  <c r="S153" i="3"/>
  <c r="T153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AJ153" i="3"/>
  <c r="J154" i="3"/>
  <c r="K154" i="3"/>
  <c r="L154" i="3"/>
  <c r="N154" i="3"/>
  <c r="O154" i="3"/>
  <c r="P154" i="3"/>
  <c r="R154" i="3"/>
  <c r="S154" i="3"/>
  <c r="T154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AJ154" i="3"/>
  <c r="J155" i="3"/>
  <c r="K155" i="3"/>
  <c r="L155" i="3"/>
  <c r="N155" i="3"/>
  <c r="O155" i="3"/>
  <c r="P155" i="3"/>
  <c r="R155" i="3"/>
  <c r="S155" i="3"/>
  <c r="T155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AJ155" i="3"/>
  <c r="J156" i="3"/>
  <c r="K156" i="3"/>
  <c r="L156" i="3"/>
  <c r="N156" i="3"/>
  <c r="O156" i="3"/>
  <c r="P156" i="3"/>
  <c r="R156" i="3"/>
  <c r="S156" i="3"/>
  <c r="T156" i="3"/>
  <c r="V156" i="3"/>
  <c r="W156" i="3"/>
  <c r="X156" i="3"/>
  <c r="Y156" i="3"/>
  <c r="Z156" i="3"/>
  <c r="AA156" i="3"/>
  <c r="AB156" i="3"/>
  <c r="AC156" i="3"/>
  <c r="AD156" i="3"/>
  <c r="AE156" i="3"/>
  <c r="AF156" i="3"/>
  <c r="AG156" i="3"/>
  <c r="AH156" i="3"/>
  <c r="AI156" i="3"/>
  <c r="AJ156" i="3"/>
  <c r="J157" i="3"/>
  <c r="K157" i="3"/>
  <c r="L157" i="3"/>
  <c r="N157" i="3"/>
  <c r="O157" i="3"/>
  <c r="P157" i="3"/>
  <c r="R157" i="3"/>
  <c r="S157" i="3"/>
  <c r="T157" i="3"/>
  <c r="V157" i="3"/>
  <c r="W157" i="3"/>
  <c r="X157" i="3"/>
  <c r="Y157" i="3"/>
  <c r="Z157" i="3"/>
  <c r="AA157" i="3"/>
  <c r="AB157" i="3"/>
  <c r="AC157" i="3"/>
  <c r="AD157" i="3"/>
  <c r="AE157" i="3"/>
  <c r="AF157" i="3"/>
  <c r="AG157" i="3"/>
  <c r="AH157" i="3"/>
  <c r="AI157" i="3"/>
  <c r="AJ157" i="3"/>
  <c r="AK157" i="3"/>
  <c r="J158" i="3"/>
  <c r="K158" i="3"/>
  <c r="L158" i="3"/>
  <c r="M158" i="3"/>
  <c r="N158" i="3"/>
  <c r="O158" i="3"/>
  <c r="P158" i="3"/>
  <c r="Q158" i="3"/>
  <c r="R158" i="3"/>
  <c r="S158" i="3"/>
  <c r="T158" i="3"/>
  <c r="U158" i="3"/>
  <c r="V158" i="3"/>
  <c r="W158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K158" i="3"/>
  <c r="J159" i="3"/>
  <c r="K159" i="3"/>
  <c r="L159" i="3"/>
  <c r="M159" i="3"/>
  <c r="N159" i="3"/>
  <c r="O159" i="3"/>
  <c r="P159" i="3"/>
  <c r="Q159" i="3"/>
  <c r="R159" i="3"/>
  <c r="S159" i="3"/>
  <c r="T159" i="3"/>
  <c r="U159" i="3"/>
  <c r="V159" i="3"/>
  <c r="W159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K159" i="3"/>
  <c r="J160" i="3"/>
  <c r="K160" i="3"/>
  <c r="L160" i="3"/>
  <c r="M160" i="3"/>
  <c r="N160" i="3"/>
  <c r="O160" i="3"/>
  <c r="P160" i="3"/>
  <c r="Q160" i="3"/>
  <c r="R160" i="3"/>
  <c r="S160" i="3"/>
  <c r="T160" i="3"/>
  <c r="U160" i="3"/>
  <c r="V160" i="3"/>
  <c r="W160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K160" i="3"/>
  <c r="J161" i="3"/>
  <c r="K161" i="3"/>
  <c r="L161" i="3"/>
  <c r="M161" i="3"/>
  <c r="N161" i="3"/>
  <c r="O161" i="3"/>
  <c r="P161" i="3"/>
  <c r="Q161" i="3"/>
  <c r="R161" i="3"/>
  <c r="S161" i="3"/>
  <c r="T161" i="3"/>
  <c r="U161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AJ161" i="3"/>
  <c r="AK161" i="3"/>
  <c r="J162" i="3"/>
  <c r="K162" i="3"/>
  <c r="L162" i="3"/>
  <c r="M162" i="3"/>
  <c r="N162" i="3"/>
  <c r="O162" i="3"/>
  <c r="P162" i="3"/>
  <c r="Q162" i="3"/>
  <c r="R162" i="3"/>
  <c r="S162" i="3"/>
  <c r="T162" i="3"/>
  <c r="U162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AJ162" i="3"/>
  <c r="AK162" i="3"/>
  <c r="J163" i="3"/>
  <c r="K163" i="3"/>
  <c r="L163" i="3"/>
  <c r="M163" i="3"/>
  <c r="N163" i="3"/>
  <c r="O163" i="3"/>
  <c r="P163" i="3"/>
  <c r="Q163" i="3"/>
  <c r="R163" i="3"/>
  <c r="S163" i="3"/>
  <c r="T163" i="3"/>
  <c r="U163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AJ163" i="3"/>
  <c r="AK163" i="3"/>
  <c r="J164" i="3"/>
  <c r="K164" i="3"/>
  <c r="L164" i="3"/>
  <c r="M164" i="3"/>
  <c r="N164" i="3"/>
  <c r="O164" i="3"/>
  <c r="P164" i="3"/>
  <c r="Q164" i="3"/>
  <c r="R164" i="3"/>
  <c r="S164" i="3"/>
  <c r="T164" i="3"/>
  <c r="U164" i="3"/>
  <c r="V164" i="3"/>
  <c r="W164" i="3"/>
  <c r="X164" i="3"/>
  <c r="Y164" i="3"/>
  <c r="Z164" i="3"/>
  <c r="AA164" i="3"/>
  <c r="AB164" i="3"/>
  <c r="AC164" i="3"/>
  <c r="AD164" i="3"/>
  <c r="AE164" i="3"/>
  <c r="AF164" i="3"/>
  <c r="AG164" i="3"/>
  <c r="AH164" i="3"/>
  <c r="AI164" i="3"/>
  <c r="AJ164" i="3"/>
  <c r="AK164" i="3"/>
  <c r="J165" i="3"/>
  <c r="K165" i="3"/>
  <c r="L165" i="3"/>
  <c r="M165" i="3"/>
  <c r="N165" i="3"/>
  <c r="O165" i="3"/>
  <c r="P165" i="3"/>
  <c r="Q165" i="3"/>
  <c r="R165" i="3"/>
  <c r="S165" i="3"/>
  <c r="T165" i="3"/>
  <c r="U165" i="3"/>
  <c r="V165" i="3"/>
  <c r="W165" i="3"/>
  <c r="X165" i="3"/>
  <c r="Y165" i="3"/>
  <c r="Z165" i="3"/>
  <c r="AA165" i="3"/>
  <c r="AB165" i="3"/>
  <c r="AC165" i="3"/>
  <c r="AD165" i="3"/>
  <c r="AE165" i="3"/>
  <c r="AF165" i="3"/>
  <c r="AG165" i="3"/>
  <c r="AH165" i="3"/>
  <c r="AI165" i="3"/>
  <c r="AJ165" i="3"/>
  <c r="AK165" i="3"/>
  <c r="J166" i="3"/>
  <c r="K166" i="3"/>
  <c r="L166" i="3"/>
  <c r="M166" i="3"/>
  <c r="N166" i="3"/>
  <c r="O166" i="3"/>
  <c r="P166" i="3"/>
  <c r="Q166" i="3"/>
  <c r="R166" i="3"/>
  <c r="S166" i="3"/>
  <c r="T166" i="3"/>
  <c r="U166" i="3"/>
  <c r="V166" i="3"/>
  <c r="W166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K166" i="3"/>
  <c r="J167" i="3"/>
  <c r="K167" i="3"/>
  <c r="L167" i="3"/>
  <c r="M167" i="3"/>
  <c r="N167" i="3"/>
  <c r="O167" i="3"/>
  <c r="P167" i="3"/>
  <c r="Q167" i="3"/>
  <c r="R167" i="3"/>
  <c r="S167" i="3"/>
  <c r="T167" i="3"/>
  <c r="U167" i="3"/>
  <c r="V167" i="3"/>
  <c r="W167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K167" i="3"/>
  <c r="J168" i="3"/>
  <c r="K168" i="3"/>
  <c r="L168" i="3"/>
  <c r="M168" i="3"/>
  <c r="N168" i="3"/>
  <c r="O168" i="3"/>
  <c r="P168" i="3"/>
  <c r="Q168" i="3"/>
  <c r="R168" i="3"/>
  <c r="S168" i="3"/>
  <c r="T168" i="3"/>
  <c r="U168" i="3"/>
  <c r="V168" i="3"/>
  <c r="W168" i="3"/>
  <c r="X168" i="3"/>
  <c r="Y168" i="3"/>
  <c r="Z168" i="3"/>
  <c r="AA168" i="3"/>
  <c r="AB168" i="3"/>
  <c r="AC168" i="3"/>
  <c r="AD168" i="3"/>
  <c r="AE168" i="3"/>
  <c r="AF168" i="3"/>
  <c r="AG168" i="3"/>
  <c r="AH168" i="3"/>
  <c r="AI168" i="3"/>
  <c r="AJ168" i="3"/>
  <c r="AK168" i="3"/>
  <c r="J169" i="3"/>
  <c r="K169" i="3"/>
  <c r="L169" i="3"/>
  <c r="M169" i="3"/>
  <c r="N169" i="3"/>
  <c r="O169" i="3"/>
  <c r="P169" i="3"/>
  <c r="Q169" i="3"/>
  <c r="R169" i="3"/>
  <c r="S169" i="3"/>
  <c r="T169" i="3"/>
  <c r="U169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K169" i="3"/>
  <c r="J170" i="3"/>
  <c r="K170" i="3"/>
  <c r="L170" i="3"/>
  <c r="M170" i="3"/>
  <c r="N170" i="3"/>
  <c r="O170" i="3"/>
  <c r="P170" i="3"/>
  <c r="Q170" i="3"/>
  <c r="R170" i="3"/>
  <c r="S170" i="3"/>
  <c r="T170" i="3"/>
  <c r="U170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K170" i="3"/>
  <c r="J171" i="3"/>
  <c r="K171" i="3"/>
  <c r="L171" i="3"/>
  <c r="M171" i="3"/>
  <c r="N171" i="3"/>
  <c r="O171" i="3"/>
  <c r="P171" i="3"/>
  <c r="Q171" i="3"/>
  <c r="R171" i="3"/>
  <c r="S171" i="3"/>
  <c r="T171" i="3"/>
  <c r="U171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K171" i="3"/>
  <c r="J172" i="3"/>
  <c r="K172" i="3"/>
  <c r="L172" i="3"/>
  <c r="M172" i="3"/>
  <c r="N172" i="3"/>
  <c r="O172" i="3"/>
  <c r="P172" i="3"/>
  <c r="Q172" i="3"/>
  <c r="R172" i="3"/>
  <c r="S172" i="3"/>
  <c r="T172" i="3"/>
  <c r="U172" i="3"/>
  <c r="V172" i="3"/>
  <c r="W172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K172" i="3"/>
  <c r="J173" i="3"/>
  <c r="K173" i="3"/>
  <c r="L173" i="3"/>
  <c r="M173" i="3"/>
  <c r="N173" i="3"/>
  <c r="O173" i="3"/>
  <c r="P173" i="3"/>
  <c r="Q173" i="3"/>
  <c r="R173" i="3"/>
  <c r="S173" i="3"/>
  <c r="T173" i="3"/>
  <c r="U173" i="3"/>
  <c r="V173" i="3"/>
  <c r="W173" i="3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K173" i="3"/>
  <c r="J174" i="3"/>
  <c r="K174" i="3"/>
  <c r="L174" i="3"/>
  <c r="M174" i="3"/>
  <c r="N174" i="3"/>
  <c r="O174" i="3"/>
  <c r="P174" i="3"/>
  <c r="Q174" i="3"/>
  <c r="R174" i="3"/>
  <c r="S174" i="3"/>
  <c r="T174" i="3"/>
  <c r="U174" i="3"/>
  <c r="V174" i="3"/>
  <c r="W174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K174" i="3"/>
  <c r="J175" i="3"/>
  <c r="K175" i="3"/>
  <c r="L175" i="3"/>
  <c r="M175" i="3"/>
  <c r="N175" i="3"/>
  <c r="O175" i="3"/>
  <c r="P175" i="3"/>
  <c r="Q175" i="3"/>
  <c r="R175" i="3"/>
  <c r="S175" i="3"/>
  <c r="T175" i="3"/>
  <c r="U175" i="3"/>
  <c r="V175" i="3"/>
  <c r="W175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K175" i="3"/>
  <c r="J176" i="3"/>
  <c r="K176" i="3"/>
  <c r="L176" i="3"/>
  <c r="M176" i="3"/>
  <c r="N176" i="3"/>
  <c r="O176" i="3"/>
  <c r="P176" i="3"/>
  <c r="Q176" i="3"/>
  <c r="R176" i="3"/>
  <c r="S176" i="3"/>
  <c r="T176" i="3"/>
  <c r="U176" i="3"/>
  <c r="V176" i="3"/>
  <c r="W176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K176" i="3"/>
  <c r="J177" i="3"/>
  <c r="K177" i="3"/>
  <c r="L177" i="3"/>
  <c r="M177" i="3"/>
  <c r="N177" i="3"/>
  <c r="O177" i="3"/>
  <c r="P177" i="3"/>
  <c r="Q177" i="3"/>
  <c r="R177" i="3"/>
  <c r="S177" i="3"/>
  <c r="T177" i="3"/>
  <c r="U177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K177" i="3"/>
  <c r="J178" i="3"/>
  <c r="K178" i="3"/>
  <c r="L178" i="3"/>
  <c r="M178" i="3"/>
  <c r="N178" i="3"/>
  <c r="O178" i="3"/>
  <c r="P178" i="3"/>
  <c r="Q178" i="3"/>
  <c r="R178" i="3"/>
  <c r="S178" i="3"/>
  <c r="T178" i="3"/>
  <c r="U178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K178" i="3"/>
  <c r="J179" i="3"/>
  <c r="K179" i="3"/>
  <c r="L179" i="3"/>
  <c r="M179" i="3"/>
  <c r="N179" i="3"/>
  <c r="O179" i="3"/>
  <c r="P179" i="3"/>
  <c r="Q179" i="3"/>
  <c r="R179" i="3"/>
  <c r="S179" i="3"/>
  <c r="T179" i="3"/>
  <c r="U179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K179" i="3"/>
  <c r="J180" i="3"/>
  <c r="K180" i="3"/>
  <c r="L180" i="3"/>
  <c r="M180" i="3"/>
  <c r="N180" i="3"/>
  <c r="O180" i="3"/>
  <c r="P180" i="3"/>
  <c r="Q180" i="3"/>
  <c r="R180" i="3"/>
  <c r="S180" i="3"/>
  <c r="T180" i="3"/>
  <c r="U180" i="3"/>
  <c r="V180" i="3"/>
  <c r="W180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K180" i="3"/>
  <c r="J181" i="3"/>
  <c r="K181" i="3"/>
  <c r="L181" i="3"/>
  <c r="M181" i="3"/>
  <c r="N181" i="3"/>
  <c r="O181" i="3"/>
  <c r="P181" i="3"/>
  <c r="Q181" i="3"/>
  <c r="R181" i="3"/>
  <c r="S181" i="3"/>
  <c r="T181" i="3"/>
  <c r="U181" i="3"/>
  <c r="V181" i="3"/>
  <c r="W181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K181" i="3"/>
  <c r="J182" i="3"/>
  <c r="K182" i="3"/>
  <c r="L182" i="3"/>
  <c r="M182" i="3"/>
  <c r="N182" i="3"/>
  <c r="O182" i="3"/>
  <c r="P182" i="3"/>
  <c r="Q182" i="3"/>
  <c r="R182" i="3"/>
  <c r="S182" i="3"/>
  <c r="T182" i="3"/>
  <c r="U182" i="3"/>
  <c r="V182" i="3"/>
  <c r="W182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K182" i="3"/>
  <c r="J183" i="3"/>
  <c r="K183" i="3"/>
  <c r="L183" i="3"/>
  <c r="M183" i="3"/>
  <c r="N183" i="3"/>
  <c r="O183" i="3"/>
  <c r="P183" i="3"/>
  <c r="Q183" i="3"/>
  <c r="R183" i="3"/>
  <c r="S183" i="3"/>
  <c r="T183" i="3"/>
  <c r="U183" i="3"/>
  <c r="V183" i="3"/>
  <c r="W183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K183" i="3"/>
  <c r="J184" i="3"/>
  <c r="K184" i="3"/>
  <c r="L184" i="3"/>
  <c r="M184" i="3"/>
  <c r="N184" i="3"/>
  <c r="O184" i="3"/>
  <c r="P184" i="3"/>
  <c r="Q184" i="3"/>
  <c r="R184" i="3"/>
  <c r="S184" i="3"/>
  <c r="T184" i="3"/>
  <c r="U184" i="3"/>
  <c r="V184" i="3"/>
  <c r="W184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K184" i="3"/>
  <c r="J185" i="3"/>
  <c r="K185" i="3"/>
  <c r="L185" i="3"/>
  <c r="M185" i="3"/>
  <c r="N185" i="3"/>
  <c r="O185" i="3"/>
  <c r="P185" i="3"/>
  <c r="Q185" i="3"/>
  <c r="R185" i="3"/>
  <c r="S185" i="3"/>
  <c r="T185" i="3"/>
  <c r="U185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K185" i="3"/>
  <c r="J186" i="3"/>
  <c r="K186" i="3"/>
  <c r="L186" i="3"/>
  <c r="M186" i="3"/>
  <c r="N186" i="3"/>
  <c r="O186" i="3"/>
  <c r="P186" i="3"/>
  <c r="Q186" i="3"/>
  <c r="R186" i="3"/>
  <c r="S186" i="3"/>
  <c r="T186" i="3"/>
  <c r="U186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K186" i="3"/>
  <c r="J187" i="3"/>
  <c r="K187" i="3"/>
  <c r="L187" i="3"/>
  <c r="M187" i="3"/>
  <c r="N187" i="3"/>
  <c r="O187" i="3"/>
  <c r="P187" i="3"/>
  <c r="Q187" i="3"/>
  <c r="R187" i="3"/>
  <c r="S187" i="3"/>
  <c r="T187" i="3"/>
  <c r="U187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K187" i="3"/>
  <c r="J188" i="3"/>
  <c r="K188" i="3"/>
  <c r="L188" i="3"/>
  <c r="M188" i="3"/>
  <c r="N188" i="3"/>
  <c r="O188" i="3"/>
  <c r="P188" i="3"/>
  <c r="Q188" i="3"/>
  <c r="R188" i="3"/>
  <c r="S188" i="3"/>
  <c r="T188" i="3"/>
  <c r="U188" i="3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K188" i="3"/>
  <c r="J189" i="3"/>
  <c r="K189" i="3"/>
  <c r="L189" i="3"/>
  <c r="M189" i="3"/>
  <c r="N189" i="3"/>
  <c r="O189" i="3"/>
  <c r="P189" i="3"/>
  <c r="Q189" i="3"/>
  <c r="R189" i="3"/>
  <c r="S189" i="3"/>
  <c r="T189" i="3"/>
  <c r="U189" i="3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K189" i="3"/>
  <c r="J190" i="3"/>
  <c r="K190" i="3"/>
  <c r="L190" i="3"/>
  <c r="M190" i="3"/>
  <c r="N190" i="3"/>
  <c r="O190" i="3"/>
  <c r="P190" i="3"/>
  <c r="Q190" i="3"/>
  <c r="R190" i="3"/>
  <c r="S190" i="3"/>
  <c r="T190" i="3"/>
  <c r="U190" i="3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K190" i="3"/>
  <c r="J191" i="3"/>
  <c r="K191" i="3"/>
  <c r="L191" i="3"/>
  <c r="M191" i="3"/>
  <c r="N191" i="3"/>
  <c r="O191" i="3"/>
  <c r="P191" i="3"/>
  <c r="Q191" i="3"/>
  <c r="R191" i="3"/>
  <c r="S191" i="3"/>
  <c r="T191" i="3"/>
  <c r="U191" i="3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K191" i="3"/>
  <c r="J192" i="3"/>
  <c r="K192" i="3"/>
  <c r="L192" i="3"/>
  <c r="M192" i="3"/>
  <c r="N192" i="3"/>
  <c r="O192" i="3"/>
  <c r="P192" i="3"/>
  <c r="Q192" i="3"/>
  <c r="R192" i="3"/>
  <c r="S192" i="3"/>
  <c r="T192" i="3"/>
  <c r="U192" i="3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K192" i="3"/>
  <c r="J193" i="3"/>
  <c r="K193" i="3"/>
  <c r="L193" i="3"/>
  <c r="M193" i="3"/>
  <c r="N193" i="3"/>
  <c r="O193" i="3"/>
  <c r="P193" i="3"/>
  <c r="Q193" i="3"/>
  <c r="R193" i="3"/>
  <c r="S193" i="3"/>
  <c r="T193" i="3"/>
  <c r="U193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K193" i="3"/>
  <c r="J194" i="3"/>
  <c r="K194" i="3"/>
  <c r="L194" i="3"/>
  <c r="M194" i="3"/>
  <c r="N194" i="3"/>
  <c r="O194" i="3"/>
  <c r="P194" i="3"/>
  <c r="Q194" i="3"/>
  <c r="R194" i="3"/>
  <c r="S194" i="3"/>
  <c r="T194" i="3"/>
  <c r="U194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K194" i="3"/>
  <c r="J195" i="3"/>
  <c r="K195" i="3"/>
  <c r="L195" i="3"/>
  <c r="M195" i="3"/>
  <c r="N195" i="3"/>
  <c r="O195" i="3"/>
  <c r="P195" i="3"/>
  <c r="Q195" i="3"/>
  <c r="R195" i="3"/>
  <c r="S195" i="3"/>
  <c r="T195" i="3"/>
  <c r="U195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K195" i="3"/>
  <c r="J196" i="3"/>
  <c r="K196" i="3"/>
  <c r="L196" i="3"/>
  <c r="M196" i="3"/>
  <c r="N196" i="3"/>
  <c r="O196" i="3"/>
  <c r="P196" i="3"/>
  <c r="Q196" i="3"/>
  <c r="R196" i="3"/>
  <c r="S196" i="3"/>
  <c r="T196" i="3"/>
  <c r="U196" i="3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K196" i="3"/>
  <c r="J197" i="3"/>
  <c r="K197" i="3"/>
  <c r="L197" i="3"/>
  <c r="M197" i="3"/>
  <c r="N197" i="3"/>
  <c r="O197" i="3"/>
  <c r="P197" i="3"/>
  <c r="Q197" i="3"/>
  <c r="R197" i="3"/>
  <c r="S197" i="3"/>
  <c r="T197" i="3"/>
  <c r="U197" i="3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K197" i="3"/>
  <c r="J198" i="3"/>
  <c r="K198" i="3"/>
  <c r="L198" i="3"/>
  <c r="M198" i="3"/>
  <c r="N198" i="3"/>
  <c r="O198" i="3"/>
  <c r="P198" i="3"/>
  <c r="Q198" i="3"/>
  <c r="R198" i="3"/>
  <c r="S198" i="3"/>
  <c r="T198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K198" i="3"/>
  <c r="J199" i="3"/>
  <c r="K199" i="3"/>
  <c r="L199" i="3"/>
  <c r="M199" i="3"/>
  <c r="N199" i="3"/>
  <c r="O199" i="3"/>
  <c r="P199" i="3"/>
  <c r="Q199" i="3"/>
  <c r="R199" i="3"/>
  <c r="S199" i="3"/>
  <c r="T199" i="3"/>
  <c r="U199" i="3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K199" i="3"/>
  <c r="J200" i="3"/>
  <c r="K200" i="3"/>
  <c r="L200" i="3"/>
  <c r="M200" i="3"/>
  <c r="N200" i="3"/>
  <c r="O200" i="3"/>
  <c r="P200" i="3"/>
  <c r="Q200" i="3"/>
  <c r="R200" i="3"/>
  <c r="S200" i="3"/>
  <c r="T200" i="3"/>
  <c r="U200" i="3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K200" i="3"/>
  <c r="J201" i="3"/>
  <c r="K201" i="3"/>
  <c r="L201" i="3"/>
  <c r="M201" i="3"/>
  <c r="N201" i="3"/>
  <c r="O201" i="3"/>
  <c r="P201" i="3"/>
  <c r="Q201" i="3"/>
  <c r="R201" i="3"/>
  <c r="S201" i="3"/>
  <c r="T201" i="3"/>
  <c r="U201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K201" i="3"/>
  <c r="J202" i="3"/>
  <c r="K202" i="3"/>
  <c r="L202" i="3"/>
  <c r="M202" i="3"/>
  <c r="N202" i="3"/>
  <c r="O202" i="3"/>
  <c r="P202" i="3"/>
  <c r="Q202" i="3"/>
  <c r="R202" i="3"/>
  <c r="S202" i="3"/>
  <c r="T202" i="3"/>
  <c r="U202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K202" i="3"/>
  <c r="J203" i="3"/>
  <c r="K203" i="3"/>
  <c r="L203" i="3"/>
  <c r="M203" i="3"/>
  <c r="N203" i="3"/>
  <c r="O203" i="3"/>
  <c r="P203" i="3"/>
  <c r="Q203" i="3"/>
  <c r="R203" i="3"/>
  <c r="S203" i="3"/>
  <c r="T203" i="3"/>
  <c r="U203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K203" i="3"/>
  <c r="J204" i="3"/>
  <c r="K204" i="3"/>
  <c r="L204" i="3"/>
  <c r="M204" i="3"/>
  <c r="N204" i="3"/>
  <c r="O204" i="3"/>
  <c r="P204" i="3"/>
  <c r="Q204" i="3"/>
  <c r="R204" i="3"/>
  <c r="S204" i="3"/>
  <c r="T204" i="3"/>
  <c r="U204" i="3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K204" i="3"/>
  <c r="J205" i="3"/>
  <c r="K205" i="3"/>
  <c r="L205" i="3"/>
  <c r="M205" i="3"/>
  <c r="N205" i="3"/>
  <c r="O205" i="3"/>
  <c r="P205" i="3"/>
  <c r="Q205" i="3"/>
  <c r="R205" i="3"/>
  <c r="S205" i="3"/>
  <c r="T205" i="3"/>
  <c r="U205" i="3"/>
  <c r="V205" i="3"/>
  <c r="W205" i="3"/>
  <c r="X205" i="3"/>
  <c r="Y205" i="3"/>
  <c r="Z205" i="3"/>
  <c r="AA205" i="3"/>
  <c r="AB205" i="3"/>
  <c r="AC205" i="3"/>
  <c r="AD205" i="3"/>
  <c r="AE205" i="3"/>
  <c r="AF205" i="3"/>
  <c r="AG205" i="3"/>
  <c r="AH205" i="3"/>
  <c r="AI205" i="3"/>
  <c r="AJ205" i="3"/>
  <c r="AK205" i="3"/>
  <c r="J206" i="3"/>
  <c r="K206" i="3"/>
  <c r="L206" i="3"/>
  <c r="M206" i="3"/>
  <c r="N206" i="3"/>
  <c r="O206" i="3"/>
  <c r="P206" i="3"/>
  <c r="Q206" i="3"/>
  <c r="R206" i="3"/>
  <c r="S206" i="3"/>
  <c r="T206" i="3"/>
  <c r="U206" i="3"/>
  <c r="V206" i="3"/>
  <c r="W206" i="3"/>
  <c r="X206" i="3"/>
  <c r="Y206" i="3"/>
  <c r="Z206" i="3"/>
  <c r="AA206" i="3"/>
  <c r="AB206" i="3"/>
  <c r="AC206" i="3"/>
  <c r="AD206" i="3"/>
  <c r="AE206" i="3"/>
  <c r="AF206" i="3"/>
  <c r="AG206" i="3"/>
  <c r="AH206" i="3"/>
  <c r="AI206" i="3"/>
  <c r="AJ206" i="3"/>
  <c r="AK206" i="3"/>
  <c r="J207" i="3"/>
  <c r="K207" i="3"/>
  <c r="L207" i="3"/>
  <c r="M207" i="3"/>
  <c r="N207" i="3"/>
  <c r="O207" i="3"/>
  <c r="P207" i="3"/>
  <c r="Q207" i="3"/>
  <c r="R207" i="3"/>
  <c r="S207" i="3"/>
  <c r="T207" i="3"/>
  <c r="U207" i="3"/>
  <c r="V207" i="3"/>
  <c r="W207" i="3"/>
  <c r="X207" i="3"/>
  <c r="Y207" i="3"/>
  <c r="Z207" i="3"/>
  <c r="AA207" i="3"/>
  <c r="AB207" i="3"/>
  <c r="AC207" i="3"/>
  <c r="AD207" i="3"/>
  <c r="AE207" i="3"/>
  <c r="AF207" i="3"/>
  <c r="AG207" i="3"/>
  <c r="AH207" i="3"/>
  <c r="AI207" i="3"/>
  <c r="AJ207" i="3"/>
  <c r="AK207" i="3"/>
  <c r="J208" i="3"/>
  <c r="K208" i="3"/>
  <c r="L208" i="3"/>
  <c r="M208" i="3"/>
  <c r="N208" i="3"/>
  <c r="O208" i="3"/>
  <c r="P208" i="3"/>
  <c r="Q208" i="3"/>
  <c r="R208" i="3"/>
  <c r="S208" i="3"/>
  <c r="T208" i="3"/>
  <c r="U208" i="3"/>
  <c r="V208" i="3"/>
  <c r="W208" i="3"/>
  <c r="X208" i="3"/>
  <c r="Y208" i="3"/>
  <c r="Z208" i="3"/>
  <c r="AA208" i="3"/>
  <c r="AB208" i="3"/>
  <c r="AC208" i="3"/>
  <c r="AD208" i="3"/>
  <c r="AE208" i="3"/>
  <c r="AF208" i="3"/>
  <c r="AG208" i="3"/>
  <c r="AH208" i="3"/>
  <c r="AI208" i="3"/>
  <c r="AJ208" i="3"/>
  <c r="AK208" i="3"/>
  <c r="J209" i="3"/>
  <c r="K209" i="3"/>
  <c r="L209" i="3"/>
  <c r="M209" i="3"/>
  <c r="N209" i="3"/>
  <c r="O209" i="3"/>
  <c r="P209" i="3"/>
  <c r="Q209" i="3"/>
  <c r="R209" i="3"/>
  <c r="S209" i="3"/>
  <c r="T209" i="3"/>
  <c r="U209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AI209" i="3"/>
  <c r="AJ209" i="3"/>
  <c r="AK209" i="3"/>
  <c r="J210" i="3"/>
  <c r="K210" i="3"/>
  <c r="L210" i="3"/>
  <c r="M210" i="3"/>
  <c r="N210" i="3"/>
  <c r="O210" i="3"/>
  <c r="P210" i="3"/>
  <c r="Q210" i="3"/>
  <c r="R210" i="3"/>
  <c r="S210" i="3"/>
  <c r="T210" i="3"/>
  <c r="U210" i="3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AI210" i="3"/>
  <c r="AJ210" i="3"/>
  <c r="AK210" i="3"/>
  <c r="J211" i="3"/>
  <c r="K211" i="3"/>
  <c r="L211" i="3"/>
  <c r="M211" i="3"/>
  <c r="N211" i="3"/>
  <c r="O211" i="3"/>
  <c r="P211" i="3"/>
  <c r="Q211" i="3"/>
  <c r="R211" i="3"/>
  <c r="S211" i="3"/>
  <c r="T211" i="3"/>
  <c r="U211" i="3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AI211" i="3"/>
  <c r="AJ211" i="3"/>
  <c r="AK211" i="3"/>
  <c r="J212" i="3"/>
  <c r="K212" i="3"/>
  <c r="L212" i="3"/>
  <c r="M212" i="3"/>
  <c r="N212" i="3"/>
  <c r="O212" i="3"/>
  <c r="P212" i="3"/>
  <c r="Q212" i="3"/>
  <c r="R212" i="3"/>
  <c r="S212" i="3"/>
  <c r="T212" i="3"/>
  <c r="U212" i="3"/>
  <c r="V212" i="3"/>
  <c r="W212" i="3"/>
  <c r="X212" i="3"/>
  <c r="Y212" i="3"/>
  <c r="Z212" i="3"/>
  <c r="AA212" i="3"/>
  <c r="AB212" i="3"/>
  <c r="AC212" i="3"/>
  <c r="AD212" i="3"/>
  <c r="AE212" i="3"/>
  <c r="AF212" i="3"/>
  <c r="AG212" i="3"/>
  <c r="AH212" i="3"/>
  <c r="AI212" i="3"/>
  <c r="AJ212" i="3"/>
  <c r="AK212" i="3"/>
  <c r="J213" i="3"/>
  <c r="K213" i="3"/>
  <c r="L213" i="3"/>
  <c r="M213" i="3"/>
  <c r="N213" i="3"/>
  <c r="O213" i="3"/>
  <c r="P213" i="3"/>
  <c r="Q213" i="3"/>
  <c r="R213" i="3"/>
  <c r="S213" i="3"/>
  <c r="T213" i="3"/>
  <c r="U213" i="3"/>
  <c r="V213" i="3"/>
  <c r="W213" i="3"/>
  <c r="X213" i="3"/>
  <c r="Y213" i="3"/>
  <c r="Z213" i="3"/>
  <c r="AA213" i="3"/>
  <c r="AB213" i="3"/>
  <c r="AC213" i="3"/>
  <c r="AD213" i="3"/>
  <c r="AE213" i="3"/>
  <c r="AF213" i="3"/>
  <c r="AG213" i="3"/>
  <c r="AH213" i="3"/>
  <c r="AI213" i="3"/>
  <c r="AJ213" i="3"/>
  <c r="AK213" i="3"/>
  <c r="J214" i="3"/>
  <c r="K214" i="3"/>
  <c r="L214" i="3"/>
  <c r="M214" i="3"/>
  <c r="N214" i="3"/>
  <c r="O214" i="3"/>
  <c r="P214" i="3"/>
  <c r="Q214" i="3"/>
  <c r="R214" i="3"/>
  <c r="S214" i="3"/>
  <c r="T214" i="3"/>
  <c r="U214" i="3"/>
  <c r="V214" i="3"/>
  <c r="W214" i="3"/>
  <c r="X214" i="3"/>
  <c r="Y214" i="3"/>
  <c r="Z214" i="3"/>
  <c r="AA214" i="3"/>
  <c r="AB214" i="3"/>
  <c r="AC214" i="3"/>
  <c r="AD214" i="3"/>
  <c r="AE214" i="3"/>
  <c r="AF214" i="3"/>
  <c r="AG214" i="3"/>
  <c r="AH214" i="3"/>
  <c r="AI214" i="3"/>
  <c r="AJ214" i="3"/>
  <c r="AK214" i="3"/>
  <c r="J215" i="3"/>
  <c r="K215" i="3"/>
  <c r="L215" i="3"/>
  <c r="M215" i="3"/>
  <c r="N215" i="3"/>
  <c r="O215" i="3"/>
  <c r="P215" i="3"/>
  <c r="Q215" i="3"/>
  <c r="R215" i="3"/>
  <c r="S215" i="3"/>
  <c r="T215" i="3"/>
  <c r="U215" i="3"/>
  <c r="V215" i="3"/>
  <c r="W215" i="3"/>
  <c r="X215" i="3"/>
  <c r="Y215" i="3"/>
  <c r="Z215" i="3"/>
  <c r="AA215" i="3"/>
  <c r="AB215" i="3"/>
  <c r="AC215" i="3"/>
  <c r="AD215" i="3"/>
  <c r="AE215" i="3"/>
  <c r="AF215" i="3"/>
  <c r="AG215" i="3"/>
  <c r="AH215" i="3"/>
  <c r="AI215" i="3"/>
  <c r="AJ215" i="3"/>
  <c r="AK215" i="3"/>
  <c r="J216" i="3"/>
  <c r="K216" i="3"/>
  <c r="L216" i="3"/>
  <c r="M216" i="3"/>
  <c r="N216" i="3"/>
  <c r="O216" i="3"/>
  <c r="P216" i="3"/>
  <c r="Q216" i="3"/>
  <c r="R216" i="3"/>
  <c r="S216" i="3"/>
  <c r="T216" i="3"/>
  <c r="U216" i="3"/>
  <c r="V216" i="3"/>
  <c r="W216" i="3"/>
  <c r="X216" i="3"/>
  <c r="Y216" i="3"/>
  <c r="Z216" i="3"/>
  <c r="AA216" i="3"/>
  <c r="AB216" i="3"/>
  <c r="AC216" i="3"/>
  <c r="AD216" i="3"/>
  <c r="AE216" i="3"/>
  <c r="AF216" i="3"/>
  <c r="AG216" i="3"/>
  <c r="AH216" i="3"/>
  <c r="AI216" i="3"/>
  <c r="AJ216" i="3"/>
  <c r="AK216" i="3"/>
  <c r="J217" i="3"/>
  <c r="K217" i="3"/>
  <c r="L217" i="3"/>
  <c r="M217" i="3"/>
  <c r="N217" i="3"/>
  <c r="O217" i="3"/>
  <c r="P217" i="3"/>
  <c r="Q217" i="3"/>
  <c r="R217" i="3"/>
  <c r="S217" i="3"/>
  <c r="T217" i="3"/>
  <c r="U217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AI217" i="3"/>
  <c r="AJ217" i="3"/>
  <c r="AK217" i="3"/>
  <c r="J218" i="3"/>
  <c r="K218" i="3"/>
  <c r="L218" i="3"/>
  <c r="M218" i="3"/>
  <c r="N218" i="3"/>
  <c r="O218" i="3"/>
  <c r="P218" i="3"/>
  <c r="Q218" i="3"/>
  <c r="R218" i="3"/>
  <c r="S218" i="3"/>
  <c r="T218" i="3"/>
  <c r="U218" i="3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AI218" i="3"/>
  <c r="AJ218" i="3"/>
  <c r="AK218" i="3"/>
  <c r="J219" i="3"/>
  <c r="K219" i="3"/>
  <c r="L219" i="3"/>
  <c r="M219" i="3"/>
  <c r="N219" i="3"/>
  <c r="O219" i="3"/>
  <c r="P219" i="3"/>
  <c r="Q219" i="3"/>
  <c r="R219" i="3"/>
  <c r="S219" i="3"/>
  <c r="T219" i="3"/>
  <c r="U219" i="3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AI219" i="3"/>
  <c r="AJ219" i="3"/>
  <c r="AK219" i="3"/>
  <c r="J220" i="3"/>
  <c r="K220" i="3"/>
  <c r="L220" i="3"/>
  <c r="M220" i="3"/>
  <c r="N220" i="3"/>
  <c r="O220" i="3"/>
  <c r="P220" i="3"/>
  <c r="Q220" i="3"/>
  <c r="R220" i="3"/>
  <c r="S220" i="3"/>
  <c r="T220" i="3"/>
  <c r="U220" i="3"/>
  <c r="V220" i="3"/>
  <c r="W220" i="3"/>
  <c r="X220" i="3"/>
  <c r="Y220" i="3"/>
  <c r="Z220" i="3"/>
  <c r="AA220" i="3"/>
  <c r="AB220" i="3"/>
  <c r="AC220" i="3"/>
  <c r="AD220" i="3"/>
  <c r="AE220" i="3"/>
  <c r="AF220" i="3"/>
  <c r="AG220" i="3"/>
  <c r="AH220" i="3"/>
  <c r="AI220" i="3"/>
  <c r="AJ220" i="3"/>
  <c r="AK220" i="3"/>
  <c r="J221" i="3"/>
  <c r="K221" i="3"/>
  <c r="L221" i="3"/>
  <c r="M221" i="3"/>
  <c r="N221" i="3"/>
  <c r="O221" i="3"/>
  <c r="P221" i="3"/>
  <c r="Q221" i="3"/>
  <c r="R221" i="3"/>
  <c r="S221" i="3"/>
  <c r="T221" i="3"/>
  <c r="U221" i="3"/>
  <c r="V221" i="3"/>
  <c r="W221" i="3"/>
  <c r="X221" i="3"/>
  <c r="Y221" i="3"/>
  <c r="Z221" i="3"/>
  <c r="AA221" i="3"/>
  <c r="AB221" i="3"/>
  <c r="AC221" i="3"/>
  <c r="AD221" i="3"/>
  <c r="AE221" i="3"/>
  <c r="AF221" i="3"/>
  <c r="AG221" i="3"/>
  <c r="AH221" i="3"/>
  <c r="AI221" i="3"/>
  <c r="AJ221" i="3"/>
  <c r="AK221" i="3"/>
  <c r="J222" i="3"/>
  <c r="K222" i="3"/>
  <c r="L222" i="3"/>
  <c r="M222" i="3"/>
  <c r="N222" i="3"/>
  <c r="O222" i="3"/>
  <c r="P222" i="3"/>
  <c r="Q222" i="3"/>
  <c r="R222" i="3"/>
  <c r="S222" i="3"/>
  <c r="T222" i="3"/>
  <c r="U222" i="3"/>
  <c r="V222" i="3"/>
  <c r="W222" i="3"/>
  <c r="X222" i="3"/>
  <c r="Y222" i="3"/>
  <c r="Z222" i="3"/>
  <c r="AA222" i="3"/>
  <c r="AB222" i="3"/>
  <c r="AC222" i="3"/>
  <c r="AD222" i="3"/>
  <c r="AE222" i="3"/>
  <c r="AF222" i="3"/>
  <c r="AG222" i="3"/>
  <c r="AH222" i="3"/>
  <c r="AI222" i="3"/>
  <c r="AJ222" i="3"/>
  <c r="AK222" i="3"/>
  <c r="J223" i="3"/>
  <c r="K223" i="3"/>
  <c r="L223" i="3"/>
  <c r="M223" i="3"/>
  <c r="N223" i="3"/>
  <c r="O223" i="3"/>
  <c r="P223" i="3"/>
  <c r="Q223" i="3"/>
  <c r="R223" i="3"/>
  <c r="S223" i="3"/>
  <c r="T223" i="3"/>
  <c r="U223" i="3"/>
  <c r="V223" i="3"/>
  <c r="W223" i="3"/>
  <c r="X223" i="3"/>
  <c r="Y223" i="3"/>
  <c r="Z223" i="3"/>
  <c r="AA223" i="3"/>
  <c r="AB223" i="3"/>
  <c r="AC223" i="3"/>
  <c r="AD223" i="3"/>
  <c r="AE223" i="3"/>
  <c r="AF223" i="3"/>
  <c r="AG223" i="3"/>
  <c r="AH223" i="3"/>
  <c r="AI223" i="3"/>
  <c r="AJ223" i="3"/>
  <c r="AK223" i="3"/>
  <c r="J224" i="3"/>
  <c r="K224" i="3"/>
  <c r="L224" i="3"/>
  <c r="M224" i="3"/>
  <c r="N224" i="3"/>
  <c r="O224" i="3"/>
  <c r="P224" i="3"/>
  <c r="Q224" i="3"/>
  <c r="R224" i="3"/>
  <c r="S224" i="3"/>
  <c r="T224" i="3"/>
  <c r="U224" i="3"/>
  <c r="V224" i="3"/>
  <c r="W224" i="3"/>
  <c r="X224" i="3"/>
  <c r="Y224" i="3"/>
  <c r="Z224" i="3"/>
  <c r="AA224" i="3"/>
  <c r="AB224" i="3"/>
  <c r="AC224" i="3"/>
  <c r="AD224" i="3"/>
  <c r="AE224" i="3"/>
  <c r="AF224" i="3"/>
  <c r="AG224" i="3"/>
  <c r="AH224" i="3"/>
  <c r="AI224" i="3"/>
  <c r="AJ224" i="3"/>
  <c r="AK224" i="3"/>
  <c r="J225" i="3"/>
  <c r="K225" i="3"/>
  <c r="L225" i="3"/>
  <c r="M225" i="3"/>
  <c r="N225" i="3"/>
  <c r="O225" i="3"/>
  <c r="P225" i="3"/>
  <c r="Q225" i="3"/>
  <c r="R225" i="3"/>
  <c r="S225" i="3"/>
  <c r="T225" i="3"/>
  <c r="U225" i="3"/>
  <c r="V225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AI225" i="3"/>
  <c r="AJ225" i="3"/>
  <c r="AK225" i="3"/>
  <c r="J226" i="3"/>
  <c r="K226" i="3"/>
  <c r="L226" i="3"/>
  <c r="M226" i="3"/>
  <c r="N226" i="3"/>
  <c r="O226" i="3"/>
  <c r="P226" i="3"/>
  <c r="Q226" i="3"/>
  <c r="R226" i="3"/>
  <c r="S226" i="3"/>
  <c r="T226" i="3"/>
  <c r="U226" i="3"/>
  <c r="V226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AI226" i="3"/>
  <c r="AJ226" i="3"/>
  <c r="AK226" i="3"/>
  <c r="J227" i="3"/>
  <c r="K227" i="3"/>
  <c r="L227" i="3"/>
  <c r="M227" i="3"/>
  <c r="N227" i="3"/>
  <c r="O227" i="3"/>
  <c r="P227" i="3"/>
  <c r="Q227" i="3"/>
  <c r="R227" i="3"/>
  <c r="S227" i="3"/>
  <c r="T227" i="3"/>
  <c r="U227" i="3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AI227" i="3"/>
  <c r="AJ227" i="3"/>
  <c r="AK227" i="3"/>
  <c r="J228" i="3"/>
  <c r="K228" i="3"/>
  <c r="L228" i="3"/>
  <c r="M228" i="3"/>
  <c r="N228" i="3"/>
  <c r="O228" i="3"/>
  <c r="P228" i="3"/>
  <c r="Q228" i="3"/>
  <c r="R228" i="3"/>
  <c r="S228" i="3"/>
  <c r="T228" i="3"/>
  <c r="U228" i="3"/>
  <c r="V228" i="3"/>
  <c r="W228" i="3"/>
  <c r="X228" i="3"/>
  <c r="Y228" i="3"/>
  <c r="Z228" i="3"/>
  <c r="AA228" i="3"/>
  <c r="AB228" i="3"/>
  <c r="AC228" i="3"/>
  <c r="AD228" i="3"/>
  <c r="AE228" i="3"/>
  <c r="AF228" i="3"/>
  <c r="AG228" i="3"/>
  <c r="AH228" i="3"/>
  <c r="AI228" i="3"/>
  <c r="AJ228" i="3"/>
  <c r="AK228" i="3"/>
  <c r="J229" i="3"/>
  <c r="K229" i="3"/>
  <c r="L229" i="3"/>
  <c r="M229" i="3"/>
  <c r="N229" i="3"/>
  <c r="O229" i="3"/>
  <c r="P229" i="3"/>
  <c r="Q229" i="3"/>
  <c r="R229" i="3"/>
  <c r="S229" i="3"/>
  <c r="T229" i="3"/>
  <c r="U229" i="3"/>
  <c r="V229" i="3"/>
  <c r="W229" i="3"/>
  <c r="X229" i="3"/>
  <c r="Y229" i="3"/>
  <c r="Z229" i="3"/>
  <c r="AA229" i="3"/>
  <c r="AB229" i="3"/>
  <c r="AC229" i="3"/>
  <c r="AD229" i="3"/>
  <c r="AE229" i="3"/>
  <c r="AF229" i="3"/>
  <c r="AG229" i="3"/>
  <c r="AH229" i="3"/>
  <c r="AI229" i="3"/>
  <c r="AJ229" i="3"/>
  <c r="AK229" i="3"/>
  <c r="J230" i="3"/>
  <c r="K230" i="3"/>
  <c r="L230" i="3"/>
  <c r="M230" i="3"/>
  <c r="N230" i="3"/>
  <c r="O230" i="3"/>
  <c r="P230" i="3"/>
  <c r="Q230" i="3"/>
  <c r="R230" i="3"/>
  <c r="S230" i="3"/>
  <c r="T230" i="3"/>
  <c r="U230" i="3"/>
  <c r="V230" i="3"/>
  <c r="W230" i="3"/>
  <c r="X230" i="3"/>
  <c r="Y230" i="3"/>
  <c r="Z230" i="3"/>
  <c r="AA230" i="3"/>
  <c r="AB230" i="3"/>
  <c r="AC230" i="3"/>
  <c r="AD230" i="3"/>
  <c r="AE230" i="3"/>
  <c r="AF230" i="3"/>
  <c r="AG230" i="3"/>
  <c r="AH230" i="3"/>
  <c r="AI230" i="3"/>
  <c r="AJ230" i="3"/>
  <c r="AK230" i="3"/>
  <c r="J231" i="3"/>
  <c r="K231" i="3"/>
  <c r="L231" i="3"/>
  <c r="M231" i="3"/>
  <c r="N231" i="3"/>
  <c r="O231" i="3"/>
  <c r="P231" i="3"/>
  <c r="Q231" i="3"/>
  <c r="R231" i="3"/>
  <c r="S231" i="3"/>
  <c r="T231" i="3"/>
  <c r="U231" i="3"/>
  <c r="V231" i="3"/>
  <c r="W231" i="3"/>
  <c r="X231" i="3"/>
  <c r="Y231" i="3"/>
  <c r="Z231" i="3"/>
  <c r="AA231" i="3"/>
  <c r="AB231" i="3"/>
  <c r="AC231" i="3"/>
  <c r="AD231" i="3"/>
  <c r="AE231" i="3"/>
  <c r="AF231" i="3"/>
  <c r="AG231" i="3"/>
  <c r="AH231" i="3"/>
  <c r="AI231" i="3"/>
  <c r="AJ231" i="3"/>
  <c r="AK231" i="3"/>
  <c r="J232" i="3"/>
  <c r="K232" i="3"/>
  <c r="L232" i="3"/>
  <c r="M232" i="3"/>
  <c r="N232" i="3"/>
  <c r="O232" i="3"/>
  <c r="P232" i="3"/>
  <c r="Q232" i="3"/>
  <c r="R232" i="3"/>
  <c r="S232" i="3"/>
  <c r="T232" i="3"/>
  <c r="U232" i="3"/>
  <c r="V232" i="3"/>
  <c r="W232" i="3"/>
  <c r="X232" i="3"/>
  <c r="Y232" i="3"/>
  <c r="Z232" i="3"/>
  <c r="AA232" i="3"/>
  <c r="AB232" i="3"/>
  <c r="AC232" i="3"/>
  <c r="AD232" i="3"/>
  <c r="AE232" i="3"/>
  <c r="AF232" i="3"/>
  <c r="AG232" i="3"/>
  <c r="AH232" i="3"/>
  <c r="AI232" i="3"/>
  <c r="AJ232" i="3"/>
  <c r="AK232" i="3"/>
  <c r="J233" i="3"/>
  <c r="K233" i="3"/>
  <c r="L233" i="3"/>
  <c r="M233" i="3"/>
  <c r="N233" i="3"/>
  <c r="O233" i="3"/>
  <c r="P233" i="3"/>
  <c r="Q233" i="3"/>
  <c r="R233" i="3"/>
  <c r="S233" i="3"/>
  <c r="T233" i="3"/>
  <c r="U233" i="3"/>
  <c r="V233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AI233" i="3"/>
  <c r="AJ233" i="3"/>
  <c r="AK233" i="3"/>
  <c r="J234" i="3"/>
  <c r="K234" i="3"/>
  <c r="L234" i="3"/>
  <c r="M234" i="3"/>
  <c r="N234" i="3"/>
  <c r="O234" i="3"/>
  <c r="P234" i="3"/>
  <c r="Q234" i="3"/>
  <c r="R234" i="3"/>
  <c r="S234" i="3"/>
  <c r="T234" i="3"/>
  <c r="U234" i="3"/>
  <c r="V234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AI234" i="3"/>
  <c r="AJ234" i="3"/>
  <c r="AK234" i="3"/>
  <c r="J235" i="3"/>
  <c r="K235" i="3"/>
  <c r="L235" i="3"/>
  <c r="M235" i="3"/>
  <c r="N235" i="3"/>
  <c r="O235" i="3"/>
  <c r="P235" i="3"/>
  <c r="Q235" i="3"/>
  <c r="R235" i="3"/>
  <c r="S235" i="3"/>
  <c r="T235" i="3"/>
  <c r="U235" i="3"/>
  <c r="V235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AI235" i="3"/>
  <c r="AJ235" i="3"/>
  <c r="AK235" i="3"/>
  <c r="J236" i="3"/>
  <c r="K236" i="3"/>
  <c r="L236" i="3"/>
  <c r="M236" i="3"/>
  <c r="N236" i="3"/>
  <c r="O236" i="3"/>
  <c r="P236" i="3"/>
  <c r="Q236" i="3"/>
  <c r="R236" i="3"/>
  <c r="S236" i="3"/>
  <c r="T236" i="3"/>
  <c r="U236" i="3"/>
  <c r="V236" i="3"/>
  <c r="W236" i="3"/>
  <c r="X236" i="3"/>
  <c r="Y236" i="3"/>
  <c r="Z236" i="3"/>
  <c r="AA236" i="3"/>
  <c r="AB236" i="3"/>
  <c r="AC236" i="3"/>
  <c r="AD236" i="3"/>
  <c r="AE236" i="3"/>
  <c r="AF236" i="3"/>
  <c r="AG236" i="3"/>
  <c r="AH236" i="3"/>
  <c r="AI236" i="3"/>
  <c r="AJ236" i="3"/>
  <c r="AK236" i="3"/>
  <c r="J237" i="3"/>
  <c r="K237" i="3"/>
  <c r="L237" i="3"/>
  <c r="M237" i="3"/>
  <c r="N237" i="3"/>
  <c r="O237" i="3"/>
  <c r="P237" i="3"/>
  <c r="Q237" i="3"/>
  <c r="R237" i="3"/>
  <c r="S237" i="3"/>
  <c r="T237" i="3"/>
  <c r="U237" i="3"/>
  <c r="V237" i="3"/>
  <c r="W237" i="3"/>
  <c r="X237" i="3"/>
  <c r="Y237" i="3"/>
  <c r="Z237" i="3"/>
  <c r="AA237" i="3"/>
  <c r="AB237" i="3"/>
  <c r="AC237" i="3"/>
  <c r="AD237" i="3"/>
  <c r="AE237" i="3"/>
  <c r="AF237" i="3"/>
  <c r="AG237" i="3"/>
  <c r="AH237" i="3"/>
  <c r="AI237" i="3"/>
  <c r="AJ237" i="3"/>
  <c r="AK237" i="3"/>
  <c r="J238" i="3"/>
  <c r="K238" i="3"/>
  <c r="L238" i="3"/>
  <c r="M238" i="3"/>
  <c r="N238" i="3"/>
  <c r="O238" i="3"/>
  <c r="P238" i="3"/>
  <c r="Q238" i="3"/>
  <c r="R238" i="3"/>
  <c r="S238" i="3"/>
  <c r="T238" i="3"/>
  <c r="U238" i="3"/>
  <c r="V238" i="3"/>
  <c r="W238" i="3"/>
  <c r="X238" i="3"/>
  <c r="Y238" i="3"/>
  <c r="Z238" i="3"/>
  <c r="AA238" i="3"/>
  <c r="AB238" i="3"/>
  <c r="AC238" i="3"/>
  <c r="AD238" i="3"/>
  <c r="AE238" i="3"/>
  <c r="AF238" i="3"/>
  <c r="AG238" i="3"/>
  <c r="AH238" i="3"/>
  <c r="AI238" i="3"/>
  <c r="AJ238" i="3"/>
  <c r="AK238" i="3"/>
  <c r="J239" i="3"/>
  <c r="K239" i="3"/>
  <c r="L239" i="3"/>
  <c r="M239" i="3"/>
  <c r="N239" i="3"/>
  <c r="O239" i="3"/>
  <c r="P239" i="3"/>
  <c r="Q239" i="3"/>
  <c r="R239" i="3"/>
  <c r="S239" i="3"/>
  <c r="T239" i="3"/>
  <c r="U239" i="3"/>
  <c r="V239" i="3"/>
  <c r="W239" i="3"/>
  <c r="X239" i="3"/>
  <c r="Y239" i="3"/>
  <c r="Z239" i="3"/>
  <c r="AA239" i="3"/>
  <c r="AB239" i="3"/>
  <c r="AC239" i="3"/>
  <c r="AD239" i="3"/>
  <c r="AE239" i="3"/>
  <c r="AF239" i="3"/>
  <c r="AG239" i="3"/>
  <c r="AH239" i="3"/>
  <c r="AI239" i="3"/>
  <c r="AJ239" i="3"/>
  <c r="AK239" i="3"/>
  <c r="J240" i="3"/>
  <c r="K240" i="3"/>
  <c r="L240" i="3"/>
  <c r="M240" i="3"/>
  <c r="N240" i="3"/>
  <c r="O240" i="3"/>
  <c r="P240" i="3"/>
  <c r="Q240" i="3"/>
  <c r="R240" i="3"/>
  <c r="S240" i="3"/>
  <c r="T240" i="3"/>
  <c r="U240" i="3"/>
  <c r="V240" i="3"/>
  <c r="W240" i="3"/>
  <c r="X240" i="3"/>
  <c r="Y240" i="3"/>
  <c r="Z240" i="3"/>
  <c r="AA240" i="3"/>
  <c r="AB240" i="3"/>
  <c r="AC240" i="3"/>
  <c r="AD240" i="3"/>
  <c r="AE240" i="3"/>
  <c r="AF240" i="3"/>
  <c r="AG240" i="3"/>
  <c r="AH240" i="3"/>
  <c r="AI240" i="3"/>
  <c r="AJ240" i="3"/>
  <c r="AK240" i="3"/>
  <c r="J241" i="3"/>
  <c r="K241" i="3"/>
  <c r="L241" i="3"/>
  <c r="M241" i="3"/>
  <c r="N241" i="3"/>
  <c r="O241" i="3"/>
  <c r="P241" i="3"/>
  <c r="Q241" i="3"/>
  <c r="R241" i="3"/>
  <c r="S241" i="3"/>
  <c r="T241" i="3"/>
  <c r="U241" i="3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AI241" i="3"/>
  <c r="AJ241" i="3"/>
  <c r="AK241" i="3"/>
  <c r="J242" i="3"/>
  <c r="K242" i="3"/>
  <c r="L242" i="3"/>
  <c r="M242" i="3"/>
  <c r="N242" i="3"/>
  <c r="O242" i="3"/>
  <c r="P242" i="3"/>
  <c r="Q242" i="3"/>
  <c r="R242" i="3"/>
  <c r="S242" i="3"/>
  <c r="T242" i="3"/>
  <c r="U242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AI242" i="3"/>
  <c r="AJ242" i="3"/>
  <c r="AK242" i="3"/>
  <c r="J243" i="3"/>
  <c r="K243" i="3"/>
  <c r="L243" i="3"/>
  <c r="M243" i="3"/>
  <c r="N243" i="3"/>
  <c r="O243" i="3"/>
  <c r="P243" i="3"/>
  <c r="Q243" i="3"/>
  <c r="R243" i="3"/>
  <c r="S243" i="3"/>
  <c r="T243" i="3"/>
  <c r="U243" i="3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AI243" i="3"/>
  <c r="AJ243" i="3"/>
  <c r="AK243" i="3"/>
  <c r="J244" i="3"/>
  <c r="K244" i="3"/>
  <c r="L244" i="3"/>
  <c r="M244" i="3"/>
  <c r="N244" i="3"/>
  <c r="O244" i="3"/>
  <c r="P244" i="3"/>
  <c r="Q244" i="3"/>
  <c r="R244" i="3"/>
  <c r="S244" i="3"/>
  <c r="T244" i="3"/>
  <c r="U244" i="3"/>
  <c r="V244" i="3"/>
  <c r="W244" i="3"/>
  <c r="X244" i="3"/>
  <c r="Y244" i="3"/>
  <c r="Z244" i="3"/>
  <c r="AA244" i="3"/>
  <c r="AB244" i="3"/>
  <c r="AC244" i="3"/>
  <c r="AD244" i="3"/>
  <c r="AE244" i="3"/>
  <c r="AF244" i="3"/>
  <c r="AG244" i="3"/>
  <c r="AH244" i="3"/>
  <c r="AI244" i="3"/>
  <c r="AJ244" i="3"/>
  <c r="AK244" i="3"/>
  <c r="J245" i="3"/>
  <c r="K245" i="3"/>
  <c r="L245" i="3"/>
  <c r="M245" i="3"/>
  <c r="N245" i="3"/>
  <c r="O245" i="3"/>
  <c r="P245" i="3"/>
  <c r="Q245" i="3"/>
  <c r="R245" i="3"/>
  <c r="S245" i="3"/>
  <c r="T245" i="3"/>
  <c r="U245" i="3"/>
  <c r="V245" i="3"/>
  <c r="W245" i="3"/>
  <c r="X245" i="3"/>
  <c r="Y245" i="3"/>
  <c r="Z245" i="3"/>
  <c r="AA245" i="3"/>
  <c r="AB245" i="3"/>
  <c r="AC245" i="3"/>
  <c r="AD245" i="3"/>
  <c r="AE245" i="3"/>
  <c r="AF245" i="3"/>
  <c r="AG245" i="3"/>
  <c r="AH245" i="3"/>
  <c r="AI245" i="3"/>
  <c r="AJ245" i="3"/>
  <c r="AK245" i="3"/>
  <c r="J246" i="3"/>
  <c r="K246" i="3"/>
  <c r="L246" i="3"/>
  <c r="M246" i="3"/>
  <c r="N246" i="3"/>
  <c r="O246" i="3"/>
  <c r="P246" i="3"/>
  <c r="Q246" i="3"/>
  <c r="R246" i="3"/>
  <c r="S246" i="3"/>
  <c r="T246" i="3"/>
  <c r="U246" i="3"/>
  <c r="V246" i="3"/>
  <c r="W246" i="3"/>
  <c r="X246" i="3"/>
  <c r="Y246" i="3"/>
  <c r="Z246" i="3"/>
  <c r="AA246" i="3"/>
  <c r="AB246" i="3"/>
  <c r="AC246" i="3"/>
  <c r="AD246" i="3"/>
  <c r="AE246" i="3"/>
  <c r="AF246" i="3"/>
  <c r="AG246" i="3"/>
  <c r="AH246" i="3"/>
  <c r="AI246" i="3"/>
  <c r="AJ246" i="3"/>
  <c r="AK246" i="3"/>
  <c r="J247" i="3"/>
  <c r="K247" i="3"/>
  <c r="L247" i="3"/>
  <c r="M247" i="3"/>
  <c r="N247" i="3"/>
  <c r="O247" i="3"/>
  <c r="P247" i="3"/>
  <c r="Q247" i="3"/>
  <c r="R247" i="3"/>
  <c r="S247" i="3"/>
  <c r="T247" i="3"/>
  <c r="U247" i="3"/>
  <c r="V247" i="3"/>
  <c r="W247" i="3"/>
  <c r="X247" i="3"/>
  <c r="Y247" i="3"/>
  <c r="Z247" i="3"/>
  <c r="AA247" i="3"/>
  <c r="AB247" i="3"/>
  <c r="AC247" i="3"/>
  <c r="AD247" i="3"/>
  <c r="AE247" i="3"/>
  <c r="AF247" i="3"/>
  <c r="AG247" i="3"/>
  <c r="AH247" i="3"/>
  <c r="AI247" i="3"/>
  <c r="AJ247" i="3"/>
  <c r="AK247" i="3"/>
  <c r="J248" i="3"/>
  <c r="K248" i="3"/>
  <c r="L248" i="3"/>
  <c r="M248" i="3"/>
  <c r="N248" i="3"/>
  <c r="O248" i="3"/>
  <c r="P248" i="3"/>
  <c r="Q248" i="3"/>
  <c r="R248" i="3"/>
  <c r="S248" i="3"/>
  <c r="T248" i="3"/>
  <c r="U248" i="3"/>
  <c r="V248" i="3"/>
  <c r="W248" i="3"/>
  <c r="X248" i="3"/>
  <c r="Y248" i="3"/>
  <c r="Z248" i="3"/>
  <c r="AA248" i="3"/>
  <c r="AB248" i="3"/>
  <c r="AC248" i="3"/>
  <c r="AD248" i="3"/>
  <c r="AE248" i="3"/>
  <c r="AF248" i="3"/>
  <c r="AG248" i="3"/>
  <c r="AH248" i="3"/>
  <c r="AI248" i="3"/>
  <c r="AJ248" i="3"/>
  <c r="AK248" i="3"/>
  <c r="J249" i="3"/>
  <c r="K249" i="3"/>
  <c r="L249" i="3"/>
  <c r="M249" i="3"/>
  <c r="N249" i="3"/>
  <c r="O249" i="3"/>
  <c r="P249" i="3"/>
  <c r="Q249" i="3"/>
  <c r="R249" i="3"/>
  <c r="S249" i="3"/>
  <c r="T249" i="3"/>
  <c r="U249" i="3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AI249" i="3"/>
  <c r="AJ249" i="3"/>
  <c r="AK249" i="3"/>
  <c r="J250" i="3"/>
  <c r="K250" i="3"/>
  <c r="L250" i="3"/>
  <c r="M250" i="3"/>
  <c r="N250" i="3"/>
  <c r="O250" i="3"/>
  <c r="P250" i="3"/>
  <c r="Q250" i="3"/>
  <c r="R250" i="3"/>
  <c r="S250" i="3"/>
  <c r="T250" i="3"/>
  <c r="U250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AI250" i="3"/>
  <c r="AJ250" i="3"/>
  <c r="AK250" i="3"/>
  <c r="J251" i="3"/>
  <c r="K251" i="3"/>
  <c r="L251" i="3"/>
  <c r="M251" i="3"/>
  <c r="N251" i="3"/>
  <c r="O251" i="3"/>
  <c r="P251" i="3"/>
  <c r="Q251" i="3"/>
  <c r="R251" i="3"/>
  <c r="S251" i="3"/>
  <c r="T251" i="3"/>
  <c r="U251" i="3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AI251" i="3"/>
  <c r="AJ251" i="3"/>
  <c r="AK251" i="3"/>
  <c r="J252" i="3"/>
  <c r="K252" i="3"/>
  <c r="L252" i="3"/>
  <c r="M252" i="3"/>
  <c r="N252" i="3"/>
  <c r="O252" i="3"/>
  <c r="P252" i="3"/>
  <c r="Q252" i="3"/>
  <c r="R252" i="3"/>
  <c r="S252" i="3"/>
  <c r="T252" i="3"/>
  <c r="U252" i="3"/>
  <c r="V252" i="3"/>
  <c r="W252" i="3"/>
  <c r="X252" i="3"/>
  <c r="Y252" i="3"/>
  <c r="Z252" i="3"/>
  <c r="AA252" i="3"/>
  <c r="AB252" i="3"/>
  <c r="AC252" i="3"/>
  <c r="AD252" i="3"/>
  <c r="AE252" i="3"/>
  <c r="AF252" i="3"/>
  <c r="AG252" i="3"/>
  <c r="AH252" i="3"/>
  <c r="AI252" i="3"/>
  <c r="AJ252" i="3"/>
  <c r="AK252" i="3"/>
  <c r="J253" i="3"/>
  <c r="K253" i="3"/>
  <c r="L253" i="3"/>
  <c r="M253" i="3"/>
  <c r="N253" i="3"/>
  <c r="O253" i="3"/>
  <c r="P253" i="3"/>
  <c r="Q253" i="3"/>
  <c r="R253" i="3"/>
  <c r="S253" i="3"/>
  <c r="T253" i="3"/>
  <c r="U253" i="3"/>
  <c r="V253" i="3"/>
  <c r="W253" i="3"/>
  <c r="X253" i="3"/>
  <c r="Y253" i="3"/>
  <c r="Z253" i="3"/>
  <c r="AA253" i="3"/>
  <c r="AB253" i="3"/>
  <c r="AC253" i="3"/>
  <c r="AD253" i="3"/>
  <c r="AE253" i="3"/>
  <c r="AF253" i="3"/>
  <c r="AG253" i="3"/>
  <c r="AH253" i="3"/>
  <c r="AI253" i="3"/>
  <c r="AJ253" i="3"/>
  <c r="AK253" i="3"/>
  <c r="J254" i="3"/>
  <c r="K254" i="3"/>
  <c r="L254" i="3"/>
  <c r="M254" i="3"/>
  <c r="N254" i="3"/>
  <c r="O254" i="3"/>
  <c r="P254" i="3"/>
  <c r="Q254" i="3"/>
  <c r="R254" i="3"/>
  <c r="S254" i="3"/>
  <c r="T254" i="3"/>
  <c r="U254" i="3"/>
  <c r="V254" i="3"/>
  <c r="W254" i="3"/>
  <c r="X254" i="3"/>
  <c r="Y254" i="3"/>
  <c r="Z254" i="3"/>
  <c r="AA254" i="3"/>
  <c r="AB254" i="3"/>
  <c r="AC254" i="3"/>
  <c r="AD254" i="3"/>
  <c r="AE254" i="3"/>
  <c r="AF254" i="3"/>
  <c r="AG254" i="3"/>
  <c r="AH254" i="3"/>
  <c r="AI254" i="3"/>
  <c r="AJ254" i="3"/>
  <c r="AK254" i="3"/>
  <c r="J255" i="3"/>
  <c r="K255" i="3"/>
  <c r="L255" i="3"/>
  <c r="M255" i="3"/>
  <c r="N255" i="3"/>
  <c r="O255" i="3"/>
  <c r="P255" i="3"/>
  <c r="Q255" i="3"/>
  <c r="R255" i="3"/>
  <c r="S255" i="3"/>
  <c r="T255" i="3"/>
  <c r="U255" i="3"/>
  <c r="V255" i="3"/>
  <c r="W255" i="3"/>
  <c r="X255" i="3"/>
  <c r="Y255" i="3"/>
  <c r="Z255" i="3"/>
  <c r="AA255" i="3"/>
  <c r="AB255" i="3"/>
  <c r="AC255" i="3"/>
  <c r="AD255" i="3"/>
  <c r="AE255" i="3"/>
  <c r="AF255" i="3"/>
  <c r="AG255" i="3"/>
  <c r="AH255" i="3"/>
  <c r="AI255" i="3"/>
  <c r="AJ255" i="3"/>
  <c r="AK255" i="3"/>
  <c r="J256" i="3"/>
  <c r="K256" i="3"/>
  <c r="L256" i="3"/>
  <c r="M256" i="3"/>
  <c r="N256" i="3"/>
  <c r="O256" i="3"/>
  <c r="P256" i="3"/>
  <c r="Q256" i="3"/>
  <c r="R256" i="3"/>
  <c r="S256" i="3"/>
  <c r="T256" i="3"/>
  <c r="U256" i="3"/>
  <c r="V256" i="3"/>
  <c r="W256" i="3"/>
  <c r="X256" i="3"/>
  <c r="Y256" i="3"/>
  <c r="Z256" i="3"/>
  <c r="AA256" i="3"/>
  <c r="AB256" i="3"/>
  <c r="AC256" i="3"/>
  <c r="AD256" i="3"/>
  <c r="AE256" i="3"/>
  <c r="AF256" i="3"/>
  <c r="AG256" i="3"/>
  <c r="AH256" i="3"/>
  <c r="AI256" i="3"/>
  <c r="AJ256" i="3"/>
  <c r="AK256" i="3"/>
  <c r="J257" i="3"/>
  <c r="K257" i="3"/>
  <c r="L257" i="3"/>
  <c r="M257" i="3"/>
  <c r="N257" i="3"/>
  <c r="O257" i="3"/>
  <c r="P257" i="3"/>
  <c r="Q257" i="3"/>
  <c r="R257" i="3"/>
  <c r="S257" i="3"/>
  <c r="T257" i="3"/>
  <c r="U257" i="3"/>
  <c r="V257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AI257" i="3"/>
  <c r="AJ257" i="3"/>
  <c r="AK257" i="3"/>
  <c r="J258" i="3"/>
  <c r="K258" i="3"/>
  <c r="L258" i="3"/>
  <c r="M258" i="3"/>
  <c r="N258" i="3"/>
  <c r="O258" i="3"/>
  <c r="P258" i="3"/>
  <c r="Q258" i="3"/>
  <c r="R258" i="3"/>
  <c r="S258" i="3"/>
  <c r="T258" i="3"/>
  <c r="U258" i="3"/>
  <c r="V258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AI258" i="3"/>
  <c r="AJ258" i="3"/>
  <c r="AK258" i="3"/>
  <c r="J259" i="3"/>
  <c r="K259" i="3"/>
  <c r="L259" i="3"/>
  <c r="M259" i="3"/>
  <c r="N259" i="3"/>
  <c r="O259" i="3"/>
  <c r="P259" i="3"/>
  <c r="Q259" i="3"/>
  <c r="R259" i="3"/>
  <c r="S259" i="3"/>
  <c r="T259" i="3"/>
  <c r="U259" i="3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AI259" i="3"/>
  <c r="AJ259" i="3"/>
  <c r="AK259" i="3"/>
  <c r="J260" i="3"/>
  <c r="K260" i="3"/>
  <c r="L260" i="3"/>
  <c r="M260" i="3"/>
  <c r="N260" i="3"/>
  <c r="O260" i="3"/>
  <c r="P260" i="3"/>
  <c r="Q260" i="3"/>
  <c r="R260" i="3"/>
  <c r="S260" i="3"/>
  <c r="T260" i="3"/>
  <c r="U260" i="3"/>
  <c r="V260" i="3"/>
  <c r="W260" i="3"/>
  <c r="X260" i="3"/>
  <c r="Y260" i="3"/>
  <c r="Z260" i="3"/>
  <c r="AA260" i="3"/>
  <c r="AB260" i="3"/>
  <c r="AC260" i="3"/>
  <c r="AD260" i="3"/>
  <c r="AE260" i="3"/>
  <c r="AF260" i="3"/>
  <c r="AG260" i="3"/>
  <c r="AH260" i="3"/>
  <c r="AI260" i="3"/>
  <c r="AJ260" i="3"/>
  <c r="AK260" i="3"/>
  <c r="J261" i="3"/>
  <c r="K261" i="3"/>
  <c r="L261" i="3"/>
  <c r="M261" i="3"/>
  <c r="N261" i="3"/>
  <c r="O261" i="3"/>
  <c r="P261" i="3"/>
  <c r="Q261" i="3"/>
  <c r="R261" i="3"/>
  <c r="S261" i="3"/>
  <c r="T261" i="3"/>
  <c r="U261" i="3"/>
  <c r="V261" i="3"/>
  <c r="W261" i="3"/>
  <c r="X261" i="3"/>
  <c r="Y261" i="3"/>
  <c r="Z261" i="3"/>
  <c r="AA261" i="3"/>
  <c r="AB261" i="3"/>
  <c r="AC261" i="3"/>
  <c r="AD261" i="3"/>
  <c r="AE261" i="3"/>
  <c r="AF261" i="3"/>
  <c r="AG261" i="3"/>
  <c r="AH261" i="3"/>
  <c r="AI261" i="3"/>
  <c r="AJ261" i="3"/>
  <c r="AK261" i="3"/>
  <c r="J262" i="3"/>
  <c r="K262" i="3"/>
  <c r="L262" i="3"/>
  <c r="M262" i="3"/>
  <c r="N262" i="3"/>
  <c r="O262" i="3"/>
  <c r="P262" i="3"/>
  <c r="Q262" i="3"/>
  <c r="R262" i="3"/>
  <c r="S262" i="3"/>
  <c r="T262" i="3"/>
  <c r="U262" i="3"/>
  <c r="V262" i="3"/>
  <c r="W262" i="3"/>
  <c r="X262" i="3"/>
  <c r="Y262" i="3"/>
  <c r="Z262" i="3"/>
  <c r="AA262" i="3"/>
  <c r="AB262" i="3"/>
  <c r="AC262" i="3"/>
  <c r="AD262" i="3"/>
  <c r="AE262" i="3"/>
  <c r="AF262" i="3"/>
  <c r="AG262" i="3"/>
  <c r="AH262" i="3"/>
  <c r="AI262" i="3"/>
  <c r="AJ262" i="3"/>
  <c r="AK262" i="3"/>
  <c r="J263" i="3"/>
  <c r="K263" i="3"/>
  <c r="L263" i="3"/>
  <c r="M263" i="3"/>
  <c r="N263" i="3"/>
  <c r="O263" i="3"/>
  <c r="P263" i="3"/>
  <c r="Q263" i="3"/>
  <c r="R263" i="3"/>
  <c r="S263" i="3"/>
  <c r="T263" i="3"/>
  <c r="U263" i="3"/>
  <c r="V263" i="3"/>
  <c r="W263" i="3"/>
  <c r="X263" i="3"/>
  <c r="Y263" i="3"/>
  <c r="Z263" i="3"/>
  <c r="AA263" i="3"/>
  <c r="AB263" i="3"/>
  <c r="AC263" i="3"/>
  <c r="AD263" i="3"/>
  <c r="AE263" i="3"/>
  <c r="AF263" i="3"/>
  <c r="AG263" i="3"/>
  <c r="AH263" i="3"/>
  <c r="AI263" i="3"/>
  <c r="AJ263" i="3"/>
  <c r="AK263" i="3"/>
  <c r="J264" i="3"/>
  <c r="K264" i="3"/>
  <c r="L264" i="3"/>
  <c r="M264" i="3"/>
  <c r="N264" i="3"/>
  <c r="O264" i="3"/>
  <c r="P264" i="3"/>
  <c r="Q264" i="3"/>
  <c r="R264" i="3"/>
  <c r="S264" i="3"/>
  <c r="T264" i="3"/>
  <c r="U264" i="3"/>
  <c r="V264" i="3"/>
  <c r="W264" i="3"/>
  <c r="X264" i="3"/>
  <c r="Y264" i="3"/>
  <c r="Z264" i="3"/>
  <c r="AA264" i="3"/>
  <c r="AB264" i="3"/>
  <c r="AC264" i="3"/>
  <c r="AD264" i="3"/>
  <c r="AE264" i="3"/>
  <c r="AF264" i="3"/>
  <c r="AG264" i="3"/>
  <c r="AH264" i="3"/>
  <c r="AI264" i="3"/>
  <c r="AJ264" i="3"/>
  <c r="AK264" i="3"/>
  <c r="J265" i="3"/>
  <c r="K265" i="3"/>
  <c r="L265" i="3"/>
  <c r="M265" i="3"/>
  <c r="N265" i="3"/>
  <c r="O265" i="3"/>
  <c r="P265" i="3"/>
  <c r="Q265" i="3"/>
  <c r="R265" i="3"/>
  <c r="S265" i="3"/>
  <c r="T265" i="3"/>
  <c r="U265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AJ265" i="3"/>
  <c r="AK265" i="3"/>
  <c r="J266" i="3"/>
  <c r="K266" i="3"/>
  <c r="L266" i="3"/>
  <c r="M266" i="3"/>
  <c r="N266" i="3"/>
  <c r="O266" i="3"/>
  <c r="P266" i="3"/>
  <c r="Q266" i="3"/>
  <c r="R266" i="3"/>
  <c r="S266" i="3"/>
  <c r="T266" i="3"/>
  <c r="U266" i="3"/>
  <c r="V266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AI266" i="3"/>
  <c r="AJ266" i="3"/>
  <c r="AK266" i="3"/>
  <c r="J267" i="3"/>
  <c r="K267" i="3"/>
  <c r="L267" i="3"/>
  <c r="M267" i="3"/>
  <c r="N267" i="3"/>
  <c r="O267" i="3"/>
  <c r="P267" i="3"/>
  <c r="Q267" i="3"/>
  <c r="R267" i="3"/>
  <c r="S267" i="3"/>
  <c r="T267" i="3"/>
  <c r="U267" i="3"/>
  <c r="V267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AI267" i="3"/>
  <c r="AJ267" i="3"/>
  <c r="AK267" i="3"/>
  <c r="J268" i="3"/>
  <c r="K268" i="3"/>
  <c r="L268" i="3"/>
  <c r="M268" i="3"/>
  <c r="N268" i="3"/>
  <c r="O268" i="3"/>
  <c r="P268" i="3"/>
  <c r="Q268" i="3"/>
  <c r="R268" i="3"/>
  <c r="S268" i="3"/>
  <c r="T268" i="3"/>
  <c r="U268" i="3"/>
  <c r="V268" i="3"/>
  <c r="W268" i="3"/>
  <c r="X268" i="3"/>
  <c r="Y268" i="3"/>
  <c r="Z268" i="3"/>
  <c r="AA268" i="3"/>
  <c r="AB268" i="3"/>
  <c r="AC268" i="3"/>
  <c r="AD268" i="3"/>
  <c r="AE268" i="3"/>
  <c r="AF268" i="3"/>
  <c r="AG268" i="3"/>
  <c r="AH268" i="3"/>
  <c r="AI268" i="3"/>
  <c r="AJ268" i="3"/>
  <c r="AK268" i="3"/>
  <c r="J269" i="3"/>
  <c r="K269" i="3"/>
  <c r="L269" i="3"/>
  <c r="M269" i="3"/>
  <c r="N269" i="3"/>
  <c r="O269" i="3"/>
  <c r="P269" i="3"/>
  <c r="Q269" i="3"/>
  <c r="R269" i="3"/>
  <c r="S269" i="3"/>
  <c r="T269" i="3"/>
  <c r="U269" i="3"/>
  <c r="V269" i="3"/>
  <c r="W269" i="3"/>
  <c r="X269" i="3"/>
  <c r="Y269" i="3"/>
  <c r="Z269" i="3"/>
  <c r="AA269" i="3"/>
  <c r="AB269" i="3"/>
  <c r="AC269" i="3"/>
  <c r="AD269" i="3"/>
  <c r="AE269" i="3"/>
  <c r="AF269" i="3"/>
  <c r="AG269" i="3"/>
  <c r="AH269" i="3"/>
  <c r="AI269" i="3"/>
  <c r="AJ269" i="3"/>
  <c r="AK269" i="3"/>
  <c r="J270" i="3"/>
  <c r="K270" i="3"/>
  <c r="L270" i="3"/>
  <c r="M270" i="3"/>
  <c r="N270" i="3"/>
  <c r="O270" i="3"/>
  <c r="P270" i="3"/>
  <c r="Q270" i="3"/>
  <c r="R270" i="3"/>
  <c r="S270" i="3"/>
  <c r="T270" i="3"/>
  <c r="U270" i="3"/>
  <c r="V270" i="3"/>
  <c r="W270" i="3"/>
  <c r="X270" i="3"/>
  <c r="Y270" i="3"/>
  <c r="Z270" i="3"/>
  <c r="AA270" i="3"/>
  <c r="AB270" i="3"/>
  <c r="AC270" i="3"/>
  <c r="AD270" i="3"/>
  <c r="AE270" i="3"/>
  <c r="AF270" i="3"/>
  <c r="AG270" i="3"/>
  <c r="AH270" i="3"/>
  <c r="AI270" i="3"/>
  <c r="AJ270" i="3"/>
  <c r="AK270" i="3"/>
  <c r="J271" i="3"/>
  <c r="K271" i="3"/>
  <c r="L271" i="3"/>
  <c r="M271" i="3"/>
  <c r="N271" i="3"/>
  <c r="O271" i="3"/>
  <c r="P271" i="3"/>
  <c r="Q271" i="3"/>
  <c r="R271" i="3"/>
  <c r="S271" i="3"/>
  <c r="T271" i="3"/>
  <c r="U271" i="3"/>
  <c r="V271" i="3"/>
  <c r="W271" i="3"/>
  <c r="X271" i="3"/>
  <c r="Y271" i="3"/>
  <c r="Z271" i="3"/>
  <c r="AA271" i="3"/>
  <c r="AB271" i="3"/>
  <c r="AC271" i="3"/>
  <c r="AD271" i="3"/>
  <c r="AE271" i="3"/>
  <c r="AF271" i="3"/>
  <c r="AG271" i="3"/>
  <c r="AH271" i="3"/>
  <c r="AI271" i="3"/>
  <c r="AJ271" i="3"/>
  <c r="AK271" i="3"/>
  <c r="J272" i="3"/>
  <c r="K272" i="3"/>
  <c r="L272" i="3"/>
  <c r="M272" i="3"/>
  <c r="N272" i="3"/>
  <c r="O272" i="3"/>
  <c r="P272" i="3"/>
  <c r="Q272" i="3"/>
  <c r="R272" i="3"/>
  <c r="S272" i="3"/>
  <c r="T272" i="3"/>
  <c r="U272" i="3"/>
  <c r="V272" i="3"/>
  <c r="W272" i="3"/>
  <c r="X272" i="3"/>
  <c r="Y272" i="3"/>
  <c r="Z272" i="3"/>
  <c r="AA272" i="3"/>
  <c r="AB272" i="3"/>
  <c r="AC272" i="3"/>
  <c r="AD272" i="3"/>
  <c r="AE272" i="3"/>
  <c r="AF272" i="3"/>
  <c r="AG272" i="3"/>
  <c r="AH272" i="3"/>
  <c r="AI272" i="3"/>
  <c r="AJ272" i="3"/>
  <c r="AK272" i="3"/>
  <c r="J273" i="3"/>
  <c r="K273" i="3"/>
  <c r="L273" i="3"/>
  <c r="M273" i="3"/>
  <c r="N273" i="3"/>
  <c r="O273" i="3"/>
  <c r="P273" i="3"/>
  <c r="Q273" i="3"/>
  <c r="R273" i="3"/>
  <c r="S273" i="3"/>
  <c r="T273" i="3"/>
  <c r="U273" i="3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AI273" i="3"/>
  <c r="AJ273" i="3"/>
  <c r="AK273" i="3"/>
  <c r="J274" i="3"/>
  <c r="K274" i="3"/>
  <c r="L274" i="3"/>
  <c r="M274" i="3"/>
  <c r="N274" i="3"/>
  <c r="O274" i="3"/>
  <c r="P274" i="3"/>
  <c r="Q274" i="3"/>
  <c r="R274" i="3"/>
  <c r="S274" i="3"/>
  <c r="T274" i="3"/>
  <c r="U274" i="3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AI274" i="3"/>
  <c r="AJ274" i="3"/>
  <c r="AK274" i="3"/>
  <c r="J275" i="3"/>
  <c r="K275" i="3"/>
  <c r="L275" i="3"/>
  <c r="M275" i="3"/>
  <c r="N275" i="3"/>
  <c r="O275" i="3"/>
  <c r="P275" i="3"/>
  <c r="Q275" i="3"/>
  <c r="R275" i="3"/>
  <c r="S275" i="3"/>
  <c r="T275" i="3"/>
  <c r="U275" i="3"/>
  <c r="V275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AI275" i="3"/>
  <c r="AJ275" i="3"/>
  <c r="AK275" i="3"/>
  <c r="J276" i="3"/>
  <c r="K276" i="3"/>
  <c r="L276" i="3"/>
  <c r="M276" i="3"/>
  <c r="N276" i="3"/>
  <c r="O276" i="3"/>
  <c r="P276" i="3"/>
  <c r="Q276" i="3"/>
  <c r="R276" i="3"/>
  <c r="S276" i="3"/>
  <c r="T276" i="3"/>
  <c r="U276" i="3"/>
  <c r="V276" i="3"/>
  <c r="W276" i="3"/>
  <c r="X276" i="3"/>
  <c r="Y276" i="3"/>
  <c r="Z276" i="3"/>
  <c r="AA276" i="3"/>
  <c r="AB276" i="3"/>
  <c r="AC276" i="3"/>
  <c r="AD276" i="3"/>
  <c r="AE276" i="3"/>
  <c r="AF276" i="3"/>
  <c r="AG276" i="3"/>
  <c r="AH276" i="3"/>
  <c r="AI276" i="3"/>
  <c r="AJ276" i="3"/>
  <c r="AK276" i="3"/>
  <c r="J277" i="3"/>
  <c r="K277" i="3"/>
  <c r="L277" i="3"/>
  <c r="M277" i="3"/>
  <c r="N277" i="3"/>
  <c r="O277" i="3"/>
  <c r="P277" i="3"/>
  <c r="Q277" i="3"/>
  <c r="R277" i="3"/>
  <c r="S277" i="3"/>
  <c r="T277" i="3"/>
  <c r="U277" i="3"/>
  <c r="V277" i="3"/>
  <c r="W277" i="3"/>
  <c r="X277" i="3"/>
  <c r="Y277" i="3"/>
  <c r="Z277" i="3"/>
  <c r="AA277" i="3"/>
  <c r="AB277" i="3"/>
  <c r="AC277" i="3"/>
  <c r="AD277" i="3"/>
  <c r="AE277" i="3"/>
  <c r="AF277" i="3"/>
  <c r="AG277" i="3"/>
  <c r="AH277" i="3"/>
  <c r="AI277" i="3"/>
  <c r="AJ277" i="3"/>
  <c r="AK277" i="3"/>
  <c r="J278" i="3"/>
  <c r="K278" i="3"/>
  <c r="L278" i="3"/>
  <c r="M278" i="3"/>
  <c r="N278" i="3"/>
  <c r="O278" i="3"/>
  <c r="P278" i="3"/>
  <c r="Q278" i="3"/>
  <c r="R278" i="3"/>
  <c r="S278" i="3"/>
  <c r="T278" i="3"/>
  <c r="U278" i="3"/>
  <c r="V278" i="3"/>
  <c r="W278" i="3"/>
  <c r="X278" i="3"/>
  <c r="Y278" i="3"/>
  <c r="Z278" i="3"/>
  <c r="AA278" i="3"/>
  <c r="AB278" i="3"/>
  <c r="AC278" i="3"/>
  <c r="AD278" i="3"/>
  <c r="AE278" i="3"/>
  <c r="AF278" i="3"/>
  <c r="AG278" i="3"/>
  <c r="AH278" i="3"/>
  <c r="AI278" i="3"/>
  <c r="AJ278" i="3"/>
  <c r="AK278" i="3"/>
  <c r="J279" i="3"/>
  <c r="K279" i="3"/>
  <c r="L279" i="3"/>
  <c r="M279" i="3"/>
  <c r="N279" i="3"/>
  <c r="O279" i="3"/>
  <c r="P279" i="3"/>
  <c r="Q279" i="3"/>
  <c r="R279" i="3"/>
  <c r="S279" i="3"/>
  <c r="T279" i="3"/>
  <c r="U279" i="3"/>
  <c r="V279" i="3"/>
  <c r="W279" i="3"/>
  <c r="X279" i="3"/>
  <c r="Y279" i="3"/>
  <c r="Z279" i="3"/>
  <c r="AA279" i="3"/>
  <c r="AB279" i="3"/>
  <c r="AC279" i="3"/>
  <c r="AD279" i="3"/>
  <c r="AE279" i="3"/>
  <c r="AF279" i="3"/>
  <c r="AG279" i="3"/>
  <c r="AH279" i="3"/>
  <c r="AI279" i="3"/>
  <c r="AJ279" i="3"/>
  <c r="AK279" i="3"/>
  <c r="J280" i="3"/>
  <c r="K280" i="3"/>
  <c r="L280" i="3"/>
  <c r="M280" i="3"/>
  <c r="N280" i="3"/>
  <c r="O280" i="3"/>
  <c r="P280" i="3"/>
  <c r="Q280" i="3"/>
  <c r="R280" i="3"/>
  <c r="S280" i="3"/>
  <c r="T280" i="3"/>
  <c r="U280" i="3"/>
  <c r="V280" i="3"/>
  <c r="W280" i="3"/>
  <c r="X280" i="3"/>
  <c r="Y280" i="3"/>
  <c r="Z280" i="3"/>
  <c r="AA280" i="3"/>
  <c r="AB280" i="3"/>
  <c r="AC280" i="3"/>
  <c r="AD280" i="3"/>
  <c r="AE280" i="3"/>
  <c r="AF280" i="3"/>
  <c r="AG280" i="3"/>
  <c r="AH280" i="3"/>
  <c r="AI280" i="3"/>
  <c r="AJ280" i="3"/>
  <c r="AK280" i="3"/>
  <c r="J281" i="3"/>
  <c r="K281" i="3"/>
  <c r="L281" i="3"/>
  <c r="M281" i="3"/>
  <c r="N281" i="3"/>
  <c r="O281" i="3"/>
  <c r="P281" i="3"/>
  <c r="Q281" i="3"/>
  <c r="R281" i="3"/>
  <c r="S281" i="3"/>
  <c r="T281" i="3"/>
  <c r="U281" i="3"/>
  <c r="V281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AI281" i="3"/>
  <c r="AJ281" i="3"/>
  <c r="AK281" i="3"/>
  <c r="J282" i="3"/>
  <c r="K282" i="3"/>
  <c r="L282" i="3"/>
  <c r="M282" i="3"/>
  <c r="N282" i="3"/>
  <c r="O282" i="3"/>
  <c r="P282" i="3"/>
  <c r="Q282" i="3"/>
  <c r="R282" i="3"/>
  <c r="S282" i="3"/>
  <c r="T282" i="3"/>
  <c r="U282" i="3"/>
  <c r="V282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AI282" i="3"/>
  <c r="AJ282" i="3"/>
  <c r="AK282" i="3"/>
  <c r="J283" i="3"/>
  <c r="K283" i="3"/>
  <c r="L283" i="3"/>
  <c r="M283" i="3"/>
  <c r="N283" i="3"/>
  <c r="O283" i="3"/>
  <c r="P283" i="3"/>
  <c r="Q283" i="3"/>
  <c r="R283" i="3"/>
  <c r="S283" i="3"/>
  <c r="T283" i="3"/>
  <c r="U283" i="3"/>
  <c r="V283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AI283" i="3"/>
  <c r="AJ283" i="3"/>
  <c r="AK283" i="3"/>
  <c r="J284" i="3"/>
  <c r="K284" i="3"/>
  <c r="L284" i="3"/>
  <c r="M284" i="3"/>
  <c r="N284" i="3"/>
  <c r="O284" i="3"/>
  <c r="P284" i="3"/>
  <c r="Q284" i="3"/>
  <c r="R284" i="3"/>
  <c r="S284" i="3"/>
  <c r="T284" i="3"/>
  <c r="U284" i="3"/>
  <c r="V284" i="3"/>
  <c r="W284" i="3"/>
  <c r="X284" i="3"/>
  <c r="Y284" i="3"/>
  <c r="Z284" i="3"/>
  <c r="AA284" i="3"/>
  <c r="AA285" i="3" s="1"/>
  <c r="AA286" i="3" s="1"/>
  <c r="AA287" i="3" s="1"/>
  <c r="AA288" i="3" s="1"/>
  <c r="AA289" i="3" s="1"/>
  <c r="AA290" i="3" s="1"/>
  <c r="AA291" i="3" s="1"/>
  <c r="AA292" i="3" s="1"/>
  <c r="AA293" i="3" s="1"/>
  <c r="AA294" i="3" s="1"/>
  <c r="AA295" i="3" s="1"/>
  <c r="AA296" i="3" s="1"/>
  <c r="AA297" i="3" s="1"/>
  <c r="AA298" i="3" s="1"/>
  <c r="AA299" i="3" s="1"/>
  <c r="AA300" i="3" s="1"/>
  <c r="AA301" i="3" s="1"/>
  <c r="AA302" i="3" s="1"/>
  <c r="AA303" i="3" s="1"/>
  <c r="AA304" i="3" s="1"/>
  <c r="AA305" i="3" s="1"/>
  <c r="AA306" i="3" s="1"/>
  <c r="AA307" i="3" s="1"/>
  <c r="AA308" i="3" s="1"/>
  <c r="AA309" i="3" s="1"/>
  <c r="AA310" i="3" s="1"/>
  <c r="AA311" i="3" s="1"/>
  <c r="AB284" i="3"/>
  <c r="AC284" i="3"/>
  <c r="AC285" i="3" s="1"/>
  <c r="AC286" i="3" s="1"/>
  <c r="AC287" i="3" s="1"/>
  <c r="AC288" i="3" s="1"/>
  <c r="AC289" i="3" s="1"/>
  <c r="AC290" i="3" s="1"/>
  <c r="AC291" i="3" s="1"/>
  <c r="AC292" i="3" s="1"/>
  <c r="AC293" i="3" s="1"/>
  <c r="AC294" i="3" s="1"/>
  <c r="AC295" i="3" s="1"/>
  <c r="AC296" i="3" s="1"/>
  <c r="AC297" i="3" s="1"/>
  <c r="AC298" i="3" s="1"/>
  <c r="AC299" i="3" s="1"/>
  <c r="AC300" i="3" s="1"/>
  <c r="AC301" i="3" s="1"/>
  <c r="AC302" i="3" s="1"/>
  <c r="AC303" i="3" s="1"/>
  <c r="AC304" i="3" s="1"/>
  <c r="AC305" i="3" s="1"/>
  <c r="AC306" i="3" s="1"/>
  <c r="AC307" i="3" s="1"/>
  <c r="AC308" i="3" s="1"/>
  <c r="AC309" i="3" s="1"/>
  <c r="AC310" i="3" s="1"/>
  <c r="AC311" i="3" s="1"/>
  <c r="AC312" i="3" s="1"/>
  <c r="AC313" i="3" s="1"/>
  <c r="AC314" i="3" s="1"/>
  <c r="AC315" i="3" s="1"/>
  <c r="AC316" i="3" s="1"/>
  <c r="AC317" i="3" s="1"/>
  <c r="AC318" i="3" s="1"/>
  <c r="AC319" i="3" s="1"/>
  <c r="AC320" i="3" s="1"/>
  <c r="AC321" i="3" s="1"/>
  <c r="AC322" i="3" s="1"/>
  <c r="AC323" i="3" s="1"/>
  <c r="AC324" i="3" s="1"/>
  <c r="AC325" i="3" s="1"/>
  <c r="AC326" i="3" s="1"/>
  <c r="AC327" i="3" s="1"/>
  <c r="AC328" i="3" s="1"/>
  <c r="AC329" i="3" s="1"/>
  <c r="AC330" i="3" s="1"/>
  <c r="AC331" i="3" s="1"/>
  <c r="AD284" i="3"/>
  <c r="AE284" i="3"/>
  <c r="AF284" i="3"/>
  <c r="AG284" i="3"/>
  <c r="AG285" i="3" s="1"/>
  <c r="AG286" i="3" s="1"/>
  <c r="AG287" i="3" s="1"/>
  <c r="AG288" i="3" s="1"/>
  <c r="AG289" i="3" s="1"/>
  <c r="AG290" i="3" s="1"/>
  <c r="AG291" i="3" s="1"/>
  <c r="AG292" i="3" s="1"/>
  <c r="AG293" i="3" s="1"/>
  <c r="AG294" i="3" s="1"/>
  <c r="AG295" i="3" s="1"/>
  <c r="AG296" i="3" s="1"/>
  <c r="AG297" i="3" s="1"/>
  <c r="AG298" i="3" s="1"/>
  <c r="AG299" i="3" s="1"/>
  <c r="AG300" i="3" s="1"/>
  <c r="AG301" i="3" s="1"/>
  <c r="AG302" i="3" s="1"/>
  <c r="AG303" i="3" s="1"/>
  <c r="AG304" i="3" s="1"/>
  <c r="AG305" i="3" s="1"/>
  <c r="AG306" i="3" s="1"/>
  <c r="AG307" i="3" s="1"/>
  <c r="AG308" i="3" s="1"/>
  <c r="AG309" i="3" s="1"/>
  <c r="AG310" i="3" s="1"/>
  <c r="AG311" i="3" s="1"/>
  <c r="AG312" i="3" s="1"/>
  <c r="AG313" i="3" s="1"/>
  <c r="AG314" i="3" s="1"/>
  <c r="AG315" i="3" s="1"/>
  <c r="AG316" i="3" s="1"/>
  <c r="AG317" i="3" s="1"/>
  <c r="AG318" i="3" s="1"/>
  <c r="AG319" i="3" s="1"/>
  <c r="AG320" i="3" s="1"/>
  <c r="AG321" i="3" s="1"/>
  <c r="AG322" i="3" s="1"/>
  <c r="AG323" i="3" s="1"/>
  <c r="AG324" i="3" s="1"/>
  <c r="AG325" i="3" s="1"/>
  <c r="AG326" i="3" s="1"/>
  <c r="AG327" i="3" s="1"/>
  <c r="AG328" i="3" s="1"/>
  <c r="AG329" i="3" s="1"/>
  <c r="AG330" i="3" s="1"/>
  <c r="AG331" i="3" s="1"/>
  <c r="AH284" i="3"/>
  <c r="AI284" i="3"/>
  <c r="AJ284" i="3"/>
  <c r="AK284" i="3"/>
  <c r="AK285" i="3" s="1"/>
  <c r="AK286" i="3" s="1"/>
  <c r="AK287" i="3" s="1"/>
  <c r="AK288" i="3" s="1"/>
  <c r="AK289" i="3" s="1"/>
  <c r="AK290" i="3" s="1"/>
  <c r="AK291" i="3" s="1"/>
  <c r="AK292" i="3" s="1"/>
  <c r="AK293" i="3" s="1"/>
  <c r="AK294" i="3" s="1"/>
  <c r="AK295" i="3" s="1"/>
  <c r="AK296" i="3" s="1"/>
  <c r="AK297" i="3" s="1"/>
  <c r="AK298" i="3" s="1"/>
  <c r="AK299" i="3" s="1"/>
  <c r="AK300" i="3" s="1"/>
  <c r="AK301" i="3" s="1"/>
  <c r="AK302" i="3" s="1"/>
  <c r="AK303" i="3" s="1"/>
  <c r="AK304" i="3" s="1"/>
  <c r="AK305" i="3" s="1"/>
  <c r="AK306" i="3" s="1"/>
  <c r="AK307" i="3" s="1"/>
  <c r="AK308" i="3" s="1"/>
  <c r="AK309" i="3" s="1"/>
  <c r="AK310" i="3" s="1"/>
  <c r="AK311" i="3" s="1"/>
  <c r="AK312" i="3" s="1"/>
  <c r="AK313" i="3" s="1"/>
  <c r="AK314" i="3" s="1"/>
  <c r="AK315" i="3" s="1"/>
  <c r="AK316" i="3" s="1"/>
  <c r="AK317" i="3" s="1"/>
  <c r="AK318" i="3" s="1"/>
  <c r="AK319" i="3" s="1"/>
  <c r="AK320" i="3" s="1"/>
  <c r="AK321" i="3" s="1"/>
  <c r="AK322" i="3" s="1"/>
  <c r="AK323" i="3" s="1"/>
  <c r="AK324" i="3" s="1"/>
  <c r="AK325" i="3" s="1"/>
  <c r="AK326" i="3" s="1"/>
  <c r="AK327" i="3" s="1"/>
  <c r="AK328" i="3" s="1"/>
  <c r="AK329" i="3" s="1"/>
  <c r="AK330" i="3" s="1"/>
  <c r="AK331" i="3" s="1"/>
  <c r="J285" i="3"/>
  <c r="K285" i="3"/>
  <c r="L285" i="3"/>
  <c r="M285" i="3"/>
  <c r="M286" i="3" s="1"/>
  <c r="M287" i="3" s="1"/>
  <c r="M288" i="3" s="1"/>
  <c r="M289" i="3" s="1"/>
  <c r="M290" i="3" s="1"/>
  <c r="M291" i="3" s="1"/>
  <c r="M292" i="3" s="1"/>
  <c r="M293" i="3" s="1"/>
  <c r="M294" i="3" s="1"/>
  <c r="M295" i="3" s="1"/>
  <c r="M296" i="3" s="1"/>
  <c r="M297" i="3" s="1"/>
  <c r="M298" i="3" s="1"/>
  <c r="M299" i="3" s="1"/>
  <c r="M300" i="3" s="1"/>
  <c r="M301" i="3" s="1"/>
  <c r="M302" i="3" s="1"/>
  <c r="M303" i="3" s="1"/>
  <c r="M304" i="3" s="1"/>
  <c r="M305" i="3" s="1"/>
  <c r="M306" i="3" s="1"/>
  <c r="M307" i="3" s="1"/>
  <c r="M308" i="3" s="1"/>
  <c r="M309" i="3" s="1"/>
  <c r="M310" i="3" s="1"/>
  <c r="M311" i="3" s="1"/>
  <c r="M312" i="3" s="1"/>
  <c r="M313" i="3" s="1"/>
  <c r="M314" i="3" s="1"/>
  <c r="M315" i="3" s="1"/>
  <c r="M316" i="3" s="1"/>
  <c r="M317" i="3" s="1"/>
  <c r="M318" i="3" s="1"/>
  <c r="M319" i="3" s="1"/>
  <c r="M320" i="3" s="1"/>
  <c r="M321" i="3" s="1"/>
  <c r="M322" i="3" s="1"/>
  <c r="M323" i="3" s="1"/>
  <c r="M324" i="3" s="1"/>
  <c r="M325" i="3" s="1"/>
  <c r="M326" i="3" s="1"/>
  <c r="M327" i="3" s="1"/>
  <c r="M328" i="3" s="1"/>
  <c r="M329" i="3" s="1"/>
  <c r="M330" i="3" s="1"/>
  <c r="M331" i="3" s="1"/>
  <c r="N285" i="3"/>
  <c r="O285" i="3"/>
  <c r="P285" i="3"/>
  <c r="Q285" i="3"/>
  <c r="Q286" i="3" s="1"/>
  <c r="Q287" i="3" s="1"/>
  <c r="Q288" i="3" s="1"/>
  <c r="Q289" i="3" s="1"/>
  <c r="Q290" i="3" s="1"/>
  <c r="Q291" i="3" s="1"/>
  <c r="Q292" i="3" s="1"/>
  <c r="Q293" i="3" s="1"/>
  <c r="Q294" i="3" s="1"/>
  <c r="Q295" i="3" s="1"/>
  <c r="Q296" i="3" s="1"/>
  <c r="Q297" i="3" s="1"/>
  <c r="Q298" i="3" s="1"/>
  <c r="Q299" i="3" s="1"/>
  <c r="Q300" i="3" s="1"/>
  <c r="Q301" i="3" s="1"/>
  <c r="Q302" i="3" s="1"/>
  <c r="Q303" i="3" s="1"/>
  <c r="Q304" i="3" s="1"/>
  <c r="Q305" i="3" s="1"/>
  <c r="Q306" i="3" s="1"/>
  <c r="Q307" i="3" s="1"/>
  <c r="Q308" i="3" s="1"/>
  <c r="Q309" i="3" s="1"/>
  <c r="Q310" i="3" s="1"/>
  <c r="Q311" i="3" s="1"/>
  <c r="Q312" i="3" s="1"/>
  <c r="Q313" i="3" s="1"/>
  <c r="Q314" i="3" s="1"/>
  <c r="Q315" i="3" s="1"/>
  <c r="Q316" i="3" s="1"/>
  <c r="Q317" i="3" s="1"/>
  <c r="Q318" i="3" s="1"/>
  <c r="Q319" i="3" s="1"/>
  <c r="Q320" i="3" s="1"/>
  <c r="Q321" i="3" s="1"/>
  <c r="Q322" i="3" s="1"/>
  <c r="Q323" i="3" s="1"/>
  <c r="Q324" i="3" s="1"/>
  <c r="Q325" i="3" s="1"/>
  <c r="Q326" i="3" s="1"/>
  <c r="Q327" i="3" s="1"/>
  <c r="Q328" i="3" s="1"/>
  <c r="Q329" i="3" s="1"/>
  <c r="Q330" i="3" s="1"/>
  <c r="Q331" i="3" s="1"/>
  <c r="R285" i="3"/>
  <c r="S285" i="3"/>
  <c r="T285" i="3"/>
  <c r="U285" i="3"/>
  <c r="U286" i="3" s="1"/>
  <c r="U287" i="3" s="1"/>
  <c r="U288" i="3" s="1"/>
  <c r="U289" i="3" s="1"/>
  <c r="U290" i="3" s="1"/>
  <c r="U291" i="3" s="1"/>
  <c r="U292" i="3" s="1"/>
  <c r="U293" i="3" s="1"/>
  <c r="U294" i="3" s="1"/>
  <c r="U295" i="3" s="1"/>
  <c r="U296" i="3" s="1"/>
  <c r="U297" i="3" s="1"/>
  <c r="U298" i="3" s="1"/>
  <c r="U299" i="3" s="1"/>
  <c r="U300" i="3" s="1"/>
  <c r="U301" i="3" s="1"/>
  <c r="U302" i="3" s="1"/>
  <c r="U303" i="3" s="1"/>
  <c r="U304" i="3" s="1"/>
  <c r="U305" i="3" s="1"/>
  <c r="U306" i="3" s="1"/>
  <c r="U307" i="3" s="1"/>
  <c r="U308" i="3" s="1"/>
  <c r="U309" i="3" s="1"/>
  <c r="U310" i="3" s="1"/>
  <c r="U311" i="3" s="1"/>
  <c r="U312" i="3" s="1"/>
  <c r="U313" i="3" s="1"/>
  <c r="U314" i="3" s="1"/>
  <c r="U315" i="3" s="1"/>
  <c r="U316" i="3" s="1"/>
  <c r="U317" i="3" s="1"/>
  <c r="U318" i="3" s="1"/>
  <c r="U319" i="3" s="1"/>
  <c r="U320" i="3" s="1"/>
  <c r="U321" i="3" s="1"/>
  <c r="U322" i="3" s="1"/>
  <c r="U323" i="3" s="1"/>
  <c r="U324" i="3" s="1"/>
  <c r="U325" i="3" s="1"/>
  <c r="U326" i="3" s="1"/>
  <c r="U327" i="3" s="1"/>
  <c r="U328" i="3" s="1"/>
  <c r="U329" i="3" s="1"/>
  <c r="U330" i="3" s="1"/>
  <c r="U331" i="3" s="1"/>
  <c r="V285" i="3"/>
  <c r="W285" i="3"/>
  <c r="X285" i="3"/>
  <c r="Y285" i="3"/>
  <c r="Y286" i="3" s="1"/>
  <c r="Y287" i="3" s="1"/>
  <c r="Y288" i="3" s="1"/>
  <c r="Y289" i="3" s="1"/>
  <c r="Y290" i="3" s="1"/>
  <c r="Y291" i="3" s="1"/>
  <c r="Y292" i="3" s="1"/>
  <c r="Y293" i="3" s="1"/>
  <c r="Y294" i="3" s="1"/>
  <c r="Y295" i="3" s="1"/>
  <c r="Y296" i="3" s="1"/>
  <c r="Y297" i="3" s="1"/>
  <c r="Y298" i="3" s="1"/>
  <c r="Y299" i="3" s="1"/>
  <c r="Y300" i="3" s="1"/>
  <c r="Y301" i="3" s="1"/>
  <c r="Y302" i="3" s="1"/>
  <c r="Y303" i="3" s="1"/>
  <c r="Y304" i="3" s="1"/>
  <c r="Y305" i="3" s="1"/>
  <c r="Y306" i="3" s="1"/>
  <c r="Y307" i="3" s="1"/>
  <c r="Y308" i="3" s="1"/>
  <c r="Y309" i="3" s="1"/>
  <c r="Y310" i="3" s="1"/>
  <c r="Y311" i="3" s="1"/>
  <c r="Y312" i="3" s="1"/>
  <c r="Y313" i="3" s="1"/>
  <c r="Y314" i="3" s="1"/>
  <c r="Y315" i="3" s="1"/>
  <c r="Y316" i="3" s="1"/>
  <c r="Y317" i="3" s="1"/>
  <c r="Y318" i="3" s="1"/>
  <c r="Y319" i="3" s="1"/>
  <c r="Y320" i="3" s="1"/>
  <c r="Y321" i="3" s="1"/>
  <c r="Y322" i="3" s="1"/>
  <c r="Y323" i="3" s="1"/>
  <c r="Z285" i="3"/>
  <c r="AB285" i="3"/>
  <c r="AD285" i="3"/>
  <c r="AE285" i="3"/>
  <c r="AF285" i="3"/>
  <c r="AH285" i="3"/>
  <c r="AI285" i="3"/>
  <c r="AJ285" i="3"/>
  <c r="J286" i="3"/>
  <c r="K286" i="3"/>
  <c r="L286" i="3"/>
  <c r="N286" i="3"/>
  <c r="O286" i="3"/>
  <c r="P286" i="3"/>
  <c r="R286" i="3"/>
  <c r="S286" i="3"/>
  <c r="T286" i="3"/>
  <c r="V286" i="3"/>
  <c r="W286" i="3"/>
  <c r="X286" i="3"/>
  <c r="Z286" i="3"/>
  <c r="AB286" i="3"/>
  <c r="AD286" i="3"/>
  <c r="AE286" i="3"/>
  <c r="AF286" i="3"/>
  <c r="AH286" i="3"/>
  <c r="AI286" i="3"/>
  <c r="AJ286" i="3"/>
  <c r="J287" i="3"/>
  <c r="K287" i="3"/>
  <c r="L287" i="3"/>
  <c r="N287" i="3"/>
  <c r="O287" i="3"/>
  <c r="P287" i="3"/>
  <c r="R287" i="3"/>
  <c r="S287" i="3"/>
  <c r="T287" i="3"/>
  <c r="V287" i="3"/>
  <c r="W287" i="3"/>
  <c r="X287" i="3"/>
  <c r="Z287" i="3"/>
  <c r="AB287" i="3"/>
  <c r="AD287" i="3"/>
  <c r="AE287" i="3"/>
  <c r="AF287" i="3"/>
  <c r="AH287" i="3"/>
  <c r="AI287" i="3"/>
  <c r="AJ287" i="3"/>
  <c r="J288" i="3"/>
  <c r="K288" i="3"/>
  <c r="L288" i="3"/>
  <c r="N288" i="3"/>
  <c r="O288" i="3"/>
  <c r="P288" i="3"/>
  <c r="R288" i="3"/>
  <c r="S288" i="3"/>
  <c r="T288" i="3"/>
  <c r="V288" i="3"/>
  <c r="W288" i="3"/>
  <c r="X288" i="3"/>
  <c r="Z288" i="3"/>
  <c r="AB288" i="3"/>
  <c r="AD288" i="3"/>
  <c r="AE288" i="3"/>
  <c r="AF288" i="3"/>
  <c r="AH288" i="3"/>
  <c r="AI288" i="3"/>
  <c r="AJ288" i="3"/>
  <c r="J289" i="3"/>
  <c r="K289" i="3"/>
  <c r="L289" i="3"/>
  <c r="N289" i="3"/>
  <c r="O289" i="3"/>
  <c r="P289" i="3"/>
  <c r="R289" i="3"/>
  <c r="S289" i="3"/>
  <c r="T289" i="3"/>
  <c r="V289" i="3"/>
  <c r="W289" i="3"/>
  <c r="X289" i="3"/>
  <c r="Z289" i="3"/>
  <c r="AB289" i="3"/>
  <c r="AD289" i="3"/>
  <c r="AE289" i="3"/>
  <c r="AF289" i="3"/>
  <c r="AH289" i="3"/>
  <c r="AI289" i="3"/>
  <c r="AJ289" i="3"/>
  <c r="J290" i="3"/>
  <c r="K290" i="3"/>
  <c r="L290" i="3"/>
  <c r="N290" i="3"/>
  <c r="O290" i="3"/>
  <c r="P290" i="3"/>
  <c r="R290" i="3"/>
  <c r="S290" i="3"/>
  <c r="T290" i="3"/>
  <c r="V290" i="3"/>
  <c r="W290" i="3"/>
  <c r="X290" i="3"/>
  <c r="Z290" i="3"/>
  <c r="AB290" i="3"/>
  <c r="AD290" i="3"/>
  <c r="AE290" i="3"/>
  <c r="AF290" i="3"/>
  <c r="AH290" i="3"/>
  <c r="AI290" i="3"/>
  <c r="AJ290" i="3"/>
  <c r="J291" i="3"/>
  <c r="K291" i="3"/>
  <c r="L291" i="3"/>
  <c r="N291" i="3"/>
  <c r="O291" i="3"/>
  <c r="P291" i="3"/>
  <c r="R291" i="3"/>
  <c r="S291" i="3"/>
  <c r="T291" i="3"/>
  <c r="V291" i="3"/>
  <c r="W291" i="3"/>
  <c r="X291" i="3"/>
  <c r="Z291" i="3"/>
  <c r="AB291" i="3"/>
  <c r="AD291" i="3"/>
  <c r="AE291" i="3"/>
  <c r="AF291" i="3"/>
  <c r="AH291" i="3"/>
  <c r="AI291" i="3"/>
  <c r="AJ291" i="3"/>
  <c r="J292" i="3"/>
  <c r="K292" i="3"/>
  <c r="L292" i="3"/>
  <c r="N292" i="3"/>
  <c r="O292" i="3"/>
  <c r="P292" i="3"/>
  <c r="R292" i="3"/>
  <c r="S292" i="3"/>
  <c r="T292" i="3"/>
  <c r="V292" i="3"/>
  <c r="W292" i="3"/>
  <c r="X292" i="3"/>
  <c r="Z292" i="3"/>
  <c r="AB292" i="3"/>
  <c r="AD292" i="3"/>
  <c r="AE292" i="3"/>
  <c r="AF292" i="3"/>
  <c r="AH292" i="3"/>
  <c r="AI292" i="3"/>
  <c r="AJ292" i="3"/>
  <c r="J293" i="3"/>
  <c r="K293" i="3"/>
  <c r="L293" i="3"/>
  <c r="N293" i="3"/>
  <c r="O293" i="3"/>
  <c r="P293" i="3"/>
  <c r="R293" i="3"/>
  <c r="S293" i="3"/>
  <c r="T293" i="3"/>
  <c r="V293" i="3"/>
  <c r="W293" i="3"/>
  <c r="X293" i="3"/>
  <c r="Z293" i="3"/>
  <c r="AB293" i="3"/>
  <c r="AD293" i="3"/>
  <c r="AE293" i="3"/>
  <c r="AF293" i="3"/>
  <c r="AH293" i="3"/>
  <c r="AI293" i="3"/>
  <c r="AJ293" i="3"/>
  <c r="J294" i="3"/>
  <c r="K294" i="3"/>
  <c r="L294" i="3"/>
  <c r="N294" i="3"/>
  <c r="O294" i="3"/>
  <c r="P294" i="3"/>
  <c r="R294" i="3"/>
  <c r="S294" i="3"/>
  <c r="T294" i="3"/>
  <c r="V294" i="3"/>
  <c r="W294" i="3"/>
  <c r="X294" i="3"/>
  <c r="Z294" i="3"/>
  <c r="AB294" i="3"/>
  <c r="AD294" i="3"/>
  <c r="AE294" i="3"/>
  <c r="AF294" i="3"/>
  <c r="AH294" i="3"/>
  <c r="AI294" i="3"/>
  <c r="AJ294" i="3"/>
  <c r="J295" i="3"/>
  <c r="K295" i="3"/>
  <c r="L295" i="3"/>
  <c r="N295" i="3"/>
  <c r="O295" i="3"/>
  <c r="P295" i="3"/>
  <c r="R295" i="3"/>
  <c r="S295" i="3"/>
  <c r="T295" i="3"/>
  <c r="V295" i="3"/>
  <c r="W295" i="3"/>
  <c r="X295" i="3"/>
  <c r="Z295" i="3"/>
  <c r="AB295" i="3"/>
  <c r="AD295" i="3"/>
  <c r="AE295" i="3"/>
  <c r="AF295" i="3"/>
  <c r="AH295" i="3"/>
  <c r="AI295" i="3"/>
  <c r="AJ295" i="3"/>
  <c r="J296" i="3"/>
  <c r="K296" i="3"/>
  <c r="L296" i="3"/>
  <c r="N296" i="3"/>
  <c r="O296" i="3"/>
  <c r="P296" i="3"/>
  <c r="R296" i="3"/>
  <c r="S296" i="3"/>
  <c r="T296" i="3"/>
  <c r="V296" i="3"/>
  <c r="W296" i="3"/>
  <c r="X296" i="3"/>
  <c r="Z296" i="3"/>
  <c r="AB296" i="3"/>
  <c r="AD296" i="3"/>
  <c r="AE296" i="3"/>
  <c r="AF296" i="3"/>
  <c r="AH296" i="3"/>
  <c r="AI296" i="3"/>
  <c r="AJ296" i="3"/>
  <c r="J297" i="3"/>
  <c r="K297" i="3"/>
  <c r="L297" i="3"/>
  <c r="N297" i="3"/>
  <c r="O297" i="3"/>
  <c r="P297" i="3"/>
  <c r="R297" i="3"/>
  <c r="S297" i="3"/>
  <c r="T297" i="3"/>
  <c r="V297" i="3"/>
  <c r="W297" i="3"/>
  <c r="X297" i="3"/>
  <c r="Z297" i="3"/>
  <c r="AB297" i="3"/>
  <c r="AD297" i="3"/>
  <c r="AE297" i="3"/>
  <c r="AF297" i="3"/>
  <c r="AH297" i="3"/>
  <c r="AI297" i="3"/>
  <c r="AJ297" i="3"/>
  <c r="J298" i="3"/>
  <c r="K298" i="3"/>
  <c r="L298" i="3"/>
  <c r="N298" i="3"/>
  <c r="O298" i="3"/>
  <c r="P298" i="3"/>
  <c r="R298" i="3"/>
  <c r="S298" i="3"/>
  <c r="T298" i="3"/>
  <c r="V298" i="3"/>
  <c r="W298" i="3"/>
  <c r="X298" i="3"/>
  <c r="Z298" i="3"/>
  <c r="AB298" i="3"/>
  <c r="AD298" i="3"/>
  <c r="AE298" i="3"/>
  <c r="AF298" i="3"/>
  <c r="AH298" i="3"/>
  <c r="AI298" i="3"/>
  <c r="AJ298" i="3"/>
  <c r="J299" i="3"/>
  <c r="K299" i="3"/>
  <c r="L299" i="3"/>
  <c r="N299" i="3"/>
  <c r="O299" i="3"/>
  <c r="P299" i="3"/>
  <c r="R299" i="3"/>
  <c r="S299" i="3"/>
  <c r="T299" i="3"/>
  <c r="V299" i="3"/>
  <c r="W299" i="3"/>
  <c r="X299" i="3"/>
  <c r="Z299" i="3"/>
  <c r="AB299" i="3"/>
  <c r="AD299" i="3"/>
  <c r="AE299" i="3"/>
  <c r="AF299" i="3"/>
  <c r="AH299" i="3"/>
  <c r="AI299" i="3"/>
  <c r="AJ299" i="3"/>
  <c r="J300" i="3"/>
  <c r="K300" i="3"/>
  <c r="L300" i="3"/>
  <c r="N300" i="3"/>
  <c r="O300" i="3"/>
  <c r="P300" i="3"/>
  <c r="R300" i="3"/>
  <c r="S300" i="3"/>
  <c r="T300" i="3"/>
  <c r="V300" i="3"/>
  <c r="W300" i="3"/>
  <c r="X300" i="3"/>
  <c r="Z300" i="3"/>
  <c r="AB300" i="3"/>
  <c r="AD300" i="3"/>
  <c r="AE300" i="3"/>
  <c r="AF300" i="3"/>
  <c r="AH300" i="3"/>
  <c r="AI300" i="3"/>
  <c r="AJ300" i="3"/>
  <c r="J301" i="3"/>
  <c r="K301" i="3"/>
  <c r="L301" i="3"/>
  <c r="N301" i="3"/>
  <c r="O301" i="3"/>
  <c r="P301" i="3"/>
  <c r="R301" i="3"/>
  <c r="S301" i="3"/>
  <c r="T301" i="3"/>
  <c r="V301" i="3"/>
  <c r="W301" i="3"/>
  <c r="X301" i="3"/>
  <c r="Z301" i="3"/>
  <c r="AB301" i="3"/>
  <c r="AD301" i="3"/>
  <c r="AE301" i="3"/>
  <c r="AF301" i="3"/>
  <c r="AH301" i="3"/>
  <c r="AI301" i="3"/>
  <c r="AJ301" i="3"/>
  <c r="J302" i="3"/>
  <c r="K302" i="3"/>
  <c r="L302" i="3"/>
  <c r="N302" i="3"/>
  <c r="O302" i="3"/>
  <c r="P302" i="3"/>
  <c r="R302" i="3"/>
  <c r="S302" i="3"/>
  <c r="T302" i="3"/>
  <c r="V302" i="3"/>
  <c r="W302" i="3"/>
  <c r="X302" i="3"/>
  <c r="Z302" i="3"/>
  <c r="AB302" i="3"/>
  <c r="AD302" i="3"/>
  <c r="AE302" i="3"/>
  <c r="AF302" i="3"/>
  <c r="AH302" i="3"/>
  <c r="AI302" i="3"/>
  <c r="AJ302" i="3"/>
  <c r="J303" i="3"/>
  <c r="K303" i="3"/>
  <c r="L303" i="3"/>
  <c r="N303" i="3"/>
  <c r="O303" i="3"/>
  <c r="P303" i="3"/>
  <c r="R303" i="3"/>
  <c r="S303" i="3"/>
  <c r="T303" i="3"/>
  <c r="V303" i="3"/>
  <c r="W303" i="3"/>
  <c r="X303" i="3"/>
  <c r="Z303" i="3"/>
  <c r="AB303" i="3"/>
  <c r="AD303" i="3"/>
  <c r="AE303" i="3"/>
  <c r="AF303" i="3"/>
  <c r="AH303" i="3"/>
  <c r="AI303" i="3"/>
  <c r="AJ303" i="3"/>
  <c r="J304" i="3"/>
  <c r="K304" i="3"/>
  <c r="L304" i="3"/>
  <c r="N304" i="3"/>
  <c r="O304" i="3"/>
  <c r="P304" i="3"/>
  <c r="R304" i="3"/>
  <c r="S304" i="3"/>
  <c r="T304" i="3"/>
  <c r="V304" i="3"/>
  <c r="W304" i="3"/>
  <c r="X304" i="3"/>
  <c r="Z304" i="3"/>
  <c r="AB304" i="3"/>
  <c r="AD304" i="3"/>
  <c r="AE304" i="3"/>
  <c r="AF304" i="3"/>
  <c r="AH304" i="3"/>
  <c r="AI304" i="3"/>
  <c r="AJ304" i="3"/>
  <c r="J305" i="3"/>
  <c r="K305" i="3"/>
  <c r="L305" i="3"/>
  <c r="N305" i="3"/>
  <c r="O305" i="3"/>
  <c r="P305" i="3"/>
  <c r="R305" i="3"/>
  <c r="S305" i="3"/>
  <c r="T305" i="3"/>
  <c r="V305" i="3"/>
  <c r="W305" i="3"/>
  <c r="X305" i="3"/>
  <c r="Z305" i="3"/>
  <c r="AB305" i="3"/>
  <c r="AD305" i="3"/>
  <c r="AE305" i="3"/>
  <c r="AF305" i="3"/>
  <c r="AH305" i="3"/>
  <c r="AI305" i="3"/>
  <c r="AJ305" i="3"/>
  <c r="J306" i="3"/>
  <c r="K306" i="3"/>
  <c r="L306" i="3"/>
  <c r="N306" i="3"/>
  <c r="O306" i="3"/>
  <c r="P306" i="3"/>
  <c r="R306" i="3"/>
  <c r="S306" i="3"/>
  <c r="T306" i="3"/>
  <c r="V306" i="3"/>
  <c r="W306" i="3"/>
  <c r="X306" i="3"/>
  <c r="Z306" i="3"/>
  <c r="AB306" i="3"/>
  <c r="AD306" i="3"/>
  <c r="AE306" i="3"/>
  <c r="AF306" i="3"/>
  <c r="AH306" i="3"/>
  <c r="AI306" i="3"/>
  <c r="AJ306" i="3"/>
  <c r="J307" i="3"/>
  <c r="K307" i="3"/>
  <c r="L307" i="3"/>
  <c r="N307" i="3"/>
  <c r="O307" i="3"/>
  <c r="P307" i="3"/>
  <c r="R307" i="3"/>
  <c r="S307" i="3"/>
  <c r="T307" i="3"/>
  <c r="V307" i="3"/>
  <c r="W307" i="3"/>
  <c r="X307" i="3"/>
  <c r="Z307" i="3"/>
  <c r="AB307" i="3"/>
  <c r="AD307" i="3"/>
  <c r="AE307" i="3"/>
  <c r="AF307" i="3"/>
  <c r="AH307" i="3"/>
  <c r="AI307" i="3"/>
  <c r="AJ307" i="3"/>
  <c r="J308" i="3"/>
  <c r="K308" i="3"/>
  <c r="L308" i="3"/>
  <c r="N308" i="3"/>
  <c r="O308" i="3"/>
  <c r="P308" i="3"/>
  <c r="R308" i="3"/>
  <c r="S308" i="3"/>
  <c r="T308" i="3"/>
  <c r="V308" i="3"/>
  <c r="W308" i="3"/>
  <c r="X308" i="3"/>
  <c r="Z308" i="3"/>
  <c r="AB308" i="3"/>
  <c r="AD308" i="3"/>
  <c r="AE308" i="3"/>
  <c r="AF308" i="3"/>
  <c r="AH308" i="3"/>
  <c r="AI308" i="3"/>
  <c r="AJ308" i="3"/>
  <c r="J309" i="3"/>
  <c r="K309" i="3"/>
  <c r="L309" i="3"/>
  <c r="N309" i="3"/>
  <c r="O309" i="3"/>
  <c r="P309" i="3"/>
  <c r="R309" i="3"/>
  <c r="S309" i="3"/>
  <c r="T309" i="3"/>
  <c r="V309" i="3"/>
  <c r="W309" i="3"/>
  <c r="X309" i="3"/>
  <c r="Z309" i="3"/>
  <c r="AB309" i="3"/>
  <c r="AD309" i="3"/>
  <c r="AE309" i="3"/>
  <c r="AF309" i="3"/>
  <c r="AH309" i="3"/>
  <c r="AI309" i="3"/>
  <c r="AI310" i="3" s="1"/>
  <c r="AJ309" i="3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AH2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1" i="3"/>
  <c r="A132" i="3"/>
  <c r="B132" i="3"/>
  <c r="C132" i="3"/>
  <c r="D132" i="3"/>
  <c r="E132" i="3"/>
  <c r="F132" i="3"/>
  <c r="G132" i="3"/>
  <c r="H132" i="3"/>
  <c r="I132" i="3"/>
  <c r="A133" i="3"/>
  <c r="B133" i="3"/>
  <c r="C133" i="3"/>
  <c r="D133" i="3"/>
  <c r="E133" i="3"/>
  <c r="F133" i="3"/>
  <c r="G133" i="3"/>
  <c r="H133" i="3"/>
  <c r="I133" i="3"/>
  <c r="A134" i="3"/>
  <c r="B134" i="3"/>
  <c r="C134" i="3"/>
  <c r="D134" i="3"/>
  <c r="E134" i="3"/>
  <c r="F134" i="3"/>
  <c r="G134" i="3"/>
  <c r="H134" i="3"/>
  <c r="I134" i="3"/>
  <c r="A135" i="3"/>
  <c r="B135" i="3"/>
  <c r="C135" i="3"/>
  <c r="D135" i="3"/>
  <c r="E135" i="3"/>
  <c r="F135" i="3"/>
  <c r="G135" i="3"/>
  <c r="H135" i="3"/>
  <c r="I135" i="3"/>
  <c r="A136" i="3"/>
  <c r="B136" i="3"/>
  <c r="C136" i="3"/>
  <c r="D136" i="3"/>
  <c r="E136" i="3"/>
  <c r="F136" i="3"/>
  <c r="G136" i="3"/>
  <c r="H136" i="3"/>
  <c r="I136" i="3"/>
  <c r="A137" i="3"/>
  <c r="B137" i="3"/>
  <c r="C137" i="3"/>
  <c r="D137" i="3"/>
  <c r="E137" i="3"/>
  <c r="F137" i="3"/>
  <c r="G137" i="3"/>
  <c r="H137" i="3"/>
  <c r="I137" i="3"/>
  <c r="A138" i="3"/>
  <c r="B138" i="3"/>
  <c r="C138" i="3"/>
  <c r="D138" i="3"/>
  <c r="E138" i="3"/>
  <c r="F138" i="3"/>
  <c r="G138" i="3"/>
  <c r="H138" i="3"/>
  <c r="I138" i="3"/>
  <c r="A139" i="3"/>
  <c r="B139" i="3"/>
  <c r="C139" i="3"/>
  <c r="D139" i="3"/>
  <c r="E139" i="3"/>
  <c r="F139" i="3"/>
  <c r="G139" i="3"/>
  <c r="H139" i="3"/>
  <c r="I139" i="3"/>
  <c r="A140" i="3"/>
  <c r="B140" i="3"/>
  <c r="C140" i="3"/>
  <c r="D140" i="3"/>
  <c r="E140" i="3"/>
  <c r="F140" i="3"/>
  <c r="G140" i="3"/>
  <c r="H140" i="3"/>
  <c r="I140" i="3"/>
  <c r="A141" i="3"/>
  <c r="B141" i="3"/>
  <c r="C141" i="3"/>
  <c r="D141" i="3"/>
  <c r="E141" i="3"/>
  <c r="F141" i="3"/>
  <c r="G141" i="3"/>
  <c r="H141" i="3"/>
  <c r="I141" i="3"/>
  <c r="A142" i="3"/>
  <c r="B142" i="3"/>
  <c r="C142" i="3"/>
  <c r="D142" i="3"/>
  <c r="E142" i="3"/>
  <c r="F142" i="3"/>
  <c r="G142" i="3"/>
  <c r="H142" i="3"/>
  <c r="I142" i="3"/>
  <c r="A143" i="3"/>
  <c r="B143" i="3"/>
  <c r="C143" i="3"/>
  <c r="D143" i="3"/>
  <c r="E143" i="3"/>
  <c r="F143" i="3"/>
  <c r="G143" i="3"/>
  <c r="H143" i="3"/>
  <c r="I143" i="3"/>
  <c r="A144" i="3"/>
  <c r="B144" i="3"/>
  <c r="C144" i="3"/>
  <c r="D144" i="3"/>
  <c r="E144" i="3"/>
  <c r="F144" i="3"/>
  <c r="G144" i="3"/>
  <c r="H144" i="3"/>
  <c r="I144" i="3"/>
  <c r="A145" i="3"/>
  <c r="B145" i="3"/>
  <c r="C145" i="3"/>
  <c r="D145" i="3"/>
  <c r="E145" i="3"/>
  <c r="F145" i="3"/>
  <c r="G145" i="3"/>
  <c r="H145" i="3"/>
  <c r="I145" i="3"/>
  <c r="A146" i="3"/>
  <c r="B146" i="3"/>
  <c r="C146" i="3"/>
  <c r="D146" i="3"/>
  <c r="E146" i="3"/>
  <c r="F146" i="3"/>
  <c r="G146" i="3"/>
  <c r="H146" i="3"/>
  <c r="I146" i="3"/>
  <c r="A147" i="3"/>
  <c r="B147" i="3"/>
  <c r="C147" i="3"/>
  <c r="D147" i="3"/>
  <c r="E147" i="3"/>
  <c r="F147" i="3"/>
  <c r="G147" i="3"/>
  <c r="H147" i="3"/>
  <c r="I147" i="3"/>
  <c r="A148" i="3"/>
  <c r="B148" i="3"/>
  <c r="C148" i="3"/>
  <c r="D148" i="3"/>
  <c r="E148" i="3"/>
  <c r="F148" i="3"/>
  <c r="G148" i="3"/>
  <c r="H148" i="3"/>
  <c r="I148" i="3"/>
  <c r="A149" i="3"/>
  <c r="B149" i="3"/>
  <c r="C149" i="3"/>
  <c r="D149" i="3"/>
  <c r="E149" i="3"/>
  <c r="F149" i="3"/>
  <c r="G149" i="3"/>
  <c r="H149" i="3"/>
  <c r="I149" i="3"/>
  <c r="A150" i="3"/>
  <c r="B150" i="3"/>
  <c r="C150" i="3"/>
  <c r="D150" i="3"/>
  <c r="E150" i="3"/>
  <c r="F150" i="3"/>
  <c r="G150" i="3"/>
  <c r="H150" i="3"/>
  <c r="I150" i="3"/>
  <c r="A151" i="3"/>
  <c r="B151" i="3"/>
  <c r="C151" i="3"/>
  <c r="D151" i="3"/>
  <c r="E151" i="3"/>
  <c r="F151" i="3"/>
  <c r="G151" i="3"/>
  <c r="H151" i="3"/>
  <c r="I151" i="3"/>
  <c r="A152" i="3"/>
  <c r="B152" i="3"/>
  <c r="C152" i="3"/>
  <c r="D152" i="3"/>
  <c r="E152" i="3"/>
  <c r="F152" i="3"/>
  <c r="G152" i="3"/>
  <c r="H152" i="3"/>
  <c r="I152" i="3"/>
  <c r="A153" i="3"/>
  <c r="B153" i="3"/>
  <c r="C153" i="3"/>
  <c r="D153" i="3"/>
  <c r="E153" i="3"/>
  <c r="F153" i="3"/>
  <c r="G153" i="3"/>
  <c r="H153" i="3"/>
  <c r="I153" i="3"/>
  <c r="A154" i="3"/>
  <c r="B154" i="3"/>
  <c r="C154" i="3"/>
  <c r="D154" i="3"/>
  <c r="E154" i="3"/>
  <c r="F154" i="3"/>
  <c r="G154" i="3"/>
  <c r="H154" i="3"/>
  <c r="I154" i="3"/>
  <c r="A155" i="3"/>
  <c r="B155" i="3"/>
  <c r="C155" i="3"/>
  <c r="D155" i="3"/>
  <c r="E155" i="3"/>
  <c r="F155" i="3"/>
  <c r="G155" i="3"/>
  <c r="H155" i="3"/>
  <c r="I155" i="3"/>
  <c r="A156" i="3"/>
  <c r="B156" i="3"/>
  <c r="C156" i="3"/>
  <c r="D156" i="3"/>
  <c r="E156" i="3"/>
  <c r="F156" i="3"/>
  <c r="G156" i="3"/>
  <c r="H156" i="3"/>
  <c r="I156" i="3"/>
  <c r="A157" i="3"/>
  <c r="B157" i="3"/>
  <c r="C157" i="3"/>
  <c r="D157" i="3"/>
  <c r="E157" i="3"/>
  <c r="F157" i="3"/>
  <c r="G157" i="3"/>
  <c r="H157" i="3"/>
  <c r="I157" i="3"/>
  <c r="A158" i="3"/>
  <c r="B158" i="3"/>
  <c r="C158" i="3"/>
  <c r="D158" i="3"/>
  <c r="E158" i="3"/>
  <c r="F158" i="3"/>
  <c r="G158" i="3"/>
  <c r="H158" i="3"/>
  <c r="I158" i="3"/>
  <c r="A159" i="3"/>
  <c r="B159" i="3"/>
  <c r="C159" i="3"/>
  <c r="D159" i="3"/>
  <c r="E159" i="3"/>
  <c r="F159" i="3"/>
  <c r="G159" i="3"/>
  <c r="H159" i="3"/>
  <c r="I159" i="3"/>
  <c r="A160" i="3"/>
  <c r="B160" i="3"/>
  <c r="C160" i="3"/>
  <c r="D160" i="3"/>
  <c r="E160" i="3"/>
  <c r="F160" i="3"/>
  <c r="G160" i="3"/>
  <c r="H160" i="3"/>
  <c r="I160" i="3"/>
  <c r="A161" i="3"/>
  <c r="B161" i="3"/>
  <c r="C161" i="3"/>
  <c r="D161" i="3"/>
  <c r="E161" i="3"/>
  <c r="F161" i="3"/>
  <c r="G161" i="3"/>
  <c r="H161" i="3"/>
  <c r="I161" i="3"/>
  <c r="A162" i="3"/>
  <c r="B162" i="3"/>
  <c r="C162" i="3"/>
  <c r="D162" i="3"/>
  <c r="E162" i="3"/>
  <c r="F162" i="3"/>
  <c r="G162" i="3"/>
  <c r="H162" i="3"/>
  <c r="I162" i="3"/>
  <c r="A163" i="3"/>
  <c r="B163" i="3"/>
  <c r="C163" i="3"/>
  <c r="D163" i="3"/>
  <c r="E163" i="3"/>
  <c r="F163" i="3"/>
  <c r="G163" i="3"/>
  <c r="H163" i="3"/>
  <c r="I163" i="3"/>
  <c r="A164" i="3"/>
  <c r="B164" i="3"/>
  <c r="C164" i="3"/>
  <c r="D164" i="3"/>
  <c r="E164" i="3"/>
  <c r="F164" i="3"/>
  <c r="G164" i="3"/>
  <c r="H164" i="3"/>
  <c r="I164" i="3"/>
  <c r="A165" i="3"/>
  <c r="B165" i="3"/>
  <c r="C165" i="3"/>
  <c r="D165" i="3"/>
  <c r="E165" i="3"/>
  <c r="F165" i="3"/>
  <c r="G165" i="3"/>
  <c r="H165" i="3"/>
  <c r="I165" i="3"/>
  <c r="A166" i="3"/>
  <c r="B166" i="3"/>
  <c r="C166" i="3"/>
  <c r="D166" i="3"/>
  <c r="E166" i="3"/>
  <c r="F166" i="3"/>
  <c r="G166" i="3"/>
  <c r="H166" i="3"/>
  <c r="I166" i="3"/>
  <c r="A167" i="3"/>
  <c r="B167" i="3"/>
  <c r="C167" i="3"/>
  <c r="D167" i="3"/>
  <c r="E167" i="3"/>
  <c r="F167" i="3"/>
  <c r="G167" i="3"/>
  <c r="H167" i="3"/>
  <c r="I167" i="3"/>
  <c r="A168" i="3"/>
  <c r="B168" i="3"/>
  <c r="C168" i="3"/>
  <c r="D168" i="3"/>
  <c r="E168" i="3"/>
  <c r="F168" i="3"/>
  <c r="G168" i="3"/>
  <c r="H168" i="3"/>
  <c r="I168" i="3"/>
  <c r="A169" i="3"/>
  <c r="B169" i="3"/>
  <c r="C169" i="3"/>
  <c r="D169" i="3"/>
  <c r="E169" i="3"/>
  <c r="F169" i="3"/>
  <c r="G169" i="3"/>
  <c r="H169" i="3"/>
  <c r="I169" i="3"/>
  <c r="A170" i="3"/>
  <c r="B170" i="3"/>
  <c r="C170" i="3"/>
  <c r="D170" i="3"/>
  <c r="E170" i="3"/>
  <c r="F170" i="3"/>
  <c r="G170" i="3"/>
  <c r="H170" i="3"/>
  <c r="I170" i="3"/>
  <c r="A171" i="3"/>
  <c r="B171" i="3"/>
  <c r="C171" i="3"/>
  <c r="D171" i="3"/>
  <c r="E171" i="3"/>
  <c r="F171" i="3"/>
  <c r="G171" i="3"/>
  <c r="H171" i="3"/>
  <c r="I171" i="3"/>
  <c r="A172" i="3"/>
  <c r="B172" i="3"/>
  <c r="C172" i="3"/>
  <c r="D172" i="3"/>
  <c r="E172" i="3"/>
  <c r="F172" i="3"/>
  <c r="G172" i="3"/>
  <c r="H172" i="3"/>
  <c r="I172" i="3"/>
  <c r="A173" i="3"/>
  <c r="B173" i="3"/>
  <c r="C173" i="3"/>
  <c r="D173" i="3"/>
  <c r="E173" i="3"/>
  <c r="F173" i="3"/>
  <c r="G173" i="3"/>
  <c r="H173" i="3"/>
  <c r="I173" i="3"/>
  <c r="A174" i="3"/>
  <c r="B174" i="3"/>
  <c r="C174" i="3"/>
  <c r="D174" i="3"/>
  <c r="E174" i="3"/>
  <c r="F174" i="3"/>
  <c r="G174" i="3"/>
  <c r="H174" i="3"/>
  <c r="I174" i="3"/>
  <c r="A175" i="3"/>
  <c r="B175" i="3"/>
  <c r="C175" i="3"/>
  <c r="D175" i="3"/>
  <c r="E175" i="3"/>
  <c r="F175" i="3"/>
  <c r="G175" i="3"/>
  <c r="H175" i="3"/>
  <c r="I175" i="3"/>
  <c r="A176" i="3"/>
  <c r="B176" i="3"/>
  <c r="C176" i="3"/>
  <c r="D176" i="3"/>
  <c r="E176" i="3"/>
  <c r="F176" i="3"/>
  <c r="G176" i="3"/>
  <c r="H176" i="3"/>
  <c r="I176" i="3"/>
  <c r="A177" i="3"/>
  <c r="B177" i="3"/>
  <c r="C177" i="3"/>
  <c r="D177" i="3"/>
  <c r="E177" i="3"/>
  <c r="F177" i="3"/>
  <c r="G177" i="3"/>
  <c r="H177" i="3"/>
  <c r="I177" i="3"/>
  <c r="A178" i="3"/>
  <c r="B178" i="3"/>
  <c r="C178" i="3"/>
  <c r="D178" i="3"/>
  <c r="E178" i="3"/>
  <c r="F178" i="3"/>
  <c r="G178" i="3"/>
  <c r="H178" i="3"/>
  <c r="I178" i="3"/>
  <c r="A179" i="3"/>
  <c r="B179" i="3"/>
  <c r="C179" i="3"/>
  <c r="D179" i="3"/>
  <c r="E179" i="3"/>
  <c r="F179" i="3"/>
  <c r="G179" i="3"/>
  <c r="H179" i="3"/>
  <c r="I179" i="3"/>
  <c r="A180" i="3"/>
  <c r="B180" i="3"/>
  <c r="C180" i="3"/>
  <c r="D180" i="3"/>
  <c r="E180" i="3"/>
  <c r="F180" i="3"/>
  <c r="G180" i="3"/>
  <c r="H180" i="3"/>
  <c r="I180" i="3"/>
  <c r="A181" i="3"/>
  <c r="B181" i="3"/>
  <c r="C181" i="3"/>
  <c r="D181" i="3"/>
  <c r="E181" i="3"/>
  <c r="F181" i="3"/>
  <c r="G181" i="3"/>
  <c r="H181" i="3"/>
  <c r="I181" i="3"/>
  <c r="A182" i="3"/>
  <c r="B182" i="3"/>
  <c r="C182" i="3"/>
  <c r="D182" i="3"/>
  <c r="E182" i="3"/>
  <c r="F182" i="3"/>
  <c r="G182" i="3"/>
  <c r="H182" i="3"/>
  <c r="I182" i="3"/>
  <c r="A183" i="3"/>
  <c r="B183" i="3"/>
  <c r="C183" i="3"/>
  <c r="D183" i="3"/>
  <c r="E183" i="3"/>
  <c r="F183" i="3"/>
  <c r="G183" i="3"/>
  <c r="H183" i="3"/>
  <c r="I183" i="3"/>
  <c r="A184" i="3"/>
  <c r="B184" i="3"/>
  <c r="C184" i="3"/>
  <c r="D184" i="3"/>
  <c r="E184" i="3"/>
  <c r="F184" i="3"/>
  <c r="G184" i="3"/>
  <c r="H184" i="3"/>
  <c r="I184" i="3"/>
  <c r="A185" i="3"/>
  <c r="B185" i="3"/>
  <c r="C185" i="3"/>
  <c r="D185" i="3"/>
  <c r="E185" i="3"/>
  <c r="F185" i="3"/>
  <c r="G185" i="3"/>
  <c r="H185" i="3"/>
  <c r="I185" i="3"/>
  <c r="A186" i="3"/>
  <c r="B186" i="3"/>
  <c r="C186" i="3"/>
  <c r="D186" i="3"/>
  <c r="E186" i="3"/>
  <c r="F186" i="3"/>
  <c r="G186" i="3"/>
  <c r="H186" i="3"/>
  <c r="I186" i="3"/>
  <c r="A187" i="3"/>
  <c r="B187" i="3"/>
  <c r="C187" i="3"/>
  <c r="D187" i="3"/>
  <c r="E187" i="3"/>
  <c r="F187" i="3"/>
  <c r="G187" i="3"/>
  <c r="H187" i="3"/>
  <c r="I187" i="3"/>
  <c r="A188" i="3"/>
  <c r="B188" i="3"/>
  <c r="C188" i="3"/>
  <c r="D188" i="3"/>
  <c r="E188" i="3"/>
  <c r="F188" i="3"/>
  <c r="G188" i="3"/>
  <c r="H188" i="3"/>
  <c r="I188" i="3"/>
  <c r="A189" i="3"/>
  <c r="B189" i="3"/>
  <c r="C189" i="3"/>
  <c r="D189" i="3"/>
  <c r="E189" i="3"/>
  <c r="F189" i="3"/>
  <c r="G189" i="3"/>
  <c r="H189" i="3"/>
  <c r="I189" i="3"/>
  <c r="A190" i="3"/>
  <c r="B190" i="3"/>
  <c r="C190" i="3"/>
  <c r="D190" i="3"/>
  <c r="E190" i="3"/>
  <c r="F190" i="3"/>
  <c r="G190" i="3"/>
  <c r="H190" i="3"/>
  <c r="I190" i="3"/>
  <c r="A191" i="3"/>
  <c r="B191" i="3"/>
  <c r="C191" i="3"/>
  <c r="D191" i="3"/>
  <c r="E191" i="3"/>
  <c r="F191" i="3"/>
  <c r="G191" i="3"/>
  <c r="H191" i="3"/>
  <c r="I191" i="3"/>
  <c r="A192" i="3"/>
  <c r="B192" i="3"/>
  <c r="C192" i="3"/>
  <c r="D192" i="3"/>
  <c r="E192" i="3"/>
  <c r="F192" i="3"/>
  <c r="G192" i="3"/>
  <c r="H192" i="3"/>
  <c r="I192" i="3"/>
  <c r="A193" i="3"/>
  <c r="B193" i="3"/>
  <c r="C193" i="3"/>
  <c r="D193" i="3"/>
  <c r="E193" i="3"/>
  <c r="F193" i="3"/>
  <c r="G193" i="3"/>
  <c r="H193" i="3"/>
  <c r="I193" i="3"/>
  <c r="A194" i="3"/>
  <c r="B194" i="3"/>
  <c r="C194" i="3"/>
  <c r="D194" i="3"/>
  <c r="E194" i="3"/>
  <c r="F194" i="3"/>
  <c r="G194" i="3"/>
  <c r="H194" i="3"/>
  <c r="I194" i="3"/>
  <c r="A195" i="3"/>
  <c r="B195" i="3"/>
  <c r="C195" i="3"/>
  <c r="D195" i="3"/>
  <c r="E195" i="3"/>
  <c r="F195" i="3"/>
  <c r="G195" i="3"/>
  <c r="H195" i="3"/>
  <c r="I195" i="3"/>
  <c r="A196" i="3"/>
  <c r="B196" i="3"/>
  <c r="C196" i="3"/>
  <c r="D196" i="3"/>
  <c r="E196" i="3"/>
  <c r="F196" i="3"/>
  <c r="G196" i="3"/>
  <c r="H196" i="3"/>
  <c r="I196" i="3"/>
  <c r="A197" i="3"/>
  <c r="B197" i="3"/>
  <c r="C197" i="3"/>
  <c r="D197" i="3"/>
  <c r="E197" i="3"/>
  <c r="F197" i="3"/>
  <c r="G197" i="3"/>
  <c r="H197" i="3"/>
  <c r="I197" i="3"/>
  <c r="A198" i="3"/>
  <c r="B198" i="3"/>
  <c r="C198" i="3"/>
  <c r="D198" i="3"/>
  <c r="E198" i="3"/>
  <c r="F198" i="3"/>
  <c r="G198" i="3"/>
  <c r="H198" i="3"/>
  <c r="I198" i="3"/>
  <c r="A199" i="3"/>
  <c r="B199" i="3"/>
  <c r="C199" i="3"/>
  <c r="D199" i="3"/>
  <c r="E199" i="3"/>
  <c r="F199" i="3"/>
  <c r="G199" i="3"/>
  <c r="H199" i="3"/>
  <c r="I199" i="3"/>
  <c r="A200" i="3"/>
  <c r="B200" i="3"/>
  <c r="C200" i="3"/>
  <c r="D200" i="3"/>
  <c r="E200" i="3"/>
  <c r="F200" i="3"/>
  <c r="G200" i="3"/>
  <c r="H200" i="3"/>
  <c r="I200" i="3"/>
  <c r="A201" i="3"/>
  <c r="B201" i="3"/>
  <c r="C201" i="3"/>
  <c r="D201" i="3"/>
  <c r="E201" i="3"/>
  <c r="F201" i="3"/>
  <c r="G201" i="3"/>
  <c r="H201" i="3"/>
  <c r="I201" i="3"/>
  <c r="A202" i="3"/>
  <c r="B202" i="3"/>
  <c r="C202" i="3"/>
  <c r="D202" i="3"/>
  <c r="E202" i="3"/>
  <c r="F202" i="3"/>
  <c r="G202" i="3"/>
  <c r="H202" i="3"/>
  <c r="I202" i="3"/>
  <c r="A203" i="3"/>
  <c r="B203" i="3"/>
  <c r="C203" i="3"/>
  <c r="D203" i="3"/>
  <c r="E203" i="3"/>
  <c r="F203" i="3"/>
  <c r="G203" i="3"/>
  <c r="H203" i="3"/>
  <c r="I203" i="3"/>
  <c r="A204" i="3"/>
  <c r="B204" i="3"/>
  <c r="C204" i="3"/>
  <c r="D204" i="3"/>
  <c r="E204" i="3"/>
  <c r="F204" i="3"/>
  <c r="G204" i="3"/>
  <c r="H204" i="3"/>
  <c r="I204" i="3"/>
  <c r="A205" i="3"/>
  <c r="B205" i="3"/>
  <c r="C205" i="3"/>
  <c r="D205" i="3"/>
  <c r="E205" i="3"/>
  <c r="F205" i="3"/>
  <c r="G205" i="3"/>
  <c r="H205" i="3"/>
  <c r="I205" i="3"/>
  <c r="A206" i="3"/>
  <c r="B206" i="3"/>
  <c r="C206" i="3"/>
  <c r="D206" i="3"/>
  <c r="E206" i="3"/>
  <c r="F206" i="3"/>
  <c r="G206" i="3"/>
  <c r="H206" i="3"/>
  <c r="I206" i="3"/>
  <c r="A207" i="3"/>
  <c r="B207" i="3"/>
  <c r="C207" i="3"/>
  <c r="D207" i="3"/>
  <c r="E207" i="3"/>
  <c r="F207" i="3"/>
  <c r="G207" i="3"/>
  <c r="H207" i="3"/>
  <c r="I207" i="3"/>
  <c r="A208" i="3"/>
  <c r="B208" i="3"/>
  <c r="C208" i="3"/>
  <c r="D208" i="3"/>
  <c r="E208" i="3"/>
  <c r="F208" i="3"/>
  <c r="G208" i="3"/>
  <c r="H208" i="3"/>
  <c r="I208" i="3"/>
  <c r="A209" i="3"/>
  <c r="B209" i="3"/>
  <c r="C209" i="3"/>
  <c r="D209" i="3"/>
  <c r="E209" i="3"/>
  <c r="F209" i="3"/>
  <c r="G209" i="3"/>
  <c r="H209" i="3"/>
  <c r="I209" i="3"/>
  <c r="A210" i="3"/>
  <c r="B210" i="3"/>
  <c r="C210" i="3"/>
  <c r="D210" i="3"/>
  <c r="E210" i="3"/>
  <c r="F210" i="3"/>
  <c r="G210" i="3"/>
  <c r="H210" i="3"/>
  <c r="I210" i="3"/>
  <c r="A211" i="3"/>
  <c r="B211" i="3"/>
  <c r="C211" i="3"/>
  <c r="D211" i="3"/>
  <c r="E211" i="3"/>
  <c r="F211" i="3"/>
  <c r="G211" i="3"/>
  <c r="H211" i="3"/>
  <c r="I211" i="3"/>
  <c r="A212" i="3"/>
  <c r="B212" i="3"/>
  <c r="C212" i="3"/>
  <c r="D212" i="3"/>
  <c r="E212" i="3"/>
  <c r="F212" i="3"/>
  <c r="G212" i="3"/>
  <c r="H212" i="3"/>
  <c r="I212" i="3"/>
  <c r="A213" i="3"/>
  <c r="B213" i="3"/>
  <c r="C213" i="3"/>
  <c r="D213" i="3"/>
  <c r="E213" i="3"/>
  <c r="F213" i="3"/>
  <c r="G213" i="3"/>
  <c r="H213" i="3"/>
  <c r="I213" i="3"/>
  <c r="A214" i="3"/>
  <c r="B214" i="3"/>
  <c r="C214" i="3"/>
  <c r="D214" i="3"/>
  <c r="E214" i="3"/>
  <c r="F214" i="3"/>
  <c r="G214" i="3"/>
  <c r="H214" i="3"/>
  <c r="I214" i="3"/>
  <c r="A215" i="3"/>
  <c r="B215" i="3"/>
  <c r="C215" i="3"/>
  <c r="D215" i="3"/>
  <c r="E215" i="3"/>
  <c r="F215" i="3"/>
  <c r="G215" i="3"/>
  <c r="H215" i="3"/>
  <c r="I215" i="3"/>
  <c r="A216" i="3"/>
  <c r="B216" i="3"/>
  <c r="C216" i="3"/>
  <c r="D216" i="3"/>
  <c r="E216" i="3"/>
  <c r="F216" i="3"/>
  <c r="G216" i="3"/>
  <c r="H216" i="3"/>
  <c r="I216" i="3"/>
  <c r="A217" i="3"/>
  <c r="B217" i="3"/>
  <c r="C217" i="3"/>
  <c r="D217" i="3"/>
  <c r="E217" i="3"/>
  <c r="F217" i="3"/>
  <c r="G217" i="3"/>
  <c r="H217" i="3"/>
  <c r="I217" i="3"/>
  <c r="A218" i="3"/>
  <c r="B218" i="3"/>
  <c r="C218" i="3"/>
  <c r="D218" i="3"/>
  <c r="E218" i="3"/>
  <c r="F218" i="3"/>
  <c r="G218" i="3"/>
  <c r="H218" i="3"/>
  <c r="I218" i="3"/>
  <c r="A219" i="3"/>
  <c r="B219" i="3"/>
  <c r="C219" i="3"/>
  <c r="D219" i="3"/>
  <c r="E219" i="3"/>
  <c r="F219" i="3"/>
  <c r="G219" i="3"/>
  <c r="H219" i="3"/>
  <c r="I219" i="3"/>
  <c r="A220" i="3"/>
  <c r="B220" i="3"/>
  <c r="C220" i="3"/>
  <c r="D220" i="3"/>
  <c r="E220" i="3"/>
  <c r="F220" i="3"/>
  <c r="G220" i="3"/>
  <c r="H220" i="3"/>
  <c r="I220" i="3"/>
  <c r="A221" i="3"/>
  <c r="B221" i="3"/>
  <c r="C221" i="3"/>
  <c r="D221" i="3"/>
  <c r="E221" i="3"/>
  <c r="F221" i="3"/>
  <c r="G221" i="3"/>
  <c r="H221" i="3"/>
  <c r="I221" i="3"/>
  <c r="A222" i="3"/>
  <c r="B222" i="3"/>
  <c r="C222" i="3"/>
  <c r="D222" i="3"/>
  <c r="E222" i="3"/>
  <c r="F222" i="3"/>
  <c r="G222" i="3"/>
  <c r="H222" i="3"/>
  <c r="I222" i="3"/>
  <c r="A223" i="3"/>
  <c r="B223" i="3"/>
  <c r="C223" i="3"/>
  <c r="D223" i="3"/>
  <c r="E223" i="3"/>
  <c r="F223" i="3"/>
  <c r="G223" i="3"/>
  <c r="H223" i="3"/>
  <c r="I223" i="3"/>
  <c r="A224" i="3"/>
  <c r="B224" i="3"/>
  <c r="C224" i="3"/>
  <c r="D224" i="3"/>
  <c r="E224" i="3"/>
  <c r="F224" i="3"/>
  <c r="G224" i="3"/>
  <c r="H224" i="3"/>
  <c r="I224" i="3"/>
  <c r="A225" i="3"/>
  <c r="B225" i="3"/>
  <c r="C225" i="3"/>
  <c r="D225" i="3"/>
  <c r="E225" i="3"/>
  <c r="F225" i="3"/>
  <c r="G225" i="3"/>
  <c r="H225" i="3"/>
  <c r="I225" i="3"/>
  <c r="A226" i="3"/>
  <c r="B226" i="3"/>
  <c r="C226" i="3"/>
  <c r="D226" i="3"/>
  <c r="E226" i="3"/>
  <c r="F226" i="3"/>
  <c r="G226" i="3"/>
  <c r="H226" i="3"/>
  <c r="I226" i="3"/>
  <c r="A227" i="3"/>
  <c r="B227" i="3"/>
  <c r="C227" i="3"/>
  <c r="D227" i="3"/>
  <c r="E227" i="3"/>
  <c r="F227" i="3"/>
  <c r="G227" i="3"/>
  <c r="H227" i="3"/>
  <c r="I227" i="3"/>
  <c r="A228" i="3"/>
  <c r="B228" i="3"/>
  <c r="C228" i="3"/>
  <c r="D228" i="3"/>
  <c r="E228" i="3"/>
  <c r="F228" i="3"/>
  <c r="G228" i="3"/>
  <c r="H228" i="3"/>
  <c r="I228" i="3"/>
  <c r="A229" i="3"/>
  <c r="B229" i="3"/>
  <c r="C229" i="3"/>
  <c r="D229" i="3"/>
  <c r="E229" i="3"/>
  <c r="F229" i="3"/>
  <c r="G229" i="3"/>
  <c r="H229" i="3"/>
  <c r="I229" i="3"/>
  <c r="A230" i="3"/>
  <c r="B230" i="3"/>
  <c r="C230" i="3"/>
  <c r="D230" i="3"/>
  <c r="E230" i="3"/>
  <c r="F230" i="3"/>
  <c r="G230" i="3"/>
  <c r="H230" i="3"/>
  <c r="I230" i="3"/>
  <c r="A231" i="3"/>
  <c r="B231" i="3"/>
  <c r="C231" i="3"/>
  <c r="D231" i="3"/>
  <c r="E231" i="3"/>
  <c r="F231" i="3"/>
  <c r="G231" i="3"/>
  <c r="H231" i="3"/>
  <c r="I231" i="3"/>
  <c r="A232" i="3"/>
  <c r="B232" i="3"/>
  <c r="C232" i="3"/>
  <c r="D232" i="3"/>
  <c r="E232" i="3"/>
  <c r="F232" i="3"/>
  <c r="G232" i="3"/>
  <c r="H232" i="3"/>
  <c r="I232" i="3"/>
  <c r="A233" i="3"/>
  <c r="B233" i="3"/>
  <c r="C233" i="3"/>
  <c r="D233" i="3"/>
  <c r="E233" i="3"/>
  <c r="F233" i="3"/>
  <c r="G233" i="3"/>
  <c r="H233" i="3"/>
  <c r="I233" i="3"/>
  <c r="A234" i="3"/>
  <c r="B234" i="3"/>
  <c r="C234" i="3"/>
  <c r="D234" i="3"/>
  <c r="E234" i="3"/>
  <c r="F234" i="3"/>
  <c r="G234" i="3"/>
  <c r="H234" i="3"/>
  <c r="I234" i="3"/>
  <c r="A235" i="3"/>
  <c r="B235" i="3"/>
  <c r="C235" i="3"/>
  <c r="D235" i="3"/>
  <c r="E235" i="3"/>
  <c r="F235" i="3"/>
  <c r="G235" i="3"/>
  <c r="H235" i="3"/>
  <c r="I235" i="3"/>
  <c r="A236" i="3"/>
  <c r="B236" i="3"/>
  <c r="C236" i="3"/>
  <c r="D236" i="3"/>
  <c r="E236" i="3"/>
  <c r="F236" i="3"/>
  <c r="G236" i="3"/>
  <c r="H236" i="3"/>
  <c r="I236" i="3"/>
  <c r="A237" i="3"/>
  <c r="B237" i="3"/>
  <c r="C237" i="3"/>
  <c r="D237" i="3"/>
  <c r="E237" i="3"/>
  <c r="F237" i="3"/>
  <c r="G237" i="3"/>
  <c r="H237" i="3"/>
  <c r="I237" i="3"/>
  <c r="A238" i="3"/>
  <c r="B238" i="3"/>
  <c r="C238" i="3"/>
  <c r="D238" i="3"/>
  <c r="E238" i="3"/>
  <c r="F238" i="3"/>
  <c r="G238" i="3"/>
  <c r="H238" i="3"/>
  <c r="I238" i="3"/>
  <c r="A239" i="3"/>
  <c r="B239" i="3"/>
  <c r="C239" i="3"/>
  <c r="D239" i="3"/>
  <c r="E239" i="3"/>
  <c r="F239" i="3"/>
  <c r="G239" i="3"/>
  <c r="H239" i="3"/>
  <c r="I239" i="3"/>
  <c r="A240" i="3"/>
  <c r="B240" i="3"/>
  <c r="C240" i="3"/>
  <c r="D240" i="3"/>
  <c r="E240" i="3"/>
  <c r="F240" i="3"/>
  <c r="G240" i="3"/>
  <c r="H240" i="3"/>
  <c r="I240" i="3"/>
  <c r="A241" i="3"/>
  <c r="B241" i="3"/>
  <c r="C241" i="3"/>
  <c r="D241" i="3"/>
  <c r="E241" i="3"/>
  <c r="F241" i="3"/>
  <c r="G241" i="3"/>
  <c r="H241" i="3"/>
  <c r="I241" i="3"/>
  <c r="A242" i="3"/>
  <c r="B242" i="3"/>
  <c r="C242" i="3"/>
  <c r="D242" i="3"/>
  <c r="E242" i="3"/>
  <c r="F242" i="3"/>
  <c r="G242" i="3"/>
  <c r="H242" i="3"/>
  <c r="I242" i="3"/>
  <c r="A243" i="3"/>
  <c r="B243" i="3"/>
  <c r="C243" i="3"/>
  <c r="D243" i="3"/>
  <c r="E243" i="3"/>
  <c r="F243" i="3"/>
  <c r="G243" i="3"/>
  <c r="H243" i="3"/>
  <c r="I243" i="3"/>
  <c r="A244" i="3"/>
  <c r="B244" i="3"/>
  <c r="C244" i="3"/>
  <c r="D244" i="3"/>
  <c r="E244" i="3"/>
  <c r="F244" i="3"/>
  <c r="G244" i="3"/>
  <c r="H244" i="3"/>
  <c r="I244" i="3"/>
  <c r="A245" i="3"/>
  <c r="B245" i="3"/>
  <c r="C245" i="3"/>
  <c r="D245" i="3"/>
  <c r="E245" i="3"/>
  <c r="F245" i="3"/>
  <c r="G245" i="3"/>
  <c r="H245" i="3"/>
  <c r="I245" i="3"/>
  <c r="A246" i="3"/>
  <c r="B246" i="3"/>
  <c r="C246" i="3"/>
  <c r="D246" i="3"/>
  <c r="E246" i="3"/>
  <c r="F246" i="3"/>
  <c r="G246" i="3"/>
  <c r="H246" i="3"/>
  <c r="I246" i="3"/>
  <c r="A247" i="3"/>
  <c r="B247" i="3"/>
  <c r="C247" i="3"/>
  <c r="D247" i="3"/>
  <c r="E247" i="3"/>
  <c r="F247" i="3"/>
  <c r="G247" i="3"/>
  <c r="H247" i="3"/>
  <c r="I247" i="3"/>
  <c r="A248" i="3"/>
  <c r="B248" i="3"/>
  <c r="C248" i="3"/>
  <c r="D248" i="3"/>
  <c r="E248" i="3"/>
  <c r="F248" i="3"/>
  <c r="G248" i="3"/>
  <c r="H248" i="3"/>
  <c r="I248" i="3"/>
  <c r="A249" i="3"/>
  <c r="B249" i="3"/>
  <c r="C249" i="3"/>
  <c r="D249" i="3"/>
  <c r="E249" i="3"/>
  <c r="F249" i="3"/>
  <c r="G249" i="3"/>
  <c r="H249" i="3"/>
  <c r="I249" i="3"/>
  <c r="A250" i="3"/>
  <c r="B250" i="3"/>
  <c r="C250" i="3"/>
  <c r="D250" i="3"/>
  <c r="E250" i="3"/>
  <c r="F250" i="3"/>
  <c r="G250" i="3"/>
  <c r="H250" i="3"/>
  <c r="I250" i="3"/>
  <c r="A251" i="3"/>
  <c r="B251" i="3"/>
  <c r="C251" i="3"/>
  <c r="D251" i="3"/>
  <c r="E251" i="3"/>
  <c r="F251" i="3"/>
  <c r="G251" i="3"/>
  <c r="H251" i="3"/>
  <c r="I251" i="3"/>
  <c r="A252" i="3"/>
  <c r="B252" i="3"/>
  <c r="C252" i="3"/>
  <c r="D252" i="3"/>
  <c r="E252" i="3"/>
  <c r="F252" i="3"/>
  <c r="G252" i="3"/>
  <c r="H252" i="3"/>
  <c r="I252" i="3"/>
  <c r="A253" i="3"/>
  <c r="B253" i="3"/>
  <c r="C253" i="3"/>
  <c r="D253" i="3"/>
  <c r="E253" i="3"/>
  <c r="F253" i="3"/>
  <c r="G253" i="3"/>
  <c r="H253" i="3"/>
  <c r="I253" i="3"/>
  <c r="A254" i="3"/>
  <c r="B254" i="3"/>
  <c r="C254" i="3"/>
  <c r="D254" i="3"/>
  <c r="E254" i="3"/>
  <c r="F254" i="3"/>
  <c r="G254" i="3"/>
  <c r="H254" i="3"/>
  <c r="I254" i="3"/>
  <c r="A255" i="3"/>
  <c r="B255" i="3"/>
  <c r="C255" i="3"/>
  <c r="D255" i="3"/>
  <c r="E255" i="3"/>
  <c r="F255" i="3"/>
  <c r="G255" i="3"/>
  <c r="H255" i="3"/>
  <c r="I255" i="3"/>
  <c r="A256" i="3"/>
  <c r="B256" i="3"/>
  <c r="C256" i="3"/>
  <c r="D256" i="3"/>
  <c r="E256" i="3"/>
  <c r="F256" i="3"/>
  <c r="G256" i="3"/>
  <c r="H256" i="3"/>
  <c r="I256" i="3"/>
  <c r="A257" i="3"/>
  <c r="B257" i="3"/>
  <c r="C257" i="3"/>
  <c r="D257" i="3"/>
  <c r="E257" i="3"/>
  <c r="F257" i="3"/>
  <c r="G257" i="3"/>
  <c r="H257" i="3"/>
  <c r="I257" i="3"/>
  <c r="A258" i="3"/>
  <c r="B258" i="3"/>
  <c r="C258" i="3"/>
  <c r="D258" i="3"/>
  <c r="E258" i="3"/>
  <c r="F258" i="3"/>
  <c r="G258" i="3"/>
  <c r="H258" i="3"/>
  <c r="I258" i="3"/>
  <c r="A259" i="3"/>
  <c r="B259" i="3"/>
  <c r="C259" i="3"/>
  <c r="D259" i="3"/>
  <c r="E259" i="3"/>
  <c r="F259" i="3"/>
  <c r="G259" i="3"/>
  <c r="H259" i="3"/>
  <c r="I259" i="3"/>
  <c r="A260" i="3"/>
  <c r="B260" i="3"/>
  <c r="C260" i="3"/>
  <c r="D260" i="3"/>
  <c r="E260" i="3"/>
  <c r="F260" i="3"/>
  <c r="G260" i="3"/>
  <c r="H260" i="3"/>
  <c r="I260" i="3"/>
  <c r="A261" i="3"/>
  <c r="B261" i="3"/>
  <c r="C261" i="3"/>
  <c r="D261" i="3"/>
  <c r="E261" i="3"/>
  <c r="F261" i="3"/>
  <c r="G261" i="3"/>
  <c r="H261" i="3"/>
  <c r="I261" i="3"/>
  <c r="A262" i="3"/>
  <c r="B262" i="3"/>
  <c r="C262" i="3"/>
  <c r="D262" i="3"/>
  <c r="E262" i="3"/>
  <c r="F262" i="3"/>
  <c r="G262" i="3"/>
  <c r="H262" i="3"/>
  <c r="I262" i="3"/>
  <c r="A263" i="3"/>
  <c r="B263" i="3"/>
  <c r="C263" i="3"/>
  <c r="D263" i="3"/>
  <c r="E263" i="3"/>
  <c r="F263" i="3"/>
  <c r="G263" i="3"/>
  <c r="H263" i="3"/>
  <c r="I263" i="3"/>
  <c r="A264" i="3"/>
  <c r="B264" i="3"/>
  <c r="C264" i="3"/>
  <c r="D264" i="3"/>
  <c r="E264" i="3"/>
  <c r="F264" i="3"/>
  <c r="G264" i="3"/>
  <c r="H264" i="3"/>
  <c r="I264" i="3"/>
  <c r="A265" i="3"/>
  <c r="B265" i="3"/>
  <c r="C265" i="3"/>
  <c r="D265" i="3"/>
  <c r="E265" i="3"/>
  <c r="F265" i="3"/>
  <c r="G265" i="3"/>
  <c r="H265" i="3"/>
  <c r="I265" i="3"/>
  <c r="A266" i="3"/>
  <c r="B266" i="3"/>
  <c r="C266" i="3"/>
  <c r="D266" i="3"/>
  <c r="E266" i="3"/>
  <c r="F266" i="3"/>
  <c r="G266" i="3"/>
  <c r="H266" i="3"/>
  <c r="I266" i="3"/>
  <c r="A267" i="3"/>
  <c r="B267" i="3"/>
  <c r="C267" i="3"/>
  <c r="D267" i="3"/>
  <c r="E267" i="3"/>
  <c r="F267" i="3"/>
  <c r="G267" i="3"/>
  <c r="H267" i="3"/>
  <c r="I267" i="3"/>
  <c r="A268" i="3"/>
  <c r="B268" i="3"/>
  <c r="C268" i="3"/>
  <c r="D268" i="3"/>
  <c r="E268" i="3"/>
  <c r="F268" i="3"/>
  <c r="G268" i="3"/>
  <c r="H268" i="3"/>
  <c r="I268" i="3"/>
  <c r="A269" i="3"/>
  <c r="B269" i="3"/>
  <c r="C269" i="3"/>
  <c r="D269" i="3"/>
  <c r="E269" i="3"/>
  <c r="F269" i="3"/>
  <c r="G269" i="3"/>
  <c r="H269" i="3"/>
  <c r="I269" i="3"/>
  <c r="A270" i="3"/>
  <c r="B270" i="3"/>
  <c r="C270" i="3"/>
  <c r="D270" i="3"/>
  <c r="E270" i="3"/>
  <c r="F270" i="3"/>
  <c r="G270" i="3"/>
  <c r="H270" i="3"/>
  <c r="I270" i="3"/>
  <c r="A271" i="3"/>
  <c r="B271" i="3"/>
  <c r="C271" i="3"/>
  <c r="D271" i="3"/>
  <c r="E271" i="3"/>
  <c r="F271" i="3"/>
  <c r="G271" i="3"/>
  <c r="H271" i="3"/>
  <c r="I271" i="3"/>
  <c r="A272" i="3"/>
  <c r="B272" i="3"/>
  <c r="C272" i="3"/>
  <c r="D272" i="3"/>
  <c r="E272" i="3"/>
  <c r="F272" i="3"/>
  <c r="G272" i="3"/>
  <c r="H272" i="3"/>
  <c r="I272" i="3"/>
  <c r="A273" i="3"/>
  <c r="B273" i="3"/>
  <c r="C273" i="3"/>
  <c r="D273" i="3"/>
  <c r="E273" i="3"/>
  <c r="F273" i="3"/>
  <c r="G273" i="3"/>
  <c r="H273" i="3"/>
  <c r="I273" i="3"/>
  <c r="A274" i="3"/>
  <c r="B274" i="3"/>
  <c r="C274" i="3"/>
  <c r="D274" i="3"/>
  <c r="E274" i="3"/>
  <c r="F274" i="3"/>
  <c r="G274" i="3"/>
  <c r="H274" i="3"/>
  <c r="I274" i="3"/>
  <c r="A275" i="3"/>
  <c r="B275" i="3"/>
  <c r="C275" i="3"/>
  <c r="D275" i="3"/>
  <c r="E275" i="3"/>
  <c r="F275" i="3"/>
  <c r="G275" i="3"/>
  <c r="H275" i="3"/>
  <c r="I275" i="3"/>
  <c r="A276" i="3"/>
  <c r="B276" i="3"/>
  <c r="C276" i="3"/>
  <c r="D276" i="3"/>
  <c r="E276" i="3"/>
  <c r="F276" i="3"/>
  <c r="G276" i="3"/>
  <c r="H276" i="3"/>
  <c r="I276" i="3"/>
  <c r="A277" i="3"/>
  <c r="B277" i="3"/>
  <c r="C277" i="3"/>
  <c r="D277" i="3"/>
  <c r="E277" i="3"/>
  <c r="F277" i="3"/>
  <c r="G277" i="3"/>
  <c r="H277" i="3"/>
  <c r="I277" i="3"/>
  <c r="A278" i="3"/>
  <c r="B278" i="3"/>
  <c r="C278" i="3"/>
  <c r="D278" i="3"/>
  <c r="E278" i="3"/>
  <c r="F278" i="3"/>
  <c r="G278" i="3"/>
  <c r="H278" i="3"/>
  <c r="I278" i="3"/>
  <c r="A279" i="3"/>
  <c r="B279" i="3"/>
  <c r="C279" i="3"/>
  <c r="D279" i="3"/>
  <c r="E279" i="3"/>
  <c r="F279" i="3"/>
  <c r="G279" i="3"/>
  <c r="H279" i="3"/>
  <c r="I279" i="3"/>
  <c r="A280" i="3"/>
  <c r="B280" i="3"/>
  <c r="C280" i="3"/>
  <c r="D280" i="3"/>
  <c r="E280" i="3"/>
  <c r="F280" i="3"/>
  <c r="G280" i="3"/>
  <c r="H280" i="3"/>
  <c r="I280" i="3"/>
  <c r="A281" i="3"/>
  <c r="B281" i="3"/>
  <c r="C281" i="3"/>
  <c r="D281" i="3"/>
  <c r="E281" i="3"/>
  <c r="F281" i="3"/>
  <c r="G281" i="3"/>
  <c r="H281" i="3"/>
  <c r="I281" i="3"/>
  <c r="A282" i="3"/>
  <c r="B282" i="3"/>
  <c r="C282" i="3"/>
  <c r="D282" i="3"/>
  <c r="E282" i="3"/>
  <c r="F282" i="3"/>
  <c r="G282" i="3"/>
  <c r="H282" i="3"/>
  <c r="I282" i="3"/>
  <c r="A283" i="3"/>
  <c r="B283" i="3"/>
  <c r="C283" i="3"/>
  <c r="D283" i="3"/>
  <c r="E283" i="3"/>
  <c r="F283" i="3"/>
  <c r="G283" i="3"/>
  <c r="H283" i="3"/>
  <c r="I283" i="3"/>
  <c r="A284" i="3"/>
  <c r="B284" i="3"/>
  <c r="C284" i="3"/>
  <c r="D284" i="3"/>
  <c r="E284" i="3"/>
  <c r="F284" i="3"/>
  <c r="G284" i="3"/>
  <c r="H284" i="3"/>
  <c r="I284" i="3"/>
  <c r="A285" i="3"/>
  <c r="B285" i="3"/>
  <c r="C285" i="3"/>
  <c r="D285" i="3"/>
  <c r="E285" i="3"/>
  <c r="F285" i="3"/>
  <c r="G285" i="3"/>
  <c r="H285" i="3"/>
  <c r="I285" i="3"/>
  <c r="A286" i="3"/>
  <c r="B286" i="3"/>
  <c r="C286" i="3"/>
  <c r="D286" i="3"/>
  <c r="E286" i="3"/>
  <c r="F286" i="3"/>
  <c r="G286" i="3"/>
  <c r="H286" i="3"/>
  <c r="I286" i="3"/>
  <c r="A287" i="3"/>
  <c r="B287" i="3"/>
  <c r="C287" i="3"/>
  <c r="D287" i="3"/>
  <c r="E287" i="3"/>
  <c r="F287" i="3"/>
  <c r="G287" i="3"/>
  <c r="H287" i="3"/>
  <c r="I287" i="3"/>
  <c r="A288" i="3"/>
  <c r="B288" i="3"/>
  <c r="C288" i="3"/>
  <c r="D288" i="3"/>
  <c r="E288" i="3"/>
  <c r="F288" i="3"/>
  <c r="G288" i="3"/>
  <c r="H288" i="3"/>
  <c r="I288" i="3"/>
  <c r="A289" i="3"/>
  <c r="B289" i="3"/>
  <c r="C289" i="3"/>
  <c r="D289" i="3"/>
  <c r="E289" i="3"/>
  <c r="F289" i="3"/>
  <c r="G289" i="3"/>
  <c r="H289" i="3"/>
  <c r="I289" i="3"/>
  <c r="A290" i="3"/>
  <c r="B290" i="3"/>
  <c r="C290" i="3"/>
  <c r="D290" i="3"/>
  <c r="E290" i="3"/>
  <c r="F290" i="3"/>
  <c r="G290" i="3"/>
  <c r="H290" i="3"/>
  <c r="I290" i="3"/>
  <c r="A291" i="3"/>
  <c r="B291" i="3"/>
  <c r="C291" i="3"/>
  <c r="D291" i="3"/>
  <c r="E291" i="3"/>
  <c r="F291" i="3"/>
  <c r="G291" i="3"/>
  <c r="H291" i="3"/>
  <c r="I291" i="3"/>
  <c r="A292" i="3"/>
  <c r="B292" i="3"/>
  <c r="C292" i="3"/>
  <c r="D292" i="3"/>
  <c r="E292" i="3"/>
  <c r="F292" i="3"/>
  <c r="G292" i="3"/>
  <c r="H292" i="3"/>
  <c r="I292" i="3"/>
  <c r="A293" i="3"/>
  <c r="B293" i="3"/>
  <c r="C293" i="3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D293" i="3"/>
  <c r="E293" i="3"/>
  <c r="F293" i="3"/>
  <c r="G293" i="3"/>
  <c r="H293" i="3"/>
  <c r="I293" i="3"/>
  <c r="A294" i="3"/>
  <c r="B294" i="3"/>
  <c r="D294" i="3"/>
  <c r="E294" i="3"/>
  <c r="F294" i="3"/>
  <c r="G294" i="3"/>
  <c r="H294" i="3"/>
  <c r="I294" i="3"/>
  <c r="A295" i="3"/>
  <c r="B295" i="3"/>
  <c r="D295" i="3"/>
  <c r="E295" i="3"/>
  <c r="F295" i="3"/>
  <c r="G295" i="3"/>
  <c r="H295" i="3"/>
  <c r="I295" i="3"/>
  <c r="A296" i="3"/>
  <c r="B296" i="3"/>
  <c r="D296" i="3"/>
  <c r="E296" i="3"/>
  <c r="F296" i="3"/>
  <c r="G296" i="3"/>
  <c r="H296" i="3"/>
  <c r="I296" i="3"/>
  <c r="A297" i="3"/>
  <c r="B297" i="3"/>
  <c r="D297" i="3"/>
  <c r="E297" i="3"/>
  <c r="F297" i="3"/>
  <c r="G297" i="3"/>
  <c r="H297" i="3"/>
  <c r="I297" i="3"/>
  <c r="A298" i="3"/>
  <c r="B298" i="3"/>
  <c r="D298" i="3"/>
  <c r="E298" i="3"/>
  <c r="F298" i="3"/>
  <c r="G298" i="3"/>
  <c r="H298" i="3"/>
  <c r="I298" i="3"/>
  <c r="A299" i="3"/>
  <c r="B299" i="3"/>
  <c r="D299" i="3"/>
  <c r="E299" i="3"/>
  <c r="F299" i="3"/>
  <c r="G299" i="3"/>
  <c r="H299" i="3"/>
  <c r="I299" i="3"/>
  <c r="A300" i="3"/>
  <c r="B300" i="3"/>
  <c r="D300" i="3"/>
  <c r="E300" i="3"/>
  <c r="F300" i="3"/>
  <c r="G300" i="3"/>
  <c r="H300" i="3"/>
  <c r="I300" i="3"/>
  <c r="A301" i="3"/>
  <c r="B301" i="3"/>
  <c r="D301" i="3"/>
  <c r="E301" i="3"/>
  <c r="F301" i="3"/>
  <c r="G301" i="3"/>
  <c r="H301" i="3"/>
  <c r="I301" i="3"/>
  <c r="A302" i="3"/>
  <c r="B302" i="3"/>
  <c r="D302" i="3"/>
  <c r="E302" i="3"/>
  <c r="F302" i="3"/>
  <c r="G302" i="3"/>
  <c r="H302" i="3"/>
  <c r="I302" i="3"/>
  <c r="A303" i="3"/>
  <c r="B303" i="3"/>
  <c r="D303" i="3"/>
  <c r="E303" i="3"/>
  <c r="F303" i="3"/>
  <c r="G303" i="3"/>
  <c r="H303" i="3"/>
  <c r="I303" i="3"/>
  <c r="A304" i="3"/>
  <c r="B304" i="3"/>
  <c r="D304" i="3"/>
  <c r="E304" i="3"/>
  <c r="F304" i="3"/>
  <c r="G304" i="3"/>
  <c r="H304" i="3"/>
  <c r="I304" i="3"/>
  <c r="A305" i="3"/>
  <c r="B305" i="3"/>
  <c r="D305" i="3"/>
  <c r="E305" i="3"/>
  <c r="F305" i="3"/>
  <c r="G305" i="3"/>
  <c r="H305" i="3"/>
  <c r="I305" i="3"/>
  <c r="A306" i="3"/>
  <c r="B306" i="3"/>
  <c r="D306" i="3"/>
  <c r="E306" i="3"/>
  <c r="F306" i="3"/>
  <c r="G306" i="3"/>
  <c r="H306" i="3"/>
  <c r="I306" i="3"/>
  <c r="A307" i="3"/>
  <c r="B307" i="3"/>
  <c r="D307" i="3"/>
  <c r="E307" i="3"/>
  <c r="F307" i="3"/>
  <c r="G307" i="3"/>
  <c r="H307" i="3"/>
  <c r="I307" i="3"/>
  <c r="A308" i="3"/>
  <c r="B308" i="3"/>
  <c r="D308" i="3"/>
  <c r="E308" i="3"/>
  <c r="F308" i="3"/>
  <c r="G308" i="3"/>
  <c r="H308" i="3"/>
  <c r="I308" i="3"/>
  <c r="A309" i="3"/>
  <c r="B309" i="3"/>
  <c r="D309" i="3"/>
  <c r="E309" i="3"/>
  <c r="F309" i="3"/>
  <c r="G309" i="3"/>
  <c r="H309" i="3"/>
  <c r="I309" i="3"/>
  <c r="A310" i="3"/>
  <c r="B310" i="3"/>
  <c r="D310" i="3"/>
  <c r="E310" i="3"/>
  <c r="F310" i="3"/>
  <c r="G310" i="3"/>
  <c r="H310" i="3"/>
  <c r="I310" i="3"/>
  <c r="J310" i="3"/>
  <c r="K310" i="3"/>
  <c r="K311" i="3" s="1"/>
  <c r="L310" i="3"/>
  <c r="N310" i="3"/>
  <c r="O310" i="3"/>
  <c r="O311" i="3" s="1"/>
  <c r="P310" i="3"/>
  <c r="R310" i="3"/>
  <c r="S310" i="3"/>
  <c r="S311" i="3" s="1"/>
  <c r="T310" i="3"/>
  <c r="V310" i="3"/>
  <c r="W310" i="3"/>
  <c r="W311" i="3" s="1"/>
  <c r="X310" i="3"/>
  <c r="Z310" i="3"/>
  <c r="AB310" i="3"/>
  <c r="AD310" i="3"/>
  <c r="AE310" i="3"/>
  <c r="AE311" i="3" s="1"/>
  <c r="AE312" i="3" s="1"/>
  <c r="AF310" i="3"/>
  <c r="AJ310" i="3"/>
  <c r="A311" i="3"/>
  <c r="B311" i="3"/>
  <c r="D311" i="3"/>
  <c r="E311" i="3"/>
  <c r="F311" i="3"/>
  <c r="G311" i="3"/>
  <c r="H311" i="3"/>
  <c r="I311" i="3"/>
  <c r="J311" i="3"/>
  <c r="L311" i="3"/>
  <c r="N311" i="3"/>
  <c r="P311" i="3"/>
  <c r="R311" i="3"/>
  <c r="T311" i="3"/>
  <c r="V311" i="3"/>
  <c r="X311" i="3"/>
  <c r="Z311" i="3"/>
  <c r="AB311" i="3"/>
  <c r="AD311" i="3"/>
  <c r="AF311" i="3"/>
  <c r="AI311" i="3"/>
  <c r="AI312" i="3" s="1"/>
  <c r="AI313" i="3" s="1"/>
  <c r="AI314" i="3" s="1"/>
  <c r="AI315" i="3" s="1"/>
  <c r="AJ311" i="3"/>
  <c r="A312" i="3"/>
  <c r="B312" i="3"/>
  <c r="D312" i="3"/>
  <c r="E312" i="3"/>
  <c r="F312" i="3"/>
  <c r="G312" i="3"/>
  <c r="H312" i="3"/>
  <c r="I312" i="3"/>
  <c r="J312" i="3"/>
  <c r="K312" i="3"/>
  <c r="L312" i="3"/>
  <c r="N312" i="3"/>
  <c r="O312" i="3"/>
  <c r="P312" i="3"/>
  <c r="R312" i="3"/>
  <c r="S312" i="3"/>
  <c r="T312" i="3"/>
  <c r="V312" i="3"/>
  <c r="W312" i="3"/>
  <c r="W313" i="3" s="1"/>
  <c r="W314" i="3" s="1"/>
  <c r="W315" i="3" s="1"/>
  <c r="W316" i="3" s="1"/>
  <c r="X312" i="3"/>
  <c r="Z312" i="3"/>
  <c r="AA312" i="3"/>
  <c r="AB312" i="3"/>
  <c r="AD312" i="3"/>
  <c r="AF312" i="3"/>
  <c r="AJ312" i="3"/>
  <c r="A313" i="3"/>
  <c r="B313" i="3"/>
  <c r="D313" i="3"/>
  <c r="E313" i="3"/>
  <c r="F313" i="3"/>
  <c r="G313" i="3"/>
  <c r="H313" i="3"/>
  <c r="I313" i="3"/>
  <c r="J313" i="3"/>
  <c r="K313" i="3"/>
  <c r="K314" i="3" s="1"/>
  <c r="K315" i="3" s="1"/>
  <c r="K316" i="3" s="1"/>
  <c r="K317" i="3" s="1"/>
  <c r="K318" i="3" s="1"/>
  <c r="K319" i="3" s="1"/>
  <c r="K320" i="3" s="1"/>
  <c r="K321" i="3" s="1"/>
  <c r="K322" i="3" s="1"/>
  <c r="K323" i="3" s="1"/>
  <c r="K324" i="3" s="1"/>
  <c r="K325" i="3" s="1"/>
  <c r="K326" i="3" s="1"/>
  <c r="K327" i="3" s="1"/>
  <c r="K328" i="3" s="1"/>
  <c r="K329" i="3" s="1"/>
  <c r="K330" i="3" s="1"/>
  <c r="K331" i="3" s="1"/>
  <c r="L313" i="3"/>
  <c r="N313" i="3"/>
  <c r="O313" i="3"/>
  <c r="O314" i="3" s="1"/>
  <c r="O315" i="3" s="1"/>
  <c r="O316" i="3" s="1"/>
  <c r="O317" i="3" s="1"/>
  <c r="P313" i="3"/>
  <c r="R313" i="3"/>
  <c r="S313" i="3"/>
  <c r="S314" i="3" s="1"/>
  <c r="S315" i="3" s="1"/>
  <c r="S316" i="3" s="1"/>
  <c r="S317" i="3" s="1"/>
  <c r="T313" i="3"/>
  <c r="V313" i="3"/>
  <c r="X313" i="3"/>
  <c r="Z313" i="3"/>
  <c r="AA313" i="3"/>
  <c r="AA314" i="3" s="1"/>
  <c r="AA315" i="3" s="1"/>
  <c r="AA316" i="3" s="1"/>
  <c r="AA317" i="3" s="1"/>
  <c r="AB313" i="3"/>
  <c r="AD313" i="3"/>
  <c r="AE313" i="3"/>
  <c r="AE314" i="3" s="1"/>
  <c r="AE315" i="3" s="1"/>
  <c r="AE316" i="3" s="1"/>
  <c r="AE317" i="3" s="1"/>
  <c r="AE318" i="3" s="1"/>
  <c r="AE319" i="3" s="1"/>
  <c r="AE320" i="3" s="1"/>
  <c r="AF313" i="3"/>
  <c r="AJ313" i="3"/>
  <c r="A314" i="3"/>
  <c r="B314" i="3"/>
  <c r="D314" i="3"/>
  <c r="E314" i="3"/>
  <c r="F314" i="3"/>
  <c r="G314" i="3"/>
  <c r="H314" i="3"/>
  <c r="I314" i="3"/>
  <c r="J314" i="3"/>
  <c r="L314" i="3"/>
  <c r="N314" i="3"/>
  <c r="P314" i="3"/>
  <c r="R314" i="3"/>
  <c r="T314" i="3"/>
  <c r="V314" i="3"/>
  <c r="X314" i="3"/>
  <c r="Z314" i="3"/>
  <c r="AB314" i="3"/>
  <c r="AD314" i="3"/>
  <c r="AF314" i="3"/>
  <c r="AJ314" i="3"/>
  <c r="A315" i="3"/>
  <c r="B315" i="3"/>
  <c r="D315" i="3"/>
  <c r="E315" i="3"/>
  <c r="F315" i="3"/>
  <c r="G315" i="3"/>
  <c r="H315" i="3"/>
  <c r="I315" i="3"/>
  <c r="J315" i="3"/>
  <c r="L315" i="3"/>
  <c r="N315" i="3"/>
  <c r="P315" i="3"/>
  <c r="R315" i="3"/>
  <c r="T315" i="3"/>
  <c r="V315" i="3"/>
  <c r="X315" i="3"/>
  <c r="Z315" i="3"/>
  <c r="AB315" i="3"/>
  <c r="AD315" i="3"/>
  <c r="AF315" i="3"/>
  <c r="AJ315" i="3"/>
  <c r="A316" i="3"/>
  <c r="B316" i="3"/>
  <c r="D316" i="3"/>
  <c r="E316" i="3"/>
  <c r="F316" i="3"/>
  <c r="G316" i="3"/>
  <c r="H316" i="3"/>
  <c r="I316" i="3"/>
  <c r="J316" i="3"/>
  <c r="L316" i="3"/>
  <c r="N316" i="3"/>
  <c r="P316" i="3"/>
  <c r="R316" i="3"/>
  <c r="T316" i="3"/>
  <c r="V316" i="3"/>
  <c r="X316" i="3"/>
  <c r="Z316" i="3"/>
  <c r="AB316" i="3"/>
  <c r="AD316" i="3"/>
  <c r="AF316" i="3"/>
  <c r="AI316" i="3"/>
  <c r="AI317" i="3" s="1"/>
  <c r="AI318" i="3" s="1"/>
  <c r="AI319" i="3" s="1"/>
  <c r="AI320" i="3" s="1"/>
  <c r="AI321" i="3" s="1"/>
  <c r="AI322" i="3" s="1"/>
  <c r="AI323" i="3" s="1"/>
  <c r="AI324" i="3" s="1"/>
  <c r="AI325" i="3" s="1"/>
  <c r="AI326" i="3" s="1"/>
  <c r="AI327" i="3" s="1"/>
  <c r="AI328" i="3" s="1"/>
  <c r="AI329" i="3" s="1"/>
  <c r="AI330" i="3" s="1"/>
  <c r="AI331" i="3" s="1"/>
  <c r="AJ316" i="3"/>
  <c r="A317" i="3"/>
  <c r="B317" i="3"/>
  <c r="D317" i="3"/>
  <c r="E317" i="3"/>
  <c r="F317" i="3"/>
  <c r="G317" i="3"/>
  <c r="H317" i="3"/>
  <c r="I317" i="3"/>
  <c r="J317" i="3"/>
  <c r="L317" i="3"/>
  <c r="N317" i="3"/>
  <c r="P317" i="3"/>
  <c r="R317" i="3"/>
  <c r="T317" i="3"/>
  <c r="V317" i="3"/>
  <c r="W317" i="3"/>
  <c r="W318" i="3" s="1"/>
  <c r="W319" i="3" s="1"/>
  <c r="W320" i="3" s="1"/>
  <c r="W321" i="3" s="1"/>
  <c r="W322" i="3" s="1"/>
  <c r="W323" i="3" s="1"/>
  <c r="W324" i="3" s="1"/>
  <c r="X317" i="3"/>
  <c r="Z317" i="3"/>
  <c r="AB317" i="3"/>
  <c r="AD317" i="3"/>
  <c r="AF317" i="3"/>
  <c r="AJ317" i="3"/>
  <c r="A318" i="3"/>
  <c r="B318" i="3"/>
  <c r="D318" i="3"/>
  <c r="E318" i="3"/>
  <c r="F318" i="3"/>
  <c r="G318" i="3"/>
  <c r="H318" i="3"/>
  <c r="I318" i="3"/>
  <c r="J318" i="3"/>
  <c r="L318" i="3"/>
  <c r="N318" i="3"/>
  <c r="O318" i="3"/>
  <c r="O319" i="3" s="1"/>
  <c r="O320" i="3" s="1"/>
  <c r="P318" i="3"/>
  <c r="R318" i="3"/>
  <c r="S318" i="3"/>
  <c r="S319" i="3" s="1"/>
  <c r="S320" i="3" s="1"/>
  <c r="S321" i="3" s="1"/>
  <c r="S322" i="3" s="1"/>
  <c r="S323" i="3" s="1"/>
  <c r="S324" i="3" s="1"/>
  <c r="S325" i="3" s="1"/>
  <c r="T318" i="3"/>
  <c r="V318" i="3"/>
  <c r="X318" i="3"/>
  <c r="Z318" i="3"/>
  <c r="AA318" i="3"/>
  <c r="AA319" i="3" s="1"/>
  <c r="AA320" i="3" s="1"/>
  <c r="AA321" i="3" s="1"/>
  <c r="AA322" i="3" s="1"/>
  <c r="AA323" i="3" s="1"/>
  <c r="AA324" i="3" s="1"/>
  <c r="AA325" i="3" s="1"/>
  <c r="AA326" i="3" s="1"/>
  <c r="AA327" i="3" s="1"/>
  <c r="AA328" i="3" s="1"/>
  <c r="AA329" i="3" s="1"/>
  <c r="AA330" i="3" s="1"/>
  <c r="AA331" i="3" s="1"/>
  <c r="AB318" i="3"/>
  <c r="AD318" i="3"/>
  <c r="AF318" i="3"/>
  <c r="AJ318" i="3"/>
  <c r="A319" i="3"/>
  <c r="B319" i="3"/>
  <c r="D319" i="3"/>
  <c r="E319" i="3"/>
  <c r="F319" i="3"/>
  <c r="G319" i="3"/>
  <c r="H319" i="3"/>
  <c r="I319" i="3"/>
  <c r="J319" i="3"/>
  <c r="L319" i="3"/>
  <c r="N319" i="3"/>
  <c r="P319" i="3"/>
  <c r="R319" i="3"/>
  <c r="T319" i="3"/>
  <c r="V319" i="3"/>
  <c r="X319" i="3"/>
  <c r="Z319" i="3"/>
  <c r="AB319" i="3"/>
  <c r="AD319" i="3"/>
  <c r="AF319" i="3"/>
  <c r="AJ319" i="3"/>
  <c r="A320" i="3"/>
  <c r="B320" i="3"/>
  <c r="D320" i="3"/>
  <c r="E320" i="3"/>
  <c r="F320" i="3"/>
  <c r="G320" i="3"/>
  <c r="H320" i="3"/>
  <c r="I320" i="3"/>
  <c r="J320" i="3"/>
  <c r="L320" i="3"/>
  <c r="N320" i="3"/>
  <c r="P320" i="3"/>
  <c r="R320" i="3"/>
  <c r="T320" i="3"/>
  <c r="V320" i="3"/>
  <c r="X320" i="3"/>
  <c r="Z320" i="3"/>
  <c r="AB320" i="3"/>
  <c r="AD320" i="3"/>
  <c r="AF320" i="3"/>
  <c r="AJ320" i="3"/>
  <c r="A321" i="3"/>
  <c r="B321" i="3"/>
  <c r="D321" i="3"/>
  <c r="E321" i="3"/>
  <c r="F321" i="3"/>
  <c r="G321" i="3"/>
  <c r="H321" i="3"/>
  <c r="I321" i="3"/>
  <c r="J321" i="3"/>
  <c r="L321" i="3"/>
  <c r="N321" i="3"/>
  <c r="O321" i="3"/>
  <c r="O322" i="3" s="1"/>
  <c r="O323" i="3" s="1"/>
  <c r="P321" i="3"/>
  <c r="R321" i="3"/>
  <c r="T321" i="3"/>
  <c r="V321" i="3"/>
  <c r="X321" i="3"/>
  <c r="Z321" i="3"/>
  <c r="AB321" i="3"/>
  <c r="AD321" i="3"/>
  <c r="AE321" i="3"/>
  <c r="AE322" i="3" s="1"/>
  <c r="AE323" i="3" s="1"/>
  <c r="AE324" i="3" s="1"/>
  <c r="AE325" i="3" s="1"/>
  <c r="AE326" i="3" s="1"/>
  <c r="AE327" i="3" s="1"/>
  <c r="AE328" i="3" s="1"/>
  <c r="AE329" i="3" s="1"/>
  <c r="AE330" i="3" s="1"/>
  <c r="AE331" i="3" s="1"/>
  <c r="AF321" i="3"/>
  <c r="AJ321" i="3"/>
  <c r="A322" i="3"/>
  <c r="B322" i="3"/>
  <c r="D322" i="3"/>
  <c r="E322" i="3"/>
  <c r="F322" i="3"/>
  <c r="G322" i="3"/>
  <c r="H322" i="3"/>
  <c r="I322" i="3"/>
  <c r="J322" i="3"/>
  <c r="L322" i="3"/>
  <c r="N322" i="3"/>
  <c r="P322" i="3"/>
  <c r="R322" i="3"/>
  <c r="T322" i="3"/>
  <c r="V322" i="3"/>
  <c r="X322" i="3"/>
  <c r="Z322" i="3"/>
  <c r="AB322" i="3"/>
  <c r="AD322" i="3"/>
  <c r="AF322" i="3"/>
  <c r="AJ322" i="3"/>
  <c r="A323" i="3"/>
  <c r="B323" i="3"/>
  <c r="D323" i="3"/>
  <c r="E323" i="3"/>
  <c r="F323" i="3"/>
  <c r="G323" i="3"/>
  <c r="H323" i="3"/>
  <c r="I323" i="3"/>
  <c r="J323" i="3"/>
  <c r="L323" i="3"/>
  <c r="N323" i="3"/>
  <c r="P323" i="3"/>
  <c r="R323" i="3"/>
  <c r="T323" i="3"/>
  <c r="V323" i="3"/>
  <c r="X323" i="3"/>
  <c r="Z323" i="3"/>
  <c r="AB323" i="3"/>
  <c r="AD323" i="3"/>
  <c r="AF323" i="3"/>
  <c r="AJ323" i="3"/>
  <c r="A324" i="3"/>
  <c r="B324" i="3"/>
  <c r="D324" i="3"/>
  <c r="E324" i="3"/>
  <c r="F324" i="3"/>
  <c r="G324" i="3"/>
  <c r="H324" i="3"/>
  <c r="I324" i="3"/>
  <c r="J324" i="3"/>
  <c r="L324" i="3"/>
  <c r="N324" i="3"/>
  <c r="O324" i="3"/>
  <c r="O325" i="3" s="1"/>
  <c r="O326" i="3" s="1"/>
  <c r="O327" i="3" s="1"/>
  <c r="O328" i="3" s="1"/>
  <c r="O329" i="3" s="1"/>
  <c r="O330" i="3" s="1"/>
  <c r="O331" i="3" s="1"/>
  <c r="P324" i="3"/>
  <c r="R324" i="3"/>
  <c r="T324" i="3"/>
  <c r="V324" i="3"/>
  <c r="X324" i="3"/>
  <c r="Y324" i="3"/>
  <c r="Y325" i="3" s="1"/>
  <c r="Y326" i="3" s="1"/>
  <c r="Y327" i="3" s="1"/>
  <c r="Y328" i="3" s="1"/>
  <c r="Y329" i="3" s="1"/>
  <c r="Y330" i="3" s="1"/>
  <c r="Y331" i="3" s="1"/>
  <c r="Z324" i="3"/>
  <c r="AB324" i="3"/>
  <c r="AD324" i="3"/>
  <c r="AF324" i="3"/>
  <c r="AJ324" i="3"/>
  <c r="A325" i="3"/>
  <c r="B325" i="3"/>
  <c r="D325" i="3"/>
  <c r="E325" i="3"/>
  <c r="F325" i="3"/>
  <c r="G325" i="3"/>
  <c r="H325" i="3"/>
  <c r="I325" i="3"/>
  <c r="J325" i="3"/>
  <c r="L325" i="3"/>
  <c r="N325" i="3"/>
  <c r="P325" i="3"/>
  <c r="R325" i="3"/>
  <c r="T325" i="3"/>
  <c r="V325" i="3"/>
  <c r="W325" i="3"/>
  <c r="W326" i="3" s="1"/>
  <c r="W327" i="3" s="1"/>
  <c r="W328" i="3" s="1"/>
  <c r="W329" i="3" s="1"/>
  <c r="W330" i="3" s="1"/>
  <c r="W331" i="3" s="1"/>
  <c r="X325" i="3"/>
  <c r="Z325" i="3"/>
  <c r="AB325" i="3"/>
  <c r="AD325" i="3"/>
  <c r="AF325" i="3"/>
  <c r="AJ325" i="3"/>
  <c r="A326" i="3"/>
  <c r="B326" i="3"/>
  <c r="D326" i="3"/>
  <c r="E326" i="3"/>
  <c r="F326" i="3"/>
  <c r="G326" i="3"/>
  <c r="H326" i="3"/>
  <c r="I326" i="3"/>
  <c r="J326" i="3"/>
  <c r="L326" i="3"/>
  <c r="N326" i="3"/>
  <c r="P326" i="3"/>
  <c r="R326" i="3"/>
  <c r="S326" i="3"/>
  <c r="S327" i="3" s="1"/>
  <c r="S328" i="3" s="1"/>
  <c r="S329" i="3" s="1"/>
  <c r="S330" i="3" s="1"/>
  <c r="S331" i="3" s="1"/>
  <c r="T326" i="3"/>
  <c r="V326" i="3"/>
  <c r="X326" i="3"/>
  <c r="Z326" i="3"/>
  <c r="AB326" i="3"/>
  <c r="AD326" i="3"/>
  <c r="AF326" i="3"/>
  <c r="AJ326" i="3"/>
  <c r="A327" i="3"/>
  <c r="B327" i="3"/>
  <c r="D327" i="3"/>
  <c r="E327" i="3"/>
  <c r="F327" i="3"/>
  <c r="G327" i="3"/>
  <c r="H327" i="3"/>
  <c r="I327" i="3"/>
  <c r="J327" i="3"/>
  <c r="L327" i="3"/>
  <c r="N327" i="3"/>
  <c r="P327" i="3"/>
  <c r="R327" i="3"/>
  <c r="T327" i="3"/>
  <c r="V327" i="3"/>
  <c r="X327" i="3"/>
  <c r="Z327" i="3"/>
  <c r="AB327" i="3"/>
  <c r="AD327" i="3"/>
  <c r="AF327" i="3"/>
  <c r="AJ327" i="3"/>
  <c r="A328" i="3"/>
  <c r="B328" i="3"/>
  <c r="D328" i="3"/>
  <c r="E328" i="3"/>
  <c r="F328" i="3"/>
  <c r="G328" i="3"/>
  <c r="H328" i="3"/>
  <c r="I328" i="3"/>
  <c r="J328" i="3"/>
  <c r="L328" i="3"/>
  <c r="N328" i="3"/>
  <c r="P328" i="3"/>
  <c r="R328" i="3"/>
  <c r="T328" i="3"/>
  <c r="V328" i="3"/>
  <c r="X328" i="3"/>
  <c r="Z328" i="3"/>
  <c r="AB328" i="3"/>
  <c r="AD328" i="3"/>
  <c r="AF328" i="3"/>
  <c r="AJ328" i="3"/>
  <c r="A329" i="3"/>
  <c r="B329" i="3"/>
  <c r="D329" i="3"/>
  <c r="E329" i="3"/>
  <c r="F329" i="3"/>
  <c r="G329" i="3"/>
  <c r="H329" i="3"/>
  <c r="I329" i="3"/>
  <c r="J329" i="3"/>
  <c r="L329" i="3"/>
  <c r="N329" i="3"/>
  <c r="P329" i="3"/>
  <c r="R329" i="3"/>
  <c r="T329" i="3"/>
  <c r="V329" i="3"/>
  <c r="X329" i="3"/>
  <c r="Z329" i="3"/>
  <c r="AB329" i="3"/>
  <c r="AD329" i="3"/>
  <c r="AF329" i="3"/>
  <c r="AJ329" i="3"/>
  <c r="A330" i="3"/>
  <c r="B330" i="3"/>
  <c r="D330" i="3"/>
  <c r="E330" i="3"/>
  <c r="F330" i="3"/>
  <c r="G330" i="3"/>
  <c r="H330" i="3"/>
  <c r="I330" i="3"/>
  <c r="J330" i="3"/>
  <c r="L330" i="3"/>
  <c r="N330" i="3"/>
  <c r="P330" i="3"/>
  <c r="R330" i="3"/>
  <c r="T330" i="3"/>
  <c r="V330" i="3"/>
  <c r="X330" i="3"/>
  <c r="Z330" i="3"/>
  <c r="AB330" i="3"/>
  <c r="AD330" i="3"/>
  <c r="AF330" i="3"/>
  <c r="AJ330" i="3"/>
  <c r="A331" i="3"/>
  <c r="B331" i="3"/>
  <c r="D331" i="3"/>
  <c r="E331" i="3"/>
  <c r="F331" i="3"/>
  <c r="G331" i="3"/>
  <c r="H331" i="3"/>
  <c r="I331" i="3"/>
  <c r="J331" i="3"/>
  <c r="L331" i="3"/>
  <c r="N331" i="3"/>
  <c r="P331" i="3"/>
  <c r="R331" i="3"/>
  <c r="T331" i="3"/>
  <c r="V331" i="3"/>
  <c r="X331" i="3"/>
  <c r="Z331" i="3"/>
  <c r="AB331" i="3"/>
  <c r="AD331" i="3"/>
  <c r="AF331" i="3"/>
  <c r="AJ331" i="3"/>
  <c r="L2" i="3"/>
  <c r="J2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A163" i="2"/>
  <c r="A164" i="2"/>
  <c r="A165" i="2"/>
  <c r="A159" i="2" l="1"/>
  <c r="A160" i="2"/>
  <c r="A161" i="2"/>
  <c r="A162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35" i="2"/>
  <c r="S104" i="2"/>
  <c r="T104" i="2"/>
  <c r="S105" i="2"/>
  <c r="T105" i="2"/>
  <c r="S106" i="2"/>
  <c r="T106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A132" i="2"/>
  <c r="A133" i="2"/>
  <c r="A134" i="2"/>
  <c r="A128" i="2"/>
  <c r="A129" i="2"/>
  <c r="A130" i="2"/>
  <c r="A131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04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A103" i="2" l="1"/>
  <c r="A102" i="2"/>
  <c r="A101" i="2"/>
  <c r="A100" i="2"/>
  <c r="A99" i="2"/>
  <c r="A98" i="2"/>
  <c r="A97" i="2"/>
  <c r="A90" i="2"/>
  <c r="A89" i="2"/>
  <c r="A91" i="2"/>
  <c r="A92" i="2"/>
  <c r="A93" i="2"/>
  <c r="A94" i="2"/>
  <c r="A95" i="2"/>
  <c r="A96" i="2"/>
  <c r="S53" i="2" l="1"/>
  <c r="T53" i="2"/>
  <c r="S54" i="2"/>
  <c r="T54" i="2"/>
  <c r="S55" i="2"/>
  <c r="T55" i="2"/>
  <c r="S56" i="2"/>
  <c r="T56" i="2"/>
  <c r="S57" i="2"/>
  <c r="T57" i="2"/>
  <c r="S58" i="2"/>
  <c r="T58" i="2"/>
  <c r="S59" i="2"/>
  <c r="T59" i="2"/>
  <c r="S60" i="2"/>
  <c r="T60" i="2"/>
  <c r="S61" i="2"/>
  <c r="T61" i="2"/>
  <c r="S62" i="2"/>
  <c r="T62" i="2"/>
  <c r="S63" i="2"/>
  <c r="T63" i="2"/>
  <c r="S64" i="2"/>
  <c r="T64" i="2"/>
  <c r="S65" i="2"/>
  <c r="T65" i="2"/>
  <c r="S66" i="2"/>
  <c r="T66" i="2"/>
  <c r="S67" i="2"/>
  <c r="T67" i="2"/>
  <c r="S68" i="2"/>
  <c r="T68" i="2"/>
  <c r="S69" i="2"/>
  <c r="T69" i="2"/>
  <c r="S70" i="2"/>
  <c r="T70" i="2"/>
  <c r="S71" i="2"/>
  <c r="T71" i="2"/>
  <c r="S72" i="2"/>
  <c r="T72" i="2"/>
  <c r="S73" i="2"/>
  <c r="T73" i="2"/>
  <c r="S74" i="2"/>
  <c r="T74" i="2"/>
  <c r="S75" i="2"/>
  <c r="T75" i="2"/>
  <c r="S76" i="2"/>
  <c r="T76" i="2"/>
  <c r="S77" i="2"/>
  <c r="T77" i="2"/>
  <c r="S78" i="2"/>
  <c r="T78" i="2"/>
  <c r="S79" i="2"/>
  <c r="T79" i="2"/>
  <c r="S80" i="2"/>
  <c r="T80" i="2"/>
  <c r="S81" i="2"/>
  <c r="T81" i="2"/>
  <c r="S82" i="2"/>
  <c r="T82" i="2"/>
  <c r="S83" i="2"/>
  <c r="T83" i="2"/>
  <c r="S84" i="2"/>
  <c r="T84" i="2"/>
  <c r="S85" i="2"/>
  <c r="T85" i="2"/>
  <c r="S86" i="2"/>
  <c r="T86" i="2"/>
  <c r="S87" i="2"/>
  <c r="T87" i="2"/>
  <c r="S88" i="2"/>
  <c r="T88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K2" i="3"/>
  <c r="AJ2" i="3"/>
  <c r="AJ1" i="3"/>
  <c r="AI2" i="3"/>
  <c r="AG2" i="3"/>
  <c r="AF2" i="3"/>
  <c r="AF1" i="3"/>
  <c r="AE2" i="3"/>
  <c r="AD2" i="3"/>
  <c r="AD1" i="3"/>
  <c r="AC2" i="3"/>
  <c r="AB2" i="3"/>
  <c r="AB1" i="3"/>
  <c r="AA2" i="3"/>
  <c r="Z2" i="3"/>
  <c r="Z1" i="3"/>
  <c r="Y2" i="3"/>
  <c r="X2" i="3"/>
  <c r="X1" i="3"/>
  <c r="W2" i="3"/>
  <c r="V2" i="3"/>
  <c r="V1" i="3"/>
  <c r="U2" i="3"/>
  <c r="T2" i="3"/>
  <c r="T1" i="3"/>
  <c r="S2" i="3"/>
  <c r="R2" i="3"/>
  <c r="R1" i="3"/>
  <c r="Q2" i="3"/>
  <c r="P2" i="3"/>
  <c r="P1" i="3"/>
  <c r="N2" i="3"/>
  <c r="O2" i="3"/>
  <c r="N1" i="3"/>
  <c r="M2" i="3"/>
  <c r="L1" i="3"/>
  <c r="K2" i="3"/>
  <c r="J1" i="3"/>
  <c r="I2" i="3"/>
  <c r="I3" i="3" s="1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G2" i="3"/>
  <c r="G3" i="3" s="1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E2" i="3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H1" i="3"/>
  <c r="F1" i="3"/>
  <c r="A2" i="3"/>
  <c r="D1" i="3"/>
  <c r="S3" i="2" l="1"/>
  <c r="T3" i="2"/>
  <c r="S4" i="2"/>
  <c r="T4" i="2"/>
  <c r="S5" i="2"/>
  <c r="T5" i="2"/>
  <c r="S6" i="2"/>
  <c r="T6" i="2"/>
  <c r="S7" i="2"/>
  <c r="T7" i="2"/>
  <c r="S8" i="2"/>
  <c r="T8" i="2"/>
  <c r="S9" i="2"/>
  <c r="T9" i="2"/>
  <c r="S10" i="2"/>
  <c r="T10" i="2"/>
  <c r="S11" i="2"/>
  <c r="T11" i="2"/>
  <c r="S12" i="2"/>
  <c r="T12" i="2"/>
  <c r="S13" i="2"/>
  <c r="T13" i="2"/>
  <c r="S14" i="2"/>
  <c r="T14" i="2"/>
  <c r="S15" i="2"/>
  <c r="T15" i="2"/>
  <c r="S16" i="2"/>
  <c r="T16" i="2"/>
  <c r="S17" i="2"/>
  <c r="T17" i="2"/>
  <c r="S18" i="2"/>
  <c r="T18" i="2"/>
  <c r="S19" i="2"/>
  <c r="T19" i="2"/>
  <c r="S20" i="2"/>
  <c r="T20" i="2"/>
  <c r="S21" i="2"/>
  <c r="T21" i="2"/>
  <c r="S22" i="2"/>
  <c r="T22" i="2"/>
  <c r="S23" i="2"/>
  <c r="T23" i="2"/>
  <c r="S24" i="2"/>
  <c r="T24" i="2"/>
  <c r="S25" i="2"/>
  <c r="T25" i="2"/>
  <c r="S26" i="2"/>
  <c r="T26" i="2"/>
  <c r="S27" i="2"/>
  <c r="T27" i="2"/>
  <c r="S28" i="2"/>
  <c r="T28" i="2"/>
  <c r="S29" i="2"/>
  <c r="T29" i="2"/>
  <c r="S30" i="2"/>
  <c r="T30" i="2"/>
  <c r="S31" i="2"/>
  <c r="T31" i="2"/>
  <c r="S32" i="2"/>
  <c r="T32" i="2"/>
  <c r="S33" i="2"/>
  <c r="T33" i="2"/>
  <c r="S34" i="2"/>
  <c r="T34" i="2"/>
  <c r="S35" i="2"/>
  <c r="T35" i="2"/>
  <c r="S36" i="2"/>
  <c r="T36" i="2"/>
  <c r="S37" i="2"/>
  <c r="T37" i="2"/>
  <c r="S38" i="2"/>
  <c r="T38" i="2"/>
  <c r="S39" i="2"/>
  <c r="T39" i="2"/>
  <c r="S40" i="2"/>
  <c r="T40" i="2"/>
  <c r="S41" i="2"/>
  <c r="T41" i="2"/>
  <c r="S42" i="2"/>
  <c r="T42" i="2"/>
  <c r="S43" i="2"/>
  <c r="T43" i="2"/>
  <c r="S44" i="2"/>
  <c r="T44" i="2"/>
  <c r="S45" i="2"/>
  <c r="T45" i="2"/>
  <c r="S46" i="2"/>
  <c r="T46" i="2"/>
  <c r="S47" i="2"/>
  <c r="T47" i="2"/>
  <c r="S48" i="2"/>
  <c r="T48" i="2"/>
  <c r="S49" i="2"/>
  <c r="T49" i="2"/>
  <c r="S50" i="2"/>
  <c r="T50" i="2"/>
  <c r="S51" i="2"/>
  <c r="T51" i="2"/>
  <c r="S52" i="2"/>
  <c r="T52" i="2"/>
  <c r="A5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T2" i="2"/>
  <c r="S2" i="2"/>
  <c r="A2" i="2"/>
  <c r="B1" i="3" s="1"/>
</calcChain>
</file>

<file path=xl/sharedStrings.xml><?xml version="1.0" encoding="utf-8"?>
<sst xmlns="http://schemas.openxmlformats.org/spreadsheetml/2006/main" count="1609" uniqueCount="166">
  <si>
    <t>Group Stages</t>
  </si>
  <si>
    <t>A</t>
  </si>
  <si>
    <t>Turkey</t>
  </si>
  <si>
    <t>Italy</t>
  </si>
  <si>
    <t>Olimpico, Rome</t>
  </si>
  <si>
    <t>Wales</t>
  </si>
  <si>
    <t>Switzerland</t>
  </si>
  <si>
    <t>Baki Olimpiya, Baku</t>
  </si>
  <si>
    <t>B</t>
  </si>
  <si>
    <t>Denmark</t>
  </si>
  <si>
    <t>Finland</t>
  </si>
  <si>
    <t>Parken, Copenhagen</t>
  </si>
  <si>
    <t>Belgium</t>
  </si>
  <si>
    <t>Russia</t>
  </si>
  <si>
    <t>Gazprom Arena, St Petersburg</t>
  </si>
  <si>
    <t>D</t>
  </si>
  <si>
    <t>England</t>
  </si>
  <si>
    <t>Croatia</t>
  </si>
  <si>
    <t>Wembley, London</t>
  </si>
  <si>
    <t>C</t>
  </si>
  <si>
    <t>Austria</t>
  </si>
  <si>
    <t>North Macedonia</t>
  </si>
  <si>
    <t>National Arena, Bucharest</t>
  </si>
  <si>
    <t>Netherlands</t>
  </si>
  <si>
    <t>Ukraine</t>
  </si>
  <si>
    <t>Johan Cruijff Arena, Amsterdam</t>
  </si>
  <si>
    <t>Scotland</t>
  </si>
  <si>
    <t>Czech Republic</t>
  </si>
  <si>
    <t>Hampden Park, Glasgow</t>
  </si>
  <si>
    <t>E</t>
  </si>
  <si>
    <t>Poland</t>
  </si>
  <si>
    <t>Slovakia</t>
  </si>
  <si>
    <t>Aviva, Dublin</t>
  </si>
  <si>
    <t>Spain</t>
  </si>
  <si>
    <t>Sweden</t>
  </si>
  <si>
    <t>Estadio de San Mames, Bilbao</t>
  </si>
  <si>
    <t>F</t>
  </si>
  <si>
    <t>Hungary</t>
  </si>
  <si>
    <t>Portugal</t>
  </si>
  <si>
    <t>Puskas Arena, Budapest</t>
  </si>
  <si>
    <t>France</t>
  </si>
  <si>
    <t>Germany</t>
  </si>
  <si>
    <t>Allianz Arena, Munich</t>
  </si>
  <si>
    <t>Knock Out Rounds</t>
  </si>
  <si>
    <t>PSO</t>
  </si>
  <si>
    <t>Round of 16</t>
  </si>
  <si>
    <t>Quarter Finals</t>
  </si>
  <si>
    <t>Semi Finals</t>
  </si>
  <si>
    <t>Final</t>
  </si>
  <si>
    <t>MatchID</t>
  </si>
  <si>
    <t>MatchNumber</t>
  </si>
  <si>
    <t>Date</t>
  </si>
  <si>
    <t>Time</t>
  </si>
  <si>
    <t>Years</t>
  </si>
  <si>
    <t>Seasons</t>
  </si>
  <si>
    <t>Round</t>
  </si>
  <si>
    <t>Stage</t>
  </si>
  <si>
    <t>Team1</t>
  </si>
  <si>
    <t>Goal1</t>
  </si>
  <si>
    <t>Goal2</t>
  </si>
  <si>
    <t>Team2</t>
  </si>
  <si>
    <t>Winner Note</t>
  </si>
  <si>
    <t>Stadium</t>
  </si>
  <si>
    <t>Referee</t>
  </si>
  <si>
    <t>Visistors</t>
  </si>
  <si>
    <t>Status</t>
  </si>
  <si>
    <t>Final Round</t>
  </si>
  <si>
    <t>Group</t>
  </si>
  <si>
    <t>Finished</t>
  </si>
  <si>
    <t>Romania</t>
  </si>
  <si>
    <t>Knockouts</t>
  </si>
  <si>
    <t>Semifinal</t>
  </si>
  <si>
    <t>Quaterfinal</t>
  </si>
  <si>
    <t>Northern Ireland</t>
  </si>
  <si>
    <t xml:space="preserve">Round of 16 </t>
  </si>
  <si>
    <t>Republic of Ireland</t>
  </si>
  <si>
    <t>Group A</t>
  </si>
  <si>
    <t>Group B</t>
  </si>
  <si>
    <t>Group C</t>
  </si>
  <si>
    <t>Group D</t>
  </si>
  <si>
    <t>Iceland</t>
  </si>
  <si>
    <t>Group E</t>
  </si>
  <si>
    <t>Group F</t>
  </si>
  <si>
    <t>UEFAEURO2020</t>
  </si>
  <si>
    <t>England win after extra time</t>
  </si>
  <si>
    <t>Italy win on penalties 4-2</t>
  </si>
  <si>
    <t>Spain win on penalties 1-3</t>
  </si>
  <si>
    <t>Italy win on penalties (3-2)</t>
  </si>
  <si>
    <t>new Match { MatchId= "</t>
  </si>
  <si>
    <t>,DateMatch=DateTime.Parse("</t>
  </si>
  <si>
    <t>"),TimeMatch=TimeSpan.Parse("</t>
  </si>
  <si>
    <t>"),MatchYear=</t>
  </si>
  <si>
    <t>, SeasonId= "</t>
  </si>
  <si>
    <t>",Round= "</t>
  </si>
  <si>
    <t>",Stage= "</t>
  </si>
  <si>
    <t>",SubStage= "</t>
  </si>
  <si>
    <t>",HTeam= "</t>
  </si>
  <si>
    <t>",HGoal=</t>
  </si>
  <si>
    <t>,GGoal=</t>
  </si>
  <si>
    <t>,GTeam= "</t>
  </si>
  <si>
    <t>",WinNote="</t>
  </si>
  <si>
    <t xml:space="preserve">",Stadium=" </t>
  </si>
  <si>
    <t>",Referee= "</t>
  </si>
  <si>
    <t xml:space="preserve">",Visistors= </t>
  </si>
  <si>
    <t>,Status= "</t>
  </si>
  <si>
    <t>" },</t>
  </si>
  <si>
    <t>",MatchNumber=</t>
  </si>
  <si>
    <t>UEFAEURO2016</t>
  </si>
  <si>
    <t>Albania</t>
  </si>
  <si>
    <t>Stade de France, Saint-Denis</t>
  </si>
  <si>
    <t>Stade Bollaert-Delelis, Lens</t>
  </si>
  <si>
    <t>Nouveau Stade de Bordeaux, Bordeaux</t>
  </si>
  <si>
    <t>Stade Vélodrome, Marseille</t>
  </si>
  <si>
    <t>Parc des Princes, Paris</t>
  </si>
  <si>
    <t>Allianz Riviera, Nice</t>
  </si>
  <si>
    <t>Stade Pierre-Mauroy, Lille</t>
  </si>
  <si>
    <t>Stadium Municipal, Toulouse</t>
  </si>
  <si>
    <t>Parc Olympique Lyonnais, Lyon</t>
  </si>
  <si>
    <t>Stade Geoffroy-Guichard, Saint-Étienne</t>
  </si>
  <si>
    <t>Marseille</t>
  </si>
  <si>
    <t>Villeneuve-d'Ascq</t>
  </si>
  <si>
    <t>Germany Win on Penalty 5-4</t>
  </si>
  <si>
    <t>Portugal Win on Penalty 4-2</t>
  </si>
  <si>
    <t>Bordeaux</t>
  </si>
  <si>
    <t>Saint-Denis</t>
  </si>
  <si>
    <t>Poland Win on Penalty 4-5</t>
  </si>
  <si>
    <t>Portugal Win on Extra Time</t>
  </si>
  <si>
    <t>Saint-Étienne</t>
  </si>
  <si>
    <t>Lens</t>
  </si>
  <si>
    <t>Paris</t>
  </si>
  <si>
    <t>Toulouse</t>
  </si>
  <si>
    <t>Décines-Charpieu</t>
  </si>
  <si>
    <t>Nice</t>
  </si>
  <si>
    <t>00:00</t>
  </si>
  <si>
    <t>02:45</t>
  </si>
  <si>
    <t>UEFAEURO2012</t>
  </si>
  <si>
    <t>Greece</t>
  </si>
  <si>
    <t>Warsaw (POL)</t>
  </si>
  <si>
    <t>Wroclaw (POL)</t>
  </si>
  <si>
    <t>Kharkiv (UKR)</t>
  </si>
  <si>
    <t>Lviv (UKR)</t>
  </si>
  <si>
    <t>Gdansk (POL)</t>
  </si>
  <si>
    <t>Poznan (POL)</t>
  </si>
  <si>
    <t>Donetsk (UKR)</t>
  </si>
  <si>
    <t>Kyiv (UKR)</t>
  </si>
  <si>
    <t>Italy Win on Penalty 4-2</t>
  </si>
  <si>
    <t>Spain win on Penalties 4-2</t>
  </si>
  <si>
    <t>Kyiv</t>
  </si>
  <si>
    <t>UEFAEURO2008</t>
  </si>
  <si>
    <t>Basel</t>
  </si>
  <si>
    <t>Geneva</t>
  </si>
  <si>
    <t>Vienna</t>
  </si>
  <si>
    <t>Klagenfurt</t>
  </si>
  <si>
    <t>Zürich</t>
  </si>
  <si>
    <t>Berne</t>
  </si>
  <si>
    <t>Innsbruck</t>
  </si>
  <si>
    <t>Salzburg</t>
  </si>
  <si>
    <t>Turkey Win on Penalty 3-1</t>
  </si>
  <si>
    <t>Russia Win on Extra time</t>
  </si>
  <si>
    <t>new Season { SeasonId = "</t>
  </si>
  <si>
    <t>", TournamentId = "UEFAEU", SeasonName = "</t>
  </si>
  <si>
    <t>", IsFinished = true },</t>
  </si>
  <si>
    <t>UEFA Euro 2012 Poland and Ukraine</t>
  </si>
  <si>
    <t>UEFA Euro 2008 Austria and Switzerland</t>
  </si>
  <si>
    <t>UEFA Euro 2016 France</t>
  </si>
  <si>
    <t>UEFA Euro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</si>
</sst>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;@"/>
    <numFmt numFmtId="165" formatCode="hh:mm;@"/>
    <numFmt numFmtId="166" formatCode="[h]:mm"/>
    <numFmt numFmtId="167" formatCode="hh:mm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/>
      <diagonal/>
    </border>
    <border>
      <left/>
      <right/>
      <top style="thin">
        <color theme="8" tint="-0.499984740745262"/>
      </top>
      <bottom/>
      <diagonal/>
    </border>
    <border>
      <left/>
      <right style="medium">
        <color theme="0"/>
      </right>
      <top style="thin">
        <color theme="8" tint="-0.499984740745262"/>
      </top>
      <bottom style="medium">
        <color theme="0"/>
      </bottom>
      <diagonal/>
    </border>
    <border>
      <left style="medium">
        <color theme="0"/>
      </left>
      <right/>
      <top style="thin">
        <color theme="8" tint="-0.499984740745262"/>
      </top>
      <bottom style="medium">
        <color theme="0"/>
      </bottom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/>
      <top/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8" tint="-0.499984740745262"/>
      </right>
      <top/>
      <bottom/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/>
      <right style="medium">
        <color theme="0"/>
      </right>
      <top style="medium">
        <color theme="0"/>
      </top>
      <bottom style="thin">
        <color theme="8" tint="-0.499984740745262"/>
      </bottom>
      <diagonal/>
    </border>
    <border>
      <left style="medium">
        <color theme="0"/>
      </left>
      <right/>
      <top style="medium">
        <color theme="0"/>
      </top>
      <bottom style="thin">
        <color theme="8" tint="-0.499984740745262"/>
      </bottom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thin">
        <color indexed="64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thin">
        <color theme="8" tint="-0.499984740745262"/>
      </top>
      <bottom style="thin">
        <color theme="8" tint="-0.499984740745262"/>
      </bottom>
      <diagonal/>
    </border>
    <border>
      <left style="medium">
        <color theme="0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3" tint="0.39988402966399123"/>
      </left>
      <right style="hair">
        <color theme="3" tint="0.39988402966399123"/>
      </right>
      <top style="thin">
        <color theme="3" tint="0.39982299264503923"/>
      </top>
      <bottom style="hair">
        <color theme="3" tint="0.39988402966399123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2" borderId="1" xfId="0" applyFont="1" applyFill="1" applyBorder="1" applyAlignment="1" applyProtection="1">
      <alignment horizontal="left" vertical="center"/>
      <protection hidden="1"/>
    </xf>
    <xf numFmtId="0" fontId="2" fillId="2" borderId="2" xfId="0" applyFont="1" applyFill="1" applyBorder="1" applyAlignment="1" applyProtection="1">
      <alignment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1" fillId="2" borderId="2" xfId="0" applyFont="1" applyFill="1" applyBorder="1" applyAlignment="1" applyProtection="1">
      <alignment horizontal="right" vertical="center"/>
      <protection hidden="1"/>
    </xf>
    <xf numFmtId="0" fontId="1" fillId="2" borderId="2" xfId="0" applyFont="1" applyFill="1" applyBorder="1" applyAlignment="1" applyProtection="1">
      <alignment horizontal="left" vertical="center"/>
      <protection hidden="1"/>
    </xf>
    <xf numFmtId="0" fontId="1" fillId="2" borderId="3" xfId="0" applyFont="1" applyFill="1" applyBorder="1" applyAlignment="1" applyProtection="1">
      <alignment vertical="center"/>
      <protection hidden="1"/>
    </xf>
    <xf numFmtId="0" fontId="3" fillId="3" borderId="4" xfId="0" applyFont="1" applyFill="1" applyBorder="1" applyAlignment="1" applyProtection="1">
      <alignment horizontal="center" vertical="center"/>
      <protection hidden="1"/>
    </xf>
    <xf numFmtId="164" fontId="3" fillId="0" borderId="5" xfId="0" applyNumberFormat="1" applyFont="1" applyBorder="1" applyAlignment="1" applyProtection="1">
      <alignment horizontal="right" vertical="center" wrapText="1" shrinkToFit="1"/>
      <protection hidden="1"/>
    </xf>
    <xf numFmtId="165" fontId="3" fillId="0" borderId="5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right" vertical="center"/>
      <protection hidden="1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hidden="1"/>
    </xf>
    <xf numFmtId="0" fontId="3" fillId="0" borderId="8" xfId="0" applyFont="1" applyBorder="1" applyAlignment="1" applyProtection="1">
      <alignment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hidden="1"/>
    </xf>
    <xf numFmtId="16" fontId="3" fillId="5" borderId="0" xfId="0" applyNumberFormat="1" applyFont="1" applyFill="1" applyAlignment="1" applyProtection="1">
      <alignment horizontal="right" vertical="center" wrapText="1" shrinkToFit="1"/>
      <protection hidden="1"/>
    </xf>
    <xf numFmtId="165" fontId="3" fillId="5" borderId="0" xfId="0" applyNumberFormat="1" applyFont="1" applyFill="1" applyAlignment="1" applyProtection="1">
      <alignment horizontal="center"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1" xfId="0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vertical="center"/>
      <protection hidden="1"/>
    </xf>
    <xf numFmtId="0" fontId="3" fillId="5" borderId="12" xfId="0" applyFont="1" applyFill="1" applyBorder="1" applyAlignment="1" applyProtection="1">
      <alignment vertical="center"/>
      <protection locked="0"/>
    </xf>
    <xf numFmtId="16" fontId="3" fillId="0" borderId="0" xfId="0" applyNumberFormat="1" applyFont="1" applyAlignment="1" applyProtection="1">
      <alignment horizontal="right" vertical="center" wrapText="1" shrinkToFit="1"/>
      <protection hidden="1"/>
    </xf>
    <xf numFmtId="165" fontId="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3" fillId="0" borderId="12" xfId="0" applyFont="1" applyBorder="1" applyAlignment="1" applyProtection="1">
      <alignment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hidden="1"/>
    </xf>
    <xf numFmtId="16" fontId="3" fillId="5" borderId="14" xfId="0" applyNumberFormat="1" applyFont="1" applyFill="1" applyBorder="1" applyAlignment="1" applyProtection="1">
      <alignment horizontal="right" vertical="center" wrapText="1" shrinkToFit="1"/>
      <protection hidden="1"/>
    </xf>
    <xf numFmtId="165" fontId="3" fillId="5" borderId="14" xfId="0" applyNumberFormat="1" applyFont="1" applyFill="1" applyBorder="1" applyAlignment="1" applyProtection="1">
      <alignment horizontal="center" vertical="center"/>
      <protection hidden="1"/>
    </xf>
    <xf numFmtId="0" fontId="3" fillId="5" borderId="14" xfId="0" applyFont="1" applyFill="1" applyBorder="1" applyAlignment="1" applyProtection="1">
      <alignment horizontal="right" vertical="center"/>
      <protection hidden="1"/>
    </xf>
    <xf numFmtId="0" fontId="3" fillId="4" borderId="15" xfId="0" applyFont="1" applyFill="1" applyBorder="1" applyAlignment="1" applyProtection="1">
      <alignment horizontal="center" vertical="center"/>
      <protection locked="0"/>
    </xf>
    <xf numFmtId="0" fontId="3" fillId="4" borderId="16" xfId="0" applyFont="1" applyFill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vertical="center"/>
      <protection hidden="1"/>
    </xf>
    <xf numFmtId="0" fontId="3" fillId="5" borderId="17" xfId="0" applyFont="1" applyFill="1" applyBorder="1" applyAlignment="1" applyProtection="1">
      <alignment vertical="center"/>
      <protection locked="0"/>
    </xf>
    <xf numFmtId="0" fontId="1" fillId="2" borderId="4" xfId="0" applyFont="1" applyFill="1" applyBorder="1" applyAlignment="1" applyProtection="1">
      <alignment horizontal="left" vertical="center"/>
      <protection hidden="1"/>
    </xf>
    <xf numFmtId="0" fontId="2" fillId="2" borderId="5" xfId="0" applyFont="1" applyFill="1" applyBorder="1" applyAlignment="1" applyProtection="1">
      <alignment vertical="center"/>
      <protection hidden="1"/>
    </xf>
    <xf numFmtId="0" fontId="1" fillId="2" borderId="5" xfId="0" applyFon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165" fontId="1" fillId="2" borderId="5" xfId="0" applyNumberFormat="1" applyFon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right" vertical="center"/>
      <protection hidden="1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left" vertical="center"/>
      <protection hidden="1"/>
    </xf>
    <xf numFmtId="0" fontId="1" fillId="2" borderId="8" xfId="0" applyFont="1" applyFill="1" applyBorder="1" applyAlignment="1" applyProtection="1">
      <alignment vertical="center"/>
      <protection locked="0"/>
    </xf>
    <xf numFmtId="16" fontId="3" fillId="0" borderId="5" xfId="0" applyNumberFormat="1" applyFont="1" applyBorder="1" applyAlignment="1" applyProtection="1">
      <alignment horizontal="right" vertical="center" wrapText="1" shrinkToFit="1"/>
      <protection hidden="1"/>
    </xf>
    <xf numFmtId="0" fontId="3" fillId="0" borderId="5" xfId="0" applyFont="1" applyBorder="1" applyAlignment="1" applyProtection="1">
      <alignment horizontal="right"/>
      <protection hidden="1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Protection="1">
      <protection locked="0"/>
    </xf>
    <xf numFmtId="0" fontId="3" fillId="5" borderId="0" xfId="0" applyFont="1" applyFill="1" applyAlignment="1" applyProtection="1">
      <alignment horizontal="right"/>
      <protection hidden="1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11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Protection="1">
      <protection locked="0"/>
    </xf>
    <xf numFmtId="0" fontId="3" fillId="0" borderId="0" xfId="0" applyFont="1" applyAlignment="1" applyProtection="1">
      <alignment horizontal="right"/>
      <protection hidden="1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protection locked="0"/>
    </xf>
    <xf numFmtId="0" fontId="3" fillId="5" borderId="14" xfId="0" applyFont="1" applyFill="1" applyBorder="1" applyAlignment="1" applyProtection="1">
      <alignment horizontal="right"/>
      <protection hidden="1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5" borderId="16" xfId="0" applyFont="1" applyFill="1" applyBorder="1" applyAlignment="1" applyProtection="1">
      <alignment horizontal="center" vertical="center"/>
      <protection locked="0"/>
    </xf>
    <xf numFmtId="0" fontId="3" fillId="5" borderId="17" xfId="0" applyFont="1" applyFill="1" applyBorder="1" applyProtection="1">
      <protection locked="0"/>
    </xf>
    <xf numFmtId="165" fontId="3" fillId="5" borderId="18" xfId="0" applyNumberFormat="1" applyFont="1" applyFill="1" applyBorder="1" applyAlignment="1" applyProtection="1">
      <alignment horizontal="center" vertical="center"/>
      <protection hidden="1"/>
    </xf>
    <xf numFmtId="0" fontId="3" fillId="5" borderId="18" xfId="0" applyFont="1" applyFill="1" applyBorder="1" applyAlignment="1" applyProtection="1">
      <alignment horizontal="right" vertical="center"/>
      <protection hidden="1"/>
    </xf>
    <xf numFmtId="0" fontId="3" fillId="5" borderId="18" xfId="0" applyFont="1" applyFill="1" applyBorder="1" applyAlignment="1" applyProtection="1">
      <alignment horizontal="right"/>
      <protection hidden="1"/>
    </xf>
    <xf numFmtId="0" fontId="3" fillId="4" borderId="19" xfId="0" applyFont="1" applyFill="1" applyBorder="1" applyAlignment="1" applyProtection="1">
      <alignment horizontal="center" vertical="center"/>
      <protection locked="0"/>
    </xf>
    <xf numFmtId="0" fontId="3" fillId="4" borderId="20" xfId="0" applyFont="1" applyFill="1" applyBorder="1" applyAlignment="1" applyProtection="1">
      <alignment horizontal="center" vertical="center"/>
      <protection locked="0"/>
    </xf>
    <xf numFmtId="0" fontId="3" fillId="5" borderId="18" xfId="0" applyFont="1" applyFill="1" applyBorder="1" applyAlignment="1" applyProtection="1">
      <alignment vertical="center"/>
      <protection hidden="1"/>
    </xf>
    <xf numFmtId="0" fontId="3" fillId="4" borderId="21" xfId="0" applyFont="1" applyFill="1" applyBorder="1" applyAlignment="1" applyProtection="1">
      <alignment horizontal="center" vertical="center"/>
      <protection locked="0"/>
    </xf>
    <xf numFmtId="0" fontId="3" fillId="4" borderId="22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hidden="1"/>
    </xf>
    <xf numFmtId="16" fontId="3" fillId="0" borderId="2" xfId="0" applyNumberFormat="1" applyFont="1" applyBorder="1" applyAlignment="1" applyProtection="1">
      <alignment horizontal="right" vertical="center" wrapText="1" shrinkToFit="1"/>
      <protection hidden="1"/>
    </xf>
    <xf numFmtId="165" fontId="3" fillId="0" borderId="2" xfId="0" applyNumberFormat="1" applyFont="1" applyBorder="1" applyAlignment="1" applyProtection="1">
      <alignment horizontal="center" vertical="center"/>
      <protection hidden="1"/>
    </xf>
    <xf numFmtId="0" fontId="3" fillId="0" borderId="23" xfId="0" applyFont="1" applyBorder="1" applyAlignment="1" applyProtection="1">
      <alignment horizontal="right" vertical="center"/>
      <protection hidden="1"/>
    </xf>
    <xf numFmtId="0" fontId="3" fillId="0" borderId="23" xfId="0" applyFont="1" applyBorder="1" applyAlignment="1" applyProtection="1">
      <alignment horizontal="right"/>
      <protection hidden="1"/>
    </xf>
    <xf numFmtId="0" fontId="3" fillId="4" borderId="24" xfId="0" applyFont="1" applyFill="1" applyBorder="1" applyAlignment="1" applyProtection="1">
      <alignment horizontal="center" vertical="center"/>
      <protection locked="0"/>
    </xf>
    <xf numFmtId="0" fontId="3" fillId="4" borderId="25" xfId="0" applyFont="1" applyFill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vertical="center"/>
      <protection hidden="1"/>
    </xf>
    <xf numFmtId="0" fontId="3" fillId="0" borderId="26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3" xfId="0" applyFont="1" applyBorder="1" applyProtection="1">
      <protection locked="0"/>
    </xf>
    <xf numFmtId="0" fontId="0" fillId="7" borderId="0" xfId="0" applyFill="1"/>
    <xf numFmtId="0" fontId="0" fillId="7" borderId="0" xfId="0" applyFill="1" applyAlignment="1">
      <alignment textRotation="90"/>
    </xf>
    <xf numFmtId="166" fontId="0" fillId="7" borderId="0" xfId="0" applyNumberFormat="1" applyFill="1"/>
    <xf numFmtId="14" fontId="0" fillId="0" borderId="0" xfId="0" applyNumberFormat="1"/>
    <xf numFmtId="166" fontId="0" fillId="0" borderId="0" xfId="0" applyNumberFormat="1"/>
    <xf numFmtId="14" fontId="3" fillId="0" borderId="5" xfId="0" applyNumberFormat="1" applyFont="1" applyBorder="1" applyAlignment="1" applyProtection="1">
      <alignment horizontal="right" vertical="center" wrapText="1" shrinkToFit="1"/>
      <protection hidden="1"/>
    </xf>
    <xf numFmtId="14" fontId="3" fillId="5" borderId="0" xfId="0" applyNumberFormat="1" applyFont="1" applyFill="1" applyAlignment="1" applyProtection="1">
      <alignment horizontal="right" vertical="center" wrapText="1" shrinkToFit="1"/>
      <protection hidden="1"/>
    </xf>
    <xf numFmtId="14" fontId="3" fillId="0" borderId="0" xfId="0" applyNumberFormat="1" applyFont="1" applyAlignment="1" applyProtection="1">
      <alignment horizontal="right" vertical="center" wrapText="1" shrinkToFit="1"/>
      <protection hidden="1"/>
    </xf>
    <xf numFmtId="14" fontId="3" fillId="5" borderId="14" xfId="0" applyNumberFormat="1" applyFont="1" applyFill="1" applyBorder="1" applyAlignment="1" applyProtection="1">
      <alignment horizontal="right" vertical="center" wrapText="1" shrinkToFit="1"/>
      <protection hidden="1"/>
    </xf>
    <xf numFmtId="14" fontId="3" fillId="0" borderId="2" xfId="0" applyNumberFormat="1" applyFont="1" applyBorder="1" applyAlignment="1" applyProtection="1">
      <alignment horizontal="right" vertical="center" wrapText="1" shrinkToFit="1"/>
      <protection hidden="1"/>
    </xf>
    <xf numFmtId="14" fontId="0" fillId="8" borderId="0" xfId="0" applyNumberFormat="1" applyFill="1"/>
    <xf numFmtId="167" fontId="0" fillId="0" borderId="0" xfId="0" applyNumberFormat="1"/>
    <xf numFmtId="0" fontId="0" fillId="8" borderId="0" xfId="0" applyFill="1"/>
    <xf numFmtId="0" fontId="0" fillId="9" borderId="0" xfId="0" applyFill="1"/>
    <xf numFmtId="14" fontId="0" fillId="7" borderId="0" xfId="0" applyNumberFormat="1" applyFill="1"/>
    <xf numFmtId="0" fontId="1" fillId="6" borderId="5" xfId="0" applyFont="1" applyFill="1" applyBorder="1" applyAlignment="1" applyProtection="1">
      <alignment horizontal="center" vertical="center"/>
      <protection hidden="1"/>
    </xf>
    <xf numFmtId="0" fontId="2" fillId="6" borderId="5" xfId="0" applyFont="1" applyFill="1" applyBorder="1" applyAlignment="1" applyProtection="1">
      <alignment horizontal="center" vertical="center" wrapText="1"/>
      <protection hidden="1"/>
    </xf>
    <xf numFmtId="0" fontId="2" fillId="6" borderId="0" xfId="0" applyFont="1" applyFill="1" applyAlignment="1" applyProtection="1">
      <alignment horizontal="center" vertical="center" wrapText="1"/>
      <protection hidden="1"/>
    </xf>
    <xf numFmtId="0" fontId="2" fillId="6" borderId="14" xfId="0" applyFont="1" applyFill="1" applyBorder="1" applyAlignment="1" applyProtection="1">
      <alignment horizontal="center" vertical="center" wrapText="1"/>
      <protection hidden="1"/>
    </xf>
    <xf numFmtId="0" fontId="2" fillId="6" borderId="2" xfId="0" applyFont="1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5" borderId="0" xfId="0" applyFont="1" applyFill="1" applyAlignment="1" applyProtection="1">
      <alignment horizontal="center" vertical="center"/>
      <protection hidden="1"/>
    </xf>
    <xf numFmtId="0" fontId="3" fillId="5" borderId="14" xfId="0" applyFont="1" applyFill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166" fontId="0" fillId="0" borderId="0" xfId="0" applyNumberFormat="1" applyAlignment="1">
      <alignment horizontal="right"/>
    </xf>
    <xf numFmtId="0" fontId="4" fillId="0" borderId="28" xfId="0" applyFont="1" applyBorder="1" applyAlignment="1" applyProtection="1">
      <alignment horizontal="center" vertical="center"/>
      <protection hidden="1"/>
    </xf>
    <xf numFmtId="0" fontId="0" fillId="0" borderId="0" xfId="0" applyFill="1" applyBorder="1"/>
  </cellXfs>
  <cellStyles count="1">
    <cellStyle name="Normal" xfId="0" builtinId="0"/>
  </cellStyles>
  <dxfs count="24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b/>
        <i val="0"/>
      </font>
    </dxf>
    <dxf>
      <font>
        <b val="0"/>
        <i/>
        <color theme="1" tint="0.499984740745262"/>
      </font>
    </dxf>
    <dxf>
      <font>
        <b val="0"/>
        <i/>
        <color rgb="FF0000FF"/>
      </font>
    </dxf>
    <dxf>
      <font>
        <b/>
        <i val="0"/>
        <color rgb="FF0000FF"/>
      </font>
    </dxf>
    <dxf>
      <font>
        <b/>
        <i val="0"/>
      </font>
    </dxf>
    <dxf>
      <font>
        <b val="0"/>
        <i/>
        <color theme="1" tint="0.499984740745262"/>
      </font>
    </dxf>
    <dxf>
      <font>
        <b val="0"/>
        <i/>
        <color rgb="FF0000FF"/>
      </font>
    </dxf>
    <dxf>
      <font>
        <b/>
        <i val="0"/>
        <color rgb="FF0000FF"/>
      </font>
    </dxf>
    <dxf>
      <font>
        <b/>
        <i val="0"/>
      </font>
    </dxf>
    <dxf>
      <font>
        <b val="0"/>
        <i/>
        <color theme="1" tint="0.499984740745262"/>
      </font>
    </dxf>
    <dxf>
      <font>
        <b/>
        <i val="0"/>
      </font>
    </dxf>
    <dxf>
      <font>
        <b val="0"/>
        <i/>
        <color theme="1" tint="0.499984740745262"/>
      </font>
    </dxf>
    <dxf>
      <font>
        <b/>
        <i val="0"/>
      </font>
    </dxf>
    <dxf>
      <font>
        <b val="0"/>
        <i/>
        <color theme="1" tint="0.499984740745262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image" Target="../media/image36.emf"/><Relationship Id="rId18" Type="http://schemas.openxmlformats.org/officeDocument/2006/relationships/image" Target="../media/image41.emf"/><Relationship Id="rId3" Type="http://schemas.openxmlformats.org/officeDocument/2006/relationships/image" Target="../media/image26.emf"/><Relationship Id="rId21" Type="http://schemas.openxmlformats.org/officeDocument/2006/relationships/image" Target="../media/image44.emf"/><Relationship Id="rId7" Type="http://schemas.openxmlformats.org/officeDocument/2006/relationships/image" Target="../media/image30.emf"/><Relationship Id="rId12" Type="http://schemas.openxmlformats.org/officeDocument/2006/relationships/image" Target="../media/image35.emf"/><Relationship Id="rId17" Type="http://schemas.openxmlformats.org/officeDocument/2006/relationships/image" Target="../media/image40.emf"/><Relationship Id="rId2" Type="http://schemas.openxmlformats.org/officeDocument/2006/relationships/image" Target="../media/image25.emf"/><Relationship Id="rId16" Type="http://schemas.openxmlformats.org/officeDocument/2006/relationships/image" Target="../media/image39.emf"/><Relationship Id="rId20" Type="http://schemas.openxmlformats.org/officeDocument/2006/relationships/image" Target="../media/image43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11" Type="http://schemas.openxmlformats.org/officeDocument/2006/relationships/image" Target="../media/image34.emf"/><Relationship Id="rId5" Type="http://schemas.openxmlformats.org/officeDocument/2006/relationships/image" Target="../media/image28.emf"/><Relationship Id="rId15" Type="http://schemas.openxmlformats.org/officeDocument/2006/relationships/image" Target="../media/image38.emf"/><Relationship Id="rId23" Type="http://schemas.openxmlformats.org/officeDocument/2006/relationships/image" Target="../media/image46.emf"/><Relationship Id="rId10" Type="http://schemas.openxmlformats.org/officeDocument/2006/relationships/image" Target="../media/image33.emf"/><Relationship Id="rId19" Type="http://schemas.openxmlformats.org/officeDocument/2006/relationships/image" Target="../media/image42.emf"/><Relationship Id="rId4" Type="http://schemas.openxmlformats.org/officeDocument/2006/relationships/image" Target="../media/image27.emf"/><Relationship Id="rId9" Type="http://schemas.openxmlformats.org/officeDocument/2006/relationships/image" Target="../media/image32.emf"/><Relationship Id="rId14" Type="http://schemas.openxmlformats.org/officeDocument/2006/relationships/image" Target="../media/image37.emf"/><Relationship Id="rId22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609310</xdr:colOff>
          <xdr:row>38</xdr:row>
          <xdr:rowOff>0</xdr:rowOff>
        </xdr:from>
        <xdr:to>
          <xdr:col>7</xdr:col>
          <xdr:colOff>221095</xdr:colOff>
          <xdr:row>46</xdr:row>
          <xdr:rowOff>10968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2CD3FB8B-C168-4C27-97E4-7E3A1C0A25F2}"/>
                </a:ext>
              </a:extLst>
            </xdr:cNvPr>
            <xdr:cNvGrpSpPr/>
          </xdr:nvGrpSpPr>
          <xdr:grpSpPr>
            <a:xfrm>
              <a:off x="4266910" y="7572375"/>
              <a:ext cx="221385" cy="1601643"/>
              <a:chOff x="3502890" y="7775864"/>
              <a:chExt cx="231487" cy="1488786"/>
            </a:xfrm>
          </xdr:grpSpPr>
          <xdr:pic>
            <xdr:nvPicPr>
              <xdr:cNvPr id="3" name="Picture 2">
                <a:extLst>
                  <a:ext uri="{FF2B5EF4-FFF2-40B4-BE49-F238E27FC236}">
                    <a16:creationId xmlns:a16="http://schemas.microsoft.com/office/drawing/2014/main" id="{630A1B66-EDA3-47F5-9513-25923DBDBFFF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37" spid="_x0000_s10821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3502890" y="77758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4" name="Picture 3">
                <a:extLst>
                  <a:ext uri="{FF2B5EF4-FFF2-40B4-BE49-F238E27FC236}">
                    <a16:creationId xmlns:a16="http://schemas.microsoft.com/office/drawing/2014/main" id="{C3909E04-D506-4099-857B-8ABFA0D6C776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38" spid="_x0000_s10822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3502890" y="7961251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5" name="Picture 4">
                <a:extLst>
                  <a:ext uri="{FF2B5EF4-FFF2-40B4-BE49-F238E27FC236}">
                    <a16:creationId xmlns:a16="http://schemas.microsoft.com/office/drawing/2014/main" id="{3C64A9B3-BE53-4264-BB7A-169EC86385B4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39" spid="_x0000_s10823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3502890" y="8146638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" name="Picture 5">
                <a:extLst>
                  <a:ext uri="{FF2B5EF4-FFF2-40B4-BE49-F238E27FC236}">
                    <a16:creationId xmlns:a16="http://schemas.microsoft.com/office/drawing/2014/main" id="{920B0FBB-BA7C-43C2-AC02-DE88C3BFFFA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0" spid="_x0000_s10824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3502890" y="8332025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7" name="Picture 6">
                <a:extLst>
                  <a:ext uri="{FF2B5EF4-FFF2-40B4-BE49-F238E27FC236}">
                    <a16:creationId xmlns:a16="http://schemas.microsoft.com/office/drawing/2014/main" id="{436165AD-9F39-4F45-9BA3-C51BEE81925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1" spid="_x0000_s10825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3502890" y="8517412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8" name="Picture 7">
                <a:extLst>
                  <a:ext uri="{FF2B5EF4-FFF2-40B4-BE49-F238E27FC236}">
                    <a16:creationId xmlns:a16="http://schemas.microsoft.com/office/drawing/2014/main" id="{089E72AA-8999-4BE3-B620-72F1EFD4EAD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2" spid="_x0000_s10826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3502890" y="8702799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9" name="Picture 8">
                <a:extLst>
                  <a:ext uri="{FF2B5EF4-FFF2-40B4-BE49-F238E27FC236}">
                    <a16:creationId xmlns:a16="http://schemas.microsoft.com/office/drawing/2014/main" id="{DC35421D-6962-4BEC-A8BD-A646BB116B9B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3" spid="_x0000_s10827"/>
                  </a:ext>
                </a:extLst>
              </xdr:cNvPicPr>
            </xdr:nvPicPr>
            <xdr:blipFill>
              <a:blip xmlns:r="http://schemas.openxmlformats.org/officeDocument/2006/relationships" r:embed="rId7"/>
              <a:srcRect/>
              <a:stretch>
                <a:fillRect/>
              </a:stretch>
            </xdr:blipFill>
            <xdr:spPr bwMode="auto">
              <a:xfrm>
                <a:off x="3502890" y="8888186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0" name="Picture 9">
                <a:extLst>
                  <a:ext uri="{FF2B5EF4-FFF2-40B4-BE49-F238E27FC236}">
                    <a16:creationId xmlns:a16="http://schemas.microsoft.com/office/drawing/2014/main" id="{AEA0DB0C-D1F9-4601-83F5-127E443CAF9E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4" spid="_x0000_s10828"/>
                  </a:ext>
                </a:extLst>
              </xdr:cNvPicPr>
            </xdr:nvPicPr>
            <xdr:blipFill>
              <a:blip xmlns:r="http://schemas.openxmlformats.org/officeDocument/2006/relationships" r:embed="rId8"/>
              <a:srcRect/>
              <a:stretch>
                <a:fillRect/>
              </a:stretch>
            </xdr:blipFill>
            <xdr:spPr bwMode="auto">
              <a:xfrm>
                <a:off x="3502890" y="9073573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11546</xdr:colOff>
          <xdr:row>38</xdr:row>
          <xdr:rowOff>0</xdr:rowOff>
        </xdr:from>
        <xdr:to>
          <xdr:col>11</xdr:col>
          <xdr:colOff>17896</xdr:colOff>
          <xdr:row>46</xdr:row>
          <xdr:rowOff>10968</xdr:rowOff>
        </xdr:to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6C9D7566-31B5-402F-B7E4-DE18676E2355}"/>
                </a:ext>
              </a:extLst>
            </xdr:cNvPr>
            <xdr:cNvGrpSpPr/>
          </xdr:nvGrpSpPr>
          <xdr:grpSpPr>
            <a:xfrm>
              <a:off x="6107546" y="7572375"/>
              <a:ext cx="615950" cy="1601643"/>
              <a:chOff x="3502890" y="7775864"/>
              <a:chExt cx="231487" cy="1488786"/>
            </a:xfrm>
          </xdr:grpSpPr>
          <xdr:pic>
            <xdr:nvPicPr>
              <xdr:cNvPr id="12" name="Picture 11">
                <a:extLst>
                  <a:ext uri="{FF2B5EF4-FFF2-40B4-BE49-F238E27FC236}">
                    <a16:creationId xmlns:a16="http://schemas.microsoft.com/office/drawing/2014/main" id="{0D9BB72E-CCDF-4F61-92D3-52E4ACD71F0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37b" spid="_x0000_s10829"/>
                  </a:ext>
                </a:extLst>
              </xdr:cNvPicPr>
            </xdr:nvPicPr>
            <xdr:blipFill>
              <a:blip xmlns:r="http://schemas.openxmlformats.org/officeDocument/2006/relationships" r:embed="rId9"/>
              <a:srcRect/>
              <a:stretch>
                <a:fillRect/>
              </a:stretch>
            </xdr:blipFill>
            <xdr:spPr bwMode="auto">
              <a:xfrm>
                <a:off x="3502890" y="77758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3" name="Picture 12">
                <a:extLst>
                  <a:ext uri="{FF2B5EF4-FFF2-40B4-BE49-F238E27FC236}">
                    <a16:creationId xmlns:a16="http://schemas.microsoft.com/office/drawing/2014/main" id="{EA553D28-2488-4ABD-934A-BF5220C49025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38b" spid="_x0000_s10830"/>
                  </a:ext>
                </a:extLst>
              </xdr:cNvPicPr>
            </xdr:nvPicPr>
            <xdr:blipFill>
              <a:blip xmlns:r="http://schemas.openxmlformats.org/officeDocument/2006/relationships" r:embed="rId10"/>
              <a:srcRect/>
              <a:stretch>
                <a:fillRect/>
              </a:stretch>
            </xdr:blipFill>
            <xdr:spPr bwMode="auto">
              <a:xfrm>
                <a:off x="3502890" y="7961251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4" name="Picture 13">
                <a:extLst>
                  <a:ext uri="{FF2B5EF4-FFF2-40B4-BE49-F238E27FC236}">
                    <a16:creationId xmlns:a16="http://schemas.microsoft.com/office/drawing/2014/main" id="{C7907E4A-93A9-4BF6-BBAF-D40BAF78DF0F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39b" spid="_x0000_s10831"/>
                  </a:ext>
                </a:extLst>
              </xdr:cNvPicPr>
            </xdr:nvPicPr>
            <xdr:blipFill>
              <a:blip xmlns:r="http://schemas.openxmlformats.org/officeDocument/2006/relationships" r:embed="rId11"/>
              <a:srcRect/>
              <a:stretch>
                <a:fillRect/>
              </a:stretch>
            </xdr:blipFill>
            <xdr:spPr bwMode="auto">
              <a:xfrm>
                <a:off x="3502890" y="8146638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5" name="Picture 14">
                <a:extLst>
                  <a:ext uri="{FF2B5EF4-FFF2-40B4-BE49-F238E27FC236}">
                    <a16:creationId xmlns:a16="http://schemas.microsoft.com/office/drawing/2014/main" id="{C0AFAD14-49C8-4B43-A393-CAD0584AB603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0b" spid="_x0000_s10832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3502890" y="8332025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6" name="Picture 15">
                <a:extLst>
                  <a:ext uri="{FF2B5EF4-FFF2-40B4-BE49-F238E27FC236}">
                    <a16:creationId xmlns:a16="http://schemas.microsoft.com/office/drawing/2014/main" id="{370EC8B0-5389-4B67-8CD3-841E2DCCCA64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1b" spid="_x0000_s10833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3502890" y="8517412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7" name="Picture 16">
                <a:extLst>
                  <a:ext uri="{FF2B5EF4-FFF2-40B4-BE49-F238E27FC236}">
                    <a16:creationId xmlns:a16="http://schemas.microsoft.com/office/drawing/2014/main" id="{77AEA7AE-9698-4B30-AFBF-8CE3079583D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2b" spid="_x0000_s10834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3502890" y="8702799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8" name="Picture 17">
                <a:extLst>
                  <a:ext uri="{FF2B5EF4-FFF2-40B4-BE49-F238E27FC236}">
                    <a16:creationId xmlns:a16="http://schemas.microsoft.com/office/drawing/2014/main" id="{D6D8F4DA-CF2F-4BED-99E7-53FCBFF32112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3b" spid="_x0000_s10835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3502890" y="8888186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9" name="Picture 18">
                <a:extLst>
                  <a:ext uri="{FF2B5EF4-FFF2-40B4-BE49-F238E27FC236}">
                    <a16:creationId xmlns:a16="http://schemas.microsoft.com/office/drawing/2014/main" id="{FD023823-C5D8-4497-A1F6-220202C7B778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4b" spid="_x0000_s10836"/>
                  </a:ext>
                </a:extLst>
              </xdr:cNvPicPr>
            </xdr:nvPicPr>
            <xdr:blipFill>
              <a:blip xmlns:r="http://schemas.openxmlformats.org/officeDocument/2006/relationships" r:embed="rId16"/>
              <a:srcRect/>
              <a:stretch>
                <a:fillRect/>
              </a:stretch>
            </xdr:blipFill>
            <xdr:spPr bwMode="auto">
              <a:xfrm>
                <a:off x="3502890" y="9073573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609310</xdr:colOff>
          <xdr:row>46</xdr:row>
          <xdr:rowOff>16163</xdr:rowOff>
        </xdr:from>
        <xdr:to>
          <xdr:col>7</xdr:col>
          <xdr:colOff>221095</xdr:colOff>
          <xdr:row>53</xdr:row>
          <xdr:rowOff>9152</xdr:rowOff>
        </xdr:to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ED869D3B-154E-413A-BBBC-6C69F9FD63CC}"/>
                </a:ext>
              </a:extLst>
            </xdr:cNvPr>
            <xdr:cNvGrpSpPr/>
          </xdr:nvGrpSpPr>
          <xdr:grpSpPr>
            <a:xfrm>
              <a:off x="4266910" y="9179213"/>
              <a:ext cx="221385" cy="1364589"/>
              <a:chOff x="3502890" y="7775864"/>
              <a:chExt cx="231487" cy="1286080"/>
            </a:xfrm>
          </xdr:grpSpPr>
          <xdr:pic>
            <xdr:nvPicPr>
              <xdr:cNvPr id="21" name="Picture 20">
                <a:extLst>
                  <a:ext uri="{FF2B5EF4-FFF2-40B4-BE49-F238E27FC236}">
                    <a16:creationId xmlns:a16="http://schemas.microsoft.com/office/drawing/2014/main" id="{AEAC8AA2-FDFD-48FC-AEE1-80424358B2CC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5" spid="_x0000_s10837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3502890" y="77758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22" name="Picture 21">
                <a:extLst>
                  <a:ext uri="{FF2B5EF4-FFF2-40B4-BE49-F238E27FC236}">
                    <a16:creationId xmlns:a16="http://schemas.microsoft.com/office/drawing/2014/main" id="{3D8A13FE-C05E-421C-9CCF-B08BC2F41154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6" spid="_x0000_s10838"/>
                  </a:ext>
                </a:extLst>
              </xdr:cNvPicPr>
            </xdr:nvPicPr>
            <xdr:blipFill>
              <a:blip xmlns:r="http://schemas.openxmlformats.org/officeDocument/2006/relationships" r:embed="rId17"/>
              <a:srcRect/>
              <a:stretch>
                <a:fillRect/>
              </a:stretch>
            </xdr:blipFill>
            <xdr:spPr bwMode="auto">
              <a:xfrm>
                <a:off x="3502890" y="79583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23" name="Picture 22">
                <a:extLst>
                  <a:ext uri="{FF2B5EF4-FFF2-40B4-BE49-F238E27FC236}">
                    <a16:creationId xmlns:a16="http://schemas.microsoft.com/office/drawing/2014/main" id="{C5084C1A-F692-4F4A-8D1C-2F9CD226FDB5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7" spid="_x0000_s10839"/>
                  </a:ext>
                </a:extLst>
              </xdr:cNvPicPr>
            </xdr:nvPicPr>
            <xdr:blipFill>
              <a:blip xmlns:r="http://schemas.openxmlformats.org/officeDocument/2006/relationships" r:embed="rId18"/>
              <a:srcRect/>
              <a:stretch>
                <a:fillRect/>
              </a:stretch>
            </xdr:blipFill>
            <xdr:spPr bwMode="auto">
              <a:xfrm>
                <a:off x="3502890" y="81408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24" name="Picture 23">
                <a:extLst>
                  <a:ext uri="{FF2B5EF4-FFF2-40B4-BE49-F238E27FC236}">
                    <a16:creationId xmlns:a16="http://schemas.microsoft.com/office/drawing/2014/main" id="{305379DA-0BD8-4542-A192-3B16C330867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8" spid="_x0000_s10840"/>
                  </a:ext>
                </a:extLst>
              </xdr:cNvPicPr>
            </xdr:nvPicPr>
            <xdr:blipFill>
              <a:blip xmlns:r="http://schemas.openxmlformats.org/officeDocument/2006/relationships" r:embed="rId16"/>
              <a:srcRect/>
              <a:stretch>
                <a:fillRect/>
              </a:stretch>
            </xdr:blipFill>
            <xdr:spPr bwMode="auto">
              <a:xfrm>
                <a:off x="3502890" y="83233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25" name="Picture 24">
                <a:extLst>
                  <a:ext uri="{FF2B5EF4-FFF2-40B4-BE49-F238E27FC236}">
                    <a16:creationId xmlns:a16="http://schemas.microsoft.com/office/drawing/2014/main" id="{7AF80B15-A460-440D-9EFF-671A9784D5BC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9" spid="_x0000_s10841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3502890" y="85058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26" name="Picture 25">
                <a:extLst>
                  <a:ext uri="{FF2B5EF4-FFF2-40B4-BE49-F238E27FC236}">
                    <a16:creationId xmlns:a16="http://schemas.microsoft.com/office/drawing/2014/main" id="{40A6EF98-F4E3-4660-8CC6-C42C4C183C2C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50" spid="_x0000_s10842"/>
                  </a:ext>
                </a:extLst>
              </xdr:cNvPicPr>
            </xdr:nvPicPr>
            <xdr:blipFill>
              <a:blip xmlns:r="http://schemas.openxmlformats.org/officeDocument/2006/relationships" r:embed="rId9"/>
              <a:srcRect/>
              <a:stretch>
                <a:fillRect/>
              </a:stretch>
            </xdr:blipFill>
            <xdr:spPr bwMode="auto">
              <a:xfrm>
                <a:off x="3502890" y="86883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27" name="Picture 26">
                <a:extLst>
                  <a:ext uri="{FF2B5EF4-FFF2-40B4-BE49-F238E27FC236}">
                    <a16:creationId xmlns:a16="http://schemas.microsoft.com/office/drawing/2014/main" id="{16B55BA2-A0BB-458A-8806-C9BAB8BC86BC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51" spid="_x0000_s10843"/>
                  </a:ext>
                </a:extLst>
              </xdr:cNvPicPr>
            </xdr:nvPicPr>
            <xdr:blipFill>
              <a:blip xmlns:r="http://schemas.openxmlformats.org/officeDocument/2006/relationships" r:embed="rId19"/>
              <a:srcRect/>
              <a:stretch>
                <a:fillRect/>
              </a:stretch>
            </xdr:blipFill>
            <xdr:spPr bwMode="auto">
              <a:xfrm>
                <a:off x="3502890" y="8870867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11546</xdr:colOff>
          <xdr:row>46</xdr:row>
          <xdr:rowOff>16163</xdr:rowOff>
        </xdr:from>
        <xdr:to>
          <xdr:col>11</xdr:col>
          <xdr:colOff>17896</xdr:colOff>
          <xdr:row>53</xdr:row>
          <xdr:rowOff>9152</xdr:rowOff>
        </xdr:to>
        <xdr:grpSp>
          <xdr:nvGrpSpPr>
            <xdr:cNvPr id="28" name="Group 27">
              <a:extLst>
                <a:ext uri="{FF2B5EF4-FFF2-40B4-BE49-F238E27FC236}">
                  <a16:creationId xmlns:a16="http://schemas.microsoft.com/office/drawing/2014/main" id="{6435E127-0EA2-4553-B192-413BCBE99522}"/>
                </a:ext>
              </a:extLst>
            </xdr:cNvPr>
            <xdr:cNvGrpSpPr/>
          </xdr:nvGrpSpPr>
          <xdr:grpSpPr>
            <a:xfrm>
              <a:off x="6107546" y="9179213"/>
              <a:ext cx="615950" cy="1364589"/>
              <a:chOff x="3502890" y="7775864"/>
              <a:chExt cx="231487" cy="1286080"/>
            </a:xfrm>
          </xdr:grpSpPr>
          <xdr:pic>
            <xdr:nvPicPr>
              <xdr:cNvPr id="29" name="Picture 28">
                <a:extLst>
                  <a:ext uri="{FF2B5EF4-FFF2-40B4-BE49-F238E27FC236}">
                    <a16:creationId xmlns:a16="http://schemas.microsoft.com/office/drawing/2014/main" id="{19C13F01-A3BB-4377-A46C-98724C095CC8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5b" spid="_x0000_s10844"/>
                  </a:ext>
                </a:extLst>
              </xdr:cNvPicPr>
            </xdr:nvPicPr>
            <xdr:blipFill>
              <a:blip xmlns:r="http://schemas.openxmlformats.org/officeDocument/2006/relationships" r:embed="rId20"/>
              <a:srcRect/>
              <a:stretch>
                <a:fillRect/>
              </a:stretch>
            </xdr:blipFill>
            <xdr:spPr bwMode="auto">
              <a:xfrm>
                <a:off x="3502890" y="77758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0" name="Picture 29">
                <a:extLst>
                  <a:ext uri="{FF2B5EF4-FFF2-40B4-BE49-F238E27FC236}">
                    <a16:creationId xmlns:a16="http://schemas.microsoft.com/office/drawing/2014/main" id="{34250CE9-326E-464B-BD36-A7743D4DC8CA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6b" spid="_x0000_s10845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3502890" y="79583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1" name="Picture 30">
                <a:extLst>
                  <a:ext uri="{FF2B5EF4-FFF2-40B4-BE49-F238E27FC236}">
                    <a16:creationId xmlns:a16="http://schemas.microsoft.com/office/drawing/2014/main" id="{5CBE7FC1-CBCA-42B7-AE96-A3D888C679DA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7b" spid="_x0000_s10846"/>
                  </a:ext>
                </a:extLst>
              </xdr:cNvPicPr>
            </xdr:nvPicPr>
            <xdr:blipFill>
              <a:blip xmlns:r="http://schemas.openxmlformats.org/officeDocument/2006/relationships" r:embed="rId21"/>
              <a:srcRect/>
              <a:stretch>
                <a:fillRect/>
              </a:stretch>
            </xdr:blipFill>
            <xdr:spPr bwMode="auto">
              <a:xfrm>
                <a:off x="3502890" y="81408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2" name="Picture 31">
                <a:extLst>
                  <a:ext uri="{FF2B5EF4-FFF2-40B4-BE49-F238E27FC236}">
                    <a16:creationId xmlns:a16="http://schemas.microsoft.com/office/drawing/2014/main" id="{B06C7B11-C48F-4B32-B1C8-DC7D49C2DB3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8b" spid="_x0000_s10847"/>
                  </a:ext>
                </a:extLst>
              </xdr:cNvPicPr>
            </xdr:nvPicPr>
            <xdr:blipFill>
              <a:blip xmlns:r="http://schemas.openxmlformats.org/officeDocument/2006/relationships" r:embed="rId22"/>
              <a:srcRect/>
              <a:stretch>
                <a:fillRect/>
              </a:stretch>
            </xdr:blipFill>
            <xdr:spPr bwMode="auto">
              <a:xfrm>
                <a:off x="3502890" y="83233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3" name="Picture 32">
                <a:extLst>
                  <a:ext uri="{FF2B5EF4-FFF2-40B4-BE49-F238E27FC236}">
                    <a16:creationId xmlns:a16="http://schemas.microsoft.com/office/drawing/2014/main" id="{49829DAF-4C00-41F5-AE83-470428329FD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49b" spid="_x0000_s10848"/>
                  </a:ext>
                </a:extLst>
              </xdr:cNvPicPr>
            </xdr:nvPicPr>
            <xdr:blipFill>
              <a:blip xmlns:r="http://schemas.openxmlformats.org/officeDocument/2006/relationships" r:embed="rId19"/>
              <a:srcRect/>
              <a:stretch>
                <a:fillRect/>
              </a:stretch>
            </xdr:blipFill>
            <xdr:spPr bwMode="auto">
              <a:xfrm>
                <a:off x="3502890" y="85058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4" name="Picture 33">
                <a:extLst>
                  <a:ext uri="{FF2B5EF4-FFF2-40B4-BE49-F238E27FC236}">
                    <a16:creationId xmlns:a16="http://schemas.microsoft.com/office/drawing/2014/main" id="{C8532909-3F1E-4854-82AF-DAB9F5CBA34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50b" spid="_x0000_s10849"/>
                  </a:ext>
                </a:extLst>
              </xdr:cNvPicPr>
            </xdr:nvPicPr>
            <xdr:blipFill>
              <a:blip xmlns:r="http://schemas.openxmlformats.org/officeDocument/2006/relationships" r:embed="rId23"/>
              <a:srcRect/>
              <a:stretch>
                <a:fillRect/>
              </a:stretch>
            </xdr:blipFill>
            <xdr:spPr bwMode="auto">
              <a:xfrm>
                <a:off x="3502890" y="8688364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5" name="Picture 34">
                <a:extLst>
                  <a:ext uri="{FF2B5EF4-FFF2-40B4-BE49-F238E27FC236}">
                    <a16:creationId xmlns:a16="http://schemas.microsoft.com/office/drawing/2014/main" id="{5C5859A2-452D-4B88-B468-C5199F64A326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lag51b" spid="_x0000_s10850"/>
                  </a:ext>
                </a:extLst>
              </xdr:cNvPicPr>
            </xdr:nvPicPr>
            <xdr:blipFill>
              <a:blip xmlns:r="http://schemas.openxmlformats.org/officeDocument/2006/relationships" r:embed="rId23"/>
              <a:srcRect/>
              <a:stretch>
                <a:fillRect/>
              </a:stretch>
            </xdr:blipFill>
            <xdr:spPr bwMode="auto">
              <a:xfrm>
                <a:off x="3502890" y="8870867"/>
                <a:ext cx="231487" cy="19107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Euro%202020%20Fixtures%20V2.43%20-%20Free%20Vers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de%20learning/Anhnt-CleanArchitecture/Betting/Documents/ExcelData/2021%201014%20Country%20vs%20AlphaCode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Matches"/>
      <sheetName val="Tie Breaker Regulation"/>
      <sheetName val="Language"/>
      <sheetName val="Dummy Table"/>
      <sheetName val="About"/>
      <sheetName val="License"/>
    </sheetNames>
    <sheetDataSet>
      <sheetData sheetId="0"/>
      <sheetData sheetId="1"/>
      <sheetData sheetId="2"/>
      <sheetData sheetId="3"/>
      <sheetData sheetId="4">
        <row r="40">
          <cell r="EJ40" t="str">
            <v>'Dummy Table'!EG9</v>
          </cell>
        </row>
        <row r="41">
          <cell r="EJ41" t="str">
            <v>'Dummy Table'!EG8</v>
          </cell>
        </row>
        <row r="42">
          <cell r="EJ42" t="str">
            <v>'Dummy Table'!EG15</v>
          </cell>
        </row>
        <row r="43">
          <cell r="EJ43" t="str">
            <v>'Dummy Table'!EG11</v>
          </cell>
        </row>
        <row r="44">
          <cell r="EJ44" t="str">
            <v>'Dummy Table'!EG22</v>
          </cell>
        </row>
        <row r="45">
          <cell r="EJ45" t="str">
            <v>'Dummy Table'!EG27</v>
          </cell>
        </row>
        <row r="46">
          <cell r="EJ46" t="str">
            <v>'Dummy Table'!EG21</v>
          </cell>
        </row>
        <row r="47">
          <cell r="EJ47" t="str">
            <v>'Dummy Table'!EG24</v>
          </cell>
        </row>
        <row r="48">
          <cell r="EJ48" t="str">
            <v>'Dummy Table'!EG10</v>
          </cell>
        </row>
        <row r="49">
          <cell r="EJ49" t="str">
            <v>'Dummy Table'!EG11</v>
          </cell>
        </row>
        <row r="50">
          <cell r="EJ50" t="str">
            <v>'Dummy Table'!EG20</v>
          </cell>
        </row>
        <row r="51">
          <cell r="EJ51" t="str">
            <v>'Dummy Table'!EG16</v>
          </cell>
        </row>
        <row r="52">
          <cell r="EJ52" t="str">
            <v>'Dummy Table'!EG23</v>
          </cell>
        </row>
        <row r="53">
          <cell r="EJ53" t="str">
            <v>'Dummy Table'!EG13</v>
          </cell>
        </row>
        <row r="54">
          <cell r="EJ54" t="str">
            <v>'Dummy Table'!EG8</v>
          </cell>
        </row>
        <row r="55">
          <cell r="EJ55" t="str">
            <v>'Dummy Table'!EG13</v>
          </cell>
        </row>
        <row r="56">
          <cell r="EJ56" t="str">
            <v>'Dummy Table'!EG17</v>
          </cell>
        </row>
        <row r="57">
          <cell r="EJ57" t="str">
            <v>'Dummy Table'!EG20</v>
          </cell>
        </row>
        <row r="58">
          <cell r="EJ58" t="str">
            <v>'Dummy Table'!EG30</v>
          </cell>
        </row>
        <row r="59">
          <cell r="EJ59" t="str">
            <v>'Dummy Table'!EG23</v>
          </cell>
        </row>
        <row r="60">
          <cell r="EJ60" t="str">
            <v>'Dummy Table'!EG10</v>
          </cell>
        </row>
        <row r="61">
          <cell r="EJ61" t="str">
            <v>'Dummy Table'!EG28</v>
          </cell>
        </row>
        <row r="62">
          <cell r="EJ62" t="str">
            <v>'Dummy Table'!EG16</v>
          </cell>
        </row>
        <row r="63">
          <cell r="EJ63" t="str">
            <v>'Dummy Table'!EG23</v>
          </cell>
        </row>
        <row r="64">
          <cell r="EJ64" t="str">
            <v>'Dummy Table'!EG8</v>
          </cell>
        </row>
        <row r="65">
          <cell r="EJ65" t="str">
            <v>'Dummy Table'!EG13</v>
          </cell>
        </row>
        <row r="66">
          <cell r="EJ66" t="str">
            <v>'Dummy Table'!EG21</v>
          </cell>
        </row>
        <row r="67">
          <cell r="EJ67" t="str">
            <v>'Dummy Table'!EG8</v>
          </cell>
        </row>
        <row r="68">
          <cell r="EJ68" t="str">
            <v>'Dummy Table'!EG21</v>
          </cell>
        </row>
        <row r="69">
          <cell r="EJ69" t="str">
            <v>'Dummy Table'!EG21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ry"/>
      <sheetName val="Codematchs"/>
      <sheetName val="Matchs"/>
      <sheetName val="SeedMatches"/>
      <sheetName val="Stages"/>
      <sheetName val="FifaCountryCode"/>
      <sheetName val="Team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TeamName</v>
          </cell>
          <cell r="B1" t="str">
            <v>Code</v>
          </cell>
        </row>
        <row r="2">
          <cell r="A2" t="str">
            <v>Afghanistan</v>
          </cell>
          <cell r="B2" t="str">
            <v>AFG</v>
          </cell>
        </row>
        <row r="3">
          <cell r="A3" t="str">
            <v>Albania</v>
          </cell>
          <cell r="B3" t="str">
            <v>ALB</v>
          </cell>
        </row>
        <row r="4">
          <cell r="A4" t="str">
            <v>Algeria</v>
          </cell>
          <cell r="B4" t="str">
            <v>ALG</v>
          </cell>
        </row>
        <row r="5">
          <cell r="A5" t="str">
            <v>American Samoa</v>
          </cell>
          <cell r="B5" t="str">
            <v>ASA</v>
          </cell>
        </row>
        <row r="6">
          <cell r="A6" t="str">
            <v>Andorra</v>
          </cell>
          <cell r="B6" t="str">
            <v>AND</v>
          </cell>
        </row>
        <row r="7">
          <cell r="A7" t="str">
            <v>Angola</v>
          </cell>
          <cell r="B7" t="str">
            <v>ANG</v>
          </cell>
        </row>
        <row r="8">
          <cell r="A8" t="str">
            <v>Anguilla</v>
          </cell>
          <cell r="B8" t="str">
            <v>AIA</v>
          </cell>
        </row>
        <row r="9">
          <cell r="A9" t="str">
            <v>Antigua and Barbuda</v>
          </cell>
          <cell r="B9" t="str">
            <v>ATG</v>
          </cell>
        </row>
        <row r="10">
          <cell r="A10" t="str">
            <v>Argentina</v>
          </cell>
          <cell r="B10" t="str">
            <v>ARG</v>
          </cell>
        </row>
        <row r="11">
          <cell r="A11" t="str">
            <v>Armenia</v>
          </cell>
          <cell r="B11" t="str">
            <v>ARM</v>
          </cell>
        </row>
        <row r="12">
          <cell r="A12" t="str">
            <v>Aruba</v>
          </cell>
          <cell r="B12" t="str">
            <v>ARU</v>
          </cell>
        </row>
        <row r="13">
          <cell r="A13" t="str">
            <v>Australia</v>
          </cell>
          <cell r="B13" t="str">
            <v>AUS</v>
          </cell>
        </row>
        <row r="14">
          <cell r="A14" t="str">
            <v>Austria</v>
          </cell>
          <cell r="B14" t="str">
            <v>AUT</v>
          </cell>
        </row>
        <row r="15">
          <cell r="A15" t="str">
            <v>Azerbaijan</v>
          </cell>
          <cell r="B15" t="str">
            <v>AZE</v>
          </cell>
        </row>
        <row r="16">
          <cell r="A16" t="str">
            <v>Bahamas</v>
          </cell>
          <cell r="B16" t="str">
            <v>BAH</v>
          </cell>
        </row>
        <row r="17">
          <cell r="A17" t="str">
            <v>Bahrain</v>
          </cell>
          <cell r="B17" t="str">
            <v>BHR</v>
          </cell>
        </row>
        <row r="18">
          <cell r="A18" t="str">
            <v>Bangladesh</v>
          </cell>
          <cell r="B18" t="str">
            <v>BAN</v>
          </cell>
        </row>
        <row r="19">
          <cell r="A19" t="str">
            <v>Barbados</v>
          </cell>
          <cell r="B19" t="str">
            <v>BRB</v>
          </cell>
        </row>
        <row r="20">
          <cell r="A20" t="str">
            <v>Belarus</v>
          </cell>
          <cell r="B20" t="str">
            <v>BLR</v>
          </cell>
        </row>
        <row r="21">
          <cell r="A21" t="str">
            <v>Belgium</v>
          </cell>
          <cell r="B21" t="str">
            <v>BEL</v>
          </cell>
        </row>
        <row r="22">
          <cell r="A22" t="str">
            <v>Belize</v>
          </cell>
          <cell r="B22" t="str">
            <v>BLZ</v>
          </cell>
        </row>
        <row r="23">
          <cell r="A23" t="str">
            <v>Benin</v>
          </cell>
          <cell r="B23" t="str">
            <v>BEN</v>
          </cell>
        </row>
        <row r="24">
          <cell r="A24" t="str">
            <v>Bermuda</v>
          </cell>
          <cell r="B24" t="str">
            <v>BER</v>
          </cell>
        </row>
        <row r="25">
          <cell r="A25" t="str">
            <v>Bhutan</v>
          </cell>
          <cell r="B25" t="str">
            <v>BHU</v>
          </cell>
        </row>
        <row r="26">
          <cell r="A26" t="str">
            <v>Bolivia</v>
          </cell>
          <cell r="B26" t="str">
            <v>BOL</v>
          </cell>
        </row>
        <row r="27">
          <cell r="A27" t="str">
            <v>Bosnia and Herzegovina</v>
          </cell>
          <cell r="B27" t="str">
            <v>BIH</v>
          </cell>
        </row>
        <row r="28">
          <cell r="A28" t="str">
            <v>Botswana</v>
          </cell>
          <cell r="B28" t="str">
            <v>BOT</v>
          </cell>
        </row>
        <row r="29">
          <cell r="A29" t="str">
            <v>Brazil</v>
          </cell>
          <cell r="B29" t="str">
            <v>BRA</v>
          </cell>
        </row>
        <row r="30">
          <cell r="A30" t="str">
            <v>British Virgin Islands</v>
          </cell>
          <cell r="B30" t="str">
            <v>VGB</v>
          </cell>
        </row>
        <row r="31">
          <cell r="A31" t="str">
            <v>Brunei</v>
          </cell>
          <cell r="B31" t="str">
            <v>BRU</v>
          </cell>
        </row>
        <row r="32">
          <cell r="A32" t="str">
            <v>Bulgaria</v>
          </cell>
          <cell r="B32" t="str">
            <v>BUL</v>
          </cell>
        </row>
        <row r="33">
          <cell r="A33" t="str">
            <v>Burkina Faso</v>
          </cell>
          <cell r="B33" t="str">
            <v>BFA</v>
          </cell>
        </row>
        <row r="34">
          <cell r="A34" t="str">
            <v>Burundi</v>
          </cell>
          <cell r="B34" t="str">
            <v>BDI</v>
          </cell>
        </row>
        <row r="35">
          <cell r="A35" t="str">
            <v>Cambodia</v>
          </cell>
          <cell r="B35" t="str">
            <v>CAM</v>
          </cell>
        </row>
        <row r="36">
          <cell r="A36" t="str">
            <v>Cameroon</v>
          </cell>
          <cell r="B36" t="str">
            <v>CMR</v>
          </cell>
        </row>
        <row r="37">
          <cell r="A37" t="str">
            <v>Canada</v>
          </cell>
          <cell r="B37" t="str">
            <v>CAN</v>
          </cell>
        </row>
        <row r="38">
          <cell r="A38" t="str">
            <v>Cape Verde</v>
          </cell>
          <cell r="B38" t="str">
            <v>CPV</v>
          </cell>
        </row>
        <row r="39">
          <cell r="A39" t="str">
            <v>Cayman Islands</v>
          </cell>
          <cell r="B39" t="str">
            <v>CAY</v>
          </cell>
        </row>
        <row r="40">
          <cell r="A40" t="str">
            <v>Central African Republic</v>
          </cell>
          <cell r="B40" t="str">
            <v>CTA</v>
          </cell>
        </row>
        <row r="41">
          <cell r="A41" t="str">
            <v>Chad</v>
          </cell>
          <cell r="B41" t="str">
            <v>CHA</v>
          </cell>
        </row>
        <row r="42">
          <cell r="A42" t="str">
            <v>Chile</v>
          </cell>
          <cell r="B42" t="str">
            <v>CHI</v>
          </cell>
        </row>
        <row r="43">
          <cell r="A43" t="str">
            <v>China</v>
          </cell>
          <cell r="B43" t="str">
            <v>CHN</v>
          </cell>
        </row>
        <row r="44">
          <cell r="A44" t="str">
            <v>Chinese Taipei</v>
          </cell>
          <cell r="B44" t="str">
            <v>TPE</v>
          </cell>
        </row>
        <row r="45">
          <cell r="A45" t="str">
            <v>Colombia</v>
          </cell>
          <cell r="B45" t="str">
            <v>COL</v>
          </cell>
        </row>
        <row r="46">
          <cell r="A46" t="str">
            <v>Comoros</v>
          </cell>
          <cell r="B46" t="str">
            <v>COM</v>
          </cell>
        </row>
        <row r="47">
          <cell r="A47" t="str">
            <v>Congo</v>
          </cell>
          <cell r="B47" t="str">
            <v>CGO</v>
          </cell>
        </row>
        <row r="48">
          <cell r="A48" t="str">
            <v>Cook Islands</v>
          </cell>
          <cell r="B48" t="str">
            <v>COK</v>
          </cell>
        </row>
        <row r="49">
          <cell r="A49" t="str">
            <v>Costa Rica</v>
          </cell>
          <cell r="B49" t="str">
            <v>CRC</v>
          </cell>
        </row>
        <row r="50">
          <cell r="A50" t="str">
            <v>Croatia</v>
          </cell>
          <cell r="B50" t="str">
            <v>CRO</v>
          </cell>
        </row>
        <row r="51">
          <cell r="A51" t="str">
            <v>Cuba</v>
          </cell>
          <cell r="B51" t="str">
            <v>CUB</v>
          </cell>
        </row>
        <row r="52">
          <cell r="A52" t="str">
            <v>Curaçao</v>
          </cell>
          <cell r="B52" t="str">
            <v>CUW</v>
          </cell>
        </row>
        <row r="53">
          <cell r="A53" t="str">
            <v>Cyprus</v>
          </cell>
          <cell r="B53" t="str">
            <v>CYP</v>
          </cell>
        </row>
        <row r="54">
          <cell r="A54" t="str">
            <v>Czech Republic</v>
          </cell>
          <cell r="B54" t="str">
            <v>CZE</v>
          </cell>
        </row>
        <row r="55">
          <cell r="A55" t="str">
            <v>Denmark</v>
          </cell>
          <cell r="B55" t="str">
            <v>DEN</v>
          </cell>
        </row>
        <row r="56">
          <cell r="A56" t="str">
            <v>Djibouti</v>
          </cell>
          <cell r="B56" t="str">
            <v>DJI</v>
          </cell>
        </row>
        <row r="57">
          <cell r="A57" t="str">
            <v>Dominica</v>
          </cell>
          <cell r="B57" t="str">
            <v>DMA</v>
          </cell>
        </row>
        <row r="58">
          <cell r="A58" t="str">
            <v>Dominican Republic</v>
          </cell>
          <cell r="B58" t="str">
            <v>DOM</v>
          </cell>
        </row>
        <row r="59">
          <cell r="A59" t="str">
            <v>DR Congo</v>
          </cell>
          <cell r="B59" t="str">
            <v>COD</v>
          </cell>
        </row>
        <row r="60">
          <cell r="A60" t="str">
            <v>Ecuador</v>
          </cell>
          <cell r="B60" t="str">
            <v>ECU</v>
          </cell>
        </row>
        <row r="61">
          <cell r="A61" t="str">
            <v>Egypt</v>
          </cell>
          <cell r="B61" t="str">
            <v>EGY</v>
          </cell>
        </row>
        <row r="62">
          <cell r="A62" t="str">
            <v>El Salvador</v>
          </cell>
          <cell r="B62" t="str">
            <v>SLV</v>
          </cell>
        </row>
        <row r="63">
          <cell r="A63" t="str">
            <v>England</v>
          </cell>
          <cell r="B63" t="str">
            <v>ENG</v>
          </cell>
        </row>
        <row r="64">
          <cell r="A64" t="str">
            <v>Equatorial Guinea</v>
          </cell>
          <cell r="B64" t="str">
            <v>EQG</v>
          </cell>
        </row>
        <row r="65">
          <cell r="A65" t="str">
            <v>Eritrea</v>
          </cell>
          <cell r="B65" t="str">
            <v>ERI</v>
          </cell>
        </row>
        <row r="66">
          <cell r="A66" t="str">
            <v>Estonia</v>
          </cell>
          <cell r="B66" t="str">
            <v>EST</v>
          </cell>
        </row>
        <row r="67">
          <cell r="A67" t="str">
            <v>Eswatini</v>
          </cell>
          <cell r="B67" t="str">
            <v>SWZ</v>
          </cell>
        </row>
        <row r="68">
          <cell r="A68" t="str">
            <v>Ethiopia</v>
          </cell>
          <cell r="B68" t="str">
            <v>ETH</v>
          </cell>
        </row>
        <row r="69">
          <cell r="A69" t="str">
            <v>Faroe Islands</v>
          </cell>
          <cell r="B69" t="str">
            <v>FRO</v>
          </cell>
        </row>
        <row r="70">
          <cell r="A70" t="str">
            <v>Fiji</v>
          </cell>
          <cell r="B70" t="str">
            <v>FIJ</v>
          </cell>
        </row>
        <row r="71">
          <cell r="A71" t="str">
            <v>Finland</v>
          </cell>
          <cell r="B71" t="str">
            <v>FIN</v>
          </cell>
        </row>
        <row r="72">
          <cell r="A72" t="str">
            <v>France</v>
          </cell>
          <cell r="B72" t="str">
            <v>FRA</v>
          </cell>
        </row>
        <row r="73">
          <cell r="A73" t="str">
            <v>Gabon</v>
          </cell>
          <cell r="B73" t="str">
            <v>GAB</v>
          </cell>
        </row>
        <row r="74">
          <cell r="A74" t="str">
            <v>Gambia</v>
          </cell>
          <cell r="B74" t="str">
            <v>GAM</v>
          </cell>
        </row>
        <row r="75">
          <cell r="A75" t="str">
            <v>Georgia</v>
          </cell>
          <cell r="B75" t="str">
            <v>GEO</v>
          </cell>
        </row>
        <row r="76">
          <cell r="A76" t="str">
            <v>Germany</v>
          </cell>
          <cell r="B76" t="str">
            <v>GER</v>
          </cell>
        </row>
        <row r="77">
          <cell r="A77" t="str">
            <v>Ghana</v>
          </cell>
          <cell r="B77" t="str">
            <v>GHA</v>
          </cell>
        </row>
        <row r="78">
          <cell r="A78" t="str">
            <v>Gibraltar</v>
          </cell>
          <cell r="B78" t="str">
            <v>GIB</v>
          </cell>
        </row>
        <row r="79">
          <cell r="A79" t="str">
            <v>Greece</v>
          </cell>
          <cell r="B79" t="str">
            <v>GRE</v>
          </cell>
        </row>
        <row r="80">
          <cell r="A80" t="str">
            <v>Grenada</v>
          </cell>
          <cell r="B80" t="str">
            <v>GRN</v>
          </cell>
        </row>
        <row r="81">
          <cell r="A81" t="str">
            <v>Guam</v>
          </cell>
          <cell r="B81" t="str">
            <v>GUM</v>
          </cell>
        </row>
        <row r="82">
          <cell r="A82" t="str">
            <v>Guatemala</v>
          </cell>
          <cell r="B82" t="str">
            <v>GUA</v>
          </cell>
        </row>
        <row r="83">
          <cell r="A83" t="str">
            <v>Guinea</v>
          </cell>
          <cell r="B83" t="str">
            <v>GUI</v>
          </cell>
        </row>
        <row r="84">
          <cell r="A84" t="str">
            <v>Guinea-Bissau</v>
          </cell>
          <cell r="B84" t="str">
            <v>GNB</v>
          </cell>
        </row>
        <row r="85">
          <cell r="A85" t="str">
            <v>Guyana</v>
          </cell>
          <cell r="B85" t="str">
            <v>GUY</v>
          </cell>
        </row>
        <row r="86">
          <cell r="A86" t="str">
            <v>Haiti</v>
          </cell>
          <cell r="B86" t="str">
            <v>HAI</v>
          </cell>
        </row>
        <row r="87">
          <cell r="A87" t="str">
            <v>Honduras</v>
          </cell>
          <cell r="B87" t="str">
            <v>HON</v>
          </cell>
        </row>
        <row r="88">
          <cell r="A88" t="str">
            <v>Hong Kong</v>
          </cell>
          <cell r="B88" t="str">
            <v>HKG</v>
          </cell>
        </row>
        <row r="89">
          <cell r="A89" t="str">
            <v>Hungary</v>
          </cell>
          <cell r="B89" t="str">
            <v>HUN</v>
          </cell>
        </row>
        <row r="90">
          <cell r="A90" t="str">
            <v>Iceland</v>
          </cell>
          <cell r="B90" t="str">
            <v>ISL</v>
          </cell>
        </row>
        <row r="91">
          <cell r="A91" t="str">
            <v>India</v>
          </cell>
          <cell r="B91" t="str">
            <v>IND</v>
          </cell>
        </row>
        <row r="92">
          <cell r="A92" t="str">
            <v>Indonesia</v>
          </cell>
          <cell r="B92" t="str">
            <v>IDN</v>
          </cell>
        </row>
        <row r="93">
          <cell r="A93" t="str">
            <v>Iran</v>
          </cell>
          <cell r="B93" t="str">
            <v>IRN</v>
          </cell>
        </row>
        <row r="94">
          <cell r="A94" t="str">
            <v>Iraq</v>
          </cell>
          <cell r="B94" t="str">
            <v>IRQ</v>
          </cell>
        </row>
        <row r="95">
          <cell r="A95" t="str">
            <v>Israel</v>
          </cell>
          <cell r="B95" t="str">
            <v>ISR</v>
          </cell>
        </row>
        <row r="96">
          <cell r="A96" t="str">
            <v>Italy</v>
          </cell>
          <cell r="B96" t="str">
            <v>ITA</v>
          </cell>
        </row>
        <row r="97">
          <cell r="A97" t="str">
            <v>Ivory Coast</v>
          </cell>
          <cell r="B97" t="str">
            <v>CIV</v>
          </cell>
        </row>
        <row r="98">
          <cell r="A98" t="str">
            <v>Jamaica</v>
          </cell>
          <cell r="B98" t="str">
            <v>JAM</v>
          </cell>
        </row>
        <row r="99">
          <cell r="A99" t="str">
            <v>Japan</v>
          </cell>
          <cell r="B99" t="str">
            <v>JPN</v>
          </cell>
        </row>
        <row r="100">
          <cell r="A100" t="str">
            <v>Jordan</v>
          </cell>
          <cell r="B100" t="str">
            <v>JOR</v>
          </cell>
        </row>
        <row r="101">
          <cell r="A101" t="str">
            <v>Kazakhstan</v>
          </cell>
          <cell r="B101" t="str">
            <v>KAZ</v>
          </cell>
        </row>
        <row r="102">
          <cell r="A102" t="str">
            <v>Kenya</v>
          </cell>
          <cell r="B102" t="str">
            <v>KEN</v>
          </cell>
        </row>
        <row r="103">
          <cell r="A103" t="str">
            <v>Kosovo</v>
          </cell>
          <cell r="B103" t="str">
            <v>KVX</v>
          </cell>
        </row>
        <row r="104">
          <cell r="A104" t="str">
            <v>Kuwait</v>
          </cell>
          <cell r="B104" t="str">
            <v>KUW</v>
          </cell>
        </row>
        <row r="105">
          <cell r="A105" t="str">
            <v>Kyrgyzstan</v>
          </cell>
          <cell r="B105" t="str">
            <v>KGZ</v>
          </cell>
        </row>
        <row r="106">
          <cell r="A106" t="str">
            <v>Laos</v>
          </cell>
          <cell r="B106" t="str">
            <v>LAO</v>
          </cell>
        </row>
        <row r="107">
          <cell r="A107" t="str">
            <v>Latvia</v>
          </cell>
          <cell r="B107" t="str">
            <v>LVA</v>
          </cell>
        </row>
        <row r="108">
          <cell r="A108" t="str">
            <v>Lebanon</v>
          </cell>
          <cell r="B108" t="str">
            <v>LBN</v>
          </cell>
        </row>
        <row r="109">
          <cell r="A109" t="str">
            <v>Lesotho</v>
          </cell>
          <cell r="B109" t="str">
            <v>LES</v>
          </cell>
        </row>
        <row r="110">
          <cell r="A110" t="str">
            <v>Liberia</v>
          </cell>
          <cell r="B110" t="str">
            <v>LBR</v>
          </cell>
        </row>
        <row r="111">
          <cell r="A111" t="str">
            <v>Libya</v>
          </cell>
          <cell r="B111" t="str">
            <v>LBY</v>
          </cell>
        </row>
        <row r="112">
          <cell r="A112" t="str">
            <v>Liechtenstein</v>
          </cell>
          <cell r="B112" t="str">
            <v>LIE</v>
          </cell>
        </row>
        <row r="113">
          <cell r="A113" t="str">
            <v>Lithuania</v>
          </cell>
          <cell r="B113" t="str">
            <v>LTU</v>
          </cell>
        </row>
        <row r="114">
          <cell r="A114" t="str">
            <v>Luxembourg</v>
          </cell>
          <cell r="B114" t="str">
            <v>LUX</v>
          </cell>
        </row>
        <row r="115">
          <cell r="A115" t="str">
            <v>Macau</v>
          </cell>
          <cell r="B115" t="str">
            <v>MAC</v>
          </cell>
        </row>
        <row r="116">
          <cell r="A116" t="str">
            <v>Madagascar</v>
          </cell>
          <cell r="B116" t="str">
            <v>MAD</v>
          </cell>
        </row>
        <row r="117">
          <cell r="A117" t="str">
            <v>Malawi</v>
          </cell>
          <cell r="B117" t="str">
            <v>MWI</v>
          </cell>
        </row>
        <row r="118">
          <cell r="A118" t="str">
            <v>Malaysia</v>
          </cell>
          <cell r="B118" t="str">
            <v>MAS</v>
          </cell>
        </row>
        <row r="119">
          <cell r="A119" t="str">
            <v>Maldives</v>
          </cell>
          <cell r="B119" t="str">
            <v>MDV</v>
          </cell>
        </row>
        <row r="120">
          <cell r="A120" t="str">
            <v>Mali</v>
          </cell>
          <cell r="B120" t="str">
            <v>MLI</v>
          </cell>
        </row>
        <row r="121">
          <cell r="A121" t="str">
            <v>Malta</v>
          </cell>
          <cell r="B121" t="str">
            <v>MLT</v>
          </cell>
        </row>
        <row r="122">
          <cell r="A122" t="str">
            <v>Mauritania</v>
          </cell>
          <cell r="B122" t="str">
            <v>MTN</v>
          </cell>
        </row>
        <row r="123">
          <cell r="A123" t="str">
            <v>Mauritius</v>
          </cell>
          <cell r="B123" t="str">
            <v>MRI</v>
          </cell>
        </row>
        <row r="124">
          <cell r="A124" t="str">
            <v>Mexico</v>
          </cell>
          <cell r="B124" t="str">
            <v>MEX</v>
          </cell>
        </row>
        <row r="125">
          <cell r="A125" t="str">
            <v>Moldova</v>
          </cell>
          <cell r="B125" t="str">
            <v>MDA</v>
          </cell>
        </row>
        <row r="126">
          <cell r="A126" t="str">
            <v>Mongolia</v>
          </cell>
          <cell r="B126" t="str">
            <v>MNG</v>
          </cell>
        </row>
        <row r="127">
          <cell r="A127" t="str">
            <v>Montenegro</v>
          </cell>
          <cell r="B127" t="str">
            <v>MNE</v>
          </cell>
        </row>
        <row r="128">
          <cell r="A128" t="str">
            <v>Montserrat</v>
          </cell>
          <cell r="B128" t="str">
            <v>MSR</v>
          </cell>
        </row>
        <row r="129">
          <cell r="A129" t="str">
            <v>Morocco</v>
          </cell>
          <cell r="B129" t="str">
            <v>MAR</v>
          </cell>
        </row>
        <row r="130">
          <cell r="A130" t="str">
            <v>Mozambique</v>
          </cell>
          <cell r="B130" t="str">
            <v>MOZ</v>
          </cell>
        </row>
        <row r="131">
          <cell r="A131" t="str">
            <v>Myanmar</v>
          </cell>
          <cell r="B131" t="str">
            <v>MYA</v>
          </cell>
        </row>
        <row r="132">
          <cell r="A132" t="str">
            <v>Namibia</v>
          </cell>
          <cell r="B132" t="str">
            <v>NAM</v>
          </cell>
        </row>
        <row r="133">
          <cell r="A133" t="str">
            <v>Nepal</v>
          </cell>
          <cell r="B133" t="str">
            <v>NEP</v>
          </cell>
        </row>
        <row r="134">
          <cell r="A134" t="str">
            <v>Netherlands</v>
          </cell>
          <cell r="B134" t="str">
            <v>NED</v>
          </cell>
        </row>
        <row r="135">
          <cell r="A135" t="str">
            <v>New Caledonia</v>
          </cell>
          <cell r="B135" t="str">
            <v>NCL</v>
          </cell>
        </row>
        <row r="136">
          <cell r="A136" t="str">
            <v>New Zealand</v>
          </cell>
          <cell r="B136" t="str">
            <v>NZL</v>
          </cell>
        </row>
        <row r="137">
          <cell r="A137" t="str">
            <v>Nicaragua</v>
          </cell>
          <cell r="B137" t="str">
            <v>NCA</v>
          </cell>
        </row>
        <row r="138">
          <cell r="A138" t="str">
            <v>Niger</v>
          </cell>
          <cell r="B138" t="str">
            <v>NIG</v>
          </cell>
        </row>
        <row r="139">
          <cell r="A139" t="str">
            <v>Nigeria</v>
          </cell>
          <cell r="B139" t="str">
            <v>NGA</v>
          </cell>
        </row>
        <row r="140">
          <cell r="A140" t="str">
            <v>North Korea</v>
          </cell>
          <cell r="B140" t="str">
            <v>PRK</v>
          </cell>
        </row>
        <row r="141">
          <cell r="A141" t="str">
            <v>North Macedonia</v>
          </cell>
          <cell r="B141" t="str">
            <v>MKD</v>
          </cell>
        </row>
        <row r="142">
          <cell r="A142" t="str">
            <v>Northern Ireland</v>
          </cell>
          <cell r="B142" t="str">
            <v>NIR</v>
          </cell>
        </row>
        <row r="143">
          <cell r="A143" t="str">
            <v>Norway</v>
          </cell>
          <cell r="B143" t="str">
            <v>NOR</v>
          </cell>
        </row>
        <row r="144">
          <cell r="A144" t="str">
            <v>Oman</v>
          </cell>
          <cell r="B144" t="str">
            <v>OMA</v>
          </cell>
        </row>
        <row r="145">
          <cell r="A145" t="str">
            <v>Pakistan</v>
          </cell>
          <cell r="B145" t="str">
            <v>PAK</v>
          </cell>
        </row>
        <row r="146">
          <cell r="A146" t="str">
            <v>Palestine</v>
          </cell>
          <cell r="B146" t="str">
            <v>PLE</v>
          </cell>
        </row>
        <row r="147">
          <cell r="A147" t="str">
            <v>Panama</v>
          </cell>
          <cell r="B147" t="str">
            <v>PAN</v>
          </cell>
        </row>
        <row r="148">
          <cell r="A148" t="str">
            <v>Papua New Guinea</v>
          </cell>
          <cell r="B148" t="str">
            <v>PNG</v>
          </cell>
        </row>
        <row r="149">
          <cell r="A149" t="str">
            <v>Paraguay</v>
          </cell>
          <cell r="B149" t="str">
            <v>PAR</v>
          </cell>
        </row>
        <row r="150">
          <cell r="A150" t="str">
            <v>Peru</v>
          </cell>
          <cell r="B150" t="str">
            <v>PER</v>
          </cell>
        </row>
        <row r="151">
          <cell r="A151" t="str">
            <v>Philippines</v>
          </cell>
          <cell r="B151" t="str">
            <v>PHI</v>
          </cell>
        </row>
        <row r="152">
          <cell r="A152" t="str">
            <v>Poland</v>
          </cell>
          <cell r="B152" t="str">
            <v>POL</v>
          </cell>
        </row>
        <row r="153">
          <cell r="A153" t="str">
            <v>Portugal</v>
          </cell>
          <cell r="B153" t="str">
            <v>POR</v>
          </cell>
        </row>
        <row r="154">
          <cell r="A154" t="str">
            <v>Puerto Rico</v>
          </cell>
          <cell r="B154" t="str">
            <v>PUR</v>
          </cell>
        </row>
        <row r="155">
          <cell r="A155" t="str">
            <v>Qatar</v>
          </cell>
          <cell r="B155" t="str">
            <v>QAT</v>
          </cell>
        </row>
        <row r="156">
          <cell r="A156" t="str">
            <v>Republic of Ireland</v>
          </cell>
          <cell r="B156" t="str">
            <v>IRL</v>
          </cell>
        </row>
        <row r="157">
          <cell r="A157" t="str">
            <v>Romania</v>
          </cell>
          <cell r="B157" t="str">
            <v>ROU</v>
          </cell>
        </row>
        <row r="158">
          <cell r="A158" t="str">
            <v>Russia</v>
          </cell>
          <cell r="B158" t="str">
            <v>RUS</v>
          </cell>
        </row>
        <row r="159">
          <cell r="A159" t="str">
            <v>Rwanda</v>
          </cell>
          <cell r="B159" t="str">
            <v>RWA</v>
          </cell>
        </row>
        <row r="160">
          <cell r="A160" t="str">
            <v>Saint Kitts and Nevis</v>
          </cell>
          <cell r="B160" t="str">
            <v>SKN</v>
          </cell>
        </row>
        <row r="161">
          <cell r="A161" t="str">
            <v>Saint Lucia</v>
          </cell>
          <cell r="B161" t="str">
            <v>LCA</v>
          </cell>
        </row>
        <row r="162">
          <cell r="A162" t="str">
            <v>Saint Vincent and the Grenadines</v>
          </cell>
          <cell r="B162" t="str">
            <v>VIN</v>
          </cell>
        </row>
        <row r="163">
          <cell r="A163" t="str">
            <v>Samoa</v>
          </cell>
          <cell r="B163" t="str">
            <v>SAM</v>
          </cell>
        </row>
        <row r="164">
          <cell r="A164" t="str">
            <v>San Marino</v>
          </cell>
          <cell r="B164" t="str">
            <v>SMR</v>
          </cell>
        </row>
        <row r="165">
          <cell r="A165" t="str">
            <v>São Tomé and Príncipe</v>
          </cell>
          <cell r="B165" t="str">
            <v>STP</v>
          </cell>
        </row>
        <row r="166">
          <cell r="A166" t="str">
            <v>Saudi Arabia</v>
          </cell>
          <cell r="B166" t="str">
            <v>KSA</v>
          </cell>
        </row>
        <row r="167">
          <cell r="A167" t="str">
            <v>Scotland</v>
          </cell>
          <cell r="B167" t="str">
            <v>SCO</v>
          </cell>
        </row>
        <row r="168">
          <cell r="A168" t="str">
            <v>Senegal</v>
          </cell>
          <cell r="B168" t="str">
            <v>SEN</v>
          </cell>
        </row>
        <row r="169">
          <cell r="A169" t="str">
            <v>Serbia</v>
          </cell>
          <cell r="B169" t="str">
            <v>SRB</v>
          </cell>
        </row>
        <row r="170">
          <cell r="A170" t="str">
            <v>Seychelles</v>
          </cell>
          <cell r="B170" t="str">
            <v>SEY</v>
          </cell>
        </row>
        <row r="171">
          <cell r="A171" t="str">
            <v>Sierra Leone</v>
          </cell>
          <cell r="B171" t="str">
            <v>SLE</v>
          </cell>
        </row>
        <row r="172">
          <cell r="A172" t="str">
            <v>Singapore</v>
          </cell>
          <cell r="B172" t="str">
            <v>SIN</v>
          </cell>
        </row>
        <row r="173">
          <cell r="A173" t="str">
            <v>Slovakia</v>
          </cell>
          <cell r="B173" t="str">
            <v>SVK</v>
          </cell>
        </row>
        <row r="174">
          <cell r="A174" t="str">
            <v>Slovenia</v>
          </cell>
          <cell r="B174" t="str">
            <v>SVN</v>
          </cell>
        </row>
        <row r="175">
          <cell r="A175" t="str">
            <v>Solomon Islands</v>
          </cell>
          <cell r="B175" t="str">
            <v>SOL</v>
          </cell>
        </row>
        <row r="176">
          <cell r="A176" t="str">
            <v>Somalia</v>
          </cell>
          <cell r="B176" t="str">
            <v>SOM</v>
          </cell>
        </row>
        <row r="177">
          <cell r="A177" t="str">
            <v>South Africa</v>
          </cell>
          <cell r="B177" t="str">
            <v>RSA</v>
          </cell>
        </row>
        <row r="178">
          <cell r="A178" t="str">
            <v>South Korea</v>
          </cell>
          <cell r="B178" t="str">
            <v>KOR</v>
          </cell>
        </row>
        <row r="179">
          <cell r="A179" t="str">
            <v>South Sudan</v>
          </cell>
          <cell r="B179" t="str">
            <v>SSD</v>
          </cell>
        </row>
        <row r="180">
          <cell r="A180" t="str">
            <v>Spain</v>
          </cell>
          <cell r="B180" t="str">
            <v>ESP</v>
          </cell>
        </row>
        <row r="181">
          <cell r="A181" t="str">
            <v>Sri Lanka</v>
          </cell>
          <cell r="B181" t="str">
            <v>SRI</v>
          </cell>
        </row>
        <row r="182">
          <cell r="A182" t="str">
            <v>Sudan</v>
          </cell>
          <cell r="B182" t="str">
            <v>SDN</v>
          </cell>
        </row>
        <row r="183">
          <cell r="A183" t="str">
            <v>Suriname</v>
          </cell>
          <cell r="B183" t="str">
            <v>SUR</v>
          </cell>
        </row>
        <row r="184">
          <cell r="A184" t="str">
            <v>Sweden</v>
          </cell>
          <cell r="B184" t="str">
            <v>SWE</v>
          </cell>
        </row>
        <row r="185">
          <cell r="A185" t="str">
            <v>Switzerland</v>
          </cell>
          <cell r="B185" t="str">
            <v>SUI</v>
          </cell>
        </row>
        <row r="186">
          <cell r="A186" t="str">
            <v>Syria</v>
          </cell>
          <cell r="B186" t="str">
            <v>SYR</v>
          </cell>
        </row>
        <row r="187">
          <cell r="A187" t="str">
            <v>Tahiti</v>
          </cell>
          <cell r="B187" t="str">
            <v>TAH</v>
          </cell>
        </row>
        <row r="188">
          <cell r="A188" t="str">
            <v>Tajikistan</v>
          </cell>
          <cell r="B188" t="str">
            <v>TJK</v>
          </cell>
        </row>
        <row r="189">
          <cell r="A189" t="str">
            <v>Tanzania</v>
          </cell>
          <cell r="B189" t="str">
            <v>TAN</v>
          </cell>
        </row>
        <row r="190">
          <cell r="A190" t="str">
            <v>Thailand</v>
          </cell>
          <cell r="B190" t="str">
            <v>THA</v>
          </cell>
        </row>
        <row r="191">
          <cell r="A191" t="str">
            <v>Timor-Leste</v>
          </cell>
          <cell r="B191" t="str">
            <v>TLS</v>
          </cell>
        </row>
        <row r="192">
          <cell r="A192" t="str">
            <v>Togo</v>
          </cell>
          <cell r="B192" t="str">
            <v>TOG</v>
          </cell>
        </row>
        <row r="193">
          <cell r="A193" t="str">
            <v>Tonga</v>
          </cell>
          <cell r="B193" t="str">
            <v>TGA</v>
          </cell>
        </row>
        <row r="194">
          <cell r="A194" t="str">
            <v>Trinidad and Tobago</v>
          </cell>
          <cell r="B194" t="str">
            <v>TRI</v>
          </cell>
        </row>
        <row r="195">
          <cell r="A195" t="str">
            <v>Tunisia</v>
          </cell>
          <cell r="B195" t="str">
            <v>TUN</v>
          </cell>
        </row>
        <row r="196">
          <cell r="A196" t="str">
            <v>Turkey</v>
          </cell>
          <cell r="B196" t="str">
            <v>TUR</v>
          </cell>
        </row>
        <row r="197">
          <cell r="A197" t="str">
            <v>Turkmenistan</v>
          </cell>
          <cell r="B197" t="str">
            <v>TKM</v>
          </cell>
        </row>
        <row r="198">
          <cell r="A198" t="str">
            <v>Turks and Caicos Islands</v>
          </cell>
          <cell r="B198" t="str">
            <v>TCA</v>
          </cell>
        </row>
        <row r="199">
          <cell r="A199" t="str">
            <v>Uganda</v>
          </cell>
          <cell r="B199" t="str">
            <v>UGA</v>
          </cell>
        </row>
        <row r="200">
          <cell r="A200" t="str">
            <v>Ukraine</v>
          </cell>
          <cell r="B200" t="str">
            <v>UKR</v>
          </cell>
        </row>
        <row r="201">
          <cell r="A201" t="str">
            <v>United Arab Emirates</v>
          </cell>
          <cell r="B201" t="str">
            <v>UAE</v>
          </cell>
        </row>
        <row r="202">
          <cell r="A202" t="str">
            <v>United States</v>
          </cell>
          <cell r="B202" t="str">
            <v>USA</v>
          </cell>
        </row>
        <row r="203">
          <cell r="A203" t="str">
            <v>Uruguay</v>
          </cell>
          <cell r="B203" t="str">
            <v>URU</v>
          </cell>
        </row>
        <row r="204">
          <cell r="A204" t="str">
            <v>U.S. Virgin Islands</v>
          </cell>
          <cell r="B204" t="str">
            <v>VIR</v>
          </cell>
        </row>
        <row r="205">
          <cell r="A205" t="str">
            <v>Uzbekistan</v>
          </cell>
          <cell r="B205" t="str">
            <v>UZB</v>
          </cell>
        </row>
        <row r="206">
          <cell r="A206" t="str">
            <v>Vanuatu</v>
          </cell>
          <cell r="B206" t="str">
            <v>VAN</v>
          </cell>
        </row>
        <row r="207">
          <cell r="A207" t="str">
            <v>Venezuela</v>
          </cell>
          <cell r="B207" t="str">
            <v>VEN</v>
          </cell>
        </row>
        <row r="208">
          <cell r="A208" t="str">
            <v>Vietnam</v>
          </cell>
          <cell r="B208" t="str">
            <v>VIE</v>
          </cell>
        </row>
        <row r="209">
          <cell r="A209" t="str">
            <v>Wales</v>
          </cell>
          <cell r="B209" t="str">
            <v>WAL</v>
          </cell>
        </row>
        <row r="210">
          <cell r="A210" t="str">
            <v>Yemen</v>
          </cell>
          <cell r="B210" t="str">
            <v>YEM</v>
          </cell>
        </row>
        <row r="211">
          <cell r="A211" t="str">
            <v>Zambia</v>
          </cell>
          <cell r="B211" t="str">
            <v>ZAM</v>
          </cell>
        </row>
        <row r="212">
          <cell r="A212" t="str">
            <v>Zimbabwe</v>
          </cell>
          <cell r="B212" t="str">
            <v>ZIM</v>
          </cell>
        </row>
        <row r="213">
          <cell r="A213" t="str">
            <v>Czechoslovakia</v>
          </cell>
          <cell r="B213" t="str">
            <v>TCH</v>
          </cell>
        </row>
        <row r="214">
          <cell r="A214" t="str">
            <v>East Germany</v>
          </cell>
          <cell r="B214" t="str">
            <v>GDR</v>
          </cell>
        </row>
        <row r="215">
          <cell r="A215" t="str">
            <v>Korea Republic</v>
          </cell>
          <cell r="B215" t="str">
            <v>KOR</v>
          </cell>
        </row>
        <row r="216">
          <cell r="A216" t="str">
            <v>Cote D'Ivoire</v>
          </cell>
          <cell r="B216" t="str">
            <v>CIV</v>
          </cell>
        </row>
        <row r="217">
          <cell r="A217" t="str">
            <v>Serbia and Montenegro</v>
          </cell>
          <cell r="B217" t="str">
            <v>SCG</v>
          </cell>
        </row>
        <row r="218">
          <cell r="A218" t="str">
            <v>Soviet Union</v>
          </cell>
          <cell r="B218" t="str">
            <v>URS</v>
          </cell>
        </row>
        <row r="219">
          <cell r="A219" t="str">
            <v>Zaire</v>
          </cell>
          <cell r="B219" t="str">
            <v>ZAI</v>
          </cell>
        </row>
        <row r="220">
          <cell r="A220" t="str">
            <v>Yugoslavia</v>
          </cell>
          <cell r="B220" t="str">
            <v>YUG</v>
          </cell>
        </row>
        <row r="221">
          <cell r="A221" t="str">
            <v>Dutch East Indies</v>
          </cell>
          <cell r="B221" t="str">
            <v>INH</v>
          </cell>
        </row>
        <row r="222">
          <cell r="A222" t="str">
            <v>USA</v>
          </cell>
          <cell r="B222" t="str">
            <v>USA</v>
          </cell>
        </row>
        <row r="223">
          <cell r="A223" t="str">
            <v>West Germany</v>
          </cell>
          <cell r="B223" t="str">
            <v>PRG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90A4C-E4FF-4A6E-9731-2DCCB7B5A9DA}">
  <sheetPr codeName="Sheet1"/>
  <dimension ref="B1:O53"/>
  <sheetViews>
    <sheetView workbookViewId="0">
      <selection activeCell="L37" sqref="L2:L37"/>
    </sheetView>
  </sheetViews>
  <sheetFormatPr defaultRowHeight="15" x14ac:dyDescent="0.25"/>
  <sheetData>
    <row r="1" spans="2:15" x14ac:dyDescent="0.25">
      <c r="B1" s="1" t="s">
        <v>0</v>
      </c>
      <c r="C1" s="2"/>
      <c r="D1" s="3"/>
      <c r="E1" s="4"/>
      <c r="F1" s="3"/>
      <c r="G1" s="5"/>
      <c r="H1" s="5"/>
      <c r="I1" s="3"/>
      <c r="J1" s="3"/>
      <c r="K1" s="5"/>
      <c r="L1" s="6"/>
      <c r="M1" s="6"/>
      <c r="N1" s="6"/>
      <c r="O1" s="7"/>
    </row>
    <row r="2" spans="2:15" ht="15.75" thickBot="1" x14ac:dyDescent="0.3">
      <c r="B2" s="8">
        <v>1</v>
      </c>
      <c r="C2" s="105" t="s">
        <v>1</v>
      </c>
      <c r="D2" s="105"/>
      <c r="E2" s="9">
        <v>44359.166666666664</v>
      </c>
      <c r="F2" s="10">
        <v>44359.166666666664</v>
      </c>
      <c r="G2" s="11" t="s">
        <v>2</v>
      </c>
      <c r="H2" s="11"/>
      <c r="I2" s="12">
        <v>0</v>
      </c>
      <c r="J2" s="13">
        <v>3</v>
      </c>
      <c r="K2" s="11"/>
      <c r="L2" s="14" t="s">
        <v>3</v>
      </c>
      <c r="M2" s="14"/>
      <c r="N2" s="14"/>
      <c r="O2" s="15" t="s">
        <v>4</v>
      </c>
    </row>
    <row r="3" spans="2:15" ht="15.75" thickBot="1" x14ac:dyDescent="0.3">
      <c r="B3" s="16">
        <v>2</v>
      </c>
      <c r="C3" s="103" t="s">
        <v>1</v>
      </c>
      <c r="D3" s="103"/>
      <c r="E3" s="17">
        <v>44359.916666666664</v>
      </c>
      <c r="F3" s="18">
        <v>44359.916666666664</v>
      </c>
      <c r="G3" s="19" t="s">
        <v>5</v>
      </c>
      <c r="H3" s="19"/>
      <c r="I3" s="20">
        <v>1</v>
      </c>
      <c r="J3" s="21">
        <v>1</v>
      </c>
      <c r="K3" s="19"/>
      <c r="L3" s="22" t="s">
        <v>6</v>
      </c>
      <c r="M3" s="22"/>
      <c r="N3" s="22"/>
      <c r="O3" s="23" t="s">
        <v>7</v>
      </c>
    </row>
    <row r="4" spans="2:15" ht="15.75" thickBot="1" x14ac:dyDescent="0.3">
      <c r="B4" s="16">
        <v>3</v>
      </c>
      <c r="C4" s="102" t="s">
        <v>8</v>
      </c>
      <c r="D4" s="102"/>
      <c r="E4" s="24">
        <v>44360.041666666664</v>
      </c>
      <c r="F4" s="25">
        <v>44360.041666666664</v>
      </c>
      <c r="G4" s="26" t="s">
        <v>9</v>
      </c>
      <c r="H4" s="26"/>
      <c r="I4" s="20">
        <v>0</v>
      </c>
      <c r="J4" s="21">
        <v>1</v>
      </c>
      <c r="K4" s="26"/>
      <c r="L4" s="27" t="s">
        <v>10</v>
      </c>
      <c r="M4" s="27"/>
      <c r="N4" s="27"/>
      <c r="O4" s="28" t="s">
        <v>11</v>
      </c>
    </row>
    <row r="5" spans="2:15" ht="15.75" thickBot="1" x14ac:dyDescent="0.3">
      <c r="B5" s="16">
        <v>4</v>
      </c>
      <c r="C5" s="103" t="s">
        <v>8</v>
      </c>
      <c r="D5" s="103"/>
      <c r="E5" s="17">
        <v>44360.166666666664</v>
      </c>
      <c r="F5" s="18">
        <v>44360.166666666664</v>
      </c>
      <c r="G5" s="19" t="s">
        <v>12</v>
      </c>
      <c r="H5" s="19"/>
      <c r="I5" s="20">
        <v>3</v>
      </c>
      <c r="J5" s="21">
        <v>0</v>
      </c>
      <c r="K5" s="19"/>
      <c r="L5" s="22" t="s">
        <v>13</v>
      </c>
      <c r="M5" s="22"/>
      <c r="N5" s="22"/>
      <c r="O5" s="23" t="s">
        <v>14</v>
      </c>
    </row>
    <row r="6" spans="2:15" ht="15.75" thickBot="1" x14ac:dyDescent="0.3">
      <c r="B6" s="16">
        <v>5</v>
      </c>
      <c r="C6" s="102" t="s">
        <v>15</v>
      </c>
      <c r="D6" s="102"/>
      <c r="E6" s="24">
        <v>44360.916666666664</v>
      </c>
      <c r="F6" s="25">
        <v>44360.916666666664</v>
      </c>
      <c r="G6" s="26" t="s">
        <v>16</v>
      </c>
      <c r="H6" s="26"/>
      <c r="I6" s="20">
        <v>1</v>
      </c>
      <c r="J6" s="21">
        <v>0</v>
      </c>
      <c r="K6" s="26"/>
      <c r="L6" s="27" t="s">
        <v>17</v>
      </c>
      <c r="M6" s="27"/>
      <c r="N6" s="27"/>
      <c r="O6" s="28" t="s">
        <v>18</v>
      </c>
    </row>
    <row r="7" spans="2:15" ht="15.75" thickBot="1" x14ac:dyDescent="0.3">
      <c r="B7" s="16">
        <v>6</v>
      </c>
      <c r="C7" s="103" t="s">
        <v>19</v>
      </c>
      <c r="D7" s="103"/>
      <c r="E7" s="17">
        <v>44361.041666666664</v>
      </c>
      <c r="F7" s="18">
        <v>44361.041666666664</v>
      </c>
      <c r="G7" s="19" t="s">
        <v>20</v>
      </c>
      <c r="H7" s="19"/>
      <c r="I7" s="20">
        <v>3</v>
      </c>
      <c r="J7" s="21">
        <v>1</v>
      </c>
      <c r="K7" s="19"/>
      <c r="L7" s="22" t="s">
        <v>21</v>
      </c>
      <c r="M7" s="22"/>
      <c r="N7" s="22"/>
      <c r="O7" s="23" t="s">
        <v>22</v>
      </c>
    </row>
    <row r="8" spans="2:15" ht="15.75" thickBot="1" x14ac:dyDescent="0.3">
      <c r="B8" s="16">
        <v>7</v>
      </c>
      <c r="C8" s="102" t="s">
        <v>19</v>
      </c>
      <c r="D8" s="102"/>
      <c r="E8" s="24">
        <v>44361.166666666664</v>
      </c>
      <c r="F8" s="25">
        <v>44361.166666666664</v>
      </c>
      <c r="G8" s="26" t="s">
        <v>23</v>
      </c>
      <c r="H8" s="26"/>
      <c r="I8" s="20">
        <v>3</v>
      </c>
      <c r="J8" s="21">
        <v>2</v>
      </c>
      <c r="K8" s="26"/>
      <c r="L8" s="27" t="s">
        <v>24</v>
      </c>
      <c r="M8" s="27"/>
      <c r="N8" s="27"/>
      <c r="O8" s="28" t="s">
        <v>25</v>
      </c>
    </row>
    <row r="9" spans="2:15" ht="15.75" thickBot="1" x14ac:dyDescent="0.3">
      <c r="B9" s="16">
        <v>8</v>
      </c>
      <c r="C9" s="103" t="s">
        <v>15</v>
      </c>
      <c r="D9" s="103"/>
      <c r="E9" s="17">
        <v>44361.916666666664</v>
      </c>
      <c r="F9" s="18">
        <v>44361.916666666664</v>
      </c>
      <c r="G9" s="19" t="s">
        <v>26</v>
      </c>
      <c r="H9" s="19"/>
      <c r="I9" s="20">
        <v>0</v>
      </c>
      <c r="J9" s="21">
        <v>2</v>
      </c>
      <c r="K9" s="19"/>
      <c r="L9" s="22" t="s">
        <v>27</v>
      </c>
      <c r="M9" s="22"/>
      <c r="N9" s="22"/>
      <c r="O9" s="23" t="s">
        <v>28</v>
      </c>
    </row>
    <row r="10" spans="2:15" ht="15.75" thickBot="1" x14ac:dyDescent="0.3">
      <c r="B10" s="16">
        <v>9</v>
      </c>
      <c r="C10" s="102" t="s">
        <v>29</v>
      </c>
      <c r="D10" s="102"/>
      <c r="E10" s="24">
        <v>44362.041666666664</v>
      </c>
      <c r="F10" s="25">
        <v>44362.041666666664</v>
      </c>
      <c r="G10" s="26" t="s">
        <v>30</v>
      </c>
      <c r="H10" s="26"/>
      <c r="I10" s="20">
        <v>1</v>
      </c>
      <c r="J10" s="21">
        <v>2</v>
      </c>
      <c r="K10" s="26"/>
      <c r="L10" s="27" t="s">
        <v>31</v>
      </c>
      <c r="M10" s="27"/>
      <c r="N10" s="27"/>
      <c r="O10" s="28" t="s">
        <v>32</v>
      </c>
    </row>
    <row r="11" spans="2:15" ht="15.75" thickBot="1" x14ac:dyDescent="0.3">
      <c r="B11" s="16">
        <v>10</v>
      </c>
      <c r="C11" s="103" t="s">
        <v>29</v>
      </c>
      <c r="D11" s="103"/>
      <c r="E11" s="17">
        <v>44362.166666666664</v>
      </c>
      <c r="F11" s="18">
        <v>44362.166666666664</v>
      </c>
      <c r="G11" s="19" t="s">
        <v>33</v>
      </c>
      <c r="H11" s="19"/>
      <c r="I11" s="20">
        <v>0</v>
      </c>
      <c r="J11" s="21">
        <v>0</v>
      </c>
      <c r="K11" s="19"/>
      <c r="L11" s="22" t="s">
        <v>34</v>
      </c>
      <c r="M11" s="22"/>
      <c r="N11" s="22"/>
      <c r="O11" s="23" t="s">
        <v>35</v>
      </c>
    </row>
    <row r="12" spans="2:15" ht="15.75" thickBot="1" x14ac:dyDescent="0.3">
      <c r="B12" s="16">
        <v>11</v>
      </c>
      <c r="C12" s="102" t="s">
        <v>36</v>
      </c>
      <c r="D12" s="102"/>
      <c r="E12" s="24">
        <v>44363.041666666664</v>
      </c>
      <c r="F12" s="25">
        <v>44363.041666666664</v>
      </c>
      <c r="G12" s="26" t="s">
        <v>37</v>
      </c>
      <c r="H12" s="26"/>
      <c r="I12" s="20">
        <v>0</v>
      </c>
      <c r="J12" s="21">
        <v>3</v>
      </c>
      <c r="K12" s="26"/>
      <c r="L12" s="27" t="s">
        <v>38</v>
      </c>
      <c r="M12" s="27"/>
      <c r="N12" s="27"/>
      <c r="O12" s="28" t="s">
        <v>39</v>
      </c>
    </row>
    <row r="13" spans="2:15" ht="15.75" thickBot="1" x14ac:dyDescent="0.3">
      <c r="B13" s="16">
        <v>12</v>
      </c>
      <c r="C13" s="103" t="s">
        <v>36</v>
      </c>
      <c r="D13" s="103"/>
      <c r="E13" s="17">
        <v>44363.166666666664</v>
      </c>
      <c r="F13" s="18">
        <v>44363.166666666664</v>
      </c>
      <c r="G13" s="19" t="s">
        <v>40</v>
      </c>
      <c r="H13" s="19"/>
      <c r="I13" s="20">
        <v>1</v>
      </c>
      <c r="J13" s="21">
        <v>0</v>
      </c>
      <c r="K13" s="19"/>
      <c r="L13" s="22" t="s">
        <v>41</v>
      </c>
      <c r="M13" s="22"/>
      <c r="N13" s="22"/>
      <c r="O13" s="23" t="s">
        <v>42</v>
      </c>
    </row>
    <row r="14" spans="2:15" ht="15.75" thickBot="1" x14ac:dyDescent="0.3">
      <c r="B14" s="16">
        <v>13</v>
      </c>
      <c r="C14" s="102" t="s">
        <v>8</v>
      </c>
      <c r="D14" s="102"/>
      <c r="E14" s="24">
        <v>44363.916666666664</v>
      </c>
      <c r="F14" s="25">
        <v>44363.916666666664</v>
      </c>
      <c r="G14" s="26" t="s">
        <v>10</v>
      </c>
      <c r="H14" s="26"/>
      <c r="I14" s="20">
        <v>0</v>
      </c>
      <c r="J14" s="21">
        <v>1</v>
      </c>
      <c r="K14" s="26"/>
      <c r="L14" s="27" t="s">
        <v>13</v>
      </c>
      <c r="M14" s="27"/>
      <c r="N14" s="27"/>
      <c r="O14" s="28" t="s">
        <v>14</v>
      </c>
    </row>
    <row r="15" spans="2:15" ht="15.75" thickBot="1" x14ac:dyDescent="0.3">
      <c r="B15" s="16">
        <v>14</v>
      </c>
      <c r="C15" s="103" t="s">
        <v>1</v>
      </c>
      <c r="D15" s="103"/>
      <c r="E15" s="17">
        <v>44364.041666666664</v>
      </c>
      <c r="F15" s="18">
        <v>44364.041666666664</v>
      </c>
      <c r="G15" s="19" t="s">
        <v>2</v>
      </c>
      <c r="H15" s="19"/>
      <c r="I15" s="20">
        <v>0</v>
      </c>
      <c r="J15" s="21">
        <v>2</v>
      </c>
      <c r="K15" s="19"/>
      <c r="L15" s="22" t="s">
        <v>5</v>
      </c>
      <c r="M15" s="22"/>
      <c r="N15" s="22"/>
      <c r="O15" s="23" t="s">
        <v>7</v>
      </c>
    </row>
    <row r="16" spans="2:15" ht="15.75" thickBot="1" x14ac:dyDescent="0.3">
      <c r="B16" s="16">
        <v>15</v>
      </c>
      <c r="C16" s="102" t="s">
        <v>1</v>
      </c>
      <c r="D16" s="102"/>
      <c r="E16" s="24">
        <v>44364.166666666664</v>
      </c>
      <c r="F16" s="25">
        <v>44364.166666666664</v>
      </c>
      <c r="G16" s="26" t="s">
        <v>3</v>
      </c>
      <c r="H16" s="26"/>
      <c r="I16" s="20">
        <v>3</v>
      </c>
      <c r="J16" s="21">
        <v>0</v>
      </c>
      <c r="K16" s="26"/>
      <c r="L16" s="27" t="s">
        <v>6</v>
      </c>
      <c r="M16" s="27"/>
      <c r="N16" s="27"/>
      <c r="O16" s="28" t="s">
        <v>4</v>
      </c>
    </row>
    <row r="17" spans="2:15" ht="15.75" thickBot="1" x14ac:dyDescent="0.3">
      <c r="B17" s="16">
        <v>16</v>
      </c>
      <c r="C17" s="103" t="s">
        <v>19</v>
      </c>
      <c r="D17" s="103"/>
      <c r="E17" s="17">
        <v>44364.916666666664</v>
      </c>
      <c r="F17" s="18">
        <v>44364.916666666664</v>
      </c>
      <c r="G17" s="19" t="s">
        <v>24</v>
      </c>
      <c r="H17" s="19"/>
      <c r="I17" s="20">
        <v>2</v>
      </c>
      <c r="J17" s="21">
        <v>1</v>
      </c>
      <c r="K17" s="19"/>
      <c r="L17" s="22" t="s">
        <v>21</v>
      </c>
      <c r="M17" s="22"/>
      <c r="N17" s="22"/>
      <c r="O17" s="23" t="s">
        <v>22</v>
      </c>
    </row>
    <row r="18" spans="2:15" ht="15.75" thickBot="1" x14ac:dyDescent="0.3">
      <c r="B18" s="16">
        <v>17</v>
      </c>
      <c r="C18" s="102" t="s">
        <v>8</v>
      </c>
      <c r="D18" s="102"/>
      <c r="E18" s="24">
        <v>44365.041666666664</v>
      </c>
      <c r="F18" s="25">
        <v>44365.041666666664</v>
      </c>
      <c r="G18" s="26" t="s">
        <v>9</v>
      </c>
      <c r="H18" s="26"/>
      <c r="I18" s="20">
        <v>1</v>
      </c>
      <c r="J18" s="21">
        <v>2</v>
      </c>
      <c r="K18" s="26"/>
      <c r="L18" s="27" t="s">
        <v>12</v>
      </c>
      <c r="M18" s="27"/>
      <c r="N18" s="27"/>
      <c r="O18" s="28" t="s">
        <v>11</v>
      </c>
    </row>
    <row r="19" spans="2:15" ht="15.75" thickBot="1" x14ac:dyDescent="0.3">
      <c r="B19" s="16">
        <v>18</v>
      </c>
      <c r="C19" s="103" t="s">
        <v>19</v>
      </c>
      <c r="D19" s="103"/>
      <c r="E19" s="17">
        <v>44365.166666666664</v>
      </c>
      <c r="F19" s="18">
        <v>44365.166666666664</v>
      </c>
      <c r="G19" s="19" t="s">
        <v>23</v>
      </c>
      <c r="H19" s="19"/>
      <c r="I19" s="20">
        <v>2</v>
      </c>
      <c r="J19" s="21">
        <v>0</v>
      </c>
      <c r="K19" s="19"/>
      <c r="L19" s="22" t="s">
        <v>20</v>
      </c>
      <c r="M19" s="22"/>
      <c r="N19" s="22"/>
      <c r="O19" s="23" t="s">
        <v>25</v>
      </c>
    </row>
    <row r="20" spans="2:15" ht="15.75" thickBot="1" x14ac:dyDescent="0.3">
      <c r="B20" s="16">
        <v>19</v>
      </c>
      <c r="C20" s="102" t="s">
        <v>29</v>
      </c>
      <c r="D20" s="102"/>
      <c r="E20" s="24">
        <v>44365.916666666664</v>
      </c>
      <c r="F20" s="25">
        <v>44365.916666666664</v>
      </c>
      <c r="G20" s="26" t="s">
        <v>34</v>
      </c>
      <c r="H20" s="26"/>
      <c r="I20" s="20">
        <v>1</v>
      </c>
      <c r="J20" s="21">
        <v>0</v>
      </c>
      <c r="K20" s="26"/>
      <c r="L20" s="27" t="s">
        <v>31</v>
      </c>
      <c r="M20" s="27"/>
      <c r="N20" s="27"/>
      <c r="O20" s="28" t="s">
        <v>32</v>
      </c>
    </row>
    <row r="21" spans="2:15" ht="15.75" thickBot="1" x14ac:dyDescent="0.3">
      <c r="B21" s="16">
        <v>20</v>
      </c>
      <c r="C21" s="103" t="s">
        <v>15</v>
      </c>
      <c r="D21" s="103"/>
      <c r="E21" s="17">
        <v>44366.041666666664</v>
      </c>
      <c r="F21" s="18">
        <v>44366.041666666664</v>
      </c>
      <c r="G21" s="19" t="s">
        <v>17</v>
      </c>
      <c r="H21" s="19"/>
      <c r="I21" s="20">
        <v>1</v>
      </c>
      <c r="J21" s="21">
        <v>1</v>
      </c>
      <c r="K21" s="19"/>
      <c r="L21" s="22" t="s">
        <v>27</v>
      </c>
      <c r="M21" s="22"/>
      <c r="N21" s="22"/>
      <c r="O21" s="23" t="s">
        <v>28</v>
      </c>
    </row>
    <row r="22" spans="2:15" ht="15.75" thickBot="1" x14ac:dyDescent="0.3">
      <c r="B22" s="16">
        <v>21</v>
      </c>
      <c r="C22" s="102" t="s">
        <v>15</v>
      </c>
      <c r="D22" s="102"/>
      <c r="E22" s="24">
        <v>44366.166666666664</v>
      </c>
      <c r="F22" s="25">
        <v>44366.166666666664</v>
      </c>
      <c r="G22" s="26" t="s">
        <v>16</v>
      </c>
      <c r="H22" s="26"/>
      <c r="I22" s="20">
        <v>0</v>
      </c>
      <c r="J22" s="21">
        <v>0</v>
      </c>
      <c r="K22" s="26"/>
      <c r="L22" s="27" t="s">
        <v>26</v>
      </c>
      <c r="M22" s="27"/>
      <c r="N22" s="27"/>
      <c r="O22" s="28" t="s">
        <v>18</v>
      </c>
    </row>
    <row r="23" spans="2:15" ht="15.75" thickBot="1" x14ac:dyDescent="0.3">
      <c r="B23" s="16">
        <v>22</v>
      </c>
      <c r="C23" s="103" t="s">
        <v>36</v>
      </c>
      <c r="D23" s="103"/>
      <c r="E23" s="17">
        <v>44366.916666666664</v>
      </c>
      <c r="F23" s="18">
        <v>44366.916666666664</v>
      </c>
      <c r="G23" s="19" t="s">
        <v>37</v>
      </c>
      <c r="H23" s="19"/>
      <c r="I23" s="20">
        <v>1</v>
      </c>
      <c r="J23" s="21">
        <v>1</v>
      </c>
      <c r="K23" s="19"/>
      <c r="L23" s="22" t="s">
        <v>40</v>
      </c>
      <c r="M23" s="22"/>
      <c r="N23" s="22"/>
      <c r="O23" s="23" t="s">
        <v>39</v>
      </c>
    </row>
    <row r="24" spans="2:15" ht="15.75" thickBot="1" x14ac:dyDescent="0.3">
      <c r="B24" s="16">
        <v>23</v>
      </c>
      <c r="C24" s="102" t="s">
        <v>36</v>
      </c>
      <c r="D24" s="102"/>
      <c r="E24" s="24">
        <v>44367.041666666664</v>
      </c>
      <c r="F24" s="25">
        <v>44367.041666666664</v>
      </c>
      <c r="G24" s="26" t="s">
        <v>38</v>
      </c>
      <c r="H24" s="26"/>
      <c r="I24" s="20">
        <v>2</v>
      </c>
      <c r="J24" s="21">
        <v>4</v>
      </c>
      <c r="K24" s="26"/>
      <c r="L24" s="27" t="s">
        <v>41</v>
      </c>
      <c r="M24" s="27"/>
      <c r="N24" s="27"/>
      <c r="O24" s="28" t="s">
        <v>42</v>
      </c>
    </row>
    <row r="25" spans="2:15" ht="15.75" thickBot="1" x14ac:dyDescent="0.3">
      <c r="B25" s="16">
        <v>24</v>
      </c>
      <c r="C25" s="103" t="s">
        <v>29</v>
      </c>
      <c r="D25" s="103"/>
      <c r="E25" s="17">
        <v>44367.166666666664</v>
      </c>
      <c r="F25" s="18">
        <v>44367.166666666664</v>
      </c>
      <c r="G25" s="19" t="s">
        <v>33</v>
      </c>
      <c r="H25" s="19"/>
      <c r="I25" s="20">
        <v>1</v>
      </c>
      <c r="J25" s="21">
        <v>1</v>
      </c>
      <c r="K25" s="19"/>
      <c r="L25" s="22" t="s">
        <v>30</v>
      </c>
      <c r="M25" s="22"/>
      <c r="N25" s="22"/>
      <c r="O25" s="23" t="s">
        <v>35</v>
      </c>
    </row>
    <row r="26" spans="2:15" ht="15.75" thickBot="1" x14ac:dyDescent="0.3">
      <c r="B26" s="16">
        <v>25</v>
      </c>
      <c r="C26" s="102" t="s">
        <v>1</v>
      </c>
      <c r="D26" s="102"/>
      <c r="E26" s="24">
        <v>44368.041666666664</v>
      </c>
      <c r="F26" s="25">
        <v>44368.041666666664</v>
      </c>
      <c r="G26" s="26" t="s">
        <v>6</v>
      </c>
      <c r="H26" s="26"/>
      <c r="I26" s="20">
        <v>3</v>
      </c>
      <c r="J26" s="21">
        <v>1</v>
      </c>
      <c r="K26" s="26"/>
      <c r="L26" s="27" t="s">
        <v>2</v>
      </c>
      <c r="M26" s="27"/>
      <c r="N26" s="27"/>
      <c r="O26" s="28" t="s">
        <v>7</v>
      </c>
    </row>
    <row r="27" spans="2:15" ht="15.75" thickBot="1" x14ac:dyDescent="0.3">
      <c r="B27" s="16">
        <v>26</v>
      </c>
      <c r="C27" s="103" t="s">
        <v>1</v>
      </c>
      <c r="D27" s="103"/>
      <c r="E27" s="17">
        <v>44368.041666666664</v>
      </c>
      <c r="F27" s="18">
        <v>44368.041666666664</v>
      </c>
      <c r="G27" s="19" t="s">
        <v>3</v>
      </c>
      <c r="H27" s="19"/>
      <c r="I27" s="20">
        <v>1</v>
      </c>
      <c r="J27" s="21">
        <v>0</v>
      </c>
      <c r="K27" s="19"/>
      <c r="L27" s="22" t="s">
        <v>5</v>
      </c>
      <c r="M27" s="22"/>
      <c r="N27" s="22"/>
      <c r="O27" s="23" t="s">
        <v>4</v>
      </c>
    </row>
    <row r="28" spans="2:15" ht="15.75" thickBot="1" x14ac:dyDescent="0.3">
      <c r="B28" s="16">
        <v>27</v>
      </c>
      <c r="C28" s="102" t="s">
        <v>19</v>
      </c>
      <c r="D28" s="102"/>
      <c r="E28" s="24">
        <v>44369.041666666664</v>
      </c>
      <c r="F28" s="25">
        <v>44369.041666666664</v>
      </c>
      <c r="G28" s="26" t="s">
        <v>21</v>
      </c>
      <c r="H28" s="26"/>
      <c r="I28" s="20">
        <v>0</v>
      </c>
      <c r="J28" s="21">
        <v>3</v>
      </c>
      <c r="K28" s="26"/>
      <c r="L28" s="27" t="s">
        <v>23</v>
      </c>
      <c r="M28" s="27"/>
      <c r="N28" s="27"/>
      <c r="O28" s="28" t="s">
        <v>25</v>
      </c>
    </row>
    <row r="29" spans="2:15" ht="15.75" thickBot="1" x14ac:dyDescent="0.3">
      <c r="B29" s="16">
        <v>28</v>
      </c>
      <c r="C29" s="103" t="s">
        <v>19</v>
      </c>
      <c r="D29" s="103"/>
      <c r="E29" s="17">
        <v>44369.041666666664</v>
      </c>
      <c r="F29" s="18">
        <v>44369.041666666664</v>
      </c>
      <c r="G29" s="19" t="s">
        <v>24</v>
      </c>
      <c r="H29" s="19"/>
      <c r="I29" s="20">
        <v>0</v>
      </c>
      <c r="J29" s="21">
        <v>1</v>
      </c>
      <c r="K29" s="19"/>
      <c r="L29" s="22" t="s">
        <v>20</v>
      </c>
      <c r="M29" s="22"/>
      <c r="N29" s="22"/>
      <c r="O29" s="23" t="s">
        <v>22</v>
      </c>
    </row>
    <row r="30" spans="2:15" ht="15.75" thickBot="1" x14ac:dyDescent="0.3">
      <c r="B30" s="16">
        <v>29</v>
      </c>
      <c r="C30" s="102" t="s">
        <v>8</v>
      </c>
      <c r="D30" s="102"/>
      <c r="E30" s="24">
        <v>44369.166666666664</v>
      </c>
      <c r="F30" s="25">
        <v>44369.166666666664</v>
      </c>
      <c r="G30" s="26" t="s">
        <v>13</v>
      </c>
      <c r="H30" s="26"/>
      <c r="I30" s="20">
        <v>1</v>
      </c>
      <c r="J30" s="21">
        <v>4</v>
      </c>
      <c r="K30" s="26"/>
      <c r="L30" s="27" t="s">
        <v>9</v>
      </c>
      <c r="M30" s="27"/>
      <c r="N30" s="27"/>
      <c r="O30" s="28" t="s">
        <v>11</v>
      </c>
    </row>
    <row r="31" spans="2:15" ht="15.75" thickBot="1" x14ac:dyDescent="0.3">
      <c r="B31" s="16">
        <v>30</v>
      </c>
      <c r="C31" s="103" t="s">
        <v>8</v>
      </c>
      <c r="D31" s="103"/>
      <c r="E31" s="17">
        <v>44369.166666666664</v>
      </c>
      <c r="F31" s="18">
        <v>44369.166666666664</v>
      </c>
      <c r="G31" s="19" t="s">
        <v>10</v>
      </c>
      <c r="H31" s="19"/>
      <c r="I31" s="20">
        <v>0</v>
      </c>
      <c r="J31" s="21">
        <v>2</v>
      </c>
      <c r="K31" s="19"/>
      <c r="L31" s="22" t="s">
        <v>12</v>
      </c>
      <c r="M31" s="22"/>
      <c r="N31" s="22"/>
      <c r="O31" s="23" t="s">
        <v>14</v>
      </c>
    </row>
    <row r="32" spans="2:15" ht="15.75" thickBot="1" x14ac:dyDescent="0.3">
      <c r="B32" s="16">
        <v>31</v>
      </c>
      <c r="C32" s="102" t="s">
        <v>15</v>
      </c>
      <c r="D32" s="102"/>
      <c r="E32" s="24">
        <v>44370.166666666664</v>
      </c>
      <c r="F32" s="25">
        <v>44370.166666666664</v>
      </c>
      <c r="G32" s="26" t="s">
        <v>17</v>
      </c>
      <c r="H32" s="26"/>
      <c r="I32" s="20">
        <v>3</v>
      </c>
      <c r="J32" s="21">
        <v>1</v>
      </c>
      <c r="K32" s="26"/>
      <c r="L32" s="27" t="s">
        <v>26</v>
      </c>
      <c r="M32" s="27"/>
      <c r="N32" s="27"/>
      <c r="O32" s="28" t="s">
        <v>28</v>
      </c>
    </row>
    <row r="33" spans="2:15" ht="15.75" thickBot="1" x14ac:dyDescent="0.3">
      <c r="B33" s="16">
        <v>32</v>
      </c>
      <c r="C33" s="103" t="s">
        <v>15</v>
      </c>
      <c r="D33" s="103"/>
      <c r="E33" s="17">
        <v>44370.166666666664</v>
      </c>
      <c r="F33" s="18">
        <v>44370.166666666664</v>
      </c>
      <c r="G33" s="19" t="s">
        <v>27</v>
      </c>
      <c r="H33" s="19"/>
      <c r="I33" s="20">
        <v>0</v>
      </c>
      <c r="J33" s="21">
        <v>1</v>
      </c>
      <c r="K33" s="19"/>
      <c r="L33" s="22" t="s">
        <v>16</v>
      </c>
      <c r="M33" s="22"/>
      <c r="N33" s="22"/>
      <c r="O33" s="23" t="s">
        <v>18</v>
      </c>
    </row>
    <row r="34" spans="2:15" ht="15.75" thickBot="1" x14ac:dyDescent="0.3">
      <c r="B34" s="16">
        <v>33</v>
      </c>
      <c r="C34" s="102" t="s">
        <v>29</v>
      </c>
      <c r="D34" s="102"/>
      <c r="E34" s="24">
        <v>44371.041666666664</v>
      </c>
      <c r="F34" s="25">
        <v>44371.041666666664</v>
      </c>
      <c r="G34" s="26" t="s">
        <v>34</v>
      </c>
      <c r="H34" s="26"/>
      <c r="I34" s="20">
        <v>3</v>
      </c>
      <c r="J34" s="21">
        <v>2</v>
      </c>
      <c r="K34" s="26"/>
      <c r="L34" s="27" t="s">
        <v>30</v>
      </c>
      <c r="M34" s="27"/>
      <c r="N34" s="27"/>
      <c r="O34" s="28" t="s">
        <v>32</v>
      </c>
    </row>
    <row r="35" spans="2:15" ht="15.75" thickBot="1" x14ac:dyDescent="0.3">
      <c r="B35" s="16">
        <v>34</v>
      </c>
      <c r="C35" s="103" t="s">
        <v>29</v>
      </c>
      <c r="D35" s="103"/>
      <c r="E35" s="17">
        <v>44371.041666666664</v>
      </c>
      <c r="F35" s="18">
        <v>44371.041666666664</v>
      </c>
      <c r="G35" s="19" t="s">
        <v>31</v>
      </c>
      <c r="H35" s="19"/>
      <c r="I35" s="20">
        <v>0</v>
      </c>
      <c r="J35" s="21">
        <v>5</v>
      </c>
      <c r="K35" s="19"/>
      <c r="L35" s="22" t="s">
        <v>33</v>
      </c>
      <c r="M35" s="22"/>
      <c r="N35" s="22"/>
      <c r="O35" s="23" t="s">
        <v>35</v>
      </c>
    </row>
    <row r="36" spans="2:15" ht="15.75" thickBot="1" x14ac:dyDescent="0.3">
      <c r="B36" s="16">
        <v>35</v>
      </c>
      <c r="C36" s="102" t="s">
        <v>36</v>
      </c>
      <c r="D36" s="102"/>
      <c r="E36" s="24">
        <v>44371.166666666664</v>
      </c>
      <c r="F36" s="25">
        <v>44371.166666666664</v>
      </c>
      <c r="G36" s="26" t="s">
        <v>38</v>
      </c>
      <c r="H36" s="26"/>
      <c r="I36" s="20">
        <v>2</v>
      </c>
      <c r="J36" s="21">
        <v>2</v>
      </c>
      <c r="K36" s="26"/>
      <c r="L36" s="27" t="s">
        <v>40</v>
      </c>
      <c r="M36" s="27"/>
      <c r="N36" s="27"/>
      <c r="O36" s="28" t="s">
        <v>39</v>
      </c>
    </row>
    <row r="37" spans="2:15" x14ac:dyDescent="0.25">
      <c r="B37" s="29">
        <v>36</v>
      </c>
      <c r="C37" s="104" t="s">
        <v>36</v>
      </c>
      <c r="D37" s="104"/>
      <c r="E37" s="30">
        <v>44371.166666666664</v>
      </c>
      <c r="F37" s="31">
        <v>44371.166666666664</v>
      </c>
      <c r="G37" s="32" t="s">
        <v>41</v>
      </c>
      <c r="H37" s="32"/>
      <c r="I37" s="33">
        <v>2</v>
      </c>
      <c r="J37" s="34">
        <v>2</v>
      </c>
      <c r="K37" s="32"/>
      <c r="L37" s="35" t="s">
        <v>37</v>
      </c>
      <c r="M37" s="35"/>
      <c r="N37" s="35"/>
      <c r="O37" s="36" t="s">
        <v>42</v>
      </c>
    </row>
    <row r="38" spans="2:15" x14ac:dyDescent="0.25">
      <c r="B38" s="37" t="s">
        <v>43</v>
      </c>
      <c r="C38" s="38"/>
      <c r="D38" s="39"/>
      <c r="E38" s="40"/>
      <c r="F38" s="41"/>
      <c r="G38" s="42"/>
      <c r="H38" s="42"/>
      <c r="I38" s="43"/>
      <c r="J38" s="43"/>
      <c r="K38" s="42"/>
      <c r="L38" s="44"/>
      <c r="M38" s="97" t="s">
        <v>44</v>
      </c>
      <c r="N38" s="97"/>
      <c r="O38" s="45"/>
    </row>
    <row r="39" spans="2:15" ht="15.75" thickBot="1" x14ac:dyDescent="0.3">
      <c r="B39" s="8">
        <v>37</v>
      </c>
      <c r="C39" s="98" t="s">
        <v>45</v>
      </c>
      <c r="D39" s="98"/>
      <c r="E39" s="46">
        <v>44374.041666666664</v>
      </c>
      <c r="F39" s="10">
        <v>44374.041666666664</v>
      </c>
      <c r="G39" s="26" t="s">
        <v>5</v>
      </c>
      <c r="H39" s="47"/>
      <c r="I39" s="12">
        <v>0</v>
      </c>
      <c r="J39" s="13">
        <v>4</v>
      </c>
      <c r="K39" s="47"/>
      <c r="L39" s="27" t="s">
        <v>9</v>
      </c>
      <c r="M39" s="48"/>
      <c r="N39" s="49"/>
      <c r="O39" s="50" t="s">
        <v>25</v>
      </c>
    </row>
    <row r="40" spans="2:15" ht="15.75" thickBot="1" x14ac:dyDescent="0.3">
      <c r="B40" s="16">
        <v>38</v>
      </c>
      <c r="C40" s="99"/>
      <c r="D40" s="99"/>
      <c r="E40" s="17">
        <v>44374.166666666664</v>
      </c>
      <c r="F40" s="18">
        <v>44374.166666666664</v>
      </c>
      <c r="G40" s="19" t="s">
        <v>3</v>
      </c>
      <c r="H40" s="51"/>
      <c r="I40" s="20">
        <v>2</v>
      </c>
      <c r="J40" s="21">
        <v>1</v>
      </c>
      <c r="K40" s="51"/>
      <c r="L40" s="22" t="s">
        <v>20</v>
      </c>
      <c r="M40" s="52"/>
      <c r="N40" s="53"/>
      <c r="O40" s="54" t="s">
        <v>18</v>
      </c>
    </row>
    <row r="41" spans="2:15" ht="15.75" thickBot="1" x14ac:dyDescent="0.3">
      <c r="B41" s="16">
        <v>39</v>
      </c>
      <c r="C41" s="99"/>
      <c r="D41" s="99"/>
      <c r="E41" s="24">
        <v>44375.041666666664</v>
      </c>
      <c r="F41" s="25">
        <v>44375.041666666664</v>
      </c>
      <c r="G41" s="26" t="s">
        <v>23</v>
      </c>
      <c r="H41" s="55"/>
      <c r="I41" s="20">
        <v>0</v>
      </c>
      <c r="J41" s="21">
        <v>2</v>
      </c>
      <c r="K41" s="55"/>
      <c r="L41" s="27" t="s">
        <v>27</v>
      </c>
      <c r="M41" s="56"/>
      <c r="N41" s="57"/>
      <c r="O41" s="58" t="s">
        <v>39</v>
      </c>
    </row>
    <row r="42" spans="2:15" ht="15.75" thickBot="1" x14ac:dyDescent="0.3">
      <c r="B42" s="16">
        <v>40</v>
      </c>
      <c r="C42" s="99"/>
      <c r="D42" s="99"/>
      <c r="E42" s="17">
        <v>44375.166666666664</v>
      </c>
      <c r="F42" s="18">
        <v>44375.166666666664</v>
      </c>
      <c r="G42" s="19" t="s">
        <v>12</v>
      </c>
      <c r="H42" s="51"/>
      <c r="I42" s="20">
        <v>1</v>
      </c>
      <c r="J42" s="21">
        <v>0</v>
      </c>
      <c r="K42" s="51"/>
      <c r="L42" s="22" t="s">
        <v>38</v>
      </c>
      <c r="M42" s="52"/>
      <c r="N42" s="53"/>
      <c r="O42" s="54" t="s">
        <v>35</v>
      </c>
    </row>
    <row r="43" spans="2:15" ht="15.75" thickBot="1" x14ac:dyDescent="0.3">
      <c r="B43" s="16">
        <v>41</v>
      </c>
      <c r="C43" s="99"/>
      <c r="D43" s="99"/>
      <c r="E43" s="24">
        <v>44376.041666666664</v>
      </c>
      <c r="F43" s="25">
        <v>44376.041666666664</v>
      </c>
      <c r="G43" s="26" t="s">
        <v>17</v>
      </c>
      <c r="H43" s="55"/>
      <c r="I43" s="20">
        <v>3</v>
      </c>
      <c r="J43" s="21">
        <v>5</v>
      </c>
      <c r="K43" s="55"/>
      <c r="L43" s="27" t="s">
        <v>33</v>
      </c>
      <c r="M43" s="56"/>
      <c r="N43" s="57"/>
      <c r="O43" s="58" t="s">
        <v>11</v>
      </c>
    </row>
    <row r="44" spans="2:15" ht="15.75" thickBot="1" x14ac:dyDescent="0.3">
      <c r="B44" s="16">
        <v>42</v>
      </c>
      <c r="C44" s="99"/>
      <c r="D44" s="99"/>
      <c r="E44" s="17">
        <v>44376.166666666664</v>
      </c>
      <c r="F44" s="18">
        <v>44376.166666666664</v>
      </c>
      <c r="G44" s="19" t="s">
        <v>40</v>
      </c>
      <c r="H44" s="51"/>
      <c r="I44" s="20">
        <v>3</v>
      </c>
      <c r="J44" s="21">
        <v>3</v>
      </c>
      <c r="K44" s="51"/>
      <c r="L44" s="22" t="s">
        <v>6</v>
      </c>
      <c r="M44" s="52">
        <v>4</v>
      </c>
      <c r="N44" s="53">
        <v>5</v>
      </c>
      <c r="O44" s="54" t="s">
        <v>22</v>
      </c>
    </row>
    <row r="45" spans="2:15" ht="15.75" thickBot="1" x14ac:dyDescent="0.3">
      <c r="B45" s="16">
        <v>43</v>
      </c>
      <c r="C45" s="99"/>
      <c r="D45" s="99"/>
      <c r="E45" s="24">
        <v>44377.041666666664</v>
      </c>
      <c r="F45" s="25">
        <v>44377.041666666664</v>
      </c>
      <c r="G45" s="26" t="s">
        <v>16</v>
      </c>
      <c r="H45" s="55"/>
      <c r="I45" s="20">
        <v>2</v>
      </c>
      <c r="J45" s="21">
        <v>0</v>
      </c>
      <c r="K45" s="55"/>
      <c r="L45" s="27" t="s">
        <v>41</v>
      </c>
      <c r="M45" s="56"/>
      <c r="N45" s="57"/>
      <c r="O45" s="58" t="s">
        <v>32</v>
      </c>
    </row>
    <row r="46" spans="2:15" x14ac:dyDescent="0.25">
      <c r="B46" s="29">
        <v>44</v>
      </c>
      <c r="C46" s="100"/>
      <c r="D46" s="100"/>
      <c r="E46" s="30">
        <v>44377.166666666664</v>
      </c>
      <c r="F46" s="31">
        <v>44377.166666666664</v>
      </c>
      <c r="G46" s="32" t="s">
        <v>34</v>
      </c>
      <c r="H46" s="59"/>
      <c r="I46" s="33">
        <v>1</v>
      </c>
      <c r="J46" s="34">
        <v>2</v>
      </c>
      <c r="K46" s="59"/>
      <c r="L46" s="35" t="s">
        <v>24</v>
      </c>
      <c r="M46" s="60"/>
      <c r="N46" s="61"/>
      <c r="O46" s="62" t="s">
        <v>28</v>
      </c>
    </row>
    <row r="47" spans="2:15" ht="15.75" thickBot="1" x14ac:dyDescent="0.3">
      <c r="B47" s="8">
        <v>45</v>
      </c>
      <c r="C47" s="98" t="s">
        <v>46</v>
      </c>
      <c r="D47" s="98"/>
      <c r="E47" s="46">
        <v>44380.041666666664</v>
      </c>
      <c r="F47" s="10">
        <v>44380.041666666664</v>
      </c>
      <c r="G47" s="26" t="s">
        <v>6</v>
      </c>
      <c r="H47" s="47"/>
      <c r="I47" s="12">
        <v>1</v>
      </c>
      <c r="J47" s="13">
        <v>1</v>
      </c>
      <c r="K47" s="47"/>
      <c r="L47" s="27" t="s">
        <v>33</v>
      </c>
      <c r="M47" s="48">
        <v>1</v>
      </c>
      <c r="N47" s="49">
        <v>3</v>
      </c>
      <c r="O47" s="50" t="s">
        <v>14</v>
      </c>
    </row>
    <row r="48" spans="2:15" ht="15.75" thickBot="1" x14ac:dyDescent="0.3">
      <c r="B48" s="16">
        <v>46</v>
      </c>
      <c r="C48" s="99"/>
      <c r="D48" s="99"/>
      <c r="E48" s="17">
        <v>44380.166666666664</v>
      </c>
      <c r="F48" s="18">
        <v>44380.166666666664</v>
      </c>
      <c r="G48" s="19" t="s">
        <v>12</v>
      </c>
      <c r="H48" s="51"/>
      <c r="I48" s="20">
        <v>1</v>
      </c>
      <c r="J48" s="21">
        <v>2</v>
      </c>
      <c r="K48" s="51"/>
      <c r="L48" s="22" t="s">
        <v>3</v>
      </c>
      <c r="M48" s="52"/>
      <c r="N48" s="53"/>
      <c r="O48" s="54" t="s">
        <v>42</v>
      </c>
    </row>
    <row r="49" spans="2:15" ht="15.75" thickBot="1" x14ac:dyDescent="0.3">
      <c r="B49" s="16">
        <v>47</v>
      </c>
      <c r="C49" s="99"/>
      <c r="D49" s="99"/>
      <c r="E49" s="24">
        <v>44381.041666666664</v>
      </c>
      <c r="F49" s="25">
        <v>44381.041666666664</v>
      </c>
      <c r="G49" s="26" t="s">
        <v>27</v>
      </c>
      <c r="H49" s="55"/>
      <c r="I49" s="20">
        <v>1</v>
      </c>
      <c r="J49" s="21">
        <v>2</v>
      </c>
      <c r="K49" s="55"/>
      <c r="L49" s="27" t="s">
        <v>9</v>
      </c>
      <c r="M49" s="56"/>
      <c r="N49" s="57"/>
      <c r="O49" s="58" t="s">
        <v>7</v>
      </c>
    </row>
    <row r="50" spans="2:15" x14ac:dyDescent="0.25">
      <c r="B50" s="29">
        <v>48</v>
      </c>
      <c r="C50" s="100"/>
      <c r="D50" s="100"/>
      <c r="E50" s="30">
        <v>44381.166666666664</v>
      </c>
      <c r="F50" s="63">
        <v>44381.166666666664</v>
      </c>
      <c r="G50" s="64" t="s">
        <v>24</v>
      </c>
      <c r="H50" s="65"/>
      <c r="I50" s="66">
        <v>0</v>
      </c>
      <c r="J50" s="67">
        <v>4</v>
      </c>
      <c r="K50" s="65"/>
      <c r="L50" s="68" t="s">
        <v>16</v>
      </c>
      <c r="M50" s="60"/>
      <c r="N50" s="61"/>
      <c r="O50" s="62" t="s">
        <v>4</v>
      </c>
    </row>
    <row r="51" spans="2:15" ht="15.75" thickBot="1" x14ac:dyDescent="0.3">
      <c r="B51" s="8">
        <v>49</v>
      </c>
      <c r="C51" s="98" t="s">
        <v>47</v>
      </c>
      <c r="D51" s="98"/>
      <c r="E51" s="46">
        <v>44384.166666666664</v>
      </c>
      <c r="F51" s="25">
        <v>44384.166666666664</v>
      </c>
      <c r="G51" s="26" t="s">
        <v>33</v>
      </c>
      <c r="H51" s="55"/>
      <c r="I51" s="69">
        <v>1</v>
      </c>
      <c r="J51" s="70">
        <v>1</v>
      </c>
      <c r="K51" s="55"/>
      <c r="L51" s="27" t="s">
        <v>3</v>
      </c>
      <c r="M51" s="48">
        <v>2</v>
      </c>
      <c r="N51" s="49">
        <v>4</v>
      </c>
      <c r="O51" s="50" t="s">
        <v>18</v>
      </c>
    </row>
    <row r="52" spans="2:15" x14ac:dyDescent="0.25">
      <c r="B52" s="29">
        <v>50</v>
      </c>
      <c r="C52" s="100"/>
      <c r="D52" s="100"/>
      <c r="E52" s="30">
        <v>44385.166666666664</v>
      </c>
      <c r="F52" s="31">
        <v>44385.166666666664</v>
      </c>
      <c r="G52" s="64" t="s">
        <v>9</v>
      </c>
      <c r="H52" s="65"/>
      <c r="I52" s="66">
        <v>1</v>
      </c>
      <c r="J52" s="67">
        <v>2</v>
      </c>
      <c r="K52" s="65"/>
      <c r="L52" s="68" t="s">
        <v>16</v>
      </c>
      <c r="M52" s="60"/>
      <c r="N52" s="61"/>
      <c r="O52" s="62" t="s">
        <v>18</v>
      </c>
    </row>
    <row r="53" spans="2:15" x14ac:dyDescent="0.25">
      <c r="B53" s="71">
        <v>51</v>
      </c>
      <c r="C53" s="101" t="s">
        <v>48</v>
      </c>
      <c r="D53" s="101"/>
      <c r="E53" s="72">
        <v>44389.166666666664</v>
      </c>
      <c r="F53" s="73">
        <v>44389.166666666664</v>
      </c>
      <c r="G53" s="74" t="s">
        <v>3</v>
      </c>
      <c r="H53" s="75"/>
      <c r="I53" s="76">
        <v>1</v>
      </c>
      <c r="J53" s="77">
        <v>1</v>
      </c>
      <c r="K53" s="75"/>
      <c r="L53" s="78" t="s">
        <v>16</v>
      </c>
      <c r="M53" s="79"/>
      <c r="N53" s="80"/>
      <c r="O53" s="81" t="s">
        <v>18</v>
      </c>
    </row>
  </sheetData>
  <mergeCells count="41">
    <mergeCell ref="C13:D13"/>
    <mergeCell ref="C2:D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25:D25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M38:N38"/>
    <mergeCell ref="C39:D46"/>
    <mergeCell ref="C47:D50"/>
    <mergeCell ref="C51:D52"/>
    <mergeCell ref="C53:D53"/>
  </mergeCells>
  <conditionalFormatting sqref="M39:N53">
    <cfRule type="expression" dxfId="23" priority="20">
      <formula>AND($J39&lt;&gt;"",$K39&lt;&gt;"",$J39=$K39)</formula>
    </cfRule>
  </conditionalFormatting>
  <conditionalFormatting sqref="I2:J37">
    <cfRule type="expression" dxfId="22" priority="19">
      <formula>ISTEXT(I2)</formula>
    </cfRule>
  </conditionalFormatting>
  <conditionalFormatting sqref="I39:J46">
    <cfRule type="expression" dxfId="21" priority="18">
      <formula>ISTEXT(I39)</formula>
    </cfRule>
  </conditionalFormatting>
  <conditionalFormatting sqref="I47:J50">
    <cfRule type="expression" dxfId="20" priority="17">
      <formula>ISTEXT(I47)</formula>
    </cfRule>
  </conditionalFormatting>
  <conditionalFormatting sqref="I51:J52">
    <cfRule type="expression" dxfId="19" priority="16">
      <formula>ISTEXT(I51)</formula>
    </cfRule>
  </conditionalFormatting>
  <conditionalFormatting sqref="I53:J53">
    <cfRule type="expression" dxfId="18" priority="15">
      <formula>ISTEXT(I53)</formula>
    </cfRule>
  </conditionalFormatting>
  <conditionalFormatting sqref="G2:H37">
    <cfRule type="expression" dxfId="17" priority="13">
      <formula>$J2&lt;$K2</formula>
    </cfRule>
    <cfRule type="expression" dxfId="16" priority="14">
      <formula>$J2&gt;$K2</formula>
    </cfRule>
  </conditionalFormatting>
  <conditionalFormatting sqref="L2:L37">
    <cfRule type="expression" dxfId="15" priority="11">
      <formula>$J2&gt;$K2</formula>
    </cfRule>
    <cfRule type="expression" dxfId="14" priority="12">
      <formula>$J2&lt;$K2</formula>
    </cfRule>
  </conditionalFormatting>
  <conditionalFormatting sqref="K2:K37">
    <cfRule type="expression" dxfId="13" priority="9">
      <formula>$J2&lt;$K2</formula>
    </cfRule>
    <cfRule type="expression" dxfId="12" priority="10">
      <formula>$J2&gt;$K2</formula>
    </cfRule>
  </conditionalFormatting>
  <conditionalFormatting sqref="G39:G53">
    <cfRule type="expression" dxfId="11" priority="1">
      <formula>$N39&gt;$O39</formula>
    </cfRule>
    <cfRule type="expression" dxfId="10" priority="2">
      <formula>$N39&lt;$O39</formula>
    </cfRule>
    <cfRule type="expression" dxfId="9" priority="7">
      <formula>$J39&lt;$K39</formula>
    </cfRule>
    <cfRule type="expression" dxfId="8" priority="8">
      <formula>$J39&gt;$K39</formula>
    </cfRule>
  </conditionalFormatting>
  <conditionalFormatting sqref="L39:L53">
    <cfRule type="expression" dxfId="7" priority="3">
      <formula>$N39&lt;$O39</formula>
    </cfRule>
    <cfRule type="expression" dxfId="6" priority="4">
      <formula>$N39&gt;$O39</formula>
    </cfRule>
    <cfRule type="expression" dxfId="5" priority="5">
      <formula>$J39&gt;$K39</formula>
    </cfRule>
    <cfRule type="expression" dxfId="4" priority="6">
      <formula>$J39&lt;$K39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89E7B-C088-4153-A0E1-9BB0080BE6AB}">
  <sheetPr codeName="Sheet2"/>
  <dimension ref="A1:T165"/>
  <sheetViews>
    <sheetView zoomScale="85" zoomScaleNormal="85" workbookViewId="0">
      <pane xSplit="2" ySplit="1" topLeftCell="C150" activePane="bottomRight" state="frozen"/>
      <selection pane="topRight" activeCell="C1" sqref="C1"/>
      <selection pane="bottomLeft" activeCell="A2" sqref="A2"/>
      <selection pane="bottomRight" activeCell="S158" sqref="S158:T165"/>
    </sheetView>
  </sheetViews>
  <sheetFormatPr defaultRowHeight="15" x14ac:dyDescent="0.25"/>
  <cols>
    <col min="1" max="1" width="17.5703125" bestFit="1" customWidth="1"/>
    <col min="2" max="2" width="3.7109375" bestFit="1" customWidth="1"/>
    <col min="3" max="3" width="10.7109375" style="85" bestFit="1" customWidth="1"/>
    <col min="4" max="4" width="8.140625" style="86" bestFit="1" customWidth="1"/>
    <col min="5" max="5" width="5.7109375" bestFit="1" customWidth="1"/>
    <col min="6" max="6" width="14.5703125" bestFit="1" customWidth="1"/>
    <col min="7" max="8" width="11.85546875" customWidth="1"/>
    <col min="9" max="9" width="17.7109375" customWidth="1"/>
    <col min="10" max="10" width="26.85546875" customWidth="1"/>
    <col min="11" max="11" width="3" bestFit="1" customWidth="1"/>
    <col min="12" max="12" width="3" customWidth="1"/>
    <col min="13" max="13" width="26.85546875" customWidth="1"/>
    <col min="14" max="14" width="37.7109375" customWidth="1"/>
    <col min="15" max="15" width="31" customWidth="1"/>
    <col min="16" max="16" width="27.140625" customWidth="1"/>
    <col min="17" max="18" width="8.5703125" customWidth="1"/>
  </cols>
  <sheetData>
    <row r="1" spans="1:20" ht="73.5" x14ac:dyDescent="0.25">
      <c r="A1" s="82" t="s">
        <v>49</v>
      </c>
      <c r="B1" s="83" t="s">
        <v>50</v>
      </c>
      <c r="C1" s="96" t="s">
        <v>51</v>
      </c>
      <c r="D1" s="84" t="s">
        <v>52</v>
      </c>
      <c r="E1" s="82" t="s">
        <v>53</v>
      </c>
      <c r="F1" s="82" t="s">
        <v>54</v>
      </c>
      <c r="G1" s="82" t="s">
        <v>55</v>
      </c>
      <c r="H1" s="82" t="s">
        <v>56</v>
      </c>
      <c r="I1" s="82"/>
      <c r="J1" s="82" t="s">
        <v>57</v>
      </c>
      <c r="K1" s="83" t="s">
        <v>58</v>
      </c>
      <c r="L1" s="83" t="s">
        <v>59</v>
      </c>
      <c r="M1" s="82" t="s">
        <v>60</v>
      </c>
      <c r="N1" s="82" t="s">
        <v>61</v>
      </c>
      <c r="O1" s="82" t="s">
        <v>62</v>
      </c>
      <c r="P1" s="82" t="s">
        <v>63</v>
      </c>
      <c r="Q1" s="82" t="s">
        <v>64</v>
      </c>
      <c r="R1" s="82" t="s">
        <v>65</v>
      </c>
      <c r="S1" s="82"/>
      <c r="T1" s="82"/>
    </row>
    <row r="2" spans="1:20" x14ac:dyDescent="0.25">
      <c r="A2" t="str">
        <f t="shared" ref="A2:A65" si="0">F2&amp;"-"&amp;B2</f>
        <v>UEFAEURO2020-1</v>
      </c>
      <c r="B2">
        <v>1</v>
      </c>
      <c r="C2" s="87">
        <v>44359.166666666664</v>
      </c>
      <c r="D2" s="10">
        <v>44359.166666666664</v>
      </c>
      <c r="E2">
        <v>2021</v>
      </c>
      <c r="F2" t="s">
        <v>83</v>
      </c>
      <c r="G2" t="s">
        <v>66</v>
      </c>
      <c r="H2" t="s">
        <v>67</v>
      </c>
      <c r="I2" t="s">
        <v>76</v>
      </c>
      <c r="J2" t="s">
        <v>2</v>
      </c>
      <c r="K2">
        <v>0</v>
      </c>
      <c r="L2">
        <v>3</v>
      </c>
      <c r="M2" t="s">
        <v>3</v>
      </c>
      <c r="O2" t="s">
        <v>4</v>
      </c>
      <c r="R2" t="s">
        <v>68</v>
      </c>
      <c r="S2" t="str">
        <f>VLOOKUP(J2,[2]Teams!A:B,2,FALSE)</f>
        <v>TUR</v>
      </c>
      <c r="T2" t="str">
        <f>VLOOKUP(M2,[2]Teams!A:B,2,FALSE)</f>
        <v>ITA</v>
      </c>
    </row>
    <row r="3" spans="1:20" x14ac:dyDescent="0.25">
      <c r="A3" t="str">
        <f t="shared" si="0"/>
        <v>UEFAEURO2020-2</v>
      </c>
      <c r="B3">
        <v>2</v>
      </c>
      <c r="C3" s="88">
        <v>44359.916666666664</v>
      </c>
      <c r="D3" s="18">
        <v>44359.916666666664</v>
      </c>
      <c r="E3">
        <v>2021</v>
      </c>
      <c r="F3" t="s">
        <v>83</v>
      </c>
      <c r="G3" t="s">
        <v>66</v>
      </c>
      <c r="H3" t="s">
        <v>67</v>
      </c>
      <c r="I3" t="s">
        <v>76</v>
      </c>
      <c r="J3" t="s">
        <v>5</v>
      </c>
      <c r="K3">
        <v>1</v>
      </c>
      <c r="L3">
        <v>1</v>
      </c>
      <c r="M3" t="s">
        <v>6</v>
      </c>
      <c r="O3" t="s">
        <v>7</v>
      </c>
      <c r="R3" t="s">
        <v>68</v>
      </c>
      <c r="S3" t="str">
        <f>VLOOKUP(J3,[2]Teams!A:B,2,FALSE)</f>
        <v>WAL</v>
      </c>
      <c r="T3" t="str">
        <f>VLOOKUP(M3,[2]Teams!A:B,2,FALSE)</f>
        <v>SUI</v>
      </c>
    </row>
    <row r="4" spans="1:20" x14ac:dyDescent="0.25">
      <c r="A4" t="str">
        <f t="shared" si="0"/>
        <v>UEFAEURO2020-3</v>
      </c>
      <c r="B4">
        <v>3</v>
      </c>
      <c r="C4" s="89">
        <v>44360.041666666664</v>
      </c>
      <c r="D4" s="25">
        <v>44360.041666666664</v>
      </c>
      <c r="E4">
        <v>2021</v>
      </c>
      <c r="F4" t="s">
        <v>83</v>
      </c>
      <c r="G4" t="s">
        <v>66</v>
      </c>
      <c r="H4" t="s">
        <v>67</v>
      </c>
      <c r="I4" t="s">
        <v>77</v>
      </c>
      <c r="J4" t="s">
        <v>9</v>
      </c>
      <c r="K4">
        <v>0</v>
      </c>
      <c r="L4">
        <v>1</v>
      </c>
      <c r="M4" t="s">
        <v>10</v>
      </c>
      <c r="O4" t="s">
        <v>11</v>
      </c>
      <c r="R4" t="s">
        <v>68</v>
      </c>
      <c r="S4" t="str">
        <f>VLOOKUP(J4,[2]Teams!A:B,2,FALSE)</f>
        <v>DEN</v>
      </c>
      <c r="T4" t="str">
        <f>VLOOKUP(M4,[2]Teams!A:B,2,FALSE)</f>
        <v>FIN</v>
      </c>
    </row>
    <row r="5" spans="1:20" x14ac:dyDescent="0.25">
      <c r="A5" t="str">
        <f t="shared" si="0"/>
        <v>UEFAEURO2020-4</v>
      </c>
      <c r="B5">
        <v>4</v>
      </c>
      <c r="C5" s="88">
        <v>44360.166666666664</v>
      </c>
      <c r="D5" s="18">
        <v>44360.166666666664</v>
      </c>
      <c r="E5">
        <v>2021</v>
      </c>
      <c r="F5" t="s">
        <v>83</v>
      </c>
      <c r="G5" t="s">
        <v>66</v>
      </c>
      <c r="H5" t="s">
        <v>67</v>
      </c>
      <c r="I5" t="s">
        <v>77</v>
      </c>
      <c r="J5" t="s">
        <v>12</v>
      </c>
      <c r="K5">
        <v>3</v>
      </c>
      <c r="L5">
        <v>0</v>
      </c>
      <c r="M5" t="s">
        <v>13</v>
      </c>
      <c r="O5" t="s">
        <v>14</v>
      </c>
      <c r="R5" t="s">
        <v>68</v>
      </c>
      <c r="S5" t="str">
        <f>VLOOKUP(J5,[2]Teams!A:B,2,FALSE)</f>
        <v>BEL</v>
      </c>
      <c r="T5" t="str">
        <f>VLOOKUP(M5,[2]Teams!A:B,2,FALSE)</f>
        <v>RUS</v>
      </c>
    </row>
    <row r="6" spans="1:20" x14ac:dyDescent="0.25">
      <c r="A6" t="str">
        <f t="shared" si="0"/>
        <v>UEFAEURO2020-5</v>
      </c>
      <c r="B6">
        <v>5</v>
      </c>
      <c r="C6" s="89">
        <v>44360.916666666664</v>
      </c>
      <c r="D6" s="25">
        <v>44360.916666666664</v>
      </c>
      <c r="E6">
        <v>2021</v>
      </c>
      <c r="F6" t="s">
        <v>83</v>
      </c>
      <c r="G6" t="s">
        <v>66</v>
      </c>
      <c r="H6" t="s">
        <v>67</v>
      </c>
      <c r="I6" t="s">
        <v>79</v>
      </c>
      <c r="J6" t="s">
        <v>16</v>
      </c>
      <c r="K6">
        <v>1</v>
      </c>
      <c r="L6">
        <v>0</v>
      </c>
      <c r="M6" t="s">
        <v>17</v>
      </c>
      <c r="O6" t="s">
        <v>18</v>
      </c>
      <c r="R6" t="s">
        <v>68</v>
      </c>
      <c r="S6" t="str">
        <f>VLOOKUP(J6,[2]Teams!A:B,2,FALSE)</f>
        <v>ENG</v>
      </c>
      <c r="T6" t="str">
        <f>VLOOKUP(M6,[2]Teams!A:B,2,FALSE)</f>
        <v>CRO</v>
      </c>
    </row>
    <row r="7" spans="1:20" x14ac:dyDescent="0.25">
      <c r="A7" t="str">
        <f t="shared" si="0"/>
        <v>UEFAEURO2020-6</v>
      </c>
      <c r="B7">
        <v>6</v>
      </c>
      <c r="C7" s="88">
        <v>44361.041666666664</v>
      </c>
      <c r="D7" s="18">
        <v>44361.041666666664</v>
      </c>
      <c r="E7">
        <v>2021</v>
      </c>
      <c r="F7" t="s">
        <v>83</v>
      </c>
      <c r="G7" t="s">
        <v>66</v>
      </c>
      <c r="H7" t="s">
        <v>67</v>
      </c>
      <c r="I7" t="s">
        <v>78</v>
      </c>
      <c r="J7" t="s">
        <v>20</v>
      </c>
      <c r="K7">
        <v>3</v>
      </c>
      <c r="L7">
        <v>1</v>
      </c>
      <c r="M7" t="s">
        <v>21</v>
      </c>
      <c r="O7" t="s">
        <v>22</v>
      </c>
      <c r="R7" t="s">
        <v>68</v>
      </c>
      <c r="S7" t="str">
        <f>VLOOKUP(J7,[2]Teams!A:B,2,FALSE)</f>
        <v>AUT</v>
      </c>
      <c r="T7" t="str">
        <f>VLOOKUP(M7,[2]Teams!A:B,2,FALSE)</f>
        <v>MKD</v>
      </c>
    </row>
    <row r="8" spans="1:20" x14ac:dyDescent="0.25">
      <c r="A8" t="str">
        <f t="shared" si="0"/>
        <v>UEFAEURO2020-7</v>
      </c>
      <c r="B8">
        <v>7</v>
      </c>
      <c r="C8" s="89">
        <v>44361.166666666664</v>
      </c>
      <c r="D8" s="25">
        <v>44361.166666666664</v>
      </c>
      <c r="E8">
        <v>2021</v>
      </c>
      <c r="F8" t="s">
        <v>83</v>
      </c>
      <c r="G8" t="s">
        <v>66</v>
      </c>
      <c r="H8" t="s">
        <v>67</v>
      </c>
      <c r="I8" t="s">
        <v>78</v>
      </c>
      <c r="J8" t="s">
        <v>23</v>
      </c>
      <c r="K8">
        <v>3</v>
      </c>
      <c r="L8">
        <v>2</v>
      </c>
      <c r="M8" t="s">
        <v>24</v>
      </c>
      <c r="O8" t="s">
        <v>25</v>
      </c>
      <c r="R8" t="s">
        <v>68</v>
      </c>
      <c r="S8" t="str">
        <f>VLOOKUP(J8,[2]Teams!A:B,2,FALSE)</f>
        <v>NED</v>
      </c>
      <c r="T8" t="str">
        <f>VLOOKUP(M8,[2]Teams!A:B,2,FALSE)</f>
        <v>UKR</v>
      </c>
    </row>
    <row r="9" spans="1:20" x14ac:dyDescent="0.25">
      <c r="A9" t="str">
        <f t="shared" si="0"/>
        <v>UEFAEURO2020-8</v>
      </c>
      <c r="B9">
        <v>8</v>
      </c>
      <c r="C9" s="88">
        <v>44361.916666666664</v>
      </c>
      <c r="D9" s="18">
        <v>44361.916666666664</v>
      </c>
      <c r="E9">
        <v>2021</v>
      </c>
      <c r="F9" t="s">
        <v>83</v>
      </c>
      <c r="G9" t="s">
        <v>66</v>
      </c>
      <c r="H9" t="s">
        <v>67</v>
      </c>
      <c r="I9" t="s">
        <v>79</v>
      </c>
      <c r="J9" t="s">
        <v>26</v>
      </c>
      <c r="K9">
        <v>0</v>
      </c>
      <c r="L9">
        <v>2</v>
      </c>
      <c r="M9" t="s">
        <v>27</v>
      </c>
      <c r="O9" t="s">
        <v>28</v>
      </c>
      <c r="R9" t="s">
        <v>68</v>
      </c>
      <c r="S9" t="str">
        <f>VLOOKUP(J9,[2]Teams!A:B,2,FALSE)</f>
        <v>SCO</v>
      </c>
      <c r="T9" t="str">
        <f>VLOOKUP(M9,[2]Teams!A:B,2,FALSE)</f>
        <v>CZE</v>
      </c>
    </row>
    <row r="10" spans="1:20" x14ac:dyDescent="0.25">
      <c r="A10" t="str">
        <f t="shared" si="0"/>
        <v>UEFAEURO2020-9</v>
      </c>
      <c r="B10">
        <v>9</v>
      </c>
      <c r="C10" s="89">
        <v>44362.041666666664</v>
      </c>
      <c r="D10" s="25">
        <v>44362.041666666664</v>
      </c>
      <c r="E10">
        <v>2021</v>
      </c>
      <c r="F10" t="s">
        <v>83</v>
      </c>
      <c r="G10" t="s">
        <v>66</v>
      </c>
      <c r="H10" t="s">
        <v>67</v>
      </c>
      <c r="I10" t="s">
        <v>81</v>
      </c>
      <c r="J10" t="s">
        <v>30</v>
      </c>
      <c r="K10">
        <v>1</v>
      </c>
      <c r="L10">
        <v>2</v>
      </c>
      <c r="M10" t="s">
        <v>31</v>
      </c>
      <c r="O10" t="s">
        <v>32</v>
      </c>
      <c r="R10" t="s">
        <v>68</v>
      </c>
      <c r="S10" t="str">
        <f>VLOOKUP(J10,[2]Teams!A:B,2,FALSE)</f>
        <v>POL</v>
      </c>
      <c r="T10" t="str">
        <f>VLOOKUP(M10,[2]Teams!A:B,2,FALSE)</f>
        <v>SVK</v>
      </c>
    </row>
    <row r="11" spans="1:20" x14ac:dyDescent="0.25">
      <c r="A11" t="str">
        <f t="shared" si="0"/>
        <v>UEFAEURO2020-10</v>
      </c>
      <c r="B11">
        <v>10</v>
      </c>
      <c r="C11" s="88">
        <v>44362.166666666664</v>
      </c>
      <c r="D11" s="18">
        <v>44362.166666666664</v>
      </c>
      <c r="E11">
        <v>2021</v>
      </c>
      <c r="F11" t="s">
        <v>83</v>
      </c>
      <c r="G11" t="s">
        <v>66</v>
      </c>
      <c r="H11" t="s">
        <v>67</v>
      </c>
      <c r="I11" t="s">
        <v>81</v>
      </c>
      <c r="J11" t="s">
        <v>33</v>
      </c>
      <c r="K11">
        <v>0</v>
      </c>
      <c r="L11">
        <v>0</v>
      </c>
      <c r="M11" t="s">
        <v>34</v>
      </c>
      <c r="O11" t="s">
        <v>35</v>
      </c>
      <c r="R11" t="s">
        <v>68</v>
      </c>
      <c r="S11" t="str">
        <f>VLOOKUP(J11,[2]Teams!A:B,2,FALSE)</f>
        <v>ESP</v>
      </c>
      <c r="T11" t="str">
        <f>VLOOKUP(M11,[2]Teams!A:B,2,FALSE)</f>
        <v>SWE</v>
      </c>
    </row>
    <row r="12" spans="1:20" x14ac:dyDescent="0.25">
      <c r="A12" t="str">
        <f t="shared" si="0"/>
        <v>UEFAEURO2020-11</v>
      </c>
      <c r="B12">
        <v>11</v>
      </c>
      <c r="C12" s="89">
        <v>44363.041666666664</v>
      </c>
      <c r="D12" s="25">
        <v>44363.041666666664</v>
      </c>
      <c r="E12">
        <v>2021</v>
      </c>
      <c r="F12" t="s">
        <v>83</v>
      </c>
      <c r="G12" t="s">
        <v>66</v>
      </c>
      <c r="H12" t="s">
        <v>67</v>
      </c>
      <c r="I12" t="s">
        <v>82</v>
      </c>
      <c r="J12" t="s">
        <v>37</v>
      </c>
      <c r="K12">
        <v>0</v>
      </c>
      <c r="L12">
        <v>3</v>
      </c>
      <c r="M12" t="s">
        <v>38</v>
      </c>
      <c r="O12" t="s">
        <v>39</v>
      </c>
      <c r="R12" t="s">
        <v>68</v>
      </c>
      <c r="S12" t="str">
        <f>VLOOKUP(J12,[2]Teams!A:B,2,FALSE)</f>
        <v>HUN</v>
      </c>
      <c r="T12" t="str">
        <f>VLOOKUP(M12,[2]Teams!A:B,2,FALSE)</f>
        <v>POR</v>
      </c>
    </row>
    <row r="13" spans="1:20" x14ac:dyDescent="0.25">
      <c r="A13" t="str">
        <f t="shared" si="0"/>
        <v>UEFAEURO2020-12</v>
      </c>
      <c r="B13">
        <v>12</v>
      </c>
      <c r="C13" s="88">
        <v>44363.166666666664</v>
      </c>
      <c r="D13" s="18">
        <v>44363.166666666664</v>
      </c>
      <c r="E13">
        <v>2021</v>
      </c>
      <c r="F13" t="s">
        <v>83</v>
      </c>
      <c r="G13" t="s">
        <v>66</v>
      </c>
      <c r="H13" t="s">
        <v>67</v>
      </c>
      <c r="I13" t="s">
        <v>82</v>
      </c>
      <c r="J13" t="s">
        <v>40</v>
      </c>
      <c r="K13">
        <v>1</v>
      </c>
      <c r="L13">
        <v>0</v>
      </c>
      <c r="M13" t="s">
        <v>41</v>
      </c>
      <c r="O13" t="s">
        <v>42</v>
      </c>
      <c r="R13" t="s">
        <v>68</v>
      </c>
      <c r="S13" t="str">
        <f>VLOOKUP(J13,[2]Teams!A:B,2,FALSE)</f>
        <v>FRA</v>
      </c>
      <c r="T13" t="str">
        <f>VLOOKUP(M13,[2]Teams!A:B,2,FALSE)</f>
        <v>GER</v>
      </c>
    </row>
    <row r="14" spans="1:20" x14ac:dyDescent="0.25">
      <c r="A14" t="str">
        <f t="shared" si="0"/>
        <v>UEFAEURO2020-13</v>
      </c>
      <c r="B14">
        <v>13</v>
      </c>
      <c r="C14" s="89">
        <v>44363.916666666664</v>
      </c>
      <c r="D14" s="25">
        <v>44363.916666666664</v>
      </c>
      <c r="E14">
        <v>2021</v>
      </c>
      <c r="F14" t="s">
        <v>83</v>
      </c>
      <c r="G14" t="s">
        <v>66</v>
      </c>
      <c r="H14" t="s">
        <v>67</v>
      </c>
      <c r="I14" t="s">
        <v>77</v>
      </c>
      <c r="J14" t="s">
        <v>10</v>
      </c>
      <c r="K14">
        <v>0</v>
      </c>
      <c r="L14">
        <v>1</v>
      </c>
      <c r="M14" t="s">
        <v>13</v>
      </c>
      <c r="O14" t="s">
        <v>14</v>
      </c>
      <c r="R14" t="s">
        <v>68</v>
      </c>
      <c r="S14" t="str">
        <f>VLOOKUP(J14,[2]Teams!A:B,2,FALSE)</f>
        <v>FIN</v>
      </c>
      <c r="T14" t="str">
        <f>VLOOKUP(M14,[2]Teams!A:B,2,FALSE)</f>
        <v>RUS</v>
      </c>
    </row>
    <row r="15" spans="1:20" x14ac:dyDescent="0.25">
      <c r="A15" t="str">
        <f t="shared" si="0"/>
        <v>UEFAEURO2020-14</v>
      </c>
      <c r="B15">
        <v>14</v>
      </c>
      <c r="C15" s="88">
        <v>44364.041666666664</v>
      </c>
      <c r="D15" s="18">
        <v>44364.041666666664</v>
      </c>
      <c r="E15">
        <v>2021</v>
      </c>
      <c r="F15" t="s">
        <v>83</v>
      </c>
      <c r="G15" t="s">
        <v>66</v>
      </c>
      <c r="H15" t="s">
        <v>67</v>
      </c>
      <c r="I15" t="s">
        <v>76</v>
      </c>
      <c r="J15" t="s">
        <v>2</v>
      </c>
      <c r="K15">
        <v>0</v>
      </c>
      <c r="L15">
        <v>2</v>
      </c>
      <c r="M15" t="s">
        <v>5</v>
      </c>
      <c r="O15" t="s">
        <v>7</v>
      </c>
      <c r="R15" t="s">
        <v>68</v>
      </c>
      <c r="S15" t="str">
        <f>VLOOKUP(J15,[2]Teams!A:B,2,FALSE)</f>
        <v>TUR</v>
      </c>
      <c r="T15" t="str">
        <f>VLOOKUP(M15,[2]Teams!A:B,2,FALSE)</f>
        <v>WAL</v>
      </c>
    </row>
    <row r="16" spans="1:20" x14ac:dyDescent="0.25">
      <c r="A16" t="str">
        <f t="shared" si="0"/>
        <v>UEFAEURO2020-15</v>
      </c>
      <c r="B16">
        <v>15</v>
      </c>
      <c r="C16" s="89">
        <v>44364.166666666664</v>
      </c>
      <c r="D16" s="25">
        <v>44364.166666666664</v>
      </c>
      <c r="E16">
        <v>2021</v>
      </c>
      <c r="F16" t="s">
        <v>83</v>
      </c>
      <c r="G16" t="s">
        <v>66</v>
      </c>
      <c r="H16" t="s">
        <v>67</v>
      </c>
      <c r="I16" t="s">
        <v>76</v>
      </c>
      <c r="J16" t="s">
        <v>3</v>
      </c>
      <c r="K16">
        <v>3</v>
      </c>
      <c r="L16">
        <v>0</v>
      </c>
      <c r="M16" t="s">
        <v>6</v>
      </c>
      <c r="O16" t="s">
        <v>4</v>
      </c>
      <c r="R16" t="s">
        <v>68</v>
      </c>
      <c r="S16" t="str">
        <f>VLOOKUP(J16,[2]Teams!A:B,2,FALSE)</f>
        <v>ITA</v>
      </c>
      <c r="T16" t="str">
        <f>VLOOKUP(M16,[2]Teams!A:B,2,FALSE)</f>
        <v>SUI</v>
      </c>
    </row>
    <row r="17" spans="1:20" x14ac:dyDescent="0.25">
      <c r="A17" t="str">
        <f t="shared" si="0"/>
        <v>UEFAEURO2020-16</v>
      </c>
      <c r="B17">
        <v>16</v>
      </c>
      <c r="C17" s="88">
        <v>44364.916666666664</v>
      </c>
      <c r="D17" s="18">
        <v>44364.916666666664</v>
      </c>
      <c r="E17">
        <v>2021</v>
      </c>
      <c r="F17" t="s">
        <v>83</v>
      </c>
      <c r="G17" t="s">
        <v>66</v>
      </c>
      <c r="H17" t="s">
        <v>67</v>
      </c>
      <c r="I17" t="s">
        <v>78</v>
      </c>
      <c r="J17" t="s">
        <v>24</v>
      </c>
      <c r="K17">
        <v>2</v>
      </c>
      <c r="L17">
        <v>1</v>
      </c>
      <c r="M17" t="s">
        <v>21</v>
      </c>
      <c r="O17" t="s">
        <v>22</v>
      </c>
      <c r="R17" t="s">
        <v>68</v>
      </c>
      <c r="S17" t="str">
        <f>VLOOKUP(J17,[2]Teams!A:B,2,FALSE)</f>
        <v>UKR</v>
      </c>
      <c r="T17" t="str">
        <f>VLOOKUP(M17,[2]Teams!A:B,2,FALSE)</f>
        <v>MKD</v>
      </c>
    </row>
    <row r="18" spans="1:20" x14ac:dyDescent="0.25">
      <c r="A18" t="str">
        <f t="shared" si="0"/>
        <v>UEFAEURO2020-17</v>
      </c>
      <c r="B18">
        <v>17</v>
      </c>
      <c r="C18" s="89">
        <v>44365.041666666664</v>
      </c>
      <c r="D18" s="25">
        <v>44365.041666666664</v>
      </c>
      <c r="E18">
        <v>2021</v>
      </c>
      <c r="F18" t="s">
        <v>83</v>
      </c>
      <c r="G18" t="s">
        <v>66</v>
      </c>
      <c r="H18" t="s">
        <v>67</v>
      </c>
      <c r="I18" t="s">
        <v>77</v>
      </c>
      <c r="J18" t="s">
        <v>9</v>
      </c>
      <c r="K18">
        <v>1</v>
      </c>
      <c r="L18">
        <v>2</v>
      </c>
      <c r="M18" t="s">
        <v>12</v>
      </c>
      <c r="O18" t="s">
        <v>11</v>
      </c>
      <c r="R18" t="s">
        <v>68</v>
      </c>
      <c r="S18" t="str">
        <f>VLOOKUP(J18,[2]Teams!A:B,2,FALSE)</f>
        <v>DEN</v>
      </c>
      <c r="T18" t="str">
        <f>VLOOKUP(M18,[2]Teams!A:B,2,FALSE)</f>
        <v>BEL</v>
      </c>
    </row>
    <row r="19" spans="1:20" x14ac:dyDescent="0.25">
      <c r="A19" t="str">
        <f t="shared" si="0"/>
        <v>UEFAEURO2020-18</v>
      </c>
      <c r="B19">
        <v>18</v>
      </c>
      <c r="C19" s="88">
        <v>44365.166666666664</v>
      </c>
      <c r="D19" s="18">
        <v>44365.166666666664</v>
      </c>
      <c r="E19">
        <v>2021</v>
      </c>
      <c r="F19" t="s">
        <v>83</v>
      </c>
      <c r="G19" t="s">
        <v>66</v>
      </c>
      <c r="H19" t="s">
        <v>67</v>
      </c>
      <c r="I19" t="s">
        <v>78</v>
      </c>
      <c r="J19" t="s">
        <v>23</v>
      </c>
      <c r="K19">
        <v>2</v>
      </c>
      <c r="L19">
        <v>0</v>
      </c>
      <c r="M19" t="s">
        <v>20</v>
      </c>
      <c r="O19" t="s">
        <v>25</v>
      </c>
      <c r="R19" t="s">
        <v>68</v>
      </c>
      <c r="S19" t="str">
        <f>VLOOKUP(J19,[2]Teams!A:B,2,FALSE)</f>
        <v>NED</v>
      </c>
      <c r="T19" t="str">
        <f>VLOOKUP(M19,[2]Teams!A:B,2,FALSE)</f>
        <v>AUT</v>
      </c>
    </row>
    <row r="20" spans="1:20" x14ac:dyDescent="0.25">
      <c r="A20" t="str">
        <f t="shared" si="0"/>
        <v>UEFAEURO2020-19</v>
      </c>
      <c r="B20">
        <v>19</v>
      </c>
      <c r="C20" s="89">
        <v>44365.916666666664</v>
      </c>
      <c r="D20" s="25">
        <v>44365.916666666664</v>
      </c>
      <c r="E20">
        <v>2021</v>
      </c>
      <c r="F20" t="s">
        <v>83</v>
      </c>
      <c r="G20" t="s">
        <v>66</v>
      </c>
      <c r="H20" t="s">
        <v>67</v>
      </c>
      <c r="I20" t="s">
        <v>81</v>
      </c>
      <c r="J20" t="s">
        <v>34</v>
      </c>
      <c r="K20">
        <v>1</v>
      </c>
      <c r="L20">
        <v>0</v>
      </c>
      <c r="M20" t="s">
        <v>31</v>
      </c>
      <c r="O20" t="s">
        <v>32</v>
      </c>
      <c r="R20" t="s">
        <v>68</v>
      </c>
      <c r="S20" t="str">
        <f>VLOOKUP(J20,[2]Teams!A:B,2,FALSE)</f>
        <v>SWE</v>
      </c>
      <c r="T20" t="str">
        <f>VLOOKUP(M20,[2]Teams!A:B,2,FALSE)</f>
        <v>SVK</v>
      </c>
    </row>
    <row r="21" spans="1:20" x14ac:dyDescent="0.25">
      <c r="A21" t="str">
        <f t="shared" si="0"/>
        <v>UEFAEURO2020-20</v>
      </c>
      <c r="B21">
        <v>20</v>
      </c>
      <c r="C21" s="88">
        <v>44366.041666666664</v>
      </c>
      <c r="D21" s="18">
        <v>44366.041666666664</v>
      </c>
      <c r="E21">
        <v>2021</v>
      </c>
      <c r="F21" t="s">
        <v>83</v>
      </c>
      <c r="G21" t="s">
        <v>66</v>
      </c>
      <c r="H21" t="s">
        <v>67</v>
      </c>
      <c r="I21" t="s">
        <v>79</v>
      </c>
      <c r="J21" t="s">
        <v>17</v>
      </c>
      <c r="K21">
        <v>1</v>
      </c>
      <c r="L21">
        <v>1</v>
      </c>
      <c r="M21" t="s">
        <v>27</v>
      </c>
      <c r="O21" t="s">
        <v>28</v>
      </c>
      <c r="R21" t="s">
        <v>68</v>
      </c>
      <c r="S21" t="str">
        <f>VLOOKUP(J21,[2]Teams!A:B,2,FALSE)</f>
        <v>CRO</v>
      </c>
      <c r="T21" t="str">
        <f>VLOOKUP(M21,[2]Teams!A:B,2,FALSE)</f>
        <v>CZE</v>
      </c>
    </row>
    <row r="22" spans="1:20" x14ac:dyDescent="0.25">
      <c r="A22" t="str">
        <f t="shared" si="0"/>
        <v>UEFAEURO2020-21</v>
      </c>
      <c r="B22">
        <v>21</v>
      </c>
      <c r="C22" s="89">
        <v>44366.166666666664</v>
      </c>
      <c r="D22" s="25">
        <v>44366.166666666664</v>
      </c>
      <c r="E22">
        <v>2021</v>
      </c>
      <c r="F22" t="s">
        <v>83</v>
      </c>
      <c r="G22" t="s">
        <v>66</v>
      </c>
      <c r="H22" t="s">
        <v>67</v>
      </c>
      <c r="I22" t="s">
        <v>79</v>
      </c>
      <c r="J22" t="s">
        <v>16</v>
      </c>
      <c r="K22">
        <v>0</v>
      </c>
      <c r="L22">
        <v>0</v>
      </c>
      <c r="M22" t="s">
        <v>26</v>
      </c>
      <c r="O22" t="s">
        <v>18</v>
      </c>
      <c r="R22" t="s">
        <v>68</v>
      </c>
      <c r="S22" t="str">
        <f>VLOOKUP(J22,[2]Teams!A:B,2,FALSE)</f>
        <v>ENG</v>
      </c>
      <c r="T22" t="str">
        <f>VLOOKUP(M22,[2]Teams!A:B,2,FALSE)</f>
        <v>SCO</v>
      </c>
    </row>
    <row r="23" spans="1:20" x14ac:dyDescent="0.25">
      <c r="A23" t="str">
        <f t="shared" si="0"/>
        <v>UEFAEURO2020-22</v>
      </c>
      <c r="B23">
        <v>22</v>
      </c>
      <c r="C23" s="88">
        <v>44366.916666666664</v>
      </c>
      <c r="D23" s="18">
        <v>44366.916666666664</v>
      </c>
      <c r="E23">
        <v>2021</v>
      </c>
      <c r="F23" t="s">
        <v>83</v>
      </c>
      <c r="G23" t="s">
        <v>66</v>
      </c>
      <c r="H23" t="s">
        <v>67</v>
      </c>
      <c r="I23" t="s">
        <v>82</v>
      </c>
      <c r="J23" t="s">
        <v>37</v>
      </c>
      <c r="K23">
        <v>1</v>
      </c>
      <c r="L23">
        <v>1</v>
      </c>
      <c r="M23" t="s">
        <v>40</v>
      </c>
      <c r="O23" t="s">
        <v>39</v>
      </c>
      <c r="R23" t="s">
        <v>68</v>
      </c>
      <c r="S23" t="str">
        <f>VLOOKUP(J23,[2]Teams!A:B,2,FALSE)</f>
        <v>HUN</v>
      </c>
      <c r="T23" t="str">
        <f>VLOOKUP(M23,[2]Teams!A:B,2,FALSE)</f>
        <v>FRA</v>
      </c>
    </row>
    <row r="24" spans="1:20" x14ac:dyDescent="0.25">
      <c r="A24" t="str">
        <f t="shared" si="0"/>
        <v>UEFAEURO2020-23</v>
      </c>
      <c r="B24">
        <v>23</v>
      </c>
      <c r="C24" s="89">
        <v>44367.041666666664</v>
      </c>
      <c r="D24" s="25">
        <v>44367.041666666664</v>
      </c>
      <c r="E24">
        <v>2021</v>
      </c>
      <c r="F24" t="s">
        <v>83</v>
      </c>
      <c r="G24" t="s">
        <v>66</v>
      </c>
      <c r="H24" t="s">
        <v>67</v>
      </c>
      <c r="I24" t="s">
        <v>82</v>
      </c>
      <c r="J24" t="s">
        <v>38</v>
      </c>
      <c r="K24">
        <v>2</v>
      </c>
      <c r="L24">
        <v>4</v>
      </c>
      <c r="M24" t="s">
        <v>41</v>
      </c>
      <c r="O24" t="s">
        <v>42</v>
      </c>
      <c r="R24" t="s">
        <v>68</v>
      </c>
      <c r="S24" t="str">
        <f>VLOOKUP(J24,[2]Teams!A:B,2,FALSE)</f>
        <v>POR</v>
      </c>
      <c r="T24" t="str">
        <f>VLOOKUP(M24,[2]Teams!A:B,2,FALSE)</f>
        <v>GER</v>
      </c>
    </row>
    <row r="25" spans="1:20" x14ac:dyDescent="0.25">
      <c r="A25" t="str">
        <f t="shared" si="0"/>
        <v>UEFAEURO2020-24</v>
      </c>
      <c r="B25">
        <v>24</v>
      </c>
      <c r="C25" s="88">
        <v>44367.166666666664</v>
      </c>
      <c r="D25" s="18">
        <v>44367.166666666664</v>
      </c>
      <c r="E25">
        <v>2021</v>
      </c>
      <c r="F25" t="s">
        <v>83</v>
      </c>
      <c r="G25" t="s">
        <v>66</v>
      </c>
      <c r="H25" t="s">
        <v>67</v>
      </c>
      <c r="I25" t="s">
        <v>81</v>
      </c>
      <c r="J25" t="s">
        <v>33</v>
      </c>
      <c r="K25">
        <v>1</v>
      </c>
      <c r="L25">
        <v>1</v>
      </c>
      <c r="M25" t="s">
        <v>30</v>
      </c>
      <c r="O25" t="s">
        <v>35</v>
      </c>
      <c r="R25" t="s">
        <v>68</v>
      </c>
      <c r="S25" t="str">
        <f>VLOOKUP(J25,[2]Teams!A:B,2,FALSE)</f>
        <v>ESP</v>
      </c>
      <c r="T25" t="str">
        <f>VLOOKUP(M25,[2]Teams!A:B,2,FALSE)</f>
        <v>POL</v>
      </c>
    </row>
    <row r="26" spans="1:20" x14ac:dyDescent="0.25">
      <c r="A26" t="str">
        <f t="shared" si="0"/>
        <v>UEFAEURO2020-25</v>
      </c>
      <c r="B26">
        <v>25</v>
      </c>
      <c r="C26" s="89">
        <v>44368.041666666664</v>
      </c>
      <c r="D26" s="25">
        <v>44368.041666666664</v>
      </c>
      <c r="E26">
        <v>2021</v>
      </c>
      <c r="F26" t="s">
        <v>83</v>
      </c>
      <c r="G26" t="s">
        <v>66</v>
      </c>
      <c r="H26" t="s">
        <v>67</v>
      </c>
      <c r="I26" t="s">
        <v>76</v>
      </c>
      <c r="J26" t="s">
        <v>6</v>
      </c>
      <c r="K26">
        <v>3</v>
      </c>
      <c r="L26">
        <v>1</v>
      </c>
      <c r="M26" t="s">
        <v>2</v>
      </c>
      <c r="O26" t="s">
        <v>7</v>
      </c>
      <c r="R26" t="s">
        <v>68</v>
      </c>
      <c r="S26" t="str">
        <f>VLOOKUP(J26,[2]Teams!A:B,2,FALSE)</f>
        <v>SUI</v>
      </c>
      <c r="T26" t="str">
        <f>VLOOKUP(M26,[2]Teams!A:B,2,FALSE)</f>
        <v>TUR</v>
      </c>
    </row>
    <row r="27" spans="1:20" x14ac:dyDescent="0.25">
      <c r="A27" t="str">
        <f t="shared" si="0"/>
        <v>UEFAEURO2020-26</v>
      </c>
      <c r="B27">
        <v>26</v>
      </c>
      <c r="C27" s="88">
        <v>44368.041666666664</v>
      </c>
      <c r="D27" s="18">
        <v>44368.041666666664</v>
      </c>
      <c r="E27">
        <v>2021</v>
      </c>
      <c r="F27" t="s">
        <v>83</v>
      </c>
      <c r="G27" t="s">
        <v>66</v>
      </c>
      <c r="H27" t="s">
        <v>67</v>
      </c>
      <c r="I27" t="s">
        <v>76</v>
      </c>
      <c r="J27" t="s">
        <v>3</v>
      </c>
      <c r="K27">
        <v>1</v>
      </c>
      <c r="L27">
        <v>0</v>
      </c>
      <c r="M27" t="s">
        <v>5</v>
      </c>
      <c r="O27" t="s">
        <v>4</v>
      </c>
      <c r="R27" t="s">
        <v>68</v>
      </c>
      <c r="S27" t="str">
        <f>VLOOKUP(J27,[2]Teams!A:B,2,FALSE)</f>
        <v>ITA</v>
      </c>
      <c r="T27" t="str">
        <f>VLOOKUP(M27,[2]Teams!A:B,2,FALSE)</f>
        <v>WAL</v>
      </c>
    </row>
    <row r="28" spans="1:20" x14ac:dyDescent="0.25">
      <c r="A28" t="str">
        <f t="shared" si="0"/>
        <v>UEFAEURO2020-27</v>
      </c>
      <c r="B28">
        <v>27</v>
      </c>
      <c r="C28" s="89">
        <v>44369.041666666664</v>
      </c>
      <c r="D28" s="25">
        <v>44369.041666666664</v>
      </c>
      <c r="E28">
        <v>2021</v>
      </c>
      <c r="F28" t="s">
        <v>83</v>
      </c>
      <c r="G28" t="s">
        <v>66</v>
      </c>
      <c r="H28" t="s">
        <v>67</v>
      </c>
      <c r="I28" t="s">
        <v>78</v>
      </c>
      <c r="J28" t="s">
        <v>21</v>
      </c>
      <c r="K28">
        <v>0</v>
      </c>
      <c r="L28">
        <v>3</v>
      </c>
      <c r="M28" t="s">
        <v>23</v>
      </c>
      <c r="O28" t="s">
        <v>25</v>
      </c>
      <c r="R28" t="s">
        <v>68</v>
      </c>
      <c r="S28" t="str">
        <f>VLOOKUP(J28,[2]Teams!A:B,2,FALSE)</f>
        <v>MKD</v>
      </c>
      <c r="T28" t="str">
        <f>VLOOKUP(M28,[2]Teams!A:B,2,FALSE)</f>
        <v>NED</v>
      </c>
    </row>
    <row r="29" spans="1:20" x14ac:dyDescent="0.25">
      <c r="A29" t="str">
        <f t="shared" si="0"/>
        <v>UEFAEURO2020-28</v>
      </c>
      <c r="B29">
        <v>28</v>
      </c>
      <c r="C29" s="88">
        <v>44369.041666666664</v>
      </c>
      <c r="D29" s="18">
        <v>44369.041666666664</v>
      </c>
      <c r="E29">
        <v>2021</v>
      </c>
      <c r="F29" t="s">
        <v>83</v>
      </c>
      <c r="G29" t="s">
        <v>66</v>
      </c>
      <c r="H29" t="s">
        <v>67</v>
      </c>
      <c r="I29" t="s">
        <v>78</v>
      </c>
      <c r="J29" t="s">
        <v>24</v>
      </c>
      <c r="K29">
        <v>0</v>
      </c>
      <c r="L29">
        <v>1</v>
      </c>
      <c r="M29" t="s">
        <v>20</v>
      </c>
      <c r="O29" t="s">
        <v>22</v>
      </c>
      <c r="R29" t="s">
        <v>68</v>
      </c>
      <c r="S29" t="str">
        <f>VLOOKUP(J29,[2]Teams!A:B,2,FALSE)</f>
        <v>UKR</v>
      </c>
      <c r="T29" t="str">
        <f>VLOOKUP(M29,[2]Teams!A:B,2,FALSE)</f>
        <v>AUT</v>
      </c>
    </row>
    <row r="30" spans="1:20" x14ac:dyDescent="0.25">
      <c r="A30" t="str">
        <f t="shared" si="0"/>
        <v>UEFAEURO2020-29</v>
      </c>
      <c r="B30">
        <v>29</v>
      </c>
      <c r="C30" s="89">
        <v>44369.166666666664</v>
      </c>
      <c r="D30" s="25">
        <v>44369.166666666664</v>
      </c>
      <c r="E30">
        <v>2021</v>
      </c>
      <c r="F30" t="s">
        <v>83</v>
      </c>
      <c r="G30" t="s">
        <v>66</v>
      </c>
      <c r="H30" t="s">
        <v>67</v>
      </c>
      <c r="I30" t="s">
        <v>77</v>
      </c>
      <c r="J30" t="s">
        <v>13</v>
      </c>
      <c r="K30">
        <v>1</v>
      </c>
      <c r="L30">
        <v>4</v>
      </c>
      <c r="M30" t="s">
        <v>9</v>
      </c>
      <c r="O30" t="s">
        <v>11</v>
      </c>
      <c r="R30" t="s">
        <v>68</v>
      </c>
      <c r="S30" t="str">
        <f>VLOOKUP(J30,[2]Teams!A:B,2,FALSE)</f>
        <v>RUS</v>
      </c>
      <c r="T30" t="str">
        <f>VLOOKUP(M30,[2]Teams!A:B,2,FALSE)</f>
        <v>DEN</v>
      </c>
    </row>
    <row r="31" spans="1:20" x14ac:dyDescent="0.25">
      <c r="A31" t="str">
        <f t="shared" si="0"/>
        <v>UEFAEURO2020-30</v>
      </c>
      <c r="B31">
        <v>30</v>
      </c>
      <c r="C31" s="88">
        <v>44369.166666666664</v>
      </c>
      <c r="D31" s="18">
        <v>44369.166666666664</v>
      </c>
      <c r="E31">
        <v>2021</v>
      </c>
      <c r="F31" t="s">
        <v>83</v>
      </c>
      <c r="G31" t="s">
        <v>66</v>
      </c>
      <c r="H31" t="s">
        <v>67</v>
      </c>
      <c r="I31" t="s">
        <v>77</v>
      </c>
      <c r="J31" t="s">
        <v>10</v>
      </c>
      <c r="K31">
        <v>0</v>
      </c>
      <c r="L31">
        <v>2</v>
      </c>
      <c r="M31" t="s">
        <v>12</v>
      </c>
      <c r="O31" t="s">
        <v>14</v>
      </c>
      <c r="R31" t="s">
        <v>68</v>
      </c>
      <c r="S31" t="str">
        <f>VLOOKUP(J31,[2]Teams!A:B,2,FALSE)</f>
        <v>FIN</v>
      </c>
      <c r="T31" t="str">
        <f>VLOOKUP(M31,[2]Teams!A:B,2,FALSE)</f>
        <v>BEL</v>
      </c>
    </row>
    <row r="32" spans="1:20" x14ac:dyDescent="0.25">
      <c r="A32" t="str">
        <f t="shared" si="0"/>
        <v>UEFAEURO2020-31</v>
      </c>
      <c r="B32">
        <v>31</v>
      </c>
      <c r="C32" s="89">
        <v>44370.166666666664</v>
      </c>
      <c r="D32" s="25">
        <v>44370.166666666664</v>
      </c>
      <c r="E32">
        <v>2021</v>
      </c>
      <c r="F32" t="s">
        <v>83</v>
      </c>
      <c r="G32" t="s">
        <v>66</v>
      </c>
      <c r="H32" t="s">
        <v>67</v>
      </c>
      <c r="I32" t="s">
        <v>79</v>
      </c>
      <c r="J32" t="s">
        <v>17</v>
      </c>
      <c r="K32">
        <v>3</v>
      </c>
      <c r="L32">
        <v>1</v>
      </c>
      <c r="M32" t="s">
        <v>26</v>
      </c>
      <c r="O32" t="s">
        <v>28</v>
      </c>
      <c r="R32" t="s">
        <v>68</v>
      </c>
      <c r="S32" t="str">
        <f>VLOOKUP(J32,[2]Teams!A:B,2,FALSE)</f>
        <v>CRO</v>
      </c>
      <c r="T32" t="str">
        <f>VLOOKUP(M32,[2]Teams!A:B,2,FALSE)</f>
        <v>SCO</v>
      </c>
    </row>
    <row r="33" spans="1:20" x14ac:dyDescent="0.25">
      <c r="A33" t="str">
        <f t="shared" si="0"/>
        <v>UEFAEURO2020-32</v>
      </c>
      <c r="B33">
        <v>32</v>
      </c>
      <c r="C33" s="88">
        <v>44370.166666666664</v>
      </c>
      <c r="D33" s="18">
        <v>44370.166666666664</v>
      </c>
      <c r="E33">
        <v>2021</v>
      </c>
      <c r="F33" t="s">
        <v>83</v>
      </c>
      <c r="G33" t="s">
        <v>66</v>
      </c>
      <c r="H33" t="s">
        <v>67</v>
      </c>
      <c r="I33" t="s">
        <v>79</v>
      </c>
      <c r="J33" t="s">
        <v>27</v>
      </c>
      <c r="K33">
        <v>0</v>
      </c>
      <c r="L33">
        <v>1</v>
      </c>
      <c r="M33" t="s">
        <v>16</v>
      </c>
      <c r="O33" t="s">
        <v>18</v>
      </c>
      <c r="R33" t="s">
        <v>68</v>
      </c>
      <c r="S33" t="str">
        <f>VLOOKUP(J33,[2]Teams!A:B,2,FALSE)</f>
        <v>CZE</v>
      </c>
      <c r="T33" t="str">
        <f>VLOOKUP(M33,[2]Teams!A:B,2,FALSE)</f>
        <v>ENG</v>
      </c>
    </row>
    <row r="34" spans="1:20" x14ac:dyDescent="0.25">
      <c r="A34" t="str">
        <f t="shared" si="0"/>
        <v>UEFAEURO2020-33</v>
      </c>
      <c r="B34">
        <v>33</v>
      </c>
      <c r="C34" s="89">
        <v>44371.041666666664</v>
      </c>
      <c r="D34" s="25">
        <v>44371.041666666664</v>
      </c>
      <c r="E34">
        <v>2021</v>
      </c>
      <c r="F34" t="s">
        <v>83</v>
      </c>
      <c r="G34" t="s">
        <v>66</v>
      </c>
      <c r="H34" t="s">
        <v>67</v>
      </c>
      <c r="I34" t="s">
        <v>81</v>
      </c>
      <c r="J34" t="s">
        <v>34</v>
      </c>
      <c r="K34">
        <v>3</v>
      </c>
      <c r="L34">
        <v>2</v>
      </c>
      <c r="M34" t="s">
        <v>30</v>
      </c>
      <c r="O34" t="s">
        <v>32</v>
      </c>
      <c r="R34" t="s">
        <v>68</v>
      </c>
      <c r="S34" t="str">
        <f>VLOOKUP(J34,[2]Teams!A:B,2,FALSE)</f>
        <v>SWE</v>
      </c>
      <c r="T34" t="str">
        <f>VLOOKUP(M34,[2]Teams!A:B,2,FALSE)</f>
        <v>POL</v>
      </c>
    </row>
    <row r="35" spans="1:20" x14ac:dyDescent="0.25">
      <c r="A35" t="str">
        <f t="shared" si="0"/>
        <v>UEFAEURO2020-34</v>
      </c>
      <c r="B35">
        <v>34</v>
      </c>
      <c r="C35" s="88">
        <v>44371.041666666664</v>
      </c>
      <c r="D35" s="18">
        <v>44371.041666666664</v>
      </c>
      <c r="E35">
        <v>2021</v>
      </c>
      <c r="F35" t="s">
        <v>83</v>
      </c>
      <c r="G35" t="s">
        <v>66</v>
      </c>
      <c r="H35" t="s">
        <v>67</v>
      </c>
      <c r="I35" t="s">
        <v>81</v>
      </c>
      <c r="J35" t="s">
        <v>31</v>
      </c>
      <c r="K35">
        <v>0</v>
      </c>
      <c r="L35">
        <v>5</v>
      </c>
      <c r="M35" t="s">
        <v>33</v>
      </c>
      <c r="O35" t="s">
        <v>35</v>
      </c>
      <c r="R35" t="s">
        <v>68</v>
      </c>
      <c r="S35" t="str">
        <f>VLOOKUP(J35,[2]Teams!A:B,2,FALSE)</f>
        <v>SVK</v>
      </c>
      <c r="T35" t="str">
        <f>VLOOKUP(M35,[2]Teams!A:B,2,FALSE)</f>
        <v>ESP</v>
      </c>
    </row>
    <row r="36" spans="1:20" x14ac:dyDescent="0.25">
      <c r="A36" t="str">
        <f t="shared" si="0"/>
        <v>UEFAEURO2020-35</v>
      </c>
      <c r="B36">
        <v>35</v>
      </c>
      <c r="C36" s="89">
        <v>44371.166666666664</v>
      </c>
      <c r="D36" s="25">
        <v>44371.166666666664</v>
      </c>
      <c r="E36">
        <v>2021</v>
      </c>
      <c r="F36" t="s">
        <v>83</v>
      </c>
      <c r="G36" t="s">
        <v>66</v>
      </c>
      <c r="H36" t="s">
        <v>67</v>
      </c>
      <c r="I36" t="s">
        <v>82</v>
      </c>
      <c r="J36" t="s">
        <v>38</v>
      </c>
      <c r="K36">
        <v>2</v>
      </c>
      <c r="L36">
        <v>2</v>
      </c>
      <c r="M36" t="s">
        <v>40</v>
      </c>
      <c r="O36" t="s">
        <v>39</v>
      </c>
      <c r="R36" t="s">
        <v>68</v>
      </c>
      <c r="S36" t="str">
        <f>VLOOKUP(J36,[2]Teams!A:B,2,FALSE)</f>
        <v>POR</v>
      </c>
      <c r="T36" t="str">
        <f>VLOOKUP(M36,[2]Teams!A:B,2,FALSE)</f>
        <v>FRA</v>
      </c>
    </row>
    <row r="37" spans="1:20" x14ac:dyDescent="0.25">
      <c r="A37" t="str">
        <f t="shared" si="0"/>
        <v>UEFAEURO2020-36</v>
      </c>
      <c r="B37">
        <v>36</v>
      </c>
      <c r="C37" s="90">
        <v>44371.166666666664</v>
      </c>
      <c r="D37" s="31">
        <v>44371.166666666664</v>
      </c>
      <c r="E37">
        <v>2021</v>
      </c>
      <c r="F37" t="s">
        <v>83</v>
      </c>
      <c r="G37" t="s">
        <v>66</v>
      </c>
      <c r="H37" t="s">
        <v>67</v>
      </c>
      <c r="I37" t="s">
        <v>82</v>
      </c>
      <c r="J37" t="s">
        <v>41</v>
      </c>
      <c r="K37">
        <v>2</v>
      </c>
      <c r="L37">
        <v>2</v>
      </c>
      <c r="M37" t="s">
        <v>37</v>
      </c>
      <c r="O37" t="s">
        <v>42</v>
      </c>
      <c r="R37" t="s">
        <v>68</v>
      </c>
      <c r="S37" t="str">
        <f>VLOOKUP(J37,[2]Teams!A:B,2,FALSE)</f>
        <v>GER</v>
      </c>
      <c r="T37" t="str">
        <f>VLOOKUP(M37,[2]Teams!A:B,2,FALSE)</f>
        <v>HUN</v>
      </c>
    </row>
    <row r="38" spans="1:20" x14ac:dyDescent="0.25">
      <c r="A38" t="str">
        <f t="shared" si="0"/>
        <v>UEFAEURO2020-37</v>
      </c>
      <c r="B38">
        <v>37</v>
      </c>
      <c r="C38" s="87">
        <v>44374.041666666664</v>
      </c>
      <c r="D38" s="10">
        <v>44374.041666666664</v>
      </c>
      <c r="E38">
        <v>2021</v>
      </c>
      <c r="F38" t="s">
        <v>83</v>
      </c>
      <c r="G38" t="s">
        <v>66</v>
      </c>
      <c r="H38" t="s">
        <v>70</v>
      </c>
      <c r="I38" t="s">
        <v>74</v>
      </c>
      <c r="J38" t="s">
        <v>5</v>
      </c>
      <c r="K38">
        <v>0</v>
      </c>
      <c r="L38">
        <v>4</v>
      </c>
      <c r="M38" t="s">
        <v>9</v>
      </c>
      <c r="O38" t="s">
        <v>25</v>
      </c>
      <c r="R38" t="s">
        <v>68</v>
      </c>
      <c r="S38" t="str">
        <f>VLOOKUP(J38,[2]Teams!A:B,2,FALSE)</f>
        <v>WAL</v>
      </c>
      <c r="T38" t="str">
        <f>VLOOKUP(M38,[2]Teams!A:B,2,FALSE)</f>
        <v>DEN</v>
      </c>
    </row>
    <row r="39" spans="1:20" x14ac:dyDescent="0.25">
      <c r="A39" t="str">
        <f t="shared" si="0"/>
        <v>UEFAEURO2020-38</v>
      </c>
      <c r="B39">
        <v>38</v>
      </c>
      <c r="C39" s="88">
        <v>44374.166666666664</v>
      </c>
      <c r="D39" s="18">
        <v>44374.166666666664</v>
      </c>
      <c r="E39">
        <v>2021</v>
      </c>
      <c r="F39" t="s">
        <v>83</v>
      </c>
      <c r="G39" t="s">
        <v>66</v>
      </c>
      <c r="H39" t="s">
        <v>70</v>
      </c>
      <c r="I39" t="s">
        <v>74</v>
      </c>
      <c r="J39" t="s">
        <v>3</v>
      </c>
      <c r="K39">
        <v>2</v>
      </c>
      <c r="L39">
        <v>1</v>
      </c>
      <c r="M39" t="s">
        <v>20</v>
      </c>
      <c r="O39" t="s">
        <v>18</v>
      </c>
      <c r="R39" t="s">
        <v>68</v>
      </c>
      <c r="S39" t="str">
        <f>VLOOKUP(J39,[2]Teams!A:B,2,FALSE)</f>
        <v>ITA</v>
      </c>
      <c r="T39" t="str">
        <f>VLOOKUP(M39,[2]Teams!A:B,2,FALSE)</f>
        <v>AUT</v>
      </c>
    </row>
    <row r="40" spans="1:20" x14ac:dyDescent="0.25">
      <c r="A40" t="str">
        <f t="shared" si="0"/>
        <v>UEFAEURO2020-39</v>
      </c>
      <c r="B40">
        <v>39</v>
      </c>
      <c r="C40" s="89">
        <v>44375.041666666664</v>
      </c>
      <c r="D40" s="25">
        <v>44375.041666666664</v>
      </c>
      <c r="E40">
        <v>2021</v>
      </c>
      <c r="F40" t="s">
        <v>83</v>
      </c>
      <c r="G40" t="s">
        <v>66</v>
      </c>
      <c r="H40" t="s">
        <v>70</v>
      </c>
      <c r="I40" t="s">
        <v>74</v>
      </c>
      <c r="J40" t="s">
        <v>23</v>
      </c>
      <c r="K40">
        <v>0</v>
      </c>
      <c r="L40">
        <v>2</v>
      </c>
      <c r="M40" t="s">
        <v>27</v>
      </c>
      <c r="O40" t="s">
        <v>39</v>
      </c>
      <c r="R40" t="s">
        <v>68</v>
      </c>
      <c r="S40" t="str">
        <f>VLOOKUP(J40,[2]Teams!A:B,2,FALSE)</f>
        <v>NED</v>
      </c>
      <c r="T40" t="str">
        <f>VLOOKUP(M40,[2]Teams!A:B,2,FALSE)</f>
        <v>CZE</v>
      </c>
    </row>
    <row r="41" spans="1:20" x14ac:dyDescent="0.25">
      <c r="A41" t="str">
        <f t="shared" si="0"/>
        <v>UEFAEURO2020-40</v>
      </c>
      <c r="B41">
        <v>40</v>
      </c>
      <c r="C41" s="88">
        <v>44375.166666666664</v>
      </c>
      <c r="D41" s="18">
        <v>44375.166666666664</v>
      </c>
      <c r="E41">
        <v>2021</v>
      </c>
      <c r="F41" t="s">
        <v>83</v>
      </c>
      <c r="G41" t="s">
        <v>66</v>
      </c>
      <c r="H41" t="s">
        <v>70</v>
      </c>
      <c r="I41" t="s">
        <v>74</v>
      </c>
      <c r="J41" t="s">
        <v>12</v>
      </c>
      <c r="K41">
        <v>1</v>
      </c>
      <c r="L41">
        <v>0</v>
      </c>
      <c r="M41" t="s">
        <v>38</v>
      </c>
      <c r="O41" t="s">
        <v>35</v>
      </c>
      <c r="R41" t="s">
        <v>68</v>
      </c>
      <c r="S41" t="str">
        <f>VLOOKUP(J41,[2]Teams!A:B,2,FALSE)</f>
        <v>BEL</v>
      </c>
      <c r="T41" t="str">
        <f>VLOOKUP(M41,[2]Teams!A:B,2,FALSE)</f>
        <v>POR</v>
      </c>
    </row>
    <row r="42" spans="1:20" x14ac:dyDescent="0.25">
      <c r="A42" t="str">
        <f t="shared" si="0"/>
        <v>UEFAEURO2020-41</v>
      </c>
      <c r="B42">
        <v>41</v>
      </c>
      <c r="C42" s="89">
        <v>44376.041666666664</v>
      </c>
      <c r="D42" s="25">
        <v>44376.041666666664</v>
      </c>
      <c r="E42">
        <v>2021</v>
      </c>
      <c r="F42" t="s">
        <v>83</v>
      </c>
      <c r="G42" t="s">
        <v>66</v>
      </c>
      <c r="H42" t="s">
        <v>70</v>
      </c>
      <c r="I42" t="s">
        <v>74</v>
      </c>
      <c r="J42" t="s">
        <v>17</v>
      </c>
      <c r="K42">
        <v>3</v>
      </c>
      <c r="L42">
        <v>5</v>
      </c>
      <c r="M42" t="s">
        <v>33</v>
      </c>
      <c r="O42" t="s">
        <v>11</v>
      </c>
      <c r="R42" t="s">
        <v>68</v>
      </c>
      <c r="S42" t="str">
        <f>VLOOKUP(J42,[2]Teams!A:B,2,FALSE)</f>
        <v>CRO</v>
      </c>
      <c r="T42" t="str">
        <f>VLOOKUP(M42,[2]Teams!A:B,2,FALSE)</f>
        <v>ESP</v>
      </c>
    </row>
    <row r="43" spans="1:20" x14ac:dyDescent="0.25">
      <c r="A43" t="str">
        <f t="shared" si="0"/>
        <v>UEFAEURO2020-42</v>
      </c>
      <c r="B43">
        <v>42</v>
      </c>
      <c r="C43" s="88">
        <v>44376.166666666664</v>
      </c>
      <c r="D43" s="18">
        <v>44376.166666666664</v>
      </c>
      <c r="E43">
        <v>2021</v>
      </c>
      <c r="F43" t="s">
        <v>83</v>
      </c>
      <c r="G43" t="s">
        <v>66</v>
      </c>
      <c r="H43" t="s">
        <v>70</v>
      </c>
      <c r="I43" t="s">
        <v>74</v>
      </c>
      <c r="J43" t="s">
        <v>40</v>
      </c>
      <c r="K43">
        <v>3</v>
      </c>
      <c r="L43">
        <v>3</v>
      </c>
      <c r="M43" t="s">
        <v>6</v>
      </c>
      <c r="O43" t="s">
        <v>22</v>
      </c>
      <c r="R43" t="s">
        <v>68</v>
      </c>
      <c r="S43" t="str">
        <f>VLOOKUP(J43,[2]Teams!A:B,2,FALSE)</f>
        <v>FRA</v>
      </c>
      <c r="T43" t="str">
        <f>VLOOKUP(M43,[2]Teams!A:B,2,FALSE)</f>
        <v>SUI</v>
      </c>
    </row>
    <row r="44" spans="1:20" x14ac:dyDescent="0.25">
      <c r="A44" t="str">
        <f t="shared" si="0"/>
        <v>UEFAEURO2020-43</v>
      </c>
      <c r="B44">
        <v>43</v>
      </c>
      <c r="C44" s="89">
        <v>44377.041666666664</v>
      </c>
      <c r="D44" s="25">
        <v>44377.041666666664</v>
      </c>
      <c r="E44">
        <v>2021</v>
      </c>
      <c r="F44" t="s">
        <v>83</v>
      </c>
      <c r="G44" t="s">
        <v>66</v>
      </c>
      <c r="H44" t="s">
        <v>70</v>
      </c>
      <c r="I44" t="s">
        <v>74</v>
      </c>
      <c r="J44" t="s">
        <v>16</v>
      </c>
      <c r="K44">
        <v>2</v>
      </c>
      <c r="L44">
        <v>0</v>
      </c>
      <c r="M44" t="s">
        <v>41</v>
      </c>
      <c r="O44" t="s">
        <v>32</v>
      </c>
      <c r="R44" t="s">
        <v>68</v>
      </c>
      <c r="S44" t="str">
        <f>VLOOKUP(J44,[2]Teams!A:B,2,FALSE)</f>
        <v>ENG</v>
      </c>
      <c r="T44" t="str">
        <f>VLOOKUP(M44,[2]Teams!A:B,2,FALSE)</f>
        <v>GER</v>
      </c>
    </row>
    <row r="45" spans="1:20" x14ac:dyDescent="0.25">
      <c r="A45" t="str">
        <f t="shared" si="0"/>
        <v>UEFAEURO2020-44</v>
      </c>
      <c r="B45">
        <v>44</v>
      </c>
      <c r="C45" s="90">
        <v>44377.166666666664</v>
      </c>
      <c r="D45" s="31">
        <v>44377.166666666664</v>
      </c>
      <c r="E45">
        <v>2021</v>
      </c>
      <c r="F45" t="s">
        <v>83</v>
      </c>
      <c r="G45" t="s">
        <v>66</v>
      </c>
      <c r="H45" t="s">
        <v>70</v>
      </c>
      <c r="I45" t="s">
        <v>74</v>
      </c>
      <c r="J45" t="s">
        <v>34</v>
      </c>
      <c r="K45">
        <v>1</v>
      </c>
      <c r="L45">
        <v>2</v>
      </c>
      <c r="M45" t="s">
        <v>24</v>
      </c>
      <c r="O45" t="s">
        <v>28</v>
      </c>
      <c r="R45" t="s">
        <v>68</v>
      </c>
      <c r="S45" t="str">
        <f>VLOOKUP(J45,[2]Teams!A:B,2,FALSE)</f>
        <v>SWE</v>
      </c>
      <c r="T45" t="str">
        <f>VLOOKUP(M45,[2]Teams!A:B,2,FALSE)</f>
        <v>UKR</v>
      </c>
    </row>
    <row r="46" spans="1:20" x14ac:dyDescent="0.25">
      <c r="A46" t="str">
        <f t="shared" si="0"/>
        <v>UEFAEURO2020-45</v>
      </c>
      <c r="B46">
        <v>45</v>
      </c>
      <c r="C46" s="87">
        <v>44380.041666666664</v>
      </c>
      <c r="D46" s="10">
        <v>44380.041666666664</v>
      </c>
      <c r="E46">
        <v>2021</v>
      </c>
      <c r="F46" t="s">
        <v>83</v>
      </c>
      <c r="G46" t="s">
        <v>66</v>
      </c>
      <c r="H46" t="s">
        <v>70</v>
      </c>
      <c r="I46" t="s">
        <v>72</v>
      </c>
      <c r="J46" t="s">
        <v>6</v>
      </c>
      <c r="K46">
        <v>1</v>
      </c>
      <c r="L46">
        <v>1</v>
      </c>
      <c r="M46" t="s">
        <v>33</v>
      </c>
      <c r="N46" t="s">
        <v>86</v>
      </c>
      <c r="O46" t="s">
        <v>14</v>
      </c>
      <c r="R46" t="s">
        <v>68</v>
      </c>
      <c r="S46" t="str">
        <f>VLOOKUP(J46,[2]Teams!A:B,2,FALSE)</f>
        <v>SUI</v>
      </c>
      <c r="T46" t="str">
        <f>VLOOKUP(M46,[2]Teams!A:B,2,FALSE)</f>
        <v>ESP</v>
      </c>
    </row>
    <row r="47" spans="1:20" x14ac:dyDescent="0.25">
      <c r="A47" t="str">
        <f t="shared" si="0"/>
        <v>UEFAEURO2020-46</v>
      </c>
      <c r="B47">
        <v>46</v>
      </c>
      <c r="C47" s="88">
        <v>44380.166666666664</v>
      </c>
      <c r="D47" s="18">
        <v>44380.166666666664</v>
      </c>
      <c r="E47">
        <v>2021</v>
      </c>
      <c r="F47" t="s">
        <v>83</v>
      </c>
      <c r="G47" t="s">
        <v>66</v>
      </c>
      <c r="H47" t="s">
        <v>70</v>
      </c>
      <c r="I47" t="s">
        <v>72</v>
      </c>
      <c r="J47" t="s">
        <v>12</v>
      </c>
      <c r="K47">
        <v>1</v>
      </c>
      <c r="L47">
        <v>2</v>
      </c>
      <c r="M47" t="s">
        <v>3</v>
      </c>
      <c r="O47" t="s">
        <v>42</v>
      </c>
      <c r="R47" t="s">
        <v>68</v>
      </c>
      <c r="S47" t="str">
        <f>VLOOKUP(J47,[2]Teams!A:B,2,FALSE)</f>
        <v>BEL</v>
      </c>
      <c r="T47" t="str">
        <f>VLOOKUP(M47,[2]Teams!A:B,2,FALSE)</f>
        <v>ITA</v>
      </c>
    </row>
    <row r="48" spans="1:20" x14ac:dyDescent="0.25">
      <c r="A48" t="str">
        <f t="shared" si="0"/>
        <v>UEFAEURO2020-47</v>
      </c>
      <c r="B48">
        <v>47</v>
      </c>
      <c r="C48" s="89">
        <v>44381.041666666664</v>
      </c>
      <c r="D48" s="25">
        <v>44381.041666666664</v>
      </c>
      <c r="E48">
        <v>2021</v>
      </c>
      <c r="F48" t="s">
        <v>83</v>
      </c>
      <c r="G48" t="s">
        <v>66</v>
      </c>
      <c r="H48" t="s">
        <v>70</v>
      </c>
      <c r="I48" t="s">
        <v>72</v>
      </c>
      <c r="J48" t="s">
        <v>27</v>
      </c>
      <c r="K48">
        <v>1</v>
      </c>
      <c r="L48">
        <v>2</v>
      </c>
      <c r="M48" t="s">
        <v>9</v>
      </c>
      <c r="O48" t="s">
        <v>7</v>
      </c>
      <c r="R48" t="s">
        <v>68</v>
      </c>
      <c r="S48" t="str">
        <f>VLOOKUP(J48,[2]Teams!A:B,2,FALSE)</f>
        <v>CZE</v>
      </c>
      <c r="T48" t="str">
        <f>VLOOKUP(M48,[2]Teams!A:B,2,FALSE)</f>
        <v>DEN</v>
      </c>
    </row>
    <row r="49" spans="1:20" x14ac:dyDescent="0.25">
      <c r="A49" t="str">
        <f t="shared" si="0"/>
        <v>UEFAEURO2020-48</v>
      </c>
      <c r="B49">
        <v>48</v>
      </c>
      <c r="C49" s="90">
        <v>44381.166666666664</v>
      </c>
      <c r="D49" s="63">
        <v>44381.166666666664</v>
      </c>
      <c r="E49">
        <v>2021</v>
      </c>
      <c r="F49" t="s">
        <v>83</v>
      </c>
      <c r="G49" t="s">
        <v>66</v>
      </c>
      <c r="H49" t="s">
        <v>70</v>
      </c>
      <c r="I49" t="s">
        <v>72</v>
      </c>
      <c r="J49" t="s">
        <v>24</v>
      </c>
      <c r="K49">
        <v>0</v>
      </c>
      <c r="L49">
        <v>4</v>
      </c>
      <c r="M49" t="s">
        <v>16</v>
      </c>
      <c r="O49" t="s">
        <v>4</v>
      </c>
      <c r="R49" t="s">
        <v>68</v>
      </c>
      <c r="S49" t="str">
        <f>VLOOKUP(J49,[2]Teams!A:B,2,FALSE)</f>
        <v>UKR</v>
      </c>
      <c r="T49" t="str">
        <f>VLOOKUP(M49,[2]Teams!A:B,2,FALSE)</f>
        <v>ENG</v>
      </c>
    </row>
    <row r="50" spans="1:20" x14ac:dyDescent="0.25">
      <c r="A50" t="str">
        <f t="shared" si="0"/>
        <v>UEFAEURO2020-49</v>
      </c>
      <c r="B50">
        <v>49</v>
      </c>
      <c r="C50" s="87">
        <v>44384.166666666664</v>
      </c>
      <c r="D50" s="25">
        <v>44384.166666666664</v>
      </c>
      <c r="E50">
        <v>2021</v>
      </c>
      <c r="F50" t="s">
        <v>83</v>
      </c>
      <c r="G50" t="s">
        <v>66</v>
      </c>
      <c r="H50" t="s">
        <v>70</v>
      </c>
      <c r="I50" t="s">
        <v>71</v>
      </c>
      <c r="J50" t="s">
        <v>3</v>
      </c>
      <c r="K50">
        <v>1</v>
      </c>
      <c r="L50">
        <v>1</v>
      </c>
      <c r="M50" t="s">
        <v>33</v>
      </c>
      <c r="N50" t="s">
        <v>85</v>
      </c>
      <c r="O50" t="s">
        <v>18</v>
      </c>
      <c r="R50" t="s">
        <v>68</v>
      </c>
      <c r="S50" t="str">
        <f>VLOOKUP(J50,[2]Teams!A:B,2,FALSE)</f>
        <v>ITA</v>
      </c>
      <c r="T50" t="str">
        <f>VLOOKUP(M50,[2]Teams!A:B,2,FALSE)</f>
        <v>ESP</v>
      </c>
    </row>
    <row r="51" spans="1:20" x14ac:dyDescent="0.25">
      <c r="A51" t="str">
        <f t="shared" si="0"/>
        <v>UEFAEURO2020-50</v>
      </c>
      <c r="B51">
        <v>50</v>
      </c>
      <c r="C51" s="90">
        <v>44385.166666666664</v>
      </c>
      <c r="D51" s="31">
        <v>44385.166666666664</v>
      </c>
      <c r="E51">
        <v>2021</v>
      </c>
      <c r="F51" t="s">
        <v>83</v>
      </c>
      <c r="G51" t="s">
        <v>66</v>
      </c>
      <c r="H51" t="s">
        <v>70</v>
      </c>
      <c r="I51" t="s">
        <v>71</v>
      </c>
      <c r="J51" t="s">
        <v>16</v>
      </c>
      <c r="K51">
        <v>2</v>
      </c>
      <c r="L51">
        <v>1</v>
      </c>
      <c r="M51" t="s">
        <v>9</v>
      </c>
      <c r="N51" t="s">
        <v>84</v>
      </c>
      <c r="O51" t="s">
        <v>18</v>
      </c>
      <c r="R51" t="s">
        <v>68</v>
      </c>
      <c r="S51" t="str">
        <f>VLOOKUP(J51,[2]Teams!A:B,2,FALSE)</f>
        <v>ENG</v>
      </c>
      <c r="T51" t="str">
        <f>VLOOKUP(M51,[2]Teams!A:B,2,FALSE)</f>
        <v>DEN</v>
      </c>
    </row>
    <row r="52" spans="1:20" x14ac:dyDescent="0.25">
      <c r="A52" t="str">
        <f t="shared" si="0"/>
        <v>UEFAEURO2020-51</v>
      </c>
      <c r="B52">
        <v>51</v>
      </c>
      <c r="C52" s="91">
        <v>44389.166666666664</v>
      </c>
      <c r="D52" s="73">
        <v>44389.166666666664</v>
      </c>
      <c r="E52">
        <v>2021</v>
      </c>
      <c r="F52" t="s">
        <v>83</v>
      </c>
      <c r="G52" t="s">
        <v>66</v>
      </c>
      <c r="H52" t="s">
        <v>70</v>
      </c>
      <c r="I52" t="s">
        <v>48</v>
      </c>
      <c r="J52" t="s">
        <v>3</v>
      </c>
      <c r="K52">
        <v>1</v>
      </c>
      <c r="L52">
        <v>1</v>
      </c>
      <c r="M52" t="s">
        <v>16</v>
      </c>
      <c r="N52" t="s">
        <v>87</v>
      </c>
      <c r="O52" t="s">
        <v>18</v>
      </c>
      <c r="R52" t="s">
        <v>68</v>
      </c>
      <c r="S52" t="str">
        <f>VLOOKUP(J52,[2]Teams!A:B,2,FALSE)</f>
        <v>ITA</v>
      </c>
      <c r="T52" t="str">
        <f>VLOOKUP(M52,[2]Teams!A:B,2,FALSE)</f>
        <v>ENG</v>
      </c>
    </row>
    <row r="53" spans="1:20" x14ac:dyDescent="0.25">
      <c r="A53" t="str">
        <f t="shared" si="0"/>
        <v>UEFAEURO2016-1</v>
      </c>
      <c r="B53">
        <v>1</v>
      </c>
      <c r="C53" s="85">
        <v>42532</v>
      </c>
      <c r="D53" s="86">
        <v>0.125</v>
      </c>
      <c r="E53">
        <v>2016</v>
      </c>
      <c r="F53" t="s">
        <v>107</v>
      </c>
      <c r="G53" t="s">
        <v>66</v>
      </c>
      <c r="H53" t="s">
        <v>67</v>
      </c>
      <c r="I53" t="s">
        <v>76</v>
      </c>
      <c r="J53" t="s">
        <v>40</v>
      </c>
      <c r="K53">
        <v>2</v>
      </c>
      <c r="L53">
        <v>1</v>
      </c>
      <c r="M53" t="s">
        <v>69</v>
      </c>
      <c r="O53" t="s">
        <v>109</v>
      </c>
      <c r="R53" t="s">
        <v>68</v>
      </c>
      <c r="S53" t="str">
        <f>VLOOKUP(J53,[2]Teams!A:B,2,FALSE)</f>
        <v>FRA</v>
      </c>
      <c r="T53" t="str">
        <f>VLOOKUP(M53,[2]Teams!A:B,2,FALSE)</f>
        <v>ROU</v>
      </c>
    </row>
    <row r="54" spans="1:20" x14ac:dyDescent="0.25">
      <c r="A54" t="str">
        <f t="shared" si="0"/>
        <v>UEFAEURO2016-2</v>
      </c>
      <c r="B54">
        <v>2</v>
      </c>
      <c r="C54" s="85">
        <v>42532</v>
      </c>
      <c r="D54" s="86">
        <v>0.875</v>
      </c>
      <c r="E54">
        <v>2016</v>
      </c>
      <c r="F54" t="s">
        <v>107</v>
      </c>
      <c r="G54" t="s">
        <v>66</v>
      </c>
      <c r="H54" t="s">
        <v>67</v>
      </c>
      <c r="I54" t="s">
        <v>76</v>
      </c>
      <c r="J54" t="s">
        <v>108</v>
      </c>
      <c r="K54">
        <v>0</v>
      </c>
      <c r="L54">
        <v>1</v>
      </c>
      <c r="M54" t="s">
        <v>6</v>
      </c>
      <c r="O54" t="s">
        <v>110</v>
      </c>
      <c r="R54" t="s">
        <v>68</v>
      </c>
      <c r="S54" t="str">
        <f>VLOOKUP(J54,[2]Teams!A:B,2,FALSE)</f>
        <v>ALB</v>
      </c>
      <c r="T54" t="str">
        <f>VLOOKUP(M54,[2]Teams!A:B,2,FALSE)</f>
        <v>SUI</v>
      </c>
    </row>
    <row r="55" spans="1:20" x14ac:dyDescent="0.25">
      <c r="A55" t="str">
        <f t="shared" si="0"/>
        <v>UEFAEURO2016-3</v>
      </c>
      <c r="B55">
        <v>3</v>
      </c>
      <c r="C55" s="85">
        <v>42533</v>
      </c>
      <c r="D55" s="86">
        <v>0</v>
      </c>
      <c r="E55">
        <v>2016</v>
      </c>
      <c r="F55" t="s">
        <v>107</v>
      </c>
      <c r="G55" t="s">
        <v>66</v>
      </c>
      <c r="H55" t="s">
        <v>67</v>
      </c>
      <c r="I55" t="s">
        <v>77</v>
      </c>
      <c r="J55" t="s">
        <v>5</v>
      </c>
      <c r="K55">
        <v>2</v>
      </c>
      <c r="L55">
        <v>1</v>
      </c>
      <c r="M55" t="s">
        <v>31</v>
      </c>
      <c r="O55" t="s">
        <v>111</v>
      </c>
      <c r="R55" t="s">
        <v>68</v>
      </c>
      <c r="S55" t="str">
        <f>VLOOKUP(J55,[2]Teams!A:B,2,FALSE)</f>
        <v>WAL</v>
      </c>
      <c r="T55" t="str">
        <f>VLOOKUP(M55,[2]Teams!A:B,2,FALSE)</f>
        <v>SVK</v>
      </c>
    </row>
    <row r="56" spans="1:20" x14ac:dyDescent="0.25">
      <c r="A56" t="str">
        <f t="shared" si="0"/>
        <v>UEFAEURO2016-4</v>
      </c>
      <c r="B56">
        <v>4</v>
      </c>
      <c r="C56" s="85">
        <v>42533</v>
      </c>
      <c r="D56" s="86">
        <v>0.125</v>
      </c>
      <c r="E56">
        <v>2016</v>
      </c>
      <c r="F56" t="s">
        <v>107</v>
      </c>
      <c r="G56" t="s">
        <v>66</v>
      </c>
      <c r="H56" t="s">
        <v>67</v>
      </c>
      <c r="I56" t="s">
        <v>77</v>
      </c>
      <c r="J56" t="s">
        <v>16</v>
      </c>
      <c r="K56">
        <v>1</v>
      </c>
      <c r="L56">
        <v>1</v>
      </c>
      <c r="M56" t="s">
        <v>13</v>
      </c>
      <c r="O56" t="s">
        <v>112</v>
      </c>
      <c r="R56" t="s">
        <v>68</v>
      </c>
      <c r="S56" t="str">
        <f>VLOOKUP(J56,[2]Teams!A:B,2,FALSE)</f>
        <v>ENG</v>
      </c>
      <c r="T56" t="str">
        <f>VLOOKUP(M56,[2]Teams!A:B,2,FALSE)</f>
        <v>RUS</v>
      </c>
    </row>
    <row r="57" spans="1:20" x14ac:dyDescent="0.25">
      <c r="A57" t="str">
        <f t="shared" si="0"/>
        <v>UEFAEURO2016-5</v>
      </c>
      <c r="B57">
        <v>5</v>
      </c>
      <c r="C57" s="85">
        <v>42533</v>
      </c>
      <c r="D57" s="86">
        <v>0.875</v>
      </c>
      <c r="E57">
        <v>2016</v>
      </c>
      <c r="F57" t="s">
        <v>107</v>
      </c>
      <c r="G57" t="s">
        <v>66</v>
      </c>
      <c r="H57" t="s">
        <v>67</v>
      </c>
      <c r="I57" t="s">
        <v>79</v>
      </c>
      <c r="J57" t="s">
        <v>2</v>
      </c>
      <c r="K57">
        <v>0</v>
      </c>
      <c r="L57">
        <v>1</v>
      </c>
      <c r="M57" t="s">
        <v>17</v>
      </c>
      <c r="O57" t="s">
        <v>113</v>
      </c>
      <c r="R57" t="s">
        <v>68</v>
      </c>
      <c r="S57" t="str">
        <f>VLOOKUP(J57,[2]Teams!A:B,2,FALSE)</f>
        <v>TUR</v>
      </c>
      <c r="T57" t="str">
        <f>VLOOKUP(M57,[2]Teams!A:B,2,FALSE)</f>
        <v>CRO</v>
      </c>
    </row>
    <row r="58" spans="1:20" x14ac:dyDescent="0.25">
      <c r="A58" t="str">
        <f t="shared" si="0"/>
        <v>UEFAEURO2016-6</v>
      </c>
      <c r="B58">
        <v>6</v>
      </c>
      <c r="C58" s="85">
        <v>42534</v>
      </c>
      <c r="D58" s="86">
        <v>0</v>
      </c>
      <c r="E58">
        <v>2016</v>
      </c>
      <c r="F58" t="s">
        <v>107</v>
      </c>
      <c r="G58" t="s">
        <v>66</v>
      </c>
      <c r="H58" t="s">
        <v>67</v>
      </c>
      <c r="I58" t="s">
        <v>78</v>
      </c>
      <c r="J58" t="s">
        <v>30</v>
      </c>
      <c r="K58">
        <v>1</v>
      </c>
      <c r="L58">
        <v>0</v>
      </c>
      <c r="M58" t="s">
        <v>73</v>
      </c>
      <c r="O58" t="s">
        <v>114</v>
      </c>
      <c r="R58" t="s">
        <v>68</v>
      </c>
      <c r="S58" t="str">
        <f>VLOOKUP(J58,[2]Teams!A:B,2,FALSE)</f>
        <v>POL</v>
      </c>
      <c r="T58" t="str">
        <f>VLOOKUP(M58,[2]Teams!A:B,2,FALSE)</f>
        <v>NIR</v>
      </c>
    </row>
    <row r="59" spans="1:20" x14ac:dyDescent="0.25">
      <c r="A59" t="str">
        <f t="shared" si="0"/>
        <v>UEFAEURO2016-7</v>
      </c>
      <c r="B59">
        <v>7</v>
      </c>
      <c r="C59" s="85">
        <v>42534</v>
      </c>
      <c r="D59" s="86">
        <v>0.125</v>
      </c>
      <c r="E59">
        <v>2016</v>
      </c>
      <c r="F59" t="s">
        <v>107</v>
      </c>
      <c r="G59" t="s">
        <v>66</v>
      </c>
      <c r="H59" t="s">
        <v>67</v>
      </c>
      <c r="I59" t="s">
        <v>78</v>
      </c>
      <c r="J59" t="s">
        <v>41</v>
      </c>
      <c r="K59">
        <v>2</v>
      </c>
      <c r="L59">
        <v>0</v>
      </c>
      <c r="M59" t="s">
        <v>24</v>
      </c>
      <c r="O59" t="s">
        <v>115</v>
      </c>
      <c r="R59" t="s">
        <v>68</v>
      </c>
      <c r="S59" t="str">
        <f>VLOOKUP(J59,[2]Teams!A:B,2,FALSE)</f>
        <v>GER</v>
      </c>
      <c r="T59" t="str">
        <f>VLOOKUP(M59,[2]Teams!A:B,2,FALSE)</f>
        <v>UKR</v>
      </c>
    </row>
    <row r="60" spans="1:20" x14ac:dyDescent="0.25">
      <c r="A60" t="str">
        <f t="shared" si="0"/>
        <v>UEFAEURO2016-8</v>
      </c>
      <c r="B60">
        <v>8</v>
      </c>
      <c r="C60" s="85">
        <v>42534</v>
      </c>
      <c r="D60" s="86">
        <v>0.875</v>
      </c>
      <c r="E60">
        <v>2016</v>
      </c>
      <c r="F60" t="s">
        <v>107</v>
      </c>
      <c r="G60" t="s">
        <v>66</v>
      </c>
      <c r="H60" t="s">
        <v>67</v>
      </c>
      <c r="I60" t="s">
        <v>79</v>
      </c>
      <c r="J60" t="s">
        <v>33</v>
      </c>
      <c r="K60">
        <v>1</v>
      </c>
      <c r="L60">
        <v>0</v>
      </c>
      <c r="M60" t="s">
        <v>27</v>
      </c>
      <c r="O60" t="s">
        <v>116</v>
      </c>
      <c r="R60" t="s">
        <v>68</v>
      </c>
      <c r="S60" t="str">
        <f>VLOOKUP(J60,[2]Teams!A:B,2,FALSE)</f>
        <v>ESP</v>
      </c>
      <c r="T60" t="str">
        <f>VLOOKUP(M60,[2]Teams!A:B,2,FALSE)</f>
        <v>CZE</v>
      </c>
    </row>
    <row r="61" spans="1:20" x14ac:dyDescent="0.25">
      <c r="A61" t="str">
        <f t="shared" si="0"/>
        <v>UEFAEURO2016-9</v>
      </c>
      <c r="B61">
        <v>9</v>
      </c>
      <c r="C61" s="85">
        <v>42535</v>
      </c>
      <c r="D61" s="86">
        <v>0</v>
      </c>
      <c r="E61">
        <v>2016</v>
      </c>
      <c r="F61" t="s">
        <v>107</v>
      </c>
      <c r="G61" t="s">
        <v>66</v>
      </c>
      <c r="H61" t="s">
        <v>67</v>
      </c>
      <c r="I61" t="s">
        <v>81</v>
      </c>
      <c r="J61" t="s">
        <v>75</v>
      </c>
      <c r="K61">
        <v>1</v>
      </c>
      <c r="L61">
        <v>1</v>
      </c>
      <c r="M61" t="s">
        <v>34</v>
      </c>
      <c r="O61" t="s">
        <v>109</v>
      </c>
      <c r="R61" t="s">
        <v>68</v>
      </c>
      <c r="S61" t="str">
        <f>VLOOKUP(J61,[2]Teams!A:B,2,FALSE)</f>
        <v>IRL</v>
      </c>
      <c r="T61" t="str">
        <f>VLOOKUP(M61,[2]Teams!A:B,2,FALSE)</f>
        <v>SWE</v>
      </c>
    </row>
    <row r="62" spans="1:20" x14ac:dyDescent="0.25">
      <c r="A62" t="str">
        <f t="shared" si="0"/>
        <v>UEFAEURO2016-10</v>
      </c>
      <c r="B62">
        <v>10</v>
      </c>
      <c r="C62" s="85">
        <v>42535</v>
      </c>
      <c r="D62" s="86">
        <v>0.125</v>
      </c>
      <c r="E62">
        <v>2016</v>
      </c>
      <c r="F62" t="s">
        <v>107</v>
      </c>
      <c r="G62" t="s">
        <v>66</v>
      </c>
      <c r="H62" t="s">
        <v>67</v>
      </c>
      <c r="I62" t="s">
        <v>81</v>
      </c>
      <c r="J62" t="s">
        <v>12</v>
      </c>
      <c r="K62">
        <v>0</v>
      </c>
      <c r="L62">
        <v>2</v>
      </c>
      <c r="M62" t="s">
        <v>3</v>
      </c>
      <c r="O62" t="s">
        <v>117</v>
      </c>
      <c r="R62" t="s">
        <v>68</v>
      </c>
      <c r="S62" t="str">
        <f>VLOOKUP(J62,[2]Teams!A:B,2,FALSE)</f>
        <v>BEL</v>
      </c>
      <c r="T62" t="str">
        <f>VLOOKUP(M62,[2]Teams!A:B,2,FALSE)</f>
        <v>ITA</v>
      </c>
    </row>
    <row r="63" spans="1:20" x14ac:dyDescent="0.25">
      <c r="A63" t="str">
        <f t="shared" si="0"/>
        <v>UEFAEURO2016-11</v>
      </c>
      <c r="B63">
        <v>11</v>
      </c>
      <c r="C63" s="85">
        <v>42536</v>
      </c>
      <c r="D63" s="86">
        <v>0</v>
      </c>
      <c r="E63">
        <v>2016</v>
      </c>
      <c r="F63" t="s">
        <v>107</v>
      </c>
      <c r="G63" t="s">
        <v>66</v>
      </c>
      <c r="H63" t="s">
        <v>67</v>
      </c>
      <c r="I63" t="s">
        <v>82</v>
      </c>
      <c r="J63" t="s">
        <v>20</v>
      </c>
      <c r="K63">
        <v>0</v>
      </c>
      <c r="L63">
        <v>2</v>
      </c>
      <c r="M63" t="s">
        <v>37</v>
      </c>
      <c r="O63" t="s">
        <v>111</v>
      </c>
      <c r="R63" t="s">
        <v>68</v>
      </c>
      <c r="S63" t="str">
        <f>VLOOKUP(J63,[2]Teams!A:B,2,FALSE)</f>
        <v>AUT</v>
      </c>
      <c r="T63" t="str">
        <f>VLOOKUP(M63,[2]Teams!A:B,2,FALSE)</f>
        <v>HUN</v>
      </c>
    </row>
    <row r="64" spans="1:20" x14ac:dyDescent="0.25">
      <c r="A64" t="str">
        <f t="shared" si="0"/>
        <v>UEFAEURO2016-12</v>
      </c>
      <c r="B64">
        <v>12</v>
      </c>
      <c r="C64" s="85">
        <v>42536</v>
      </c>
      <c r="D64" s="86">
        <v>0.125</v>
      </c>
      <c r="E64">
        <v>2016</v>
      </c>
      <c r="F64" t="s">
        <v>107</v>
      </c>
      <c r="G64" t="s">
        <v>66</v>
      </c>
      <c r="H64" t="s">
        <v>67</v>
      </c>
      <c r="I64" t="s">
        <v>82</v>
      </c>
      <c r="J64" t="s">
        <v>38</v>
      </c>
      <c r="K64">
        <v>1</v>
      </c>
      <c r="L64">
        <v>1</v>
      </c>
      <c r="M64" t="s">
        <v>80</v>
      </c>
      <c r="O64" t="s">
        <v>118</v>
      </c>
      <c r="R64" t="s">
        <v>68</v>
      </c>
      <c r="S64" t="str">
        <f>VLOOKUP(J64,[2]Teams!A:B,2,FALSE)</f>
        <v>POR</v>
      </c>
      <c r="T64" t="str">
        <f>VLOOKUP(M64,[2]Teams!A:B,2,FALSE)</f>
        <v>ISL</v>
      </c>
    </row>
    <row r="65" spans="1:20" x14ac:dyDescent="0.25">
      <c r="A65" t="str">
        <f t="shared" si="0"/>
        <v>UEFAEURO2016-13</v>
      </c>
      <c r="B65">
        <v>13</v>
      </c>
      <c r="C65" s="85">
        <v>42536</v>
      </c>
      <c r="D65" s="86">
        <v>0.875</v>
      </c>
      <c r="E65">
        <v>2016</v>
      </c>
      <c r="F65" t="s">
        <v>107</v>
      </c>
      <c r="G65" t="s">
        <v>66</v>
      </c>
      <c r="H65" t="s">
        <v>67</v>
      </c>
      <c r="I65" t="s">
        <v>77</v>
      </c>
      <c r="J65" t="s">
        <v>13</v>
      </c>
      <c r="K65">
        <v>1</v>
      </c>
      <c r="L65">
        <v>2</v>
      </c>
      <c r="M65" t="s">
        <v>31</v>
      </c>
      <c r="O65" t="s">
        <v>115</v>
      </c>
      <c r="R65" t="s">
        <v>68</v>
      </c>
      <c r="S65" t="str">
        <f>VLOOKUP(J65,[2]Teams!A:B,2,FALSE)</f>
        <v>RUS</v>
      </c>
      <c r="T65" t="str">
        <f>VLOOKUP(M65,[2]Teams!A:B,2,FALSE)</f>
        <v>SVK</v>
      </c>
    </row>
    <row r="66" spans="1:20" x14ac:dyDescent="0.25">
      <c r="A66" t="str">
        <f t="shared" ref="A66:A129" si="1">F66&amp;"-"&amp;B66</f>
        <v>UEFAEURO2016-14</v>
      </c>
      <c r="B66">
        <v>14</v>
      </c>
      <c r="C66" s="85">
        <v>42537</v>
      </c>
      <c r="D66" s="86">
        <v>0</v>
      </c>
      <c r="E66">
        <v>2016</v>
      </c>
      <c r="F66" t="s">
        <v>107</v>
      </c>
      <c r="G66" t="s">
        <v>66</v>
      </c>
      <c r="H66" t="s">
        <v>67</v>
      </c>
      <c r="I66" t="s">
        <v>76</v>
      </c>
      <c r="J66" t="s">
        <v>69</v>
      </c>
      <c r="K66">
        <v>1</v>
      </c>
      <c r="L66">
        <v>1</v>
      </c>
      <c r="M66" t="s">
        <v>6</v>
      </c>
      <c r="O66" t="s">
        <v>113</v>
      </c>
      <c r="R66" t="s">
        <v>68</v>
      </c>
      <c r="S66" t="str">
        <f>VLOOKUP(J66,[2]Teams!A:B,2,FALSE)</f>
        <v>ROU</v>
      </c>
      <c r="T66" t="str">
        <f>VLOOKUP(M66,[2]Teams!A:B,2,FALSE)</f>
        <v>SUI</v>
      </c>
    </row>
    <row r="67" spans="1:20" x14ac:dyDescent="0.25">
      <c r="A67" t="str">
        <f t="shared" si="1"/>
        <v>UEFAEURO2016-15</v>
      </c>
      <c r="B67">
        <v>15</v>
      </c>
      <c r="C67" s="85">
        <v>42537</v>
      </c>
      <c r="D67" s="86">
        <v>0.125</v>
      </c>
      <c r="E67">
        <v>2016</v>
      </c>
      <c r="F67" t="s">
        <v>107</v>
      </c>
      <c r="G67" t="s">
        <v>66</v>
      </c>
      <c r="H67" t="s">
        <v>67</v>
      </c>
      <c r="I67" t="s">
        <v>76</v>
      </c>
      <c r="J67" t="s">
        <v>40</v>
      </c>
      <c r="K67">
        <v>2</v>
      </c>
      <c r="L67">
        <v>0</v>
      </c>
      <c r="M67" t="s">
        <v>108</v>
      </c>
      <c r="O67" t="s">
        <v>112</v>
      </c>
      <c r="R67" t="s">
        <v>68</v>
      </c>
      <c r="S67" t="str">
        <f>VLOOKUP(J67,[2]Teams!A:B,2,FALSE)</f>
        <v>FRA</v>
      </c>
      <c r="T67" t="str">
        <f>VLOOKUP(M67,[2]Teams!A:B,2,FALSE)</f>
        <v>ALB</v>
      </c>
    </row>
    <row r="68" spans="1:20" x14ac:dyDescent="0.25">
      <c r="A68" t="str">
        <f t="shared" si="1"/>
        <v>UEFAEURO2016-16</v>
      </c>
      <c r="B68">
        <v>16</v>
      </c>
      <c r="C68" s="85">
        <v>42537</v>
      </c>
      <c r="D68" s="86">
        <v>0.875</v>
      </c>
      <c r="E68">
        <v>2016</v>
      </c>
      <c r="F68" t="s">
        <v>107</v>
      </c>
      <c r="G68" t="s">
        <v>66</v>
      </c>
      <c r="H68" t="s">
        <v>67</v>
      </c>
      <c r="I68" t="s">
        <v>77</v>
      </c>
      <c r="J68" t="s">
        <v>16</v>
      </c>
      <c r="K68">
        <v>2</v>
      </c>
      <c r="L68">
        <v>1</v>
      </c>
      <c r="M68" t="s">
        <v>5</v>
      </c>
      <c r="O68" t="s">
        <v>110</v>
      </c>
      <c r="R68" t="s">
        <v>68</v>
      </c>
      <c r="S68" t="str">
        <f>VLOOKUP(J68,[2]Teams!A:B,2,FALSE)</f>
        <v>ENG</v>
      </c>
      <c r="T68" t="str">
        <f>VLOOKUP(M68,[2]Teams!A:B,2,FALSE)</f>
        <v>WAL</v>
      </c>
    </row>
    <row r="69" spans="1:20" x14ac:dyDescent="0.25">
      <c r="A69" t="str">
        <f t="shared" si="1"/>
        <v>UEFAEURO2016-17</v>
      </c>
      <c r="B69">
        <v>17</v>
      </c>
      <c r="C69" s="85">
        <v>42538</v>
      </c>
      <c r="D69" s="86">
        <v>0</v>
      </c>
      <c r="E69">
        <v>2016</v>
      </c>
      <c r="F69" t="s">
        <v>107</v>
      </c>
      <c r="G69" t="s">
        <v>66</v>
      </c>
      <c r="H69" t="s">
        <v>67</v>
      </c>
      <c r="I69" t="s">
        <v>78</v>
      </c>
      <c r="J69" t="s">
        <v>24</v>
      </c>
      <c r="K69">
        <v>0</v>
      </c>
      <c r="L69">
        <v>2</v>
      </c>
      <c r="M69" t="s">
        <v>73</v>
      </c>
      <c r="O69" t="s">
        <v>117</v>
      </c>
      <c r="R69" t="s">
        <v>68</v>
      </c>
      <c r="S69" t="str">
        <f>VLOOKUP(J69,[2]Teams!A:B,2,FALSE)</f>
        <v>UKR</v>
      </c>
      <c r="T69" t="str">
        <f>VLOOKUP(M69,[2]Teams!A:B,2,FALSE)</f>
        <v>NIR</v>
      </c>
    </row>
    <row r="70" spans="1:20" x14ac:dyDescent="0.25">
      <c r="A70" t="str">
        <f t="shared" si="1"/>
        <v>UEFAEURO2016-18</v>
      </c>
      <c r="B70">
        <v>18</v>
      </c>
      <c r="C70" s="85">
        <v>42538</v>
      </c>
      <c r="D70" s="86">
        <v>0.125</v>
      </c>
      <c r="E70">
        <v>2016</v>
      </c>
      <c r="F70" t="s">
        <v>107</v>
      </c>
      <c r="G70" t="s">
        <v>66</v>
      </c>
      <c r="H70" t="s">
        <v>67</v>
      </c>
      <c r="I70" t="s">
        <v>78</v>
      </c>
      <c r="J70" t="s">
        <v>41</v>
      </c>
      <c r="K70">
        <v>0</v>
      </c>
      <c r="L70">
        <v>0</v>
      </c>
      <c r="M70" t="s">
        <v>30</v>
      </c>
      <c r="O70" t="s">
        <v>109</v>
      </c>
      <c r="R70" t="s">
        <v>68</v>
      </c>
      <c r="S70" t="str">
        <f>VLOOKUP(J70,[2]Teams!A:B,2,FALSE)</f>
        <v>GER</v>
      </c>
      <c r="T70" t="str">
        <f>VLOOKUP(M70,[2]Teams!A:B,2,FALSE)</f>
        <v>POL</v>
      </c>
    </row>
    <row r="71" spans="1:20" x14ac:dyDescent="0.25">
      <c r="A71" t="str">
        <f t="shared" si="1"/>
        <v>UEFAEURO2016-19</v>
      </c>
      <c r="B71">
        <v>19</v>
      </c>
      <c r="C71" s="85">
        <v>42538</v>
      </c>
      <c r="D71" s="86">
        <v>0.875</v>
      </c>
      <c r="E71">
        <v>2016</v>
      </c>
      <c r="F71" t="s">
        <v>107</v>
      </c>
      <c r="G71" t="s">
        <v>66</v>
      </c>
      <c r="H71" t="s">
        <v>67</v>
      </c>
      <c r="I71" t="s">
        <v>81</v>
      </c>
      <c r="J71" t="s">
        <v>3</v>
      </c>
      <c r="K71">
        <v>1</v>
      </c>
      <c r="L71">
        <v>0</v>
      </c>
      <c r="M71" t="s">
        <v>34</v>
      </c>
      <c r="O71" t="s">
        <v>116</v>
      </c>
      <c r="R71" t="s">
        <v>68</v>
      </c>
      <c r="S71" t="str">
        <f>VLOOKUP(J71,[2]Teams!A:B,2,FALSE)</f>
        <v>ITA</v>
      </c>
      <c r="T71" t="str">
        <f>VLOOKUP(M71,[2]Teams!A:B,2,FALSE)</f>
        <v>SWE</v>
      </c>
    </row>
    <row r="72" spans="1:20" x14ac:dyDescent="0.25">
      <c r="A72" t="str">
        <f t="shared" si="1"/>
        <v>UEFAEURO2016-20</v>
      </c>
      <c r="B72">
        <v>20</v>
      </c>
      <c r="C72" s="85">
        <v>42539</v>
      </c>
      <c r="D72" s="86">
        <v>0</v>
      </c>
      <c r="E72">
        <v>2016</v>
      </c>
      <c r="F72" t="s">
        <v>107</v>
      </c>
      <c r="G72" t="s">
        <v>66</v>
      </c>
      <c r="H72" t="s">
        <v>67</v>
      </c>
      <c r="I72" t="s">
        <v>79</v>
      </c>
      <c r="J72" t="s">
        <v>27</v>
      </c>
      <c r="K72">
        <v>2</v>
      </c>
      <c r="L72">
        <v>2</v>
      </c>
      <c r="M72" t="s">
        <v>17</v>
      </c>
      <c r="O72" t="s">
        <v>118</v>
      </c>
      <c r="R72" t="s">
        <v>68</v>
      </c>
      <c r="S72" t="str">
        <f>VLOOKUP(J72,[2]Teams!A:B,2,FALSE)</f>
        <v>CZE</v>
      </c>
      <c r="T72" t="str">
        <f>VLOOKUP(M72,[2]Teams!A:B,2,FALSE)</f>
        <v>CRO</v>
      </c>
    </row>
    <row r="73" spans="1:20" x14ac:dyDescent="0.25">
      <c r="A73" t="str">
        <f t="shared" si="1"/>
        <v>UEFAEURO2016-21</v>
      </c>
      <c r="B73">
        <v>21</v>
      </c>
      <c r="C73" s="85">
        <v>42539</v>
      </c>
      <c r="D73" s="86">
        <v>0.125</v>
      </c>
      <c r="E73">
        <v>2016</v>
      </c>
      <c r="F73" t="s">
        <v>107</v>
      </c>
      <c r="G73" t="s">
        <v>66</v>
      </c>
      <c r="H73" t="s">
        <v>67</v>
      </c>
      <c r="I73" t="s">
        <v>79</v>
      </c>
      <c r="J73" t="s">
        <v>33</v>
      </c>
      <c r="K73">
        <v>3</v>
      </c>
      <c r="L73">
        <v>0</v>
      </c>
      <c r="M73" t="s">
        <v>2</v>
      </c>
      <c r="O73" t="s">
        <v>114</v>
      </c>
      <c r="R73" t="s">
        <v>68</v>
      </c>
      <c r="S73" t="str">
        <f>VLOOKUP(J73,[2]Teams!A:B,2,FALSE)</f>
        <v>ESP</v>
      </c>
      <c r="T73" t="str">
        <f>VLOOKUP(M73,[2]Teams!A:B,2,FALSE)</f>
        <v>TUR</v>
      </c>
    </row>
    <row r="74" spans="1:20" x14ac:dyDescent="0.25">
      <c r="A74" t="str">
        <f t="shared" si="1"/>
        <v>UEFAEURO2016-22</v>
      </c>
      <c r="B74">
        <v>22</v>
      </c>
      <c r="C74" s="85">
        <v>42539</v>
      </c>
      <c r="D74" s="86">
        <v>0.875</v>
      </c>
      <c r="E74">
        <v>2016</v>
      </c>
      <c r="F74" t="s">
        <v>107</v>
      </c>
      <c r="G74" t="s">
        <v>66</v>
      </c>
      <c r="H74" t="s">
        <v>67</v>
      </c>
      <c r="I74" t="s">
        <v>81</v>
      </c>
      <c r="J74" t="s">
        <v>12</v>
      </c>
      <c r="K74">
        <v>3</v>
      </c>
      <c r="L74">
        <v>0</v>
      </c>
      <c r="M74" t="s">
        <v>75</v>
      </c>
      <c r="O74" t="s">
        <v>111</v>
      </c>
      <c r="R74" t="s">
        <v>68</v>
      </c>
      <c r="S74" t="str">
        <f>VLOOKUP(J74,[2]Teams!A:B,2,FALSE)</f>
        <v>BEL</v>
      </c>
      <c r="T74" t="str">
        <f>VLOOKUP(M74,[2]Teams!A:B,2,FALSE)</f>
        <v>IRL</v>
      </c>
    </row>
    <row r="75" spans="1:20" x14ac:dyDescent="0.25">
      <c r="A75" t="str">
        <f t="shared" si="1"/>
        <v>UEFAEURO2016-23</v>
      </c>
      <c r="B75">
        <v>23</v>
      </c>
      <c r="C75" s="85">
        <v>42540</v>
      </c>
      <c r="D75" s="86">
        <v>0</v>
      </c>
      <c r="E75">
        <v>2016</v>
      </c>
      <c r="F75" t="s">
        <v>107</v>
      </c>
      <c r="G75" t="s">
        <v>66</v>
      </c>
      <c r="H75" t="s">
        <v>67</v>
      </c>
      <c r="I75" t="s">
        <v>82</v>
      </c>
      <c r="J75" t="s">
        <v>80</v>
      </c>
      <c r="K75">
        <v>1</v>
      </c>
      <c r="L75">
        <v>1</v>
      </c>
      <c r="M75" t="s">
        <v>37</v>
      </c>
      <c r="O75" t="s">
        <v>112</v>
      </c>
      <c r="R75" t="s">
        <v>68</v>
      </c>
      <c r="S75" t="str">
        <f>VLOOKUP(J75,[2]Teams!A:B,2,FALSE)</f>
        <v>ISL</v>
      </c>
      <c r="T75" t="str">
        <f>VLOOKUP(M75,[2]Teams!A:B,2,FALSE)</f>
        <v>HUN</v>
      </c>
    </row>
    <row r="76" spans="1:20" x14ac:dyDescent="0.25">
      <c r="A76" t="str">
        <f t="shared" si="1"/>
        <v>UEFAEURO2016-24</v>
      </c>
      <c r="B76">
        <v>24</v>
      </c>
      <c r="C76" s="85">
        <v>42540</v>
      </c>
      <c r="D76" s="86">
        <v>0.125</v>
      </c>
      <c r="E76">
        <v>2016</v>
      </c>
      <c r="F76" t="s">
        <v>107</v>
      </c>
      <c r="G76" t="s">
        <v>66</v>
      </c>
      <c r="H76" t="s">
        <v>67</v>
      </c>
      <c r="I76" t="s">
        <v>82</v>
      </c>
      <c r="J76" t="s">
        <v>38</v>
      </c>
      <c r="K76">
        <v>0</v>
      </c>
      <c r="L76">
        <v>0</v>
      </c>
      <c r="M76" t="s">
        <v>20</v>
      </c>
      <c r="O76" t="s">
        <v>113</v>
      </c>
      <c r="R76" t="s">
        <v>68</v>
      </c>
      <c r="S76" t="str">
        <f>VLOOKUP(J76,[2]Teams!A:B,2,FALSE)</f>
        <v>POR</v>
      </c>
      <c r="T76" t="str">
        <f>VLOOKUP(M76,[2]Teams!A:B,2,FALSE)</f>
        <v>AUT</v>
      </c>
    </row>
    <row r="77" spans="1:20" x14ac:dyDescent="0.25">
      <c r="A77" t="str">
        <f t="shared" si="1"/>
        <v>UEFAEURO2016-25</v>
      </c>
      <c r="B77">
        <v>25</v>
      </c>
      <c r="C77" s="85">
        <v>42541</v>
      </c>
      <c r="D77" s="86">
        <v>0.125</v>
      </c>
      <c r="E77">
        <v>2016</v>
      </c>
      <c r="F77" t="s">
        <v>107</v>
      </c>
      <c r="G77" t="s">
        <v>66</v>
      </c>
      <c r="H77" t="s">
        <v>67</v>
      </c>
      <c r="I77" t="s">
        <v>76</v>
      </c>
      <c r="J77" t="s">
        <v>69</v>
      </c>
      <c r="K77">
        <v>0</v>
      </c>
      <c r="L77">
        <v>1</v>
      </c>
      <c r="M77" t="s">
        <v>108</v>
      </c>
      <c r="O77" t="s">
        <v>117</v>
      </c>
      <c r="R77" t="s">
        <v>68</v>
      </c>
      <c r="S77" t="str">
        <f>VLOOKUP(J77,[2]Teams!A:B,2,FALSE)</f>
        <v>ROU</v>
      </c>
      <c r="T77" t="str">
        <f>VLOOKUP(M77,[2]Teams!A:B,2,FALSE)</f>
        <v>ALB</v>
      </c>
    </row>
    <row r="78" spans="1:20" x14ac:dyDescent="0.25">
      <c r="A78" t="str">
        <f t="shared" si="1"/>
        <v>UEFAEURO2016-26</v>
      </c>
      <c r="B78">
        <v>26</v>
      </c>
      <c r="C78" s="85">
        <v>42541</v>
      </c>
      <c r="D78" s="86">
        <v>0.125</v>
      </c>
      <c r="E78">
        <v>2016</v>
      </c>
      <c r="F78" t="s">
        <v>107</v>
      </c>
      <c r="G78" t="s">
        <v>66</v>
      </c>
      <c r="H78" t="s">
        <v>67</v>
      </c>
      <c r="I78" t="s">
        <v>76</v>
      </c>
      <c r="J78" t="s">
        <v>6</v>
      </c>
      <c r="K78">
        <v>0</v>
      </c>
      <c r="L78">
        <v>0</v>
      </c>
      <c r="M78" t="s">
        <v>40</v>
      </c>
      <c r="O78" t="s">
        <v>115</v>
      </c>
      <c r="R78" t="s">
        <v>68</v>
      </c>
      <c r="S78" t="str">
        <f>VLOOKUP(J78,[2]Teams!A:B,2,FALSE)</f>
        <v>SUI</v>
      </c>
      <c r="T78" t="str">
        <f>VLOOKUP(M78,[2]Teams!A:B,2,FALSE)</f>
        <v>FRA</v>
      </c>
    </row>
    <row r="79" spans="1:20" x14ac:dyDescent="0.25">
      <c r="A79" t="str">
        <f t="shared" si="1"/>
        <v>UEFAEURO2016-27</v>
      </c>
      <c r="B79">
        <v>27</v>
      </c>
      <c r="C79" s="85">
        <v>42542</v>
      </c>
      <c r="D79" s="86">
        <v>0.125</v>
      </c>
      <c r="E79">
        <v>2016</v>
      </c>
      <c r="F79" t="s">
        <v>107</v>
      </c>
      <c r="G79" t="s">
        <v>66</v>
      </c>
      <c r="H79" t="s">
        <v>67</v>
      </c>
      <c r="I79" t="s">
        <v>77</v>
      </c>
      <c r="J79" t="s">
        <v>13</v>
      </c>
      <c r="K79">
        <v>0</v>
      </c>
      <c r="L79">
        <v>3</v>
      </c>
      <c r="M79" t="s">
        <v>5</v>
      </c>
      <c r="O79" t="s">
        <v>116</v>
      </c>
      <c r="R79" t="s">
        <v>68</v>
      </c>
      <c r="S79" t="str">
        <f>VLOOKUP(J79,[2]Teams!A:B,2,FALSE)</f>
        <v>RUS</v>
      </c>
      <c r="T79" t="str">
        <f>VLOOKUP(M79,[2]Teams!A:B,2,FALSE)</f>
        <v>WAL</v>
      </c>
    </row>
    <row r="80" spans="1:20" x14ac:dyDescent="0.25">
      <c r="A80" t="str">
        <f t="shared" si="1"/>
        <v>UEFAEURO2016-28</v>
      </c>
      <c r="B80">
        <v>28</v>
      </c>
      <c r="C80" s="85">
        <v>42542</v>
      </c>
      <c r="D80" s="86">
        <v>0.125</v>
      </c>
      <c r="E80">
        <v>2016</v>
      </c>
      <c r="F80" t="s">
        <v>107</v>
      </c>
      <c r="G80" t="s">
        <v>66</v>
      </c>
      <c r="H80" t="s">
        <v>67</v>
      </c>
      <c r="I80" t="s">
        <v>77</v>
      </c>
      <c r="J80" t="s">
        <v>31</v>
      </c>
      <c r="K80">
        <v>0</v>
      </c>
      <c r="L80">
        <v>0</v>
      </c>
      <c r="M80" t="s">
        <v>16</v>
      </c>
      <c r="O80" t="s">
        <v>118</v>
      </c>
      <c r="R80" t="s">
        <v>68</v>
      </c>
      <c r="S80" t="str">
        <f>VLOOKUP(J80,[2]Teams!A:B,2,FALSE)</f>
        <v>SVK</v>
      </c>
      <c r="T80" t="str">
        <f>VLOOKUP(M80,[2]Teams!A:B,2,FALSE)</f>
        <v>ENG</v>
      </c>
    </row>
    <row r="81" spans="1:20" x14ac:dyDescent="0.25">
      <c r="A81" t="str">
        <f t="shared" si="1"/>
        <v>UEFAEURO2016-29</v>
      </c>
      <c r="B81">
        <v>29</v>
      </c>
      <c r="C81" s="85">
        <v>42543</v>
      </c>
      <c r="D81" s="86">
        <v>0</v>
      </c>
      <c r="E81">
        <v>2016</v>
      </c>
      <c r="F81" t="s">
        <v>107</v>
      </c>
      <c r="G81" t="s">
        <v>66</v>
      </c>
      <c r="H81" t="s">
        <v>67</v>
      </c>
      <c r="I81" t="s">
        <v>78</v>
      </c>
      <c r="J81" t="s">
        <v>24</v>
      </c>
      <c r="K81">
        <v>0</v>
      </c>
      <c r="L81">
        <v>1</v>
      </c>
      <c r="M81" t="s">
        <v>30</v>
      </c>
      <c r="O81" t="s">
        <v>112</v>
      </c>
      <c r="R81" t="s">
        <v>68</v>
      </c>
      <c r="S81" t="str">
        <f>VLOOKUP(J81,[2]Teams!A:B,2,FALSE)</f>
        <v>UKR</v>
      </c>
      <c r="T81" t="str">
        <f>VLOOKUP(M81,[2]Teams!A:B,2,FALSE)</f>
        <v>POL</v>
      </c>
    </row>
    <row r="82" spans="1:20" x14ac:dyDescent="0.25">
      <c r="A82" t="str">
        <f t="shared" si="1"/>
        <v>UEFAEURO2016-30</v>
      </c>
      <c r="B82">
        <v>30</v>
      </c>
      <c r="C82" s="85">
        <v>42543</v>
      </c>
      <c r="D82" s="86">
        <v>0</v>
      </c>
      <c r="E82">
        <v>2016</v>
      </c>
      <c r="F82" t="s">
        <v>107</v>
      </c>
      <c r="G82" t="s">
        <v>66</v>
      </c>
      <c r="H82" t="s">
        <v>67</v>
      </c>
      <c r="I82" t="s">
        <v>78</v>
      </c>
      <c r="J82" t="s">
        <v>73</v>
      </c>
      <c r="K82">
        <v>0</v>
      </c>
      <c r="L82">
        <v>1</v>
      </c>
      <c r="M82" t="s">
        <v>41</v>
      </c>
      <c r="O82" t="s">
        <v>113</v>
      </c>
      <c r="R82" t="s">
        <v>68</v>
      </c>
      <c r="S82" t="str">
        <f>VLOOKUP(J82,[2]Teams!A:B,2,FALSE)</f>
        <v>NIR</v>
      </c>
      <c r="T82" t="str">
        <f>VLOOKUP(M82,[2]Teams!A:B,2,FALSE)</f>
        <v>GER</v>
      </c>
    </row>
    <row r="83" spans="1:20" x14ac:dyDescent="0.25">
      <c r="A83" t="str">
        <f t="shared" si="1"/>
        <v>UEFAEURO2016-31</v>
      </c>
      <c r="B83">
        <v>31</v>
      </c>
      <c r="C83" s="85">
        <v>42543</v>
      </c>
      <c r="D83" s="86">
        <v>0.125</v>
      </c>
      <c r="E83">
        <v>2016</v>
      </c>
      <c r="F83" t="s">
        <v>107</v>
      </c>
      <c r="G83" t="s">
        <v>66</v>
      </c>
      <c r="H83" t="s">
        <v>67</v>
      </c>
      <c r="I83" t="s">
        <v>79</v>
      </c>
      <c r="J83" t="s">
        <v>27</v>
      </c>
      <c r="K83">
        <v>0</v>
      </c>
      <c r="L83">
        <v>2</v>
      </c>
      <c r="M83" t="s">
        <v>2</v>
      </c>
      <c r="O83" t="s">
        <v>110</v>
      </c>
      <c r="R83" t="s">
        <v>68</v>
      </c>
      <c r="S83" t="str">
        <f>VLOOKUP(J83,[2]Teams!A:B,2,FALSE)</f>
        <v>CZE</v>
      </c>
      <c r="T83" t="str">
        <f>VLOOKUP(M83,[2]Teams!A:B,2,FALSE)</f>
        <v>TUR</v>
      </c>
    </row>
    <row r="84" spans="1:20" x14ac:dyDescent="0.25">
      <c r="A84" t="str">
        <f t="shared" si="1"/>
        <v>UEFAEURO2016-32</v>
      </c>
      <c r="B84">
        <v>32</v>
      </c>
      <c r="C84" s="85">
        <v>42543</v>
      </c>
      <c r="D84" s="86">
        <v>0.125</v>
      </c>
      <c r="E84">
        <v>2016</v>
      </c>
      <c r="F84" t="s">
        <v>107</v>
      </c>
      <c r="G84" t="s">
        <v>66</v>
      </c>
      <c r="H84" t="s">
        <v>67</v>
      </c>
      <c r="I84" t="s">
        <v>79</v>
      </c>
      <c r="J84" t="s">
        <v>17</v>
      </c>
      <c r="K84">
        <v>2</v>
      </c>
      <c r="L84">
        <v>1</v>
      </c>
      <c r="M84" t="s">
        <v>33</v>
      </c>
      <c r="O84" t="s">
        <v>111</v>
      </c>
      <c r="R84" t="s">
        <v>68</v>
      </c>
      <c r="S84" t="str">
        <f>VLOOKUP(J84,[2]Teams!A:B,2,FALSE)</f>
        <v>CRO</v>
      </c>
      <c r="T84" t="str">
        <f>VLOOKUP(M84,[2]Teams!A:B,2,FALSE)</f>
        <v>ESP</v>
      </c>
    </row>
    <row r="85" spans="1:20" x14ac:dyDescent="0.25">
      <c r="A85" t="str">
        <f t="shared" si="1"/>
        <v>UEFAEURO2016-33</v>
      </c>
      <c r="B85">
        <v>33</v>
      </c>
      <c r="C85" s="85">
        <v>42544</v>
      </c>
      <c r="D85" s="86">
        <v>0</v>
      </c>
      <c r="E85">
        <v>2016</v>
      </c>
      <c r="F85" t="s">
        <v>107</v>
      </c>
      <c r="G85" t="s">
        <v>66</v>
      </c>
      <c r="H85" t="s">
        <v>67</v>
      </c>
      <c r="I85" t="s">
        <v>82</v>
      </c>
      <c r="J85" t="s">
        <v>80</v>
      </c>
      <c r="K85">
        <v>2</v>
      </c>
      <c r="L85">
        <v>1</v>
      </c>
      <c r="M85" t="s">
        <v>20</v>
      </c>
      <c r="O85" t="s">
        <v>109</v>
      </c>
      <c r="R85" t="s">
        <v>68</v>
      </c>
      <c r="S85" t="str">
        <f>VLOOKUP(J85,[2]Teams!A:B,2,FALSE)</f>
        <v>ISL</v>
      </c>
      <c r="T85" t="str">
        <f>VLOOKUP(M85,[2]Teams!A:B,2,FALSE)</f>
        <v>AUT</v>
      </c>
    </row>
    <row r="86" spans="1:20" x14ac:dyDescent="0.25">
      <c r="A86" t="str">
        <f t="shared" si="1"/>
        <v>UEFAEURO2016-34</v>
      </c>
      <c r="B86">
        <v>34</v>
      </c>
      <c r="C86" s="85">
        <v>42544</v>
      </c>
      <c r="D86" s="86">
        <v>0</v>
      </c>
      <c r="E86">
        <v>2016</v>
      </c>
      <c r="F86" t="s">
        <v>107</v>
      </c>
      <c r="G86" t="s">
        <v>66</v>
      </c>
      <c r="H86" t="s">
        <v>67</v>
      </c>
      <c r="I86" t="s">
        <v>82</v>
      </c>
      <c r="J86" t="s">
        <v>37</v>
      </c>
      <c r="K86">
        <v>3</v>
      </c>
      <c r="L86">
        <v>3</v>
      </c>
      <c r="M86" t="s">
        <v>38</v>
      </c>
      <c r="O86" t="s">
        <v>117</v>
      </c>
      <c r="R86" t="s">
        <v>68</v>
      </c>
      <c r="S86" t="str">
        <f>VLOOKUP(J86,[2]Teams!A:B,2,FALSE)</f>
        <v>HUN</v>
      </c>
      <c r="T86" t="str">
        <f>VLOOKUP(M86,[2]Teams!A:B,2,FALSE)</f>
        <v>POR</v>
      </c>
    </row>
    <row r="87" spans="1:20" x14ac:dyDescent="0.25">
      <c r="A87" t="str">
        <f t="shared" si="1"/>
        <v>UEFAEURO2016-35</v>
      </c>
      <c r="B87">
        <v>35</v>
      </c>
      <c r="C87" s="85">
        <v>42544</v>
      </c>
      <c r="D87" s="86">
        <v>0.125</v>
      </c>
      <c r="E87">
        <v>2016</v>
      </c>
      <c r="F87" t="s">
        <v>107</v>
      </c>
      <c r="G87" t="s">
        <v>66</v>
      </c>
      <c r="H87" t="s">
        <v>67</v>
      </c>
      <c r="I87" t="s">
        <v>81</v>
      </c>
      <c r="J87" t="s">
        <v>3</v>
      </c>
      <c r="K87">
        <v>0</v>
      </c>
      <c r="L87">
        <v>1</v>
      </c>
      <c r="M87" t="s">
        <v>75</v>
      </c>
      <c r="O87" t="s">
        <v>115</v>
      </c>
      <c r="R87" t="s">
        <v>68</v>
      </c>
      <c r="S87" t="str">
        <f>VLOOKUP(J87,[2]Teams!A:B,2,FALSE)</f>
        <v>ITA</v>
      </c>
      <c r="T87" t="str">
        <f>VLOOKUP(M87,[2]Teams!A:B,2,FALSE)</f>
        <v>IRL</v>
      </c>
    </row>
    <row r="88" spans="1:20" x14ac:dyDescent="0.25">
      <c r="A88" t="str">
        <f t="shared" si="1"/>
        <v>UEFAEURO2016-36</v>
      </c>
      <c r="B88">
        <v>36</v>
      </c>
      <c r="C88" s="85">
        <v>42544</v>
      </c>
      <c r="D88" s="86">
        <v>0.125</v>
      </c>
      <c r="E88">
        <v>2016</v>
      </c>
      <c r="F88" t="s">
        <v>107</v>
      </c>
      <c r="G88" t="s">
        <v>66</v>
      </c>
      <c r="H88" t="s">
        <v>67</v>
      </c>
      <c r="I88" t="s">
        <v>81</v>
      </c>
      <c r="J88" t="s">
        <v>34</v>
      </c>
      <c r="K88">
        <v>0</v>
      </c>
      <c r="L88">
        <v>1</v>
      </c>
      <c r="M88" t="s">
        <v>12</v>
      </c>
      <c r="O88" t="s">
        <v>114</v>
      </c>
      <c r="R88" t="s">
        <v>68</v>
      </c>
      <c r="S88" t="str">
        <f>VLOOKUP(J88,[2]Teams!A:B,2,FALSE)</f>
        <v>SWE</v>
      </c>
      <c r="T88" t="str">
        <f>VLOOKUP(M88,[2]Teams!A:B,2,FALSE)</f>
        <v>BEL</v>
      </c>
    </row>
    <row r="89" spans="1:20" x14ac:dyDescent="0.25">
      <c r="A89" t="str">
        <f>F89&amp;"-"&amp;B89</f>
        <v>UEFAEURO2016-37</v>
      </c>
      <c r="B89">
        <v>37</v>
      </c>
      <c r="C89" s="85">
        <v>42546</v>
      </c>
      <c r="D89" s="86">
        <v>0.875</v>
      </c>
      <c r="E89">
        <v>2016</v>
      </c>
      <c r="F89" t="s">
        <v>107</v>
      </c>
      <c r="G89" t="s">
        <v>66</v>
      </c>
      <c r="H89" t="s">
        <v>70</v>
      </c>
      <c r="I89" t="s">
        <v>74</v>
      </c>
      <c r="J89" t="s">
        <v>6</v>
      </c>
      <c r="K89">
        <v>1</v>
      </c>
      <c r="L89">
        <v>1</v>
      </c>
      <c r="M89" t="s">
        <v>30</v>
      </c>
      <c r="N89" t="s">
        <v>125</v>
      </c>
      <c r="O89" t="s">
        <v>127</v>
      </c>
      <c r="R89" t="s">
        <v>68</v>
      </c>
      <c r="S89" t="str">
        <f>VLOOKUP(J89,[2]Teams!A:B,2,FALSE)</f>
        <v>SUI</v>
      </c>
      <c r="T89" t="str">
        <f>VLOOKUP(M89,[2]Teams!A:B,2,FALSE)</f>
        <v>POL</v>
      </c>
    </row>
    <row r="90" spans="1:20" x14ac:dyDescent="0.25">
      <c r="A90" t="str">
        <f t="shared" si="1"/>
        <v>UEFAEURO2016-38</v>
      </c>
      <c r="B90">
        <v>38</v>
      </c>
      <c r="C90" s="85">
        <v>42547</v>
      </c>
      <c r="D90" s="86">
        <v>0</v>
      </c>
      <c r="E90">
        <v>2016</v>
      </c>
      <c r="F90" t="s">
        <v>107</v>
      </c>
      <c r="G90" t="s">
        <v>66</v>
      </c>
      <c r="H90" t="s">
        <v>70</v>
      </c>
      <c r="I90" t="s">
        <v>74</v>
      </c>
      <c r="J90" t="s">
        <v>5</v>
      </c>
      <c r="K90">
        <v>1</v>
      </c>
      <c r="L90">
        <v>0</v>
      </c>
      <c r="M90" t="s">
        <v>73</v>
      </c>
      <c r="O90" t="s">
        <v>129</v>
      </c>
      <c r="R90" t="s">
        <v>68</v>
      </c>
      <c r="S90" t="str">
        <f>VLOOKUP(J90,[2]Teams!A:B,2,FALSE)</f>
        <v>WAL</v>
      </c>
      <c r="T90" t="str">
        <f>VLOOKUP(M90,[2]Teams!A:B,2,FALSE)</f>
        <v>NIR</v>
      </c>
    </row>
    <row r="91" spans="1:20" x14ac:dyDescent="0.25">
      <c r="A91" t="str">
        <f t="shared" si="1"/>
        <v>UEFAEURO2016-39</v>
      </c>
      <c r="B91">
        <v>39</v>
      </c>
      <c r="C91" s="85">
        <v>42547</v>
      </c>
      <c r="D91" s="86">
        <v>0.125</v>
      </c>
      <c r="E91">
        <v>2016</v>
      </c>
      <c r="F91" t="s">
        <v>107</v>
      </c>
      <c r="G91" t="s">
        <v>66</v>
      </c>
      <c r="H91" t="s">
        <v>70</v>
      </c>
      <c r="I91" t="s">
        <v>74</v>
      </c>
      <c r="J91" t="s">
        <v>17</v>
      </c>
      <c r="K91">
        <v>0</v>
      </c>
      <c r="L91">
        <v>1</v>
      </c>
      <c r="M91" t="s">
        <v>38</v>
      </c>
      <c r="N91" t="s">
        <v>126</v>
      </c>
      <c r="O91" t="s">
        <v>128</v>
      </c>
      <c r="R91" t="s">
        <v>68</v>
      </c>
      <c r="S91" t="str">
        <f>VLOOKUP(J91,[2]Teams!A:B,2,FALSE)</f>
        <v>CRO</v>
      </c>
      <c r="T91" t="str">
        <f>VLOOKUP(M91,[2]Teams!A:B,2,FALSE)</f>
        <v>POR</v>
      </c>
    </row>
    <row r="92" spans="1:20" x14ac:dyDescent="0.25">
      <c r="A92" t="str">
        <f t="shared" si="1"/>
        <v>UEFAEURO2016-40</v>
      </c>
      <c r="B92">
        <v>40</v>
      </c>
      <c r="C92" s="85">
        <v>42547</v>
      </c>
      <c r="D92" s="86">
        <v>0.875</v>
      </c>
      <c r="E92">
        <v>2016</v>
      </c>
      <c r="F92" t="s">
        <v>107</v>
      </c>
      <c r="G92" t="s">
        <v>66</v>
      </c>
      <c r="H92" t="s">
        <v>70</v>
      </c>
      <c r="I92" t="s">
        <v>74</v>
      </c>
      <c r="J92" t="s">
        <v>40</v>
      </c>
      <c r="K92">
        <v>2</v>
      </c>
      <c r="L92">
        <v>1</v>
      </c>
      <c r="M92" t="s">
        <v>75</v>
      </c>
      <c r="O92" t="s">
        <v>131</v>
      </c>
      <c r="R92" t="s">
        <v>68</v>
      </c>
      <c r="S92" t="str">
        <f>VLOOKUP(J92,[2]Teams!A:B,2,FALSE)</f>
        <v>FRA</v>
      </c>
      <c r="T92" t="str">
        <f>VLOOKUP(M92,[2]Teams!A:B,2,FALSE)</f>
        <v>IRL</v>
      </c>
    </row>
    <row r="93" spans="1:20" x14ac:dyDescent="0.25">
      <c r="A93" t="str">
        <f t="shared" si="1"/>
        <v>UEFAEURO2016-41</v>
      </c>
      <c r="B93">
        <v>41</v>
      </c>
      <c r="C93" s="85">
        <v>42548</v>
      </c>
      <c r="D93" s="86">
        <v>0</v>
      </c>
      <c r="E93">
        <v>2016</v>
      </c>
      <c r="F93" t="s">
        <v>107</v>
      </c>
      <c r="G93" t="s">
        <v>66</v>
      </c>
      <c r="H93" t="s">
        <v>70</v>
      </c>
      <c r="I93" t="s">
        <v>74</v>
      </c>
      <c r="J93" t="s">
        <v>41</v>
      </c>
      <c r="K93">
        <v>3</v>
      </c>
      <c r="L93">
        <v>0</v>
      </c>
      <c r="M93" t="s">
        <v>31</v>
      </c>
      <c r="O93" t="s">
        <v>120</v>
      </c>
      <c r="R93" t="s">
        <v>68</v>
      </c>
      <c r="S93" t="str">
        <f>VLOOKUP(J93,[2]Teams!A:B,2,FALSE)</f>
        <v>GER</v>
      </c>
      <c r="T93" t="str">
        <f>VLOOKUP(M93,[2]Teams!A:B,2,FALSE)</f>
        <v>SVK</v>
      </c>
    </row>
    <row r="94" spans="1:20" x14ac:dyDescent="0.25">
      <c r="A94" t="str">
        <f t="shared" si="1"/>
        <v>UEFAEURO2016-42</v>
      </c>
      <c r="B94">
        <v>42</v>
      </c>
      <c r="C94" s="85">
        <v>42548</v>
      </c>
      <c r="D94" s="86">
        <v>0.125</v>
      </c>
      <c r="E94">
        <v>2016</v>
      </c>
      <c r="F94" t="s">
        <v>107</v>
      </c>
      <c r="G94" t="s">
        <v>66</v>
      </c>
      <c r="H94" t="s">
        <v>70</v>
      </c>
      <c r="I94" t="s">
        <v>74</v>
      </c>
      <c r="J94" t="s">
        <v>37</v>
      </c>
      <c r="K94">
        <v>0</v>
      </c>
      <c r="L94">
        <v>4</v>
      </c>
      <c r="M94" t="s">
        <v>12</v>
      </c>
      <c r="O94" t="s">
        <v>130</v>
      </c>
      <c r="R94" t="s">
        <v>68</v>
      </c>
      <c r="S94" t="str">
        <f>VLOOKUP(J94,[2]Teams!A:B,2,FALSE)</f>
        <v>HUN</v>
      </c>
      <c r="T94" t="str">
        <f>VLOOKUP(M94,[2]Teams!A:B,2,FALSE)</f>
        <v>BEL</v>
      </c>
    </row>
    <row r="95" spans="1:20" x14ac:dyDescent="0.25">
      <c r="A95" t="str">
        <f t="shared" si="1"/>
        <v>UEFAEURO2016-43</v>
      </c>
      <c r="B95">
        <v>43</v>
      </c>
      <c r="C95" s="85">
        <v>42549</v>
      </c>
      <c r="D95" s="86">
        <v>0</v>
      </c>
      <c r="E95">
        <v>2016</v>
      </c>
      <c r="F95" t="s">
        <v>107</v>
      </c>
      <c r="G95" t="s">
        <v>66</v>
      </c>
      <c r="H95" t="s">
        <v>70</v>
      </c>
      <c r="I95" t="s">
        <v>74</v>
      </c>
      <c r="J95" t="s">
        <v>3</v>
      </c>
      <c r="K95">
        <v>2</v>
      </c>
      <c r="L95">
        <v>0</v>
      </c>
      <c r="M95" t="s">
        <v>33</v>
      </c>
      <c r="O95" t="s">
        <v>124</v>
      </c>
      <c r="R95" t="s">
        <v>68</v>
      </c>
      <c r="S95" t="str">
        <f>VLOOKUP(J95,[2]Teams!A:B,2,FALSE)</f>
        <v>ITA</v>
      </c>
      <c r="T95" t="str">
        <f>VLOOKUP(M95,[2]Teams!A:B,2,FALSE)</f>
        <v>ESP</v>
      </c>
    </row>
    <row r="96" spans="1:20" x14ac:dyDescent="0.25">
      <c r="A96" t="str">
        <f t="shared" si="1"/>
        <v>UEFAEURO2016-44</v>
      </c>
      <c r="B96">
        <v>44</v>
      </c>
      <c r="C96" s="85">
        <v>42549</v>
      </c>
      <c r="D96" s="86">
        <v>0.125</v>
      </c>
      <c r="E96">
        <v>2016</v>
      </c>
      <c r="F96" t="s">
        <v>107</v>
      </c>
      <c r="G96" t="s">
        <v>66</v>
      </c>
      <c r="H96" t="s">
        <v>70</v>
      </c>
      <c r="I96" t="s">
        <v>74</v>
      </c>
      <c r="J96" t="s">
        <v>16</v>
      </c>
      <c r="K96">
        <v>1</v>
      </c>
      <c r="L96">
        <v>2</v>
      </c>
      <c r="M96" t="s">
        <v>80</v>
      </c>
      <c r="O96" t="s">
        <v>132</v>
      </c>
      <c r="R96" t="s">
        <v>68</v>
      </c>
      <c r="S96" t="str">
        <f>VLOOKUP(J96,[2]Teams!A:B,2,FALSE)</f>
        <v>ENG</v>
      </c>
      <c r="T96" t="str">
        <f>VLOOKUP(M96,[2]Teams!A:B,2,FALSE)</f>
        <v>ISL</v>
      </c>
    </row>
    <row r="97" spans="1:20" x14ac:dyDescent="0.25">
      <c r="A97" t="str">
        <f t="shared" si="1"/>
        <v>UEFAEURO2016-45</v>
      </c>
      <c r="B97">
        <v>45</v>
      </c>
      <c r="C97" s="85">
        <v>42551</v>
      </c>
      <c r="D97" s="86">
        <v>0.125</v>
      </c>
      <c r="E97">
        <v>2016</v>
      </c>
      <c r="F97" t="s">
        <v>107</v>
      </c>
      <c r="G97" t="s">
        <v>66</v>
      </c>
      <c r="H97" t="s">
        <v>70</v>
      </c>
      <c r="I97" t="s">
        <v>72</v>
      </c>
      <c r="J97" t="s">
        <v>30</v>
      </c>
      <c r="K97">
        <v>1</v>
      </c>
      <c r="L97">
        <v>1</v>
      </c>
      <c r="M97" t="s">
        <v>38</v>
      </c>
      <c r="N97" t="s">
        <v>122</v>
      </c>
      <c r="O97" t="s">
        <v>119</v>
      </c>
      <c r="R97" t="s">
        <v>68</v>
      </c>
      <c r="S97" t="str">
        <f>VLOOKUP(J97,[2]Teams!A:B,2,FALSE)</f>
        <v>POL</v>
      </c>
      <c r="T97" t="str">
        <f>VLOOKUP(M97,[2]Teams!A:B,2,FALSE)</f>
        <v>POR</v>
      </c>
    </row>
    <row r="98" spans="1:20" x14ac:dyDescent="0.25">
      <c r="A98" t="str">
        <f t="shared" si="1"/>
        <v>UEFAEURO2016-46</v>
      </c>
      <c r="B98">
        <v>46</v>
      </c>
      <c r="C98" s="85">
        <v>42552</v>
      </c>
      <c r="D98" s="86">
        <v>0.125</v>
      </c>
      <c r="E98">
        <v>2016</v>
      </c>
      <c r="F98" t="s">
        <v>107</v>
      </c>
      <c r="G98" t="s">
        <v>66</v>
      </c>
      <c r="H98" t="s">
        <v>70</v>
      </c>
      <c r="I98" t="s">
        <v>72</v>
      </c>
      <c r="J98" t="s">
        <v>5</v>
      </c>
      <c r="K98">
        <v>3</v>
      </c>
      <c r="L98">
        <v>1</v>
      </c>
      <c r="M98" t="s">
        <v>12</v>
      </c>
      <c r="O98" t="s">
        <v>120</v>
      </c>
      <c r="R98" t="s">
        <v>68</v>
      </c>
      <c r="S98" t="str">
        <f>VLOOKUP(J98,[2]Teams!A:B,2,FALSE)</f>
        <v>WAL</v>
      </c>
      <c r="T98" t="str">
        <f>VLOOKUP(M98,[2]Teams!A:B,2,FALSE)</f>
        <v>BEL</v>
      </c>
    </row>
    <row r="99" spans="1:20" x14ac:dyDescent="0.25">
      <c r="A99" t="str">
        <f t="shared" si="1"/>
        <v>UEFAEURO2016-47</v>
      </c>
      <c r="B99">
        <v>47</v>
      </c>
      <c r="C99" s="85">
        <v>42553</v>
      </c>
      <c r="D99" s="86">
        <v>0.125</v>
      </c>
      <c r="E99">
        <v>2016</v>
      </c>
      <c r="F99" t="s">
        <v>107</v>
      </c>
      <c r="G99" t="s">
        <v>66</v>
      </c>
      <c r="H99" t="s">
        <v>70</v>
      </c>
      <c r="I99" t="s">
        <v>72</v>
      </c>
      <c r="J99" t="s">
        <v>41</v>
      </c>
      <c r="K99">
        <v>1</v>
      </c>
      <c r="L99">
        <v>1</v>
      </c>
      <c r="M99" t="s">
        <v>3</v>
      </c>
      <c r="N99" t="s">
        <v>121</v>
      </c>
      <c r="O99" t="s">
        <v>123</v>
      </c>
      <c r="R99" t="s">
        <v>68</v>
      </c>
      <c r="S99" t="str">
        <f>VLOOKUP(J99,[2]Teams!A:B,2,FALSE)</f>
        <v>GER</v>
      </c>
      <c r="T99" t="str">
        <f>VLOOKUP(M99,[2]Teams!A:B,2,FALSE)</f>
        <v>ITA</v>
      </c>
    </row>
    <row r="100" spans="1:20" x14ac:dyDescent="0.25">
      <c r="A100" t="str">
        <f t="shared" si="1"/>
        <v>UEFAEURO2016-48</v>
      </c>
      <c r="B100">
        <v>48</v>
      </c>
      <c r="C100" s="85">
        <v>42554</v>
      </c>
      <c r="D100" s="86">
        <v>0.125</v>
      </c>
      <c r="E100">
        <v>2016</v>
      </c>
      <c r="F100" t="s">
        <v>107</v>
      </c>
      <c r="G100" t="s">
        <v>66</v>
      </c>
      <c r="H100" t="s">
        <v>70</v>
      </c>
      <c r="I100" t="s">
        <v>72</v>
      </c>
      <c r="J100" t="s">
        <v>40</v>
      </c>
      <c r="K100">
        <v>5</v>
      </c>
      <c r="L100">
        <v>2</v>
      </c>
      <c r="M100" t="s">
        <v>80</v>
      </c>
      <c r="O100" t="s">
        <v>124</v>
      </c>
      <c r="R100" t="s">
        <v>68</v>
      </c>
      <c r="S100" t="str">
        <f>VLOOKUP(J100,[2]Teams!A:B,2,FALSE)</f>
        <v>FRA</v>
      </c>
      <c r="T100" t="str">
        <f>VLOOKUP(M100,[2]Teams!A:B,2,FALSE)</f>
        <v>ISL</v>
      </c>
    </row>
    <row r="101" spans="1:20" x14ac:dyDescent="0.25">
      <c r="A101" t="str">
        <f t="shared" si="1"/>
        <v>UEFAEURO2016-49</v>
      </c>
      <c r="B101">
        <v>49</v>
      </c>
      <c r="C101" s="85">
        <v>42558</v>
      </c>
      <c r="D101" s="86">
        <v>0.125</v>
      </c>
      <c r="E101">
        <v>2016</v>
      </c>
      <c r="F101" t="s">
        <v>107</v>
      </c>
      <c r="G101" t="s">
        <v>66</v>
      </c>
      <c r="H101" t="s">
        <v>70</v>
      </c>
      <c r="I101" t="s">
        <v>71</v>
      </c>
      <c r="J101" t="s">
        <v>38</v>
      </c>
      <c r="K101">
        <v>2</v>
      </c>
      <c r="L101">
        <v>0</v>
      </c>
      <c r="M101" t="s">
        <v>5</v>
      </c>
      <c r="O101" t="s">
        <v>131</v>
      </c>
      <c r="R101" t="s">
        <v>68</v>
      </c>
      <c r="S101" t="str">
        <f>VLOOKUP(J101,[2]Teams!A:B,2,FALSE)</f>
        <v>POR</v>
      </c>
      <c r="T101" t="str">
        <f>VLOOKUP(M101,[2]Teams!A:B,2,FALSE)</f>
        <v>WAL</v>
      </c>
    </row>
    <row r="102" spans="1:20" x14ac:dyDescent="0.25">
      <c r="A102" t="str">
        <f t="shared" si="1"/>
        <v>UEFAEURO2016-50</v>
      </c>
      <c r="B102">
        <v>50</v>
      </c>
      <c r="C102" s="85">
        <v>42559</v>
      </c>
      <c r="D102" s="86">
        <v>0.125</v>
      </c>
      <c r="E102">
        <v>2016</v>
      </c>
      <c r="F102" t="s">
        <v>107</v>
      </c>
      <c r="G102" t="s">
        <v>66</v>
      </c>
      <c r="H102" t="s">
        <v>70</v>
      </c>
      <c r="I102" t="s">
        <v>71</v>
      </c>
      <c r="J102" t="s">
        <v>41</v>
      </c>
      <c r="K102">
        <v>0</v>
      </c>
      <c r="L102">
        <v>2</v>
      </c>
      <c r="M102" t="s">
        <v>40</v>
      </c>
      <c r="O102" t="s">
        <v>119</v>
      </c>
      <c r="R102" t="s">
        <v>68</v>
      </c>
      <c r="S102" t="str">
        <f>VLOOKUP(J102,[2]Teams!A:B,2,FALSE)</f>
        <v>GER</v>
      </c>
      <c r="T102" t="str">
        <f>VLOOKUP(M102,[2]Teams!A:B,2,FALSE)</f>
        <v>FRA</v>
      </c>
    </row>
    <row r="103" spans="1:20" x14ac:dyDescent="0.25">
      <c r="A103" t="str">
        <f t="shared" si="1"/>
        <v>UEFAEURO2016-51</v>
      </c>
      <c r="B103">
        <v>51</v>
      </c>
      <c r="C103" s="85">
        <v>42562</v>
      </c>
      <c r="D103" s="86">
        <v>0.125</v>
      </c>
      <c r="E103">
        <v>2016</v>
      </c>
      <c r="F103" t="s">
        <v>107</v>
      </c>
      <c r="G103" t="s">
        <v>66</v>
      </c>
      <c r="H103" t="s">
        <v>70</v>
      </c>
      <c r="I103" t="s">
        <v>48</v>
      </c>
      <c r="J103" t="s">
        <v>38</v>
      </c>
      <c r="K103">
        <v>1</v>
      </c>
      <c r="L103">
        <v>0</v>
      </c>
      <c r="M103" t="s">
        <v>40</v>
      </c>
      <c r="O103" t="s">
        <v>124</v>
      </c>
      <c r="R103" t="s">
        <v>68</v>
      </c>
      <c r="S103" t="str">
        <f>VLOOKUP(J103,[2]Teams!A:B,2,FALSE)</f>
        <v>POR</v>
      </c>
      <c r="T103" t="str">
        <f>VLOOKUP(M103,[2]Teams!A:B,2,FALSE)</f>
        <v>FRA</v>
      </c>
    </row>
    <row r="104" spans="1:20" x14ac:dyDescent="0.25">
      <c r="A104" t="str">
        <f t="shared" si="1"/>
        <v>UEFAEURO2012-1</v>
      </c>
      <c r="B104">
        <v>1</v>
      </c>
      <c r="C104" s="85">
        <v>41069</v>
      </c>
      <c r="D104" s="106" t="s">
        <v>133</v>
      </c>
      <c r="E104">
        <v>2012</v>
      </c>
      <c r="F104" t="s">
        <v>135</v>
      </c>
      <c r="G104" t="s">
        <v>66</v>
      </c>
      <c r="H104" t="s">
        <v>67</v>
      </c>
      <c r="I104" t="s">
        <v>76</v>
      </c>
      <c r="J104" t="s">
        <v>30</v>
      </c>
      <c r="K104">
        <v>1</v>
      </c>
      <c r="L104">
        <v>1</v>
      </c>
      <c r="M104" t="s">
        <v>136</v>
      </c>
      <c r="O104" t="s">
        <v>137</v>
      </c>
      <c r="R104" t="s">
        <v>68</v>
      </c>
      <c r="S104" t="str">
        <f>VLOOKUP(J104,[2]Teams!A:B,2,FALSE)</f>
        <v>POL</v>
      </c>
      <c r="T104" t="str">
        <f>VLOOKUP(M104,[2]Teams!A:B,2,FALSE)</f>
        <v>GRE</v>
      </c>
    </row>
    <row r="105" spans="1:20" x14ac:dyDescent="0.25">
      <c r="A105" t="str">
        <f t="shared" si="1"/>
        <v>UEFAEURO2012-2</v>
      </c>
      <c r="B105">
        <v>2</v>
      </c>
      <c r="C105" s="85">
        <v>41069</v>
      </c>
      <c r="D105" s="106" t="s">
        <v>134</v>
      </c>
      <c r="E105">
        <v>2012</v>
      </c>
      <c r="F105" t="s">
        <v>135</v>
      </c>
      <c r="G105" t="s">
        <v>66</v>
      </c>
      <c r="H105" t="s">
        <v>67</v>
      </c>
      <c r="I105" t="s">
        <v>76</v>
      </c>
      <c r="J105" t="s">
        <v>13</v>
      </c>
      <c r="K105">
        <v>4</v>
      </c>
      <c r="L105">
        <v>1</v>
      </c>
      <c r="M105" t="s">
        <v>27</v>
      </c>
      <c r="O105" t="s">
        <v>138</v>
      </c>
      <c r="R105" t="s">
        <v>68</v>
      </c>
      <c r="S105" t="str">
        <f>VLOOKUP(J105,[2]Teams!A:B,2,FALSE)</f>
        <v>RUS</v>
      </c>
      <c r="T105" t="str">
        <f>VLOOKUP(M105,[2]Teams!A:B,2,FALSE)</f>
        <v>CZE</v>
      </c>
    </row>
    <row r="106" spans="1:20" x14ac:dyDescent="0.25">
      <c r="A106" t="str">
        <f t="shared" si="1"/>
        <v>UEFAEURO2012-3</v>
      </c>
      <c r="B106">
        <v>3</v>
      </c>
      <c r="C106" s="85">
        <v>41070</v>
      </c>
      <c r="D106" s="106" t="s">
        <v>133</v>
      </c>
      <c r="E106">
        <v>2012</v>
      </c>
      <c r="F106" t="s">
        <v>135</v>
      </c>
      <c r="G106" t="s">
        <v>66</v>
      </c>
      <c r="H106" t="s">
        <v>67</v>
      </c>
      <c r="I106" t="s">
        <v>77</v>
      </c>
      <c r="J106" t="s">
        <v>23</v>
      </c>
      <c r="K106">
        <v>0</v>
      </c>
      <c r="L106">
        <v>1</v>
      </c>
      <c r="M106" t="s">
        <v>9</v>
      </c>
      <c r="O106" t="s">
        <v>139</v>
      </c>
      <c r="R106" t="s">
        <v>68</v>
      </c>
      <c r="S106" t="str">
        <f>VLOOKUP(J106,[2]Teams!A:B,2,FALSE)</f>
        <v>NED</v>
      </c>
      <c r="T106" t="str">
        <f>VLOOKUP(M106,[2]Teams!A:B,2,FALSE)</f>
        <v>DEN</v>
      </c>
    </row>
    <row r="107" spans="1:20" x14ac:dyDescent="0.25">
      <c r="A107" t="str">
        <f t="shared" si="1"/>
        <v>UEFAEURO2012-4</v>
      </c>
      <c r="B107">
        <v>4</v>
      </c>
      <c r="C107" s="85">
        <v>41070</v>
      </c>
      <c r="D107" s="106" t="s">
        <v>134</v>
      </c>
      <c r="E107">
        <v>2012</v>
      </c>
      <c r="F107" t="s">
        <v>135</v>
      </c>
      <c r="G107" t="s">
        <v>66</v>
      </c>
      <c r="H107" t="s">
        <v>67</v>
      </c>
      <c r="I107" t="s">
        <v>77</v>
      </c>
      <c r="J107" t="s">
        <v>41</v>
      </c>
      <c r="K107">
        <v>1</v>
      </c>
      <c r="L107">
        <v>0</v>
      </c>
      <c r="M107" t="s">
        <v>38</v>
      </c>
      <c r="O107" t="s">
        <v>140</v>
      </c>
      <c r="R107" t="s">
        <v>68</v>
      </c>
      <c r="S107" t="str">
        <f>VLOOKUP(J107,[2]Teams!A:B,2,FALSE)</f>
        <v>GER</v>
      </c>
      <c r="T107" t="str">
        <f>VLOOKUP(M107,[2]Teams!A:B,2,FALSE)</f>
        <v>POR</v>
      </c>
    </row>
    <row r="108" spans="1:20" x14ac:dyDescent="0.25">
      <c r="A108" t="str">
        <f t="shared" si="1"/>
        <v>UEFAEURO2012-5</v>
      </c>
      <c r="B108">
        <v>5</v>
      </c>
      <c r="C108" s="85">
        <v>41071</v>
      </c>
      <c r="D108" s="106" t="s">
        <v>133</v>
      </c>
      <c r="E108">
        <v>2012</v>
      </c>
      <c r="F108" t="s">
        <v>135</v>
      </c>
      <c r="G108" t="s">
        <v>66</v>
      </c>
      <c r="H108" t="s">
        <v>67</v>
      </c>
      <c r="I108" t="s">
        <v>78</v>
      </c>
      <c r="J108" t="s">
        <v>33</v>
      </c>
      <c r="K108">
        <v>1</v>
      </c>
      <c r="L108">
        <v>1</v>
      </c>
      <c r="M108" t="s">
        <v>3</v>
      </c>
      <c r="O108" t="s">
        <v>141</v>
      </c>
      <c r="R108" t="s">
        <v>68</v>
      </c>
      <c r="S108" t="str">
        <f>VLOOKUP(J108,[2]Teams!A:B,2,FALSE)</f>
        <v>ESP</v>
      </c>
      <c r="T108" t="str">
        <f>VLOOKUP(M108,[2]Teams!A:B,2,FALSE)</f>
        <v>ITA</v>
      </c>
    </row>
    <row r="109" spans="1:20" x14ac:dyDescent="0.25">
      <c r="A109" t="str">
        <f t="shared" si="1"/>
        <v>UEFAEURO2012-6</v>
      </c>
      <c r="B109">
        <v>6</v>
      </c>
      <c r="C109" s="85">
        <v>41071</v>
      </c>
      <c r="D109" s="106" t="s">
        <v>134</v>
      </c>
      <c r="E109">
        <v>2012</v>
      </c>
      <c r="F109" t="s">
        <v>135</v>
      </c>
      <c r="G109" t="s">
        <v>66</v>
      </c>
      <c r="H109" t="s">
        <v>67</v>
      </c>
      <c r="I109" t="s">
        <v>78</v>
      </c>
      <c r="J109" t="s">
        <v>75</v>
      </c>
      <c r="K109">
        <v>1</v>
      </c>
      <c r="L109">
        <v>3</v>
      </c>
      <c r="M109" t="s">
        <v>17</v>
      </c>
      <c r="O109" t="s">
        <v>142</v>
      </c>
      <c r="R109" t="s">
        <v>68</v>
      </c>
      <c r="S109" t="str">
        <f>VLOOKUP(J109,[2]Teams!A:B,2,FALSE)</f>
        <v>IRL</v>
      </c>
      <c r="T109" t="str">
        <f>VLOOKUP(M109,[2]Teams!A:B,2,FALSE)</f>
        <v>CRO</v>
      </c>
    </row>
    <row r="110" spans="1:20" x14ac:dyDescent="0.25">
      <c r="A110" t="str">
        <f t="shared" si="1"/>
        <v>UEFAEURO2012-7</v>
      </c>
      <c r="B110">
        <v>7</v>
      </c>
      <c r="C110" s="85">
        <v>41072</v>
      </c>
      <c r="D110" s="106" t="s">
        <v>133</v>
      </c>
      <c r="E110">
        <v>2012</v>
      </c>
      <c r="F110" t="s">
        <v>135</v>
      </c>
      <c r="G110" t="s">
        <v>66</v>
      </c>
      <c r="H110" t="s">
        <v>67</v>
      </c>
      <c r="I110" t="s">
        <v>79</v>
      </c>
      <c r="J110" t="s">
        <v>40</v>
      </c>
      <c r="K110">
        <v>1</v>
      </c>
      <c r="L110">
        <v>1</v>
      </c>
      <c r="M110" t="s">
        <v>16</v>
      </c>
      <c r="O110" t="s">
        <v>143</v>
      </c>
      <c r="R110" t="s">
        <v>68</v>
      </c>
      <c r="S110" t="str">
        <f>VLOOKUP(J110,[2]Teams!A:B,2,FALSE)</f>
        <v>FRA</v>
      </c>
      <c r="T110" t="str">
        <f>VLOOKUP(M110,[2]Teams!A:B,2,FALSE)</f>
        <v>ENG</v>
      </c>
    </row>
    <row r="111" spans="1:20" x14ac:dyDescent="0.25">
      <c r="A111" t="str">
        <f t="shared" si="1"/>
        <v>UEFAEURO2012-8</v>
      </c>
      <c r="B111">
        <v>8</v>
      </c>
      <c r="C111" s="85">
        <v>41072</v>
      </c>
      <c r="D111" s="106" t="s">
        <v>134</v>
      </c>
      <c r="E111">
        <v>2012</v>
      </c>
      <c r="F111" t="s">
        <v>135</v>
      </c>
      <c r="G111" t="s">
        <v>66</v>
      </c>
      <c r="H111" t="s">
        <v>67</v>
      </c>
      <c r="I111" t="s">
        <v>79</v>
      </c>
      <c r="J111" t="s">
        <v>24</v>
      </c>
      <c r="K111">
        <v>2</v>
      </c>
      <c r="L111">
        <v>1</v>
      </c>
      <c r="M111" t="s">
        <v>34</v>
      </c>
      <c r="O111" t="s">
        <v>144</v>
      </c>
      <c r="R111" t="s">
        <v>68</v>
      </c>
      <c r="S111" t="str">
        <f>VLOOKUP(J111,[2]Teams!A:B,2,FALSE)</f>
        <v>UKR</v>
      </c>
      <c r="T111" t="str">
        <f>VLOOKUP(M111,[2]Teams!A:B,2,FALSE)</f>
        <v>SWE</v>
      </c>
    </row>
    <row r="112" spans="1:20" x14ac:dyDescent="0.25">
      <c r="A112" t="str">
        <f t="shared" si="1"/>
        <v>UEFAEURO2012-9</v>
      </c>
      <c r="B112">
        <v>9</v>
      </c>
      <c r="C112" s="85">
        <v>41073</v>
      </c>
      <c r="D112" s="106" t="s">
        <v>133</v>
      </c>
      <c r="E112">
        <v>2012</v>
      </c>
      <c r="F112" t="s">
        <v>135</v>
      </c>
      <c r="G112" t="s">
        <v>66</v>
      </c>
      <c r="H112" t="s">
        <v>67</v>
      </c>
      <c r="I112" t="s">
        <v>76</v>
      </c>
      <c r="J112" t="s">
        <v>136</v>
      </c>
      <c r="K112">
        <v>1</v>
      </c>
      <c r="L112">
        <v>2</v>
      </c>
      <c r="M112" t="s">
        <v>27</v>
      </c>
      <c r="O112" t="s">
        <v>138</v>
      </c>
      <c r="R112" t="s">
        <v>68</v>
      </c>
      <c r="S112" t="str">
        <f>VLOOKUP(J112,[2]Teams!A:B,2,FALSE)</f>
        <v>GRE</v>
      </c>
      <c r="T112" t="str">
        <f>VLOOKUP(M112,[2]Teams!A:B,2,FALSE)</f>
        <v>CZE</v>
      </c>
    </row>
    <row r="113" spans="1:20" x14ac:dyDescent="0.25">
      <c r="A113" t="str">
        <f t="shared" si="1"/>
        <v>UEFAEURO2012-10</v>
      </c>
      <c r="B113">
        <v>10</v>
      </c>
      <c r="C113" s="85">
        <v>41073</v>
      </c>
      <c r="D113" s="106" t="s">
        <v>134</v>
      </c>
      <c r="E113">
        <v>2012</v>
      </c>
      <c r="F113" t="s">
        <v>135</v>
      </c>
      <c r="G113" t="s">
        <v>66</v>
      </c>
      <c r="H113" t="s">
        <v>67</v>
      </c>
      <c r="I113" t="s">
        <v>76</v>
      </c>
      <c r="J113" t="s">
        <v>30</v>
      </c>
      <c r="K113">
        <v>1</v>
      </c>
      <c r="L113">
        <v>1</v>
      </c>
      <c r="M113" t="s">
        <v>13</v>
      </c>
      <c r="O113" t="s">
        <v>137</v>
      </c>
      <c r="R113" t="s">
        <v>68</v>
      </c>
      <c r="S113" t="str">
        <f>VLOOKUP(J113,[2]Teams!A:B,2,FALSE)</f>
        <v>POL</v>
      </c>
      <c r="T113" t="str">
        <f>VLOOKUP(M113,[2]Teams!A:B,2,FALSE)</f>
        <v>RUS</v>
      </c>
    </row>
    <row r="114" spans="1:20" x14ac:dyDescent="0.25">
      <c r="A114" t="str">
        <f t="shared" si="1"/>
        <v>UEFAEURO2012-11</v>
      </c>
      <c r="B114">
        <v>11</v>
      </c>
      <c r="C114" s="85">
        <v>41074</v>
      </c>
      <c r="D114" s="106" t="s">
        <v>133</v>
      </c>
      <c r="E114">
        <v>2012</v>
      </c>
      <c r="F114" t="s">
        <v>135</v>
      </c>
      <c r="G114" t="s">
        <v>66</v>
      </c>
      <c r="H114" t="s">
        <v>67</v>
      </c>
      <c r="I114" t="s">
        <v>77</v>
      </c>
      <c r="J114" t="s">
        <v>9</v>
      </c>
      <c r="K114">
        <v>2</v>
      </c>
      <c r="L114">
        <v>3</v>
      </c>
      <c r="M114" t="s">
        <v>38</v>
      </c>
      <c r="O114" t="s">
        <v>140</v>
      </c>
      <c r="R114" t="s">
        <v>68</v>
      </c>
      <c r="S114" t="str">
        <f>VLOOKUP(J114,[2]Teams!A:B,2,FALSE)</f>
        <v>DEN</v>
      </c>
      <c r="T114" t="str">
        <f>VLOOKUP(M114,[2]Teams!A:B,2,FALSE)</f>
        <v>POR</v>
      </c>
    </row>
    <row r="115" spans="1:20" x14ac:dyDescent="0.25">
      <c r="A115" t="str">
        <f t="shared" si="1"/>
        <v>UEFAEURO2012-12</v>
      </c>
      <c r="B115">
        <v>12</v>
      </c>
      <c r="C115" s="85">
        <v>41074</v>
      </c>
      <c r="D115" s="106" t="s">
        <v>134</v>
      </c>
      <c r="E115">
        <v>2012</v>
      </c>
      <c r="F115" t="s">
        <v>135</v>
      </c>
      <c r="G115" t="s">
        <v>66</v>
      </c>
      <c r="H115" t="s">
        <v>67</v>
      </c>
      <c r="I115" t="s">
        <v>77</v>
      </c>
      <c r="J115" t="s">
        <v>23</v>
      </c>
      <c r="K115">
        <v>1</v>
      </c>
      <c r="L115">
        <v>2</v>
      </c>
      <c r="M115" t="s">
        <v>41</v>
      </c>
      <c r="O115" t="s">
        <v>139</v>
      </c>
      <c r="R115" t="s">
        <v>68</v>
      </c>
      <c r="S115" t="str">
        <f>VLOOKUP(J115,[2]Teams!A:B,2,FALSE)</f>
        <v>NED</v>
      </c>
      <c r="T115" t="str">
        <f>VLOOKUP(M115,[2]Teams!A:B,2,FALSE)</f>
        <v>GER</v>
      </c>
    </row>
    <row r="116" spans="1:20" x14ac:dyDescent="0.25">
      <c r="A116" t="str">
        <f t="shared" si="1"/>
        <v>UEFAEURO2012-13</v>
      </c>
      <c r="B116">
        <v>13</v>
      </c>
      <c r="C116" s="85">
        <v>41075</v>
      </c>
      <c r="D116" s="106" t="s">
        <v>133</v>
      </c>
      <c r="E116">
        <v>2012</v>
      </c>
      <c r="F116" t="s">
        <v>135</v>
      </c>
      <c r="G116" t="s">
        <v>66</v>
      </c>
      <c r="H116" t="s">
        <v>67</v>
      </c>
      <c r="I116" t="s">
        <v>78</v>
      </c>
      <c r="J116" t="s">
        <v>3</v>
      </c>
      <c r="K116">
        <v>1</v>
      </c>
      <c r="L116">
        <v>1</v>
      </c>
      <c r="M116" t="s">
        <v>17</v>
      </c>
      <c r="O116" t="s">
        <v>142</v>
      </c>
      <c r="R116" t="s">
        <v>68</v>
      </c>
      <c r="S116" t="str">
        <f>VLOOKUP(J116,[2]Teams!A:B,2,FALSE)</f>
        <v>ITA</v>
      </c>
      <c r="T116" t="str">
        <f>VLOOKUP(M116,[2]Teams!A:B,2,FALSE)</f>
        <v>CRO</v>
      </c>
    </row>
    <row r="117" spans="1:20" x14ac:dyDescent="0.25">
      <c r="A117" t="str">
        <f t="shared" si="1"/>
        <v>UEFAEURO2012-14</v>
      </c>
      <c r="B117">
        <v>14</v>
      </c>
      <c r="C117" s="85">
        <v>41075</v>
      </c>
      <c r="D117" s="106" t="s">
        <v>134</v>
      </c>
      <c r="E117">
        <v>2012</v>
      </c>
      <c r="F117" t="s">
        <v>135</v>
      </c>
      <c r="G117" t="s">
        <v>66</v>
      </c>
      <c r="H117" t="s">
        <v>67</v>
      </c>
      <c r="I117" t="s">
        <v>78</v>
      </c>
      <c r="J117" t="s">
        <v>33</v>
      </c>
      <c r="K117">
        <v>4</v>
      </c>
      <c r="L117">
        <v>0</v>
      </c>
      <c r="M117" t="s">
        <v>75</v>
      </c>
      <c r="O117" t="s">
        <v>141</v>
      </c>
      <c r="R117" t="s">
        <v>68</v>
      </c>
      <c r="S117" t="str">
        <f>VLOOKUP(J117,[2]Teams!A:B,2,FALSE)</f>
        <v>ESP</v>
      </c>
      <c r="T117" t="str">
        <f>VLOOKUP(M117,[2]Teams!A:B,2,FALSE)</f>
        <v>IRL</v>
      </c>
    </row>
    <row r="118" spans="1:20" x14ac:dyDescent="0.25">
      <c r="A118" t="str">
        <f t="shared" si="1"/>
        <v>UEFAEURO2012-15</v>
      </c>
      <c r="B118">
        <v>15</v>
      </c>
      <c r="C118" s="85">
        <v>41076</v>
      </c>
      <c r="D118" s="106" t="s">
        <v>133</v>
      </c>
      <c r="E118">
        <v>2012</v>
      </c>
      <c r="F118" t="s">
        <v>135</v>
      </c>
      <c r="G118" t="s">
        <v>66</v>
      </c>
      <c r="H118" t="s">
        <v>67</v>
      </c>
      <c r="I118" t="s">
        <v>79</v>
      </c>
      <c r="J118" t="s">
        <v>24</v>
      </c>
      <c r="K118">
        <v>0</v>
      </c>
      <c r="L118">
        <v>2</v>
      </c>
      <c r="M118" t="s">
        <v>40</v>
      </c>
      <c r="O118" t="s">
        <v>143</v>
      </c>
      <c r="R118" t="s">
        <v>68</v>
      </c>
      <c r="S118" t="str">
        <f>VLOOKUP(J118,[2]Teams!A:B,2,FALSE)</f>
        <v>UKR</v>
      </c>
      <c r="T118" t="str">
        <f>VLOOKUP(M118,[2]Teams!A:B,2,FALSE)</f>
        <v>FRA</v>
      </c>
    </row>
    <row r="119" spans="1:20" x14ac:dyDescent="0.25">
      <c r="A119" t="str">
        <f t="shared" si="1"/>
        <v>UEFAEURO2012-16</v>
      </c>
      <c r="B119">
        <v>16</v>
      </c>
      <c r="C119" s="85">
        <v>41076</v>
      </c>
      <c r="D119" s="106" t="s">
        <v>134</v>
      </c>
      <c r="E119">
        <v>2012</v>
      </c>
      <c r="F119" t="s">
        <v>135</v>
      </c>
      <c r="G119" t="s">
        <v>66</v>
      </c>
      <c r="H119" t="s">
        <v>67</v>
      </c>
      <c r="I119" t="s">
        <v>79</v>
      </c>
      <c r="J119" t="s">
        <v>34</v>
      </c>
      <c r="K119">
        <v>2</v>
      </c>
      <c r="L119">
        <v>3</v>
      </c>
      <c r="M119" t="s">
        <v>16</v>
      </c>
      <c r="O119" t="s">
        <v>144</v>
      </c>
      <c r="R119" t="s">
        <v>68</v>
      </c>
      <c r="S119" t="str">
        <f>VLOOKUP(J119,[2]Teams!A:B,2,FALSE)</f>
        <v>SWE</v>
      </c>
      <c r="T119" t="str">
        <f>VLOOKUP(M119,[2]Teams!A:B,2,FALSE)</f>
        <v>ENG</v>
      </c>
    </row>
    <row r="120" spans="1:20" x14ac:dyDescent="0.25">
      <c r="A120" t="str">
        <f t="shared" si="1"/>
        <v>UEFAEURO2012-17</v>
      </c>
      <c r="B120">
        <v>17</v>
      </c>
      <c r="C120" s="85">
        <v>41077</v>
      </c>
      <c r="D120" s="106" t="s">
        <v>134</v>
      </c>
      <c r="E120">
        <v>2012</v>
      </c>
      <c r="F120" t="s">
        <v>135</v>
      </c>
      <c r="G120" t="s">
        <v>66</v>
      </c>
      <c r="H120" t="s">
        <v>67</v>
      </c>
      <c r="I120" t="s">
        <v>76</v>
      </c>
      <c r="J120" t="s">
        <v>136</v>
      </c>
      <c r="K120">
        <v>1</v>
      </c>
      <c r="L120">
        <v>0</v>
      </c>
      <c r="M120" t="s">
        <v>13</v>
      </c>
      <c r="O120" t="s">
        <v>137</v>
      </c>
      <c r="R120" t="s">
        <v>68</v>
      </c>
      <c r="S120" t="str">
        <f>VLOOKUP(J120,[2]Teams!A:B,2,FALSE)</f>
        <v>GRE</v>
      </c>
      <c r="T120" t="str">
        <f>VLOOKUP(M120,[2]Teams!A:B,2,FALSE)</f>
        <v>RUS</v>
      </c>
    </row>
    <row r="121" spans="1:20" x14ac:dyDescent="0.25">
      <c r="A121" t="str">
        <f t="shared" si="1"/>
        <v>UEFAEURO2012-18</v>
      </c>
      <c r="B121">
        <v>18</v>
      </c>
      <c r="C121" s="85">
        <v>41077</v>
      </c>
      <c r="D121" s="106" t="s">
        <v>134</v>
      </c>
      <c r="E121">
        <v>2012</v>
      </c>
      <c r="F121" t="s">
        <v>135</v>
      </c>
      <c r="G121" t="s">
        <v>66</v>
      </c>
      <c r="H121" t="s">
        <v>67</v>
      </c>
      <c r="I121" t="s">
        <v>76</v>
      </c>
      <c r="J121" t="s">
        <v>27</v>
      </c>
      <c r="K121">
        <v>1</v>
      </c>
      <c r="L121">
        <v>0</v>
      </c>
      <c r="M121" t="s">
        <v>30</v>
      </c>
      <c r="O121" t="s">
        <v>138</v>
      </c>
      <c r="R121" t="s">
        <v>68</v>
      </c>
      <c r="S121" t="str">
        <f>VLOOKUP(J121,[2]Teams!A:B,2,FALSE)</f>
        <v>CZE</v>
      </c>
      <c r="T121" t="str">
        <f>VLOOKUP(M121,[2]Teams!A:B,2,FALSE)</f>
        <v>POL</v>
      </c>
    </row>
    <row r="122" spans="1:20" x14ac:dyDescent="0.25">
      <c r="A122" t="str">
        <f t="shared" si="1"/>
        <v>UEFAEURO2012-19</v>
      </c>
      <c r="B122">
        <v>19</v>
      </c>
      <c r="C122" s="85">
        <v>41078</v>
      </c>
      <c r="D122" s="106" t="s">
        <v>134</v>
      </c>
      <c r="E122">
        <v>2012</v>
      </c>
      <c r="F122" t="s">
        <v>135</v>
      </c>
      <c r="G122" t="s">
        <v>66</v>
      </c>
      <c r="H122" t="s">
        <v>67</v>
      </c>
      <c r="I122" t="s">
        <v>77</v>
      </c>
      <c r="J122" t="s">
        <v>38</v>
      </c>
      <c r="K122">
        <v>2</v>
      </c>
      <c r="L122">
        <v>1</v>
      </c>
      <c r="M122" t="s">
        <v>23</v>
      </c>
      <c r="O122" t="s">
        <v>139</v>
      </c>
      <c r="R122" t="s">
        <v>68</v>
      </c>
      <c r="S122" t="str">
        <f>VLOOKUP(J122,[2]Teams!A:B,2,FALSE)</f>
        <v>POR</v>
      </c>
      <c r="T122" t="str">
        <f>VLOOKUP(M122,[2]Teams!A:B,2,FALSE)</f>
        <v>NED</v>
      </c>
    </row>
    <row r="123" spans="1:20" x14ac:dyDescent="0.25">
      <c r="A123" t="str">
        <f t="shared" si="1"/>
        <v>UEFAEURO2012-20</v>
      </c>
      <c r="B123">
        <v>20</v>
      </c>
      <c r="C123" s="85">
        <v>41078</v>
      </c>
      <c r="D123" s="106" t="s">
        <v>134</v>
      </c>
      <c r="E123">
        <v>2012</v>
      </c>
      <c r="F123" t="s">
        <v>135</v>
      </c>
      <c r="G123" t="s">
        <v>66</v>
      </c>
      <c r="H123" t="s">
        <v>67</v>
      </c>
      <c r="I123" t="s">
        <v>77</v>
      </c>
      <c r="J123" t="s">
        <v>9</v>
      </c>
      <c r="K123">
        <v>1</v>
      </c>
      <c r="L123">
        <v>2</v>
      </c>
      <c r="M123" t="s">
        <v>41</v>
      </c>
      <c r="O123" t="s">
        <v>140</v>
      </c>
      <c r="R123" t="s">
        <v>68</v>
      </c>
      <c r="S123" t="str">
        <f>VLOOKUP(J123,[2]Teams!A:B,2,FALSE)</f>
        <v>DEN</v>
      </c>
      <c r="T123" t="str">
        <f>VLOOKUP(M123,[2]Teams!A:B,2,FALSE)</f>
        <v>GER</v>
      </c>
    </row>
    <row r="124" spans="1:20" x14ac:dyDescent="0.25">
      <c r="A124" t="str">
        <f t="shared" si="1"/>
        <v>UEFAEURO2012-21</v>
      </c>
      <c r="B124">
        <v>21</v>
      </c>
      <c r="C124" s="85">
        <v>41079</v>
      </c>
      <c r="D124" s="106" t="s">
        <v>134</v>
      </c>
      <c r="E124">
        <v>2012</v>
      </c>
      <c r="F124" t="s">
        <v>135</v>
      </c>
      <c r="G124" t="s">
        <v>66</v>
      </c>
      <c r="H124" t="s">
        <v>67</v>
      </c>
      <c r="I124" t="s">
        <v>78</v>
      </c>
      <c r="J124" t="s">
        <v>17</v>
      </c>
      <c r="K124">
        <v>0</v>
      </c>
      <c r="L124">
        <v>1</v>
      </c>
      <c r="M124" t="s">
        <v>33</v>
      </c>
      <c r="O124" t="s">
        <v>141</v>
      </c>
      <c r="R124" t="s">
        <v>68</v>
      </c>
      <c r="S124" t="str">
        <f>VLOOKUP(J124,[2]Teams!A:B,2,FALSE)</f>
        <v>CRO</v>
      </c>
      <c r="T124" t="str">
        <f>VLOOKUP(M124,[2]Teams!A:B,2,FALSE)</f>
        <v>ESP</v>
      </c>
    </row>
    <row r="125" spans="1:20" x14ac:dyDescent="0.25">
      <c r="A125" t="str">
        <f t="shared" si="1"/>
        <v>UEFAEURO2012-22</v>
      </c>
      <c r="B125">
        <v>22</v>
      </c>
      <c r="C125" s="85">
        <v>41079</v>
      </c>
      <c r="D125" s="106" t="s">
        <v>134</v>
      </c>
      <c r="E125">
        <v>2012</v>
      </c>
      <c r="F125" t="s">
        <v>135</v>
      </c>
      <c r="G125" t="s">
        <v>66</v>
      </c>
      <c r="H125" t="s">
        <v>67</v>
      </c>
      <c r="I125" t="s">
        <v>78</v>
      </c>
      <c r="J125" t="s">
        <v>3</v>
      </c>
      <c r="K125">
        <v>2</v>
      </c>
      <c r="L125">
        <v>0</v>
      </c>
      <c r="M125" t="s">
        <v>75</v>
      </c>
      <c r="O125" t="s">
        <v>142</v>
      </c>
      <c r="R125" t="s">
        <v>68</v>
      </c>
      <c r="S125" t="str">
        <f>VLOOKUP(J125,[2]Teams!A:B,2,FALSE)</f>
        <v>ITA</v>
      </c>
      <c r="T125" t="str">
        <f>VLOOKUP(M125,[2]Teams!A:B,2,FALSE)</f>
        <v>IRL</v>
      </c>
    </row>
    <row r="126" spans="1:20" x14ac:dyDescent="0.25">
      <c r="A126" t="str">
        <f t="shared" si="1"/>
        <v>UEFAEURO2012-23</v>
      </c>
      <c r="B126">
        <v>23</v>
      </c>
      <c r="C126" s="85">
        <v>41080</v>
      </c>
      <c r="D126" s="106" t="s">
        <v>134</v>
      </c>
      <c r="E126">
        <v>2012</v>
      </c>
      <c r="F126" t="s">
        <v>135</v>
      </c>
      <c r="G126" t="s">
        <v>66</v>
      </c>
      <c r="H126" t="s">
        <v>67</v>
      </c>
      <c r="I126" t="s">
        <v>79</v>
      </c>
      <c r="J126" t="s">
        <v>34</v>
      </c>
      <c r="K126">
        <v>2</v>
      </c>
      <c r="L126">
        <v>0</v>
      </c>
      <c r="M126" t="s">
        <v>40</v>
      </c>
      <c r="O126" t="s">
        <v>144</v>
      </c>
      <c r="R126" t="s">
        <v>68</v>
      </c>
      <c r="S126" t="str">
        <f>VLOOKUP(J126,[2]Teams!A:B,2,FALSE)</f>
        <v>SWE</v>
      </c>
      <c r="T126" t="str">
        <f>VLOOKUP(M126,[2]Teams!A:B,2,FALSE)</f>
        <v>FRA</v>
      </c>
    </row>
    <row r="127" spans="1:20" x14ac:dyDescent="0.25">
      <c r="A127" t="str">
        <f t="shared" si="1"/>
        <v>UEFAEURO2012-24</v>
      </c>
      <c r="B127">
        <v>24</v>
      </c>
      <c r="C127" s="85">
        <v>41080</v>
      </c>
      <c r="D127" s="106" t="s">
        <v>134</v>
      </c>
      <c r="E127">
        <v>2012</v>
      </c>
      <c r="F127" t="s">
        <v>135</v>
      </c>
      <c r="G127" t="s">
        <v>66</v>
      </c>
      <c r="H127" t="s">
        <v>67</v>
      </c>
      <c r="I127" t="s">
        <v>79</v>
      </c>
      <c r="J127" t="s">
        <v>16</v>
      </c>
      <c r="K127">
        <v>1</v>
      </c>
      <c r="L127">
        <v>0</v>
      </c>
      <c r="M127" t="s">
        <v>24</v>
      </c>
      <c r="O127" t="s">
        <v>143</v>
      </c>
      <c r="R127" t="s">
        <v>68</v>
      </c>
      <c r="S127" t="str">
        <f>VLOOKUP(J127,[2]Teams!A:B,2,FALSE)</f>
        <v>ENG</v>
      </c>
      <c r="T127" t="str">
        <f>VLOOKUP(M127,[2]Teams!A:B,2,FALSE)</f>
        <v>UKR</v>
      </c>
    </row>
    <row r="128" spans="1:20" x14ac:dyDescent="0.25">
      <c r="A128" t="str">
        <f t="shared" si="1"/>
        <v>UEFAEURO2012-25</v>
      </c>
      <c r="B128">
        <v>25</v>
      </c>
      <c r="C128" s="85">
        <v>41082</v>
      </c>
      <c r="D128" s="107" t="s">
        <v>134</v>
      </c>
      <c r="E128">
        <v>2012</v>
      </c>
      <c r="F128" t="s">
        <v>135</v>
      </c>
      <c r="G128" t="s">
        <v>66</v>
      </c>
      <c r="H128" t="s">
        <v>70</v>
      </c>
      <c r="I128" t="s">
        <v>72</v>
      </c>
      <c r="J128" t="s">
        <v>27</v>
      </c>
      <c r="K128">
        <v>0</v>
      </c>
      <c r="L128">
        <v>1</v>
      </c>
      <c r="M128" t="s">
        <v>38</v>
      </c>
      <c r="O128" t="s">
        <v>137</v>
      </c>
      <c r="R128" t="s">
        <v>68</v>
      </c>
      <c r="S128" t="str">
        <f>VLOOKUP(J128,[2]Teams!A:B,2,FALSE)</f>
        <v>CZE</v>
      </c>
      <c r="T128" t="str">
        <f>VLOOKUP(M128,[2]Teams!A:B,2,FALSE)</f>
        <v>POR</v>
      </c>
    </row>
    <row r="129" spans="1:20" x14ac:dyDescent="0.25">
      <c r="A129" t="str">
        <f t="shared" si="1"/>
        <v>UEFAEURO2012-26</v>
      </c>
      <c r="B129">
        <v>26</v>
      </c>
      <c r="C129" s="85">
        <v>41083</v>
      </c>
      <c r="D129" s="107" t="s">
        <v>134</v>
      </c>
      <c r="E129">
        <v>2012</v>
      </c>
      <c r="F129" t="s">
        <v>135</v>
      </c>
      <c r="G129" t="s">
        <v>66</v>
      </c>
      <c r="H129" t="s">
        <v>70</v>
      </c>
      <c r="I129" t="s">
        <v>72</v>
      </c>
      <c r="J129" t="s">
        <v>41</v>
      </c>
      <c r="K129">
        <v>4</v>
      </c>
      <c r="L129">
        <v>2</v>
      </c>
      <c r="M129" t="s">
        <v>136</v>
      </c>
      <c r="O129" t="s">
        <v>141</v>
      </c>
      <c r="R129" t="s">
        <v>68</v>
      </c>
      <c r="S129" t="str">
        <f>VLOOKUP(J129,[2]Teams!A:B,2,FALSE)</f>
        <v>GER</v>
      </c>
      <c r="T129" t="str">
        <f>VLOOKUP(M129,[2]Teams!A:B,2,FALSE)</f>
        <v>GRE</v>
      </c>
    </row>
    <row r="130" spans="1:20" x14ac:dyDescent="0.25">
      <c r="A130" t="str">
        <f t="shared" ref="A130:A165" si="2">F130&amp;"-"&amp;B130</f>
        <v>UEFAEURO2012-27</v>
      </c>
      <c r="B130">
        <v>27</v>
      </c>
      <c r="C130" s="85">
        <v>41084</v>
      </c>
      <c r="D130" s="107" t="s">
        <v>134</v>
      </c>
      <c r="E130">
        <v>2012</v>
      </c>
      <c r="F130" t="s">
        <v>135</v>
      </c>
      <c r="G130" t="s">
        <v>66</v>
      </c>
      <c r="H130" t="s">
        <v>70</v>
      </c>
      <c r="I130" t="s">
        <v>72</v>
      </c>
      <c r="J130" t="s">
        <v>33</v>
      </c>
      <c r="K130">
        <v>2</v>
      </c>
      <c r="L130">
        <v>0</v>
      </c>
      <c r="M130" t="s">
        <v>40</v>
      </c>
      <c r="O130" t="s">
        <v>143</v>
      </c>
      <c r="R130" t="s">
        <v>68</v>
      </c>
      <c r="S130" t="str">
        <f>VLOOKUP(J130,[2]Teams!A:B,2,FALSE)</f>
        <v>ESP</v>
      </c>
      <c r="T130" t="str">
        <f>VLOOKUP(M130,[2]Teams!A:B,2,FALSE)</f>
        <v>FRA</v>
      </c>
    </row>
    <row r="131" spans="1:20" x14ac:dyDescent="0.25">
      <c r="A131" t="str">
        <f t="shared" si="2"/>
        <v>UEFAEURO2012-28</v>
      </c>
      <c r="B131">
        <v>28</v>
      </c>
      <c r="C131" s="85">
        <v>41085</v>
      </c>
      <c r="D131" s="107" t="s">
        <v>134</v>
      </c>
      <c r="E131">
        <v>2012</v>
      </c>
      <c r="F131" t="s">
        <v>135</v>
      </c>
      <c r="G131" t="s">
        <v>66</v>
      </c>
      <c r="H131" t="s">
        <v>70</v>
      </c>
      <c r="I131" t="s">
        <v>72</v>
      </c>
      <c r="J131" t="s">
        <v>16</v>
      </c>
      <c r="K131">
        <v>0</v>
      </c>
      <c r="L131">
        <v>0</v>
      </c>
      <c r="M131" t="s">
        <v>3</v>
      </c>
      <c r="N131" t="s">
        <v>145</v>
      </c>
      <c r="O131" t="s">
        <v>144</v>
      </c>
      <c r="R131" t="s">
        <v>68</v>
      </c>
      <c r="S131" t="str">
        <f>VLOOKUP(J131,[2]Teams!A:B,2,FALSE)</f>
        <v>ENG</v>
      </c>
      <c r="T131" t="str">
        <f>VLOOKUP(M131,[2]Teams!A:B,2,FALSE)</f>
        <v>ITA</v>
      </c>
    </row>
    <row r="132" spans="1:20" x14ac:dyDescent="0.25">
      <c r="A132" t="str">
        <f t="shared" si="2"/>
        <v>UEFAEURO2012-29</v>
      </c>
      <c r="B132">
        <v>29</v>
      </c>
      <c r="C132" s="85">
        <v>41088</v>
      </c>
      <c r="D132" s="86" t="s">
        <v>134</v>
      </c>
      <c r="E132">
        <v>2012</v>
      </c>
      <c r="F132" t="s">
        <v>135</v>
      </c>
      <c r="G132" t="s">
        <v>66</v>
      </c>
      <c r="H132" t="s">
        <v>70</v>
      </c>
      <c r="I132" t="s">
        <v>71</v>
      </c>
      <c r="J132" t="s">
        <v>38</v>
      </c>
      <c r="K132">
        <v>0</v>
      </c>
      <c r="L132">
        <v>0</v>
      </c>
      <c r="M132" t="s">
        <v>33</v>
      </c>
      <c r="N132" t="s">
        <v>146</v>
      </c>
      <c r="O132" t="s">
        <v>143</v>
      </c>
      <c r="R132" t="s">
        <v>68</v>
      </c>
      <c r="S132" t="str">
        <f>VLOOKUP(J132,[2]Teams!A:B,2,FALSE)</f>
        <v>POR</v>
      </c>
      <c r="T132" t="str">
        <f>VLOOKUP(M132,[2]Teams!A:B,2,FALSE)</f>
        <v>ESP</v>
      </c>
    </row>
    <row r="133" spans="1:20" x14ac:dyDescent="0.25">
      <c r="A133" t="str">
        <f t="shared" si="2"/>
        <v>UEFAEURO2012-30</v>
      </c>
      <c r="B133">
        <v>30</v>
      </c>
      <c r="C133" s="85">
        <v>41089</v>
      </c>
      <c r="D133" s="86" t="s">
        <v>134</v>
      </c>
      <c r="E133">
        <v>2012</v>
      </c>
      <c r="F133" t="s">
        <v>135</v>
      </c>
      <c r="G133" t="s">
        <v>66</v>
      </c>
      <c r="H133" t="s">
        <v>70</v>
      </c>
      <c r="I133" t="s">
        <v>71</v>
      </c>
      <c r="J133" t="s">
        <v>41</v>
      </c>
      <c r="K133">
        <v>1</v>
      </c>
      <c r="L133">
        <v>2</v>
      </c>
      <c r="M133" t="s">
        <v>3</v>
      </c>
      <c r="O133" t="s">
        <v>137</v>
      </c>
      <c r="R133" t="s">
        <v>68</v>
      </c>
      <c r="S133" t="str">
        <f>VLOOKUP(J133,[2]Teams!A:B,2,FALSE)</f>
        <v>GER</v>
      </c>
      <c r="T133" t="str">
        <f>VLOOKUP(M133,[2]Teams!A:B,2,FALSE)</f>
        <v>ITA</v>
      </c>
    </row>
    <row r="134" spans="1:20" x14ac:dyDescent="0.25">
      <c r="A134" t="str">
        <f t="shared" si="2"/>
        <v>UEFAEURO2012-31</v>
      </c>
      <c r="B134">
        <v>31</v>
      </c>
      <c r="C134" s="85">
        <v>41091</v>
      </c>
      <c r="D134" s="86" t="s">
        <v>134</v>
      </c>
      <c r="E134">
        <v>2012</v>
      </c>
      <c r="F134" t="s">
        <v>135</v>
      </c>
      <c r="G134" t="s">
        <v>66</v>
      </c>
      <c r="H134" t="s">
        <v>70</v>
      </c>
      <c r="I134" t="s">
        <v>48</v>
      </c>
      <c r="J134" t="s">
        <v>33</v>
      </c>
      <c r="K134">
        <v>4</v>
      </c>
      <c r="L134">
        <v>0</v>
      </c>
      <c r="M134" t="s">
        <v>3</v>
      </c>
      <c r="O134" t="s">
        <v>147</v>
      </c>
      <c r="R134" t="s">
        <v>68</v>
      </c>
      <c r="S134" t="str">
        <f>VLOOKUP(J134,[2]Teams!A:B,2,FALSE)</f>
        <v>ESP</v>
      </c>
      <c r="T134" t="str">
        <f>VLOOKUP(M134,[2]Teams!A:B,2,FALSE)</f>
        <v>ITA</v>
      </c>
    </row>
    <row r="135" spans="1:20" x14ac:dyDescent="0.25">
      <c r="A135" t="str">
        <f t="shared" si="2"/>
        <v>UEFAEURO2008-1</v>
      </c>
      <c r="B135">
        <v>1</v>
      </c>
      <c r="C135" s="85">
        <v>39607</v>
      </c>
      <c r="D135" s="86">
        <v>0</v>
      </c>
      <c r="E135" s="108">
        <v>2008</v>
      </c>
      <c r="F135" t="s">
        <v>148</v>
      </c>
      <c r="G135" t="s">
        <v>66</v>
      </c>
      <c r="H135" t="s">
        <v>67</v>
      </c>
      <c r="I135" t="s">
        <v>76</v>
      </c>
      <c r="J135" t="s">
        <v>6</v>
      </c>
      <c r="K135">
        <v>0</v>
      </c>
      <c r="L135">
        <v>1</v>
      </c>
      <c r="M135" t="s">
        <v>27</v>
      </c>
      <c r="O135" t="s">
        <v>149</v>
      </c>
      <c r="R135" t="s">
        <v>68</v>
      </c>
      <c r="S135" t="str">
        <f>VLOOKUP(J135,[2]Teams!A:B,2,FALSE)</f>
        <v>SUI</v>
      </c>
      <c r="T135" t="str">
        <f>VLOOKUP(M135,[2]Teams!A:B,2,FALSE)</f>
        <v>CZE</v>
      </c>
    </row>
    <row r="136" spans="1:20" x14ac:dyDescent="0.25">
      <c r="A136" t="str">
        <f t="shared" si="2"/>
        <v>UEFAEURO2008-2</v>
      </c>
      <c r="B136">
        <v>2</v>
      </c>
      <c r="C136" s="85">
        <v>39607</v>
      </c>
      <c r="D136" s="86">
        <v>0.11458333333333326</v>
      </c>
      <c r="E136">
        <v>2008</v>
      </c>
      <c r="F136" t="s">
        <v>148</v>
      </c>
      <c r="G136" t="s">
        <v>66</v>
      </c>
      <c r="H136" t="s">
        <v>67</v>
      </c>
      <c r="I136" t="s">
        <v>76</v>
      </c>
      <c r="J136" t="s">
        <v>38</v>
      </c>
      <c r="K136">
        <v>2</v>
      </c>
      <c r="L136">
        <v>0</v>
      </c>
      <c r="M136" t="s">
        <v>2</v>
      </c>
      <c r="O136" t="s">
        <v>150</v>
      </c>
      <c r="R136" t="s">
        <v>68</v>
      </c>
      <c r="S136" t="str">
        <f>VLOOKUP(J136,[2]Teams!A:B,2,FALSE)</f>
        <v>POR</v>
      </c>
      <c r="T136" t="str">
        <f>VLOOKUP(M136,[2]Teams!A:B,2,FALSE)</f>
        <v>TUR</v>
      </c>
    </row>
    <row r="137" spans="1:20" x14ac:dyDescent="0.25">
      <c r="A137" t="str">
        <f t="shared" si="2"/>
        <v>UEFAEURO2008-3</v>
      </c>
      <c r="B137">
        <v>3</v>
      </c>
      <c r="C137" s="85">
        <v>39608</v>
      </c>
      <c r="D137" s="86">
        <v>0</v>
      </c>
      <c r="E137">
        <v>2008</v>
      </c>
      <c r="F137" t="s">
        <v>148</v>
      </c>
      <c r="G137" t="s">
        <v>66</v>
      </c>
      <c r="H137" t="s">
        <v>67</v>
      </c>
      <c r="I137" t="s">
        <v>77</v>
      </c>
      <c r="J137" t="s">
        <v>20</v>
      </c>
      <c r="K137">
        <v>0</v>
      </c>
      <c r="L137">
        <v>1</v>
      </c>
      <c r="M137" t="s">
        <v>17</v>
      </c>
      <c r="O137" t="s">
        <v>151</v>
      </c>
      <c r="R137" t="s">
        <v>68</v>
      </c>
      <c r="S137" t="str">
        <f>VLOOKUP(J137,[2]Teams!A:B,2,FALSE)</f>
        <v>AUT</v>
      </c>
      <c r="T137" t="str">
        <f>VLOOKUP(M137,[2]Teams!A:B,2,FALSE)</f>
        <v>CRO</v>
      </c>
    </row>
    <row r="138" spans="1:20" x14ac:dyDescent="0.25">
      <c r="A138" t="str">
        <f t="shared" si="2"/>
        <v>UEFAEURO2008-4</v>
      </c>
      <c r="B138">
        <v>4</v>
      </c>
      <c r="C138" s="85">
        <v>39608</v>
      </c>
      <c r="D138" s="86">
        <v>0.11458333333333326</v>
      </c>
      <c r="E138">
        <v>2008</v>
      </c>
      <c r="F138" t="s">
        <v>148</v>
      </c>
      <c r="G138" t="s">
        <v>66</v>
      </c>
      <c r="H138" t="s">
        <v>67</v>
      </c>
      <c r="I138" t="s">
        <v>77</v>
      </c>
      <c r="J138" t="s">
        <v>41</v>
      </c>
      <c r="K138">
        <v>2</v>
      </c>
      <c r="L138">
        <v>0</v>
      </c>
      <c r="M138" t="s">
        <v>30</v>
      </c>
      <c r="O138" t="s">
        <v>152</v>
      </c>
      <c r="R138" t="s">
        <v>68</v>
      </c>
      <c r="S138" t="str">
        <f>VLOOKUP(J138,[2]Teams!A:B,2,FALSE)</f>
        <v>GER</v>
      </c>
      <c r="T138" t="str">
        <f>VLOOKUP(M138,[2]Teams!A:B,2,FALSE)</f>
        <v>POL</v>
      </c>
    </row>
    <row r="139" spans="1:20" x14ac:dyDescent="0.25">
      <c r="A139" t="str">
        <f t="shared" si="2"/>
        <v>UEFAEURO2008-5</v>
      </c>
      <c r="B139">
        <v>5</v>
      </c>
      <c r="C139" s="85">
        <v>39609</v>
      </c>
      <c r="D139" s="86">
        <v>0</v>
      </c>
      <c r="E139">
        <v>2008</v>
      </c>
      <c r="F139" t="s">
        <v>148</v>
      </c>
      <c r="G139" t="s">
        <v>66</v>
      </c>
      <c r="H139" t="s">
        <v>67</v>
      </c>
      <c r="I139" t="s">
        <v>78</v>
      </c>
      <c r="J139" t="s">
        <v>69</v>
      </c>
      <c r="K139">
        <v>0</v>
      </c>
      <c r="L139">
        <v>0</v>
      </c>
      <c r="M139" t="s">
        <v>40</v>
      </c>
      <c r="O139" t="s">
        <v>153</v>
      </c>
      <c r="R139" t="s">
        <v>68</v>
      </c>
      <c r="S139" t="str">
        <f>VLOOKUP(J139,[2]Teams!A:B,2,FALSE)</f>
        <v>ROU</v>
      </c>
      <c r="T139" t="str">
        <f>VLOOKUP(M139,[2]Teams!A:B,2,FALSE)</f>
        <v>FRA</v>
      </c>
    </row>
    <row r="140" spans="1:20" x14ac:dyDescent="0.25">
      <c r="A140" t="str">
        <f t="shared" si="2"/>
        <v>UEFAEURO2008-6</v>
      </c>
      <c r="B140">
        <v>6</v>
      </c>
      <c r="C140" s="85">
        <v>39609</v>
      </c>
      <c r="D140" s="86">
        <v>0.11458333333333326</v>
      </c>
      <c r="E140">
        <v>2008</v>
      </c>
      <c r="F140" t="s">
        <v>148</v>
      </c>
      <c r="G140" t="s">
        <v>66</v>
      </c>
      <c r="H140" t="s">
        <v>67</v>
      </c>
      <c r="I140" t="s">
        <v>78</v>
      </c>
      <c r="J140" t="s">
        <v>23</v>
      </c>
      <c r="K140">
        <v>3</v>
      </c>
      <c r="L140">
        <v>0</v>
      </c>
      <c r="M140" t="s">
        <v>3</v>
      </c>
      <c r="O140" t="s">
        <v>154</v>
      </c>
      <c r="R140" t="s">
        <v>68</v>
      </c>
      <c r="S140" t="str">
        <f>VLOOKUP(J140,[2]Teams!A:B,2,FALSE)</f>
        <v>NED</v>
      </c>
      <c r="T140" t="str">
        <f>VLOOKUP(M140,[2]Teams!A:B,2,FALSE)</f>
        <v>ITA</v>
      </c>
    </row>
    <row r="141" spans="1:20" x14ac:dyDescent="0.25">
      <c r="A141" t="str">
        <f t="shared" si="2"/>
        <v>UEFAEURO2008-7</v>
      </c>
      <c r="B141">
        <v>7</v>
      </c>
      <c r="C141" s="85">
        <v>39610</v>
      </c>
      <c r="D141" s="86">
        <v>0</v>
      </c>
      <c r="E141">
        <v>2008</v>
      </c>
      <c r="F141" t="s">
        <v>148</v>
      </c>
      <c r="G141" t="s">
        <v>66</v>
      </c>
      <c r="H141" t="s">
        <v>67</v>
      </c>
      <c r="I141" t="s">
        <v>79</v>
      </c>
      <c r="J141" t="s">
        <v>33</v>
      </c>
      <c r="K141">
        <v>4</v>
      </c>
      <c r="L141">
        <v>1</v>
      </c>
      <c r="M141" t="s">
        <v>13</v>
      </c>
      <c r="O141" t="s">
        <v>155</v>
      </c>
      <c r="R141" t="s">
        <v>68</v>
      </c>
      <c r="S141" t="str">
        <f>VLOOKUP(J141,[2]Teams!A:B,2,FALSE)</f>
        <v>ESP</v>
      </c>
      <c r="T141" t="str">
        <f>VLOOKUP(M141,[2]Teams!A:B,2,FALSE)</f>
        <v>RUS</v>
      </c>
    </row>
    <row r="142" spans="1:20" x14ac:dyDescent="0.25">
      <c r="A142" t="str">
        <f t="shared" si="2"/>
        <v>UEFAEURO2008-8</v>
      </c>
      <c r="B142">
        <v>8</v>
      </c>
      <c r="C142" s="85">
        <v>39610</v>
      </c>
      <c r="D142" s="86">
        <v>0.11458333333333326</v>
      </c>
      <c r="E142">
        <v>2008</v>
      </c>
      <c r="F142" t="s">
        <v>148</v>
      </c>
      <c r="G142" t="s">
        <v>66</v>
      </c>
      <c r="H142" t="s">
        <v>67</v>
      </c>
      <c r="I142" t="s">
        <v>79</v>
      </c>
      <c r="J142" t="s">
        <v>136</v>
      </c>
      <c r="K142">
        <v>0</v>
      </c>
      <c r="L142">
        <v>2</v>
      </c>
      <c r="M142" t="s">
        <v>34</v>
      </c>
      <c r="O142" t="s">
        <v>156</v>
      </c>
      <c r="R142" t="s">
        <v>68</v>
      </c>
      <c r="S142" t="str">
        <f>VLOOKUP(J142,[2]Teams!A:B,2,FALSE)</f>
        <v>GRE</v>
      </c>
      <c r="T142" t="str">
        <f>VLOOKUP(M142,[2]Teams!A:B,2,FALSE)</f>
        <v>SWE</v>
      </c>
    </row>
    <row r="143" spans="1:20" x14ac:dyDescent="0.25">
      <c r="A143" t="str">
        <f t="shared" si="2"/>
        <v>UEFAEURO2008-9</v>
      </c>
      <c r="B143">
        <v>9</v>
      </c>
      <c r="C143" s="85">
        <v>39611</v>
      </c>
      <c r="D143" s="86">
        <v>0</v>
      </c>
      <c r="E143">
        <v>2008</v>
      </c>
      <c r="F143" t="s">
        <v>148</v>
      </c>
      <c r="G143" t="s">
        <v>66</v>
      </c>
      <c r="H143" t="s">
        <v>67</v>
      </c>
      <c r="I143" t="s">
        <v>76</v>
      </c>
      <c r="J143" t="s">
        <v>27</v>
      </c>
      <c r="K143">
        <v>1</v>
      </c>
      <c r="L143">
        <v>3</v>
      </c>
      <c r="M143" t="s">
        <v>38</v>
      </c>
      <c r="O143" t="s">
        <v>150</v>
      </c>
      <c r="R143" t="s">
        <v>68</v>
      </c>
      <c r="S143" t="str">
        <f>VLOOKUP(J143,[2]Teams!A:B,2,FALSE)</f>
        <v>CZE</v>
      </c>
      <c r="T143" t="str">
        <f>VLOOKUP(M143,[2]Teams!A:B,2,FALSE)</f>
        <v>POR</v>
      </c>
    </row>
    <row r="144" spans="1:20" x14ac:dyDescent="0.25">
      <c r="A144" t="str">
        <f t="shared" si="2"/>
        <v>UEFAEURO2008-10</v>
      </c>
      <c r="B144">
        <v>10</v>
      </c>
      <c r="C144" s="85">
        <v>39611</v>
      </c>
      <c r="D144" s="86">
        <v>0.11458333333333326</v>
      </c>
      <c r="E144">
        <v>2008</v>
      </c>
      <c r="F144" t="s">
        <v>148</v>
      </c>
      <c r="G144" t="s">
        <v>66</v>
      </c>
      <c r="H144" t="s">
        <v>67</v>
      </c>
      <c r="I144" t="s">
        <v>76</v>
      </c>
      <c r="J144" t="s">
        <v>6</v>
      </c>
      <c r="K144">
        <v>1</v>
      </c>
      <c r="L144">
        <v>2</v>
      </c>
      <c r="M144" t="s">
        <v>2</v>
      </c>
      <c r="O144" t="s">
        <v>149</v>
      </c>
      <c r="R144" t="s">
        <v>68</v>
      </c>
      <c r="S144" t="str">
        <f>VLOOKUP(J144,[2]Teams!A:B,2,FALSE)</f>
        <v>SUI</v>
      </c>
      <c r="T144" t="str">
        <f>VLOOKUP(M144,[2]Teams!A:B,2,FALSE)</f>
        <v>TUR</v>
      </c>
    </row>
    <row r="145" spans="1:20" x14ac:dyDescent="0.25">
      <c r="A145" t="str">
        <f t="shared" si="2"/>
        <v>UEFAEURO2008-11</v>
      </c>
      <c r="B145">
        <v>11</v>
      </c>
      <c r="C145" s="85">
        <v>39612</v>
      </c>
      <c r="D145" s="86">
        <v>0</v>
      </c>
      <c r="E145">
        <v>2008</v>
      </c>
      <c r="F145" t="s">
        <v>148</v>
      </c>
      <c r="G145" t="s">
        <v>66</v>
      </c>
      <c r="H145" t="s">
        <v>67</v>
      </c>
      <c r="I145" t="s">
        <v>77</v>
      </c>
      <c r="J145" t="s">
        <v>17</v>
      </c>
      <c r="K145">
        <v>2</v>
      </c>
      <c r="L145">
        <v>1</v>
      </c>
      <c r="M145" t="s">
        <v>41</v>
      </c>
      <c r="O145" t="s">
        <v>152</v>
      </c>
      <c r="R145" t="s">
        <v>68</v>
      </c>
      <c r="S145" t="str">
        <f>VLOOKUP(J145,[2]Teams!A:B,2,FALSE)</f>
        <v>CRO</v>
      </c>
      <c r="T145" t="str">
        <f>VLOOKUP(M145,[2]Teams!A:B,2,FALSE)</f>
        <v>GER</v>
      </c>
    </row>
    <row r="146" spans="1:20" x14ac:dyDescent="0.25">
      <c r="A146" t="str">
        <f t="shared" si="2"/>
        <v>UEFAEURO2008-12</v>
      </c>
      <c r="B146">
        <v>12</v>
      </c>
      <c r="C146" s="85">
        <v>39612</v>
      </c>
      <c r="D146" s="86">
        <v>0.11458333333333326</v>
      </c>
      <c r="E146">
        <v>2008</v>
      </c>
      <c r="F146" t="s">
        <v>148</v>
      </c>
      <c r="G146" t="s">
        <v>66</v>
      </c>
      <c r="H146" t="s">
        <v>67</v>
      </c>
      <c r="I146" t="s">
        <v>77</v>
      </c>
      <c r="J146" t="s">
        <v>20</v>
      </c>
      <c r="K146">
        <v>1</v>
      </c>
      <c r="L146">
        <v>1</v>
      </c>
      <c r="M146" t="s">
        <v>30</v>
      </c>
      <c r="O146" t="s">
        <v>151</v>
      </c>
      <c r="R146" t="s">
        <v>68</v>
      </c>
      <c r="S146" t="str">
        <f>VLOOKUP(J146,[2]Teams!A:B,2,FALSE)</f>
        <v>AUT</v>
      </c>
      <c r="T146" t="str">
        <f>VLOOKUP(M146,[2]Teams!A:B,2,FALSE)</f>
        <v>POL</v>
      </c>
    </row>
    <row r="147" spans="1:20" x14ac:dyDescent="0.25">
      <c r="A147" t="str">
        <f t="shared" si="2"/>
        <v>UEFAEURO2008-13</v>
      </c>
      <c r="B147">
        <v>13</v>
      </c>
      <c r="C147" s="85">
        <v>39613</v>
      </c>
      <c r="D147" s="86">
        <v>0</v>
      </c>
      <c r="E147">
        <v>2008</v>
      </c>
      <c r="F147" t="s">
        <v>148</v>
      </c>
      <c r="G147" t="s">
        <v>66</v>
      </c>
      <c r="H147" t="s">
        <v>67</v>
      </c>
      <c r="I147" t="s">
        <v>78</v>
      </c>
      <c r="J147" t="s">
        <v>3</v>
      </c>
      <c r="K147">
        <v>1</v>
      </c>
      <c r="L147">
        <v>1</v>
      </c>
      <c r="M147" t="s">
        <v>69</v>
      </c>
      <c r="O147" t="s">
        <v>153</v>
      </c>
      <c r="R147" t="s">
        <v>68</v>
      </c>
      <c r="S147" t="str">
        <f>VLOOKUP(J147,[2]Teams!A:B,2,FALSE)</f>
        <v>ITA</v>
      </c>
      <c r="T147" t="str">
        <f>VLOOKUP(M147,[2]Teams!A:B,2,FALSE)</f>
        <v>ROU</v>
      </c>
    </row>
    <row r="148" spans="1:20" x14ac:dyDescent="0.25">
      <c r="A148" t="str">
        <f t="shared" si="2"/>
        <v>UEFAEURO2008-14</v>
      </c>
      <c r="B148">
        <v>14</v>
      </c>
      <c r="C148" s="85">
        <v>39613</v>
      </c>
      <c r="D148" s="86">
        <v>0.11458333333333326</v>
      </c>
      <c r="E148">
        <v>2008</v>
      </c>
      <c r="F148" t="s">
        <v>148</v>
      </c>
      <c r="G148" t="s">
        <v>66</v>
      </c>
      <c r="H148" t="s">
        <v>67</v>
      </c>
      <c r="I148" t="s">
        <v>78</v>
      </c>
      <c r="J148" t="s">
        <v>23</v>
      </c>
      <c r="K148">
        <v>4</v>
      </c>
      <c r="L148">
        <v>1</v>
      </c>
      <c r="M148" t="s">
        <v>40</v>
      </c>
      <c r="O148" t="s">
        <v>154</v>
      </c>
      <c r="R148" t="s">
        <v>68</v>
      </c>
      <c r="S148" t="str">
        <f>VLOOKUP(J148,[2]Teams!A:B,2,FALSE)</f>
        <v>NED</v>
      </c>
      <c r="T148" t="str">
        <f>VLOOKUP(M148,[2]Teams!A:B,2,FALSE)</f>
        <v>FRA</v>
      </c>
    </row>
    <row r="149" spans="1:20" x14ac:dyDescent="0.25">
      <c r="A149" t="str">
        <f t="shared" si="2"/>
        <v>UEFAEURO2008-15</v>
      </c>
      <c r="B149">
        <v>15</v>
      </c>
      <c r="C149" s="85">
        <v>39614</v>
      </c>
      <c r="D149" s="86">
        <v>0</v>
      </c>
      <c r="E149">
        <v>2008</v>
      </c>
      <c r="F149" t="s">
        <v>148</v>
      </c>
      <c r="G149" t="s">
        <v>66</v>
      </c>
      <c r="H149" t="s">
        <v>67</v>
      </c>
      <c r="I149" t="s">
        <v>79</v>
      </c>
      <c r="J149" t="s">
        <v>34</v>
      </c>
      <c r="K149">
        <v>1</v>
      </c>
      <c r="L149">
        <v>2</v>
      </c>
      <c r="M149" t="s">
        <v>33</v>
      </c>
      <c r="O149" t="s">
        <v>155</v>
      </c>
      <c r="R149" t="s">
        <v>68</v>
      </c>
      <c r="S149" t="str">
        <f>VLOOKUP(J149,[2]Teams!A:B,2,FALSE)</f>
        <v>SWE</v>
      </c>
      <c r="T149" t="str">
        <f>VLOOKUP(M149,[2]Teams!A:B,2,FALSE)</f>
        <v>ESP</v>
      </c>
    </row>
    <row r="150" spans="1:20" x14ac:dyDescent="0.25">
      <c r="A150" t="str">
        <f t="shared" si="2"/>
        <v>UEFAEURO2008-16</v>
      </c>
      <c r="B150">
        <v>16</v>
      </c>
      <c r="C150" s="85">
        <v>39614</v>
      </c>
      <c r="D150" s="86">
        <v>0.11458333333333326</v>
      </c>
      <c r="E150">
        <v>2008</v>
      </c>
      <c r="F150" t="s">
        <v>148</v>
      </c>
      <c r="G150" t="s">
        <v>66</v>
      </c>
      <c r="H150" t="s">
        <v>67</v>
      </c>
      <c r="I150" t="s">
        <v>79</v>
      </c>
      <c r="J150" t="s">
        <v>136</v>
      </c>
      <c r="K150">
        <v>0</v>
      </c>
      <c r="L150">
        <v>1</v>
      </c>
      <c r="M150" t="s">
        <v>13</v>
      </c>
      <c r="O150" t="s">
        <v>156</v>
      </c>
      <c r="R150" t="s">
        <v>68</v>
      </c>
      <c r="S150" t="str">
        <f>VLOOKUP(J150,[2]Teams!A:B,2,FALSE)</f>
        <v>GRE</v>
      </c>
      <c r="T150" t="str">
        <f>VLOOKUP(M150,[2]Teams!A:B,2,FALSE)</f>
        <v>RUS</v>
      </c>
    </row>
    <row r="151" spans="1:20" x14ac:dyDescent="0.25">
      <c r="A151" t="str">
        <f t="shared" si="2"/>
        <v>UEFAEURO2008-17</v>
      </c>
      <c r="B151">
        <v>17</v>
      </c>
      <c r="C151" s="85">
        <v>39615</v>
      </c>
      <c r="D151" s="86">
        <v>0.11458333333333326</v>
      </c>
      <c r="E151">
        <v>2008</v>
      </c>
      <c r="F151" t="s">
        <v>148</v>
      </c>
      <c r="G151" t="s">
        <v>66</v>
      </c>
      <c r="H151" t="s">
        <v>67</v>
      </c>
      <c r="I151" t="s">
        <v>76</v>
      </c>
      <c r="J151" t="s">
        <v>6</v>
      </c>
      <c r="K151">
        <v>2</v>
      </c>
      <c r="L151">
        <v>0</v>
      </c>
      <c r="M151" t="s">
        <v>38</v>
      </c>
      <c r="O151" t="s">
        <v>149</v>
      </c>
      <c r="R151" t="s">
        <v>68</v>
      </c>
      <c r="S151" t="str">
        <f>VLOOKUP(J151,[2]Teams!A:B,2,FALSE)</f>
        <v>SUI</v>
      </c>
      <c r="T151" t="str">
        <f>VLOOKUP(M151,[2]Teams!A:B,2,FALSE)</f>
        <v>POR</v>
      </c>
    </row>
    <row r="152" spans="1:20" x14ac:dyDescent="0.25">
      <c r="A152" t="str">
        <f t="shared" si="2"/>
        <v>UEFAEURO2008-18</v>
      </c>
      <c r="B152">
        <v>18</v>
      </c>
      <c r="C152" s="85">
        <v>39615</v>
      </c>
      <c r="D152" s="86">
        <v>0.11458333333333326</v>
      </c>
      <c r="E152">
        <v>2008</v>
      </c>
      <c r="F152" t="s">
        <v>148</v>
      </c>
      <c r="G152" t="s">
        <v>66</v>
      </c>
      <c r="H152" t="s">
        <v>67</v>
      </c>
      <c r="I152" t="s">
        <v>76</v>
      </c>
      <c r="J152" t="s">
        <v>2</v>
      </c>
      <c r="K152">
        <v>3</v>
      </c>
      <c r="L152">
        <v>2</v>
      </c>
      <c r="M152" t="s">
        <v>27</v>
      </c>
      <c r="O152" t="s">
        <v>150</v>
      </c>
      <c r="R152" t="s">
        <v>68</v>
      </c>
      <c r="S152" t="str">
        <f>VLOOKUP(J152,[2]Teams!A:B,2,FALSE)</f>
        <v>TUR</v>
      </c>
      <c r="T152" t="str">
        <f>VLOOKUP(M152,[2]Teams!A:B,2,FALSE)</f>
        <v>CZE</v>
      </c>
    </row>
    <row r="153" spans="1:20" x14ac:dyDescent="0.25">
      <c r="A153" t="str">
        <f t="shared" si="2"/>
        <v>UEFAEURO2008-19</v>
      </c>
      <c r="B153">
        <v>19</v>
      </c>
      <c r="C153" s="85">
        <v>39616</v>
      </c>
      <c r="D153" s="86">
        <v>0.11458333333333326</v>
      </c>
      <c r="E153">
        <v>2008</v>
      </c>
      <c r="F153" t="s">
        <v>148</v>
      </c>
      <c r="G153" t="s">
        <v>66</v>
      </c>
      <c r="H153" t="s">
        <v>67</v>
      </c>
      <c r="I153" t="s">
        <v>77</v>
      </c>
      <c r="J153" t="s">
        <v>30</v>
      </c>
      <c r="K153">
        <v>0</v>
      </c>
      <c r="L153">
        <v>1</v>
      </c>
      <c r="M153" t="s">
        <v>17</v>
      </c>
      <c r="O153" t="s">
        <v>152</v>
      </c>
      <c r="R153" t="s">
        <v>68</v>
      </c>
      <c r="S153" t="str">
        <f>VLOOKUP(J153,[2]Teams!A:B,2,FALSE)</f>
        <v>POL</v>
      </c>
      <c r="T153" t="str">
        <f>VLOOKUP(M153,[2]Teams!A:B,2,FALSE)</f>
        <v>CRO</v>
      </c>
    </row>
    <row r="154" spans="1:20" x14ac:dyDescent="0.25">
      <c r="A154" t="str">
        <f t="shared" si="2"/>
        <v>UEFAEURO2008-20</v>
      </c>
      <c r="B154">
        <v>20</v>
      </c>
      <c r="C154" s="85">
        <v>39616</v>
      </c>
      <c r="D154" s="86">
        <v>0.11458333333333326</v>
      </c>
      <c r="E154">
        <v>2008</v>
      </c>
      <c r="F154" t="s">
        <v>148</v>
      </c>
      <c r="G154" t="s">
        <v>66</v>
      </c>
      <c r="H154" t="s">
        <v>67</v>
      </c>
      <c r="I154" t="s">
        <v>77</v>
      </c>
      <c r="J154" t="s">
        <v>20</v>
      </c>
      <c r="K154">
        <v>0</v>
      </c>
      <c r="L154">
        <v>1</v>
      </c>
      <c r="M154" t="s">
        <v>41</v>
      </c>
      <c r="O154" t="s">
        <v>151</v>
      </c>
      <c r="R154" t="s">
        <v>68</v>
      </c>
      <c r="S154" t="str">
        <f>VLOOKUP(J154,[2]Teams!A:B,2,FALSE)</f>
        <v>AUT</v>
      </c>
      <c r="T154" t="str">
        <f>VLOOKUP(M154,[2]Teams!A:B,2,FALSE)</f>
        <v>GER</v>
      </c>
    </row>
    <row r="155" spans="1:20" x14ac:dyDescent="0.25">
      <c r="A155" t="str">
        <f t="shared" si="2"/>
        <v>UEFAEURO2008-21</v>
      </c>
      <c r="B155">
        <v>21</v>
      </c>
      <c r="C155" s="85">
        <v>39617</v>
      </c>
      <c r="D155" s="86">
        <v>0.11458333333333326</v>
      </c>
      <c r="E155">
        <v>2008</v>
      </c>
      <c r="F155" t="s">
        <v>148</v>
      </c>
      <c r="G155" t="s">
        <v>66</v>
      </c>
      <c r="H155" t="s">
        <v>67</v>
      </c>
      <c r="I155" t="s">
        <v>78</v>
      </c>
      <c r="J155" t="s">
        <v>23</v>
      </c>
      <c r="K155">
        <v>2</v>
      </c>
      <c r="L155">
        <v>0</v>
      </c>
      <c r="M155" t="s">
        <v>69</v>
      </c>
      <c r="O155" t="s">
        <v>154</v>
      </c>
      <c r="R155" t="s">
        <v>68</v>
      </c>
      <c r="S155" t="str">
        <f>VLOOKUP(J155,[2]Teams!A:B,2,FALSE)</f>
        <v>NED</v>
      </c>
      <c r="T155" t="str">
        <f>VLOOKUP(M155,[2]Teams!A:B,2,FALSE)</f>
        <v>ROU</v>
      </c>
    </row>
    <row r="156" spans="1:20" x14ac:dyDescent="0.25">
      <c r="A156" t="str">
        <f t="shared" si="2"/>
        <v>UEFAEURO2008-22</v>
      </c>
      <c r="B156">
        <v>22</v>
      </c>
      <c r="C156" s="85">
        <v>39617</v>
      </c>
      <c r="D156" s="86">
        <v>0.11458333333333326</v>
      </c>
      <c r="E156">
        <v>2008</v>
      </c>
      <c r="F156" t="s">
        <v>148</v>
      </c>
      <c r="G156" t="s">
        <v>66</v>
      </c>
      <c r="H156" t="s">
        <v>67</v>
      </c>
      <c r="I156" t="s">
        <v>78</v>
      </c>
      <c r="J156" t="s">
        <v>40</v>
      </c>
      <c r="K156">
        <v>0</v>
      </c>
      <c r="L156">
        <v>2</v>
      </c>
      <c r="M156" t="s">
        <v>3</v>
      </c>
      <c r="O156" t="s">
        <v>153</v>
      </c>
      <c r="R156" t="s">
        <v>68</v>
      </c>
      <c r="S156" t="str">
        <f>VLOOKUP(J156,[2]Teams!A:B,2,FALSE)</f>
        <v>FRA</v>
      </c>
      <c r="T156" t="str">
        <f>VLOOKUP(M156,[2]Teams!A:B,2,FALSE)</f>
        <v>ITA</v>
      </c>
    </row>
    <row r="157" spans="1:20" x14ac:dyDescent="0.25">
      <c r="A157" t="str">
        <f t="shared" si="2"/>
        <v>UEFAEURO2008-23</v>
      </c>
      <c r="B157">
        <v>23</v>
      </c>
      <c r="C157" s="85">
        <v>39618</v>
      </c>
      <c r="D157" s="86">
        <v>0.11458333333333326</v>
      </c>
      <c r="E157">
        <v>2008</v>
      </c>
      <c r="F157" t="s">
        <v>148</v>
      </c>
      <c r="G157" t="s">
        <v>66</v>
      </c>
      <c r="H157" t="s">
        <v>67</v>
      </c>
      <c r="I157" t="s">
        <v>79</v>
      </c>
      <c r="J157" t="s">
        <v>136</v>
      </c>
      <c r="K157">
        <v>1</v>
      </c>
      <c r="L157">
        <v>2</v>
      </c>
      <c r="M157" t="s">
        <v>33</v>
      </c>
      <c r="O157" t="s">
        <v>156</v>
      </c>
      <c r="R157" t="s">
        <v>68</v>
      </c>
      <c r="S157" t="str">
        <f>VLOOKUP(J157,[2]Teams!A:B,2,FALSE)</f>
        <v>GRE</v>
      </c>
      <c r="T157" t="str">
        <f>VLOOKUP(M157,[2]Teams!A:B,2,FALSE)</f>
        <v>ESP</v>
      </c>
    </row>
    <row r="158" spans="1:20" x14ac:dyDescent="0.25">
      <c r="A158" t="str">
        <f t="shared" si="2"/>
        <v>UEFAEURO2008-24</v>
      </c>
      <c r="B158">
        <v>24</v>
      </c>
      <c r="C158" s="85">
        <v>39618</v>
      </c>
      <c r="D158" s="86">
        <v>0.11458333333333326</v>
      </c>
      <c r="E158">
        <v>2008</v>
      </c>
      <c r="F158" t="s">
        <v>148</v>
      </c>
      <c r="G158" t="s">
        <v>66</v>
      </c>
      <c r="H158" t="s">
        <v>67</v>
      </c>
      <c r="I158" t="s">
        <v>79</v>
      </c>
      <c r="J158" t="s">
        <v>13</v>
      </c>
      <c r="K158">
        <v>2</v>
      </c>
      <c r="L158">
        <v>0</v>
      </c>
      <c r="M158" t="s">
        <v>34</v>
      </c>
      <c r="O158" t="s">
        <v>155</v>
      </c>
      <c r="R158" t="s">
        <v>68</v>
      </c>
      <c r="S158" t="str">
        <f>VLOOKUP(J158,[2]Teams!A:B,2,FALSE)</f>
        <v>RUS</v>
      </c>
      <c r="T158" t="str">
        <f>VLOOKUP(M158,[2]Teams!A:B,2,FALSE)</f>
        <v>SWE</v>
      </c>
    </row>
    <row r="159" spans="1:20" x14ac:dyDescent="0.25">
      <c r="A159" t="str">
        <f t="shared" si="2"/>
        <v>UEFAEURO2008-25</v>
      </c>
      <c r="B159">
        <v>25</v>
      </c>
      <c r="C159" s="85">
        <v>39619</v>
      </c>
      <c r="D159" s="86">
        <v>0.11458333333333326</v>
      </c>
      <c r="E159">
        <v>2008</v>
      </c>
      <c r="F159" t="s">
        <v>148</v>
      </c>
      <c r="G159" t="s">
        <v>66</v>
      </c>
      <c r="H159" t="s">
        <v>70</v>
      </c>
      <c r="I159" t="s">
        <v>72</v>
      </c>
      <c r="J159" t="s">
        <v>38</v>
      </c>
      <c r="K159">
        <v>2</v>
      </c>
      <c r="L159">
        <v>3</v>
      </c>
      <c r="M159" t="s">
        <v>41</v>
      </c>
      <c r="O159" t="s">
        <v>149</v>
      </c>
      <c r="R159" t="s">
        <v>68</v>
      </c>
      <c r="S159" t="str">
        <f>VLOOKUP(J159,[2]Teams!A:B,2,FALSE)</f>
        <v>POR</v>
      </c>
      <c r="T159" t="str">
        <f>VLOOKUP(M159,[2]Teams!A:B,2,FALSE)</f>
        <v>GER</v>
      </c>
    </row>
    <row r="160" spans="1:20" x14ac:dyDescent="0.25">
      <c r="A160" t="str">
        <f t="shared" si="2"/>
        <v>UEFAEURO2008-26</v>
      </c>
      <c r="B160">
        <v>26</v>
      </c>
      <c r="C160" s="85">
        <v>39620</v>
      </c>
      <c r="D160" s="86">
        <v>0.11458333333333326</v>
      </c>
      <c r="E160">
        <v>2008</v>
      </c>
      <c r="F160" t="s">
        <v>148</v>
      </c>
      <c r="G160" t="s">
        <v>66</v>
      </c>
      <c r="H160" t="s">
        <v>70</v>
      </c>
      <c r="I160" t="s">
        <v>72</v>
      </c>
      <c r="J160" t="s">
        <v>17</v>
      </c>
      <c r="K160">
        <v>1</v>
      </c>
      <c r="L160">
        <v>1</v>
      </c>
      <c r="M160" t="s">
        <v>2</v>
      </c>
      <c r="N160" t="s">
        <v>157</v>
      </c>
      <c r="O160" t="s">
        <v>151</v>
      </c>
      <c r="R160" t="s">
        <v>68</v>
      </c>
      <c r="S160" t="str">
        <f>VLOOKUP(J160,[2]Teams!A:B,2,FALSE)</f>
        <v>CRO</v>
      </c>
      <c r="T160" t="str">
        <f>VLOOKUP(M160,[2]Teams!A:B,2,FALSE)</f>
        <v>TUR</v>
      </c>
    </row>
    <row r="161" spans="1:20" x14ac:dyDescent="0.25">
      <c r="A161" t="str">
        <f t="shared" si="2"/>
        <v>UEFAEURO2008-27</v>
      </c>
      <c r="B161">
        <v>27</v>
      </c>
      <c r="C161" s="85">
        <v>39621</v>
      </c>
      <c r="D161" s="86">
        <v>0.11458333333333326</v>
      </c>
      <c r="E161">
        <v>2008</v>
      </c>
      <c r="F161" t="s">
        <v>148</v>
      </c>
      <c r="G161" t="s">
        <v>66</v>
      </c>
      <c r="H161" t="s">
        <v>70</v>
      </c>
      <c r="I161" t="s">
        <v>72</v>
      </c>
      <c r="J161" t="s">
        <v>23</v>
      </c>
      <c r="K161">
        <v>1</v>
      </c>
      <c r="L161">
        <v>3</v>
      </c>
      <c r="M161" t="s">
        <v>13</v>
      </c>
      <c r="N161" t="s">
        <v>158</v>
      </c>
      <c r="O161" t="s">
        <v>149</v>
      </c>
      <c r="R161" t="s">
        <v>68</v>
      </c>
      <c r="S161" t="str">
        <f>VLOOKUP(J161,[2]Teams!A:B,2,FALSE)</f>
        <v>NED</v>
      </c>
      <c r="T161" t="str">
        <f>VLOOKUP(M161,[2]Teams!A:B,2,FALSE)</f>
        <v>RUS</v>
      </c>
    </row>
    <row r="162" spans="1:20" x14ac:dyDescent="0.25">
      <c r="A162" t="str">
        <f t="shared" si="2"/>
        <v>UEFAEURO2008-28</v>
      </c>
      <c r="B162">
        <v>28</v>
      </c>
      <c r="C162" s="85">
        <v>39622</v>
      </c>
      <c r="D162" s="86">
        <v>0.11458333333333326</v>
      </c>
      <c r="E162">
        <v>2008</v>
      </c>
      <c r="F162" t="s">
        <v>148</v>
      </c>
      <c r="G162" t="s">
        <v>66</v>
      </c>
      <c r="H162" t="s">
        <v>70</v>
      </c>
      <c r="I162" t="s">
        <v>72</v>
      </c>
      <c r="J162" t="s">
        <v>33</v>
      </c>
      <c r="K162">
        <v>0</v>
      </c>
      <c r="L162">
        <v>0</v>
      </c>
      <c r="M162" t="s">
        <v>3</v>
      </c>
      <c r="N162" t="s">
        <v>146</v>
      </c>
      <c r="O162" t="s">
        <v>151</v>
      </c>
      <c r="R162" t="s">
        <v>68</v>
      </c>
      <c r="S162" t="str">
        <f>VLOOKUP(J162,[2]Teams!A:B,2,FALSE)</f>
        <v>ESP</v>
      </c>
      <c r="T162" t="str">
        <f>VLOOKUP(M162,[2]Teams!A:B,2,FALSE)</f>
        <v>ITA</v>
      </c>
    </row>
    <row r="163" spans="1:20" x14ac:dyDescent="0.25">
      <c r="A163" t="str">
        <f t="shared" si="2"/>
        <v>UEFAEURO2008-29</v>
      </c>
      <c r="B163">
        <v>29</v>
      </c>
      <c r="C163" s="85">
        <v>39625</v>
      </c>
      <c r="D163" s="86">
        <v>0.11458333333333326</v>
      </c>
      <c r="E163">
        <v>2008</v>
      </c>
      <c r="F163" t="s">
        <v>148</v>
      </c>
      <c r="G163" t="s">
        <v>66</v>
      </c>
      <c r="H163" t="s">
        <v>70</v>
      </c>
      <c r="I163" t="s">
        <v>71</v>
      </c>
      <c r="J163" t="s">
        <v>41</v>
      </c>
      <c r="K163">
        <v>3</v>
      </c>
      <c r="L163">
        <v>2</v>
      </c>
      <c r="M163" t="s">
        <v>2</v>
      </c>
      <c r="O163" t="s">
        <v>149</v>
      </c>
      <c r="R163" t="s">
        <v>68</v>
      </c>
      <c r="S163" t="str">
        <f>VLOOKUP(J163,[2]Teams!A:B,2,FALSE)</f>
        <v>GER</v>
      </c>
      <c r="T163" t="str">
        <f>VLOOKUP(M163,[2]Teams!A:B,2,FALSE)</f>
        <v>TUR</v>
      </c>
    </row>
    <row r="164" spans="1:20" x14ac:dyDescent="0.25">
      <c r="A164" t="str">
        <f t="shared" si="2"/>
        <v>UEFAEURO2008-30</v>
      </c>
      <c r="B164">
        <v>30</v>
      </c>
      <c r="C164" s="85">
        <v>39626</v>
      </c>
      <c r="D164" s="86">
        <v>0.11458333333333326</v>
      </c>
      <c r="E164">
        <v>2008</v>
      </c>
      <c r="F164" t="s">
        <v>148</v>
      </c>
      <c r="G164" t="s">
        <v>66</v>
      </c>
      <c r="H164" t="s">
        <v>70</v>
      </c>
      <c r="I164" t="s">
        <v>71</v>
      </c>
      <c r="J164" t="s">
        <v>13</v>
      </c>
      <c r="K164">
        <v>0</v>
      </c>
      <c r="L164">
        <v>3</v>
      </c>
      <c r="M164" t="s">
        <v>33</v>
      </c>
      <c r="O164" t="s">
        <v>151</v>
      </c>
      <c r="R164" t="s">
        <v>68</v>
      </c>
      <c r="S164" t="str">
        <f>VLOOKUP(J164,[2]Teams!A:B,2,FALSE)</f>
        <v>RUS</v>
      </c>
      <c r="T164" t="str">
        <f>VLOOKUP(M164,[2]Teams!A:B,2,FALSE)</f>
        <v>ESP</v>
      </c>
    </row>
    <row r="165" spans="1:20" x14ac:dyDescent="0.25">
      <c r="A165" t="str">
        <f t="shared" si="2"/>
        <v>UEFAEURO2008-31</v>
      </c>
      <c r="B165">
        <v>31</v>
      </c>
      <c r="C165" s="85">
        <v>39629</v>
      </c>
      <c r="D165" s="86">
        <v>0.11458333333333326</v>
      </c>
      <c r="E165">
        <v>2008</v>
      </c>
      <c r="F165" t="s">
        <v>148</v>
      </c>
      <c r="G165" t="s">
        <v>66</v>
      </c>
      <c r="H165" t="s">
        <v>70</v>
      </c>
      <c r="I165" t="s">
        <v>48</v>
      </c>
      <c r="J165" t="s">
        <v>41</v>
      </c>
      <c r="K165">
        <v>0</v>
      </c>
      <c r="L165">
        <v>1</v>
      </c>
      <c r="M165" t="s">
        <v>33</v>
      </c>
      <c r="O165" t="s">
        <v>151</v>
      </c>
      <c r="R165" t="s">
        <v>68</v>
      </c>
      <c r="S165" t="str">
        <f>VLOOKUP(J165,[2]Teams!A:B,2,FALSE)</f>
        <v>GER</v>
      </c>
      <c r="T165" t="str">
        <f>VLOOKUP(M165,[2]Teams!A:B,2,FALSE)</f>
        <v>ESP</v>
      </c>
    </row>
  </sheetData>
  <conditionalFormatting sqref="A1:T103 E128:R131 A128:C131 G131:H133 A104:R127 S104:T158 A132:R158 A159:T1048576">
    <cfRule type="expression" dxfId="3" priority="3">
      <formula>CELL("row")=ROW()</formula>
    </cfRule>
  </conditionalFormatting>
  <conditionalFormatting sqref="U503">
    <cfRule type="expression" dxfId="2" priority="2">
      <formula>CELL("row")=ROW()</formula>
    </cfRule>
  </conditionalFormatting>
  <conditionalFormatting sqref="A1:A1048576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EE69-A2C9-42FD-BDC7-2CD21F86B156}">
  <dimension ref="A1:E5"/>
  <sheetViews>
    <sheetView workbookViewId="0">
      <selection activeCell="A2" sqref="A2:E5"/>
    </sheetView>
  </sheetViews>
  <sheetFormatPr defaultRowHeight="15" x14ac:dyDescent="0.25"/>
  <cols>
    <col min="1" max="1" width="24.28515625" bestFit="1" customWidth="1"/>
    <col min="2" max="2" width="14.5703125" bestFit="1" customWidth="1"/>
    <col min="3" max="3" width="42.28515625" bestFit="1" customWidth="1"/>
    <col min="4" max="4" width="32.7109375" bestFit="1" customWidth="1"/>
    <col min="5" max="5" width="19.42578125" bestFit="1" customWidth="1"/>
  </cols>
  <sheetData>
    <row r="1" spans="1:5" x14ac:dyDescent="0.25">
      <c r="B1" s="82" t="s">
        <v>54</v>
      </c>
    </row>
    <row r="2" spans="1:5" x14ac:dyDescent="0.25">
      <c r="A2" t="s">
        <v>159</v>
      </c>
      <c r="B2" t="s">
        <v>83</v>
      </c>
      <c r="C2" t="s">
        <v>160</v>
      </c>
      <c r="D2" t="s">
        <v>165</v>
      </c>
      <c r="E2" t="s">
        <v>161</v>
      </c>
    </row>
    <row r="3" spans="1:5" x14ac:dyDescent="0.25">
      <c r="A3" t="s">
        <v>159</v>
      </c>
      <c r="B3" t="s">
        <v>107</v>
      </c>
      <c r="C3" t="s">
        <v>160</v>
      </c>
      <c r="D3" t="s">
        <v>164</v>
      </c>
      <c r="E3" t="s">
        <v>161</v>
      </c>
    </row>
    <row r="4" spans="1:5" x14ac:dyDescent="0.25">
      <c r="A4" t="s">
        <v>159</v>
      </c>
      <c r="B4" t="s">
        <v>135</v>
      </c>
      <c r="C4" t="s">
        <v>160</v>
      </c>
      <c r="D4" t="s">
        <v>162</v>
      </c>
      <c r="E4" t="s">
        <v>161</v>
      </c>
    </row>
    <row r="5" spans="1:5" x14ac:dyDescent="0.25">
      <c r="A5" t="s">
        <v>159</v>
      </c>
      <c r="B5" t="s">
        <v>148</v>
      </c>
      <c r="C5" t="s">
        <v>160</v>
      </c>
      <c r="D5" t="s">
        <v>163</v>
      </c>
      <c r="E5" t="s">
        <v>161</v>
      </c>
    </row>
  </sheetData>
  <conditionalFormatting sqref="B1:B5 B166:B1048576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F05-F7A7-4B23-B87D-AF7FC5C8B961}">
  <dimension ref="A1:AK331"/>
  <sheetViews>
    <sheetView tabSelected="1" topLeftCell="T305" workbookViewId="0">
      <selection activeCell="J2" sqref="J2:AK309"/>
    </sheetView>
  </sheetViews>
  <sheetFormatPr defaultRowHeight="15" x14ac:dyDescent="0.25"/>
  <cols>
    <col min="1" max="1" width="22.140625" style="94" bestFit="1" customWidth="1"/>
    <col min="2" max="2" width="17.42578125" bestFit="1" customWidth="1"/>
    <col min="3" max="3" width="16.28515625" style="94" bestFit="1" customWidth="1"/>
    <col min="5" max="5" width="28.28515625" style="94" bestFit="1" customWidth="1"/>
    <col min="6" max="6" width="10.7109375" bestFit="1" customWidth="1"/>
    <col min="7" max="7" width="30.42578125" style="94" bestFit="1" customWidth="1"/>
    <col min="9" max="9" width="9.140625" style="94"/>
    <col min="11" max="11" width="9.140625" style="94"/>
    <col min="13" max="13" width="9.140625" style="94"/>
    <col min="14" max="14" width="11.42578125" bestFit="1" customWidth="1"/>
    <col min="33" max="33" width="11.42578125" bestFit="1" customWidth="1"/>
  </cols>
  <sheetData>
    <row r="1" spans="1:37" x14ac:dyDescent="0.25">
      <c r="A1" s="94" t="s">
        <v>88</v>
      </c>
      <c r="B1" t="str">
        <f>Match!A2</f>
        <v>UEFAEURO2020-1</v>
      </c>
      <c r="C1" s="94" t="s">
        <v>106</v>
      </c>
      <c r="D1">
        <f>Match!B2</f>
        <v>1</v>
      </c>
      <c r="E1" s="94" t="s">
        <v>89</v>
      </c>
      <c r="F1" s="85">
        <f>Match!C2</f>
        <v>44359.166666666664</v>
      </c>
      <c r="G1" s="92" t="s">
        <v>90</v>
      </c>
      <c r="H1" s="93">
        <f>Match!D2</f>
        <v>44359.166666666664</v>
      </c>
      <c r="I1" s="94" t="s">
        <v>91</v>
      </c>
      <c r="J1">
        <f>Match!E2</f>
        <v>2021</v>
      </c>
      <c r="K1" s="94" t="s">
        <v>92</v>
      </c>
      <c r="L1" t="str">
        <f>Match!F2</f>
        <v>UEFAEURO2020</v>
      </c>
      <c r="M1" s="94" t="s">
        <v>93</v>
      </c>
      <c r="N1" t="str">
        <f>Match!G2</f>
        <v>Final Round</v>
      </c>
      <c r="O1" s="94" t="s">
        <v>94</v>
      </c>
      <c r="P1" t="str">
        <f>Match!H2</f>
        <v>Group</v>
      </c>
      <c r="Q1" s="94" t="s">
        <v>95</v>
      </c>
      <c r="R1" t="str">
        <f>Match!I2</f>
        <v>Group A</v>
      </c>
      <c r="S1" s="94" t="s">
        <v>96</v>
      </c>
      <c r="T1" t="str">
        <f>Match!J2</f>
        <v>Turkey</v>
      </c>
      <c r="U1" s="94" t="s">
        <v>97</v>
      </c>
      <c r="V1">
        <f>Match!K2</f>
        <v>0</v>
      </c>
      <c r="W1" s="94" t="s">
        <v>98</v>
      </c>
      <c r="X1">
        <f>Match!L2</f>
        <v>3</v>
      </c>
      <c r="Y1" s="94" t="s">
        <v>99</v>
      </c>
      <c r="Z1" t="str">
        <f>Match!M2</f>
        <v>Italy</v>
      </c>
      <c r="AA1" s="94" t="s">
        <v>100</v>
      </c>
      <c r="AB1" t="str">
        <f>IF(Match!N2="","",Match!N2)</f>
        <v/>
      </c>
      <c r="AC1" s="94" t="s">
        <v>101</v>
      </c>
      <c r="AD1" s="95" t="str">
        <f>Match!O2</f>
        <v>Olimpico, Rome</v>
      </c>
      <c r="AE1" s="94" t="s">
        <v>102</v>
      </c>
      <c r="AF1" s="95" t="str">
        <f>IF(Match!P2="","",Match!P2)</f>
        <v/>
      </c>
      <c r="AG1" s="94" t="s">
        <v>103</v>
      </c>
      <c r="AH1" s="95">
        <f>IF(Match!Q2="",0,Match!Q2)</f>
        <v>0</v>
      </c>
      <c r="AI1" s="95" t="s">
        <v>104</v>
      </c>
      <c r="AJ1" s="95" t="str">
        <f>Match!R2</f>
        <v>Finished</v>
      </c>
      <c r="AK1" t="s">
        <v>105</v>
      </c>
    </row>
    <row r="2" spans="1:37" x14ac:dyDescent="0.25">
      <c r="A2" s="94" t="str">
        <f>A1</f>
        <v>new Match { MatchId= "</v>
      </c>
      <c r="B2" t="str">
        <f>Match!A3</f>
        <v>UEFAEURO2020-2</v>
      </c>
      <c r="C2" s="94" t="str">
        <f>C1</f>
        <v>",MatchNumber=</v>
      </c>
      <c r="D2">
        <f>Match!B3</f>
        <v>2</v>
      </c>
      <c r="E2" s="94" t="str">
        <f>E1</f>
        <v>,DateMatch=DateTime.Parse("</v>
      </c>
      <c r="F2" s="85">
        <f>Match!C3</f>
        <v>44359.916666666664</v>
      </c>
      <c r="G2" s="92" t="str">
        <f>G1</f>
        <v>"),TimeMatch=TimeSpan.Parse("</v>
      </c>
      <c r="H2" s="93">
        <f>Match!D3</f>
        <v>44359.916666666664</v>
      </c>
      <c r="I2" s="94" t="str">
        <f>I1</f>
        <v>"),MatchYear=</v>
      </c>
      <c r="J2">
        <f>Match!E3</f>
        <v>2021</v>
      </c>
      <c r="K2" s="94" t="str">
        <f>K1</f>
        <v>, SeasonId= "</v>
      </c>
      <c r="L2" t="str">
        <f>Match!F3</f>
        <v>UEFAEURO2020</v>
      </c>
      <c r="M2" s="94" t="str">
        <f>M1</f>
        <v>",Round= "</v>
      </c>
      <c r="N2" t="str">
        <f>Match!G3</f>
        <v>Final Round</v>
      </c>
      <c r="O2" t="str">
        <f>O1</f>
        <v>",Stage= "</v>
      </c>
      <c r="P2" t="str">
        <f>Match!H3</f>
        <v>Group</v>
      </c>
      <c r="Q2" t="str">
        <f>Q1</f>
        <v>",SubStage= "</v>
      </c>
      <c r="R2" t="str">
        <f>Match!I3</f>
        <v>Group A</v>
      </c>
      <c r="S2" t="str">
        <f>S1</f>
        <v>",HTeam= "</v>
      </c>
      <c r="T2" t="str">
        <f>Match!J3</f>
        <v>Wales</v>
      </c>
      <c r="U2" t="str">
        <f>U1</f>
        <v>",HGoal=</v>
      </c>
      <c r="V2">
        <f>Match!K3</f>
        <v>1</v>
      </c>
      <c r="W2" t="str">
        <f>W1</f>
        <v>,GGoal=</v>
      </c>
      <c r="X2">
        <f>Match!L3</f>
        <v>1</v>
      </c>
      <c r="Y2" t="str">
        <f>Y1</f>
        <v>,GTeam= "</v>
      </c>
      <c r="Z2" t="str">
        <f>Match!M3</f>
        <v>Switzerland</v>
      </c>
      <c r="AA2" t="str">
        <f>AA1</f>
        <v>",WinNote="</v>
      </c>
      <c r="AB2" t="str">
        <f>IF(Match!N3="","",Match!N3)</f>
        <v/>
      </c>
      <c r="AC2" t="str">
        <f>AC1</f>
        <v xml:space="preserve">",Stadium=" </v>
      </c>
      <c r="AD2" s="95" t="str">
        <f>Match!O3</f>
        <v>Baki Olimpiya, Baku</v>
      </c>
      <c r="AE2" t="str">
        <f>AE1</f>
        <v>",Referee= "</v>
      </c>
      <c r="AF2" s="95" t="str">
        <f>IF(Match!P3="","",Match!P3)</f>
        <v/>
      </c>
      <c r="AG2" t="str">
        <f>AG1</f>
        <v xml:space="preserve">",Visistors= </v>
      </c>
      <c r="AH2" s="95">
        <f>IF(Match!Q3="",0,Match!Q3)</f>
        <v>0</v>
      </c>
      <c r="AI2" t="str">
        <f>AI1</f>
        <v>,Status= "</v>
      </c>
      <c r="AJ2" s="95" t="str">
        <f>Match!R3</f>
        <v>Finished</v>
      </c>
      <c r="AK2" t="str">
        <f>AK1</f>
        <v>" },</v>
      </c>
    </row>
    <row r="3" spans="1:37" x14ac:dyDescent="0.25">
      <c r="A3" s="94" t="str">
        <f t="shared" ref="A3:A66" si="0">A2</f>
        <v>new Match { MatchId= "</v>
      </c>
      <c r="B3" t="str">
        <f>Match!A4</f>
        <v>UEFAEURO2020-3</v>
      </c>
      <c r="C3" s="94" t="str">
        <f t="shared" ref="C3:C66" si="1">C2</f>
        <v>",MatchNumber=</v>
      </c>
      <c r="D3">
        <f>Match!B4</f>
        <v>3</v>
      </c>
      <c r="E3" s="94" t="str">
        <f t="shared" ref="E3:E66" si="2">E2</f>
        <v>,DateMatch=DateTime.Parse("</v>
      </c>
      <c r="F3" s="85">
        <f>Match!C4</f>
        <v>44360.041666666664</v>
      </c>
      <c r="G3" s="92" t="str">
        <f t="shared" ref="G3:G66" si="3">G2</f>
        <v>"),TimeMatch=TimeSpan.Parse("</v>
      </c>
      <c r="H3" s="93">
        <f>Match!D4</f>
        <v>44360.041666666664</v>
      </c>
      <c r="I3" s="94" t="str">
        <f t="shared" ref="I3:I66" si="4">I2</f>
        <v>"),MatchYear=</v>
      </c>
      <c r="J3">
        <f>Match!E4</f>
        <v>2021</v>
      </c>
      <c r="K3" s="94" t="str">
        <f t="shared" ref="K3:K66" si="5">K2</f>
        <v>, SeasonId= "</v>
      </c>
      <c r="L3" t="str">
        <f>Match!F4</f>
        <v>UEFAEURO2020</v>
      </c>
      <c r="M3" s="94" t="str">
        <f t="shared" ref="M3:M66" si="6">M2</f>
        <v>",Round= "</v>
      </c>
      <c r="N3" t="str">
        <f>Match!G4</f>
        <v>Final Round</v>
      </c>
      <c r="O3" t="str">
        <f t="shared" ref="O3:O66" si="7">O2</f>
        <v>",Stage= "</v>
      </c>
      <c r="P3" t="str">
        <f>Match!H4</f>
        <v>Group</v>
      </c>
      <c r="Q3" t="str">
        <f t="shared" ref="Q3:Q66" si="8">Q2</f>
        <v>",SubStage= "</v>
      </c>
      <c r="R3" t="str">
        <f>Match!I4</f>
        <v>Group B</v>
      </c>
      <c r="S3" t="str">
        <f t="shared" ref="S3:S66" si="9">S2</f>
        <v>",HTeam= "</v>
      </c>
      <c r="T3" t="str">
        <f>Match!J4</f>
        <v>Denmark</v>
      </c>
      <c r="U3" t="str">
        <f t="shared" ref="U3:U66" si="10">U2</f>
        <v>",HGoal=</v>
      </c>
      <c r="V3">
        <f>Match!K4</f>
        <v>0</v>
      </c>
      <c r="W3" t="str">
        <f t="shared" ref="W3:W66" si="11">W2</f>
        <v>,GGoal=</v>
      </c>
      <c r="X3">
        <f>Match!L4</f>
        <v>1</v>
      </c>
      <c r="Y3" t="str">
        <f t="shared" ref="Y3:Y66" si="12">Y2</f>
        <v>,GTeam= "</v>
      </c>
      <c r="Z3" t="str">
        <f>Match!M4</f>
        <v>Finland</v>
      </c>
      <c r="AA3" t="str">
        <f t="shared" ref="AA3:AA66" si="13">AA2</f>
        <v>",WinNote="</v>
      </c>
      <c r="AB3" t="str">
        <f>IF(Match!N4="","",Match!N4)</f>
        <v/>
      </c>
      <c r="AC3" t="str">
        <f t="shared" ref="AC3:AC66" si="14">AC2</f>
        <v xml:space="preserve">",Stadium=" </v>
      </c>
      <c r="AD3" s="95" t="str">
        <f>Match!O4</f>
        <v>Parken, Copenhagen</v>
      </c>
      <c r="AE3" t="str">
        <f t="shared" ref="AE3:AE66" si="15">AE2</f>
        <v>",Referee= "</v>
      </c>
      <c r="AF3" s="95" t="str">
        <f>IF(Match!P4="","",Match!P4)</f>
        <v/>
      </c>
      <c r="AG3" t="str">
        <f t="shared" ref="AG3:AG66" si="16">AG2</f>
        <v xml:space="preserve">",Visistors= </v>
      </c>
      <c r="AH3" s="95">
        <f>IF(Match!Q4="",0,Match!Q4)</f>
        <v>0</v>
      </c>
      <c r="AI3" t="str">
        <f t="shared" ref="AI3:AI66" si="17">AI2</f>
        <v>,Status= "</v>
      </c>
      <c r="AJ3" s="95" t="str">
        <f>Match!R4</f>
        <v>Finished</v>
      </c>
      <c r="AK3" t="str">
        <f t="shared" ref="AK3:AK66" si="18">AK2</f>
        <v>" },</v>
      </c>
    </row>
    <row r="4" spans="1:37" x14ac:dyDescent="0.25">
      <c r="A4" s="94" t="str">
        <f t="shared" si="0"/>
        <v>new Match { MatchId= "</v>
      </c>
      <c r="B4" t="str">
        <f>Match!A5</f>
        <v>UEFAEURO2020-4</v>
      </c>
      <c r="C4" s="94" t="str">
        <f t="shared" si="1"/>
        <v>",MatchNumber=</v>
      </c>
      <c r="D4">
        <f>Match!B5</f>
        <v>4</v>
      </c>
      <c r="E4" s="94" t="str">
        <f t="shared" si="2"/>
        <v>,DateMatch=DateTime.Parse("</v>
      </c>
      <c r="F4" s="85">
        <f>Match!C5</f>
        <v>44360.166666666664</v>
      </c>
      <c r="G4" s="92" t="str">
        <f t="shared" si="3"/>
        <v>"),TimeMatch=TimeSpan.Parse("</v>
      </c>
      <c r="H4" s="93">
        <f>Match!D5</f>
        <v>44360.166666666664</v>
      </c>
      <c r="I4" s="94" t="str">
        <f t="shared" si="4"/>
        <v>"),MatchYear=</v>
      </c>
      <c r="J4">
        <f>Match!E5</f>
        <v>2021</v>
      </c>
      <c r="K4" s="94" t="str">
        <f t="shared" si="5"/>
        <v>, SeasonId= "</v>
      </c>
      <c r="L4" t="str">
        <f>Match!F5</f>
        <v>UEFAEURO2020</v>
      </c>
      <c r="M4" s="94" t="str">
        <f t="shared" si="6"/>
        <v>",Round= "</v>
      </c>
      <c r="N4" t="str">
        <f>Match!G5</f>
        <v>Final Round</v>
      </c>
      <c r="O4" t="str">
        <f t="shared" si="7"/>
        <v>",Stage= "</v>
      </c>
      <c r="P4" t="str">
        <f>Match!H5</f>
        <v>Group</v>
      </c>
      <c r="Q4" t="str">
        <f t="shared" si="8"/>
        <v>",SubStage= "</v>
      </c>
      <c r="R4" t="str">
        <f>Match!I5</f>
        <v>Group B</v>
      </c>
      <c r="S4" t="str">
        <f t="shared" si="9"/>
        <v>",HTeam= "</v>
      </c>
      <c r="T4" t="str">
        <f>Match!J5</f>
        <v>Belgium</v>
      </c>
      <c r="U4" t="str">
        <f t="shared" si="10"/>
        <v>",HGoal=</v>
      </c>
      <c r="V4">
        <f>Match!K5</f>
        <v>3</v>
      </c>
      <c r="W4" t="str">
        <f t="shared" si="11"/>
        <v>,GGoal=</v>
      </c>
      <c r="X4">
        <f>Match!L5</f>
        <v>0</v>
      </c>
      <c r="Y4" t="str">
        <f t="shared" si="12"/>
        <v>,GTeam= "</v>
      </c>
      <c r="Z4" t="str">
        <f>Match!M5</f>
        <v>Russia</v>
      </c>
      <c r="AA4" t="str">
        <f t="shared" si="13"/>
        <v>",WinNote="</v>
      </c>
      <c r="AB4" t="str">
        <f>IF(Match!N5="","",Match!N5)</f>
        <v/>
      </c>
      <c r="AC4" t="str">
        <f t="shared" si="14"/>
        <v xml:space="preserve">",Stadium=" </v>
      </c>
      <c r="AD4" s="95" t="str">
        <f>Match!O5</f>
        <v>Gazprom Arena, St Petersburg</v>
      </c>
      <c r="AE4" t="str">
        <f t="shared" si="15"/>
        <v>",Referee= "</v>
      </c>
      <c r="AF4" s="95" t="str">
        <f>IF(Match!P5="","",Match!P5)</f>
        <v/>
      </c>
      <c r="AG4" t="str">
        <f t="shared" si="16"/>
        <v xml:space="preserve">",Visistors= </v>
      </c>
      <c r="AH4" s="95">
        <f>IF(Match!Q5="",0,Match!Q5)</f>
        <v>0</v>
      </c>
      <c r="AI4" t="str">
        <f t="shared" si="17"/>
        <v>,Status= "</v>
      </c>
      <c r="AJ4" s="95" t="str">
        <f>Match!R5</f>
        <v>Finished</v>
      </c>
      <c r="AK4" t="str">
        <f t="shared" si="18"/>
        <v>" },</v>
      </c>
    </row>
    <row r="5" spans="1:37" x14ac:dyDescent="0.25">
      <c r="A5" s="94" t="str">
        <f t="shared" si="0"/>
        <v>new Match { MatchId= "</v>
      </c>
      <c r="B5" t="str">
        <f>Match!A6</f>
        <v>UEFAEURO2020-5</v>
      </c>
      <c r="C5" s="94" t="str">
        <f t="shared" si="1"/>
        <v>",MatchNumber=</v>
      </c>
      <c r="D5">
        <f>Match!B6</f>
        <v>5</v>
      </c>
      <c r="E5" s="94" t="str">
        <f t="shared" si="2"/>
        <v>,DateMatch=DateTime.Parse("</v>
      </c>
      <c r="F5" s="85">
        <f>Match!C6</f>
        <v>44360.916666666664</v>
      </c>
      <c r="G5" s="92" t="str">
        <f t="shared" si="3"/>
        <v>"),TimeMatch=TimeSpan.Parse("</v>
      </c>
      <c r="H5" s="93">
        <f>Match!D6</f>
        <v>44360.916666666664</v>
      </c>
      <c r="I5" s="94" t="str">
        <f t="shared" si="4"/>
        <v>"),MatchYear=</v>
      </c>
      <c r="J5">
        <f>Match!E6</f>
        <v>2021</v>
      </c>
      <c r="K5" s="94" t="str">
        <f t="shared" si="5"/>
        <v>, SeasonId= "</v>
      </c>
      <c r="L5" t="str">
        <f>Match!F6</f>
        <v>UEFAEURO2020</v>
      </c>
      <c r="M5" s="94" t="str">
        <f t="shared" si="6"/>
        <v>",Round= "</v>
      </c>
      <c r="N5" t="str">
        <f>Match!G6</f>
        <v>Final Round</v>
      </c>
      <c r="O5" t="str">
        <f t="shared" si="7"/>
        <v>",Stage= "</v>
      </c>
      <c r="P5" t="str">
        <f>Match!H6</f>
        <v>Group</v>
      </c>
      <c r="Q5" t="str">
        <f t="shared" si="8"/>
        <v>",SubStage= "</v>
      </c>
      <c r="R5" t="str">
        <f>Match!I6</f>
        <v>Group D</v>
      </c>
      <c r="S5" t="str">
        <f t="shared" si="9"/>
        <v>",HTeam= "</v>
      </c>
      <c r="T5" t="str">
        <f>Match!J6</f>
        <v>England</v>
      </c>
      <c r="U5" t="str">
        <f t="shared" si="10"/>
        <v>",HGoal=</v>
      </c>
      <c r="V5">
        <f>Match!K6</f>
        <v>1</v>
      </c>
      <c r="W5" t="str">
        <f t="shared" si="11"/>
        <v>,GGoal=</v>
      </c>
      <c r="X5">
        <f>Match!L6</f>
        <v>0</v>
      </c>
      <c r="Y5" t="str">
        <f t="shared" si="12"/>
        <v>,GTeam= "</v>
      </c>
      <c r="Z5" t="str">
        <f>Match!M6</f>
        <v>Croatia</v>
      </c>
      <c r="AA5" t="str">
        <f t="shared" si="13"/>
        <v>",WinNote="</v>
      </c>
      <c r="AB5" t="str">
        <f>IF(Match!N6="","",Match!N6)</f>
        <v/>
      </c>
      <c r="AC5" t="str">
        <f t="shared" si="14"/>
        <v xml:space="preserve">",Stadium=" </v>
      </c>
      <c r="AD5" s="95" t="str">
        <f>Match!O6</f>
        <v>Wembley, London</v>
      </c>
      <c r="AE5" t="str">
        <f t="shared" si="15"/>
        <v>",Referee= "</v>
      </c>
      <c r="AF5" s="95" t="str">
        <f>IF(Match!P6="","",Match!P6)</f>
        <v/>
      </c>
      <c r="AG5" t="str">
        <f t="shared" si="16"/>
        <v xml:space="preserve">",Visistors= </v>
      </c>
      <c r="AH5" s="95">
        <f>IF(Match!Q6="",0,Match!Q6)</f>
        <v>0</v>
      </c>
      <c r="AI5" t="str">
        <f t="shared" si="17"/>
        <v>,Status= "</v>
      </c>
      <c r="AJ5" s="95" t="str">
        <f>Match!R6</f>
        <v>Finished</v>
      </c>
      <c r="AK5" t="str">
        <f t="shared" si="18"/>
        <v>" },</v>
      </c>
    </row>
    <row r="6" spans="1:37" x14ac:dyDescent="0.25">
      <c r="A6" s="94" t="str">
        <f t="shared" si="0"/>
        <v>new Match { MatchId= "</v>
      </c>
      <c r="B6" t="str">
        <f>Match!A7</f>
        <v>UEFAEURO2020-6</v>
      </c>
      <c r="C6" s="94" t="str">
        <f t="shared" si="1"/>
        <v>",MatchNumber=</v>
      </c>
      <c r="D6">
        <f>Match!B7</f>
        <v>6</v>
      </c>
      <c r="E6" s="94" t="str">
        <f t="shared" si="2"/>
        <v>,DateMatch=DateTime.Parse("</v>
      </c>
      <c r="F6" s="85">
        <f>Match!C7</f>
        <v>44361.041666666664</v>
      </c>
      <c r="G6" s="92" t="str">
        <f t="shared" si="3"/>
        <v>"),TimeMatch=TimeSpan.Parse("</v>
      </c>
      <c r="H6" s="93">
        <f>Match!D7</f>
        <v>44361.041666666664</v>
      </c>
      <c r="I6" s="94" t="str">
        <f t="shared" si="4"/>
        <v>"),MatchYear=</v>
      </c>
      <c r="J6">
        <f>Match!E7</f>
        <v>2021</v>
      </c>
      <c r="K6" s="94" t="str">
        <f t="shared" si="5"/>
        <v>, SeasonId= "</v>
      </c>
      <c r="L6" t="str">
        <f>Match!F7</f>
        <v>UEFAEURO2020</v>
      </c>
      <c r="M6" s="94" t="str">
        <f t="shared" si="6"/>
        <v>",Round= "</v>
      </c>
      <c r="N6" t="str">
        <f>Match!G7</f>
        <v>Final Round</v>
      </c>
      <c r="O6" t="str">
        <f t="shared" si="7"/>
        <v>",Stage= "</v>
      </c>
      <c r="P6" t="str">
        <f>Match!H7</f>
        <v>Group</v>
      </c>
      <c r="Q6" t="str">
        <f t="shared" si="8"/>
        <v>",SubStage= "</v>
      </c>
      <c r="R6" t="str">
        <f>Match!I7</f>
        <v>Group C</v>
      </c>
      <c r="S6" t="str">
        <f t="shared" si="9"/>
        <v>",HTeam= "</v>
      </c>
      <c r="T6" t="str">
        <f>Match!J7</f>
        <v>Austria</v>
      </c>
      <c r="U6" t="str">
        <f t="shared" si="10"/>
        <v>",HGoal=</v>
      </c>
      <c r="V6">
        <f>Match!K7</f>
        <v>3</v>
      </c>
      <c r="W6" t="str">
        <f t="shared" si="11"/>
        <v>,GGoal=</v>
      </c>
      <c r="X6">
        <f>Match!L7</f>
        <v>1</v>
      </c>
      <c r="Y6" t="str">
        <f t="shared" si="12"/>
        <v>,GTeam= "</v>
      </c>
      <c r="Z6" t="str">
        <f>Match!M7</f>
        <v>North Macedonia</v>
      </c>
      <c r="AA6" t="str">
        <f t="shared" si="13"/>
        <v>",WinNote="</v>
      </c>
      <c r="AB6" t="str">
        <f>IF(Match!N7="","",Match!N7)</f>
        <v/>
      </c>
      <c r="AC6" t="str">
        <f t="shared" si="14"/>
        <v xml:space="preserve">",Stadium=" </v>
      </c>
      <c r="AD6" s="95" t="str">
        <f>Match!O7</f>
        <v>National Arena, Bucharest</v>
      </c>
      <c r="AE6" t="str">
        <f t="shared" si="15"/>
        <v>",Referee= "</v>
      </c>
      <c r="AF6" s="95" t="str">
        <f>IF(Match!P7="","",Match!P7)</f>
        <v/>
      </c>
      <c r="AG6" t="str">
        <f t="shared" si="16"/>
        <v xml:space="preserve">",Visistors= </v>
      </c>
      <c r="AH6" s="95">
        <f>IF(Match!Q7="",0,Match!Q7)</f>
        <v>0</v>
      </c>
      <c r="AI6" t="str">
        <f t="shared" si="17"/>
        <v>,Status= "</v>
      </c>
      <c r="AJ6" s="95" t="str">
        <f>Match!R7</f>
        <v>Finished</v>
      </c>
      <c r="AK6" t="str">
        <f t="shared" si="18"/>
        <v>" },</v>
      </c>
    </row>
    <row r="7" spans="1:37" x14ac:dyDescent="0.25">
      <c r="A7" s="94" t="str">
        <f t="shared" si="0"/>
        <v>new Match { MatchId= "</v>
      </c>
      <c r="B7" t="str">
        <f>Match!A8</f>
        <v>UEFAEURO2020-7</v>
      </c>
      <c r="C7" s="94" t="str">
        <f t="shared" si="1"/>
        <v>",MatchNumber=</v>
      </c>
      <c r="D7">
        <f>Match!B8</f>
        <v>7</v>
      </c>
      <c r="E7" s="94" t="str">
        <f t="shared" si="2"/>
        <v>,DateMatch=DateTime.Parse("</v>
      </c>
      <c r="F7" s="85">
        <f>Match!C8</f>
        <v>44361.166666666664</v>
      </c>
      <c r="G7" s="92" t="str">
        <f t="shared" si="3"/>
        <v>"),TimeMatch=TimeSpan.Parse("</v>
      </c>
      <c r="H7" s="93">
        <f>Match!D8</f>
        <v>44361.166666666664</v>
      </c>
      <c r="I7" s="94" t="str">
        <f t="shared" si="4"/>
        <v>"),MatchYear=</v>
      </c>
      <c r="J7">
        <f>Match!E8</f>
        <v>2021</v>
      </c>
      <c r="K7" s="94" t="str">
        <f t="shared" si="5"/>
        <v>, SeasonId= "</v>
      </c>
      <c r="L7" t="str">
        <f>Match!F8</f>
        <v>UEFAEURO2020</v>
      </c>
      <c r="M7" s="94" t="str">
        <f t="shared" si="6"/>
        <v>",Round= "</v>
      </c>
      <c r="N7" t="str">
        <f>Match!G8</f>
        <v>Final Round</v>
      </c>
      <c r="O7" t="str">
        <f t="shared" si="7"/>
        <v>",Stage= "</v>
      </c>
      <c r="P7" t="str">
        <f>Match!H8</f>
        <v>Group</v>
      </c>
      <c r="Q7" t="str">
        <f t="shared" si="8"/>
        <v>",SubStage= "</v>
      </c>
      <c r="R7" t="str">
        <f>Match!I8</f>
        <v>Group C</v>
      </c>
      <c r="S7" t="str">
        <f t="shared" si="9"/>
        <v>",HTeam= "</v>
      </c>
      <c r="T7" t="str">
        <f>Match!J8</f>
        <v>Netherlands</v>
      </c>
      <c r="U7" t="str">
        <f t="shared" si="10"/>
        <v>",HGoal=</v>
      </c>
      <c r="V7">
        <f>Match!K8</f>
        <v>3</v>
      </c>
      <c r="W7" t="str">
        <f t="shared" si="11"/>
        <v>,GGoal=</v>
      </c>
      <c r="X7">
        <f>Match!L8</f>
        <v>2</v>
      </c>
      <c r="Y7" t="str">
        <f t="shared" si="12"/>
        <v>,GTeam= "</v>
      </c>
      <c r="Z7" t="str">
        <f>Match!M8</f>
        <v>Ukraine</v>
      </c>
      <c r="AA7" t="str">
        <f t="shared" si="13"/>
        <v>",WinNote="</v>
      </c>
      <c r="AB7" t="str">
        <f>IF(Match!N8="","",Match!N8)</f>
        <v/>
      </c>
      <c r="AC7" t="str">
        <f t="shared" si="14"/>
        <v xml:space="preserve">",Stadium=" </v>
      </c>
      <c r="AD7" s="95" t="str">
        <f>Match!O8</f>
        <v>Johan Cruijff Arena, Amsterdam</v>
      </c>
      <c r="AE7" t="str">
        <f t="shared" si="15"/>
        <v>",Referee= "</v>
      </c>
      <c r="AF7" s="95" t="str">
        <f>IF(Match!P8="","",Match!P8)</f>
        <v/>
      </c>
      <c r="AG7" t="str">
        <f t="shared" si="16"/>
        <v xml:space="preserve">",Visistors= </v>
      </c>
      <c r="AH7" s="95">
        <f>IF(Match!Q8="",0,Match!Q8)</f>
        <v>0</v>
      </c>
      <c r="AI7" t="str">
        <f t="shared" si="17"/>
        <v>,Status= "</v>
      </c>
      <c r="AJ7" s="95" t="str">
        <f>Match!R8</f>
        <v>Finished</v>
      </c>
      <c r="AK7" t="str">
        <f t="shared" si="18"/>
        <v>" },</v>
      </c>
    </row>
    <row r="8" spans="1:37" x14ac:dyDescent="0.25">
      <c r="A8" s="94" t="str">
        <f t="shared" si="0"/>
        <v>new Match { MatchId= "</v>
      </c>
      <c r="B8" t="str">
        <f>Match!A9</f>
        <v>UEFAEURO2020-8</v>
      </c>
      <c r="C8" s="94" t="str">
        <f t="shared" si="1"/>
        <v>",MatchNumber=</v>
      </c>
      <c r="D8">
        <f>Match!B9</f>
        <v>8</v>
      </c>
      <c r="E8" s="94" t="str">
        <f t="shared" si="2"/>
        <v>,DateMatch=DateTime.Parse("</v>
      </c>
      <c r="F8" s="85">
        <f>Match!C9</f>
        <v>44361.916666666664</v>
      </c>
      <c r="G8" s="92" t="str">
        <f t="shared" si="3"/>
        <v>"),TimeMatch=TimeSpan.Parse("</v>
      </c>
      <c r="H8" s="93">
        <f>Match!D9</f>
        <v>44361.916666666664</v>
      </c>
      <c r="I8" s="94" t="str">
        <f t="shared" si="4"/>
        <v>"),MatchYear=</v>
      </c>
      <c r="J8">
        <f>Match!E9</f>
        <v>2021</v>
      </c>
      <c r="K8" s="94" t="str">
        <f t="shared" si="5"/>
        <v>, SeasonId= "</v>
      </c>
      <c r="L8" t="str">
        <f>Match!F9</f>
        <v>UEFAEURO2020</v>
      </c>
      <c r="M8" s="94" t="str">
        <f t="shared" si="6"/>
        <v>",Round= "</v>
      </c>
      <c r="N8" t="str">
        <f>Match!G9</f>
        <v>Final Round</v>
      </c>
      <c r="O8" t="str">
        <f t="shared" si="7"/>
        <v>",Stage= "</v>
      </c>
      <c r="P8" t="str">
        <f>Match!H9</f>
        <v>Group</v>
      </c>
      <c r="Q8" t="str">
        <f t="shared" si="8"/>
        <v>",SubStage= "</v>
      </c>
      <c r="R8" t="str">
        <f>Match!I9</f>
        <v>Group D</v>
      </c>
      <c r="S8" t="str">
        <f t="shared" si="9"/>
        <v>",HTeam= "</v>
      </c>
      <c r="T8" t="str">
        <f>Match!J9</f>
        <v>Scotland</v>
      </c>
      <c r="U8" t="str">
        <f t="shared" si="10"/>
        <v>",HGoal=</v>
      </c>
      <c r="V8">
        <f>Match!K9</f>
        <v>0</v>
      </c>
      <c r="W8" t="str">
        <f t="shared" si="11"/>
        <v>,GGoal=</v>
      </c>
      <c r="X8">
        <f>Match!L9</f>
        <v>2</v>
      </c>
      <c r="Y8" t="str">
        <f t="shared" si="12"/>
        <v>,GTeam= "</v>
      </c>
      <c r="Z8" t="str">
        <f>Match!M9</f>
        <v>Czech Republic</v>
      </c>
      <c r="AA8" t="str">
        <f t="shared" si="13"/>
        <v>",WinNote="</v>
      </c>
      <c r="AB8" t="str">
        <f>IF(Match!N9="","",Match!N9)</f>
        <v/>
      </c>
      <c r="AC8" t="str">
        <f t="shared" si="14"/>
        <v xml:space="preserve">",Stadium=" </v>
      </c>
      <c r="AD8" s="95" t="str">
        <f>Match!O9</f>
        <v>Hampden Park, Glasgow</v>
      </c>
      <c r="AE8" t="str">
        <f t="shared" si="15"/>
        <v>",Referee= "</v>
      </c>
      <c r="AF8" s="95" t="str">
        <f>IF(Match!P9="","",Match!P9)</f>
        <v/>
      </c>
      <c r="AG8" t="str">
        <f t="shared" si="16"/>
        <v xml:space="preserve">",Visistors= </v>
      </c>
      <c r="AH8" s="95">
        <f>IF(Match!Q9="",0,Match!Q9)</f>
        <v>0</v>
      </c>
      <c r="AI8" t="str">
        <f t="shared" si="17"/>
        <v>,Status= "</v>
      </c>
      <c r="AJ8" s="95" t="str">
        <f>Match!R9</f>
        <v>Finished</v>
      </c>
      <c r="AK8" t="str">
        <f t="shared" si="18"/>
        <v>" },</v>
      </c>
    </row>
    <row r="9" spans="1:37" x14ac:dyDescent="0.25">
      <c r="A9" s="94" t="str">
        <f t="shared" si="0"/>
        <v>new Match { MatchId= "</v>
      </c>
      <c r="B9" t="str">
        <f>Match!A10</f>
        <v>UEFAEURO2020-9</v>
      </c>
      <c r="C9" s="94" t="str">
        <f t="shared" si="1"/>
        <v>",MatchNumber=</v>
      </c>
      <c r="D9">
        <f>Match!B10</f>
        <v>9</v>
      </c>
      <c r="E9" s="94" t="str">
        <f t="shared" si="2"/>
        <v>,DateMatch=DateTime.Parse("</v>
      </c>
      <c r="F9" s="85">
        <f>Match!C10</f>
        <v>44362.041666666664</v>
      </c>
      <c r="G9" s="92" t="str">
        <f t="shared" si="3"/>
        <v>"),TimeMatch=TimeSpan.Parse("</v>
      </c>
      <c r="H9" s="93">
        <f>Match!D10</f>
        <v>44362.041666666664</v>
      </c>
      <c r="I9" s="94" t="str">
        <f t="shared" si="4"/>
        <v>"),MatchYear=</v>
      </c>
      <c r="J9">
        <f>Match!E10</f>
        <v>2021</v>
      </c>
      <c r="K9" s="94" t="str">
        <f t="shared" si="5"/>
        <v>, SeasonId= "</v>
      </c>
      <c r="L9" t="str">
        <f>Match!F10</f>
        <v>UEFAEURO2020</v>
      </c>
      <c r="M9" s="94" t="str">
        <f t="shared" si="6"/>
        <v>",Round= "</v>
      </c>
      <c r="N9" t="str">
        <f>Match!G10</f>
        <v>Final Round</v>
      </c>
      <c r="O9" t="str">
        <f t="shared" si="7"/>
        <v>",Stage= "</v>
      </c>
      <c r="P9" t="str">
        <f>Match!H10</f>
        <v>Group</v>
      </c>
      <c r="Q9" t="str">
        <f t="shared" si="8"/>
        <v>",SubStage= "</v>
      </c>
      <c r="R9" t="str">
        <f>Match!I10</f>
        <v>Group E</v>
      </c>
      <c r="S9" t="str">
        <f t="shared" si="9"/>
        <v>",HTeam= "</v>
      </c>
      <c r="T9" t="str">
        <f>Match!J10</f>
        <v>Poland</v>
      </c>
      <c r="U9" t="str">
        <f t="shared" si="10"/>
        <v>",HGoal=</v>
      </c>
      <c r="V9">
        <f>Match!K10</f>
        <v>1</v>
      </c>
      <c r="W9" t="str">
        <f t="shared" si="11"/>
        <v>,GGoal=</v>
      </c>
      <c r="X9">
        <f>Match!L10</f>
        <v>2</v>
      </c>
      <c r="Y9" t="str">
        <f t="shared" si="12"/>
        <v>,GTeam= "</v>
      </c>
      <c r="Z9" t="str">
        <f>Match!M10</f>
        <v>Slovakia</v>
      </c>
      <c r="AA9" t="str">
        <f t="shared" si="13"/>
        <v>",WinNote="</v>
      </c>
      <c r="AB9" t="str">
        <f>IF(Match!N10="","",Match!N10)</f>
        <v/>
      </c>
      <c r="AC9" t="str">
        <f t="shared" si="14"/>
        <v xml:space="preserve">",Stadium=" </v>
      </c>
      <c r="AD9" s="95" t="str">
        <f>Match!O10</f>
        <v>Aviva, Dublin</v>
      </c>
      <c r="AE9" t="str">
        <f t="shared" si="15"/>
        <v>",Referee= "</v>
      </c>
      <c r="AF9" s="95" t="str">
        <f>IF(Match!P10="","",Match!P10)</f>
        <v/>
      </c>
      <c r="AG9" t="str">
        <f t="shared" si="16"/>
        <v xml:space="preserve">",Visistors= </v>
      </c>
      <c r="AH9" s="95">
        <f>IF(Match!Q10="",0,Match!Q10)</f>
        <v>0</v>
      </c>
      <c r="AI9" t="str">
        <f t="shared" si="17"/>
        <v>,Status= "</v>
      </c>
      <c r="AJ9" s="95" t="str">
        <f>Match!R10</f>
        <v>Finished</v>
      </c>
      <c r="AK9" t="str">
        <f t="shared" si="18"/>
        <v>" },</v>
      </c>
    </row>
    <row r="10" spans="1:37" x14ac:dyDescent="0.25">
      <c r="A10" s="94" t="str">
        <f t="shared" si="0"/>
        <v>new Match { MatchId= "</v>
      </c>
      <c r="B10" t="str">
        <f>Match!A11</f>
        <v>UEFAEURO2020-10</v>
      </c>
      <c r="C10" s="94" t="str">
        <f t="shared" si="1"/>
        <v>",MatchNumber=</v>
      </c>
      <c r="D10">
        <f>Match!B11</f>
        <v>10</v>
      </c>
      <c r="E10" s="94" t="str">
        <f t="shared" si="2"/>
        <v>,DateMatch=DateTime.Parse("</v>
      </c>
      <c r="F10" s="85">
        <f>Match!C11</f>
        <v>44362.166666666664</v>
      </c>
      <c r="G10" s="92" t="str">
        <f t="shared" si="3"/>
        <v>"),TimeMatch=TimeSpan.Parse("</v>
      </c>
      <c r="H10" s="93">
        <f>Match!D11</f>
        <v>44362.166666666664</v>
      </c>
      <c r="I10" s="94" t="str">
        <f t="shared" si="4"/>
        <v>"),MatchYear=</v>
      </c>
      <c r="J10">
        <f>Match!E11</f>
        <v>2021</v>
      </c>
      <c r="K10" s="94" t="str">
        <f t="shared" si="5"/>
        <v>, SeasonId= "</v>
      </c>
      <c r="L10" t="str">
        <f>Match!F11</f>
        <v>UEFAEURO2020</v>
      </c>
      <c r="M10" s="94" t="str">
        <f t="shared" si="6"/>
        <v>",Round= "</v>
      </c>
      <c r="N10" t="str">
        <f>Match!G11</f>
        <v>Final Round</v>
      </c>
      <c r="O10" t="str">
        <f t="shared" si="7"/>
        <v>",Stage= "</v>
      </c>
      <c r="P10" t="str">
        <f>Match!H11</f>
        <v>Group</v>
      </c>
      <c r="Q10" t="str">
        <f t="shared" si="8"/>
        <v>",SubStage= "</v>
      </c>
      <c r="R10" t="str">
        <f>Match!I11</f>
        <v>Group E</v>
      </c>
      <c r="S10" t="str">
        <f t="shared" si="9"/>
        <v>",HTeam= "</v>
      </c>
      <c r="T10" t="str">
        <f>Match!J11</f>
        <v>Spain</v>
      </c>
      <c r="U10" t="str">
        <f t="shared" si="10"/>
        <v>",HGoal=</v>
      </c>
      <c r="V10">
        <f>Match!K11</f>
        <v>0</v>
      </c>
      <c r="W10" t="str">
        <f t="shared" si="11"/>
        <v>,GGoal=</v>
      </c>
      <c r="X10">
        <f>Match!L11</f>
        <v>0</v>
      </c>
      <c r="Y10" t="str">
        <f t="shared" si="12"/>
        <v>,GTeam= "</v>
      </c>
      <c r="Z10" t="str">
        <f>Match!M11</f>
        <v>Sweden</v>
      </c>
      <c r="AA10" t="str">
        <f t="shared" si="13"/>
        <v>",WinNote="</v>
      </c>
      <c r="AB10" t="str">
        <f>IF(Match!N11="","",Match!N11)</f>
        <v/>
      </c>
      <c r="AC10" t="str">
        <f t="shared" si="14"/>
        <v xml:space="preserve">",Stadium=" </v>
      </c>
      <c r="AD10" s="95" t="str">
        <f>Match!O11</f>
        <v>Estadio de San Mames, Bilbao</v>
      </c>
      <c r="AE10" t="str">
        <f t="shared" si="15"/>
        <v>",Referee= "</v>
      </c>
      <c r="AF10" s="95" t="str">
        <f>IF(Match!P11="","",Match!P11)</f>
        <v/>
      </c>
      <c r="AG10" t="str">
        <f t="shared" si="16"/>
        <v xml:space="preserve">",Visistors= </v>
      </c>
      <c r="AH10" s="95">
        <f>IF(Match!Q11="",0,Match!Q11)</f>
        <v>0</v>
      </c>
      <c r="AI10" t="str">
        <f t="shared" si="17"/>
        <v>,Status= "</v>
      </c>
      <c r="AJ10" s="95" t="str">
        <f>Match!R11</f>
        <v>Finished</v>
      </c>
      <c r="AK10" t="str">
        <f t="shared" si="18"/>
        <v>" },</v>
      </c>
    </row>
    <row r="11" spans="1:37" x14ac:dyDescent="0.25">
      <c r="A11" s="94" t="str">
        <f t="shared" si="0"/>
        <v>new Match { MatchId= "</v>
      </c>
      <c r="B11" t="str">
        <f>Match!A12</f>
        <v>UEFAEURO2020-11</v>
      </c>
      <c r="C11" s="94" t="str">
        <f t="shared" si="1"/>
        <v>",MatchNumber=</v>
      </c>
      <c r="D11">
        <f>Match!B12</f>
        <v>11</v>
      </c>
      <c r="E11" s="94" t="str">
        <f t="shared" si="2"/>
        <v>,DateMatch=DateTime.Parse("</v>
      </c>
      <c r="F11" s="85">
        <f>Match!C12</f>
        <v>44363.041666666664</v>
      </c>
      <c r="G11" s="92" t="str">
        <f t="shared" si="3"/>
        <v>"),TimeMatch=TimeSpan.Parse("</v>
      </c>
      <c r="H11" s="93">
        <f>Match!D12</f>
        <v>44363.041666666664</v>
      </c>
      <c r="I11" s="94" t="str">
        <f t="shared" si="4"/>
        <v>"),MatchYear=</v>
      </c>
      <c r="J11">
        <f>Match!E12</f>
        <v>2021</v>
      </c>
      <c r="K11" s="94" t="str">
        <f t="shared" si="5"/>
        <v>, SeasonId= "</v>
      </c>
      <c r="L11" t="str">
        <f>Match!F12</f>
        <v>UEFAEURO2020</v>
      </c>
      <c r="M11" s="94" t="str">
        <f t="shared" si="6"/>
        <v>",Round= "</v>
      </c>
      <c r="N11" t="str">
        <f>Match!G12</f>
        <v>Final Round</v>
      </c>
      <c r="O11" t="str">
        <f t="shared" si="7"/>
        <v>",Stage= "</v>
      </c>
      <c r="P11" t="str">
        <f>Match!H12</f>
        <v>Group</v>
      </c>
      <c r="Q11" t="str">
        <f t="shared" si="8"/>
        <v>",SubStage= "</v>
      </c>
      <c r="R11" t="str">
        <f>Match!I12</f>
        <v>Group F</v>
      </c>
      <c r="S11" t="str">
        <f t="shared" si="9"/>
        <v>",HTeam= "</v>
      </c>
      <c r="T11" t="str">
        <f>Match!J12</f>
        <v>Hungary</v>
      </c>
      <c r="U11" t="str">
        <f t="shared" si="10"/>
        <v>",HGoal=</v>
      </c>
      <c r="V11">
        <f>Match!K12</f>
        <v>0</v>
      </c>
      <c r="W11" t="str">
        <f t="shared" si="11"/>
        <v>,GGoal=</v>
      </c>
      <c r="X11">
        <f>Match!L12</f>
        <v>3</v>
      </c>
      <c r="Y11" t="str">
        <f t="shared" si="12"/>
        <v>,GTeam= "</v>
      </c>
      <c r="Z11" t="str">
        <f>Match!M12</f>
        <v>Portugal</v>
      </c>
      <c r="AA11" t="str">
        <f t="shared" si="13"/>
        <v>",WinNote="</v>
      </c>
      <c r="AB11" t="str">
        <f>IF(Match!N12="","",Match!N12)</f>
        <v/>
      </c>
      <c r="AC11" t="str">
        <f t="shared" si="14"/>
        <v xml:space="preserve">",Stadium=" </v>
      </c>
      <c r="AD11" s="95" t="str">
        <f>Match!O12</f>
        <v>Puskas Arena, Budapest</v>
      </c>
      <c r="AE11" t="str">
        <f t="shared" si="15"/>
        <v>",Referee= "</v>
      </c>
      <c r="AF11" s="95" t="str">
        <f>IF(Match!P12="","",Match!P12)</f>
        <v/>
      </c>
      <c r="AG11" t="str">
        <f t="shared" si="16"/>
        <v xml:space="preserve">",Visistors= </v>
      </c>
      <c r="AH11" s="95">
        <f>IF(Match!Q12="",0,Match!Q12)</f>
        <v>0</v>
      </c>
      <c r="AI11" t="str">
        <f t="shared" si="17"/>
        <v>,Status= "</v>
      </c>
      <c r="AJ11" s="95" t="str">
        <f>Match!R12</f>
        <v>Finished</v>
      </c>
      <c r="AK11" t="str">
        <f t="shared" si="18"/>
        <v>" },</v>
      </c>
    </row>
    <row r="12" spans="1:37" x14ac:dyDescent="0.25">
      <c r="A12" s="94" t="str">
        <f t="shared" si="0"/>
        <v>new Match { MatchId= "</v>
      </c>
      <c r="B12" t="str">
        <f>Match!A13</f>
        <v>UEFAEURO2020-12</v>
      </c>
      <c r="C12" s="94" t="str">
        <f t="shared" si="1"/>
        <v>",MatchNumber=</v>
      </c>
      <c r="D12">
        <f>Match!B13</f>
        <v>12</v>
      </c>
      <c r="E12" s="94" t="str">
        <f t="shared" si="2"/>
        <v>,DateMatch=DateTime.Parse("</v>
      </c>
      <c r="F12" s="85">
        <f>Match!C13</f>
        <v>44363.166666666664</v>
      </c>
      <c r="G12" s="92" t="str">
        <f t="shared" si="3"/>
        <v>"),TimeMatch=TimeSpan.Parse("</v>
      </c>
      <c r="H12" s="93">
        <f>Match!D13</f>
        <v>44363.166666666664</v>
      </c>
      <c r="I12" s="94" t="str">
        <f t="shared" si="4"/>
        <v>"),MatchYear=</v>
      </c>
      <c r="J12">
        <f>Match!E13</f>
        <v>2021</v>
      </c>
      <c r="K12" s="94" t="str">
        <f t="shared" si="5"/>
        <v>, SeasonId= "</v>
      </c>
      <c r="L12" t="str">
        <f>Match!F13</f>
        <v>UEFAEURO2020</v>
      </c>
      <c r="M12" s="94" t="str">
        <f t="shared" si="6"/>
        <v>",Round= "</v>
      </c>
      <c r="N12" t="str">
        <f>Match!G13</f>
        <v>Final Round</v>
      </c>
      <c r="O12" t="str">
        <f t="shared" si="7"/>
        <v>",Stage= "</v>
      </c>
      <c r="P12" t="str">
        <f>Match!H13</f>
        <v>Group</v>
      </c>
      <c r="Q12" t="str">
        <f t="shared" si="8"/>
        <v>",SubStage= "</v>
      </c>
      <c r="R12" t="str">
        <f>Match!I13</f>
        <v>Group F</v>
      </c>
      <c r="S12" t="str">
        <f t="shared" si="9"/>
        <v>",HTeam= "</v>
      </c>
      <c r="T12" t="str">
        <f>Match!J13</f>
        <v>France</v>
      </c>
      <c r="U12" t="str">
        <f t="shared" si="10"/>
        <v>",HGoal=</v>
      </c>
      <c r="V12">
        <f>Match!K13</f>
        <v>1</v>
      </c>
      <c r="W12" t="str">
        <f t="shared" si="11"/>
        <v>,GGoal=</v>
      </c>
      <c r="X12">
        <f>Match!L13</f>
        <v>0</v>
      </c>
      <c r="Y12" t="str">
        <f t="shared" si="12"/>
        <v>,GTeam= "</v>
      </c>
      <c r="Z12" t="str">
        <f>Match!M13</f>
        <v>Germany</v>
      </c>
      <c r="AA12" t="str">
        <f t="shared" si="13"/>
        <v>",WinNote="</v>
      </c>
      <c r="AB12" t="str">
        <f>IF(Match!N13="","",Match!N13)</f>
        <v/>
      </c>
      <c r="AC12" t="str">
        <f t="shared" si="14"/>
        <v xml:space="preserve">",Stadium=" </v>
      </c>
      <c r="AD12" s="95" t="str">
        <f>Match!O13</f>
        <v>Allianz Arena, Munich</v>
      </c>
      <c r="AE12" t="str">
        <f t="shared" si="15"/>
        <v>",Referee= "</v>
      </c>
      <c r="AF12" s="95" t="str">
        <f>IF(Match!P13="","",Match!P13)</f>
        <v/>
      </c>
      <c r="AG12" t="str">
        <f t="shared" si="16"/>
        <v xml:space="preserve">",Visistors= </v>
      </c>
      <c r="AH12" s="95">
        <f>IF(Match!Q13="",0,Match!Q13)</f>
        <v>0</v>
      </c>
      <c r="AI12" t="str">
        <f t="shared" si="17"/>
        <v>,Status= "</v>
      </c>
      <c r="AJ12" s="95" t="str">
        <f>Match!R13</f>
        <v>Finished</v>
      </c>
      <c r="AK12" t="str">
        <f t="shared" si="18"/>
        <v>" },</v>
      </c>
    </row>
    <row r="13" spans="1:37" x14ac:dyDescent="0.25">
      <c r="A13" s="94" t="str">
        <f t="shared" si="0"/>
        <v>new Match { MatchId= "</v>
      </c>
      <c r="B13" t="str">
        <f>Match!A14</f>
        <v>UEFAEURO2020-13</v>
      </c>
      <c r="C13" s="94" t="str">
        <f t="shared" si="1"/>
        <v>",MatchNumber=</v>
      </c>
      <c r="D13">
        <f>Match!B14</f>
        <v>13</v>
      </c>
      <c r="E13" s="94" t="str">
        <f t="shared" si="2"/>
        <v>,DateMatch=DateTime.Parse("</v>
      </c>
      <c r="F13" s="85">
        <f>Match!C14</f>
        <v>44363.916666666664</v>
      </c>
      <c r="G13" s="92" t="str">
        <f t="shared" si="3"/>
        <v>"),TimeMatch=TimeSpan.Parse("</v>
      </c>
      <c r="H13" s="93">
        <f>Match!D14</f>
        <v>44363.916666666664</v>
      </c>
      <c r="I13" s="94" t="str">
        <f t="shared" si="4"/>
        <v>"),MatchYear=</v>
      </c>
      <c r="J13">
        <f>Match!E14</f>
        <v>2021</v>
      </c>
      <c r="K13" s="94" t="str">
        <f t="shared" si="5"/>
        <v>, SeasonId= "</v>
      </c>
      <c r="L13" t="str">
        <f>Match!F14</f>
        <v>UEFAEURO2020</v>
      </c>
      <c r="M13" s="94" t="str">
        <f t="shared" si="6"/>
        <v>",Round= "</v>
      </c>
      <c r="N13" t="str">
        <f>Match!G14</f>
        <v>Final Round</v>
      </c>
      <c r="O13" t="str">
        <f t="shared" si="7"/>
        <v>",Stage= "</v>
      </c>
      <c r="P13" t="str">
        <f>Match!H14</f>
        <v>Group</v>
      </c>
      <c r="Q13" t="str">
        <f t="shared" si="8"/>
        <v>",SubStage= "</v>
      </c>
      <c r="R13" t="str">
        <f>Match!I14</f>
        <v>Group B</v>
      </c>
      <c r="S13" t="str">
        <f t="shared" si="9"/>
        <v>",HTeam= "</v>
      </c>
      <c r="T13" t="str">
        <f>Match!J14</f>
        <v>Finland</v>
      </c>
      <c r="U13" t="str">
        <f t="shared" si="10"/>
        <v>",HGoal=</v>
      </c>
      <c r="V13">
        <f>Match!K14</f>
        <v>0</v>
      </c>
      <c r="W13" t="str">
        <f t="shared" si="11"/>
        <v>,GGoal=</v>
      </c>
      <c r="X13">
        <f>Match!L14</f>
        <v>1</v>
      </c>
      <c r="Y13" t="str">
        <f t="shared" si="12"/>
        <v>,GTeam= "</v>
      </c>
      <c r="Z13" t="str">
        <f>Match!M14</f>
        <v>Russia</v>
      </c>
      <c r="AA13" t="str">
        <f t="shared" si="13"/>
        <v>",WinNote="</v>
      </c>
      <c r="AB13" t="str">
        <f>IF(Match!N14="","",Match!N14)</f>
        <v/>
      </c>
      <c r="AC13" t="str">
        <f t="shared" si="14"/>
        <v xml:space="preserve">",Stadium=" </v>
      </c>
      <c r="AD13" s="95" t="str">
        <f>Match!O14</f>
        <v>Gazprom Arena, St Petersburg</v>
      </c>
      <c r="AE13" t="str">
        <f t="shared" si="15"/>
        <v>",Referee= "</v>
      </c>
      <c r="AF13" s="95" t="str">
        <f>IF(Match!P14="","",Match!P14)</f>
        <v/>
      </c>
      <c r="AG13" t="str">
        <f t="shared" si="16"/>
        <v xml:space="preserve">",Visistors= </v>
      </c>
      <c r="AH13" s="95">
        <f>IF(Match!Q14="",0,Match!Q14)</f>
        <v>0</v>
      </c>
      <c r="AI13" t="str">
        <f t="shared" si="17"/>
        <v>,Status= "</v>
      </c>
      <c r="AJ13" s="95" t="str">
        <f>Match!R14</f>
        <v>Finished</v>
      </c>
      <c r="AK13" t="str">
        <f t="shared" si="18"/>
        <v>" },</v>
      </c>
    </row>
    <row r="14" spans="1:37" x14ac:dyDescent="0.25">
      <c r="A14" s="94" t="str">
        <f t="shared" si="0"/>
        <v>new Match { MatchId= "</v>
      </c>
      <c r="B14" t="str">
        <f>Match!A15</f>
        <v>UEFAEURO2020-14</v>
      </c>
      <c r="C14" s="94" t="str">
        <f t="shared" si="1"/>
        <v>",MatchNumber=</v>
      </c>
      <c r="D14">
        <f>Match!B15</f>
        <v>14</v>
      </c>
      <c r="E14" s="94" t="str">
        <f t="shared" si="2"/>
        <v>,DateMatch=DateTime.Parse("</v>
      </c>
      <c r="F14" s="85">
        <f>Match!C15</f>
        <v>44364.041666666664</v>
      </c>
      <c r="G14" s="92" t="str">
        <f t="shared" si="3"/>
        <v>"),TimeMatch=TimeSpan.Parse("</v>
      </c>
      <c r="H14" s="93">
        <f>Match!D15</f>
        <v>44364.041666666664</v>
      </c>
      <c r="I14" s="94" t="str">
        <f t="shared" si="4"/>
        <v>"),MatchYear=</v>
      </c>
      <c r="J14">
        <f>Match!E15</f>
        <v>2021</v>
      </c>
      <c r="K14" s="94" t="str">
        <f t="shared" si="5"/>
        <v>, SeasonId= "</v>
      </c>
      <c r="L14" t="str">
        <f>Match!F15</f>
        <v>UEFAEURO2020</v>
      </c>
      <c r="M14" s="94" t="str">
        <f t="shared" si="6"/>
        <v>",Round= "</v>
      </c>
      <c r="N14" t="str">
        <f>Match!G15</f>
        <v>Final Round</v>
      </c>
      <c r="O14" t="str">
        <f t="shared" si="7"/>
        <v>",Stage= "</v>
      </c>
      <c r="P14" t="str">
        <f>Match!H15</f>
        <v>Group</v>
      </c>
      <c r="Q14" t="str">
        <f t="shared" si="8"/>
        <v>",SubStage= "</v>
      </c>
      <c r="R14" t="str">
        <f>Match!I15</f>
        <v>Group A</v>
      </c>
      <c r="S14" t="str">
        <f t="shared" si="9"/>
        <v>",HTeam= "</v>
      </c>
      <c r="T14" t="str">
        <f>Match!J15</f>
        <v>Turkey</v>
      </c>
      <c r="U14" t="str">
        <f t="shared" si="10"/>
        <v>",HGoal=</v>
      </c>
      <c r="V14">
        <f>Match!K15</f>
        <v>0</v>
      </c>
      <c r="W14" t="str">
        <f t="shared" si="11"/>
        <v>,GGoal=</v>
      </c>
      <c r="X14">
        <f>Match!L15</f>
        <v>2</v>
      </c>
      <c r="Y14" t="str">
        <f t="shared" si="12"/>
        <v>,GTeam= "</v>
      </c>
      <c r="Z14" t="str">
        <f>Match!M15</f>
        <v>Wales</v>
      </c>
      <c r="AA14" t="str">
        <f t="shared" si="13"/>
        <v>",WinNote="</v>
      </c>
      <c r="AB14" t="str">
        <f>IF(Match!N15="","",Match!N15)</f>
        <v/>
      </c>
      <c r="AC14" t="str">
        <f t="shared" si="14"/>
        <v xml:space="preserve">",Stadium=" </v>
      </c>
      <c r="AD14" s="95" t="str">
        <f>Match!O15</f>
        <v>Baki Olimpiya, Baku</v>
      </c>
      <c r="AE14" t="str">
        <f t="shared" si="15"/>
        <v>",Referee= "</v>
      </c>
      <c r="AF14" s="95" t="str">
        <f>IF(Match!P15="","",Match!P15)</f>
        <v/>
      </c>
      <c r="AG14" t="str">
        <f t="shared" si="16"/>
        <v xml:space="preserve">",Visistors= </v>
      </c>
      <c r="AH14" s="95">
        <f>IF(Match!Q15="",0,Match!Q15)</f>
        <v>0</v>
      </c>
      <c r="AI14" t="str">
        <f t="shared" si="17"/>
        <v>,Status= "</v>
      </c>
      <c r="AJ14" s="95" t="str">
        <f>Match!R15</f>
        <v>Finished</v>
      </c>
      <c r="AK14" t="str">
        <f t="shared" si="18"/>
        <v>" },</v>
      </c>
    </row>
    <row r="15" spans="1:37" x14ac:dyDescent="0.25">
      <c r="A15" s="94" t="str">
        <f t="shared" si="0"/>
        <v>new Match { MatchId= "</v>
      </c>
      <c r="B15" t="str">
        <f>Match!A16</f>
        <v>UEFAEURO2020-15</v>
      </c>
      <c r="C15" s="94" t="str">
        <f t="shared" si="1"/>
        <v>",MatchNumber=</v>
      </c>
      <c r="D15">
        <f>Match!B16</f>
        <v>15</v>
      </c>
      <c r="E15" s="94" t="str">
        <f t="shared" si="2"/>
        <v>,DateMatch=DateTime.Parse("</v>
      </c>
      <c r="F15" s="85">
        <f>Match!C16</f>
        <v>44364.166666666664</v>
      </c>
      <c r="G15" s="92" t="str">
        <f t="shared" si="3"/>
        <v>"),TimeMatch=TimeSpan.Parse("</v>
      </c>
      <c r="H15" s="93">
        <f>Match!D16</f>
        <v>44364.166666666664</v>
      </c>
      <c r="I15" s="94" t="str">
        <f t="shared" si="4"/>
        <v>"),MatchYear=</v>
      </c>
      <c r="J15">
        <f>Match!E16</f>
        <v>2021</v>
      </c>
      <c r="K15" s="94" t="str">
        <f t="shared" si="5"/>
        <v>, SeasonId= "</v>
      </c>
      <c r="L15" t="str">
        <f>Match!F16</f>
        <v>UEFAEURO2020</v>
      </c>
      <c r="M15" s="94" t="str">
        <f t="shared" si="6"/>
        <v>",Round= "</v>
      </c>
      <c r="N15" t="str">
        <f>Match!G16</f>
        <v>Final Round</v>
      </c>
      <c r="O15" t="str">
        <f t="shared" si="7"/>
        <v>",Stage= "</v>
      </c>
      <c r="P15" t="str">
        <f>Match!H16</f>
        <v>Group</v>
      </c>
      <c r="Q15" t="str">
        <f t="shared" si="8"/>
        <v>",SubStage= "</v>
      </c>
      <c r="R15" t="str">
        <f>Match!I16</f>
        <v>Group A</v>
      </c>
      <c r="S15" t="str">
        <f t="shared" si="9"/>
        <v>",HTeam= "</v>
      </c>
      <c r="T15" t="str">
        <f>Match!J16</f>
        <v>Italy</v>
      </c>
      <c r="U15" t="str">
        <f t="shared" si="10"/>
        <v>",HGoal=</v>
      </c>
      <c r="V15">
        <f>Match!K16</f>
        <v>3</v>
      </c>
      <c r="W15" t="str">
        <f t="shared" si="11"/>
        <v>,GGoal=</v>
      </c>
      <c r="X15">
        <f>Match!L16</f>
        <v>0</v>
      </c>
      <c r="Y15" t="str">
        <f t="shared" si="12"/>
        <v>,GTeam= "</v>
      </c>
      <c r="Z15" t="str">
        <f>Match!M16</f>
        <v>Switzerland</v>
      </c>
      <c r="AA15" t="str">
        <f t="shared" si="13"/>
        <v>",WinNote="</v>
      </c>
      <c r="AB15" t="str">
        <f>IF(Match!N16="","",Match!N16)</f>
        <v/>
      </c>
      <c r="AC15" t="str">
        <f t="shared" si="14"/>
        <v xml:space="preserve">",Stadium=" </v>
      </c>
      <c r="AD15" s="95" t="str">
        <f>Match!O16</f>
        <v>Olimpico, Rome</v>
      </c>
      <c r="AE15" t="str">
        <f t="shared" si="15"/>
        <v>",Referee= "</v>
      </c>
      <c r="AF15" s="95" t="str">
        <f>IF(Match!P16="","",Match!P16)</f>
        <v/>
      </c>
      <c r="AG15" t="str">
        <f t="shared" si="16"/>
        <v xml:space="preserve">",Visistors= </v>
      </c>
      <c r="AH15" s="95">
        <f>IF(Match!Q16="",0,Match!Q16)</f>
        <v>0</v>
      </c>
      <c r="AI15" t="str">
        <f t="shared" si="17"/>
        <v>,Status= "</v>
      </c>
      <c r="AJ15" s="95" t="str">
        <f>Match!R16</f>
        <v>Finished</v>
      </c>
      <c r="AK15" t="str">
        <f t="shared" si="18"/>
        <v>" },</v>
      </c>
    </row>
    <row r="16" spans="1:37" x14ac:dyDescent="0.25">
      <c r="A16" s="94" t="str">
        <f t="shared" si="0"/>
        <v>new Match { MatchId= "</v>
      </c>
      <c r="B16" t="str">
        <f>Match!A17</f>
        <v>UEFAEURO2020-16</v>
      </c>
      <c r="C16" s="94" t="str">
        <f t="shared" si="1"/>
        <v>",MatchNumber=</v>
      </c>
      <c r="D16">
        <f>Match!B17</f>
        <v>16</v>
      </c>
      <c r="E16" s="94" t="str">
        <f t="shared" si="2"/>
        <v>,DateMatch=DateTime.Parse("</v>
      </c>
      <c r="F16" s="85">
        <f>Match!C17</f>
        <v>44364.916666666664</v>
      </c>
      <c r="G16" s="92" t="str">
        <f t="shared" si="3"/>
        <v>"),TimeMatch=TimeSpan.Parse("</v>
      </c>
      <c r="H16" s="93">
        <f>Match!D17</f>
        <v>44364.916666666664</v>
      </c>
      <c r="I16" s="94" t="str">
        <f t="shared" si="4"/>
        <v>"),MatchYear=</v>
      </c>
      <c r="J16">
        <f>Match!E17</f>
        <v>2021</v>
      </c>
      <c r="K16" s="94" t="str">
        <f t="shared" si="5"/>
        <v>, SeasonId= "</v>
      </c>
      <c r="L16" t="str">
        <f>Match!F17</f>
        <v>UEFAEURO2020</v>
      </c>
      <c r="M16" s="94" t="str">
        <f t="shared" si="6"/>
        <v>",Round= "</v>
      </c>
      <c r="N16" t="str">
        <f>Match!G17</f>
        <v>Final Round</v>
      </c>
      <c r="O16" t="str">
        <f t="shared" si="7"/>
        <v>",Stage= "</v>
      </c>
      <c r="P16" t="str">
        <f>Match!H17</f>
        <v>Group</v>
      </c>
      <c r="Q16" t="str">
        <f t="shared" si="8"/>
        <v>",SubStage= "</v>
      </c>
      <c r="R16" t="str">
        <f>Match!I17</f>
        <v>Group C</v>
      </c>
      <c r="S16" t="str">
        <f t="shared" si="9"/>
        <v>",HTeam= "</v>
      </c>
      <c r="T16" t="str">
        <f>Match!J17</f>
        <v>Ukraine</v>
      </c>
      <c r="U16" t="str">
        <f t="shared" si="10"/>
        <v>",HGoal=</v>
      </c>
      <c r="V16">
        <f>Match!K17</f>
        <v>2</v>
      </c>
      <c r="W16" t="str">
        <f t="shared" si="11"/>
        <v>,GGoal=</v>
      </c>
      <c r="X16">
        <f>Match!L17</f>
        <v>1</v>
      </c>
      <c r="Y16" t="str">
        <f t="shared" si="12"/>
        <v>,GTeam= "</v>
      </c>
      <c r="Z16" t="str">
        <f>Match!M17</f>
        <v>North Macedonia</v>
      </c>
      <c r="AA16" t="str">
        <f t="shared" si="13"/>
        <v>",WinNote="</v>
      </c>
      <c r="AB16" t="str">
        <f>IF(Match!N17="","",Match!N17)</f>
        <v/>
      </c>
      <c r="AC16" t="str">
        <f t="shared" si="14"/>
        <v xml:space="preserve">",Stadium=" </v>
      </c>
      <c r="AD16" s="95" t="str">
        <f>Match!O17</f>
        <v>National Arena, Bucharest</v>
      </c>
      <c r="AE16" t="str">
        <f t="shared" si="15"/>
        <v>",Referee= "</v>
      </c>
      <c r="AF16" s="95" t="str">
        <f>IF(Match!P17="","",Match!P17)</f>
        <v/>
      </c>
      <c r="AG16" t="str">
        <f t="shared" si="16"/>
        <v xml:space="preserve">",Visistors= </v>
      </c>
      <c r="AH16" s="95">
        <f>IF(Match!Q17="",0,Match!Q17)</f>
        <v>0</v>
      </c>
      <c r="AI16" t="str">
        <f t="shared" si="17"/>
        <v>,Status= "</v>
      </c>
      <c r="AJ16" s="95" t="str">
        <f>Match!R17</f>
        <v>Finished</v>
      </c>
      <c r="AK16" t="str">
        <f t="shared" si="18"/>
        <v>" },</v>
      </c>
    </row>
    <row r="17" spans="1:37" x14ac:dyDescent="0.25">
      <c r="A17" s="94" t="str">
        <f t="shared" si="0"/>
        <v>new Match { MatchId= "</v>
      </c>
      <c r="B17" t="str">
        <f>Match!A18</f>
        <v>UEFAEURO2020-17</v>
      </c>
      <c r="C17" s="94" t="str">
        <f t="shared" si="1"/>
        <v>",MatchNumber=</v>
      </c>
      <c r="D17">
        <f>Match!B18</f>
        <v>17</v>
      </c>
      <c r="E17" s="94" t="str">
        <f t="shared" si="2"/>
        <v>,DateMatch=DateTime.Parse("</v>
      </c>
      <c r="F17" s="85">
        <f>Match!C18</f>
        <v>44365.041666666664</v>
      </c>
      <c r="G17" s="92" t="str">
        <f t="shared" si="3"/>
        <v>"),TimeMatch=TimeSpan.Parse("</v>
      </c>
      <c r="H17" s="93">
        <f>Match!D18</f>
        <v>44365.041666666664</v>
      </c>
      <c r="I17" s="94" t="str">
        <f t="shared" si="4"/>
        <v>"),MatchYear=</v>
      </c>
      <c r="J17">
        <f>Match!E18</f>
        <v>2021</v>
      </c>
      <c r="K17" s="94" t="str">
        <f t="shared" si="5"/>
        <v>, SeasonId= "</v>
      </c>
      <c r="L17" t="str">
        <f>Match!F18</f>
        <v>UEFAEURO2020</v>
      </c>
      <c r="M17" s="94" t="str">
        <f t="shared" si="6"/>
        <v>",Round= "</v>
      </c>
      <c r="N17" t="str">
        <f>Match!G18</f>
        <v>Final Round</v>
      </c>
      <c r="O17" t="str">
        <f t="shared" si="7"/>
        <v>",Stage= "</v>
      </c>
      <c r="P17" t="str">
        <f>Match!H18</f>
        <v>Group</v>
      </c>
      <c r="Q17" t="str">
        <f t="shared" si="8"/>
        <v>",SubStage= "</v>
      </c>
      <c r="R17" t="str">
        <f>Match!I18</f>
        <v>Group B</v>
      </c>
      <c r="S17" t="str">
        <f t="shared" si="9"/>
        <v>",HTeam= "</v>
      </c>
      <c r="T17" t="str">
        <f>Match!J18</f>
        <v>Denmark</v>
      </c>
      <c r="U17" t="str">
        <f t="shared" si="10"/>
        <v>",HGoal=</v>
      </c>
      <c r="V17">
        <f>Match!K18</f>
        <v>1</v>
      </c>
      <c r="W17" t="str">
        <f t="shared" si="11"/>
        <v>,GGoal=</v>
      </c>
      <c r="X17">
        <f>Match!L18</f>
        <v>2</v>
      </c>
      <c r="Y17" t="str">
        <f t="shared" si="12"/>
        <v>,GTeam= "</v>
      </c>
      <c r="Z17" t="str">
        <f>Match!M18</f>
        <v>Belgium</v>
      </c>
      <c r="AA17" t="str">
        <f t="shared" si="13"/>
        <v>",WinNote="</v>
      </c>
      <c r="AB17" t="str">
        <f>IF(Match!N18="","",Match!N18)</f>
        <v/>
      </c>
      <c r="AC17" t="str">
        <f t="shared" si="14"/>
        <v xml:space="preserve">",Stadium=" </v>
      </c>
      <c r="AD17" s="95" t="str">
        <f>Match!O18</f>
        <v>Parken, Copenhagen</v>
      </c>
      <c r="AE17" t="str">
        <f t="shared" si="15"/>
        <v>",Referee= "</v>
      </c>
      <c r="AF17" s="95" t="str">
        <f>IF(Match!P18="","",Match!P18)</f>
        <v/>
      </c>
      <c r="AG17" t="str">
        <f t="shared" si="16"/>
        <v xml:space="preserve">",Visistors= </v>
      </c>
      <c r="AH17" s="95">
        <f>IF(Match!Q18="",0,Match!Q18)</f>
        <v>0</v>
      </c>
      <c r="AI17" t="str">
        <f t="shared" si="17"/>
        <v>,Status= "</v>
      </c>
      <c r="AJ17" s="95" t="str">
        <f>Match!R18</f>
        <v>Finished</v>
      </c>
      <c r="AK17" t="str">
        <f t="shared" si="18"/>
        <v>" },</v>
      </c>
    </row>
    <row r="18" spans="1:37" x14ac:dyDescent="0.25">
      <c r="A18" s="94" t="str">
        <f t="shared" si="0"/>
        <v>new Match { MatchId= "</v>
      </c>
      <c r="B18" t="str">
        <f>Match!A19</f>
        <v>UEFAEURO2020-18</v>
      </c>
      <c r="C18" s="94" t="str">
        <f t="shared" si="1"/>
        <v>",MatchNumber=</v>
      </c>
      <c r="D18">
        <f>Match!B19</f>
        <v>18</v>
      </c>
      <c r="E18" s="94" t="str">
        <f t="shared" si="2"/>
        <v>,DateMatch=DateTime.Parse("</v>
      </c>
      <c r="F18" s="85">
        <f>Match!C19</f>
        <v>44365.166666666664</v>
      </c>
      <c r="G18" s="92" t="str">
        <f t="shared" si="3"/>
        <v>"),TimeMatch=TimeSpan.Parse("</v>
      </c>
      <c r="H18" s="93">
        <f>Match!D19</f>
        <v>44365.166666666664</v>
      </c>
      <c r="I18" s="94" t="str">
        <f t="shared" si="4"/>
        <v>"),MatchYear=</v>
      </c>
      <c r="J18">
        <f>Match!E19</f>
        <v>2021</v>
      </c>
      <c r="K18" s="94" t="str">
        <f t="shared" si="5"/>
        <v>, SeasonId= "</v>
      </c>
      <c r="L18" t="str">
        <f>Match!F19</f>
        <v>UEFAEURO2020</v>
      </c>
      <c r="M18" s="94" t="str">
        <f t="shared" si="6"/>
        <v>",Round= "</v>
      </c>
      <c r="N18" t="str">
        <f>Match!G19</f>
        <v>Final Round</v>
      </c>
      <c r="O18" t="str">
        <f t="shared" si="7"/>
        <v>",Stage= "</v>
      </c>
      <c r="P18" t="str">
        <f>Match!H19</f>
        <v>Group</v>
      </c>
      <c r="Q18" t="str">
        <f t="shared" si="8"/>
        <v>",SubStage= "</v>
      </c>
      <c r="R18" t="str">
        <f>Match!I19</f>
        <v>Group C</v>
      </c>
      <c r="S18" t="str">
        <f t="shared" si="9"/>
        <v>",HTeam= "</v>
      </c>
      <c r="T18" t="str">
        <f>Match!J19</f>
        <v>Netherlands</v>
      </c>
      <c r="U18" t="str">
        <f t="shared" si="10"/>
        <v>",HGoal=</v>
      </c>
      <c r="V18">
        <f>Match!K19</f>
        <v>2</v>
      </c>
      <c r="W18" t="str">
        <f t="shared" si="11"/>
        <v>,GGoal=</v>
      </c>
      <c r="X18">
        <f>Match!L19</f>
        <v>0</v>
      </c>
      <c r="Y18" t="str">
        <f t="shared" si="12"/>
        <v>,GTeam= "</v>
      </c>
      <c r="Z18" t="str">
        <f>Match!M19</f>
        <v>Austria</v>
      </c>
      <c r="AA18" t="str">
        <f t="shared" si="13"/>
        <v>",WinNote="</v>
      </c>
      <c r="AB18" t="str">
        <f>IF(Match!N19="","",Match!N19)</f>
        <v/>
      </c>
      <c r="AC18" t="str">
        <f t="shared" si="14"/>
        <v xml:space="preserve">",Stadium=" </v>
      </c>
      <c r="AD18" s="95" t="str">
        <f>Match!O19</f>
        <v>Johan Cruijff Arena, Amsterdam</v>
      </c>
      <c r="AE18" t="str">
        <f t="shared" si="15"/>
        <v>",Referee= "</v>
      </c>
      <c r="AF18" s="95" t="str">
        <f>IF(Match!P19="","",Match!P19)</f>
        <v/>
      </c>
      <c r="AG18" t="str">
        <f t="shared" si="16"/>
        <v xml:space="preserve">",Visistors= </v>
      </c>
      <c r="AH18" s="95">
        <f>IF(Match!Q19="",0,Match!Q19)</f>
        <v>0</v>
      </c>
      <c r="AI18" t="str">
        <f t="shared" si="17"/>
        <v>,Status= "</v>
      </c>
      <c r="AJ18" s="95" t="str">
        <f>Match!R19</f>
        <v>Finished</v>
      </c>
      <c r="AK18" t="str">
        <f t="shared" si="18"/>
        <v>" },</v>
      </c>
    </row>
    <row r="19" spans="1:37" x14ac:dyDescent="0.25">
      <c r="A19" s="94" t="str">
        <f t="shared" si="0"/>
        <v>new Match { MatchId= "</v>
      </c>
      <c r="B19" t="str">
        <f>Match!A20</f>
        <v>UEFAEURO2020-19</v>
      </c>
      <c r="C19" s="94" t="str">
        <f t="shared" si="1"/>
        <v>",MatchNumber=</v>
      </c>
      <c r="D19">
        <f>Match!B20</f>
        <v>19</v>
      </c>
      <c r="E19" s="94" t="str">
        <f t="shared" si="2"/>
        <v>,DateMatch=DateTime.Parse("</v>
      </c>
      <c r="F19" s="85">
        <f>Match!C20</f>
        <v>44365.916666666664</v>
      </c>
      <c r="G19" s="92" t="str">
        <f t="shared" si="3"/>
        <v>"),TimeMatch=TimeSpan.Parse("</v>
      </c>
      <c r="H19" s="93">
        <f>Match!D20</f>
        <v>44365.916666666664</v>
      </c>
      <c r="I19" s="94" t="str">
        <f t="shared" si="4"/>
        <v>"),MatchYear=</v>
      </c>
      <c r="J19">
        <f>Match!E20</f>
        <v>2021</v>
      </c>
      <c r="K19" s="94" t="str">
        <f t="shared" si="5"/>
        <v>, SeasonId= "</v>
      </c>
      <c r="L19" t="str">
        <f>Match!F20</f>
        <v>UEFAEURO2020</v>
      </c>
      <c r="M19" s="94" t="str">
        <f t="shared" si="6"/>
        <v>",Round= "</v>
      </c>
      <c r="N19" t="str">
        <f>Match!G20</f>
        <v>Final Round</v>
      </c>
      <c r="O19" t="str">
        <f t="shared" si="7"/>
        <v>",Stage= "</v>
      </c>
      <c r="P19" t="str">
        <f>Match!H20</f>
        <v>Group</v>
      </c>
      <c r="Q19" t="str">
        <f t="shared" si="8"/>
        <v>",SubStage= "</v>
      </c>
      <c r="R19" t="str">
        <f>Match!I20</f>
        <v>Group E</v>
      </c>
      <c r="S19" t="str">
        <f t="shared" si="9"/>
        <v>",HTeam= "</v>
      </c>
      <c r="T19" t="str">
        <f>Match!J20</f>
        <v>Sweden</v>
      </c>
      <c r="U19" t="str">
        <f t="shared" si="10"/>
        <v>",HGoal=</v>
      </c>
      <c r="V19">
        <f>Match!K20</f>
        <v>1</v>
      </c>
      <c r="W19" t="str">
        <f t="shared" si="11"/>
        <v>,GGoal=</v>
      </c>
      <c r="X19">
        <f>Match!L20</f>
        <v>0</v>
      </c>
      <c r="Y19" t="str">
        <f t="shared" si="12"/>
        <v>,GTeam= "</v>
      </c>
      <c r="Z19" t="str">
        <f>Match!M20</f>
        <v>Slovakia</v>
      </c>
      <c r="AA19" t="str">
        <f t="shared" si="13"/>
        <v>",WinNote="</v>
      </c>
      <c r="AB19" t="str">
        <f>IF(Match!N20="","",Match!N20)</f>
        <v/>
      </c>
      <c r="AC19" t="str">
        <f t="shared" si="14"/>
        <v xml:space="preserve">",Stadium=" </v>
      </c>
      <c r="AD19" s="95" t="str">
        <f>Match!O20</f>
        <v>Aviva, Dublin</v>
      </c>
      <c r="AE19" t="str">
        <f t="shared" si="15"/>
        <v>",Referee= "</v>
      </c>
      <c r="AF19" s="95" t="str">
        <f>IF(Match!P20="","",Match!P20)</f>
        <v/>
      </c>
      <c r="AG19" t="str">
        <f t="shared" si="16"/>
        <v xml:space="preserve">",Visistors= </v>
      </c>
      <c r="AH19" s="95">
        <f>IF(Match!Q20="",0,Match!Q20)</f>
        <v>0</v>
      </c>
      <c r="AI19" t="str">
        <f t="shared" si="17"/>
        <v>,Status= "</v>
      </c>
      <c r="AJ19" s="95" t="str">
        <f>Match!R20</f>
        <v>Finished</v>
      </c>
      <c r="AK19" t="str">
        <f t="shared" si="18"/>
        <v>" },</v>
      </c>
    </row>
    <row r="20" spans="1:37" x14ac:dyDescent="0.25">
      <c r="A20" s="94" t="str">
        <f t="shared" si="0"/>
        <v>new Match { MatchId= "</v>
      </c>
      <c r="B20" t="str">
        <f>Match!A21</f>
        <v>UEFAEURO2020-20</v>
      </c>
      <c r="C20" s="94" t="str">
        <f t="shared" si="1"/>
        <v>",MatchNumber=</v>
      </c>
      <c r="D20">
        <f>Match!B21</f>
        <v>20</v>
      </c>
      <c r="E20" s="94" t="str">
        <f t="shared" si="2"/>
        <v>,DateMatch=DateTime.Parse("</v>
      </c>
      <c r="F20" s="85">
        <f>Match!C21</f>
        <v>44366.041666666664</v>
      </c>
      <c r="G20" s="92" t="str">
        <f t="shared" si="3"/>
        <v>"),TimeMatch=TimeSpan.Parse("</v>
      </c>
      <c r="H20" s="93">
        <f>Match!D21</f>
        <v>44366.041666666664</v>
      </c>
      <c r="I20" s="94" t="str">
        <f t="shared" si="4"/>
        <v>"),MatchYear=</v>
      </c>
      <c r="J20">
        <f>Match!E21</f>
        <v>2021</v>
      </c>
      <c r="K20" s="94" t="str">
        <f t="shared" si="5"/>
        <v>, SeasonId= "</v>
      </c>
      <c r="L20" t="str">
        <f>Match!F21</f>
        <v>UEFAEURO2020</v>
      </c>
      <c r="M20" s="94" t="str">
        <f t="shared" si="6"/>
        <v>",Round= "</v>
      </c>
      <c r="N20" t="str">
        <f>Match!G21</f>
        <v>Final Round</v>
      </c>
      <c r="O20" t="str">
        <f t="shared" si="7"/>
        <v>",Stage= "</v>
      </c>
      <c r="P20" t="str">
        <f>Match!H21</f>
        <v>Group</v>
      </c>
      <c r="Q20" t="str">
        <f t="shared" si="8"/>
        <v>",SubStage= "</v>
      </c>
      <c r="R20" t="str">
        <f>Match!I21</f>
        <v>Group D</v>
      </c>
      <c r="S20" t="str">
        <f t="shared" si="9"/>
        <v>",HTeam= "</v>
      </c>
      <c r="T20" t="str">
        <f>Match!J21</f>
        <v>Croatia</v>
      </c>
      <c r="U20" t="str">
        <f t="shared" si="10"/>
        <v>",HGoal=</v>
      </c>
      <c r="V20">
        <f>Match!K21</f>
        <v>1</v>
      </c>
      <c r="W20" t="str">
        <f t="shared" si="11"/>
        <v>,GGoal=</v>
      </c>
      <c r="X20">
        <f>Match!L21</f>
        <v>1</v>
      </c>
      <c r="Y20" t="str">
        <f t="shared" si="12"/>
        <v>,GTeam= "</v>
      </c>
      <c r="Z20" t="str">
        <f>Match!M21</f>
        <v>Czech Republic</v>
      </c>
      <c r="AA20" t="str">
        <f t="shared" si="13"/>
        <v>",WinNote="</v>
      </c>
      <c r="AB20" t="str">
        <f>IF(Match!N21="","",Match!N21)</f>
        <v/>
      </c>
      <c r="AC20" t="str">
        <f t="shared" si="14"/>
        <v xml:space="preserve">",Stadium=" </v>
      </c>
      <c r="AD20" s="95" t="str">
        <f>Match!O21</f>
        <v>Hampden Park, Glasgow</v>
      </c>
      <c r="AE20" t="str">
        <f t="shared" si="15"/>
        <v>",Referee= "</v>
      </c>
      <c r="AF20" s="95" t="str">
        <f>IF(Match!P21="","",Match!P21)</f>
        <v/>
      </c>
      <c r="AG20" t="str">
        <f t="shared" si="16"/>
        <v xml:space="preserve">",Visistors= </v>
      </c>
      <c r="AH20" s="95">
        <f>IF(Match!Q21="",0,Match!Q21)</f>
        <v>0</v>
      </c>
      <c r="AI20" t="str">
        <f t="shared" si="17"/>
        <v>,Status= "</v>
      </c>
      <c r="AJ20" s="95" t="str">
        <f>Match!R21</f>
        <v>Finished</v>
      </c>
      <c r="AK20" t="str">
        <f t="shared" si="18"/>
        <v>" },</v>
      </c>
    </row>
    <row r="21" spans="1:37" x14ac:dyDescent="0.25">
      <c r="A21" s="94" t="str">
        <f t="shared" si="0"/>
        <v>new Match { MatchId= "</v>
      </c>
      <c r="B21" t="str">
        <f>Match!A22</f>
        <v>UEFAEURO2020-21</v>
      </c>
      <c r="C21" s="94" t="str">
        <f t="shared" si="1"/>
        <v>",MatchNumber=</v>
      </c>
      <c r="D21">
        <f>Match!B22</f>
        <v>21</v>
      </c>
      <c r="E21" s="94" t="str">
        <f t="shared" si="2"/>
        <v>,DateMatch=DateTime.Parse("</v>
      </c>
      <c r="F21" s="85">
        <f>Match!C22</f>
        <v>44366.166666666664</v>
      </c>
      <c r="G21" s="92" t="str">
        <f t="shared" si="3"/>
        <v>"),TimeMatch=TimeSpan.Parse("</v>
      </c>
      <c r="H21" s="93">
        <f>Match!D22</f>
        <v>44366.166666666664</v>
      </c>
      <c r="I21" s="94" t="str">
        <f t="shared" si="4"/>
        <v>"),MatchYear=</v>
      </c>
      <c r="J21">
        <f>Match!E22</f>
        <v>2021</v>
      </c>
      <c r="K21" s="94" t="str">
        <f t="shared" si="5"/>
        <v>, SeasonId= "</v>
      </c>
      <c r="L21" t="str">
        <f>Match!F22</f>
        <v>UEFAEURO2020</v>
      </c>
      <c r="M21" s="94" t="str">
        <f t="shared" si="6"/>
        <v>",Round= "</v>
      </c>
      <c r="N21" t="str">
        <f>Match!G22</f>
        <v>Final Round</v>
      </c>
      <c r="O21" t="str">
        <f t="shared" si="7"/>
        <v>",Stage= "</v>
      </c>
      <c r="P21" t="str">
        <f>Match!H22</f>
        <v>Group</v>
      </c>
      <c r="Q21" t="str">
        <f t="shared" si="8"/>
        <v>",SubStage= "</v>
      </c>
      <c r="R21" t="str">
        <f>Match!I22</f>
        <v>Group D</v>
      </c>
      <c r="S21" t="str">
        <f t="shared" si="9"/>
        <v>",HTeam= "</v>
      </c>
      <c r="T21" t="str">
        <f>Match!J22</f>
        <v>England</v>
      </c>
      <c r="U21" t="str">
        <f t="shared" si="10"/>
        <v>",HGoal=</v>
      </c>
      <c r="V21">
        <f>Match!K22</f>
        <v>0</v>
      </c>
      <c r="W21" t="str">
        <f t="shared" si="11"/>
        <v>,GGoal=</v>
      </c>
      <c r="X21">
        <f>Match!L22</f>
        <v>0</v>
      </c>
      <c r="Y21" t="str">
        <f t="shared" si="12"/>
        <v>,GTeam= "</v>
      </c>
      <c r="Z21" t="str">
        <f>Match!M22</f>
        <v>Scotland</v>
      </c>
      <c r="AA21" t="str">
        <f t="shared" si="13"/>
        <v>",WinNote="</v>
      </c>
      <c r="AB21" t="str">
        <f>IF(Match!N22="","",Match!N22)</f>
        <v/>
      </c>
      <c r="AC21" t="str">
        <f t="shared" si="14"/>
        <v xml:space="preserve">",Stadium=" </v>
      </c>
      <c r="AD21" s="95" t="str">
        <f>Match!O22</f>
        <v>Wembley, London</v>
      </c>
      <c r="AE21" t="str">
        <f t="shared" si="15"/>
        <v>",Referee= "</v>
      </c>
      <c r="AF21" s="95" t="str">
        <f>IF(Match!P22="","",Match!P22)</f>
        <v/>
      </c>
      <c r="AG21" t="str">
        <f t="shared" si="16"/>
        <v xml:space="preserve">",Visistors= </v>
      </c>
      <c r="AH21" s="95">
        <f>IF(Match!Q22="",0,Match!Q22)</f>
        <v>0</v>
      </c>
      <c r="AI21" t="str">
        <f t="shared" si="17"/>
        <v>,Status= "</v>
      </c>
      <c r="AJ21" s="95" t="str">
        <f>Match!R22</f>
        <v>Finished</v>
      </c>
      <c r="AK21" t="str">
        <f t="shared" si="18"/>
        <v>" },</v>
      </c>
    </row>
    <row r="22" spans="1:37" x14ac:dyDescent="0.25">
      <c r="A22" s="94" t="str">
        <f t="shared" si="0"/>
        <v>new Match { MatchId= "</v>
      </c>
      <c r="B22" t="str">
        <f>Match!A23</f>
        <v>UEFAEURO2020-22</v>
      </c>
      <c r="C22" s="94" t="str">
        <f t="shared" si="1"/>
        <v>",MatchNumber=</v>
      </c>
      <c r="D22">
        <f>Match!B23</f>
        <v>22</v>
      </c>
      <c r="E22" s="94" t="str">
        <f t="shared" si="2"/>
        <v>,DateMatch=DateTime.Parse("</v>
      </c>
      <c r="F22" s="85">
        <f>Match!C23</f>
        <v>44366.916666666664</v>
      </c>
      <c r="G22" s="92" t="str">
        <f t="shared" si="3"/>
        <v>"),TimeMatch=TimeSpan.Parse("</v>
      </c>
      <c r="H22" s="93">
        <f>Match!D23</f>
        <v>44366.916666666664</v>
      </c>
      <c r="I22" s="94" t="str">
        <f t="shared" si="4"/>
        <v>"),MatchYear=</v>
      </c>
      <c r="J22">
        <f>Match!E23</f>
        <v>2021</v>
      </c>
      <c r="K22" s="94" t="str">
        <f t="shared" si="5"/>
        <v>, SeasonId= "</v>
      </c>
      <c r="L22" t="str">
        <f>Match!F23</f>
        <v>UEFAEURO2020</v>
      </c>
      <c r="M22" s="94" t="str">
        <f t="shared" si="6"/>
        <v>",Round= "</v>
      </c>
      <c r="N22" t="str">
        <f>Match!G23</f>
        <v>Final Round</v>
      </c>
      <c r="O22" t="str">
        <f t="shared" si="7"/>
        <v>",Stage= "</v>
      </c>
      <c r="P22" t="str">
        <f>Match!H23</f>
        <v>Group</v>
      </c>
      <c r="Q22" t="str">
        <f t="shared" si="8"/>
        <v>",SubStage= "</v>
      </c>
      <c r="R22" t="str">
        <f>Match!I23</f>
        <v>Group F</v>
      </c>
      <c r="S22" t="str">
        <f t="shared" si="9"/>
        <v>",HTeam= "</v>
      </c>
      <c r="T22" t="str">
        <f>Match!J23</f>
        <v>Hungary</v>
      </c>
      <c r="U22" t="str">
        <f t="shared" si="10"/>
        <v>",HGoal=</v>
      </c>
      <c r="V22">
        <f>Match!K23</f>
        <v>1</v>
      </c>
      <c r="W22" t="str">
        <f t="shared" si="11"/>
        <v>,GGoal=</v>
      </c>
      <c r="X22">
        <f>Match!L23</f>
        <v>1</v>
      </c>
      <c r="Y22" t="str">
        <f t="shared" si="12"/>
        <v>,GTeam= "</v>
      </c>
      <c r="Z22" t="str">
        <f>Match!M23</f>
        <v>France</v>
      </c>
      <c r="AA22" t="str">
        <f t="shared" si="13"/>
        <v>",WinNote="</v>
      </c>
      <c r="AB22" t="str">
        <f>IF(Match!N23="","",Match!N23)</f>
        <v/>
      </c>
      <c r="AC22" t="str">
        <f t="shared" si="14"/>
        <v xml:space="preserve">",Stadium=" </v>
      </c>
      <c r="AD22" s="95" t="str">
        <f>Match!O23</f>
        <v>Puskas Arena, Budapest</v>
      </c>
      <c r="AE22" t="str">
        <f t="shared" si="15"/>
        <v>",Referee= "</v>
      </c>
      <c r="AF22" s="95" t="str">
        <f>IF(Match!P23="","",Match!P23)</f>
        <v/>
      </c>
      <c r="AG22" t="str">
        <f t="shared" si="16"/>
        <v xml:space="preserve">",Visistors= </v>
      </c>
      <c r="AH22" s="95">
        <f>IF(Match!Q23="",0,Match!Q23)</f>
        <v>0</v>
      </c>
      <c r="AI22" t="str">
        <f t="shared" si="17"/>
        <v>,Status= "</v>
      </c>
      <c r="AJ22" s="95" t="str">
        <f>Match!R23</f>
        <v>Finished</v>
      </c>
      <c r="AK22" t="str">
        <f t="shared" si="18"/>
        <v>" },</v>
      </c>
    </row>
    <row r="23" spans="1:37" x14ac:dyDescent="0.25">
      <c r="A23" s="94" t="str">
        <f t="shared" si="0"/>
        <v>new Match { MatchId= "</v>
      </c>
      <c r="B23" t="str">
        <f>Match!A24</f>
        <v>UEFAEURO2020-23</v>
      </c>
      <c r="C23" s="94" t="str">
        <f t="shared" si="1"/>
        <v>",MatchNumber=</v>
      </c>
      <c r="D23">
        <f>Match!B24</f>
        <v>23</v>
      </c>
      <c r="E23" s="94" t="str">
        <f t="shared" si="2"/>
        <v>,DateMatch=DateTime.Parse("</v>
      </c>
      <c r="F23" s="85">
        <f>Match!C24</f>
        <v>44367.041666666664</v>
      </c>
      <c r="G23" s="92" t="str">
        <f t="shared" si="3"/>
        <v>"),TimeMatch=TimeSpan.Parse("</v>
      </c>
      <c r="H23" s="93">
        <f>Match!D24</f>
        <v>44367.041666666664</v>
      </c>
      <c r="I23" s="94" t="str">
        <f t="shared" si="4"/>
        <v>"),MatchYear=</v>
      </c>
      <c r="J23">
        <f>Match!E24</f>
        <v>2021</v>
      </c>
      <c r="K23" s="94" t="str">
        <f t="shared" si="5"/>
        <v>, SeasonId= "</v>
      </c>
      <c r="L23" t="str">
        <f>Match!F24</f>
        <v>UEFAEURO2020</v>
      </c>
      <c r="M23" s="94" t="str">
        <f t="shared" si="6"/>
        <v>",Round= "</v>
      </c>
      <c r="N23" t="str">
        <f>Match!G24</f>
        <v>Final Round</v>
      </c>
      <c r="O23" t="str">
        <f t="shared" si="7"/>
        <v>",Stage= "</v>
      </c>
      <c r="P23" t="str">
        <f>Match!H24</f>
        <v>Group</v>
      </c>
      <c r="Q23" t="str">
        <f t="shared" si="8"/>
        <v>",SubStage= "</v>
      </c>
      <c r="R23" t="str">
        <f>Match!I24</f>
        <v>Group F</v>
      </c>
      <c r="S23" t="str">
        <f t="shared" si="9"/>
        <v>",HTeam= "</v>
      </c>
      <c r="T23" t="str">
        <f>Match!J24</f>
        <v>Portugal</v>
      </c>
      <c r="U23" t="str">
        <f t="shared" si="10"/>
        <v>",HGoal=</v>
      </c>
      <c r="V23">
        <f>Match!K24</f>
        <v>2</v>
      </c>
      <c r="W23" t="str">
        <f t="shared" si="11"/>
        <v>,GGoal=</v>
      </c>
      <c r="X23">
        <f>Match!L24</f>
        <v>4</v>
      </c>
      <c r="Y23" t="str">
        <f t="shared" si="12"/>
        <v>,GTeam= "</v>
      </c>
      <c r="Z23" t="str">
        <f>Match!M24</f>
        <v>Germany</v>
      </c>
      <c r="AA23" t="str">
        <f t="shared" si="13"/>
        <v>",WinNote="</v>
      </c>
      <c r="AB23" t="str">
        <f>IF(Match!N24="","",Match!N24)</f>
        <v/>
      </c>
      <c r="AC23" t="str">
        <f t="shared" si="14"/>
        <v xml:space="preserve">",Stadium=" </v>
      </c>
      <c r="AD23" s="95" t="str">
        <f>Match!O24</f>
        <v>Allianz Arena, Munich</v>
      </c>
      <c r="AE23" t="str">
        <f t="shared" si="15"/>
        <v>",Referee= "</v>
      </c>
      <c r="AF23" s="95" t="str">
        <f>IF(Match!P24="","",Match!P24)</f>
        <v/>
      </c>
      <c r="AG23" t="str">
        <f t="shared" si="16"/>
        <v xml:space="preserve">",Visistors= </v>
      </c>
      <c r="AH23" s="95">
        <f>IF(Match!Q24="",0,Match!Q24)</f>
        <v>0</v>
      </c>
      <c r="AI23" t="str">
        <f t="shared" si="17"/>
        <v>,Status= "</v>
      </c>
      <c r="AJ23" s="95" t="str">
        <f>Match!R24</f>
        <v>Finished</v>
      </c>
      <c r="AK23" t="str">
        <f t="shared" si="18"/>
        <v>" },</v>
      </c>
    </row>
    <row r="24" spans="1:37" x14ac:dyDescent="0.25">
      <c r="A24" s="94" t="str">
        <f t="shared" si="0"/>
        <v>new Match { MatchId= "</v>
      </c>
      <c r="B24" t="str">
        <f>Match!A25</f>
        <v>UEFAEURO2020-24</v>
      </c>
      <c r="C24" s="94" t="str">
        <f t="shared" si="1"/>
        <v>",MatchNumber=</v>
      </c>
      <c r="D24">
        <f>Match!B25</f>
        <v>24</v>
      </c>
      <c r="E24" s="94" t="str">
        <f t="shared" si="2"/>
        <v>,DateMatch=DateTime.Parse("</v>
      </c>
      <c r="F24" s="85">
        <f>Match!C25</f>
        <v>44367.166666666664</v>
      </c>
      <c r="G24" s="92" t="str">
        <f t="shared" si="3"/>
        <v>"),TimeMatch=TimeSpan.Parse("</v>
      </c>
      <c r="H24" s="93">
        <f>Match!D25</f>
        <v>44367.166666666664</v>
      </c>
      <c r="I24" s="94" t="str">
        <f t="shared" si="4"/>
        <v>"),MatchYear=</v>
      </c>
      <c r="J24">
        <f>Match!E25</f>
        <v>2021</v>
      </c>
      <c r="K24" s="94" t="str">
        <f t="shared" si="5"/>
        <v>, SeasonId= "</v>
      </c>
      <c r="L24" t="str">
        <f>Match!F25</f>
        <v>UEFAEURO2020</v>
      </c>
      <c r="M24" s="94" t="str">
        <f t="shared" si="6"/>
        <v>",Round= "</v>
      </c>
      <c r="N24" t="str">
        <f>Match!G25</f>
        <v>Final Round</v>
      </c>
      <c r="O24" t="str">
        <f t="shared" si="7"/>
        <v>",Stage= "</v>
      </c>
      <c r="P24" t="str">
        <f>Match!H25</f>
        <v>Group</v>
      </c>
      <c r="Q24" t="str">
        <f t="shared" si="8"/>
        <v>",SubStage= "</v>
      </c>
      <c r="R24" t="str">
        <f>Match!I25</f>
        <v>Group E</v>
      </c>
      <c r="S24" t="str">
        <f t="shared" si="9"/>
        <v>",HTeam= "</v>
      </c>
      <c r="T24" t="str">
        <f>Match!J25</f>
        <v>Spain</v>
      </c>
      <c r="U24" t="str">
        <f t="shared" si="10"/>
        <v>",HGoal=</v>
      </c>
      <c r="V24">
        <f>Match!K25</f>
        <v>1</v>
      </c>
      <c r="W24" t="str">
        <f t="shared" si="11"/>
        <v>,GGoal=</v>
      </c>
      <c r="X24">
        <f>Match!L25</f>
        <v>1</v>
      </c>
      <c r="Y24" t="str">
        <f t="shared" si="12"/>
        <v>,GTeam= "</v>
      </c>
      <c r="Z24" t="str">
        <f>Match!M25</f>
        <v>Poland</v>
      </c>
      <c r="AA24" t="str">
        <f t="shared" si="13"/>
        <v>",WinNote="</v>
      </c>
      <c r="AB24" t="str">
        <f>IF(Match!N25="","",Match!N25)</f>
        <v/>
      </c>
      <c r="AC24" t="str">
        <f t="shared" si="14"/>
        <v xml:space="preserve">",Stadium=" </v>
      </c>
      <c r="AD24" s="95" t="str">
        <f>Match!O25</f>
        <v>Estadio de San Mames, Bilbao</v>
      </c>
      <c r="AE24" t="str">
        <f t="shared" si="15"/>
        <v>",Referee= "</v>
      </c>
      <c r="AF24" s="95" t="str">
        <f>IF(Match!P25="","",Match!P25)</f>
        <v/>
      </c>
      <c r="AG24" t="str">
        <f t="shared" si="16"/>
        <v xml:space="preserve">",Visistors= </v>
      </c>
      <c r="AH24" s="95">
        <f>IF(Match!Q25="",0,Match!Q25)</f>
        <v>0</v>
      </c>
      <c r="AI24" t="str">
        <f t="shared" si="17"/>
        <v>,Status= "</v>
      </c>
      <c r="AJ24" s="95" t="str">
        <f>Match!R25</f>
        <v>Finished</v>
      </c>
      <c r="AK24" t="str">
        <f t="shared" si="18"/>
        <v>" },</v>
      </c>
    </row>
    <row r="25" spans="1:37" x14ac:dyDescent="0.25">
      <c r="A25" s="94" t="str">
        <f t="shared" si="0"/>
        <v>new Match { MatchId= "</v>
      </c>
      <c r="B25" t="str">
        <f>Match!A26</f>
        <v>UEFAEURO2020-25</v>
      </c>
      <c r="C25" s="94" t="str">
        <f t="shared" si="1"/>
        <v>",MatchNumber=</v>
      </c>
      <c r="D25">
        <f>Match!B26</f>
        <v>25</v>
      </c>
      <c r="E25" s="94" t="str">
        <f t="shared" si="2"/>
        <v>,DateMatch=DateTime.Parse("</v>
      </c>
      <c r="F25" s="85">
        <f>Match!C26</f>
        <v>44368.041666666664</v>
      </c>
      <c r="G25" s="92" t="str">
        <f t="shared" si="3"/>
        <v>"),TimeMatch=TimeSpan.Parse("</v>
      </c>
      <c r="H25" s="93">
        <f>Match!D26</f>
        <v>44368.041666666664</v>
      </c>
      <c r="I25" s="94" t="str">
        <f t="shared" si="4"/>
        <v>"),MatchYear=</v>
      </c>
      <c r="J25">
        <f>Match!E26</f>
        <v>2021</v>
      </c>
      <c r="K25" s="94" t="str">
        <f t="shared" si="5"/>
        <v>, SeasonId= "</v>
      </c>
      <c r="L25" t="str">
        <f>Match!F26</f>
        <v>UEFAEURO2020</v>
      </c>
      <c r="M25" s="94" t="str">
        <f t="shared" si="6"/>
        <v>",Round= "</v>
      </c>
      <c r="N25" t="str">
        <f>Match!G26</f>
        <v>Final Round</v>
      </c>
      <c r="O25" t="str">
        <f t="shared" si="7"/>
        <v>",Stage= "</v>
      </c>
      <c r="P25" t="str">
        <f>Match!H26</f>
        <v>Group</v>
      </c>
      <c r="Q25" t="str">
        <f t="shared" si="8"/>
        <v>",SubStage= "</v>
      </c>
      <c r="R25" t="str">
        <f>Match!I26</f>
        <v>Group A</v>
      </c>
      <c r="S25" t="str">
        <f t="shared" si="9"/>
        <v>",HTeam= "</v>
      </c>
      <c r="T25" t="str">
        <f>Match!J26</f>
        <v>Switzerland</v>
      </c>
      <c r="U25" t="str">
        <f t="shared" si="10"/>
        <v>",HGoal=</v>
      </c>
      <c r="V25">
        <f>Match!K26</f>
        <v>3</v>
      </c>
      <c r="W25" t="str">
        <f t="shared" si="11"/>
        <v>,GGoal=</v>
      </c>
      <c r="X25">
        <f>Match!L26</f>
        <v>1</v>
      </c>
      <c r="Y25" t="str">
        <f t="shared" si="12"/>
        <v>,GTeam= "</v>
      </c>
      <c r="Z25" t="str">
        <f>Match!M26</f>
        <v>Turkey</v>
      </c>
      <c r="AA25" t="str">
        <f t="shared" si="13"/>
        <v>",WinNote="</v>
      </c>
      <c r="AB25" t="str">
        <f>IF(Match!N26="","",Match!N26)</f>
        <v/>
      </c>
      <c r="AC25" t="str">
        <f t="shared" si="14"/>
        <v xml:space="preserve">",Stadium=" </v>
      </c>
      <c r="AD25" s="95" t="str">
        <f>Match!O26</f>
        <v>Baki Olimpiya, Baku</v>
      </c>
      <c r="AE25" t="str">
        <f t="shared" si="15"/>
        <v>",Referee= "</v>
      </c>
      <c r="AF25" s="95" t="str">
        <f>IF(Match!P26="","",Match!P26)</f>
        <v/>
      </c>
      <c r="AG25" t="str">
        <f t="shared" si="16"/>
        <v xml:space="preserve">",Visistors= </v>
      </c>
      <c r="AH25" s="95">
        <f>IF(Match!Q26="",0,Match!Q26)</f>
        <v>0</v>
      </c>
      <c r="AI25" t="str">
        <f t="shared" si="17"/>
        <v>,Status= "</v>
      </c>
      <c r="AJ25" s="95" t="str">
        <f>Match!R26</f>
        <v>Finished</v>
      </c>
      <c r="AK25" t="str">
        <f t="shared" si="18"/>
        <v>" },</v>
      </c>
    </row>
    <row r="26" spans="1:37" x14ac:dyDescent="0.25">
      <c r="A26" s="94" t="str">
        <f t="shared" si="0"/>
        <v>new Match { MatchId= "</v>
      </c>
      <c r="B26" t="str">
        <f>Match!A27</f>
        <v>UEFAEURO2020-26</v>
      </c>
      <c r="C26" s="94" t="str">
        <f t="shared" si="1"/>
        <v>",MatchNumber=</v>
      </c>
      <c r="D26">
        <f>Match!B27</f>
        <v>26</v>
      </c>
      <c r="E26" s="94" t="str">
        <f t="shared" si="2"/>
        <v>,DateMatch=DateTime.Parse("</v>
      </c>
      <c r="F26" s="85">
        <f>Match!C27</f>
        <v>44368.041666666664</v>
      </c>
      <c r="G26" s="92" t="str">
        <f t="shared" si="3"/>
        <v>"),TimeMatch=TimeSpan.Parse("</v>
      </c>
      <c r="H26" s="93">
        <f>Match!D27</f>
        <v>44368.041666666664</v>
      </c>
      <c r="I26" s="94" t="str">
        <f t="shared" si="4"/>
        <v>"),MatchYear=</v>
      </c>
      <c r="J26">
        <f>Match!E27</f>
        <v>2021</v>
      </c>
      <c r="K26" s="94" t="str">
        <f t="shared" si="5"/>
        <v>, SeasonId= "</v>
      </c>
      <c r="L26" t="str">
        <f>Match!F27</f>
        <v>UEFAEURO2020</v>
      </c>
      <c r="M26" s="94" t="str">
        <f t="shared" si="6"/>
        <v>",Round= "</v>
      </c>
      <c r="N26" t="str">
        <f>Match!G27</f>
        <v>Final Round</v>
      </c>
      <c r="O26" t="str">
        <f t="shared" si="7"/>
        <v>",Stage= "</v>
      </c>
      <c r="P26" t="str">
        <f>Match!H27</f>
        <v>Group</v>
      </c>
      <c r="Q26" t="str">
        <f t="shared" si="8"/>
        <v>",SubStage= "</v>
      </c>
      <c r="R26" t="str">
        <f>Match!I27</f>
        <v>Group A</v>
      </c>
      <c r="S26" t="str">
        <f t="shared" si="9"/>
        <v>",HTeam= "</v>
      </c>
      <c r="T26" t="str">
        <f>Match!J27</f>
        <v>Italy</v>
      </c>
      <c r="U26" t="str">
        <f t="shared" si="10"/>
        <v>",HGoal=</v>
      </c>
      <c r="V26">
        <f>Match!K27</f>
        <v>1</v>
      </c>
      <c r="W26" t="str">
        <f t="shared" si="11"/>
        <v>,GGoal=</v>
      </c>
      <c r="X26">
        <f>Match!L27</f>
        <v>0</v>
      </c>
      <c r="Y26" t="str">
        <f t="shared" si="12"/>
        <v>,GTeam= "</v>
      </c>
      <c r="Z26" t="str">
        <f>Match!M27</f>
        <v>Wales</v>
      </c>
      <c r="AA26" t="str">
        <f t="shared" si="13"/>
        <v>",WinNote="</v>
      </c>
      <c r="AB26" t="str">
        <f>IF(Match!N27="","",Match!N27)</f>
        <v/>
      </c>
      <c r="AC26" t="str">
        <f t="shared" si="14"/>
        <v xml:space="preserve">",Stadium=" </v>
      </c>
      <c r="AD26" s="95" t="str">
        <f>Match!O27</f>
        <v>Olimpico, Rome</v>
      </c>
      <c r="AE26" t="str">
        <f t="shared" si="15"/>
        <v>",Referee= "</v>
      </c>
      <c r="AF26" s="95" t="str">
        <f>IF(Match!P27="","",Match!P27)</f>
        <v/>
      </c>
      <c r="AG26" t="str">
        <f t="shared" si="16"/>
        <v xml:space="preserve">",Visistors= </v>
      </c>
      <c r="AH26" s="95">
        <f>IF(Match!Q27="",0,Match!Q27)</f>
        <v>0</v>
      </c>
      <c r="AI26" t="str">
        <f t="shared" si="17"/>
        <v>,Status= "</v>
      </c>
      <c r="AJ26" s="95" t="str">
        <f>Match!R27</f>
        <v>Finished</v>
      </c>
      <c r="AK26" t="str">
        <f t="shared" si="18"/>
        <v>" },</v>
      </c>
    </row>
    <row r="27" spans="1:37" x14ac:dyDescent="0.25">
      <c r="A27" s="94" t="str">
        <f t="shared" si="0"/>
        <v>new Match { MatchId= "</v>
      </c>
      <c r="B27" t="str">
        <f>Match!A28</f>
        <v>UEFAEURO2020-27</v>
      </c>
      <c r="C27" s="94" t="str">
        <f t="shared" si="1"/>
        <v>",MatchNumber=</v>
      </c>
      <c r="D27">
        <f>Match!B28</f>
        <v>27</v>
      </c>
      <c r="E27" s="94" t="str">
        <f t="shared" si="2"/>
        <v>,DateMatch=DateTime.Parse("</v>
      </c>
      <c r="F27" s="85">
        <f>Match!C28</f>
        <v>44369.041666666664</v>
      </c>
      <c r="G27" s="92" t="str">
        <f t="shared" si="3"/>
        <v>"),TimeMatch=TimeSpan.Parse("</v>
      </c>
      <c r="H27" s="93">
        <f>Match!D28</f>
        <v>44369.041666666664</v>
      </c>
      <c r="I27" s="94" t="str">
        <f t="shared" si="4"/>
        <v>"),MatchYear=</v>
      </c>
      <c r="J27">
        <f>Match!E28</f>
        <v>2021</v>
      </c>
      <c r="K27" s="94" t="str">
        <f t="shared" si="5"/>
        <v>, SeasonId= "</v>
      </c>
      <c r="L27" t="str">
        <f>Match!F28</f>
        <v>UEFAEURO2020</v>
      </c>
      <c r="M27" s="94" t="str">
        <f t="shared" si="6"/>
        <v>",Round= "</v>
      </c>
      <c r="N27" t="str">
        <f>Match!G28</f>
        <v>Final Round</v>
      </c>
      <c r="O27" t="str">
        <f t="shared" si="7"/>
        <v>",Stage= "</v>
      </c>
      <c r="P27" t="str">
        <f>Match!H28</f>
        <v>Group</v>
      </c>
      <c r="Q27" t="str">
        <f t="shared" si="8"/>
        <v>",SubStage= "</v>
      </c>
      <c r="R27" t="str">
        <f>Match!I28</f>
        <v>Group C</v>
      </c>
      <c r="S27" t="str">
        <f t="shared" si="9"/>
        <v>",HTeam= "</v>
      </c>
      <c r="T27" t="str">
        <f>Match!J28</f>
        <v>North Macedonia</v>
      </c>
      <c r="U27" t="str">
        <f t="shared" si="10"/>
        <v>",HGoal=</v>
      </c>
      <c r="V27">
        <f>Match!K28</f>
        <v>0</v>
      </c>
      <c r="W27" t="str">
        <f t="shared" si="11"/>
        <v>,GGoal=</v>
      </c>
      <c r="X27">
        <f>Match!L28</f>
        <v>3</v>
      </c>
      <c r="Y27" t="str">
        <f t="shared" si="12"/>
        <v>,GTeam= "</v>
      </c>
      <c r="Z27" t="str">
        <f>Match!M28</f>
        <v>Netherlands</v>
      </c>
      <c r="AA27" t="str">
        <f t="shared" si="13"/>
        <v>",WinNote="</v>
      </c>
      <c r="AB27" t="str">
        <f>IF(Match!N28="","",Match!N28)</f>
        <v/>
      </c>
      <c r="AC27" t="str">
        <f t="shared" si="14"/>
        <v xml:space="preserve">",Stadium=" </v>
      </c>
      <c r="AD27" s="95" t="str">
        <f>Match!O28</f>
        <v>Johan Cruijff Arena, Amsterdam</v>
      </c>
      <c r="AE27" t="str">
        <f t="shared" si="15"/>
        <v>",Referee= "</v>
      </c>
      <c r="AF27" s="95" t="str">
        <f>IF(Match!P28="","",Match!P28)</f>
        <v/>
      </c>
      <c r="AG27" t="str">
        <f t="shared" si="16"/>
        <v xml:space="preserve">",Visistors= </v>
      </c>
      <c r="AH27" s="95">
        <f>IF(Match!Q28="",0,Match!Q28)</f>
        <v>0</v>
      </c>
      <c r="AI27" t="str">
        <f t="shared" si="17"/>
        <v>,Status= "</v>
      </c>
      <c r="AJ27" s="95" t="str">
        <f>Match!R28</f>
        <v>Finished</v>
      </c>
      <c r="AK27" t="str">
        <f t="shared" si="18"/>
        <v>" },</v>
      </c>
    </row>
    <row r="28" spans="1:37" x14ac:dyDescent="0.25">
      <c r="A28" s="94" t="str">
        <f t="shared" si="0"/>
        <v>new Match { MatchId= "</v>
      </c>
      <c r="B28" t="str">
        <f>Match!A29</f>
        <v>UEFAEURO2020-28</v>
      </c>
      <c r="C28" s="94" t="str">
        <f t="shared" si="1"/>
        <v>",MatchNumber=</v>
      </c>
      <c r="D28">
        <f>Match!B29</f>
        <v>28</v>
      </c>
      <c r="E28" s="94" t="str">
        <f t="shared" si="2"/>
        <v>,DateMatch=DateTime.Parse("</v>
      </c>
      <c r="F28" s="85">
        <f>Match!C29</f>
        <v>44369.041666666664</v>
      </c>
      <c r="G28" s="92" t="str">
        <f t="shared" si="3"/>
        <v>"),TimeMatch=TimeSpan.Parse("</v>
      </c>
      <c r="H28" s="93">
        <f>Match!D29</f>
        <v>44369.041666666664</v>
      </c>
      <c r="I28" s="94" t="str">
        <f t="shared" si="4"/>
        <v>"),MatchYear=</v>
      </c>
      <c r="J28">
        <f>Match!E29</f>
        <v>2021</v>
      </c>
      <c r="K28" s="94" t="str">
        <f t="shared" si="5"/>
        <v>, SeasonId= "</v>
      </c>
      <c r="L28" t="str">
        <f>Match!F29</f>
        <v>UEFAEURO2020</v>
      </c>
      <c r="M28" s="94" t="str">
        <f t="shared" si="6"/>
        <v>",Round= "</v>
      </c>
      <c r="N28" t="str">
        <f>Match!G29</f>
        <v>Final Round</v>
      </c>
      <c r="O28" t="str">
        <f t="shared" si="7"/>
        <v>",Stage= "</v>
      </c>
      <c r="P28" t="str">
        <f>Match!H29</f>
        <v>Group</v>
      </c>
      <c r="Q28" t="str">
        <f t="shared" si="8"/>
        <v>",SubStage= "</v>
      </c>
      <c r="R28" t="str">
        <f>Match!I29</f>
        <v>Group C</v>
      </c>
      <c r="S28" t="str">
        <f t="shared" si="9"/>
        <v>",HTeam= "</v>
      </c>
      <c r="T28" t="str">
        <f>Match!J29</f>
        <v>Ukraine</v>
      </c>
      <c r="U28" t="str">
        <f t="shared" si="10"/>
        <v>",HGoal=</v>
      </c>
      <c r="V28">
        <f>Match!K29</f>
        <v>0</v>
      </c>
      <c r="W28" t="str">
        <f t="shared" si="11"/>
        <v>,GGoal=</v>
      </c>
      <c r="X28">
        <f>Match!L29</f>
        <v>1</v>
      </c>
      <c r="Y28" t="str">
        <f t="shared" si="12"/>
        <v>,GTeam= "</v>
      </c>
      <c r="Z28" t="str">
        <f>Match!M29</f>
        <v>Austria</v>
      </c>
      <c r="AA28" t="str">
        <f t="shared" si="13"/>
        <v>",WinNote="</v>
      </c>
      <c r="AB28" t="str">
        <f>IF(Match!N29="","",Match!N29)</f>
        <v/>
      </c>
      <c r="AC28" t="str">
        <f t="shared" si="14"/>
        <v xml:space="preserve">",Stadium=" </v>
      </c>
      <c r="AD28" s="95" t="str">
        <f>Match!O29</f>
        <v>National Arena, Bucharest</v>
      </c>
      <c r="AE28" t="str">
        <f t="shared" si="15"/>
        <v>",Referee= "</v>
      </c>
      <c r="AF28" s="95" t="str">
        <f>IF(Match!P29="","",Match!P29)</f>
        <v/>
      </c>
      <c r="AG28" t="str">
        <f t="shared" si="16"/>
        <v xml:space="preserve">",Visistors= </v>
      </c>
      <c r="AH28" s="95">
        <f>IF(Match!Q29="",0,Match!Q29)</f>
        <v>0</v>
      </c>
      <c r="AI28" t="str">
        <f t="shared" si="17"/>
        <v>,Status= "</v>
      </c>
      <c r="AJ28" s="95" t="str">
        <f>Match!R29</f>
        <v>Finished</v>
      </c>
      <c r="AK28" t="str">
        <f t="shared" si="18"/>
        <v>" },</v>
      </c>
    </row>
    <row r="29" spans="1:37" x14ac:dyDescent="0.25">
      <c r="A29" s="94" t="str">
        <f t="shared" si="0"/>
        <v>new Match { MatchId= "</v>
      </c>
      <c r="B29" t="str">
        <f>Match!A30</f>
        <v>UEFAEURO2020-29</v>
      </c>
      <c r="C29" s="94" t="str">
        <f t="shared" si="1"/>
        <v>",MatchNumber=</v>
      </c>
      <c r="D29">
        <f>Match!B30</f>
        <v>29</v>
      </c>
      <c r="E29" s="94" t="str">
        <f t="shared" si="2"/>
        <v>,DateMatch=DateTime.Parse("</v>
      </c>
      <c r="F29" s="85">
        <f>Match!C30</f>
        <v>44369.166666666664</v>
      </c>
      <c r="G29" s="92" t="str">
        <f t="shared" si="3"/>
        <v>"),TimeMatch=TimeSpan.Parse("</v>
      </c>
      <c r="H29" s="93">
        <f>Match!D30</f>
        <v>44369.166666666664</v>
      </c>
      <c r="I29" s="94" t="str">
        <f t="shared" si="4"/>
        <v>"),MatchYear=</v>
      </c>
      <c r="J29">
        <f>Match!E30</f>
        <v>2021</v>
      </c>
      <c r="K29" s="94" t="str">
        <f t="shared" si="5"/>
        <v>, SeasonId= "</v>
      </c>
      <c r="L29" t="str">
        <f>Match!F30</f>
        <v>UEFAEURO2020</v>
      </c>
      <c r="M29" s="94" t="str">
        <f t="shared" si="6"/>
        <v>",Round= "</v>
      </c>
      <c r="N29" t="str">
        <f>Match!G30</f>
        <v>Final Round</v>
      </c>
      <c r="O29" t="str">
        <f t="shared" si="7"/>
        <v>",Stage= "</v>
      </c>
      <c r="P29" t="str">
        <f>Match!H30</f>
        <v>Group</v>
      </c>
      <c r="Q29" t="str">
        <f t="shared" si="8"/>
        <v>",SubStage= "</v>
      </c>
      <c r="R29" t="str">
        <f>Match!I30</f>
        <v>Group B</v>
      </c>
      <c r="S29" t="str">
        <f t="shared" si="9"/>
        <v>",HTeam= "</v>
      </c>
      <c r="T29" t="str">
        <f>Match!J30</f>
        <v>Russia</v>
      </c>
      <c r="U29" t="str">
        <f t="shared" si="10"/>
        <v>",HGoal=</v>
      </c>
      <c r="V29">
        <f>Match!K30</f>
        <v>1</v>
      </c>
      <c r="W29" t="str">
        <f t="shared" si="11"/>
        <v>,GGoal=</v>
      </c>
      <c r="X29">
        <f>Match!L30</f>
        <v>4</v>
      </c>
      <c r="Y29" t="str">
        <f t="shared" si="12"/>
        <v>,GTeam= "</v>
      </c>
      <c r="Z29" t="str">
        <f>Match!M30</f>
        <v>Denmark</v>
      </c>
      <c r="AA29" t="str">
        <f t="shared" si="13"/>
        <v>",WinNote="</v>
      </c>
      <c r="AB29" t="str">
        <f>IF(Match!N30="","",Match!N30)</f>
        <v/>
      </c>
      <c r="AC29" t="str">
        <f t="shared" si="14"/>
        <v xml:space="preserve">",Stadium=" </v>
      </c>
      <c r="AD29" s="95" t="str">
        <f>Match!O30</f>
        <v>Parken, Copenhagen</v>
      </c>
      <c r="AE29" t="str">
        <f t="shared" si="15"/>
        <v>",Referee= "</v>
      </c>
      <c r="AF29" s="95" t="str">
        <f>IF(Match!P30="","",Match!P30)</f>
        <v/>
      </c>
      <c r="AG29" t="str">
        <f t="shared" si="16"/>
        <v xml:space="preserve">",Visistors= </v>
      </c>
      <c r="AH29" s="95">
        <f>IF(Match!Q30="",0,Match!Q30)</f>
        <v>0</v>
      </c>
      <c r="AI29" t="str">
        <f t="shared" si="17"/>
        <v>,Status= "</v>
      </c>
      <c r="AJ29" s="95" t="str">
        <f>Match!R30</f>
        <v>Finished</v>
      </c>
      <c r="AK29" t="str">
        <f t="shared" si="18"/>
        <v>" },</v>
      </c>
    </row>
    <row r="30" spans="1:37" x14ac:dyDescent="0.25">
      <c r="A30" s="94" t="str">
        <f t="shared" si="0"/>
        <v>new Match { MatchId= "</v>
      </c>
      <c r="B30" t="str">
        <f>Match!A31</f>
        <v>UEFAEURO2020-30</v>
      </c>
      <c r="C30" s="94" t="str">
        <f t="shared" si="1"/>
        <v>",MatchNumber=</v>
      </c>
      <c r="D30">
        <f>Match!B31</f>
        <v>30</v>
      </c>
      <c r="E30" s="94" t="str">
        <f t="shared" si="2"/>
        <v>,DateMatch=DateTime.Parse("</v>
      </c>
      <c r="F30" s="85">
        <f>Match!C31</f>
        <v>44369.166666666664</v>
      </c>
      <c r="G30" s="92" t="str">
        <f t="shared" si="3"/>
        <v>"),TimeMatch=TimeSpan.Parse("</v>
      </c>
      <c r="H30" s="93">
        <f>Match!D31</f>
        <v>44369.166666666664</v>
      </c>
      <c r="I30" s="94" t="str">
        <f t="shared" si="4"/>
        <v>"),MatchYear=</v>
      </c>
      <c r="J30">
        <f>Match!E31</f>
        <v>2021</v>
      </c>
      <c r="K30" s="94" t="str">
        <f t="shared" si="5"/>
        <v>, SeasonId= "</v>
      </c>
      <c r="L30" t="str">
        <f>Match!F31</f>
        <v>UEFAEURO2020</v>
      </c>
      <c r="M30" s="94" t="str">
        <f t="shared" si="6"/>
        <v>",Round= "</v>
      </c>
      <c r="N30" t="str">
        <f>Match!G31</f>
        <v>Final Round</v>
      </c>
      <c r="O30" t="str">
        <f t="shared" si="7"/>
        <v>",Stage= "</v>
      </c>
      <c r="P30" t="str">
        <f>Match!H31</f>
        <v>Group</v>
      </c>
      <c r="Q30" t="str">
        <f t="shared" si="8"/>
        <v>",SubStage= "</v>
      </c>
      <c r="R30" t="str">
        <f>Match!I31</f>
        <v>Group B</v>
      </c>
      <c r="S30" t="str">
        <f t="shared" si="9"/>
        <v>",HTeam= "</v>
      </c>
      <c r="T30" t="str">
        <f>Match!J31</f>
        <v>Finland</v>
      </c>
      <c r="U30" t="str">
        <f t="shared" si="10"/>
        <v>",HGoal=</v>
      </c>
      <c r="V30">
        <f>Match!K31</f>
        <v>0</v>
      </c>
      <c r="W30" t="str">
        <f t="shared" si="11"/>
        <v>,GGoal=</v>
      </c>
      <c r="X30">
        <f>Match!L31</f>
        <v>2</v>
      </c>
      <c r="Y30" t="str">
        <f t="shared" si="12"/>
        <v>,GTeam= "</v>
      </c>
      <c r="Z30" t="str">
        <f>Match!M31</f>
        <v>Belgium</v>
      </c>
      <c r="AA30" t="str">
        <f t="shared" si="13"/>
        <v>",WinNote="</v>
      </c>
      <c r="AB30" t="str">
        <f>IF(Match!N31="","",Match!N31)</f>
        <v/>
      </c>
      <c r="AC30" t="str">
        <f t="shared" si="14"/>
        <v xml:space="preserve">",Stadium=" </v>
      </c>
      <c r="AD30" s="95" t="str">
        <f>Match!O31</f>
        <v>Gazprom Arena, St Petersburg</v>
      </c>
      <c r="AE30" t="str">
        <f t="shared" si="15"/>
        <v>",Referee= "</v>
      </c>
      <c r="AF30" s="95" t="str">
        <f>IF(Match!P31="","",Match!P31)</f>
        <v/>
      </c>
      <c r="AG30" t="str">
        <f t="shared" si="16"/>
        <v xml:space="preserve">",Visistors= </v>
      </c>
      <c r="AH30" s="95">
        <f>IF(Match!Q31="",0,Match!Q31)</f>
        <v>0</v>
      </c>
      <c r="AI30" t="str">
        <f t="shared" si="17"/>
        <v>,Status= "</v>
      </c>
      <c r="AJ30" s="95" t="str">
        <f>Match!R31</f>
        <v>Finished</v>
      </c>
      <c r="AK30" t="str">
        <f t="shared" si="18"/>
        <v>" },</v>
      </c>
    </row>
    <row r="31" spans="1:37" x14ac:dyDescent="0.25">
      <c r="A31" s="94" t="str">
        <f t="shared" si="0"/>
        <v>new Match { MatchId= "</v>
      </c>
      <c r="B31" t="str">
        <f>Match!A32</f>
        <v>UEFAEURO2020-31</v>
      </c>
      <c r="C31" s="94" t="str">
        <f t="shared" si="1"/>
        <v>",MatchNumber=</v>
      </c>
      <c r="D31">
        <f>Match!B32</f>
        <v>31</v>
      </c>
      <c r="E31" s="94" t="str">
        <f t="shared" si="2"/>
        <v>,DateMatch=DateTime.Parse("</v>
      </c>
      <c r="F31" s="85">
        <f>Match!C32</f>
        <v>44370.166666666664</v>
      </c>
      <c r="G31" s="92" t="str">
        <f t="shared" si="3"/>
        <v>"),TimeMatch=TimeSpan.Parse("</v>
      </c>
      <c r="H31" s="93">
        <f>Match!D32</f>
        <v>44370.166666666664</v>
      </c>
      <c r="I31" s="94" t="str">
        <f t="shared" si="4"/>
        <v>"),MatchYear=</v>
      </c>
      <c r="J31">
        <f>Match!E32</f>
        <v>2021</v>
      </c>
      <c r="K31" s="94" t="str">
        <f t="shared" si="5"/>
        <v>, SeasonId= "</v>
      </c>
      <c r="L31" t="str">
        <f>Match!F32</f>
        <v>UEFAEURO2020</v>
      </c>
      <c r="M31" s="94" t="str">
        <f t="shared" si="6"/>
        <v>",Round= "</v>
      </c>
      <c r="N31" t="str">
        <f>Match!G32</f>
        <v>Final Round</v>
      </c>
      <c r="O31" t="str">
        <f t="shared" si="7"/>
        <v>",Stage= "</v>
      </c>
      <c r="P31" t="str">
        <f>Match!H32</f>
        <v>Group</v>
      </c>
      <c r="Q31" t="str">
        <f t="shared" si="8"/>
        <v>",SubStage= "</v>
      </c>
      <c r="R31" t="str">
        <f>Match!I32</f>
        <v>Group D</v>
      </c>
      <c r="S31" t="str">
        <f t="shared" si="9"/>
        <v>",HTeam= "</v>
      </c>
      <c r="T31" t="str">
        <f>Match!J32</f>
        <v>Croatia</v>
      </c>
      <c r="U31" t="str">
        <f t="shared" si="10"/>
        <v>",HGoal=</v>
      </c>
      <c r="V31">
        <f>Match!K32</f>
        <v>3</v>
      </c>
      <c r="W31" t="str">
        <f t="shared" si="11"/>
        <v>,GGoal=</v>
      </c>
      <c r="X31">
        <f>Match!L32</f>
        <v>1</v>
      </c>
      <c r="Y31" t="str">
        <f t="shared" si="12"/>
        <v>,GTeam= "</v>
      </c>
      <c r="Z31" t="str">
        <f>Match!M32</f>
        <v>Scotland</v>
      </c>
      <c r="AA31" t="str">
        <f t="shared" si="13"/>
        <v>",WinNote="</v>
      </c>
      <c r="AB31" t="str">
        <f>IF(Match!N32="","",Match!N32)</f>
        <v/>
      </c>
      <c r="AC31" t="str">
        <f t="shared" si="14"/>
        <v xml:space="preserve">",Stadium=" </v>
      </c>
      <c r="AD31" s="95" t="str">
        <f>Match!O32</f>
        <v>Hampden Park, Glasgow</v>
      </c>
      <c r="AE31" t="str">
        <f t="shared" si="15"/>
        <v>",Referee= "</v>
      </c>
      <c r="AF31" s="95" t="str">
        <f>IF(Match!P32="","",Match!P32)</f>
        <v/>
      </c>
      <c r="AG31" t="str">
        <f t="shared" si="16"/>
        <v xml:space="preserve">",Visistors= </v>
      </c>
      <c r="AH31" s="95">
        <f>IF(Match!Q32="",0,Match!Q32)</f>
        <v>0</v>
      </c>
      <c r="AI31" t="str">
        <f t="shared" si="17"/>
        <v>,Status= "</v>
      </c>
      <c r="AJ31" s="95" t="str">
        <f>Match!R32</f>
        <v>Finished</v>
      </c>
      <c r="AK31" t="str">
        <f t="shared" si="18"/>
        <v>" },</v>
      </c>
    </row>
    <row r="32" spans="1:37" x14ac:dyDescent="0.25">
      <c r="A32" s="94" t="str">
        <f t="shared" si="0"/>
        <v>new Match { MatchId= "</v>
      </c>
      <c r="B32" t="str">
        <f>Match!A33</f>
        <v>UEFAEURO2020-32</v>
      </c>
      <c r="C32" s="94" t="str">
        <f t="shared" si="1"/>
        <v>",MatchNumber=</v>
      </c>
      <c r="D32">
        <f>Match!B33</f>
        <v>32</v>
      </c>
      <c r="E32" s="94" t="str">
        <f t="shared" si="2"/>
        <v>,DateMatch=DateTime.Parse("</v>
      </c>
      <c r="F32" s="85">
        <f>Match!C33</f>
        <v>44370.166666666664</v>
      </c>
      <c r="G32" s="92" t="str">
        <f t="shared" si="3"/>
        <v>"),TimeMatch=TimeSpan.Parse("</v>
      </c>
      <c r="H32" s="93">
        <f>Match!D33</f>
        <v>44370.166666666664</v>
      </c>
      <c r="I32" s="94" t="str">
        <f t="shared" si="4"/>
        <v>"),MatchYear=</v>
      </c>
      <c r="J32">
        <f>Match!E33</f>
        <v>2021</v>
      </c>
      <c r="K32" s="94" t="str">
        <f t="shared" si="5"/>
        <v>, SeasonId= "</v>
      </c>
      <c r="L32" t="str">
        <f>Match!F33</f>
        <v>UEFAEURO2020</v>
      </c>
      <c r="M32" s="94" t="str">
        <f t="shared" si="6"/>
        <v>",Round= "</v>
      </c>
      <c r="N32" t="str">
        <f>Match!G33</f>
        <v>Final Round</v>
      </c>
      <c r="O32" t="str">
        <f t="shared" si="7"/>
        <v>",Stage= "</v>
      </c>
      <c r="P32" t="str">
        <f>Match!H33</f>
        <v>Group</v>
      </c>
      <c r="Q32" t="str">
        <f t="shared" si="8"/>
        <v>",SubStage= "</v>
      </c>
      <c r="R32" t="str">
        <f>Match!I33</f>
        <v>Group D</v>
      </c>
      <c r="S32" t="str">
        <f t="shared" si="9"/>
        <v>",HTeam= "</v>
      </c>
      <c r="T32" t="str">
        <f>Match!J33</f>
        <v>Czech Republic</v>
      </c>
      <c r="U32" t="str">
        <f t="shared" si="10"/>
        <v>",HGoal=</v>
      </c>
      <c r="V32">
        <f>Match!K33</f>
        <v>0</v>
      </c>
      <c r="W32" t="str">
        <f t="shared" si="11"/>
        <v>,GGoal=</v>
      </c>
      <c r="X32">
        <f>Match!L33</f>
        <v>1</v>
      </c>
      <c r="Y32" t="str">
        <f t="shared" si="12"/>
        <v>,GTeam= "</v>
      </c>
      <c r="Z32" t="str">
        <f>Match!M33</f>
        <v>England</v>
      </c>
      <c r="AA32" t="str">
        <f t="shared" si="13"/>
        <v>",WinNote="</v>
      </c>
      <c r="AB32" t="str">
        <f>IF(Match!N33="","",Match!N33)</f>
        <v/>
      </c>
      <c r="AC32" t="str">
        <f t="shared" si="14"/>
        <v xml:space="preserve">",Stadium=" </v>
      </c>
      <c r="AD32" s="95" t="str">
        <f>Match!O33</f>
        <v>Wembley, London</v>
      </c>
      <c r="AE32" t="str">
        <f t="shared" si="15"/>
        <v>",Referee= "</v>
      </c>
      <c r="AF32" s="95" t="str">
        <f>IF(Match!P33="","",Match!P33)</f>
        <v/>
      </c>
      <c r="AG32" t="str">
        <f t="shared" si="16"/>
        <v xml:space="preserve">",Visistors= </v>
      </c>
      <c r="AH32" s="95">
        <f>IF(Match!Q33="",0,Match!Q33)</f>
        <v>0</v>
      </c>
      <c r="AI32" t="str">
        <f t="shared" si="17"/>
        <v>,Status= "</v>
      </c>
      <c r="AJ32" s="95" t="str">
        <f>Match!R33</f>
        <v>Finished</v>
      </c>
      <c r="AK32" t="str">
        <f t="shared" si="18"/>
        <v>" },</v>
      </c>
    </row>
    <row r="33" spans="1:37" x14ac:dyDescent="0.25">
      <c r="A33" s="94" t="str">
        <f t="shared" si="0"/>
        <v>new Match { MatchId= "</v>
      </c>
      <c r="B33" t="str">
        <f>Match!A34</f>
        <v>UEFAEURO2020-33</v>
      </c>
      <c r="C33" s="94" t="str">
        <f t="shared" si="1"/>
        <v>",MatchNumber=</v>
      </c>
      <c r="D33">
        <f>Match!B34</f>
        <v>33</v>
      </c>
      <c r="E33" s="94" t="str">
        <f t="shared" si="2"/>
        <v>,DateMatch=DateTime.Parse("</v>
      </c>
      <c r="F33" s="85">
        <f>Match!C34</f>
        <v>44371.041666666664</v>
      </c>
      <c r="G33" s="92" t="str">
        <f t="shared" si="3"/>
        <v>"),TimeMatch=TimeSpan.Parse("</v>
      </c>
      <c r="H33" s="93">
        <f>Match!D34</f>
        <v>44371.041666666664</v>
      </c>
      <c r="I33" s="94" t="str">
        <f t="shared" si="4"/>
        <v>"),MatchYear=</v>
      </c>
      <c r="J33">
        <f>Match!E34</f>
        <v>2021</v>
      </c>
      <c r="K33" s="94" t="str">
        <f t="shared" si="5"/>
        <v>, SeasonId= "</v>
      </c>
      <c r="L33" t="str">
        <f>Match!F34</f>
        <v>UEFAEURO2020</v>
      </c>
      <c r="M33" s="94" t="str">
        <f t="shared" si="6"/>
        <v>",Round= "</v>
      </c>
      <c r="N33" t="str">
        <f>Match!G34</f>
        <v>Final Round</v>
      </c>
      <c r="O33" t="str">
        <f t="shared" si="7"/>
        <v>",Stage= "</v>
      </c>
      <c r="P33" t="str">
        <f>Match!H34</f>
        <v>Group</v>
      </c>
      <c r="Q33" t="str">
        <f t="shared" si="8"/>
        <v>",SubStage= "</v>
      </c>
      <c r="R33" t="str">
        <f>Match!I34</f>
        <v>Group E</v>
      </c>
      <c r="S33" t="str">
        <f t="shared" si="9"/>
        <v>",HTeam= "</v>
      </c>
      <c r="T33" t="str">
        <f>Match!J34</f>
        <v>Sweden</v>
      </c>
      <c r="U33" t="str">
        <f t="shared" si="10"/>
        <v>",HGoal=</v>
      </c>
      <c r="V33">
        <f>Match!K34</f>
        <v>3</v>
      </c>
      <c r="W33" t="str">
        <f t="shared" si="11"/>
        <v>,GGoal=</v>
      </c>
      <c r="X33">
        <f>Match!L34</f>
        <v>2</v>
      </c>
      <c r="Y33" t="str">
        <f t="shared" si="12"/>
        <v>,GTeam= "</v>
      </c>
      <c r="Z33" t="str">
        <f>Match!M34</f>
        <v>Poland</v>
      </c>
      <c r="AA33" t="str">
        <f t="shared" si="13"/>
        <v>",WinNote="</v>
      </c>
      <c r="AB33" t="str">
        <f>IF(Match!N34="","",Match!N34)</f>
        <v/>
      </c>
      <c r="AC33" t="str">
        <f t="shared" si="14"/>
        <v xml:space="preserve">",Stadium=" </v>
      </c>
      <c r="AD33" s="95" t="str">
        <f>Match!O34</f>
        <v>Aviva, Dublin</v>
      </c>
      <c r="AE33" t="str">
        <f t="shared" si="15"/>
        <v>",Referee= "</v>
      </c>
      <c r="AF33" s="95" t="str">
        <f>IF(Match!P34="","",Match!P34)</f>
        <v/>
      </c>
      <c r="AG33" t="str">
        <f t="shared" si="16"/>
        <v xml:space="preserve">",Visistors= </v>
      </c>
      <c r="AH33" s="95">
        <f>IF(Match!Q34="",0,Match!Q34)</f>
        <v>0</v>
      </c>
      <c r="AI33" t="str">
        <f t="shared" si="17"/>
        <v>,Status= "</v>
      </c>
      <c r="AJ33" s="95" t="str">
        <f>Match!R34</f>
        <v>Finished</v>
      </c>
      <c r="AK33" t="str">
        <f t="shared" si="18"/>
        <v>" },</v>
      </c>
    </row>
    <row r="34" spans="1:37" x14ac:dyDescent="0.25">
      <c r="A34" s="94" t="str">
        <f t="shared" si="0"/>
        <v>new Match { MatchId= "</v>
      </c>
      <c r="B34" t="str">
        <f>Match!A35</f>
        <v>UEFAEURO2020-34</v>
      </c>
      <c r="C34" s="94" t="str">
        <f t="shared" si="1"/>
        <v>",MatchNumber=</v>
      </c>
      <c r="D34">
        <f>Match!B35</f>
        <v>34</v>
      </c>
      <c r="E34" s="94" t="str">
        <f t="shared" si="2"/>
        <v>,DateMatch=DateTime.Parse("</v>
      </c>
      <c r="F34" s="85">
        <f>Match!C35</f>
        <v>44371.041666666664</v>
      </c>
      <c r="G34" s="92" t="str">
        <f t="shared" si="3"/>
        <v>"),TimeMatch=TimeSpan.Parse("</v>
      </c>
      <c r="H34" s="93">
        <f>Match!D35</f>
        <v>44371.041666666664</v>
      </c>
      <c r="I34" s="94" t="str">
        <f t="shared" si="4"/>
        <v>"),MatchYear=</v>
      </c>
      <c r="J34">
        <f>Match!E35</f>
        <v>2021</v>
      </c>
      <c r="K34" s="94" t="str">
        <f t="shared" si="5"/>
        <v>, SeasonId= "</v>
      </c>
      <c r="L34" t="str">
        <f>Match!F35</f>
        <v>UEFAEURO2020</v>
      </c>
      <c r="M34" s="94" t="str">
        <f t="shared" si="6"/>
        <v>",Round= "</v>
      </c>
      <c r="N34" t="str">
        <f>Match!G35</f>
        <v>Final Round</v>
      </c>
      <c r="O34" t="str">
        <f t="shared" si="7"/>
        <v>",Stage= "</v>
      </c>
      <c r="P34" t="str">
        <f>Match!H35</f>
        <v>Group</v>
      </c>
      <c r="Q34" t="str">
        <f t="shared" si="8"/>
        <v>",SubStage= "</v>
      </c>
      <c r="R34" t="str">
        <f>Match!I35</f>
        <v>Group E</v>
      </c>
      <c r="S34" t="str">
        <f t="shared" si="9"/>
        <v>",HTeam= "</v>
      </c>
      <c r="T34" t="str">
        <f>Match!J35</f>
        <v>Slovakia</v>
      </c>
      <c r="U34" t="str">
        <f t="shared" si="10"/>
        <v>",HGoal=</v>
      </c>
      <c r="V34">
        <f>Match!K35</f>
        <v>0</v>
      </c>
      <c r="W34" t="str">
        <f t="shared" si="11"/>
        <v>,GGoal=</v>
      </c>
      <c r="X34">
        <f>Match!L35</f>
        <v>5</v>
      </c>
      <c r="Y34" t="str">
        <f t="shared" si="12"/>
        <v>,GTeam= "</v>
      </c>
      <c r="Z34" t="str">
        <f>Match!M35</f>
        <v>Spain</v>
      </c>
      <c r="AA34" t="str">
        <f t="shared" si="13"/>
        <v>",WinNote="</v>
      </c>
      <c r="AB34" t="str">
        <f>IF(Match!N35="","",Match!N35)</f>
        <v/>
      </c>
      <c r="AC34" t="str">
        <f t="shared" si="14"/>
        <v xml:space="preserve">",Stadium=" </v>
      </c>
      <c r="AD34" s="95" t="str">
        <f>Match!O35</f>
        <v>Estadio de San Mames, Bilbao</v>
      </c>
      <c r="AE34" t="str">
        <f t="shared" si="15"/>
        <v>",Referee= "</v>
      </c>
      <c r="AF34" s="95" t="str">
        <f>IF(Match!P35="","",Match!P35)</f>
        <v/>
      </c>
      <c r="AG34" t="str">
        <f t="shared" si="16"/>
        <v xml:space="preserve">",Visistors= </v>
      </c>
      <c r="AH34" s="95">
        <f>IF(Match!Q35="",0,Match!Q35)</f>
        <v>0</v>
      </c>
      <c r="AI34" t="str">
        <f t="shared" si="17"/>
        <v>,Status= "</v>
      </c>
      <c r="AJ34" s="95" t="str">
        <f>Match!R35</f>
        <v>Finished</v>
      </c>
      <c r="AK34" t="str">
        <f t="shared" si="18"/>
        <v>" },</v>
      </c>
    </row>
    <row r="35" spans="1:37" x14ac:dyDescent="0.25">
      <c r="A35" s="94" t="str">
        <f t="shared" si="0"/>
        <v>new Match { MatchId= "</v>
      </c>
      <c r="B35" t="str">
        <f>Match!A36</f>
        <v>UEFAEURO2020-35</v>
      </c>
      <c r="C35" s="94" t="str">
        <f t="shared" si="1"/>
        <v>",MatchNumber=</v>
      </c>
      <c r="D35">
        <f>Match!B36</f>
        <v>35</v>
      </c>
      <c r="E35" s="94" t="str">
        <f t="shared" si="2"/>
        <v>,DateMatch=DateTime.Parse("</v>
      </c>
      <c r="F35" s="85">
        <f>Match!C36</f>
        <v>44371.166666666664</v>
      </c>
      <c r="G35" s="92" t="str">
        <f t="shared" si="3"/>
        <v>"),TimeMatch=TimeSpan.Parse("</v>
      </c>
      <c r="H35" s="93">
        <f>Match!D36</f>
        <v>44371.166666666664</v>
      </c>
      <c r="I35" s="94" t="str">
        <f t="shared" si="4"/>
        <v>"),MatchYear=</v>
      </c>
      <c r="J35">
        <f>Match!E36</f>
        <v>2021</v>
      </c>
      <c r="K35" s="94" t="str">
        <f t="shared" si="5"/>
        <v>, SeasonId= "</v>
      </c>
      <c r="L35" t="str">
        <f>Match!F36</f>
        <v>UEFAEURO2020</v>
      </c>
      <c r="M35" s="94" t="str">
        <f t="shared" si="6"/>
        <v>",Round= "</v>
      </c>
      <c r="N35" t="str">
        <f>Match!G36</f>
        <v>Final Round</v>
      </c>
      <c r="O35" t="str">
        <f t="shared" si="7"/>
        <v>",Stage= "</v>
      </c>
      <c r="P35" t="str">
        <f>Match!H36</f>
        <v>Group</v>
      </c>
      <c r="Q35" t="str">
        <f t="shared" si="8"/>
        <v>",SubStage= "</v>
      </c>
      <c r="R35" t="str">
        <f>Match!I36</f>
        <v>Group F</v>
      </c>
      <c r="S35" t="str">
        <f t="shared" si="9"/>
        <v>",HTeam= "</v>
      </c>
      <c r="T35" t="str">
        <f>Match!J36</f>
        <v>Portugal</v>
      </c>
      <c r="U35" t="str">
        <f t="shared" si="10"/>
        <v>",HGoal=</v>
      </c>
      <c r="V35">
        <f>Match!K36</f>
        <v>2</v>
      </c>
      <c r="W35" t="str">
        <f t="shared" si="11"/>
        <v>,GGoal=</v>
      </c>
      <c r="X35">
        <f>Match!L36</f>
        <v>2</v>
      </c>
      <c r="Y35" t="str">
        <f t="shared" si="12"/>
        <v>,GTeam= "</v>
      </c>
      <c r="Z35" t="str">
        <f>Match!M36</f>
        <v>France</v>
      </c>
      <c r="AA35" t="str">
        <f t="shared" si="13"/>
        <v>",WinNote="</v>
      </c>
      <c r="AB35" t="str">
        <f>IF(Match!N36="","",Match!N36)</f>
        <v/>
      </c>
      <c r="AC35" t="str">
        <f t="shared" si="14"/>
        <v xml:space="preserve">",Stadium=" </v>
      </c>
      <c r="AD35" s="95" t="str">
        <f>Match!O36</f>
        <v>Puskas Arena, Budapest</v>
      </c>
      <c r="AE35" t="str">
        <f t="shared" si="15"/>
        <v>",Referee= "</v>
      </c>
      <c r="AF35" s="95" t="str">
        <f>IF(Match!P36="","",Match!P36)</f>
        <v/>
      </c>
      <c r="AG35" t="str">
        <f t="shared" si="16"/>
        <v xml:space="preserve">",Visistors= </v>
      </c>
      <c r="AH35" s="95">
        <f>IF(Match!Q36="",0,Match!Q36)</f>
        <v>0</v>
      </c>
      <c r="AI35" t="str">
        <f t="shared" si="17"/>
        <v>,Status= "</v>
      </c>
      <c r="AJ35" s="95" t="str">
        <f>Match!R36</f>
        <v>Finished</v>
      </c>
      <c r="AK35" t="str">
        <f t="shared" si="18"/>
        <v>" },</v>
      </c>
    </row>
    <row r="36" spans="1:37" x14ac:dyDescent="0.25">
      <c r="A36" s="94" t="str">
        <f t="shared" si="0"/>
        <v>new Match { MatchId= "</v>
      </c>
      <c r="B36" t="str">
        <f>Match!A37</f>
        <v>UEFAEURO2020-36</v>
      </c>
      <c r="C36" s="94" t="str">
        <f t="shared" si="1"/>
        <v>",MatchNumber=</v>
      </c>
      <c r="D36">
        <f>Match!B37</f>
        <v>36</v>
      </c>
      <c r="E36" s="94" t="str">
        <f t="shared" si="2"/>
        <v>,DateMatch=DateTime.Parse("</v>
      </c>
      <c r="F36" s="85">
        <f>Match!C37</f>
        <v>44371.166666666664</v>
      </c>
      <c r="G36" s="92" t="str">
        <f t="shared" si="3"/>
        <v>"),TimeMatch=TimeSpan.Parse("</v>
      </c>
      <c r="H36" s="93">
        <f>Match!D37</f>
        <v>44371.166666666664</v>
      </c>
      <c r="I36" s="94" t="str">
        <f t="shared" si="4"/>
        <v>"),MatchYear=</v>
      </c>
      <c r="J36">
        <f>Match!E37</f>
        <v>2021</v>
      </c>
      <c r="K36" s="94" t="str">
        <f t="shared" si="5"/>
        <v>, SeasonId= "</v>
      </c>
      <c r="L36" t="str">
        <f>Match!F37</f>
        <v>UEFAEURO2020</v>
      </c>
      <c r="M36" s="94" t="str">
        <f t="shared" si="6"/>
        <v>",Round= "</v>
      </c>
      <c r="N36" t="str">
        <f>Match!G37</f>
        <v>Final Round</v>
      </c>
      <c r="O36" t="str">
        <f t="shared" si="7"/>
        <v>",Stage= "</v>
      </c>
      <c r="P36" t="str">
        <f>Match!H37</f>
        <v>Group</v>
      </c>
      <c r="Q36" t="str">
        <f t="shared" si="8"/>
        <v>",SubStage= "</v>
      </c>
      <c r="R36" t="str">
        <f>Match!I37</f>
        <v>Group F</v>
      </c>
      <c r="S36" t="str">
        <f t="shared" si="9"/>
        <v>",HTeam= "</v>
      </c>
      <c r="T36" t="str">
        <f>Match!J37</f>
        <v>Germany</v>
      </c>
      <c r="U36" t="str">
        <f t="shared" si="10"/>
        <v>",HGoal=</v>
      </c>
      <c r="V36">
        <f>Match!K37</f>
        <v>2</v>
      </c>
      <c r="W36" t="str">
        <f t="shared" si="11"/>
        <v>,GGoal=</v>
      </c>
      <c r="X36">
        <f>Match!L37</f>
        <v>2</v>
      </c>
      <c r="Y36" t="str">
        <f t="shared" si="12"/>
        <v>,GTeam= "</v>
      </c>
      <c r="Z36" t="str">
        <f>Match!M37</f>
        <v>Hungary</v>
      </c>
      <c r="AA36" t="str">
        <f t="shared" si="13"/>
        <v>",WinNote="</v>
      </c>
      <c r="AB36" t="str">
        <f>IF(Match!N37="","",Match!N37)</f>
        <v/>
      </c>
      <c r="AC36" t="str">
        <f t="shared" si="14"/>
        <v xml:space="preserve">",Stadium=" </v>
      </c>
      <c r="AD36" s="95" t="str">
        <f>Match!O37</f>
        <v>Allianz Arena, Munich</v>
      </c>
      <c r="AE36" t="str">
        <f t="shared" si="15"/>
        <v>",Referee= "</v>
      </c>
      <c r="AF36" s="95" t="str">
        <f>IF(Match!P37="","",Match!P37)</f>
        <v/>
      </c>
      <c r="AG36" t="str">
        <f t="shared" si="16"/>
        <v xml:space="preserve">",Visistors= </v>
      </c>
      <c r="AH36" s="95">
        <f>IF(Match!Q37="",0,Match!Q37)</f>
        <v>0</v>
      </c>
      <c r="AI36" t="str">
        <f t="shared" si="17"/>
        <v>,Status= "</v>
      </c>
      <c r="AJ36" s="95" t="str">
        <f>Match!R37</f>
        <v>Finished</v>
      </c>
      <c r="AK36" t="str">
        <f t="shared" si="18"/>
        <v>" },</v>
      </c>
    </row>
    <row r="37" spans="1:37" x14ac:dyDescent="0.25">
      <c r="A37" s="94" t="str">
        <f t="shared" si="0"/>
        <v>new Match { MatchId= "</v>
      </c>
      <c r="B37" t="str">
        <f>Match!A38</f>
        <v>UEFAEURO2020-37</v>
      </c>
      <c r="C37" s="94" t="str">
        <f t="shared" si="1"/>
        <v>",MatchNumber=</v>
      </c>
      <c r="D37">
        <f>Match!B38</f>
        <v>37</v>
      </c>
      <c r="E37" s="94" t="str">
        <f t="shared" si="2"/>
        <v>,DateMatch=DateTime.Parse("</v>
      </c>
      <c r="F37" s="85">
        <f>Match!C38</f>
        <v>44374.041666666664</v>
      </c>
      <c r="G37" s="92" t="str">
        <f t="shared" si="3"/>
        <v>"),TimeMatch=TimeSpan.Parse("</v>
      </c>
      <c r="H37" s="93">
        <f>Match!D38</f>
        <v>44374.041666666664</v>
      </c>
      <c r="I37" s="94" t="str">
        <f t="shared" si="4"/>
        <v>"),MatchYear=</v>
      </c>
      <c r="J37">
        <f>Match!E38</f>
        <v>2021</v>
      </c>
      <c r="K37" s="94" t="str">
        <f t="shared" si="5"/>
        <v>, SeasonId= "</v>
      </c>
      <c r="L37" t="str">
        <f>Match!F38</f>
        <v>UEFAEURO2020</v>
      </c>
      <c r="M37" s="94" t="str">
        <f t="shared" si="6"/>
        <v>",Round= "</v>
      </c>
      <c r="N37" t="str">
        <f>Match!G38</f>
        <v>Final Round</v>
      </c>
      <c r="O37" t="str">
        <f t="shared" si="7"/>
        <v>",Stage= "</v>
      </c>
      <c r="P37" t="str">
        <f>Match!H38</f>
        <v>Knockouts</v>
      </c>
      <c r="Q37" t="str">
        <f t="shared" si="8"/>
        <v>",SubStage= "</v>
      </c>
      <c r="R37" t="str">
        <f>Match!I38</f>
        <v xml:space="preserve">Round of 16 </v>
      </c>
      <c r="S37" t="str">
        <f t="shared" si="9"/>
        <v>",HTeam= "</v>
      </c>
      <c r="T37" t="str">
        <f>Match!J38</f>
        <v>Wales</v>
      </c>
      <c r="U37" t="str">
        <f t="shared" si="10"/>
        <v>",HGoal=</v>
      </c>
      <c r="V37">
        <f>Match!K38</f>
        <v>0</v>
      </c>
      <c r="W37" t="str">
        <f t="shared" si="11"/>
        <v>,GGoal=</v>
      </c>
      <c r="X37">
        <f>Match!L38</f>
        <v>4</v>
      </c>
      <c r="Y37" t="str">
        <f t="shared" si="12"/>
        <v>,GTeam= "</v>
      </c>
      <c r="Z37" t="str">
        <f>Match!M38</f>
        <v>Denmark</v>
      </c>
      <c r="AA37" t="str">
        <f t="shared" si="13"/>
        <v>",WinNote="</v>
      </c>
      <c r="AB37" t="str">
        <f>IF(Match!N38="","",Match!N38)</f>
        <v/>
      </c>
      <c r="AC37" t="str">
        <f t="shared" si="14"/>
        <v xml:space="preserve">",Stadium=" </v>
      </c>
      <c r="AD37" s="95" t="str">
        <f>Match!O38</f>
        <v>Johan Cruijff Arena, Amsterdam</v>
      </c>
      <c r="AE37" t="str">
        <f t="shared" si="15"/>
        <v>",Referee= "</v>
      </c>
      <c r="AF37" s="95" t="str">
        <f>IF(Match!P38="","",Match!P38)</f>
        <v/>
      </c>
      <c r="AG37" t="str">
        <f t="shared" si="16"/>
        <v xml:space="preserve">",Visistors= </v>
      </c>
      <c r="AH37" s="95">
        <f>IF(Match!Q38="",0,Match!Q38)</f>
        <v>0</v>
      </c>
      <c r="AI37" t="str">
        <f t="shared" si="17"/>
        <v>,Status= "</v>
      </c>
      <c r="AJ37" s="95" t="str">
        <f>Match!R38</f>
        <v>Finished</v>
      </c>
      <c r="AK37" t="str">
        <f t="shared" si="18"/>
        <v>" },</v>
      </c>
    </row>
    <row r="38" spans="1:37" x14ac:dyDescent="0.25">
      <c r="A38" s="94" t="str">
        <f t="shared" si="0"/>
        <v>new Match { MatchId= "</v>
      </c>
      <c r="B38" t="str">
        <f>Match!A39</f>
        <v>UEFAEURO2020-38</v>
      </c>
      <c r="C38" s="94" t="str">
        <f t="shared" si="1"/>
        <v>",MatchNumber=</v>
      </c>
      <c r="D38">
        <f>Match!B39</f>
        <v>38</v>
      </c>
      <c r="E38" s="94" t="str">
        <f t="shared" si="2"/>
        <v>,DateMatch=DateTime.Parse("</v>
      </c>
      <c r="F38" s="85">
        <f>Match!C39</f>
        <v>44374.166666666664</v>
      </c>
      <c r="G38" s="92" t="str">
        <f t="shared" si="3"/>
        <v>"),TimeMatch=TimeSpan.Parse("</v>
      </c>
      <c r="H38" s="93">
        <f>Match!D39</f>
        <v>44374.166666666664</v>
      </c>
      <c r="I38" s="94" t="str">
        <f t="shared" si="4"/>
        <v>"),MatchYear=</v>
      </c>
      <c r="J38">
        <f>Match!E39</f>
        <v>2021</v>
      </c>
      <c r="K38" s="94" t="str">
        <f t="shared" si="5"/>
        <v>, SeasonId= "</v>
      </c>
      <c r="L38" t="str">
        <f>Match!F39</f>
        <v>UEFAEURO2020</v>
      </c>
      <c r="M38" s="94" t="str">
        <f t="shared" si="6"/>
        <v>",Round= "</v>
      </c>
      <c r="N38" t="str">
        <f>Match!G39</f>
        <v>Final Round</v>
      </c>
      <c r="O38" t="str">
        <f t="shared" si="7"/>
        <v>",Stage= "</v>
      </c>
      <c r="P38" t="str">
        <f>Match!H39</f>
        <v>Knockouts</v>
      </c>
      <c r="Q38" t="str">
        <f t="shared" si="8"/>
        <v>",SubStage= "</v>
      </c>
      <c r="R38" t="str">
        <f>Match!I39</f>
        <v xml:space="preserve">Round of 16 </v>
      </c>
      <c r="S38" t="str">
        <f t="shared" si="9"/>
        <v>",HTeam= "</v>
      </c>
      <c r="T38" t="str">
        <f>Match!J39</f>
        <v>Italy</v>
      </c>
      <c r="U38" t="str">
        <f t="shared" si="10"/>
        <v>",HGoal=</v>
      </c>
      <c r="V38">
        <f>Match!K39</f>
        <v>2</v>
      </c>
      <c r="W38" t="str">
        <f t="shared" si="11"/>
        <v>,GGoal=</v>
      </c>
      <c r="X38">
        <f>Match!L39</f>
        <v>1</v>
      </c>
      <c r="Y38" t="str">
        <f t="shared" si="12"/>
        <v>,GTeam= "</v>
      </c>
      <c r="Z38" t="str">
        <f>Match!M39</f>
        <v>Austria</v>
      </c>
      <c r="AA38" t="str">
        <f t="shared" si="13"/>
        <v>",WinNote="</v>
      </c>
      <c r="AB38" t="str">
        <f>IF(Match!N39="","",Match!N39)</f>
        <v/>
      </c>
      <c r="AC38" t="str">
        <f t="shared" si="14"/>
        <v xml:space="preserve">",Stadium=" </v>
      </c>
      <c r="AD38" s="95" t="str">
        <f>Match!O39</f>
        <v>Wembley, London</v>
      </c>
      <c r="AE38" t="str">
        <f t="shared" si="15"/>
        <v>",Referee= "</v>
      </c>
      <c r="AF38" s="95" t="str">
        <f>IF(Match!P39="","",Match!P39)</f>
        <v/>
      </c>
      <c r="AG38" t="str">
        <f t="shared" si="16"/>
        <v xml:space="preserve">",Visistors= </v>
      </c>
      <c r="AH38" s="95">
        <f>IF(Match!Q39="",0,Match!Q39)</f>
        <v>0</v>
      </c>
      <c r="AI38" t="str">
        <f t="shared" si="17"/>
        <v>,Status= "</v>
      </c>
      <c r="AJ38" s="95" t="str">
        <f>Match!R39</f>
        <v>Finished</v>
      </c>
      <c r="AK38" t="str">
        <f t="shared" si="18"/>
        <v>" },</v>
      </c>
    </row>
    <row r="39" spans="1:37" x14ac:dyDescent="0.25">
      <c r="A39" s="94" t="str">
        <f t="shared" si="0"/>
        <v>new Match { MatchId= "</v>
      </c>
      <c r="B39" t="str">
        <f>Match!A40</f>
        <v>UEFAEURO2020-39</v>
      </c>
      <c r="C39" s="94" t="str">
        <f t="shared" si="1"/>
        <v>",MatchNumber=</v>
      </c>
      <c r="D39">
        <f>Match!B40</f>
        <v>39</v>
      </c>
      <c r="E39" s="94" t="str">
        <f t="shared" si="2"/>
        <v>,DateMatch=DateTime.Parse("</v>
      </c>
      <c r="F39" s="85">
        <f>Match!C40</f>
        <v>44375.041666666664</v>
      </c>
      <c r="G39" s="92" t="str">
        <f t="shared" si="3"/>
        <v>"),TimeMatch=TimeSpan.Parse("</v>
      </c>
      <c r="H39" s="93">
        <f>Match!D40</f>
        <v>44375.041666666664</v>
      </c>
      <c r="I39" s="94" t="str">
        <f t="shared" si="4"/>
        <v>"),MatchYear=</v>
      </c>
      <c r="J39">
        <f>Match!E40</f>
        <v>2021</v>
      </c>
      <c r="K39" s="94" t="str">
        <f t="shared" si="5"/>
        <v>, SeasonId= "</v>
      </c>
      <c r="L39" t="str">
        <f>Match!F40</f>
        <v>UEFAEURO2020</v>
      </c>
      <c r="M39" s="94" t="str">
        <f t="shared" si="6"/>
        <v>",Round= "</v>
      </c>
      <c r="N39" t="str">
        <f>Match!G40</f>
        <v>Final Round</v>
      </c>
      <c r="O39" t="str">
        <f t="shared" si="7"/>
        <v>",Stage= "</v>
      </c>
      <c r="P39" t="str">
        <f>Match!H40</f>
        <v>Knockouts</v>
      </c>
      <c r="Q39" t="str">
        <f t="shared" si="8"/>
        <v>",SubStage= "</v>
      </c>
      <c r="R39" t="str">
        <f>Match!I40</f>
        <v xml:space="preserve">Round of 16 </v>
      </c>
      <c r="S39" t="str">
        <f t="shared" si="9"/>
        <v>",HTeam= "</v>
      </c>
      <c r="T39" t="str">
        <f>Match!J40</f>
        <v>Netherlands</v>
      </c>
      <c r="U39" t="str">
        <f t="shared" si="10"/>
        <v>",HGoal=</v>
      </c>
      <c r="V39">
        <f>Match!K40</f>
        <v>0</v>
      </c>
      <c r="W39" t="str">
        <f t="shared" si="11"/>
        <v>,GGoal=</v>
      </c>
      <c r="X39">
        <f>Match!L40</f>
        <v>2</v>
      </c>
      <c r="Y39" t="str">
        <f t="shared" si="12"/>
        <v>,GTeam= "</v>
      </c>
      <c r="Z39" t="str">
        <f>Match!M40</f>
        <v>Czech Republic</v>
      </c>
      <c r="AA39" t="str">
        <f t="shared" si="13"/>
        <v>",WinNote="</v>
      </c>
      <c r="AB39" t="str">
        <f>IF(Match!N40="","",Match!N40)</f>
        <v/>
      </c>
      <c r="AC39" t="str">
        <f t="shared" si="14"/>
        <v xml:space="preserve">",Stadium=" </v>
      </c>
      <c r="AD39" s="95" t="str">
        <f>Match!O40</f>
        <v>Puskas Arena, Budapest</v>
      </c>
      <c r="AE39" t="str">
        <f t="shared" si="15"/>
        <v>",Referee= "</v>
      </c>
      <c r="AF39" s="95" t="str">
        <f>IF(Match!P40="","",Match!P40)</f>
        <v/>
      </c>
      <c r="AG39" t="str">
        <f t="shared" si="16"/>
        <v xml:space="preserve">",Visistors= </v>
      </c>
      <c r="AH39" s="95">
        <f>IF(Match!Q40="",0,Match!Q40)</f>
        <v>0</v>
      </c>
      <c r="AI39" t="str">
        <f t="shared" si="17"/>
        <v>,Status= "</v>
      </c>
      <c r="AJ39" s="95" t="str">
        <f>Match!R40</f>
        <v>Finished</v>
      </c>
      <c r="AK39" t="str">
        <f t="shared" si="18"/>
        <v>" },</v>
      </c>
    </row>
    <row r="40" spans="1:37" x14ac:dyDescent="0.25">
      <c r="A40" s="94" t="str">
        <f t="shared" si="0"/>
        <v>new Match { MatchId= "</v>
      </c>
      <c r="B40" t="str">
        <f>Match!A41</f>
        <v>UEFAEURO2020-40</v>
      </c>
      <c r="C40" s="94" t="str">
        <f t="shared" si="1"/>
        <v>",MatchNumber=</v>
      </c>
      <c r="D40">
        <f>Match!B41</f>
        <v>40</v>
      </c>
      <c r="E40" s="94" t="str">
        <f t="shared" si="2"/>
        <v>,DateMatch=DateTime.Parse("</v>
      </c>
      <c r="F40" s="85">
        <f>Match!C41</f>
        <v>44375.166666666664</v>
      </c>
      <c r="G40" s="92" t="str">
        <f t="shared" si="3"/>
        <v>"),TimeMatch=TimeSpan.Parse("</v>
      </c>
      <c r="H40" s="93">
        <f>Match!D41</f>
        <v>44375.166666666664</v>
      </c>
      <c r="I40" s="94" t="str">
        <f t="shared" si="4"/>
        <v>"),MatchYear=</v>
      </c>
      <c r="J40">
        <f>Match!E41</f>
        <v>2021</v>
      </c>
      <c r="K40" s="94" t="str">
        <f t="shared" si="5"/>
        <v>, SeasonId= "</v>
      </c>
      <c r="L40" t="str">
        <f>Match!F41</f>
        <v>UEFAEURO2020</v>
      </c>
      <c r="M40" s="94" t="str">
        <f t="shared" si="6"/>
        <v>",Round= "</v>
      </c>
      <c r="N40" t="str">
        <f>Match!G41</f>
        <v>Final Round</v>
      </c>
      <c r="O40" t="str">
        <f t="shared" si="7"/>
        <v>",Stage= "</v>
      </c>
      <c r="P40" t="str">
        <f>Match!H41</f>
        <v>Knockouts</v>
      </c>
      <c r="Q40" t="str">
        <f t="shared" si="8"/>
        <v>",SubStage= "</v>
      </c>
      <c r="R40" t="str">
        <f>Match!I41</f>
        <v xml:space="preserve">Round of 16 </v>
      </c>
      <c r="S40" t="str">
        <f t="shared" si="9"/>
        <v>",HTeam= "</v>
      </c>
      <c r="T40" t="str">
        <f>Match!J41</f>
        <v>Belgium</v>
      </c>
      <c r="U40" t="str">
        <f t="shared" si="10"/>
        <v>",HGoal=</v>
      </c>
      <c r="V40">
        <f>Match!K41</f>
        <v>1</v>
      </c>
      <c r="W40" t="str">
        <f t="shared" si="11"/>
        <v>,GGoal=</v>
      </c>
      <c r="X40">
        <f>Match!L41</f>
        <v>0</v>
      </c>
      <c r="Y40" t="str">
        <f t="shared" si="12"/>
        <v>,GTeam= "</v>
      </c>
      <c r="Z40" t="str">
        <f>Match!M41</f>
        <v>Portugal</v>
      </c>
      <c r="AA40" t="str">
        <f t="shared" si="13"/>
        <v>",WinNote="</v>
      </c>
      <c r="AB40" t="str">
        <f>IF(Match!N41="","",Match!N41)</f>
        <v/>
      </c>
      <c r="AC40" t="str">
        <f t="shared" si="14"/>
        <v xml:space="preserve">",Stadium=" </v>
      </c>
      <c r="AD40" s="95" t="str">
        <f>Match!O41</f>
        <v>Estadio de San Mames, Bilbao</v>
      </c>
      <c r="AE40" t="str">
        <f t="shared" si="15"/>
        <v>",Referee= "</v>
      </c>
      <c r="AF40" s="95" t="str">
        <f>IF(Match!P41="","",Match!P41)</f>
        <v/>
      </c>
      <c r="AG40" t="str">
        <f t="shared" si="16"/>
        <v xml:space="preserve">",Visistors= </v>
      </c>
      <c r="AH40" s="95">
        <f>IF(Match!Q41="",0,Match!Q41)</f>
        <v>0</v>
      </c>
      <c r="AI40" t="str">
        <f t="shared" si="17"/>
        <v>,Status= "</v>
      </c>
      <c r="AJ40" s="95" t="str">
        <f>Match!R41</f>
        <v>Finished</v>
      </c>
      <c r="AK40" t="str">
        <f t="shared" si="18"/>
        <v>" },</v>
      </c>
    </row>
    <row r="41" spans="1:37" x14ac:dyDescent="0.25">
      <c r="A41" s="94" t="str">
        <f t="shared" si="0"/>
        <v>new Match { MatchId= "</v>
      </c>
      <c r="B41" t="str">
        <f>Match!A42</f>
        <v>UEFAEURO2020-41</v>
      </c>
      <c r="C41" s="94" t="str">
        <f t="shared" si="1"/>
        <v>",MatchNumber=</v>
      </c>
      <c r="D41">
        <f>Match!B42</f>
        <v>41</v>
      </c>
      <c r="E41" s="94" t="str">
        <f t="shared" si="2"/>
        <v>,DateMatch=DateTime.Parse("</v>
      </c>
      <c r="F41" s="85">
        <f>Match!C42</f>
        <v>44376.041666666664</v>
      </c>
      <c r="G41" s="92" t="str">
        <f t="shared" si="3"/>
        <v>"),TimeMatch=TimeSpan.Parse("</v>
      </c>
      <c r="H41" s="93">
        <f>Match!D42</f>
        <v>44376.041666666664</v>
      </c>
      <c r="I41" s="94" t="str">
        <f t="shared" si="4"/>
        <v>"),MatchYear=</v>
      </c>
      <c r="J41">
        <f>Match!E42</f>
        <v>2021</v>
      </c>
      <c r="K41" s="94" t="str">
        <f t="shared" si="5"/>
        <v>, SeasonId= "</v>
      </c>
      <c r="L41" t="str">
        <f>Match!F42</f>
        <v>UEFAEURO2020</v>
      </c>
      <c r="M41" s="94" t="str">
        <f t="shared" si="6"/>
        <v>",Round= "</v>
      </c>
      <c r="N41" t="str">
        <f>Match!G42</f>
        <v>Final Round</v>
      </c>
      <c r="O41" t="str">
        <f t="shared" si="7"/>
        <v>",Stage= "</v>
      </c>
      <c r="P41" t="str">
        <f>Match!H42</f>
        <v>Knockouts</v>
      </c>
      <c r="Q41" t="str">
        <f t="shared" si="8"/>
        <v>",SubStage= "</v>
      </c>
      <c r="R41" t="str">
        <f>Match!I42</f>
        <v xml:space="preserve">Round of 16 </v>
      </c>
      <c r="S41" t="str">
        <f t="shared" si="9"/>
        <v>",HTeam= "</v>
      </c>
      <c r="T41" t="str">
        <f>Match!J42</f>
        <v>Croatia</v>
      </c>
      <c r="U41" t="str">
        <f t="shared" si="10"/>
        <v>",HGoal=</v>
      </c>
      <c r="V41">
        <f>Match!K42</f>
        <v>3</v>
      </c>
      <c r="W41" t="str">
        <f t="shared" si="11"/>
        <v>,GGoal=</v>
      </c>
      <c r="X41">
        <f>Match!L42</f>
        <v>5</v>
      </c>
      <c r="Y41" t="str">
        <f t="shared" si="12"/>
        <v>,GTeam= "</v>
      </c>
      <c r="Z41" t="str">
        <f>Match!M42</f>
        <v>Spain</v>
      </c>
      <c r="AA41" t="str">
        <f t="shared" si="13"/>
        <v>",WinNote="</v>
      </c>
      <c r="AB41" t="str">
        <f>IF(Match!N42="","",Match!N42)</f>
        <v/>
      </c>
      <c r="AC41" t="str">
        <f t="shared" si="14"/>
        <v xml:space="preserve">",Stadium=" </v>
      </c>
      <c r="AD41" s="95" t="str">
        <f>Match!O42</f>
        <v>Parken, Copenhagen</v>
      </c>
      <c r="AE41" t="str">
        <f t="shared" si="15"/>
        <v>",Referee= "</v>
      </c>
      <c r="AF41" s="95" t="str">
        <f>IF(Match!P42="","",Match!P42)</f>
        <v/>
      </c>
      <c r="AG41" t="str">
        <f t="shared" si="16"/>
        <v xml:space="preserve">",Visistors= </v>
      </c>
      <c r="AH41" s="95">
        <f>IF(Match!Q42="",0,Match!Q42)</f>
        <v>0</v>
      </c>
      <c r="AI41" t="str">
        <f t="shared" si="17"/>
        <v>,Status= "</v>
      </c>
      <c r="AJ41" s="95" t="str">
        <f>Match!R42</f>
        <v>Finished</v>
      </c>
      <c r="AK41" t="str">
        <f t="shared" si="18"/>
        <v>" },</v>
      </c>
    </row>
    <row r="42" spans="1:37" x14ac:dyDescent="0.25">
      <c r="A42" s="94" t="str">
        <f t="shared" si="0"/>
        <v>new Match { MatchId= "</v>
      </c>
      <c r="B42" t="str">
        <f>Match!A43</f>
        <v>UEFAEURO2020-42</v>
      </c>
      <c r="C42" s="94" t="str">
        <f t="shared" si="1"/>
        <v>",MatchNumber=</v>
      </c>
      <c r="D42">
        <f>Match!B43</f>
        <v>42</v>
      </c>
      <c r="E42" s="94" t="str">
        <f t="shared" si="2"/>
        <v>,DateMatch=DateTime.Parse("</v>
      </c>
      <c r="F42" s="85">
        <f>Match!C43</f>
        <v>44376.166666666664</v>
      </c>
      <c r="G42" s="92" t="str">
        <f t="shared" si="3"/>
        <v>"),TimeMatch=TimeSpan.Parse("</v>
      </c>
      <c r="H42" s="93">
        <f>Match!D43</f>
        <v>44376.166666666664</v>
      </c>
      <c r="I42" s="94" t="str">
        <f t="shared" si="4"/>
        <v>"),MatchYear=</v>
      </c>
      <c r="J42">
        <f>Match!E43</f>
        <v>2021</v>
      </c>
      <c r="K42" s="94" t="str">
        <f t="shared" si="5"/>
        <v>, SeasonId= "</v>
      </c>
      <c r="L42" t="str">
        <f>Match!F43</f>
        <v>UEFAEURO2020</v>
      </c>
      <c r="M42" s="94" t="str">
        <f t="shared" si="6"/>
        <v>",Round= "</v>
      </c>
      <c r="N42" t="str">
        <f>Match!G43</f>
        <v>Final Round</v>
      </c>
      <c r="O42" t="str">
        <f t="shared" si="7"/>
        <v>",Stage= "</v>
      </c>
      <c r="P42" t="str">
        <f>Match!H43</f>
        <v>Knockouts</v>
      </c>
      <c r="Q42" t="str">
        <f t="shared" si="8"/>
        <v>",SubStage= "</v>
      </c>
      <c r="R42" t="str">
        <f>Match!I43</f>
        <v xml:space="preserve">Round of 16 </v>
      </c>
      <c r="S42" t="str">
        <f t="shared" si="9"/>
        <v>",HTeam= "</v>
      </c>
      <c r="T42" t="str">
        <f>Match!J43</f>
        <v>France</v>
      </c>
      <c r="U42" t="str">
        <f t="shared" si="10"/>
        <v>",HGoal=</v>
      </c>
      <c r="V42">
        <f>Match!K43</f>
        <v>3</v>
      </c>
      <c r="W42" t="str">
        <f t="shared" si="11"/>
        <v>,GGoal=</v>
      </c>
      <c r="X42">
        <f>Match!L43</f>
        <v>3</v>
      </c>
      <c r="Y42" t="str">
        <f t="shared" si="12"/>
        <v>,GTeam= "</v>
      </c>
      <c r="Z42" t="str">
        <f>Match!M43</f>
        <v>Switzerland</v>
      </c>
      <c r="AA42" t="str">
        <f t="shared" si="13"/>
        <v>",WinNote="</v>
      </c>
      <c r="AB42" t="str">
        <f>IF(Match!N43="","",Match!N43)</f>
        <v/>
      </c>
      <c r="AC42" t="str">
        <f t="shared" si="14"/>
        <v xml:space="preserve">",Stadium=" </v>
      </c>
      <c r="AD42" s="95" t="str">
        <f>Match!O43</f>
        <v>National Arena, Bucharest</v>
      </c>
      <c r="AE42" t="str">
        <f t="shared" si="15"/>
        <v>",Referee= "</v>
      </c>
      <c r="AF42" s="95" t="str">
        <f>IF(Match!P43="","",Match!P43)</f>
        <v/>
      </c>
      <c r="AG42" t="str">
        <f t="shared" si="16"/>
        <v xml:space="preserve">",Visistors= </v>
      </c>
      <c r="AH42" s="95">
        <f>IF(Match!Q43="",0,Match!Q43)</f>
        <v>0</v>
      </c>
      <c r="AI42" t="str">
        <f t="shared" si="17"/>
        <v>,Status= "</v>
      </c>
      <c r="AJ42" s="95" t="str">
        <f>Match!R43</f>
        <v>Finished</v>
      </c>
      <c r="AK42" t="str">
        <f t="shared" si="18"/>
        <v>" },</v>
      </c>
    </row>
    <row r="43" spans="1:37" x14ac:dyDescent="0.25">
      <c r="A43" s="94" t="str">
        <f t="shared" si="0"/>
        <v>new Match { MatchId= "</v>
      </c>
      <c r="B43" t="str">
        <f>Match!A44</f>
        <v>UEFAEURO2020-43</v>
      </c>
      <c r="C43" s="94" t="str">
        <f t="shared" si="1"/>
        <v>",MatchNumber=</v>
      </c>
      <c r="D43">
        <f>Match!B44</f>
        <v>43</v>
      </c>
      <c r="E43" s="94" t="str">
        <f t="shared" si="2"/>
        <v>,DateMatch=DateTime.Parse("</v>
      </c>
      <c r="F43" s="85">
        <f>Match!C44</f>
        <v>44377.041666666664</v>
      </c>
      <c r="G43" s="92" t="str">
        <f t="shared" si="3"/>
        <v>"),TimeMatch=TimeSpan.Parse("</v>
      </c>
      <c r="H43" s="93">
        <f>Match!D44</f>
        <v>44377.041666666664</v>
      </c>
      <c r="I43" s="94" t="str">
        <f t="shared" si="4"/>
        <v>"),MatchYear=</v>
      </c>
      <c r="J43">
        <f>Match!E44</f>
        <v>2021</v>
      </c>
      <c r="K43" s="94" t="str">
        <f t="shared" si="5"/>
        <v>, SeasonId= "</v>
      </c>
      <c r="L43" t="str">
        <f>Match!F44</f>
        <v>UEFAEURO2020</v>
      </c>
      <c r="M43" s="94" t="str">
        <f t="shared" si="6"/>
        <v>",Round= "</v>
      </c>
      <c r="N43" t="str">
        <f>Match!G44</f>
        <v>Final Round</v>
      </c>
      <c r="O43" t="str">
        <f t="shared" si="7"/>
        <v>",Stage= "</v>
      </c>
      <c r="P43" t="str">
        <f>Match!H44</f>
        <v>Knockouts</v>
      </c>
      <c r="Q43" t="str">
        <f t="shared" si="8"/>
        <v>",SubStage= "</v>
      </c>
      <c r="R43" t="str">
        <f>Match!I44</f>
        <v xml:space="preserve">Round of 16 </v>
      </c>
      <c r="S43" t="str">
        <f t="shared" si="9"/>
        <v>",HTeam= "</v>
      </c>
      <c r="T43" t="str">
        <f>Match!J44</f>
        <v>England</v>
      </c>
      <c r="U43" t="str">
        <f t="shared" si="10"/>
        <v>",HGoal=</v>
      </c>
      <c r="V43">
        <f>Match!K44</f>
        <v>2</v>
      </c>
      <c r="W43" t="str">
        <f t="shared" si="11"/>
        <v>,GGoal=</v>
      </c>
      <c r="X43">
        <f>Match!L44</f>
        <v>0</v>
      </c>
      <c r="Y43" t="str">
        <f t="shared" si="12"/>
        <v>,GTeam= "</v>
      </c>
      <c r="Z43" t="str">
        <f>Match!M44</f>
        <v>Germany</v>
      </c>
      <c r="AA43" t="str">
        <f t="shared" si="13"/>
        <v>",WinNote="</v>
      </c>
      <c r="AB43" t="str">
        <f>IF(Match!N44="","",Match!N44)</f>
        <v/>
      </c>
      <c r="AC43" t="str">
        <f t="shared" si="14"/>
        <v xml:space="preserve">",Stadium=" </v>
      </c>
      <c r="AD43" s="95" t="str">
        <f>Match!O44</f>
        <v>Aviva, Dublin</v>
      </c>
      <c r="AE43" t="str">
        <f t="shared" si="15"/>
        <v>",Referee= "</v>
      </c>
      <c r="AF43" s="95" t="str">
        <f>IF(Match!P44="","",Match!P44)</f>
        <v/>
      </c>
      <c r="AG43" t="str">
        <f t="shared" si="16"/>
        <v xml:space="preserve">",Visistors= </v>
      </c>
      <c r="AH43" s="95">
        <f>IF(Match!Q44="",0,Match!Q44)</f>
        <v>0</v>
      </c>
      <c r="AI43" t="str">
        <f t="shared" si="17"/>
        <v>,Status= "</v>
      </c>
      <c r="AJ43" s="95" t="str">
        <f>Match!R44</f>
        <v>Finished</v>
      </c>
      <c r="AK43" t="str">
        <f t="shared" si="18"/>
        <v>" },</v>
      </c>
    </row>
    <row r="44" spans="1:37" x14ac:dyDescent="0.25">
      <c r="A44" s="94" t="str">
        <f t="shared" si="0"/>
        <v>new Match { MatchId= "</v>
      </c>
      <c r="B44" t="str">
        <f>Match!A45</f>
        <v>UEFAEURO2020-44</v>
      </c>
      <c r="C44" s="94" t="str">
        <f t="shared" si="1"/>
        <v>",MatchNumber=</v>
      </c>
      <c r="D44">
        <f>Match!B45</f>
        <v>44</v>
      </c>
      <c r="E44" s="94" t="str">
        <f t="shared" si="2"/>
        <v>,DateMatch=DateTime.Parse("</v>
      </c>
      <c r="F44" s="85">
        <f>Match!C45</f>
        <v>44377.166666666664</v>
      </c>
      <c r="G44" s="92" t="str">
        <f t="shared" si="3"/>
        <v>"),TimeMatch=TimeSpan.Parse("</v>
      </c>
      <c r="H44" s="93">
        <f>Match!D45</f>
        <v>44377.166666666664</v>
      </c>
      <c r="I44" s="94" t="str">
        <f t="shared" si="4"/>
        <v>"),MatchYear=</v>
      </c>
      <c r="J44">
        <f>Match!E45</f>
        <v>2021</v>
      </c>
      <c r="K44" s="94" t="str">
        <f t="shared" si="5"/>
        <v>, SeasonId= "</v>
      </c>
      <c r="L44" t="str">
        <f>Match!F45</f>
        <v>UEFAEURO2020</v>
      </c>
      <c r="M44" s="94" t="str">
        <f t="shared" si="6"/>
        <v>",Round= "</v>
      </c>
      <c r="N44" t="str">
        <f>Match!G45</f>
        <v>Final Round</v>
      </c>
      <c r="O44" t="str">
        <f t="shared" si="7"/>
        <v>",Stage= "</v>
      </c>
      <c r="P44" t="str">
        <f>Match!H45</f>
        <v>Knockouts</v>
      </c>
      <c r="Q44" t="str">
        <f t="shared" si="8"/>
        <v>",SubStage= "</v>
      </c>
      <c r="R44" t="str">
        <f>Match!I45</f>
        <v xml:space="preserve">Round of 16 </v>
      </c>
      <c r="S44" t="str">
        <f t="shared" si="9"/>
        <v>",HTeam= "</v>
      </c>
      <c r="T44" t="str">
        <f>Match!J45</f>
        <v>Sweden</v>
      </c>
      <c r="U44" t="str">
        <f t="shared" si="10"/>
        <v>",HGoal=</v>
      </c>
      <c r="V44">
        <f>Match!K45</f>
        <v>1</v>
      </c>
      <c r="W44" t="str">
        <f t="shared" si="11"/>
        <v>,GGoal=</v>
      </c>
      <c r="X44">
        <f>Match!L45</f>
        <v>2</v>
      </c>
      <c r="Y44" t="str">
        <f t="shared" si="12"/>
        <v>,GTeam= "</v>
      </c>
      <c r="Z44" t="str">
        <f>Match!M45</f>
        <v>Ukraine</v>
      </c>
      <c r="AA44" t="str">
        <f t="shared" si="13"/>
        <v>",WinNote="</v>
      </c>
      <c r="AB44" t="str">
        <f>IF(Match!N45="","",Match!N45)</f>
        <v/>
      </c>
      <c r="AC44" t="str">
        <f t="shared" si="14"/>
        <v xml:space="preserve">",Stadium=" </v>
      </c>
      <c r="AD44" s="95" t="str">
        <f>Match!O45</f>
        <v>Hampden Park, Glasgow</v>
      </c>
      <c r="AE44" t="str">
        <f t="shared" si="15"/>
        <v>",Referee= "</v>
      </c>
      <c r="AF44" s="95" t="str">
        <f>IF(Match!P45="","",Match!P45)</f>
        <v/>
      </c>
      <c r="AG44" t="str">
        <f t="shared" si="16"/>
        <v xml:space="preserve">",Visistors= </v>
      </c>
      <c r="AH44" s="95">
        <f>IF(Match!Q45="",0,Match!Q45)</f>
        <v>0</v>
      </c>
      <c r="AI44" t="str">
        <f t="shared" si="17"/>
        <v>,Status= "</v>
      </c>
      <c r="AJ44" s="95" t="str">
        <f>Match!R45</f>
        <v>Finished</v>
      </c>
      <c r="AK44" t="str">
        <f t="shared" si="18"/>
        <v>" },</v>
      </c>
    </row>
    <row r="45" spans="1:37" x14ac:dyDescent="0.25">
      <c r="A45" s="94" t="str">
        <f t="shared" si="0"/>
        <v>new Match { MatchId= "</v>
      </c>
      <c r="B45" t="str">
        <f>Match!A46</f>
        <v>UEFAEURO2020-45</v>
      </c>
      <c r="C45" s="94" t="str">
        <f t="shared" si="1"/>
        <v>",MatchNumber=</v>
      </c>
      <c r="D45">
        <f>Match!B46</f>
        <v>45</v>
      </c>
      <c r="E45" s="94" t="str">
        <f t="shared" si="2"/>
        <v>,DateMatch=DateTime.Parse("</v>
      </c>
      <c r="F45" s="85">
        <f>Match!C46</f>
        <v>44380.041666666664</v>
      </c>
      <c r="G45" s="92" t="str">
        <f t="shared" si="3"/>
        <v>"),TimeMatch=TimeSpan.Parse("</v>
      </c>
      <c r="H45" s="93">
        <f>Match!D46</f>
        <v>44380.041666666664</v>
      </c>
      <c r="I45" s="94" t="str">
        <f t="shared" si="4"/>
        <v>"),MatchYear=</v>
      </c>
      <c r="J45">
        <f>Match!E46</f>
        <v>2021</v>
      </c>
      <c r="K45" s="94" t="str">
        <f t="shared" si="5"/>
        <v>, SeasonId= "</v>
      </c>
      <c r="L45" t="str">
        <f>Match!F46</f>
        <v>UEFAEURO2020</v>
      </c>
      <c r="M45" s="94" t="str">
        <f t="shared" si="6"/>
        <v>",Round= "</v>
      </c>
      <c r="N45" t="str">
        <f>Match!G46</f>
        <v>Final Round</v>
      </c>
      <c r="O45" t="str">
        <f t="shared" si="7"/>
        <v>",Stage= "</v>
      </c>
      <c r="P45" t="str">
        <f>Match!H46</f>
        <v>Knockouts</v>
      </c>
      <c r="Q45" t="str">
        <f t="shared" si="8"/>
        <v>",SubStage= "</v>
      </c>
      <c r="R45" t="str">
        <f>Match!I46</f>
        <v>Quaterfinal</v>
      </c>
      <c r="S45" t="str">
        <f t="shared" si="9"/>
        <v>",HTeam= "</v>
      </c>
      <c r="T45" t="str">
        <f>Match!J46</f>
        <v>Switzerland</v>
      </c>
      <c r="U45" t="str">
        <f t="shared" si="10"/>
        <v>",HGoal=</v>
      </c>
      <c r="V45">
        <f>Match!K46</f>
        <v>1</v>
      </c>
      <c r="W45" t="str">
        <f t="shared" si="11"/>
        <v>,GGoal=</v>
      </c>
      <c r="X45">
        <f>Match!L46</f>
        <v>1</v>
      </c>
      <c r="Y45" t="str">
        <f t="shared" si="12"/>
        <v>,GTeam= "</v>
      </c>
      <c r="Z45" t="str">
        <f>Match!M46</f>
        <v>Spain</v>
      </c>
      <c r="AA45" t="str">
        <f t="shared" si="13"/>
        <v>",WinNote="</v>
      </c>
      <c r="AB45" t="str">
        <f>IF(Match!N46="","",Match!N46)</f>
        <v>Spain win on penalties 1-3</v>
      </c>
      <c r="AC45" t="str">
        <f t="shared" si="14"/>
        <v xml:space="preserve">",Stadium=" </v>
      </c>
      <c r="AD45" s="95" t="str">
        <f>Match!O46</f>
        <v>Gazprom Arena, St Petersburg</v>
      </c>
      <c r="AE45" t="str">
        <f t="shared" si="15"/>
        <v>",Referee= "</v>
      </c>
      <c r="AF45" s="95" t="str">
        <f>IF(Match!P46="","",Match!P46)</f>
        <v/>
      </c>
      <c r="AG45" t="str">
        <f t="shared" si="16"/>
        <v xml:space="preserve">",Visistors= </v>
      </c>
      <c r="AH45" s="95">
        <f>IF(Match!Q46="",0,Match!Q46)</f>
        <v>0</v>
      </c>
      <c r="AI45" t="str">
        <f t="shared" si="17"/>
        <v>,Status= "</v>
      </c>
      <c r="AJ45" s="95" t="str">
        <f>Match!R46</f>
        <v>Finished</v>
      </c>
      <c r="AK45" t="str">
        <f t="shared" si="18"/>
        <v>" },</v>
      </c>
    </row>
    <row r="46" spans="1:37" x14ac:dyDescent="0.25">
      <c r="A46" s="94" t="str">
        <f t="shared" si="0"/>
        <v>new Match { MatchId= "</v>
      </c>
      <c r="B46" t="str">
        <f>Match!A47</f>
        <v>UEFAEURO2020-46</v>
      </c>
      <c r="C46" s="94" t="str">
        <f t="shared" si="1"/>
        <v>",MatchNumber=</v>
      </c>
      <c r="D46">
        <f>Match!B47</f>
        <v>46</v>
      </c>
      <c r="E46" s="94" t="str">
        <f t="shared" si="2"/>
        <v>,DateMatch=DateTime.Parse("</v>
      </c>
      <c r="F46" s="85">
        <f>Match!C47</f>
        <v>44380.166666666664</v>
      </c>
      <c r="G46" s="92" t="str">
        <f t="shared" si="3"/>
        <v>"),TimeMatch=TimeSpan.Parse("</v>
      </c>
      <c r="H46" s="93">
        <f>Match!D47</f>
        <v>44380.166666666664</v>
      </c>
      <c r="I46" s="94" t="str">
        <f t="shared" si="4"/>
        <v>"),MatchYear=</v>
      </c>
      <c r="J46">
        <f>Match!E47</f>
        <v>2021</v>
      </c>
      <c r="K46" s="94" t="str">
        <f t="shared" si="5"/>
        <v>, SeasonId= "</v>
      </c>
      <c r="L46" t="str">
        <f>Match!F47</f>
        <v>UEFAEURO2020</v>
      </c>
      <c r="M46" s="94" t="str">
        <f t="shared" si="6"/>
        <v>",Round= "</v>
      </c>
      <c r="N46" t="str">
        <f>Match!G47</f>
        <v>Final Round</v>
      </c>
      <c r="O46" t="str">
        <f t="shared" si="7"/>
        <v>",Stage= "</v>
      </c>
      <c r="P46" t="str">
        <f>Match!H47</f>
        <v>Knockouts</v>
      </c>
      <c r="Q46" t="str">
        <f t="shared" si="8"/>
        <v>",SubStage= "</v>
      </c>
      <c r="R46" t="str">
        <f>Match!I47</f>
        <v>Quaterfinal</v>
      </c>
      <c r="S46" t="str">
        <f t="shared" si="9"/>
        <v>",HTeam= "</v>
      </c>
      <c r="T46" t="str">
        <f>Match!J47</f>
        <v>Belgium</v>
      </c>
      <c r="U46" t="str">
        <f t="shared" si="10"/>
        <v>",HGoal=</v>
      </c>
      <c r="V46">
        <f>Match!K47</f>
        <v>1</v>
      </c>
      <c r="W46" t="str">
        <f t="shared" si="11"/>
        <v>,GGoal=</v>
      </c>
      <c r="X46">
        <f>Match!L47</f>
        <v>2</v>
      </c>
      <c r="Y46" t="str">
        <f t="shared" si="12"/>
        <v>,GTeam= "</v>
      </c>
      <c r="Z46" t="str">
        <f>Match!M47</f>
        <v>Italy</v>
      </c>
      <c r="AA46" t="str">
        <f t="shared" si="13"/>
        <v>",WinNote="</v>
      </c>
      <c r="AB46" t="str">
        <f>IF(Match!N47="","",Match!N47)</f>
        <v/>
      </c>
      <c r="AC46" t="str">
        <f t="shared" si="14"/>
        <v xml:space="preserve">",Stadium=" </v>
      </c>
      <c r="AD46" s="95" t="str">
        <f>Match!O47</f>
        <v>Allianz Arena, Munich</v>
      </c>
      <c r="AE46" t="str">
        <f t="shared" si="15"/>
        <v>",Referee= "</v>
      </c>
      <c r="AF46" s="95" t="str">
        <f>IF(Match!P47="","",Match!P47)</f>
        <v/>
      </c>
      <c r="AG46" t="str">
        <f t="shared" si="16"/>
        <v xml:space="preserve">",Visistors= </v>
      </c>
      <c r="AH46" s="95">
        <f>IF(Match!Q47="",0,Match!Q47)</f>
        <v>0</v>
      </c>
      <c r="AI46" t="str">
        <f t="shared" si="17"/>
        <v>,Status= "</v>
      </c>
      <c r="AJ46" s="95" t="str">
        <f>Match!R47</f>
        <v>Finished</v>
      </c>
      <c r="AK46" t="str">
        <f t="shared" si="18"/>
        <v>" },</v>
      </c>
    </row>
    <row r="47" spans="1:37" x14ac:dyDescent="0.25">
      <c r="A47" s="94" t="str">
        <f t="shared" si="0"/>
        <v>new Match { MatchId= "</v>
      </c>
      <c r="B47" t="str">
        <f>Match!A48</f>
        <v>UEFAEURO2020-47</v>
      </c>
      <c r="C47" s="94" t="str">
        <f t="shared" si="1"/>
        <v>",MatchNumber=</v>
      </c>
      <c r="D47">
        <f>Match!B48</f>
        <v>47</v>
      </c>
      <c r="E47" s="94" t="str">
        <f t="shared" si="2"/>
        <v>,DateMatch=DateTime.Parse("</v>
      </c>
      <c r="F47" s="85">
        <f>Match!C48</f>
        <v>44381.041666666664</v>
      </c>
      <c r="G47" s="92" t="str">
        <f t="shared" si="3"/>
        <v>"),TimeMatch=TimeSpan.Parse("</v>
      </c>
      <c r="H47" s="93">
        <f>Match!D48</f>
        <v>44381.041666666664</v>
      </c>
      <c r="I47" s="94" t="str">
        <f t="shared" si="4"/>
        <v>"),MatchYear=</v>
      </c>
      <c r="J47">
        <f>Match!E48</f>
        <v>2021</v>
      </c>
      <c r="K47" s="94" t="str">
        <f t="shared" si="5"/>
        <v>, SeasonId= "</v>
      </c>
      <c r="L47" t="str">
        <f>Match!F48</f>
        <v>UEFAEURO2020</v>
      </c>
      <c r="M47" s="94" t="str">
        <f t="shared" si="6"/>
        <v>",Round= "</v>
      </c>
      <c r="N47" t="str">
        <f>Match!G48</f>
        <v>Final Round</v>
      </c>
      <c r="O47" t="str">
        <f t="shared" si="7"/>
        <v>",Stage= "</v>
      </c>
      <c r="P47" t="str">
        <f>Match!H48</f>
        <v>Knockouts</v>
      </c>
      <c r="Q47" t="str">
        <f t="shared" si="8"/>
        <v>",SubStage= "</v>
      </c>
      <c r="R47" t="str">
        <f>Match!I48</f>
        <v>Quaterfinal</v>
      </c>
      <c r="S47" t="str">
        <f t="shared" si="9"/>
        <v>",HTeam= "</v>
      </c>
      <c r="T47" t="str">
        <f>Match!J48</f>
        <v>Czech Republic</v>
      </c>
      <c r="U47" t="str">
        <f t="shared" si="10"/>
        <v>",HGoal=</v>
      </c>
      <c r="V47">
        <f>Match!K48</f>
        <v>1</v>
      </c>
      <c r="W47" t="str">
        <f t="shared" si="11"/>
        <v>,GGoal=</v>
      </c>
      <c r="X47">
        <f>Match!L48</f>
        <v>2</v>
      </c>
      <c r="Y47" t="str">
        <f t="shared" si="12"/>
        <v>,GTeam= "</v>
      </c>
      <c r="Z47" t="str">
        <f>Match!M48</f>
        <v>Denmark</v>
      </c>
      <c r="AA47" t="str">
        <f t="shared" si="13"/>
        <v>",WinNote="</v>
      </c>
      <c r="AB47" t="str">
        <f>IF(Match!N48="","",Match!N48)</f>
        <v/>
      </c>
      <c r="AC47" t="str">
        <f t="shared" si="14"/>
        <v xml:space="preserve">",Stadium=" </v>
      </c>
      <c r="AD47" s="95" t="str">
        <f>Match!O48</f>
        <v>Baki Olimpiya, Baku</v>
      </c>
      <c r="AE47" t="str">
        <f t="shared" si="15"/>
        <v>",Referee= "</v>
      </c>
      <c r="AF47" s="95" t="str">
        <f>IF(Match!P48="","",Match!P48)</f>
        <v/>
      </c>
      <c r="AG47" t="str">
        <f t="shared" si="16"/>
        <v xml:space="preserve">",Visistors= </v>
      </c>
      <c r="AH47" s="95">
        <f>IF(Match!Q48="",0,Match!Q48)</f>
        <v>0</v>
      </c>
      <c r="AI47" t="str">
        <f t="shared" si="17"/>
        <v>,Status= "</v>
      </c>
      <c r="AJ47" s="95" t="str">
        <f>Match!R48</f>
        <v>Finished</v>
      </c>
      <c r="AK47" t="str">
        <f t="shared" si="18"/>
        <v>" },</v>
      </c>
    </row>
    <row r="48" spans="1:37" x14ac:dyDescent="0.25">
      <c r="A48" s="94" t="str">
        <f t="shared" si="0"/>
        <v>new Match { MatchId= "</v>
      </c>
      <c r="B48" t="str">
        <f>Match!A49</f>
        <v>UEFAEURO2020-48</v>
      </c>
      <c r="C48" s="94" t="str">
        <f t="shared" si="1"/>
        <v>",MatchNumber=</v>
      </c>
      <c r="D48">
        <f>Match!B49</f>
        <v>48</v>
      </c>
      <c r="E48" s="94" t="str">
        <f t="shared" si="2"/>
        <v>,DateMatch=DateTime.Parse("</v>
      </c>
      <c r="F48" s="85">
        <f>Match!C49</f>
        <v>44381.166666666664</v>
      </c>
      <c r="G48" s="92" t="str">
        <f t="shared" si="3"/>
        <v>"),TimeMatch=TimeSpan.Parse("</v>
      </c>
      <c r="H48" s="93">
        <f>Match!D49</f>
        <v>44381.166666666664</v>
      </c>
      <c r="I48" s="94" t="str">
        <f t="shared" si="4"/>
        <v>"),MatchYear=</v>
      </c>
      <c r="J48">
        <f>Match!E49</f>
        <v>2021</v>
      </c>
      <c r="K48" s="94" t="str">
        <f t="shared" si="5"/>
        <v>, SeasonId= "</v>
      </c>
      <c r="L48" t="str">
        <f>Match!F49</f>
        <v>UEFAEURO2020</v>
      </c>
      <c r="M48" s="94" t="str">
        <f t="shared" si="6"/>
        <v>",Round= "</v>
      </c>
      <c r="N48" t="str">
        <f>Match!G49</f>
        <v>Final Round</v>
      </c>
      <c r="O48" t="str">
        <f t="shared" si="7"/>
        <v>",Stage= "</v>
      </c>
      <c r="P48" t="str">
        <f>Match!H49</f>
        <v>Knockouts</v>
      </c>
      <c r="Q48" t="str">
        <f t="shared" si="8"/>
        <v>",SubStage= "</v>
      </c>
      <c r="R48" t="str">
        <f>Match!I49</f>
        <v>Quaterfinal</v>
      </c>
      <c r="S48" t="str">
        <f t="shared" si="9"/>
        <v>",HTeam= "</v>
      </c>
      <c r="T48" t="str">
        <f>Match!J49</f>
        <v>Ukraine</v>
      </c>
      <c r="U48" t="str">
        <f t="shared" si="10"/>
        <v>",HGoal=</v>
      </c>
      <c r="V48">
        <f>Match!K49</f>
        <v>0</v>
      </c>
      <c r="W48" t="str">
        <f t="shared" si="11"/>
        <v>,GGoal=</v>
      </c>
      <c r="X48">
        <f>Match!L49</f>
        <v>4</v>
      </c>
      <c r="Y48" t="str">
        <f t="shared" si="12"/>
        <v>,GTeam= "</v>
      </c>
      <c r="Z48" t="str">
        <f>Match!M49</f>
        <v>England</v>
      </c>
      <c r="AA48" t="str">
        <f t="shared" si="13"/>
        <v>",WinNote="</v>
      </c>
      <c r="AB48" t="str">
        <f>IF(Match!N49="","",Match!N49)</f>
        <v/>
      </c>
      <c r="AC48" t="str">
        <f t="shared" si="14"/>
        <v xml:space="preserve">",Stadium=" </v>
      </c>
      <c r="AD48" s="95" t="str">
        <f>Match!O49</f>
        <v>Olimpico, Rome</v>
      </c>
      <c r="AE48" t="str">
        <f t="shared" si="15"/>
        <v>",Referee= "</v>
      </c>
      <c r="AF48" s="95" t="str">
        <f>IF(Match!P49="","",Match!P49)</f>
        <v/>
      </c>
      <c r="AG48" t="str">
        <f t="shared" si="16"/>
        <v xml:space="preserve">",Visistors= </v>
      </c>
      <c r="AH48" s="95">
        <f>IF(Match!Q49="",0,Match!Q49)</f>
        <v>0</v>
      </c>
      <c r="AI48" t="str">
        <f t="shared" si="17"/>
        <v>,Status= "</v>
      </c>
      <c r="AJ48" s="95" t="str">
        <f>Match!R49</f>
        <v>Finished</v>
      </c>
      <c r="AK48" t="str">
        <f t="shared" si="18"/>
        <v>" },</v>
      </c>
    </row>
    <row r="49" spans="1:37" x14ac:dyDescent="0.25">
      <c r="A49" s="94" t="str">
        <f t="shared" si="0"/>
        <v>new Match { MatchId= "</v>
      </c>
      <c r="B49" t="str">
        <f>Match!A50</f>
        <v>UEFAEURO2020-49</v>
      </c>
      <c r="C49" s="94" t="str">
        <f t="shared" si="1"/>
        <v>",MatchNumber=</v>
      </c>
      <c r="D49">
        <f>Match!B50</f>
        <v>49</v>
      </c>
      <c r="E49" s="94" t="str">
        <f t="shared" si="2"/>
        <v>,DateMatch=DateTime.Parse("</v>
      </c>
      <c r="F49" s="85">
        <f>Match!C50</f>
        <v>44384.166666666664</v>
      </c>
      <c r="G49" s="92" t="str">
        <f t="shared" si="3"/>
        <v>"),TimeMatch=TimeSpan.Parse("</v>
      </c>
      <c r="H49" s="93">
        <f>Match!D50</f>
        <v>44384.166666666664</v>
      </c>
      <c r="I49" s="94" t="str">
        <f t="shared" si="4"/>
        <v>"),MatchYear=</v>
      </c>
      <c r="J49">
        <f>Match!E50</f>
        <v>2021</v>
      </c>
      <c r="K49" s="94" t="str">
        <f t="shared" si="5"/>
        <v>, SeasonId= "</v>
      </c>
      <c r="L49" t="str">
        <f>Match!F50</f>
        <v>UEFAEURO2020</v>
      </c>
      <c r="M49" s="94" t="str">
        <f t="shared" si="6"/>
        <v>",Round= "</v>
      </c>
      <c r="N49" t="str">
        <f>Match!G50</f>
        <v>Final Round</v>
      </c>
      <c r="O49" t="str">
        <f t="shared" si="7"/>
        <v>",Stage= "</v>
      </c>
      <c r="P49" t="str">
        <f>Match!H50</f>
        <v>Knockouts</v>
      </c>
      <c r="Q49" t="str">
        <f t="shared" si="8"/>
        <v>",SubStage= "</v>
      </c>
      <c r="R49" t="str">
        <f>Match!I50</f>
        <v>Semifinal</v>
      </c>
      <c r="S49" t="str">
        <f t="shared" si="9"/>
        <v>",HTeam= "</v>
      </c>
      <c r="T49" t="str">
        <f>Match!J50</f>
        <v>Italy</v>
      </c>
      <c r="U49" t="str">
        <f t="shared" si="10"/>
        <v>",HGoal=</v>
      </c>
      <c r="V49">
        <f>Match!K50</f>
        <v>1</v>
      </c>
      <c r="W49" t="str">
        <f t="shared" si="11"/>
        <v>,GGoal=</v>
      </c>
      <c r="X49">
        <f>Match!L50</f>
        <v>1</v>
      </c>
      <c r="Y49" t="str">
        <f t="shared" si="12"/>
        <v>,GTeam= "</v>
      </c>
      <c r="Z49" t="str">
        <f>Match!M50</f>
        <v>Spain</v>
      </c>
      <c r="AA49" t="str">
        <f t="shared" si="13"/>
        <v>",WinNote="</v>
      </c>
      <c r="AB49" t="str">
        <f>IF(Match!N50="","",Match!N50)</f>
        <v>Italy win on penalties 4-2</v>
      </c>
      <c r="AC49" t="str">
        <f t="shared" si="14"/>
        <v xml:space="preserve">",Stadium=" </v>
      </c>
      <c r="AD49" s="95" t="str">
        <f>Match!O50</f>
        <v>Wembley, London</v>
      </c>
      <c r="AE49" t="str">
        <f t="shared" si="15"/>
        <v>",Referee= "</v>
      </c>
      <c r="AF49" s="95" t="str">
        <f>IF(Match!P50="","",Match!P50)</f>
        <v/>
      </c>
      <c r="AG49" t="str">
        <f t="shared" si="16"/>
        <v xml:space="preserve">",Visistors= </v>
      </c>
      <c r="AH49" s="95">
        <f>IF(Match!Q50="",0,Match!Q50)</f>
        <v>0</v>
      </c>
      <c r="AI49" t="str">
        <f t="shared" si="17"/>
        <v>,Status= "</v>
      </c>
      <c r="AJ49" s="95" t="str">
        <f>Match!R50</f>
        <v>Finished</v>
      </c>
      <c r="AK49" t="str">
        <f t="shared" si="18"/>
        <v>" },</v>
      </c>
    </row>
    <row r="50" spans="1:37" x14ac:dyDescent="0.25">
      <c r="A50" s="94" t="str">
        <f t="shared" si="0"/>
        <v>new Match { MatchId= "</v>
      </c>
      <c r="B50" t="str">
        <f>Match!A51</f>
        <v>UEFAEURO2020-50</v>
      </c>
      <c r="C50" s="94" t="str">
        <f t="shared" si="1"/>
        <v>",MatchNumber=</v>
      </c>
      <c r="D50">
        <f>Match!B51</f>
        <v>50</v>
      </c>
      <c r="E50" s="94" t="str">
        <f t="shared" si="2"/>
        <v>,DateMatch=DateTime.Parse("</v>
      </c>
      <c r="F50" s="85">
        <f>Match!C51</f>
        <v>44385.166666666664</v>
      </c>
      <c r="G50" s="92" t="str">
        <f t="shared" si="3"/>
        <v>"),TimeMatch=TimeSpan.Parse("</v>
      </c>
      <c r="H50" s="93">
        <f>Match!D51</f>
        <v>44385.166666666664</v>
      </c>
      <c r="I50" s="94" t="str">
        <f t="shared" si="4"/>
        <v>"),MatchYear=</v>
      </c>
      <c r="J50">
        <f>Match!E51</f>
        <v>2021</v>
      </c>
      <c r="K50" s="94" t="str">
        <f t="shared" si="5"/>
        <v>, SeasonId= "</v>
      </c>
      <c r="L50" t="str">
        <f>Match!F51</f>
        <v>UEFAEURO2020</v>
      </c>
      <c r="M50" s="94" t="str">
        <f t="shared" si="6"/>
        <v>",Round= "</v>
      </c>
      <c r="N50" t="str">
        <f>Match!G51</f>
        <v>Final Round</v>
      </c>
      <c r="O50" t="str">
        <f t="shared" si="7"/>
        <v>",Stage= "</v>
      </c>
      <c r="P50" t="str">
        <f>Match!H51</f>
        <v>Knockouts</v>
      </c>
      <c r="Q50" t="str">
        <f t="shared" si="8"/>
        <v>",SubStage= "</v>
      </c>
      <c r="R50" t="str">
        <f>Match!I51</f>
        <v>Semifinal</v>
      </c>
      <c r="S50" t="str">
        <f t="shared" si="9"/>
        <v>",HTeam= "</v>
      </c>
      <c r="T50" t="str">
        <f>Match!J51</f>
        <v>England</v>
      </c>
      <c r="U50" t="str">
        <f t="shared" si="10"/>
        <v>",HGoal=</v>
      </c>
      <c r="V50">
        <f>Match!K51</f>
        <v>2</v>
      </c>
      <c r="W50" t="str">
        <f t="shared" si="11"/>
        <v>,GGoal=</v>
      </c>
      <c r="X50">
        <f>Match!L51</f>
        <v>1</v>
      </c>
      <c r="Y50" t="str">
        <f t="shared" si="12"/>
        <v>,GTeam= "</v>
      </c>
      <c r="Z50" t="str">
        <f>Match!M51</f>
        <v>Denmark</v>
      </c>
      <c r="AA50" t="str">
        <f t="shared" si="13"/>
        <v>",WinNote="</v>
      </c>
      <c r="AB50" t="str">
        <f>IF(Match!N51="","",Match!N51)</f>
        <v>England win after extra time</v>
      </c>
      <c r="AC50" t="str">
        <f t="shared" si="14"/>
        <v xml:space="preserve">",Stadium=" </v>
      </c>
      <c r="AD50" s="95" t="str">
        <f>Match!O51</f>
        <v>Wembley, London</v>
      </c>
      <c r="AE50" t="str">
        <f t="shared" si="15"/>
        <v>",Referee= "</v>
      </c>
      <c r="AF50" s="95" t="str">
        <f>IF(Match!P51="","",Match!P51)</f>
        <v/>
      </c>
      <c r="AG50" t="str">
        <f t="shared" si="16"/>
        <v xml:space="preserve">",Visistors= </v>
      </c>
      <c r="AH50" s="95">
        <f>IF(Match!Q51="",0,Match!Q51)</f>
        <v>0</v>
      </c>
      <c r="AI50" t="str">
        <f t="shared" si="17"/>
        <v>,Status= "</v>
      </c>
      <c r="AJ50" s="95" t="str">
        <f>Match!R51</f>
        <v>Finished</v>
      </c>
      <c r="AK50" t="str">
        <f t="shared" si="18"/>
        <v>" },</v>
      </c>
    </row>
    <row r="51" spans="1:37" x14ac:dyDescent="0.25">
      <c r="A51" s="94" t="str">
        <f t="shared" si="0"/>
        <v>new Match { MatchId= "</v>
      </c>
      <c r="B51" t="str">
        <f>Match!A52</f>
        <v>UEFAEURO2020-51</v>
      </c>
      <c r="C51" s="94" t="str">
        <f t="shared" si="1"/>
        <v>",MatchNumber=</v>
      </c>
      <c r="D51">
        <f>Match!B52</f>
        <v>51</v>
      </c>
      <c r="E51" s="94" t="str">
        <f t="shared" si="2"/>
        <v>,DateMatch=DateTime.Parse("</v>
      </c>
      <c r="F51" s="85">
        <f>Match!C52</f>
        <v>44389.166666666664</v>
      </c>
      <c r="G51" s="92" t="str">
        <f t="shared" si="3"/>
        <v>"),TimeMatch=TimeSpan.Parse("</v>
      </c>
      <c r="H51" s="93">
        <f>Match!D52</f>
        <v>44389.166666666664</v>
      </c>
      <c r="I51" s="94" t="str">
        <f t="shared" si="4"/>
        <v>"),MatchYear=</v>
      </c>
      <c r="J51">
        <f>Match!E52</f>
        <v>2021</v>
      </c>
      <c r="K51" s="94" t="str">
        <f t="shared" si="5"/>
        <v>, SeasonId= "</v>
      </c>
      <c r="L51" t="str">
        <f>Match!F52</f>
        <v>UEFAEURO2020</v>
      </c>
      <c r="M51" s="94" t="str">
        <f t="shared" si="6"/>
        <v>",Round= "</v>
      </c>
      <c r="N51" t="str">
        <f>Match!G52</f>
        <v>Final Round</v>
      </c>
      <c r="O51" t="str">
        <f t="shared" si="7"/>
        <v>",Stage= "</v>
      </c>
      <c r="P51" t="str">
        <f>Match!H52</f>
        <v>Knockouts</v>
      </c>
      <c r="Q51" t="str">
        <f t="shared" si="8"/>
        <v>",SubStage= "</v>
      </c>
      <c r="R51" t="str">
        <f>Match!I52</f>
        <v>Final</v>
      </c>
      <c r="S51" t="str">
        <f t="shared" si="9"/>
        <v>",HTeam= "</v>
      </c>
      <c r="T51" t="str">
        <f>Match!J52</f>
        <v>Italy</v>
      </c>
      <c r="U51" t="str">
        <f t="shared" si="10"/>
        <v>",HGoal=</v>
      </c>
      <c r="V51">
        <f>Match!K52</f>
        <v>1</v>
      </c>
      <c r="W51" t="str">
        <f t="shared" si="11"/>
        <v>,GGoal=</v>
      </c>
      <c r="X51">
        <f>Match!L52</f>
        <v>1</v>
      </c>
      <c r="Y51" t="str">
        <f t="shared" si="12"/>
        <v>,GTeam= "</v>
      </c>
      <c r="Z51" t="str">
        <f>Match!M52</f>
        <v>England</v>
      </c>
      <c r="AA51" t="str">
        <f t="shared" si="13"/>
        <v>",WinNote="</v>
      </c>
      <c r="AB51" t="str">
        <f>IF(Match!N52="","",Match!N52)</f>
        <v>Italy win on penalties (3-2)</v>
      </c>
      <c r="AC51" t="str">
        <f t="shared" si="14"/>
        <v xml:space="preserve">",Stadium=" </v>
      </c>
      <c r="AD51" s="95" t="str">
        <f>Match!O52</f>
        <v>Wembley, London</v>
      </c>
      <c r="AE51" t="str">
        <f t="shared" si="15"/>
        <v>",Referee= "</v>
      </c>
      <c r="AF51" s="95" t="str">
        <f>IF(Match!P52="","",Match!P52)</f>
        <v/>
      </c>
      <c r="AG51" t="str">
        <f t="shared" si="16"/>
        <v xml:space="preserve">",Visistors= </v>
      </c>
      <c r="AH51" s="95">
        <f>IF(Match!Q52="",0,Match!Q52)</f>
        <v>0</v>
      </c>
      <c r="AI51" t="str">
        <f t="shared" si="17"/>
        <v>,Status= "</v>
      </c>
      <c r="AJ51" s="95" t="str">
        <f>Match!R52</f>
        <v>Finished</v>
      </c>
      <c r="AK51" t="str">
        <f t="shared" si="18"/>
        <v>" },</v>
      </c>
    </row>
    <row r="52" spans="1:37" x14ac:dyDescent="0.25">
      <c r="A52" s="94" t="str">
        <f t="shared" si="0"/>
        <v>new Match { MatchId= "</v>
      </c>
      <c r="B52" t="str">
        <f>Match!A53</f>
        <v>UEFAEURO2016-1</v>
      </c>
      <c r="C52" s="94" t="str">
        <f t="shared" si="1"/>
        <v>",MatchNumber=</v>
      </c>
      <c r="D52">
        <f>Match!B53</f>
        <v>1</v>
      </c>
      <c r="E52" s="94" t="str">
        <f t="shared" si="2"/>
        <v>,DateMatch=DateTime.Parse("</v>
      </c>
      <c r="F52" s="85">
        <f>Match!C53</f>
        <v>42532</v>
      </c>
      <c r="G52" s="92" t="str">
        <f t="shared" si="3"/>
        <v>"),TimeMatch=TimeSpan.Parse("</v>
      </c>
      <c r="H52" s="93">
        <f>Match!D53</f>
        <v>0.125</v>
      </c>
      <c r="I52" s="94" t="str">
        <f t="shared" si="4"/>
        <v>"),MatchYear=</v>
      </c>
      <c r="J52">
        <f>Match!E53</f>
        <v>2016</v>
      </c>
      <c r="K52" s="94" t="str">
        <f t="shared" si="5"/>
        <v>, SeasonId= "</v>
      </c>
      <c r="L52" t="str">
        <f>Match!F53</f>
        <v>UEFAEURO2016</v>
      </c>
      <c r="M52" s="94" t="str">
        <f t="shared" si="6"/>
        <v>",Round= "</v>
      </c>
      <c r="N52" t="str">
        <f>Match!G53</f>
        <v>Final Round</v>
      </c>
      <c r="O52" t="str">
        <f t="shared" si="7"/>
        <v>",Stage= "</v>
      </c>
      <c r="P52" t="str">
        <f>Match!H53</f>
        <v>Group</v>
      </c>
      <c r="Q52" t="str">
        <f t="shared" si="8"/>
        <v>",SubStage= "</v>
      </c>
      <c r="R52" t="str">
        <f>Match!I53</f>
        <v>Group A</v>
      </c>
      <c r="S52" t="str">
        <f t="shared" si="9"/>
        <v>",HTeam= "</v>
      </c>
      <c r="T52" t="str">
        <f>Match!J53</f>
        <v>France</v>
      </c>
      <c r="U52" t="str">
        <f t="shared" si="10"/>
        <v>",HGoal=</v>
      </c>
      <c r="V52">
        <f>Match!K53</f>
        <v>2</v>
      </c>
      <c r="W52" t="str">
        <f t="shared" si="11"/>
        <v>,GGoal=</v>
      </c>
      <c r="X52">
        <f>Match!L53</f>
        <v>1</v>
      </c>
      <c r="Y52" t="str">
        <f t="shared" si="12"/>
        <v>,GTeam= "</v>
      </c>
      <c r="Z52" t="str">
        <f>Match!M53</f>
        <v>Romania</v>
      </c>
      <c r="AA52" t="str">
        <f t="shared" si="13"/>
        <v>",WinNote="</v>
      </c>
      <c r="AB52" t="str">
        <f>IF(Match!N53="","",Match!N53)</f>
        <v/>
      </c>
      <c r="AC52" t="str">
        <f t="shared" si="14"/>
        <v xml:space="preserve">",Stadium=" </v>
      </c>
      <c r="AD52" s="95" t="str">
        <f>Match!O53</f>
        <v>Stade de France, Saint-Denis</v>
      </c>
      <c r="AE52" t="str">
        <f t="shared" si="15"/>
        <v>",Referee= "</v>
      </c>
      <c r="AF52" s="95" t="str">
        <f>IF(Match!P53="","",Match!P53)</f>
        <v/>
      </c>
      <c r="AG52" t="str">
        <f t="shared" si="16"/>
        <v xml:space="preserve">",Visistors= </v>
      </c>
      <c r="AH52" s="95">
        <f>IF(Match!Q53="",0,Match!Q53)</f>
        <v>0</v>
      </c>
      <c r="AI52" t="str">
        <f t="shared" si="17"/>
        <v>,Status= "</v>
      </c>
      <c r="AJ52" s="95" t="str">
        <f>Match!R53</f>
        <v>Finished</v>
      </c>
      <c r="AK52" t="str">
        <f t="shared" si="18"/>
        <v>" },</v>
      </c>
    </row>
    <row r="53" spans="1:37" x14ac:dyDescent="0.25">
      <c r="A53" s="94" t="str">
        <f t="shared" si="0"/>
        <v>new Match { MatchId= "</v>
      </c>
      <c r="B53" t="str">
        <f>Match!A54</f>
        <v>UEFAEURO2016-2</v>
      </c>
      <c r="C53" s="94" t="str">
        <f t="shared" si="1"/>
        <v>",MatchNumber=</v>
      </c>
      <c r="D53">
        <f>Match!B54</f>
        <v>2</v>
      </c>
      <c r="E53" s="94" t="str">
        <f t="shared" si="2"/>
        <v>,DateMatch=DateTime.Parse("</v>
      </c>
      <c r="F53" s="85">
        <f>Match!C54</f>
        <v>42532</v>
      </c>
      <c r="G53" s="92" t="str">
        <f t="shared" si="3"/>
        <v>"),TimeMatch=TimeSpan.Parse("</v>
      </c>
      <c r="H53" s="93">
        <f>Match!D54</f>
        <v>0.875</v>
      </c>
      <c r="I53" s="94" t="str">
        <f t="shared" si="4"/>
        <v>"),MatchYear=</v>
      </c>
      <c r="J53">
        <f>Match!E54</f>
        <v>2016</v>
      </c>
      <c r="K53" s="94" t="str">
        <f t="shared" si="5"/>
        <v>, SeasonId= "</v>
      </c>
      <c r="L53" t="str">
        <f>Match!F54</f>
        <v>UEFAEURO2016</v>
      </c>
      <c r="M53" s="94" t="str">
        <f t="shared" si="6"/>
        <v>",Round= "</v>
      </c>
      <c r="N53" t="str">
        <f>Match!G54</f>
        <v>Final Round</v>
      </c>
      <c r="O53" t="str">
        <f t="shared" si="7"/>
        <v>",Stage= "</v>
      </c>
      <c r="P53" t="str">
        <f>Match!H54</f>
        <v>Group</v>
      </c>
      <c r="Q53" t="str">
        <f t="shared" si="8"/>
        <v>",SubStage= "</v>
      </c>
      <c r="R53" t="str">
        <f>Match!I54</f>
        <v>Group A</v>
      </c>
      <c r="S53" t="str">
        <f t="shared" si="9"/>
        <v>",HTeam= "</v>
      </c>
      <c r="T53" t="str">
        <f>Match!J54</f>
        <v>Albania</v>
      </c>
      <c r="U53" t="str">
        <f t="shared" si="10"/>
        <v>",HGoal=</v>
      </c>
      <c r="V53">
        <f>Match!K54</f>
        <v>0</v>
      </c>
      <c r="W53" t="str">
        <f t="shared" si="11"/>
        <v>,GGoal=</v>
      </c>
      <c r="X53">
        <f>Match!L54</f>
        <v>1</v>
      </c>
      <c r="Y53" t="str">
        <f t="shared" si="12"/>
        <v>,GTeam= "</v>
      </c>
      <c r="Z53" t="str">
        <f>Match!M54</f>
        <v>Switzerland</v>
      </c>
      <c r="AA53" t="str">
        <f t="shared" si="13"/>
        <v>",WinNote="</v>
      </c>
      <c r="AB53" t="str">
        <f>IF(Match!N54="","",Match!N54)</f>
        <v/>
      </c>
      <c r="AC53" t="str">
        <f t="shared" si="14"/>
        <v xml:space="preserve">",Stadium=" </v>
      </c>
      <c r="AD53" s="95" t="str">
        <f>Match!O54</f>
        <v>Stade Bollaert-Delelis, Lens</v>
      </c>
      <c r="AE53" t="str">
        <f t="shared" si="15"/>
        <v>",Referee= "</v>
      </c>
      <c r="AF53" s="95" t="str">
        <f>IF(Match!P54="","",Match!P54)</f>
        <v/>
      </c>
      <c r="AG53" t="str">
        <f t="shared" si="16"/>
        <v xml:space="preserve">",Visistors= </v>
      </c>
      <c r="AH53" s="95">
        <f>IF(Match!Q54="",0,Match!Q54)</f>
        <v>0</v>
      </c>
      <c r="AI53" t="str">
        <f t="shared" si="17"/>
        <v>,Status= "</v>
      </c>
      <c r="AJ53" s="95" t="str">
        <f>Match!R54</f>
        <v>Finished</v>
      </c>
      <c r="AK53" t="str">
        <f t="shared" si="18"/>
        <v>" },</v>
      </c>
    </row>
    <row r="54" spans="1:37" x14ac:dyDescent="0.25">
      <c r="A54" s="94" t="str">
        <f t="shared" si="0"/>
        <v>new Match { MatchId= "</v>
      </c>
      <c r="B54" t="str">
        <f>Match!A55</f>
        <v>UEFAEURO2016-3</v>
      </c>
      <c r="C54" s="94" t="str">
        <f t="shared" si="1"/>
        <v>",MatchNumber=</v>
      </c>
      <c r="D54">
        <f>Match!B55</f>
        <v>3</v>
      </c>
      <c r="E54" s="94" t="str">
        <f t="shared" si="2"/>
        <v>,DateMatch=DateTime.Parse("</v>
      </c>
      <c r="F54" s="85">
        <f>Match!C55</f>
        <v>42533</v>
      </c>
      <c r="G54" s="92" t="str">
        <f t="shared" si="3"/>
        <v>"),TimeMatch=TimeSpan.Parse("</v>
      </c>
      <c r="H54" s="93">
        <f>Match!D55</f>
        <v>0</v>
      </c>
      <c r="I54" s="94" t="str">
        <f t="shared" si="4"/>
        <v>"),MatchYear=</v>
      </c>
      <c r="J54">
        <f>Match!E55</f>
        <v>2016</v>
      </c>
      <c r="K54" s="94" t="str">
        <f t="shared" si="5"/>
        <v>, SeasonId= "</v>
      </c>
      <c r="L54" t="str">
        <f>Match!F55</f>
        <v>UEFAEURO2016</v>
      </c>
      <c r="M54" s="94" t="str">
        <f t="shared" si="6"/>
        <v>",Round= "</v>
      </c>
      <c r="N54" t="str">
        <f>Match!G55</f>
        <v>Final Round</v>
      </c>
      <c r="O54" t="str">
        <f t="shared" si="7"/>
        <v>",Stage= "</v>
      </c>
      <c r="P54" t="str">
        <f>Match!H55</f>
        <v>Group</v>
      </c>
      <c r="Q54" t="str">
        <f t="shared" si="8"/>
        <v>",SubStage= "</v>
      </c>
      <c r="R54" t="str">
        <f>Match!I55</f>
        <v>Group B</v>
      </c>
      <c r="S54" t="str">
        <f t="shared" si="9"/>
        <v>",HTeam= "</v>
      </c>
      <c r="T54" t="str">
        <f>Match!J55</f>
        <v>Wales</v>
      </c>
      <c r="U54" t="str">
        <f t="shared" si="10"/>
        <v>",HGoal=</v>
      </c>
      <c r="V54">
        <f>Match!K55</f>
        <v>2</v>
      </c>
      <c r="W54" t="str">
        <f t="shared" si="11"/>
        <v>,GGoal=</v>
      </c>
      <c r="X54">
        <f>Match!L55</f>
        <v>1</v>
      </c>
      <c r="Y54" t="str">
        <f t="shared" si="12"/>
        <v>,GTeam= "</v>
      </c>
      <c r="Z54" t="str">
        <f>Match!M55</f>
        <v>Slovakia</v>
      </c>
      <c r="AA54" t="str">
        <f t="shared" si="13"/>
        <v>",WinNote="</v>
      </c>
      <c r="AB54" t="str">
        <f>IF(Match!N55="","",Match!N55)</f>
        <v/>
      </c>
      <c r="AC54" t="str">
        <f t="shared" si="14"/>
        <v xml:space="preserve">",Stadium=" </v>
      </c>
      <c r="AD54" s="95" t="str">
        <f>Match!O55</f>
        <v>Nouveau Stade de Bordeaux, Bordeaux</v>
      </c>
      <c r="AE54" t="str">
        <f t="shared" si="15"/>
        <v>",Referee= "</v>
      </c>
      <c r="AF54" s="95" t="str">
        <f>IF(Match!P55="","",Match!P55)</f>
        <v/>
      </c>
      <c r="AG54" t="str">
        <f t="shared" si="16"/>
        <v xml:space="preserve">",Visistors= </v>
      </c>
      <c r="AH54" s="95">
        <f>IF(Match!Q55="",0,Match!Q55)</f>
        <v>0</v>
      </c>
      <c r="AI54" t="str">
        <f t="shared" si="17"/>
        <v>,Status= "</v>
      </c>
      <c r="AJ54" s="95" t="str">
        <f>Match!R55</f>
        <v>Finished</v>
      </c>
      <c r="AK54" t="str">
        <f t="shared" si="18"/>
        <v>" },</v>
      </c>
    </row>
    <row r="55" spans="1:37" x14ac:dyDescent="0.25">
      <c r="A55" s="94" t="str">
        <f t="shared" si="0"/>
        <v>new Match { MatchId= "</v>
      </c>
      <c r="B55" t="str">
        <f>Match!A56</f>
        <v>UEFAEURO2016-4</v>
      </c>
      <c r="C55" s="94" t="str">
        <f t="shared" si="1"/>
        <v>",MatchNumber=</v>
      </c>
      <c r="D55">
        <f>Match!B56</f>
        <v>4</v>
      </c>
      <c r="E55" s="94" t="str">
        <f t="shared" si="2"/>
        <v>,DateMatch=DateTime.Parse("</v>
      </c>
      <c r="F55" s="85">
        <f>Match!C56</f>
        <v>42533</v>
      </c>
      <c r="G55" s="92" t="str">
        <f t="shared" si="3"/>
        <v>"),TimeMatch=TimeSpan.Parse("</v>
      </c>
      <c r="H55" s="93">
        <f>Match!D56</f>
        <v>0.125</v>
      </c>
      <c r="I55" s="94" t="str">
        <f t="shared" si="4"/>
        <v>"),MatchYear=</v>
      </c>
      <c r="J55">
        <f>Match!E56</f>
        <v>2016</v>
      </c>
      <c r="K55" s="94" t="str">
        <f t="shared" si="5"/>
        <v>, SeasonId= "</v>
      </c>
      <c r="L55" t="str">
        <f>Match!F56</f>
        <v>UEFAEURO2016</v>
      </c>
      <c r="M55" s="94" t="str">
        <f t="shared" si="6"/>
        <v>",Round= "</v>
      </c>
      <c r="N55" t="str">
        <f>Match!G56</f>
        <v>Final Round</v>
      </c>
      <c r="O55" t="str">
        <f t="shared" si="7"/>
        <v>",Stage= "</v>
      </c>
      <c r="P55" t="str">
        <f>Match!H56</f>
        <v>Group</v>
      </c>
      <c r="Q55" t="str">
        <f t="shared" si="8"/>
        <v>",SubStage= "</v>
      </c>
      <c r="R55" t="str">
        <f>Match!I56</f>
        <v>Group B</v>
      </c>
      <c r="S55" t="str">
        <f t="shared" si="9"/>
        <v>",HTeam= "</v>
      </c>
      <c r="T55" t="str">
        <f>Match!J56</f>
        <v>England</v>
      </c>
      <c r="U55" t="str">
        <f t="shared" si="10"/>
        <v>",HGoal=</v>
      </c>
      <c r="V55">
        <f>Match!K56</f>
        <v>1</v>
      </c>
      <c r="W55" t="str">
        <f t="shared" si="11"/>
        <v>,GGoal=</v>
      </c>
      <c r="X55">
        <f>Match!L56</f>
        <v>1</v>
      </c>
      <c r="Y55" t="str">
        <f t="shared" si="12"/>
        <v>,GTeam= "</v>
      </c>
      <c r="Z55" t="str">
        <f>Match!M56</f>
        <v>Russia</v>
      </c>
      <c r="AA55" t="str">
        <f t="shared" si="13"/>
        <v>",WinNote="</v>
      </c>
      <c r="AB55" t="str">
        <f>IF(Match!N56="","",Match!N56)</f>
        <v/>
      </c>
      <c r="AC55" t="str">
        <f t="shared" si="14"/>
        <v xml:space="preserve">",Stadium=" </v>
      </c>
      <c r="AD55" s="95" t="str">
        <f>Match!O56</f>
        <v>Stade Vélodrome, Marseille</v>
      </c>
      <c r="AE55" t="str">
        <f t="shared" si="15"/>
        <v>",Referee= "</v>
      </c>
      <c r="AF55" s="95" t="str">
        <f>IF(Match!P56="","",Match!P56)</f>
        <v/>
      </c>
      <c r="AG55" t="str">
        <f t="shared" si="16"/>
        <v xml:space="preserve">",Visistors= </v>
      </c>
      <c r="AH55" s="95">
        <f>IF(Match!Q56="",0,Match!Q56)</f>
        <v>0</v>
      </c>
      <c r="AI55" t="str">
        <f t="shared" si="17"/>
        <v>,Status= "</v>
      </c>
      <c r="AJ55" s="95" t="str">
        <f>Match!R56</f>
        <v>Finished</v>
      </c>
      <c r="AK55" t="str">
        <f t="shared" si="18"/>
        <v>" },</v>
      </c>
    </row>
    <row r="56" spans="1:37" x14ac:dyDescent="0.25">
      <c r="A56" s="94" t="str">
        <f t="shared" si="0"/>
        <v>new Match { MatchId= "</v>
      </c>
      <c r="B56" t="str">
        <f>Match!A57</f>
        <v>UEFAEURO2016-5</v>
      </c>
      <c r="C56" s="94" t="str">
        <f t="shared" si="1"/>
        <v>",MatchNumber=</v>
      </c>
      <c r="D56">
        <f>Match!B57</f>
        <v>5</v>
      </c>
      <c r="E56" s="94" t="str">
        <f t="shared" si="2"/>
        <v>,DateMatch=DateTime.Parse("</v>
      </c>
      <c r="F56" s="85">
        <f>Match!C57</f>
        <v>42533</v>
      </c>
      <c r="G56" s="92" t="str">
        <f t="shared" si="3"/>
        <v>"),TimeMatch=TimeSpan.Parse("</v>
      </c>
      <c r="H56" s="93">
        <f>Match!D57</f>
        <v>0.875</v>
      </c>
      <c r="I56" s="94" t="str">
        <f t="shared" si="4"/>
        <v>"),MatchYear=</v>
      </c>
      <c r="J56">
        <f>Match!E57</f>
        <v>2016</v>
      </c>
      <c r="K56" s="94" t="str">
        <f t="shared" si="5"/>
        <v>, SeasonId= "</v>
      </c>
      <c r="L56" t="str">
        <f>Match!F57</f>
        <v>UEFAEURO2016</v>
      </c>
      <c r="M56" s="94" t="str">
        <f t="shared" si="6"/>
        <v>",Round= "</v>
      </c>
      <c r="N56" t="str">
        <f>Match!G57</f>
        <v>Final Round</v>
      </c>
      <c r="O56" t="str">
        <f t="shared" si="7"/>
        <v>",Stage= "</v>
      </c>
      <c r="P56" t="str">
        <f>Match!H57</f>
        <v>Group</v>
      </c>
      <c r="Q56" t="str">
        <f t="shared" si="8"/>
        <v>",SubStage= "</v>
      </c>
      <c r="R56" t="str">
        <f>Match!I57</f>
        <v>Group D</v>
      </c>
      <c r="S56" t="str">
        <f t="shared" si="9"/>
        <v>",HTeam= "</v>
      </c>
      <c r="T56" t="str">
        <f>Match!J57</f>
        <v>Turkey</v>
      </c>
      <c r="U56" t="str">
        <f t="shared" si="10"/>
        <v>",HGoal=</v>
      </c>
      <c r="V56">
        <f>Match!K57</f>
        <v>0</v>
      </c>
      <c r="W56" t="str">
        <f t="shared" si="11"/>
        <v>,GGoal=</v>
      </c>
      <c r="X56">
        <f>Match!L57</f>
        <v>1</v>
      </c>
      <c r="Y56" t="str">
        <f t="shared" si="12"/>
        <v>,GTeam= "</v>
      </c>
      <c r="Z56" t="str">
        <f>Match!M57</f>
        <v>Croatia</v>
      </c>
      <c r="AA56" t="str">
        <f t="shared" si="13"/>
        <v>",WinNote="</v>
      </c>
      <c r="AB56" t="str">
        <f>IF(Match!N57="","",Match!N57)</f>
        <v/>
      </c>
      <c r="AC56" t="str">
        <f t="shared" si="14"/>
        <v xml:space="preserve">",Stadium=" </v>
      </c>
      <c r="AD56" s="95" t="str">
        <f>Match!O57</f>
        <v>Parc des Princes, Paris</v>
      </c>
      <c r="AE56" t="str">
        <f t="shared" si="15"/>
        <v>",Referee= "</v>
      </c>
      <c r="AF56" s="95" t="str">
        <f>IF(Match!P57="","",Match!P57)</f>
        <v/>
      </c>
      <c r="AG56" t="str">
        <f t="shared" si="16"/>
        <v xml:space="preserve">",Visistors= </v>
      </c>
      <c r="AH56" s="95">
        <f>IF(Match!Q57="",0,Match!Q57)</f>
        <v>0</v>
      </c>
      <c r="AI56" t="str">
        <f t="shared" si="17"/>
        <v>,Status= "</v>
      </c>
      <c r="AJ56" s="95" t="str">
        <f>Match!R57</f>
        <v>Finished</v>
      </c>
      <c r="AK56" t="str">
        <f t="shared" si="18"/>
        <v>" },</v>
      </c>
    </row>
    <row r="57" spans="1:37" x14ac:dyDescent="0.25">
      <c r="A57" s="94" t="str">
        <f t="shared" si="0"/>
        <v>new Match { MatchId= "</v>
      </c>
      <c r="B57" t="str">
        <f>Match!A58</f>
        <v>UEFAEURO2016-6</v>
      </c>
      <c r="C57" s="94" t="str">
        <f t="shared" si="1"/>
        <v>",MatchNumber=</v>
      </c>
      <c r="D57">
        <f>Match!B58</f>
        <v>6</v>
      </c>
      <c r="E57" s="94" t="str">
        <f t="shared" si="2"/>
        <v>,DateMatch=DateTime.Parse("</v>
      </c>
      <c r="F57" s="85">
        <f>Match!C58</f>
        <v>42534</v>
      </c>
      <c r="G57" s="92" t="str">
        <f t="shared" si="3"/>
        <v>"),TimeMatch=TimeSpan.Parse("</v>
      </c>
      <c r="H57" s="93">
        <f>Match!D58</f>
        <v>0</v>
      </c>
      <c r="I57" s="94" t="str">
        <f t="shared" si="4"/>
        <v>"),MatchYear=</v>
      </c>
      <c r="J57">
        <f>Match!E58</f>
        <v>2016</v>
      </c>
      <c r="K57" s="94" t="str">
        <f t="shared" si="5"/>
        <v>, SeasonId= "</v>
      </c>
      <c r="L57" t="str">
        <f>Match!F58</f>
        <v>UEFAEURO2016</v>
      </c>
      <c r="M57" s="94" t="str">
        <f t="shared" si="6"/>
        <v>",Round= "</v>
      </c>
      <c r="N57" t="str">
        <f>Match!G58</f>
        <v>Final Round</v>
      </c>
      <c r="O57" t="str">
        <f t="shared" si="7"/>
        <v>",Stage= "</v>
      </c>
      <c r="P57" t="str">
        <f>Match!H58</f>
        <v>Group</v>
      </c>
      <c r="Q57" t="str">
        <f t="shared" si="8"/>
        <v>",SubStage= "</v>
      </c>
      <c r="R57" t="str">
        <f>Match!I58</f>
        <v>Group C</v>
      </c>
      <c r="S57" t="str">
        <f t="shared" si="9"/>
        <v>",HTeam= "</v>
      </c>
      <c r="T57" t="str">
        <f>Match!J58</f>
        <v>Poland</v>
      </c>
      <c r="U57" t="str">
        <f t="shared" si="10"/>
        <v>",HGoal=</v>
      </c>
      <c r="V57">
        <f>Match!K58</f>
        <v>1</v>
      </c>
      <c r="W57" t="str">
        <f t="shared" si="11"/>
        <v>,GGoal=</v>
      </c>
      <c r="X57">
        <f>Match!L58</f>
        <v>0</v>
      </c>
      <c r="Y57" t="str">
        <f t="shared" si="12"/>
        <v>,GTeam= "</v>
      </c>
      <c r="Z57" t="str">
        <f>Match!M58</f>
        <v>Northern Ireland</v>
      </c>
      <c r="AA57" t="str">
        <f t="shared" si="13"/>
        <v>",WinNote="</v>
      </c>
      <c r="AB57" t="str">
        <f>IF(Match!N58="","",Match!N58)</f>
        <v/>
      </c>
      <c r="AC57" t="str">
        <f t="shared" si="14"/>
        <v xml:space="preserve">",Stadium=" </v>
      </c>
      <c r="AD57" s="95" t="str">
        <f>Match!O58</f>
        <v>Allianz Riviera, Nice</v>
      </c>
      <c r="AE57" t="str">
        <f t="shared" si="15"/>
        <v>",Referee= "</v>
      </c>
      <c r="AF57" s="95" t="str">
        <f>IF(Match!P58="","",Match!P58)</f>
        <v/>
      </c>
      <c r="AG57" t="str">
        <f t="shared" si="16"/>
        <v xml:space="preserve">",Visistors= </v>
      </c>
      <c r="AH57" s="95">
        <f>IF(Match!Q58="",0,Match!Q58)</f>
        <v>0</v>
      </c>
      <c r="AI57" t="str">
        <f t="shared" si="17"/>
        <v>,Status= "</v>
      </c>
      <c r="AJ57" s="95" t="str">
        <f>Match!R58</f>
        <v>Finished</v>
      </c>
      <c r="AK57" t="str">
        <f t="shared" si="18"/>
        <v>" },</v>
      </c>
    </row>
    <row r="58" spans="1:37" x14ac:dyDescent="0.25">
      <c r="A58" s="94" t="str">
        <f t="shared" si="0"/>
        <v>new Match { MatchId= "</v>
      </c>
      <c r="B58" t="str">
        <f>Match!A59</f>
        <v>UEFAEURO2016-7</v>
      </c>
      <c r="C58" s="94" t="str">
        <f t="shared" si="1"/>
        <v>",MatchNumber=</v>
      </c>
      <c r="D58">
        <f>Match!B59</f>
        <v>7</v>
      </c>
      <c r="E58" s="94" t="str">
        <f t="shared" si="2"/>
        <v>,DateMatch=DateTime.Parse("</v>
      </c>
      <c r="F58" s="85">
        <f>Match!C59</f>
        <v>42534</v>
      </c>
      <c r="G58" s="92" t="str">
        <f t="shared" si="3"/>
        <v>"),TimeMatch=TimeSpan.Parse("</v>
      </c>
      <c r="H58" s="93">
        <f>Match!D59</f>
        <v>0.125</v>
      </c>
      <c r="I58" s="94" t="str">
        <f t="shared" si="4"/>
        <v>"),MatchYear=</v>
      </c>
      <c r="J58">
        <f>Match!E59</f>
        <v>2016</v>
      </c>
      <c r="K58" s="94" t="str">
        <f t="shared" si="5"/>
        <v>, SeasonId= "</v>
      </c>
      <c r="L58" t="str">
        <f>Match!F59</f>
        <v>UEFAEURO2016</v>
      </c>
      <c r="M58" s="94" t="str">
        <f t="shared" si="6"/>
        <v>",Round= "</v>
      </c>
      <c r="N58" t="str">
        <f>Match!G59</f>
        <v>Final Round</v>
      </c>
      <c r="O58" t="str">
        <f t="shared" si="7"/>
        <v>",Stage= "</v>
      </c>
      <c r="P58" t="str">
        <f>Match!H59</f>
        <v>Group</v>
      </c>
      <c r="Q58" t="str">
        <f t="shared" si="8"/>
        <v>",SubStage= "</v>
      </c>
      <c r="R58" t="str">
        <f>Match!I59</f>
        <v>Group C</v>
      </c>
      <c r="S58" t="str">
        <f t="shared" si="9"/>
        <v>",HTeam= "</v>
      </c>
      <c r="T58" t="str">
        <f>Match!J59</f>
        <v>Germany</v>
      </c>
      <c r="U58" t="str">
        <f t="shared" si="10"/>
        <v>",HGoal=</v>
      </c>
      <c r="V58">
        <f>Match!K59</f>
        <v>2</v>
      </c>
      <c r="W58" t="str">
        <f t="shared" si="11"/>
        <v>,GGoal=</v>
      </c>
      <c r="X58">
        <f>Match!L59</f>
        <v>0</v>
      </c>
      <c r="Y58" t="str">
        <f t="shared" si="12"/>
        <v>,GTeam= "</v>
      </c>
      <c r="Z58" t="str">
        <f>Match!M59</f>
        <v>Ukraine</v>
      </c>
      <c r="AA58" t="str">
        <f t="shared" si="13"/>
        <v>",WinNote="</v>
      </c>
      <c r="AB58" t="str">
        <f>IF(Match!N59="","",Match!N59)</f>
        <v/>
      </c>
      <c r="AC58" t="str">
        <f t="shared" si="14"/>
        <v xml:space="preserve">",Stadium=" </v>
      </c>
      <c r="AD58" s="95" t="str">
        <f>Match!O59</f>
        <v>Stade Pierre-Mauroy, Lille</v>
      </c>
      <c r="AE58" t="str">
        <f t="shared" si="15"/>
        <v>",Referee= "</v>
      </c>
      <c r="AF58" s="95" t="str">
        <f>IF(Match!P59="","",Match!P59)</f>
        <v/>
      </c>
      <c r="AG58" t="str">
        <f t="shared" si="16"/>
        <v xml:space="preserve">",Visistors= </v>
      </c>
      <c r="AH58" s="95">
        <f>IF(Match!Q59="",0,Match!Q59)</f>
        <v>0</v>
      </c>
      <c r="AI58" t="str">
        <f t="shared" si="17"/>
        <v>,Status= "</v>
      </c>
      <c r="AJ58" s="95" t="str">
        <f>Match!R59</f>
        <v>Finished</v>
      </c>
      <c r="AK58" t="str">
        <f t="shared" si="18"/>
        <v>" },</v>
      </c>
    </row>
    <row r="59" spans="1:37" x14ac:dyDescent="0.25">
      <c r="A59" s="94" t="str">
        <f t="shared" si="0"/>
        <v>new Match { MatchId= "</v>
      </c>
      <c r="B59" t="str">
        <f>Match!A60</f>
        <v>UEFAEURO2016-8</v>
      </c>
      <c r="C59" s="94" t="str">
        <f t="shared" si="1"/>
        <v>",MatchNumber=</v>
      </c>
      <c r="D59">
        <f>Match!B60</f>
        <v>8</v>
      </c>
      <c r="E59" s="94" t="str">
        <f t="shared" si="2"/>
        <v>,DateMatch=DateTime.Parse("</v>
      </c>
      <c r="F59" s="85">
        <f>Match!C60</f>
        <v>42534</v>
      </c>
      <c r="G59" s="92" t="str">
        <f t="shared" si="3"/>
        <v>"),TimeMatch=TimeSpan.Parse("</v>
      </c>
      <c r="H59" s="93">
        <f>Match!D60</f>
        <v>0.875</v>
      </c>
      <c r="I59" s="94" t="str">
        <f t="shared" si="4"/>
        <v>"),MatchYear=</v>
      </c>
      <c r="J59">
        <f>Match!E60</f>
        <v>2016</v>
      </c>
      <c r="K59" s="94" t="str">
        <f t="shared" si="5"/>
        <v>, SeasonId= "</v>
      </c>
      <c r="L59" t="str">
        <f>Match!F60</f>
        <v>UEFAEURO2016</v>
      </c>
      <c r="M59" s="94" t="str">
        <f t="shared" si="6"/>
        <v>",Round= "</v>
      </c>
      <c r="N59" t="str">
        <f>Match!G60</f>
        <v>Final Round</v>
      </c>
      <c r="O59" t="str">
        <f t="shared" si="7"/>
        <v>",Stage= "</v>
      </c>
      <c r="P59" t="str">
        <f>Match!H60</f>
        <v>Group</v>
      </c>
      <c r="Q59" t="str">
        <f t="shared" si="8"/>
        <v>",SubStage= "</v>
      </c>
      <c r="R59" t="str">
        <f>Match!I60</f>
        <v>Group D</v>
      </c>
      <c r="S59" t="str">
        <f t="shared" si="9"/>
        <v>",HTeam= "</v>
      </c>
      <c r="T59" t="str">
        <f>Match!J60</f>
        <v>Spain</v>
      </c>
      <c r="U59" t="str">
        <f t="shared" si="10"/>
        <v>",HGoal=</v>
      </c>
      <c r="V59">
        <f>Match!K60</f>
        <v>1</v>
      </c>
      <c r="W59" t="str">
        <f t="shared" si="11"/>
        <v>,GGoal=</v>
      </c>
      <c r="X59">
        <f>Match!L60</f>
        <v>0</v>
      </c>
      <c r="Y59" t="str">
        <f t="shared" si="12"/>
        <v>,GTeam= "</v>
      </c>
      <c r="Z59" t="str">
        <f>Match!M60</f>
        <v>Czech Republic</v>
      </c>
      <c r="AA59" t="str">
        <f t="shared" si="13"/>
        <v>",WinNote="</v>
      </c>
      <c r="AB59" t="str">
        <f>IF(Match!N60="","",Match!N60)</f>
        <v/>
      </c>
      <c r="AC59" t="str">
        <f t="shared" si="14"/>
        <v xml:space="preserve">",Stadium=" </v>
      </c>
      <c r="AD59" s="95" t="str">
        <f>Match!O60</f>
        <v>Stadium Municipal, Toulouse</v>
      </c>
      <c r="AE59" t="str">
        <f t="shared" si="15"/>
        <v>",Referee= "</v>
      </c>
      <c r="AF59" s="95" t="str">
        <f>IF(Match!P60="","",Match!P60)</f>
        <v/>
      </c>
      <c r="AG59" t="str">
        <f t="shared" si="16"/>
        <v xml:space="preserve">",Visistors= </v>
      </c>
      <c r="AH59" s="95">
        <f>IF(Match!Q60="",0,Match!Q60)</f>
        <v>0</v>
      </c>
      <c r="AI59" t="str">
        <f t="shared" si="17"/>
        <v>,Status= "</v>
      </c>
      <c r="AJ59" s="95" t="str">
        <f>Match!R60</f>
        <v>Finished</v>
      </c>
      <c r="AK59" t="str">
        <f t="shared" si="18"/>
        <v>" },</v>
      </c>
    </row>
    <row r="60" spans="1:37" x14ac:dyDescent="0.25">
      <c r="A60" s="94" t="str">
        <f t="shared" si="0"/>
        <v>new Match { MatchId= "</v>
      </c>
      <c r="B60" t="str">
        <f>Match!A61</f>
        <v>UEFAEURO2016-9</v>
      </c>
      <c r="C60" s="94" t="str">
        <f t="shared" si="1"/>
        <v>",MatchNumber=</v>
      </c>
      <c r="D60">
        <f>Match!B61</f>
        <v>9</v>
      </c>
      <c r="E60" s="94" t="str">
        <f t="shared" si="2"/>
        <v>,DateMatch=DateTime.Parse("</v>
      </c>
      <c r="F60" s="85">
        <f>Match!C61</f>
        <v>42535</v>
      </c>
      <c r="G60" s="92" t="str">
        <f t="shared" si="3"/>
        <v>"),TimeMatch=TimeSpan.Parse("</v>
      </c>
      <c r="H60" s="93">
        <f>Match!D61</f>
        <v>0</v>
      </c>
      <c r="I60" s="94" t="str">
        <f t="shared" si="4"/>
        <v>"),MatchYear=</v>
      </c>
      <c r="J60">
        <f>Match!E61</f>
        <v>2016</v>
      </c>
      <c r="K60" s="94" t="str">
        <f t="shared" si="5"/>
        <v>, SeasonId= "</v>
      </c>
      <c r="L60" t="str">
        <f>Match!F61</f>
        <v>UEFAEURO2016</v>
      </c>
      <c r="M60" s="94" t="str">
        <f t="shared" si="6"/>
        <v>",Round= "</v>
      </c>
      <c r="N60" t="str">
        <f>Match!G61</f>
        <v>Final Round</v>
      </c>
      <c r="O60" t="str">
        <f t="shared" si="7"/>
        <v>",Stage= "</v>
      </c>
      <c r="P60" t="str">
        <f>Match!H61</f>
        <v>Group</v>
      </c>
      <c r="Q60" t="str">
        <f t="shared" si="8"/>
        <v>",SubStage= "</v>
      </c>
      <c r="R60" t="str">
        <f>Match!I61</f>
        <v>Group E</v>
      </c>
      <c r="S60" t="str">
        <f t="shared" si="9"/>
        <v>",HTeam= "</v>
      </c>
      <c r="T60" t="str">
        <f>Match!J61</f>
        <v>Republic of Ireland</v>
      </c>
      <c r="U60" t="str">
        <f t="shared" si="10"/>
        <v>",HGoal=</v>
      </c>
      <c r="V60">
        <f>Match!K61</f>
        <v>1</v>
      </c>
      <c r="W60" t="str">
        <f t="shared" si="11"/>
        <v>,GGoal=</v>
      </c>
      <c r="X60">
        <f>Match!L61</f>
        <v>1</v>
      </c>
      <c r="Y60" t="str">
        <f t="shared" si="12"/>
        <v>,GTeam= "</v>
      </c>
      <c r="Z60" t="str">
        <f>Match!M61</f>
        <v>Sweden</v>
      </c>
      <c r="AA60" t="str">
        <f t="shared" si="13"/>
        <v>",WinNote="</v>
      </c>
      <c r="AB60" t="str">
        <f>IF(Match!N61="","",Match!N61)</f>
        <v/>
      </c>
      <c r="AC60" t="str">
        <f t="shared" si="14"/>
        <v xml:space="preserve">",Stadium=" </v>
      </c>
      <c r="AD60" s="95" t="str">
        <f>Match!O61</f>
        <v>Stade de France, Saint-Denis</v>
      </c>
      <c r="AE60" t="str">
        <f t="shared" si="15"/>
        <v>",Referee= "</v>
      </c>
      <c r="AF60" s="95" t="str">
        <f>IF(Match!P61="","",Match!P61)</f>
        <v/>
      </c>
      <c r="AG60" t="str">
        <f t="shared" si="16"/>
        <v xml:space="preserve">",Visistors= </v>
      </c>
      <c r="AH60" s="95">
        <f>IF(Match!Q61="",0,Match!Q61)</f>
        <v>0</v>
      </c>
      <c r="AI60" t="str">
        <f t="shared" si="17"/>
        <v>,Status= "</v>
      </c>
      <c r="AJ60" s="95" t="str">
        <f>Match!R61</f>
        <v>Finished</v>
      </c>
      <c r="AK60" t="str">
        <f t="shared" si="18"/>
        <v>" },</v>
      </c>
    </row>
    <row r="61" spans="1:37" x14ac:dyDescent="0.25">
      <c r="A61" s="94" t="str">
        <f t="shared" si="0"/>
        <v>new Match { MatchId= "</v>
      </c>
      <c r="B61" t="str">
        <f>Match!A62</f>
        <v>UEFAEURO2016-10</v>
      </c>
      <c r="C61" s="94" t="str">
        <f t="shared" si="1"/>
        <v>",MatchNumber=</v>
      </c>
      <c r="D61">
        <f>Match!B62</f>
        <v>10</v>
      </c>
      <c r="E61" s="94" t="str">
        <f t="shared" si="2"/>
        <v>,DateMatch=DateTime.Parse("</v>
      </c>
      <c r="F61" s="85">
        <f>Match!C62</f>
        <v>42535</v>
      </c>
      <c r="G61" s="92" t="str">
        <f t="shared" si="3"/>
        <v>"),TimeMatch=TimeSpan.Parse("</v>
      </c>
      <c r="H61" s="93">
        <f>Match!D62</f>
        <v>0.125</v>
      </c>
      <c r="I61" s="94" t="str">
        <f t="shared" si="4"/>
        <v>"),MatchYear=</v>
      </c>
      <c r="J61">
        <f>Match!E62</f>
        <v>2016</v>
      </c>
      <c r="K61" s="94" t="str">
        <f t="shared" si="5"/>
        <v>, SeasonId= "</v>
      </c>
      <c r="L61" t="str">
        <f>Match!F62</f>
        <v>UEFAEURO2016</v>
      </c>
      <c r="M61" s="94" t="str">
        <f t="shared" si="6"/>
        <v>",Round= "</v>
      </c>
      <c r="N61" t="str">
        <f>Match!G62</f>
        <v>Final Round</v>
      </c>
      <c r="O61" t="str">
        <f t="shared" si="7"/>
        <v>",Stage= "</v>
      </c>
      <c r="P61" t="str">
        <f>Match!H62</f>
        <v>Group</v>
      </c>
      <c r="Q61" t="str">
        <f t="shared" si="8"/>
        <v>",SubStage= "</v>
      </c>
      <c r="R61" t="str">
        <f>Match!I62</f>
        <v>Group E</v>
      </c>
      <c r="S61" t="str">
        <f t="shared" si="9"/>
        <v>",HTeam= "</v>
      </c>
      <c r="T61" t="str">
        <f>Match!J62</f>
        <v>Belgium</v>
      </c>
      <c r="U61" t="str">
        <f t="shared" si="10"/>
        <v>",HGoal=</v>
      </c>
      <c r="V61">
        <f>Match!K62</f>
        <v>0</v>
      </c>
      <c r="W61" t="str">
        <f t="shared" si="11"/>
        <v>,GGoal=</v>
      </c>
      <c r="X61">
        <f>Match!L62</f>
        <v>2</v>
      </c>
      <c r="Y61" t="str">
        <f t="shared" si="12"/>
        <v>,GTeam= "</v>
      </c>
      <c r="Z61" t="str">
        <f>Match!M62</f>
        <v>Italy</v>
      </c>
      <c r="AA61" t="str">
        <f t="shared" si="13"/>
        <v>",WinNote="</v>
      </c>
      <c r="AB61" t="str">
        <f>IF(Match!N62="","",Match!N62)</f>
        <v/>
      </c>
      <c r="AC61" t="str">
        <f t="shared" si="14"/>
        <v xml:space="preserve">",Stadium=" </v>
      </c>
      <c r="AD61" s="95" t="str">
        <f>Match!O62</f>
        <v>Parc Olympique Lyonnais, Lyon</v>
      </c>
      <c r="AE61" t="str">
        <f t="shared" si="15"/>
        <v>",Referee= "</v>
      </c>
      <c r="AF61" s="95" t="str">
        <f>IF(Match!P62="","",Match!P62)</f>
        <v/>
      </c>
      <c r="AG61" t="str">
        <f t="shared" si="16"/>
        <v xml:space="preserve">",Visistors= </v>
      </c>
      <c r="AH61" s="95">
        <f>IF(Match!Q62="",0,Match!Q62)</f>
        <v>0</v>
      </c>
      <c r="AI61" t="str">
        <f t="shared" si="17"/>
        <v>,Status= "</v>
      </c>
      <c r="AJ61" s="95" t="str">
        <f>Match!R62</f>
        <v>Finished</v>
      </c>
      <c r="AK61" t="str">
        <f t="shared" si="18"/>
        <v>" },</v>
      </c>
    </row>
    <row r="62" spans="1:37" x14ac:dyDescent="0.25">
      <c r="A62" s="94" t="str">
        <f t="shared" si="0"/>
        <v>new Match { MatchId= "</v>
      </c>
      <c r="B62" t="str">
        <f>Match!A63</f>
        <v>UEFAEURO2016-11</v>
      </c>
      <c r="C62" s="94" t="str">
        <f t="shared" si="1"/>
        <v>",MatchNumber=</v>
      </c>
      <c r="D62">
        <f>Match!B63</f>
        <v>11</v>
      </c>
      <c r="E62" s="94" t="str">
        <f t="shared" si="2"/>
        <v>,DateMatch=DateTime.Parse("</v>
      </c>
      <c r="F62" s="85">
        <f>Match!C63</f>
        <v>42536</v>
      </c>
      <c r="G62" s="92" t="str">
        <f t="shared" si="3"/>
        <v>"),TimeMatch=TimeSpan.Parse("</v>
      </c>
      <c r="H62" s="93">
        <f>Match!D63</f>
        <v>0</v>
      </c>
      <c r="I62" s="94" t="str">
        <f t="shared" si="4"/>
        <v>"),MatchYear=</v>
      </c>
      <c r="J62">
        <f>Match!E63</f>
        <v>2016</v>
      </c>
      <c r="K62" s="94" t="str">
        <f t="shared" si="5"/>
        <v>, SeasonId= "</v>
      </c>
      <c r="L62" t="str">
        <f>Match!F63</f>
        <v>UEFAEURO2016</v>
      </c>
      <c r="M62" s="94" t="str">
        <f t="shared" si="6"/>
        <v>",Round= "</v>
      </c>
      <c r="N62" t="str">
        <f>Match!G63</f>
        <v>Final Round</v>
      </c>
      <c r="O62" t="str">
        <f t="shared" si="7"/>
        <v>",Stage= "</v>
      </c>
      <c r="P62" t="str">
        <f>Match!H63</f>
        <v>Group</v>
      </c>
      <c r="Q62" t="str">
        <f t="shared" si="8"/>
        <v>",SubStage= "</v>
      </c>
      <c r="R62" t="str">
        <f>Match!I63</f>
        <v>Group F</v>
      </c>
      <c r="S62" t="str">
        <f t="shared" si="9"/>
        <v>",HTeam= "</v>
      </c>
      <c r="T62" t="str">
        <f>Match!J63</f>
        <v>Austria</v>
      </c>
      <c r="U62" t="str">
        <f t="shared" si="10"/>
        <v>",HGoal=</v>
      </c>
      <c r="V62">
        <f>Match!K63</f>
        <v>0</v>
      </c>
      <c r="W62" t="str">
        <f t="shared" si="11"/>
        <v>,GGoal=</v>
      </c>
      <c r="X62">
        <f>Match!L63</f>
        <v>2</v>
      </c>
      <c r="Y62" t="str">
        <f t="shared" si="12"/>
        <v>,GTeam= "</v>
      </c>
      <c r="Z62" t="str">
        <f>Match!M63</f>
        <v>Hungary</v>
      </c>
      <c r="AA62" t="str">
        <f t="shared" si="13"/>
        <v>",WinNote="</v>
      </c>
      <c r="AB62" t="str">
        <f>IF(Match!N63="","",Match!N63)</f>
        <v/>
      </c>
      <c r="AC62" t="str">
        <f t="shared" si="14"/>
        <v xml:space="preserve">",Stadium=" </v>
      </c>
      <c r="AD62" s="95" t="str">
        <f>Match!O63</f>
        <v>Nouveau Stade de Bordeaux, Bordeaux</v>
      </c>
      <c r="AE62" t="str">
        <f t="shared" si="15"/>
        <v>",Referee= "</v>
      </c>
      <c r="AF62" s="95" t="str">
        <f>IF(Match!P63="","",Match!P63)</f>
        <v/>
      </c>
      <c r="AG62" t="str">
        <f t="shared" si="16"/>
        <v xml:space="preserve">",Visistors= </v>
      </c>
      <c r="AH62" s="95">
        <f>IF(Match!Q63="",0,Match!Q63)</f>
        <v>0</v>
      </c>
      <c r="AI62" t="str">
        <f t="shared" si="17"/>
        <v>,Status= "</v>
      </c>
      <c r="AJ62" s="95" t="str">
        <f>Match!R63</f>
        <v>Finished</v>
      </c>
      <c r="AK62" t="str">
        <f t="shared" si="18"/>
        <v>" },</v>
      </c>
    </row>
    <row r="63" spans="1:37" x14ac:dyDescent="0.25">
      <c r="A63" s="94" t="str">
        <f t="shared" si="0"/>
        <v>new Match { MatchId= "</v>
      </c>
      <c r="B63" t="str">
        <f>Match!A64</f>
        <v>UEFAEURO2016-12</v>
      </c>
      <c r="C63" s="94" t="str">
        <f t="shared" si="1"/>
        <v>",MatchNumber=</v>
      </c>
      <c r="D63">
        <f>Match!B64</f>
        <v>12</v>
      </c>
      <c r="E63" s="94" t="str">
        <f t="shared" si="2"/>
        <v>,DateMatch=DateTime.Parse("</v>
      </c>
      <c r="F63" s="85">
        <f>Match!C64</f>
        <v>42536</v>
      </c>
      <c r="G63" s="92" t="str">
        <f t="shared" si="3"/>
        <v>"),TimeMatch=TimeSpan.Parse("</v>
      </c>
      <c r="H63" s="93">
        <f>Match!D64</f>
        <v>0.125</v>
      </c>
      <c r="I63" s="94" t="str">
        <f t="shared" si="4"/>
        <v>"),MatchYear=</v>
      </c>
      <c r="J63">
        <f>Match!E64</f>
        <v>2016</v>
      </c>
      <c r="K63" s="94" t="str">
        <f t="shared" si="5"/>
        <v>, SeasonId= "</v>
      </c>
      <c r="L63" t="str">
        <f>Match!F64</f>
        <v>UEFAEURO2016</v>
      </c>
      <c r="M63" s="94" t="str">
        <f t="shared" si="6"/>
        <v>",Round= "</v>
      </c>
      <c r="N63" t="str">
        <f>Match!G64</f>
        <v>Final Round</v>
      </c>
      <c r="O63" t="str">
        <f t="shared" si="7"/>
        <v>",Stage= "</v>
      </c>
      <c r="P63" t="str">
        <f>Match!H64</f>
        <v>Group</v>
      </c>
      <c r="Q63" t="str">
        <f t="shared" si="8"/>
        <v>",SubStage= "</v>
      </c>
      <c r="R63" t="str">
        <f>Match!I64</f>
        <v>Group F</v>
      </c>
      <c r="S63" t="str">
        <f t="shared" si="9"/>
        <v>",HTeam= "</v>
      </c>
      <c r="T63" t="str">
        <f>Match!J64</f>
        <v>Portugal</v>
      </c>
      <c r="U63" t="str">
        <f t="shared" si="10"/>
        <v>",HGoal=</v>
      </c>
      <c r="V63">
        <f>Match!K64</f>
        <v>1</v>
      </c>
      <c r="W63" t="str">
        <f t="shared" si="11"/>
        <v>,GGoal=</v>
      </c>
      <c r="X63">
        <f>Match!L64</f>
        <v>1</v>
      </c>
      <c r="Y63" t="str">
        <f t="shared" si="12"/>
        <v>,GTeam= "</v>
      </c>
      <c r="Z63" t="str">
        <f>Match!M64</f>
        <v>Iceland</v>
      </c>
      <c r="AA63" t="str">
        <f t="shared" si="13"/>
        <v>",WinNote="</v>
      </c>
      <c r="AB63" t="str">
        <f>IF(Match!N64="","",Match!N64)</f>
        <v/>
      </c>
      <c r="AC63" t="str">
        <f t="shared" si="14"/>
        <v xml:space="preserve">",Stadium=" </v>
      </c>
      <c r="AD63" s="95" t="str">
        <f>Match!O64</f>
        <v>Stade Geoffroy-Guichard, Saint-Étienne</v>
      </c>
      <c r="AE63" t="str">
        <f t="shared" si="15"/>
        <v>",Referee= "</v>
      </c>
      <c r="AF63" s="95" t="str">
        <f>IF(Match!P64="","",Match!P64)</f>
        <v/>
      </c>
      <c r="AG63" t="str">
        <f t="shared" si="16"/>
        <v xml:space="preserve">",Visistors= </v>
      </c>
      <c r="AH63" s="95">
        <f>IF(Match!Q64="",0,Match!Q64)</f>
        <v>0</v>
      </c>
      <c r="AI63" t="str">
        <f t="shared" si="17"/>
        <v>,Status= "</v>
      </c>
      <c r="AJ63" s="95" t="str">
        <f>Match!R64</f>
        <v>Finished</v>
      </c>
      <c r="AK63" t="str">
        <f t="shared" si="18"/>
        <v>" },</v>
      </c>
    </row>
    <row r="64" spans="1:37" x14ac:dyDescent="0.25">
      <c r="A64" s="94" t="str">
        <f t="shared" si="0"/>
        <v>new Match { MatchId= "</v>
      </c>
      <c r="B64" t="str">
        <f>Match!A65</f>
        <v>UEFAEURO2016-13</v>
      </c>
      <c r="C64" s="94" t="str">
        <f t="shared" si="1"/>
        <v>",MatchNumber=</v>
      </c>
      <c r="D64">
        <f>Match!B65</f>
        <v>13</v>
      </c>
      <c r="E64" s="94" t="str">
        <f t="shared" si="2"/>
        <v>,DateMatch=DateTime.Parse("</v>
      </c>
      <c r="F64" s="85">
        <f>Match!C65</f>
        <v>42536</v>
      </c>
      <c r="G64" s="92" t="str">
        <f t="shared" si="3"/>
        <v>"),TimeMatch=TimeSpan.Parse("</v>
      </c>
      <c r="H64" s="93">
        <f>Match!D65</f>
        <v>0.875</v>
      </c>
      <c r="I64" s="94" t="str">
        <f t="shared" si="4"/>
        <v>"),MatchYear=</v>
      </c>
      <c r="J64">
        <f>Match!E65</f>
        <v>2016</v>
      </c>
      <c r="K64" s="94" t="str">
        <f t="shared" si="5"/>
        <v>, SeasonId= "</v>
      </c>
      <c r="L64" t="str">
        <f>Match!F65</f>
        <v>UEFAEURO2016</v>
      </c>
      <c r="M64" s="94" t="str">
        <f t="shared" si="6"/>
        <v>",Round= "</v>
      </c>
      <c r="N64" t="str">
        <f>Match!G65</f>
        <v>Final Round</v>
      </c>
      <c r="O64" t="str">
        <f t="shared" si="7"/>
        <v>",Stage= "</v>
      </c>
      <c r="P64" t="str">
        <f>Match!H65</f>
        <v>Group</v>
      </c>
      <c r="Q64" t="str">
        <f t="shared" si="8"/>
        <v>",SubStage= "</v>
      </c>
      <c r="R64" t="str">
        <f>Match!I65</f>
        <v>Group B</v>
      </c>
      <c r="S64" t="str">
        <f t="shared" si="9"/>
        <v>",HTeam= "</v>
      </c>
      <c r="T64" t="str">
        <f>Match!J65</f>
        <v>Russia</v>
      </c>
      <c r="U64" t="str">
        <f t="shared" si="10"/>
        <v>",HGoal=</v>
      </c>
      <c r="V64">
        <f>Match!K65</f>
        <v>1</v>
      </c>
      <c r="W64" t="str">
        <f t="shared" si="11"/>
        <v>,GGoal=</v>
      </c>
      <c r="X64">
        <f>Match!L65</f>
        <v>2</v>
      </c>
      <c r="Y64" t="str">
        <f t="shared" si="12"/>
        <v>,GTeam= "</v>
      </c>
      <c r="Z64" t="str">
        <f>Match!M65</f>
        <v>Slovakia</v>
      </c>
      <c r="AA64" t="str">
        <f t="shared" si="13"/>
        <v>",WinNote="</v>
      </c>
      <c r="AB64" t="str">
        <f>IF(Match!N65="","",Match!N65)</f>
        <v/>
      </c>
      <c r="AC64" t="str">
        <f t="shared" si="14"/>
        <v xml:space="preserve">",Stadium=" </v>
      </c>
      <c r="AD64" s="95" t="str">
        <f>Match!O65</f>
        <v>Stade Pierre-Mauroy, Lille</v>
      </c>
      <c r="AE64" t="str">
        <f t="shared" si="15"/>
        <v>",Referee= "</v>
      </c>
      <c r="AF64" s="95" t="str">
        <f>IF(Match!P65="","",Match!P65)</f>
        <v/>
      </c>
      <c r="AG64" t="str">
        <f t="shared" si="16"/>
        <v xml:space="preserve">",Visistors= </v>
      </c>
      <c r="AH64" s="95">
        <f>IF(Match!Q65="",0,Match!Q65)</f>
        <v>0</v>
      </c>
      <c r="AI64" t="str">
        <f t="shared" si="17"/>
        <v>,Status= "</v>
      </c>
      <c r="AJ64" s="95" t="str">
        <f>Match!R65</f>
        <v>Finished</v>
      </c>
      <c r="AK64" t="str">
        <f t="shared" si="18"/>
        <v>" },</v>
      </c>
    </row>
    <row r="65" spans="1:37" x14ac:dyDescent="0.25">
      <c r="A65" s="94" t="str">
        <f t="shared" si="0"/>
        <v>new Match { MatchId= "</v>
      </c>
      <c r="B65" t="str">
        <f>Match!A66</f>
        <v>UEFAEURO2016-14</v>
      </c>
      <c r="C65" s="94" t="str">
        <f t="shared" si="1"/>
        <v>",MatchNumber=</v>
      </c>
      <c r="D65">
        <f>Match!B66</f>
        <v>14</v>
      </c>
      <c r="E65" s="94" t="str">
        <f t="shared" si="2"/>
        <v>,DateMatch=DateTime.Parse("</v>
      </c>
      <c r="F65" s="85">
        <f>Match!C66</f>
        <v>42537</v>
      </c>
      <c r="G65" s="92" t="str">
        <f t="shared" si="3"/>
        <v>"),TimeMatch=TimeSpan.Parse("</v>
      </c>
      <c r="H65" s="93">
        <f>Match!D66</f>
        <v>0</v>
      </c>
      <c r="I65" s="94" t="str">
        <f t="shared" si="4"/>
        <v>"),MatchYear=</v>
      </c>
      <c r="J65">
        <f>Match!E66</f>
        <v>2016</v>
      </c>
      <c r="K65" s="94" t="str">
        <f t="shared" si="5"/>
        <v>, SeasonId= "</v>
      </c>
      <c r="L65" t="str">
        <f>Match!F66</f>
        <v>UEFAEURO2016</v>
      </c>
      <c r="M65" s="94" t="str">
        <f t="shared" si="6"/>
        <v>",Round= "</v>
      </c>
      <c r="N65" t="str">
        <f>Match!G66</f>
        <v>Final Round</v>
      </c>
      <c r="O65" t="str">
        <f t="shared" si="7"/>
        <v>",Stage= "</v>
      </c>
      <c r="P65" t="str">
        <f>Match!H66</f>
        <v>Group</v>
      </c>
      <c r="Q65" t="str">
        <f t="shared" si="8"/>
        <v>",SubStage= "</v>
      </c>
      <c r="R65" t="str">
        <f>Match!I66</f>
        <v>Group A</v>
      </c>
      <c r="S65" t="str">
        <f t="shared" si="9"/>
        <v>",HTeam= "</v>
      </c>
      <c r="T65" t="str">
        <f>Match!J66</f>
        <v>Romania</v>
      </c>
      <c r="U65" t="str">
        <f t="shared" si="10"/>
        <v>",HGoal=</v>
      </c>
      <c r="V65">
        <f>Match!K66</f>
        <v>1</v>
      </c>
      <c r="W65" t="str">
        <f t="shared" si="11"/>
        <v>,GGoal=</v>
      </c>
      <c r="X65">
        <f>Match!L66</f>
        <v>1</v>
      </c>
      <c r="Y65" t="str">
        <f t="shared" si="12"/>
        <v>,GTeam= "</v>
      </c>
      <c r="Z65" t="str">
        <f>Match!M66</f>
        <v>Switzerland</v>
      </c>
      <c r="AA65" t="str">
        <f t="shared" si="13"/>
        <v>",WinNote="</v>
      </c>
      <c r="AB65" t="str">
        <f>IF(Match!N66="","",Match!N66)</f>
        <v/>
      </c>
      <c r="AC65" t="str">
        <f t="shared" si="14"/>
        <v xml:space="preserve">",Stadium=" </v>
      </c>
      <c r="AD65" s="95" t="str">
        <f>Match!O66</f>
        <v>Parc des Princes, Paris</v>
      </c>
      <c r="AE65" t="str">
        <f t="shared" si="15"/>
        <v>",Referee= "</v>
      </c>
      <c r="AF65" s="95" t="str">
        <f>IF(Match!P66="","",Match!P66)</f>
        <v/>
      </c>
      <c r="AG65" t="str">
        <f t="shared" si="16"/>
        <v xml:space="preserve">",Visistors= </v>
      </c>
      <c r="AH65" s="95">
        <f>IF(Match!Q66="",0,Match!Q66)</f>
        <v>0</v>
      </c>
      <c r="AI65" t="str">
        <f t="shared" si="17"/>
        <v>,Status= "</v>
      </c>
      <c r="AJ65" s="95" t="str">
        <f>Match!R66</f>
        <v>Finished</v>
      </c>
      <c r="AK65" t="str">
        <f t="shared" si="18"/>
        <v>" },</v>
      </c>
    </row>
    <row r="66" spans="1:37" x14ac:dyDescent="0.25">
      <c r="A66" s="94" t="str">
        <f t="shared" si="0"/>
        <v>new Match { MatchId= "</v>
      </c>
      <c r="B66" t="str">
        <f>Match!A67</f>
        <v>UEFAEURO2016-15</v>
      </c>
      <c r="C66" s="94" t="str">
        <f t="shared" si="1"/>
        <v>",MatchNumber=</v>
      </c>
      <c r="D66">
        <f>Match!B67</f>
        <v>15</v>
      </c>
      <c r="E66" s="94" t="str">
        <f t="shared" si="2"/>
        <v>,DateMatch=DateTime.Parse("</v>
      </c>
      <c r="F66" s="85">
        <f>Match!C67</f>
        <v>42537</v>
      </c>
      <c r="G66" s="92" t="str">
        <f t="shared" si="3"/>
        <v>"),TimeMatch=TimeSpan.Parse("</v>
      </c>
      <c r="H66" s="93">
        <f>Match!D67</f>
        <v>0.125</v>
      </c>
      <c r="I66" s="94" t="str">
        <f t="shared" si="4"/>
        <v>"),MatchYear=</v>
      </c>
      <c r="J66">
        <f>Match!E67</f>
        <v>2016</v>
      </c>
      <c r="K66" s="94" t="str">
        <f t="shared" si="5"/>
        <v>, SeasonId= "</v>
      </c>
      <c r="L66" t="str">
        <f>Match!F67</f>
        <v>UEFAEURO2016</v>
      </c>
      <c r="M66" s="94" t="str">
        <f t="shared" si="6"/>
        <v>",Round= "</v>
      </c>
      <c r="N66" t="str">
        <f>Match!G67</f>
        <v>Final Round</v>
      </c>
      <c r="O66" t="str">
        <f t="shared" si="7"/>
        <v>",Stage= "</v>
      </c>
      <c r="P66" t="str">
        <f>Match!H67</f>
        <v>Group</v>
      </c>
      <c r="Q66" t="str">
        <f t="shared" si="8"/>
        <v>",SubStage= "</v>
      </c>
      <c r="R66" t="str">
        <f>Match!I67</f>
        <v>Group A</v>
      </c>
      <c r="S66" t="str">
        <f t="shared" si="9"/>
        <v>",HTeam= "</v>
      </c>
      <c r="T66" t="str">
        <f>Match!J67</f>
        <v>France</v>
      </c>
      <c r="U66" t="str">
        <f t="shared" si="10"/>
        <v>",HGoal=</v>
      </c>
      <c r="V66">
        <f>Match!K67</f>
        <v>2</v>
      </c>
      <c r="W66" t="str">
        <f t="shared" si="11"/>
        <v>,GGoal=</v>
      </c>
      <c r="X66">
        <f>Match!L67</f>
        <v>0</v>
      </c>
      <c r="Y66" t="str">
        <f t="shared" si="12"/>
        <v>,GTeam= "</v>
      </c>
      <c r="Z66" t="str">
        <f>Match!M67</f>
        <v>Albania</v>
      </c>
      <c r="AA66" t="str">
        <f t="shared" si="13"/>
        <v>",WinNote="</v>
      </c>
      <c r="AB66" t="str">
        <f>IF(Match!N67="","",Match!N67)</f>
        <v/>
      </c>
      <c r="AC66" t="str">
        <f t="shared" si="14"/>
        <v xml:space="preserve">",Stadium=" </v>
      </c>
      <c r="AD66" s="95" t="str">
        <f>Match!O67</f>
        <v>Stade Vélodrome, Marseille</v>
      </c>
      <c r="AE66" t="str">
        <f t="shared" si="15"/>
        <v>",Referee= "</v>
      </c>
      <c r="AF66" s="95" t="str">
        <f>IF(Match!P67="","",Match!P67)</f>
        <v/>
      </c>
      <c r="AG66" t="str">
        <f t="shared" si="16"/>
        <v xml:space="preserve">",Visistors= </v>
      </c>
      <c r="AH66" s="95">
        <f>IF(Match!Q67="",0,Match!Q67)</f>
        <v>0</v>
      </c>
      <c r="AI66" t="str">
        <f t="shared" si="17"/>
        <v>,Status= "</v>
      </c>
      <c r="AJ66" s="95" t="str">
        <f>Match!R67</f>
        <v>Finished</v>
      </c>
      <c r="AK66" t="str">
        <f t="shared" si="18"/>
        <v>" },</v>
      </c>
    </row>
    <row r="67" spans="1:37" x14ac:dyDescent="0.25">
      <c r="A67" s="94" t="str">
        <f t="shared" ref="A67:A130" si="19">A66</f>
        <v>new Match { MatchId= "</v>
      </c>
      <c r="B67" t="str">
        <f>Match!A68</f>
        <v>UEFAEURO2016-16</v>
      </c>
      <c r="C67" s="94" t="str">
        <f t="shared" ref="C67:C130" si="20">C66</f>
        <v>",MatchNumber=</v>
      </c>
      <c r="D67">
        <f>Match!B68</f>
        <v>16</v>
      </c>
      <c r="E67" s="94" t="str">
        <f t="shared" ref="E67:E130" si="21">E66</f>
        <v>,DateMatch=DateTime.Parse("</v>
      </c>
      <c r="F67" s="85">
        <f>Match!C68</f>
        <v>42537</v>
      </c>
      <c r="G67" s="92" t="str">
        <f t="shared" ref="G67:G130" si="22">G66</f>
        <v>"),TimeMatch=TimeSpan.Parse("</v>
      </c>
      <c r="H67" s="93">
        <f>Match!D68</f>
        <v>0.875</v>
      </c>
      <c r="I67" s="94" t="str">
        <f t="shared" ref="I67:I130" si="23">I66</f>
        <v>"),MatchYear=</v>
      </c>
      <c r="J67">
        <f>Match!E68</f>
        <v>2016</v>
      </c>
      <c r="K67" s="94" t="str">
        <f t="shared" ref="K67:K130" si="24">K66</f>
        <v>, SeasonId= "</v>
      </c>
      <c r="L67" t="str">
        <f>Match!F68</f>
        <v>UEFAEURO2016</v>
      </c>
      <c r="M67" s="94" t="str">
        <f t="shared" ref="M67:M130" si="25">M66</f>
        <v>",Round= "</v>
      </c>
      <c r="N67" t="str">
        <f>Match!G68</f>
        <v>Final Round</v>
      </c>
      <c r="O67" t="str">
        <f t="shared" ref="O67:O130" si="26">O66</f>
        <v>",Stage= "</v>
      </c>
      <c r="P67" t="str">
        <f>Match!H68</f>
        <v>Group</v>
      </c>
      <c r="Q67" t="str">
        <f t="shared" ref="Q67:Q130" si="27">Q66</f>
        <v>",SubStage= "</v>
      </c>
      <c r="R67" t="str">
        <f>Match!I68</f>
        <v>Group B</v>
      </c>
      <c r="S67" t="str">
        <f t="shared" ref="S67:S130" si="28">S66</f>
        <v>",HTeam= "</v>
      </c>
      <c r="T67" t="str">
        <f>Match!J68</f>
        <v>England</v>
      </c>
      <c r="U67" t="str">
        <f t="shared" ref="U67:U130" si="29">U66</f>
        <v>",HGoal=</v>
      </c>
      <c r="V67">
        <f>Match!K68</f>
        <v>2</v>
      </c>
      <c r="W67" t="str">
        <f t="shared" ref="W67:W130" si="30">W66</f>
        <v>,GGoal=</v>
      </c>
      <c r="X67">
        <f>Match!L68</f>
        <v>1</v>
      </c>
      <c r="Y67" t="str">
        <f t="shared" ref="Y67:Y130" si="31">Y66</f>
        <v>,GTeam= "</v>
      </c>
      <c r="Z67" t="str">
        <f>Match!M68</f>
        <v>Wales</v>
      </c>
      <c r="AA67" t="str">
        <f t="shared" ref="AA67:AA130" si="32">AA66</f>
        <v>",WinNote="</v>
      </c>
      <c r="AB67" t="str">
        <f>IF(Match!N68="","",Match!N68)</f>
        <v/>
      </c>
      <c r="AC67" t="str">
        <f t="shared" ref="AC67:AC130" si="33">AC66</f>
        <v xml:space="preserve">",Stadium=" </v>
      </c>
      <c r="AD67" s="95" t="str">
        <f>Match!O68</f>
        <v>Stade Bollaert-Delelis, Lens</v>
      </c>
      <c r="AE67" t="str">
        <f t="shared" ref="AE67:AE130" si="34">AE66</f>
        <v>",Referee= "</v>
      </c>
      <c r="AF67" s="95" t="str">
        <f>IF(Match!P68="","",Match!P68)</f>
        <v/>
      </c>
      <c r="AG67" t="str">
        <f t="shared" ref="AG67:AG130" si="35">AG66</f>
        <v xml:space="preserve">",Visistors= </v>
      </c>
      <c r="AH67" s="95">
        <f>IF(Match!Q68="",0,Match!Q68)</f>
        <v>0</v>
      </c>
      <c r="AI67" t="str">
        <f t="shared" ref="AI67:AI130" si="36">AI66</f>
        <v>,Status= "</v>
      </c>
      <c r="AJ67" s="95" t="str">
        <f>Match!R68</f>
        <v>Finished</v>
      </c>
      <c r="AK67" t="str">
        <f t="shared" ref="AK67:AK130" si="37">AK66</f>
        <v>" },</v>
      </c>
    </row>
    <row r="68" spans="1:37" x14ac:dyDescent="0.25">
      <c r="A68" s="94" t="str">
        <f t="shared" si="19"/>
        <v>new Match { MatchId= "</v>
      </c>
      <c r="B68" t="str">
        <f>Match!A69</f>
        <v>UEFAEURO2016-17</v>
      </c>
      <c r="C68" s="94" t="str">
        <f t="shared" si="20"/>
        <v>",MatchNumber=</v>
      </c>
      <c r="D68">
        <f>Match!B69</f>
        <v>17</v>
      </c>
      <c r="E68" s="94" t="str">
        <f t="shared" si="21"/>
        <v>,DateMatch=DateTime.Parse("</v>
      </c>
      <c r="F68" s="85">
        <f>Match!C69</f>
        <v>42538</v>
      </c>
      <c r="G68" s="92" t="str">
        <f t="shared" si="22"/>
        <v>"),TimeMatch=TimeSpan.Parse("</v>
      </c>
      <c r="H68" s="93">
        <f>Match!D69</f>
        <v>0</v>
      </c>
      <c r="I68" s="94" t="str">
        <f t="shared" si="23"/>
        <v>"),MatchYear=</v>
      </c>
      <c r="J68">
        <f>Match!E69</f>
        <v>2016</v>
      </c>
      <c r="K68" s="94" t="str">
        <f t="shared" si="24"/>
        <v>, SeasonId= "</v>
      </c>
      <c r="L68" t="str">
        <f>Match!F69</f>
        <v>UEFAEURO2016</v>
      </c>
      <c r="M68" s="94" t="str">
        <f t="shared" si="25"/>
        <v>",Round= "</v>
      </c>
      <c r="N68" t="str">
        <f>Match!G69</f>
        <v>Final Round</v>
      </c>
      <c r="O68" t="str">
        <f t="shared" si="26"/>
        <v>",Stage= "</v>
      </c>
      <c r="P68" t="str">
        <f>Match!H69</f>
        <v>Group</v>
      </c>
      <c r="Q68" t="str">
        <f t="shared" si="27"/>
        <v>",SubStage= "</v>
      </c>
      <c r="R68" t="str">
        <f>Match!I69</f>
        <v>Group C</v>
      </c>
      <c r="S68" t="str">
        <f t="shared" si="28"/>
        <v>",HTeam= "</v>
      </c>
      <c r="T68" t="str">
        <f>Match!J69</f>
        <v>Ukraine</v>
      </c>
      <c r="U68" t="str">
        <f t="shared" si="29"/>
        <v>",HGoal=</v>
      </c>
      <c r="V68">
        <f>Match!K69</f>
        <v>0</v>
      </c>
      <c r="W68" t="str">
        <f t="shared" si="30"/>
        <v>,GGoal=</v>
      </c>
      <c r="X68">
        <f>Match!L69</f>
        <v>2</v>
      </c>
      <c r="Y68" t="str">
        <f t="shared" si="31"/>
        <v>,GTeam= "</v>
      </c>
      <c r="Z68" t="str">
        <f>Match!M69</f>
        <v>Northern Ireland</v>
      </c>
      <c r="AA68" t="str">
        <f t="shared" si="32"/>
        <v>",WinNote="</v>
      </c>
      <c r="AB68" t="str">
        <f>IF(Match!N69="","",Match!N69)</f>
        <v/>
      </c>
      <c r="AC68" t="str">
        <f t="shared" si="33"/>
        <v xml:space="preserve">",Stadium=" </v>
      </c>
      <c r="AD68" s="95" t="str">
        <f>Match!O69</f>
        <v>Parc Olympique Lyonnais, Lyon</v>
      </c>
      <c r="AE68" t="str">
        <f t="shared" si="34"/>
        <v>",Referee= "</v>
      </c>
      <c r="AF68" s="95" t="str">
        <f>IF(Match!P69="","",Match!P69)</f>
        <v/>
      </c>
      <c r="AG68" t="str">
        <f t="shared" si="35"/>
        <v xml:space="preserve">",Visistors= </v>
      </c>
      <c r="AH68" s="95">
        <f>IF(Match!Q69="",0,Match!Q69)</f>
        <v>0</v>
      </c>
      <c r="AI68" t="str">
        <f t="shared" si="36"/>
        <v>,Status= "</v>
      </c>
      <c r="AJ68" s="95" t="str">
        <f>Match!R69</f>
        <v>Finished</v>
      </c>
      <c r="AK68" t="str">
        <f t="shared" si="37"/>
        <v>" },</v>
      </c>
    </row>
    <row r="69" spans="1:37" x14ac:dyDescent="0.25">
      <c r="A69" s="94" t="str">
        <f t="shared" si="19"/>
        <v>new Match { MatchId= "</v>
      </c>
      <c r="B69" t="str">
        <f>Match!A70</f>
        <v>UEFAEURO2016-18</v>
      </c>
      <c r="C69" s="94" t="str">
        <f t="shared" si="20"/>
        <v>",MatchNumber=</v>
      </c>
      <c r="D69">
        <f>Match!B70</f>
        <v>18</v>
      </c>
      <c r="E69" s="94" t="str">
        <f t="shared" si="21"/>
        <v>,DateMatch=DateTime.Parse("</v>
      </c>
      <c r="F69" s="85">
        <f>Match!C70</f>
        <v>42538</v>
      </c>
      <c r="G69" s="92" t="str">
        <f t="shared" si="22"/>
        <v>"),TimeMatch=TimeSpan.Parse("</v>
      </c>
      <c r="H69" s="93">
        <f>Match!D70</f>
        <v>0.125</v>
      </c>
      <c r="I69" s="94" t="str">
        <f t="shared" si="23"/>
        <v>"),MatchYear=</v>
      </c>
      <c r="J69">
        <f>Match!E70</f>
        <v>2016</v>
      </c>
      <c r="K69" s="94" t="str">
        <f t="shared" si="24"/>
        <v>, SeasonId= "</v>
      </c>
      <c r="L69" t="str">
        <f>Match!F70</f>
        <v>UEFAEURO2016</v>
      </c>
      <c r="M69" s="94" t="str">
        <f t="shared" si="25"/>
        <v>",Round= "</v>
      </c>
      <c r="N69" t="str">
        <f>Match!G70</f>
        <v>Final Round</v>
      </c>
      <c r="O69" t="str">
        <f t="shared" si="26"/>
        <v>",Stage= "</v>
      </c>
      <c r="P69" t="str">
        <f>Match!H70</f>
        <v>Group</v>
      </c>
      <c r="Q69" t="str">
        <f t="shared" si="27"/>
        <v>",SubStage= "</v>
      </c>
      <c r="R69" t="str">
        <f>Match!I70</f>
        <v>Group C</v>
      </c>
      <c r="S69" t="str">
        <f t="shared" si="28"/>
        <v>",HTeam= "</v>
      </c>
      <c r="T69" t="str">
        <f>Match!J70</f>
        <v>Germany</v>
      </c>
      <c r="U69" t="str">
        <f t="shared" si="29"/>
        <v>",HGoal=</v>
      </c>
      <c r="V69">
        <f>Match!K70</f>
        <v>0</v>
      </c>
      <c r="W69" t="str">
        <f t="shared" si="30"/>
        <v>,GGoal=</v>
      </c>
      <c r="X69">
        <f>Match!L70</f>
        <v>0</v>
      </c>
      <c r="Y69" t="str">
        <f t="shared" si="31"/>
        <v>,GTeam= "</v>
      </c>
      <c r="Z69" t="str">
        <f>Match!M70</f>
        <v>Poland</v>
      </c>
      <c r="AA69" t="str">
        <f t="shared" si="32"/>
        <v>",WinNote="</v>
      </c>
      <c r="AB69" t="str">
        <f>IF(Match!N70="","",Match!N70)</f>
        <v/>
      </c>
      <c r="AC69" t="str">
        <f t="shared" si="33"/>
        <v xml:space="preserve">",Stadium=" </v>
      </c>
      <c r="AD69" s="95" t="str">
        <f>Match!O70</f>
        <v>Stade de France, Saint-Denis</v>
      </c>
      <c r="AE69" t="str">
        <f t="shared" si="34"/>
        <v>",Referee= "</v>
      </c>
      <c r="AF69" s="95" t="str">
        <f>IF(Match!P70="","",Match!P70)</f>
        <v/>
      </c>
      <c r="AG69" t="str">
        <f t="shared" si="35"/>
        <v xml:space="preserve">",Visistors= </v>
      </c>
      <c r="AH69" s="95">
        <f>IF(Match!Q70="",0,Match!Q70)</f>
        <v>0</v>
      </c>
      <c r="AI69" t="str">
        <f t="shared" si="36"/>
        <v>,Status= "</v>
      </c>
      <c r="AJ69" s="95" t="str">
        <f>Match!R70</f>
        <v>Finished</v>
      </c>
      <c r="AK69" t="str">
        <f t="shared" si="37"/>
        <v>" },</v>
      </c>
    </row>
    <row r="70" spans="1:37" x14ac:dyDescent="0.25">
      <c r="A70" s="94" t="str">
        <f t="shared" si="19"/>
        <v>new Match { MatchId= "</v>
      </c>
      <c r="B70" t="str">
        <f>Match!A71</f>
        <v>UEFAEURO2016-19</v>
      </c>
      <c r="C70" s="94" t="str">
        <f t="shared" si="20"/>
        <v>",MatchNumber=</v>
      </c>
      <c r="D70">
        <f>Match!B71</f>
        <v>19</v>
      </c>
      <c r="E70" s="94" t="str">
        <f t="shared" si="21"/>
        <v>,DateMatch=DateTime.Parse("</v>
      </c>
      <c r="F70" s="85">
        <f>Match!C71</f>
        <v>42538</v>
      </c>
      <c r="G70" s="92" t="str">
        <f t="shared" si="22"/>
        <v>"),TimeMatch=TimeSpan.Parse("</v>
      </c>
      <c r="H70" s="93">
        <f>Match!D71</f>
        <v>0.875</v>
      </c>
      <c r="I70" s="94" t="str">
        <f t="shared" si="23"/>
        <v>"),MatchYear=</v>
      </c>
      <c r="J70">
        <f>Match!E71</f>
        <v>2016</v>
      </c>
      <c r="K70" s="94" t="str">
        <f t="shared" si="24"/>
        <v>, SeasonId= "</v>
      </c>
      <c r="L70" t="str">
        <f>Match!F71</f>
        <v>UEFAEURO2016</v>
      </c>
      <c r="M70" s="94" t="str">
        <f t="shared" si="25"/>
        <v>",Round= "</v>
      </c>
      <c r="N70" t="str">
        <f>Match!G71</f>
        <v>Final Round</v>
      </c>
      <c r="O70" t="str">
        <f t="shared" si="26"/>
        <v>",Stage= "</v>
      </c>
      <c r="P70" t="str">
        <f>Match!H71</f>
        <v>Group</v>
      </c>
      <c r="Q70" t="str">
        <f t="shared" si="27"/>
        <v>",SubStage= "</v>
      </c>
      <c r="R70" t="str">
        <f>Match!I71</f>
        <v>Group E</v>
      </c>
      <c r="S70" t="str">
        <f t="shared" si="28"/>
        <v>",HTeam= "</v>
      </c>
      <c r="T70" t="str">
        <f>Match!J71</f>
        <v>Italy</v>
      </c>
      <c r="U70" t="str">
        <f t="shared" si="29"/>
        <v>",HGoal=</v>
      </c>
      <c r="V70">
        <f>Match!K71</f>
        <v>1</v>
      </c>
      <c r="W70" t="str">
        <f t="shared" si="30"/>
        <v>,GGoal=</v>
      </c>
      <c r="X70">
        <f>Match!L71</f>
        <v>0</v>
      </c>
      <c r="Y70" t="str">
        <f t="shared" si="31"/>
        <v>,GTeam= "</v>
      </c>
      <c r="Z70" t="str">
        <f>Match!M71</f>
        <v>Sweden</v>
      </c>
      <c r="AA70" t="str">
        <f t="shared" si="32"/>
        <v>",WinNote="</v>
      </c>
      <c r="AB70" t="str">
        <f>IF(Match!N71="","",Match!N71)</f>
        <v/>
      </c>
      <c r="AC70" t="str">
        <f t="shared" si="33"/>
        <v xml:space="preserve">",Stadium=" </v>
      </c>
      <c r="AD70" s="95" t="str">
        <f>Match!O71</f>
        <v>Stadium Municipal, Toulouse</v>
      </c>
      <c r="AE70" t="str">
        <f t="shared" si="34"/>
        <v>",Referee= "</v>
      </c>
      <c r="AF70" s="95" t="str">
        <f>IF(Match!P71="","",Match!P71)</f>
        <v/>
      </c>
      <c r="AG70" t="str">
        <f t="shared" si="35"/>
        <v xml:space="preserve">",Visistors= </v>
      </c>
      <c r="AH70" s="95">
        <f>IF(Match!Q71="",0,Match!Q71)</f>
        <v>0</v>
      </c>
      <c r="AI70" t="str">
        <f t="shared" si="36"/>
        <v>,Status= "</v>
      </c>
      <c r="AJ70" s="95" t="str">
        <f>Match!R71</f>
        <v>Finished</v>
      </c>
      <c r="AK70" t="str">
        <f t="shared" si="37"/>
        <v>" },</v>
      </c>
    </row>
    <row r="71" spans="1:37" x14ac:dyDescent="0.25">
      <c r="A71" s="94" t="str">
        <f t="shared" si="19"/>
        <v>new Match { MatchId= "</v>
      </c>
      <c r="B71" t="str">
        <f>Match!A72</f>
        <v>UEFAEURO2016-20</v>
      </c>
      <c r="C71" s="94" t="str">
        <f t="shared" si="20"/>
        <v>",MatchNumber=</v>
      </c>
      <c r="D71">
        <f>Match!B72</f>
        <v>20</v>
      </c>
      <c r="E71" s="94" t="str">
        <f t="shared" si="21"/>
        <v>,DateMatch=DateTime.Parse("</v>
      </c>
      <c r="F71" s="85">
        <f>Match!C72</f>
        <v>42539</v>
      </c>
      <c r="G71" s="92" t="str">
        <f t="shared" si="22"/>
        <v>"),TimeMatch=TimeSpan.Parse("</v>
      </c>
      <c r="H71" s="93">
        <f>Match!D72</f>
        <v>0</v>
      </c>
      <c r="I71" s="94" t="str">
        <f t="shared" si="23"/>
        <v>"),MatchYear=</v>
      </c>
      <c r="J71">
        <f>Match!E72</f>
        <v>2016</v>
      </c>
      <c r="K71" s="94" t="str">
        <f t="shared" si="24"/>
        <v>, SeasonId= "</v>
      </c>
      <c r="L71" t="str">
        <f>Match!F72</f>
        <v>UEFAEURO2016</v>
      </c>
      <c r="M71" s="94" t="str">
        <f t="shared" si="25"/>
        <v>",Round= "</v>
      </c>
      <c r="N71" t="str">
        <f>Match!G72</f>
        <v>Final Round</v>
      </c>
      <c r="O71" t="str">
        <f t="shared" si="26"/>
        <v>",Stage= "</v>
      </c>
      <c r="P71" t="str">
        <f>Match!H72</f>
        <v>Group</v>
      </c>
      <c r="Q71" t="str">
        <f t="shared" si="27"/>
        <v>",SubStage= "</v>
      </c>
      <c r="R71" t="str">
        <f>Match!I72</f>
        <v>Group D</v>
      </c>
      <c r="S71" t="str">
        <f t="shared" si="28"/>
        <v>",HTeam= "</v>
      </c>
      <c r="T71" t="str">
        <f>Match!J72</f>
        <v>Czech Republic</v>
      </c>
      <c r="U71" t="str">
        <f t="shared" si="29"/>
        <v>",HGoal=</v>
      </c>
      <c r="V71">
        <f>Match!K72</f>
        <v>2</v>
      </c>
      <c r="W71" t="str">
        <f t="shared" si="30"/>
        <v>,GGoal=</v>
      </c>
      <c r="X71">
        <f>Match!L72</f>
        <v>2</v>
      </c>
      <c r="Y71" t="str">
        <f t="shared" si="31"/>
        <v>,GTeam= "</v>
      </c>
      <c r="Z71" t="str">
        <f>Match!M72</f>
        <v>Croatia</v>
      </c>
      <c r="AA71" t="str">
        <f t="shared" si="32"/>
        <v>",WinNote="</v>
      </c>
      <c r="AB71" t="str">
        <f>IF(Match!N72="","",Match!N72)</f>
        <v/>
      </c>
      <c r="AC71" t="str">
        <f t="shared" si="33"/>
        <v xml:space="preserve">",Stadium=" </v>
      </c>
      <c r="AD71" s="95" t="str">
        <f>Match!O72</f>
        <v>Stade Geoffroy-Guichard, Saint-Étienne</v>
      </c>
      <c r="AE71" t="str">
        <f t="shared" si="34"/>
        <v>",Referee= "</v>
      </c>
      <c r="AF71" s="95" t="str">
        <f>IF(Match!P72="","",Match!P72)</f>
        <v/>
      </c>
      <c r="AG71" t="str">
        <f t="shared" si="35"/>
        <v xml:space="preserve">",Visistors= </v>
      </c>
      <c r="AH71" s="95">
        <f>IF(Match!Q72="",0,Match!Q72)</f>
        <v>0</v>
      </c>
      <c r="AI71" t="str">
        <f t="shared" si="36"/>
        <v>,Status= "</v>
      </c>
      <c r="AJ71" s="95" t="str">
        <f>Match!R72</f>
        <v>Finished</v>
      </c>
      <c r="AK71" t="str">
        <f t="shared" si="37"/>
        <v>" },</v>
      </c>
    </row>
    <row r="72" spans="1:37" x14ac:dyDescent="0.25">
      <c r="A72" s="94" t="str">
        <f t="shared" si="19"/>
        <v>new Match { MatchId= "</v>
      </c>
      <c r="B72" t="str">
        <f>Match!A73</f>
        <v>UEFAEURO2016-21</v>
      </c>
      <c r="C72" s="94" t="str">
        <f t="shared" si="20"/>
        <v>",MatchNumber=</v>
      </c>
      <c r="D72">
        <f>Match!B73</f>
        <v>21</v>
      </c>
      <c r="E72" s="94" t="str">
        <f t="shared" si="21"/>
        <v>,DateMatch=DateTime.Parse("</v>
      </c>
      <c r="F72" s="85">
        <f>Match!C73</f>
        <v>42539</v>
      </c>
      <c r="G72" s="92" t="str">
        <f t="shared" si="22"/>
        <v>"),TimeMatch=TimeSpan.Parse("</v>
      </c>
      <c r="H72" s="93">
        <f>Match!D73</f>
        <v>0.125</v>
      </c>
      <c r="I72" s="94" t="str">
        <f t="shared" si="23"/>
        <v>"),MatchYear=</v>
      </c>
      <c r="J72">
        <f>Match!E73</f>
        <v>2016</v>
      </c>
      <c r="K72" s="94" t="str">
        <f t="shared" si="24"/>
        <v>, SeasonId= "</v>
      </c>
      <c r="L72" t="str">
        <f>Match!F73</f>
        <v>UEFAEURO2016</v>
      </c>
      <c r="M72" s="94" t="str">
        <f t="shared" si="25"/>
        <v>",Round= "</v>
      </c>
      <c r="N72" t="str">
        <f>Match!G73</f>
        <v>Final Round</v>
      </c>
      <c r="O72" t="str">
        <f t="shared" si="26"/>
        <v>",Stage= "</v>
      </c>
      <c r="P72" t="str">
        <f>Match!H73</f>
        <v>Group</v>
      </c>
      <c r="Q72" t="str">
        <f t="shared" si="27"/>
        <v>",SubStage= "</v>
      </c>
      <c r="R72" t="str">
        <f>Match!I73</f>
        <v>Group D</v>
      </c>
      <c r="S72" t="str">
        <f t="shared" si="28"/>
        <v>",HTeam= "</v>
      </c>
      <c r="T72" t="str">
        <f>Match!J73</f>
        <v>Spain</v>
      </c>
      <c r="U72" t="str">
        <f t="shared" si="29"/>
        <v>",HGoal=</v>
      </c>
      <c r="V72">
        <f>Match!K73</f>
        <v>3</v>
      </c>
      <c r="W72" t="str">
        <f t="shared" si="30"/>
        <v>,GGoal=</v>
      </c>
      <c r="X72">
        <f>Match!L73</f>
        <v>0</v>
      </c>
      <c r="Y72" t="str">
        <f t="shared" si="31"/>
        <v>,GTeam= "</v>
      </c>
      <c r="Z72" t="str">
        <f>Match!M73</f>
        <v>Turkey</v>
      </c>
      <c r="AA72" t="str">
        <f t="shared" si="32"/>
        <v>",WinNote="</v>
      </c>
      <c r="AB72" t="str">
        <f>IF(Match!N73="","",Match!N73)</f>
        <v/>
      </c>
      <c r="AC72" t="str">
        <f t="shared" si="33"/>
        <v xml:space="preserve">",Stadium=" </v>
      </c>
      <c r="AD72" s="95" t="str">
        <f>Match!O73</f>
        <v>Allianz Riviera, Nice</v>
      </c>
      <c r="AE72" t="str">
        <f t="shared" si="34"/>
        <v>",Referee= "</v>
      </c>
      <c r="AF72" s="95" t="str">
        <f>IF(Match!P73="","",Match!P73)</f>
        <v/>
      </c>
      <c r="AG72" t="str">
        <f t="shared" si="35"/>
        <v xml:space="preserve">",Visistors= </v>
      </c>
      <c r="AH72" s="95">
        <f>IF(Match!Q73="",0,Match!Q73)</f>
        <v>0</v>
      </c>
      <c r="AI72" t="str">
        <f t="shared" si="36"/>
        <v>,Status= "</v>
      </c>
      <c r="AJ72" s="95" t="str">
        <f>Match!R73</f>
        <v>Finished</v>
      </c>
      <c r="AK72" t="str">
        <f t="shared" si="37"/>
        <v>" },</v>
      </c>
    </row>
    <row r="73" spans="1:37" x14ac:dyDescent="0.25">
      <c r="A73" s="94" t="str">
        <f t="shared" si="19"/>
        <v>new Match { MatchId= "</v>
      </c>
      <c r="B73" t="str">
        <f>Match!A74</f>
        <v>UEFAEURO2016-22</v>
      </c>
      <c r="C73" s="94" t="str">
        <f t="shared" si="20"/>
        <v>",MatchNumber=</v>
      </c>
      <c r="D73">
        <f>Match!B74</f>
        <v>22</v>
      </c>
      <c r="E73" s="94" t="str">
        <f t="shared" si="21"/>
        <v>,DateMatch=DateTime.Parse("</v>
      </c>
      <c r="F73" s="85">
        <f>Match!C74</f>
        <v>42539</v>
      </c>
      <c r="G73" s="92" t="str">
        <f t="shared" si="22"/>
        <v>"),TimeMatch=TimeSpan.Parse("</v>
      </c>
      <c r="H73" s="93">
        <f>Match!D74</f>
        <v>0.875</v>
      </c>
      <c r="I73" s="94" t="str">
        <f t="shared" si="23"/>
        <v>"),MatchYear=</v>
      </c>
      <c r="J73">
        <f>Match!E74</f>
        <v>2016</v>
      </c>
      <c r="K73" s="94" t="str">
        <f t="shared" si="24"/>
        <v>, SeasonId= "</v>
      </c>
      <c r="L73" t="str">
        <f>Match!F74</f>
        <v>UEFAEURO2016</v>
      </c>
      <c r="M73" s="94" t="str">
        <f t="shared" si="25"/>
        <v>",Round= "</v>
      </c>
      <c r="N73" t="str">
        <f>Match!G74</f>
        <v>Final Round</v>
      </c>
      <c r="O73" t="str">
        <f t="shared" si="26"/>
        <v>",Stage= "</v>
      </c>
      <c r="P73" t="str">
        <f>Match!H74</f>
        <v>Group</v>
      </c>
      <c r="Q73" t="str">
        <f t="shared" si="27"/>
        <v>",SubStage= "</v>
      </c>
      <c r="R73" t="str">
        <f>Match!I74</f>
        <v>Group E</v>
      </c>
      <c r="S73" t="str">
        <f t="shared" si="28"/>
        <v>",HTeam= "</v>
      </c>
      <c r="T73" t="str">
        <f>Match!J74</f>
        <v>Belgium</v>
      </c>
      <c r="U73" t="str">
        <f t="shared" si="29"/>
        <v>",HGoal=</v>
      </c>
      <c r="V73">
        <f>Match!K74</f>
        <v>3</v>
      </c>
      <c r="W73" t="str">
        <f t="shared" si="30"/>
        <v>,GGoal=</v>
      </c>
      <c r="X73">
        <f>Match!L74</f>
        <v>0</v>
      </c>
      <c r="Y73" t="str">
        <f t="shared" si="31"/>
        <v>,GTeam= "</v>
      </c>
      <c r="Z73" t="str">
        <f>Match!M74</f>
        <v>Republic of Ireland</v>
      </c>
      <c r="AA73" t="str">
        <f t="shared" si="32"/>
        <v>",WinNote="</v>
      </c>
      <c r="AB73" t="str">
        <f>IF(Match!N74="","",Match!N74)</f>
        <v/>
      </c>
      <c r="AC73" t="str">
        <f t="shared" si="33"/>
        <v xml:space="preserve">",Stadium=" </v>
      </c>
      <c r="AD73" s="95" t="str">
        <f>Match!O74</f>
        <v>Nouveau Stade de Bordeaux, Bordeaux</v>
      </c>
      <c r="AE73" t="str">
        <f t="shared" si="34"/>
        <v>",Referee= "</v>
      </c>
      <c r="AF73" s="95" t="str">
        <f>IF(Match!P74="","",Match!P74)</f>
        <v/>
      </c>
      <c r="AG73" t="str">
        <f t="shared" si="35"/>
        <v xml:space="preserve">",Visistors= </v>
      </c>
      <c r="AH73" s="95">
        <f>IF(Match!Q74="",0,Match!Q74)</f>
        <v>0</v>
      </c>
      <c r="AI73" t="str">
        <f t="shared" si="36"/>
        <v>,Status= "</v>
      </c>
      <c r="AJ73" s="95" t="str">
        <f>Match!R74</f>
        <v>Finished</v>
      </c>
      <c r="AK73" t="str">
        <f t="shared" si="37"/>
        <v>" },</v>
      </c>
    </row>
    <row r="74" spans="1:37" x14ac:dyDescent="0.25">
      <c r="A74" s="94" t="str">
        <f t="shared" si="19"/>
        <v>new Match { MatchId= "</v>
      </c>
      <c r="B74" t="str">
        <f>Match!A75</f>
        <v>UEFAEURO2016-23</v>
      </c>
      <c r="C74" s="94" t="str">
        <f t="shared" si="20"/>
        <v>",MatchNumber=</v>
      </c>
      <c r="D74">
        <f>Match!B75</f>
        <v>23</v>
      </c>
      <c r="E74" s="94" t="str">
        <f t="shared" si="21"/>
        <v>,DateMatch=DateTime.Parse("</v>
      </c>
      <c r="F74" s="85">
        <f>Match!C75</f>
        <v>42540</v>
      </c>
      <c r="G74" s="92" t="str">
        <f t="shared" si="22"/>
        <v>"),TimeMatch=TimeSpan.Parse("</v>
      </c>
      <c r="H74" s="93">
        <f>Match!D75</f>
        <v>0</v>
      </c>
      <c r="I74" s="94" t="str">
        <f t="shared" si="23"/>
        <v>"),MatchYear=</v>
      </c>
      <c r="J74">
        <f>Match!E75</f>
        <v>2016</v>
      </c>
      <c r="K74" s="94" t="str">
        <f t="shared" si="24"/>
        <v>, SeasonId= "</v>
      </c>
      <c r="L74" t="str">
        <f>Match!F75</f>
        <v>UEFAEURO2016</v>
      </c>
      <c r="M74" s="94" t="str">
        <f t="shared" si="25"/>
        <v>",Round= "</v>
      </c>
      <c r="N74" t="str">
        <f>Match!G75</f>
        <v>Final Round</v>
      </c>
      <c r="O74" t="str">
        <f t="shared" si="26"/>
        <v>",Stage= "</v>
      </c>
      <c r="P74" t="str">
        <f>Match!H75</f>
        <v>Group</v>
      </c>
      <c r="Q74" t="str">
        <f t="shared" si="27"/>
        <v>",SubStage= "</v>
      </c>
      <c r="R74" t="str">
        <f>Match!I75</f>
        <v>Group F</v>
      </c>
      <c r="S74" t="str">
        <f t="shared" si="28"/>
        <v>",HTeam= "</v>
      </c>
      <c r="T74" t="str">
        <f>Match!J75</f>
        <v>Iceland</v>
      </c>
      <c r="U74" t="str">
        <f t="shared" si="29"/>
        <v>",HGoal=</v>
      </c>
      <c r="V74">
        <f>Match!K75</f>
        <v>1</v>
      </c>
      <c r="W74" t="str">
        <f t="shared" si="30"/>
        <v>,GGoal=</v>
      </c>
      <c r="X74">
        <f>Match!L75</f>
        <v>1</v>
      </c>
      <c r="Y74" t="str">
        <f t="shared" si="31"/>
        <v>,GTeam= "</v>
      </c>
      <c r="Z74" t="str">
        <f>Match!M75</f>
        <v>Hungary</v>
      </c>
      <c r="AA74" t="str">
        <f t="shared" si="32"/>
        <v>",WinNote="</v>
      </c>
      <c r="AB74" t="str">
        <f>IF(Match!N75="","",Match!N75)</f>
        <v/>
      </c>
      <c r="AC74" t="str">
        <f t="shared" si="33"/>
        <v xml:space="preserve">",Stadium=" </v>
      </c>
      <c r="AD74" s="95" t="str">
        <f>Match!O75</f>
        <v>Stade Vélodrome, Marseille</v>
      </c>
      <c r="AE74" t="str">
        <f t="shared" si="34"/>
        <v>",Referee= "</v>
      </c>
      <c r="AF74" s="95" t="str">
        <f>IF(Match!P75="","",Match!P75)</f>
        <v/>
      </c>
      <c r="AG74" t="str">
        <f t="shared" si="35"/>
        <v xml:space="preserve">",Visistors= </v>
      </c>
      <c r="AH74" s="95">
        <f>IF(Match!Q75="",0,Match!Q75)</f>
        <v>0</v>
      </c>
      <c r="AI74" t="str">
        <f t="shared" si="36"/>
        <v>,Status= "</v>
      </c>
      <c r="AJ74" s="95" t="str">
        <f>Match!R75</f>
        <v>Finished</v>
      </c>
      <c r="AK74" t="str">
        <f t="shared" si="37"/>
        <v>" },</v>
      </c>
    </row>
    <row r="75" spans="1:37" x14ac:dyDescent="0.25">
      <c r="A75" s="94" t="str">
        <f t="shared" si="19"/>
        <v>new Match { MatchId= "</v>
      </c>
      <c r="B75" t="str">
        <f>Match!A76</f>
        <v>UEFAEURO2016-24</v>
      </c>
      <c r="C75" s="94" t="str">
        <f t="shared" si="20"/>
        <v>",MatchNumber=</v>
      </c>
      <c r="D75">
        <f>Match!B76</f>
        <v>24</v>
      </c>
      <c r="E75" s="94" t="str">
        <f t="shared" si="21"/>
        <v>,DateMatch=DateTime.Parse("</v>
      </c>
      <c r="F75" s="85">
        <f>Match!C76</f>
        <v>42540</v>
      </c>
      <c r="G75" s="92" t="str">
        <f t="shared" si="22"/>
        <v>"),TimeMatch=TimeSpan.Parse("</v>
      </c>
      <c r="H75" s="93">
        <f>Match!D76</f>
        <v>0.125</v>
      </c>
      <c r="I75" s="94" t="str">
        <f t="shared" si="23"/>
        <v>"),MatchYear=</v>
      </c>
      <c r="J75">
        <f>Match!E76</f>
        <v>2016</v>
      </c>
      <c r="K75" s="94" t="str">
        <f t="shared" si="24"/>
        <v>, SeasonId= "</v>
      </c>
      <c r="L75" t="str">
        <f>Match!F76</f>
        <v>UEFAEURO2016</v>
      </c>
      <c r="M75" s="94" t="str">
        <f t="shared" si="25"/>
        <v>",Round= "</v>
      </c>
      <c r="N75" t="str">
        <f>Match!G76</f>
        <v>Final Round</v>
      </c>
      <c r="O75" t="str">
        <f t="shared" si="26"/>
        <v>",Stage= "</v>
      </c>
      <c r="P75" t="str">
        <f>Match!H76</f>
        <v>Group</v>
      </c>
      <c r="Q75" t="str">
        <f t="shared" si="27"/>
        <v>",SubStage= "</v>
      </c>
      <c r="R75" t="str">
        <f>Match!I76</f>
        <v>Group F</v>
      </c>
      <c r="S75" t="str">
        <f t="shared" si="28"/>
        <v>",HTeam= "</v>
      </c>
      <c r="T75" t="str">
        <f>Match!J76</f>
        <v>Portugal</v>
      </c>
      <c r="U75" t="str">
        <f t="shared" si="29"/>
        <v>",HGoal=</v>
      </c>
      <c r="V75">
        <f>Match!K76</f>
        <v>0</v>
      </c>
      <c r="W75" t="str">
        <f t="shared" si="30"/>
        <v>,GGoal=</v>
      </c>
      <c r="X75">
        <f>Match!L76</f>
        <v>0</v>
      </c>
      <c r="Y75" t="str">
        <f t="shared" si="31"/>
        <v>,GTeam= "</v>
      </c>
      <c r="Z75" t="str">
        <f>Match!M76</f>
        <v>Austria</v>
      </c>
      <c r="AA75" t="str">
        <f t="shared" si="32"/>
        <v>",WinNote="</v>
      </c>
      <c r="AB75" t="str">
        <f>IF(Match!N76="","",Match!N76)</f>
        <v/>
      </c>
      <c r="AC75" t="str">
        <f t="shared" si="33"/>
        <v xml:space="preserve">",Stadium=" </v>
      </c>
      <c r="AD75" s="95" t="str">
        <f>Match!O76</f>
        <v>Parc des Princes, Paris</v>
      </c>
      <c r="AE75" t="str">
        <f t="shared" si="34"/>
        <v>",Referee= "</v>
      </c>
      <c r="AF75" s="95" t="str">
        <f>IF(Match!P76="","",Match!P76)</f>
        <v/>
      </c>
      <c r="AG75" t="str">
        <f t="shared" si="35"/>
        <v xml:space="preserve">",Visistors= </v>
      </c>
      <c r="AH75" s="95">
        <f>IF(Match!Q76="",0,Match!Q76)</f>
        <v>0</v>
      </c>
      <c r="AI75" t="str">
        <f t="shared" si="36"/>
        <v>,Status= "</v>
      </c>
      <c r="AJ75" s="95" t="str">
        <f>Match!R76</f>
        <v>Finished</v>
      </c>
      <c r="AK75" t="str">
        <f t="shared" si="37"/>
        <v>" },</v>
      </c>
    </row>
    <row r="76" spans="1:37" x14ac:dyDescent="0.25">
      <c r="A76" s="94" t="str">
        <f t="shared" si="19"/>
        <v>new Match { MatchId= "</v>
      </c>
      <c r="B76" t="str">
        <f>Match!A77</f>
        <v>UEFAEURO2016-25</v>
      </c>
      <c r="C76" s="94" t="str">
        <f t="shared" si="20"/>
        <v>",MatchNumber=</v>
      </c>
      <c r="D76">
        <f>Match!B77</f>
        <v>25</v>
      </c>
      <c r="E76" s="94" t="str">
        <f t="shared" si="21"/>
        <v>,DateMatch=DateTime.Parse("</v>
      </c>
      <c r="F76" s="85">
        <f>Match!C77</f>
        <v>42541</v>
      </c>
      <c r="G76" s="92" t="str">
        <f t="shared" si="22"/>
        <v>"),TimeMatch=TimeSpan.Parse("</v>
      </c>
      <c r="H76" s="93">
        <f>Match!D77</f>
        <v>0.125</v>
      </c>
      <c r="I76" s="94" t="str">
        <f t="shared" si="23"/>
        <v>"),MatchYear=</v>
      </c>
      <c r="J76">
        <f>Match!E77</f>
        <v>2016</v>
      </c>
      <c r="K76" s="94" t="str">
        <f t="shared" si="24"/>
        <v>, SeasonId= "</v>
      </c>
      <c r="L76" t="str">
        <f>Match!F77</f>
        <v>UEFAEURO2016</v>
      </c>
      <c r="M76" s="94" t="str">
        <f t="shared" si="25"/>
        <v>",Round= "</v>
      </c>
      <c r="N76" t="str">
        <f>Match!G77</f>
        <v>Final Round</v>
      </c>
      <c r="O76" t="str">
        <f t="shared" si="26"/>
        <v>",Stage= "</v>
      </c>
      <c r="P76" t="str">
        <f>Match!H77</f>
        <v>Group</v>
      </c>
      <c r="Q76" t="str">
        <f t="shared" si="27"/>
        <v>",SubStage= "</v>
      </c>
      <c r="R76" t="str">
        <f>Match!I77</f>
        <v>Group A</v>
      </c>
      <c r="S76" t="str">
        <f t="shared" si="28"/>
        <v>",HTeam= "</v>
      </c>
      <c r="T76" t="str">
        <f>Match!J77</f>
        <v>Romania</v>
      </c>
      <c r="U76" t="str">
        <f t="shared" si="29"/>
        <v>",HGoal=</v>
      </c>
      <c r="V76">
        <f>Match!K77</f>
        <v>0</v>
      </c>
      <c r="W76" t="str">
        <f t="shared" si="30"/>
        <v>,GGoal=</v>
      </c>
      <c r="X76">
        <f>Match!L77</f>
        <v>1</v>
      </c>
      <c r="Y76" t="str">
        <f t="shared" si="31"/>
        <v>,GTeam= "</v>
      </c>
      <c r="Z76" t="str">
        <f>Match!M77</f>
        <v>Albania</v>
      </c>
      <c r="AA76" t="str">
        <f t="shared" si="32"/>
        <v>",WinNote="</v>
      </c>
      <c r="AB76" t="str">
        <f>IF(Match!N77="","",Match!N77)</f>
        <v/>
      </c>
      <c r="AC76" t="str">
        <f t="shared" si="33"/>
        <v xml:space="preserve">",Stadium=" </v>
      </c>
      <c r="AD76" s="95" t="str">
        <f>Match!O77</f>
        <v>Parc Olympique Lyonnais, Lyon</v>
      </c>
      <c r="AE76" t="str">
        <f t="shared" si="34"/>
        <v>",Referee= "</v>
      </c>
      <c r="AF76" s="95" t="str">
        <f>IF(Match!P77="","",Match!P77)</f>
        <v/>
      </c>
      <c r="AG76" t="str">
        <f t="shared" si="35"/>
        <v xml:space="preserve">",Visistors= </v>
      </c>
      <c r="AH76" s="95">
        <f>IF(Match!Q77="",0,Match!Q77)</f>
        <v>0</v>
      </c>
      <c r="AI76" t="str">
        <f t="shared" si="36"/>
        <v>,Status= "</v>
      </c>
      <c r="AJ76" s="95" t="str">
        <f>Match!R77</f>
        <v>Finished</v>
      </c>
      <c r="AK76" t="str">
        <f t="shared" si="37"/>
        <v>" },</v>
      </c>
    </row>
    <row r="77" spans="1:37" x14ac:dyDescent="0.25">
      <c r="A77" s="94" t="str">
        <f t="shared" si="19"/>
        <v>new Match { MatchId= "</v>
      </c>
      <c r="B77" t="str">
        <f>Match!A78</f>
        <v>UEFAEURO2016-26</v>
      </c>
      <c r="C77" s="94" t="str">
        <f t="shared" si="20"/>
        <v>",MatchNumber=</v>
      </c>
      <c r="D77">
        <f>Match!B78</f>
        <v>26</v>
      </c>
      <c r="E77" s="94" t="str">
        <f t="shared" si="21"/>
        <v>,DateMatch=DateTime.Parse("</v>
      </c>
      <c r="F77" s="85">
        <f>Match!C78</f>
        <v>42541</v>
      </c>
      <c r="G77" s="92" t="str">
        <f t="shared" si="22"/>
        <v>"),TimeMatch=TimeSpan.Parse("</v>
      </c>
      <c r="H77" s="93">
        <f>Match!D78</f>
        <v>0.125</v>
      </c>
      <c r="I77" s="94" t="str">
        <f t="shared" si="23"/>
        <v>"),MatchYear=</v>
      </c>
      <c r="J77">
        <f>Match!E78</f>
        <v>2016</v>
      </c>
      <c r="K77" s="94" t="str">
        <f t="shared" si="24"/>
        <v>, SeasonId= "</v>
      </c>
      <c r="L77" t="str">
        <f>Match!F78</f>
        <v>UEFAEURO2016</v>
      </c>
      <c r="M77" s="94" t="str">
        <f t="shared" si="25"/>
        <v>",Round= "</v>
      </c>
      <c r="N77" t="str">
        <f>Match!G78</f>
        <v>Final Round</v>
      </c>
      <c r="O77" t="str">
        <f t="shared" si="26"/>
        <v>",Stage= "</v>
      </c>
      <c r="P77" t="str">
        <f>Match!H78</f>
        <v>Group</v>
      </c>
      <c r="Q77" t="str">
        <f t="shared" si="27"/>
        <v>",SubStage= "</v>
      </c>
      <c r="R77" t="str">
        <f>Match!I78</f>
        <v>Group A</v>
      </c>
      <c r="S77" t="str">
        <f t="shared" si="28"/>
        <v>",HTeam= "</v>
      </c>
      <c r="T77" t="str">
        <f>Match!J78</f>
        <v>Switzerland</v>
      </c>
      <c r="U77" t="str">
        <f t="shared" si="29"/>
        <v>",HGoal=</v>
      </c>
      <c r="V77">
        <f>Match!K78</f>
        <v>0</v>
      </c>
      <c r="W77" t="str">
        <f t="shared" si="30"/>
        <v>,GGoal=</v>
      </c>
      <c r="X77">
        <f>Match!L78</f>
        <v>0</v>
      </c>
      <c r="Y77" t="str">
        <f t="shared" si="31"/>
        <v>,GTeam= "</v>
      </c>
      <c r="Z77" t="str">
        <f>Match!M78</f>
        <v>France</v>
      </c>
      <c r="AA77" t="str">
        <f t="shared" si="32"/>
        <v>",WinNote="</v>
      </c>
      <c r="AB77" t="str">
        <f>IF(Match!N78="","",Match!N78)</f>
        <v/>
      </c>
      <c r="AC77" t="str">
        <f t="shared" si="33"/>
        <v xml:space="preserve">",Stadium=" </v>
      </c>
      <c r="AD77" s="95" t="str">
        <f>Match!O78</f>
        <v>Stade Pierre-Mauroy, Lille</v>
      </c>
      <c r="AE77" t="str">
        <f t="shared" si="34"/>
        <v>",Referee= "</v>
      </c>
      <c r="AF77" s="95" t="str">
        <f>IF(Match!P78="","",Match!P78)</f>
        <v/>
      </c>
      <c r="AG77" t="str">
        <f t="shared" si="35"/>
        <v xml:space="preserve">",Visistors= </v>
      </c>
      <c r="AH77" s="95">
        <f>IF(Match!Q78="",0,Match!Q78)</f>
        <v>0</v>
      </c>
      <c r="AI77" t="str">
        <f t="shared" si="36"/>
        <v>,Status= "</v>
      </c>
      <c r="AJ77" s="95" t="str">
        <f>Match!R78</f>
        <v>Finished</v>
      </c>
      <c r="AK77" t="str">
        <f t="shared" si="37"/>
        <v>" },</v>
      </c>
    </row>
    <row r="78" spans="1:37" x14ac:dyDescent="0.25">
      <c r="A78" s="94" t="str">
        <f t="shared" si="19"/>
        <v>new Match { MatchId= "</v>
      </c>
      <c r="B78" t="str">
        <f>Match!A79</f>
        <v>UEFAEURO2016-27</v>
      </c>
      <c r="C78" s="94" t="str">
        <f t="shared" si="20"/>
        <v>",MatchNumber=</v>
      </c>
      <c r="D78">
        <f>Match!B79</f>
        <v>27</v>
      </c>
      <c r="E78" s="94" t="str">
        <f t="shared" si="21"/>
        <v>,DateMatch=DateTime.Parse("</v>
      </c>
      <c r="F78" s="85">
        <f>Match!C79</f>
        <v>42542</v>
      </c>
      <c r="G78" s="92" t="str">
        <f t="shared" si="22"/>
        <v>"),TimeMatch=TimeSpan.Parse("</v>
      </c>
      <c r="H78" s="93">
        <f>Match!D79</f>
        <v>0.125</v>
      </c>
      <c r="I78" s="94" t="str">
        <f t="shared" si="23"/>
        <v>"),MatchYear=</v>
      </c>
      <c r="J78">
        <f>Match!E79</f>
        <v>2016</v>
      </c>
      <c r="K78" s="94" t="str">
        <f t="shared" si="24"/>
        <v>, SeasonId= "</v>
      </c>
      <c r="L78" t="str">
        <f>Match!F79</f>
        <v>UEFAEURO2016</v>
      </c>
      <c r="M78" s="94" t="str">
        <f t="shared" si="25"/>
        <v>",Round= "</v>
      </c>
      <c r="N78" t="str">
        <f>Match!G79</f>
        <v>Final Round</v>
      </c>
      <c r="O78" t="str">
        <f t="shared" si="26"/>
        <v>",Stage= "</v>
      </c>
      <c r="P78" t="str">
        <f>Match!H79</f>
        <v>Group</v>
      </c>
      <c r="Q78" t="str">
        <f t="shared" si="27"/>
        <v>",SubStage= "</v>
      </c>
      <c r="R78" t="str">
        <f>Match!I79</f>
        <v>Group B</v>
      </c>
      <c r="S78" t="str">
        <f t="shared" si="28"/>
        <v>",HTeam= "</v>
      </c>
      <c r="T78" t="str">
        <f>Match!J79</f>
        <v>Russia</v>
      </c>
      <c r="U78" t="str">
        <f t="shared" si="29"/>
        <v>",HGoal=</v>
      </c>
      <c r="V78">
        <f>Match!K79</f>
        <v>0</v>
      </c>
      <c r="W78" t="str">
        <f t="shared" si="30"/>
        <v>,GGoal=</v>
      </c>
      <c r="X78">
        <f>Match!L79</f>
        <v>3</v>
      </c>
      <c r="Y78" t="str">
        <f t="shared" si="31"/>
        <v>,GTeam= "</v>
      </c>
      <c r="Z78" t="str">
        <f>Match!M79</f>
        <v>Wales</v>
      </c>
      <c r="AA78" t="str">
        <f t="shared" si="32"/>
        <v>",WinNote="</v>
      </c>
      <c r="AB78" t="str">
        <f>IF(Match!N79="","",Match!N79)</f>
        <v/>
      </c>
      <c r="AC78" t="str">
        <f t="shared" si="33"/>
        <v xml:space="preserve">",Stadium=" </v>
      </c>
      <c r="AD78" s="95" t="str">
        <f>Match!O79</f>
        <v>Stadium Municipal, Toulouse</v>
      </c>
      <c r="AE78" t="str">
        <f t="shared" si="34"/>
        <v>",Referee= "</v>
      </c>
      <c r="AF78" s="95" t="str">
        <f>IF(Match!P79="","",Match!P79)</f>
        <v/>
      </c>
      <c r="AG78" t="str">
        <f t="shared" si="35"/>
        <v xml:space="preserve">",Visistors= </v>
      </c>
      <c r="AH78" s="95">
        <f>IF(Match!Q79="",0,Match!Q79)</f>
        <v>0</v>
      </c>
      <c r="AI78" t="str">
        <f t="shared" si="36"/>
        <v>,Status= "</v>
      </c>
      <c r="AJ78" s="95" t="str">
        <f>Match!R79</f>
        <v>Finished</v>
      </c>
      <c r="AK78" t="str">
        <f t="shared" si="37"/>
        <v>" },</v>
      </c>
    </row>
    <row r="79" spans="1:37" x14ac:dyDescent="0.25">
      <c r="A79" s="94" t="str">
        <f t="shared" si="19"/>
        <v>new Match { MatchId= "</v>
      </c>
      <c r="B79" t="str">
        <f>Match!A80</f>
        <v>UEFAEURO2016-28</v>
      </c>
      <c r="C79" s="94" t="str">
        <f t="shared" si="20"/>
        <v>",MatchNumber=</v>
      </c>
      <c r="D79">
        <f>Match!B80</f>
        <v>28</v>
      </c>
      <c r="E79" s="94" t="str">
        <f t="shared" si="21"/>
        <v>,DateMatch=DateTime.Parse("</v>
      </c>
      <c r="F79" s="85">
        <f>Match!C80</f>
        <v>42542</v>
      </c>
      <c r="G79" s="92" t="str">
        <f t="shared" si="22"/>
        <v>"),TimeMatch=TimeSpan.Parse("</v>
      </c>
      <c r="H79" s="93">
        <f>Match!D80</f>
        <v>0.125</v>
      </c>
      <c r="I79" s="94" t="str">
        <f t="shared" si="23"/>
        <v>"),MatchYear=</v>
      </c>
      <c r="J79">
        <f>Match!E80</f>
        <v>2016</v>
      </c>
      <c r="K79" s="94" t="str">
        <f t="shared" si="24"/>
        <v>, SeasonId= "</v>
      </c>
      <c r="L79" t="str">
        <f>Match!F80</f>
        <v>UEFAEURO2016</v>
      </c>
      <c r="M79" s="94" t="str">
        <f t="shared" si="25"/>
        <v>",Round= "</v>
      </c>
      <c r="N79" t="str">
        <f>Match!G80</f>
        <v>Final Round</v>
      </c>
      <c r="O79" t="str">
        <f t="shared" si="26"/>
        <v>",Stage= "</v>
      </c>
      <c r="P79" t="str">
        <f>Match!H80</f>
        <v>Group</v>
      </c>
      <c r="Q79" t="str">
        <f t="shared" si="27"/>
        <v>",SubStage= "</v>
      </c>
      <c r="R79" t="str">
        <f>Match!I80</f>
        <v>Group B</v>
      </c>
      <c r="S79" t="str">
        <f t="shared" si="28"/>
        <v>",HTeam= "</v>
      </c>
      <c r="T79" t="str">
        <f>Match!J80</f>
        <v>Slovakia</v>
      </c>
      <c r="U79" t="str">
        <f t="shared" si="29"/>
        <v>",HGoal=</v>
      </c>
      <c r="V79">
        <f>Match!K80</f>
        <v>0</v>
      </c>
      <c r="W79" t="str">
        <f t="shared" si="30"/>
        <v>,GGoal=</v>
      </c>
      <c r="X79">
        <f>Match!L80</f>
        <v>0</v>
      </c>
      <c r="Y79" t="str">
        <f t="shared" si="31"/>
        <v>,GTeam= "</v>
      </c>
      <c r="Z79" t="str">
        <f>Match!M80</f>
        <v>England</v>
      </c>
      <c r="AA79" t="str">
        <f t="shared" si="32"/>
        <v>",WinNote="</v>
      </c>
      <c r="AB79" t="str">
        <f>IF(Match!N80="","",Match!N80)</f>
        <v/>
      </c>
      <c r="AC79" t="str">
        <f t="shared" si="33"/>
        <v xml:space="preserve">",Stadium=" </v>
      </c>
      <c r="AD79" s="95" t="str">
        <f>Match!O80</f>
        <v>Stade Geoffroy-Guichard, Saint-Étienne</v>
      </c>
      <c r="AE79" t="str">
        <f t="shared" si="34"/>
        <v>",Referee= "</v>
      </c>
      <c r="AF79" s="95" t="str">
        <f>IF(Match!P80="","",Match!P80)</f>
        <v/>
      </c>
      <c r="AG79" t="str">
        <f t="shared" si="35"/>
        <v xml:space="preserve">",Visistors= </v>
      </c>
      <c r="AH79" s="95">
        <f>IF(Match!Q80="",0,Match!Q80)</f>
        <v>0</v>
      </c>
      <c r="AI79" t="str">
        <f t="shared" si="36"/>
        <v>,Status= "</v>
      </c>
      <c r="AJ79" s="95" t="str">
        <f>Match!R80</f>
        <v>Finished</v>
      </c>
      <c r="AK79" t="str">
        <f t="shared" si="37"/>
        <v>" },</v>
      </c>
    </row>
    <row r="80" spans="1:37" x14ac:dyDescent="0.25">
      <c r="A80" s="94" t="str">
        <f t="shared" si="19"/>
        <v>new Match { MatchId= "</v>
      </c>
      <c r="B80" t="str">
        <f>Match!A81</f>
        <v>UEFAEURO2016-29</v>
      </c>
      <c r="C80" s="94" t="str">
        <f t="shared" si="20"/>
        <v>",MatchNumber=</v>
      </c>
      <c r="D80">
        <f>Match!B81</f>
        <v>29</v>
      </c>
      <c r="E80" s="94" t="str">
        <f t="shared" si="21"/>
        <v>,DateMatch=DateTime.Parse("</v>
      </c>
      <c r="F80" s="85">
        <f>Match!C81</f>
        <v>42543</v>
      </c>
      <c r="G80" s="92" t="str">
        <f t="shared" si="22"/>
        <v>"),TimeMatch=TimeSpan.Parse("</v>
      </c>
      <c r="H80" s="93">
        <f>Match!D81</f>
        <v>0</v>
      </c>
      <c r="I80" s="94" t="str">
        <f t="shared" si="23"/>
        <v>"),MatchYear=</v>
      </c>
      <c r="J80">
        <f>Match!E81</f>
        <v>2016</v>
      </c>
      <c r="K80" s="94" t="str">
        <f t="shared" si="24"/>
        <v>, SeasonId= "</v>
      </c>
      <c r="L80" t="str">
        <f>Match!F81</f>
        <v>UEFAEURO2016</v>
      </c>
      <c r="M80" s="94" t="str">
        <f t="shared" si="25"/>
        <v>",Round= "</v>
      </c>
      <c r="N80" t="str">
        <f>Match!G81</f>
        <v>Final Round</v>
      </c>
      <c r="O80" t="str">
        <f t="shared" si="26"/>
        <v>",Stage= "</v>
      </c>
      <c r="P80" t="str">
        <f>Match!H81</f>
        <v>Group</v>
      </c>
      <c r="Q80" t="str">
        <f t="shared" si="27"/>
        <v>",SubStage= "</v>
      </c>
      <c r="R80" t="str">
        <f>Match!I81</f>
        <v>Group C</v>
      </c>
      <c r="S80" t="str">
        <f t="shared" si="28"/>
        <v>",HTeam= "</v>
      </c>
      <c r="T80" t="str">
        <f>Match!J81</f>
        <v>Ukraine</v>
      </c>
      <c r="U80" t="str">
        <f t="shared" si="29"/>
        <v>",HGoal=</v>
      </c>
      <c r="V80">
        <f>Match!K81</f>
        <v>0</v>
      </c>
      <c r="W80" t="str">
        <f t="shared" si="30"/>
        <v>,GGoal=</v>
      </c>
      <c r="X80">
        <f>Match!L81</f>
        <v>1</v>
      </c>
      <c r="Y80" t="str">
        <f t="shared" si="31"/>
        <v>,GTeam= "</v>
      </c>
      <c r="Z80" t="str">
        <f>Match!M81</f>
        <v>Poland</v>
      </c>
      <c r="AA80" t="str">
        <f t="shared" si="32"/>
        <v>",WinNote="</v>
      </c>
      <c r="AB80" t="str">
        <f>IF(Match!N81="","",Match!N81)</f>
        <v/>
      </c>
      <c r="AC80" t="str">
        <f t="shared" si="33"/>
        <v xml:space="preserve">",Stadium=" </v>
      </c>
      <c r="AD80" s="95" t="str">
        <f>Match!O81</f>
        <v>Stade Vélodrome, Marseille</v>
      </c>
      <c r="AE80" t="str">
        <f t="shared" si="34"/>
        <v>",Referee= "</v>
      </c>
      <c r="AF80" s="95" t="str">
        <f>IF(Match!P81="","",Match!P81)</f>
        <v/>
      </c>
      <c r="AG80" t="str">
        <f t="shared" si="35"/>
        <v xml:space="preserve">",Visistors= </v>
      </c>
      <c r="AH80" s="95">
        <f>IF(Match!Q81="",0,Match!Q81)</f>
        <v>0</v>
      </c>
      <c r="AI80" t="str">
        <f t="shared" si="36"/>
        <v>,Status= "</v>
      </c>
      <c r="AJ80" s="95" t="str">
        <f>Match!R81</f>
        <v>Finished</v>
      </c>
      <c r="AK80" t="str">
        <f t="shared" si="37"/>
        <v>" },</v>
      </c>
    </row>
    <row r="81" spans="1:37" x14ac:dyDescent="0.25">
      <c r="A81" s="94" t="str">
        <f t="shared" si="19"/>
        <v>new Match { MatchId= "</v>
      </c>
      <c r="B81" t="str">
        <f>Match!A82</f>
        <v>UEFAEURO2016-30</v>
      </c>
      <c r="C81" s="94" t="str">
        <f t="shared" si="20"/>
        <v>",MatchNumber=</v>
      </c>
      <c r="D81">
        <f>Match!B82</f>
        <v>30</v>
      </c>
      <c r="E81" s="94" t="str">
        <f t="shared" si="21"/>
        <v>,DateMatch=DateTime.Parse("</v>
      </c>
      <c r="F81" s="85">
        <f>Match!C82</f>
        <v>42543</v>
      </c>
      <c r="G81" s="92" t="str">
        <f t="shared" si="22"/>
        <v>"),TimeMatch=TimeSpan.Parse("</v>
      </c>
      <c r="H81" s="93">
        <f>Match!D82</f>
        <v>0</v>
      </c>
      <c r="I81" s="94" t="str">
        <f t="shared" si="23"/>
        <v>"),MatchYear=</v>
      </c>
      <c r="J81">
        <f>Match!E82</f>
        <v>2016</v>
      </c>
      <c r="K81" s="94" t="str">
        <f t="shared" si="24"/>
        <v>, SeasonId= "</v>
      </c>
      <c r="L81" t="str">
        <f>Match!F82</f>
        <v>UEFAEURO2016</v>
      </c>
      <c r="M81" s="94" t="str">
        <f t="shared" si="25"/>
        <v>",Round= "</v>
      </c>
      <c r="N81" t="str">
        <f>Match!G82</f>
        <v>Final Round</v>
      </c>
      <c r="O81" t="str">
        <f t="shared" si="26"/>
        <v>",Stage= "</v>
      </c>
      <c r="P81" t="str">
        <f>Match!H82</f>
        <v>Group</v>
      </c>
      <c r="Q81" t="str">
        <f t="shared" si="27"/>
        <v>",SubStage= "</v>
      </c>
      <c r="R81" t="str">
        <f>Match!I82</f>
        <v>Group C</v>
      </c>
      <c r="S81" t="str">
        <f t="shared" si="28"/>
        <v>",HTeam= "</v>
      </c>
      <c r="T81" t="str">
        <f>Match!J82</f>
        <v>Northern Ireland</v>
      </c>
      <c r="U81" t="str">
        <f t="shared" si="29"/>
        <v>",HGoal=</v>
      </c>
      <c r="V81">
        <f>Match!K82</f>
        <v>0</v>
      </c>
      <c r="W81" t="str">
        <f t="shared" si="30"/>
        <v>,GGoal=</v>
      </c>
      <c r="X81">
        <f>Match!L82</f>
        <v>1</v>
      </c>
      <c r="Y81" t="str">
        <f t="shared" si="31"/>
        <v>,GTeam= "</v>
      </c>
      <c r="Z81" t="str">
        <f>Match!M82</f>
        <v>Germany</v>
      </c>
      <c r="AA81" t="str">
        <f t="shared" si="32"/>
        <v>",WinNote="</v>
      </c>
      <c r="AB81" t="str">
        <f>IF(Match!N82="","",Match!N82)</f>
        <v/>
      </c>
      <c r="AC81" t="str">
        <f t="shared" si="33"/>
        <v xml:space="preserve">",Stadium=" </v>
      </c>
      <c r="AD81" s="95" t="str">
        <f>Match!O82</f>
        <v>Parc des Princes, Paris</v>
      </c>
      <c r="AE81" t="str">
        <f t="shared" si="34"/>
        <v>",Referee= "</v>
      </c>
      <c r="AF81" s="95" t="str">
        <f>IF(Match!P82="","",Match!P82)</f>
        <v/>
      </c>
      <c r="AG81" t="str">
        <f t="shared" si="35"/>
        <v xml:space="preserve">",Visistors= </v>
      </c>
      <c r="AH81" s="95">
        <f>IF(Match!Q82="",0,Match!Q82)</f>
        <v>0</v>
      </c>
      <c r="AI81" t="str">
        <f t="shared" si="36"/>
        <v>,Status= "</v>
      </c>
      <c r="AJ81" s="95" t="str">
        <f>Match!R82</f>
        <v>Finished</v>
      </c>
      <c r="AK81" t="str">
        <f t="shared" si="37"/>
        <v>" },</v>
      </c>
    </row>
    <row r="82" spans="1:37" x14ac:dyDescent="0.25">
      <c r="A82" s="94" t="str">
        <f t="shared" si="19"/>
        <v>new Match { MatchId= "</v>
      </c>
      <c r="B82" t="str">
        <f>Match!A83</f>
        <v>UEFAEURO2016-31</v>
      </c>
      <c r="C82" s="94" t="str">
        <f t="shared" si="20"/>
        <v>",MatchNumber=</v>
      </c>
      <c r="D82">
        <f>Match!B83</f>
        <v>31</v>
      </c>
      <c r="E82" s="94" t="str">
        <f t="shared" si="21"/>
        <v>,DateMatch=DateTime.Parse("</v>
      </c>
      <c r="F82" s="85">
        <f>Match!C83</f>
        <v>42543</v>
      </c>
      <c r="G82" s="92" t="str">
        <f t="shared" si="22"/>
        <v>"),TimeMatch=TimeSpan.Parse("</v>
      </c>
      <c r="H82" s="93">
        <f>Match!D83</f>
        <v>0.125</v>
      </c>
      <c r="I82" s="94" t="str">
        <f t="shared" si="23"/>
        <v>"),MatchYear=</v>
      </c>
      <c r="J82">
        <f>Match!E83</f>
        <v>2016</v>
      </c>
      <c r="K82" s="94" t="str">
        <f t="shared" si="24"/>
        <v>, SeasonId= "</v>
      </c>
      <c r="L82" t="str">
        <f>Match!F83</f>
        <v>UEFAEURO2016</v>
      </c>
      <c r="M82" s="94" t="str">
        <f t="shared" si="25"/>
        <v>",Round= "</v>
      </c>
      <c r="N82" t="str">
        <f>Match!G83</f>
        <v>Final Round</v>
      </c>
      <c r="O82" t="str">
        <f t="shared" si="26"/>
        <v>",Stage= "</v>
      </c>
      <c r="P82" t="str">
        <f>Match!H83</f>
        <v>Group</v>
      </c>
      <c r="Q82" t="str">
        <f t="shared" si="27"/>
        <v>",SubStage= "</v>
      </c>
      <c r="R82" t="str">
        <f>Match!I83</f>
        <v>Group D</v>
      </c>
      <c r="S82" t="str">
        <f t="shared" si="28"/>
        <v>",HTeam= "</v>
      </c>
      <c r="T82" t="str">
        <f>Match!J83</f>
        <v>Czech Republic</v>
      </c>
      <c r="U82" t="str">
        <f t="shared" si="29"/>
        <v>",HGoal=</v>
      </c>
      <c r="V82">
        <f>Match!K83</f>
        <v>0</v>
      </c>
      <c r="W82" t="str">
        <f t="shared" si="30"/>
        <v>,GGoal=</v>
      </c>
      <c r="X82">
        <f>Match!L83</f>
        <v>2</v>
      </c>
      <c r="Y82" t="str">
        <f t="shared" si="31"/>
        <v>,GTeam= "</v>
      </c>
      <c r="Z82" t="str">
        <f>Match!M83</f>
        <v>Turkey</v>
      </c>
      <c r="AA82" t="str">
        <f t="shared" si="32"/>
        <v>",WinNote="</v>
      </c>
      <c r="AB82" t="str">
        <f>IF(Match!N83="","",Match!N83)</f>
        <v/>
      </c>
      <c r="AC82" t="str">
        <f t="shared" si="33"/>
        <v xml:space="preserve">",Stadium=" </v>
      </c>
      <c r="AD82" s="95" t="str">
        <f>Match!O83</f>
        <v>Stade Bollaert-Delelis, Lens</v>
      </c>
      <c r="AE82" t="str">
        <f t="shared" si="34"/>
        <v>",Referee= "</v>
      </c>
      <c r="AF82" s="95" t="str">
        <f>IF(Match!P83="","",Match!P83)</f>
        <v/>
      </c>
      <c r="AG82" t="str">
        <f t="shared" si="35"/>
        <v xml:space="preserve">",Visistors= </v>
      </c>
      <c r="AH82" s="95">
        <f>IF(Match!Q83="",0,Match!Q83)</f>
        <v>0</v>
      </c>
      <c r="AI82" t="str">
        <f t="shared" si="36"/>
        <v>,Status= "</v>
      </c>
      <c r="AJ82" s="95" t="str">
        <f>Match!R83</f>
        <v>Finished</v>
      </c>
      <c r="AK82" t="str">
        <f t="shared" si="37"/>
        <v>" },</v>
      </c>
    </row>
    <row r="83" spans="1:37" x14ac:dyDescent="0.25">
      <c r="A83" s="94" t="str">
        <f t="shared" si="19"/>
        <v>new Match { MatchId= "</v>
      </c>
      <c r="B83" t="str">
        <f>Match!A84</f>
        <v>UEFAEURO2016-32</v>
      </c>
      <c r="C83" s="94" t="str">
        <f t="shared" si="20"/>
        <v>",MatchNumber=</v>
      </c>
      <c r="D83">
        <f>Match!B84</f>
        <v>32</v>
      </c>
      <c r="E83" s="94" t="str">
        <f t="shared" si="21"/>
        <v>,DateMatch=DateTime.Parse("</v>
      </c>
      <c r="F83" s="85">
        <f>Match!C84</f>
        <v>42543</v>
      </c>
      <c r="G83" s="92" t="str">
        <f t="shared" si="22"/>
        <v>"),TimeMatch=TimeSpan.Parse("</v>
      </c>
      <c r="H83" s="93">
        <f>Match!D84</f>
        <v>0.125</v>
      </c>
      <c r="I83" s="94" t="str">
        <f t="shared" si="23"/>
        <v>"),MatchYear=</v>
      </c>
      <c r="J83">
        <f>Match!E84</f>
        <v>2016</v>
      </c>
      <c r="K83" s="94" t="str">
        <f t="shared" si="24"/>
        <v>, SeasonId= "</v>
      </c>
      <c r="L83" t="str">
        <f>Match!F84</f>
        <v>UEFAEURO2016</v>
      </c>
      <c r="M83" s="94" t="str">
        <f t="shared" si="25"/>
        <v>",Round= "</v>
      </c>
      <c r="N83" t="str">
        <f>Match!G84</f>
        <v>Final Round</v>
      </c>
      <c r="O83" t="str">
        <f t="shared" si="26"/>
        <v>",Stage= "</v>
      </c>
      <c r="P83" t="str">
        <f>Match!H84</f>
        <v>Group</v>
      </c>
      <c r="Q83" t="str">
        <f t="shared" si="27"/>
        <v>",SubStage= "</v>
      </c>
      <c r="R83" t="str">
        <f>Match!I84</f>
        <v>Group D</v>
      </c>
      <c r="S83" t="str">
        <f t="shared" si="28"/>
        <v>",HTeam= "</v>
      </c>
      <c r="T83" t="str">
        <f>Match!J84</f>
        <v>Croatia</v>
      </c>
      <c r="U83" t="str">
        <f t="shared" si="29"/>
        <v>",HGoal=</v>
      </c>
      <c r="V83">
        <f>Match!K84</f>
        <v>2</v>
      </c>
      <c r="W83" t="str">
        <f t="shared" si="30"/>
        <v>,GGoal=</v>
      </c>
      <c r="X83">
        <f>Match!L84</f>
        <v>1</v>
      </c>
      <c r="Y83" t="str">
        <f t="shared" si="31"/>
        <v>,GTeam= "</v>
      </c>
      <c r="Z83" t="str">
        <f>Match!M84</f>
        <v>Spain</v>
      </c>
      <c r="AA83" t="str">
        <f t="shared" si="32"/>
        <v>",WinNote="</v>
      </c>
      <c r="AB83" t="str">
        <f>IF(Match!N84="","",Match!N84)</f>
        <v/>
      </c>
      <c r="AC83" t="str">
        <f t="shared" si="33"/>
        <v xml:space="preserve">",Stadium=" </v>
      </c>
      <c r="AD83" s="95" t="str">
        <f>Match!O84</f>
        <v>Nouveau Stade de Bordeaux, Bordeaux</v>
      </c>
      <c r="AE83" t="str">
        <f t="shared" si="34"/>
        <v>",Referee= "</v>
      </c>
      <c r="AF83" s="95" t="str">
        <f>IF(Match!P84="","",Match!P84)</f>
        <v/>
      </c>
      <c r="AG83" t="str">
        <f t="shared" si="35"/>
        <v xml:space="preserve">",Visistors= </v>
      </c>
      <c r="AH83" s="95">
        <f>IF(Match!Q84="",0,Match!Q84)</f>
        <v>0</v>
      </c>
      <c r="AI83" t="str">
        <f t="shared" si="36"/>
        <v>,Status= "</v>
      </c>
      <c r="AJ83" s="95" t="str">
        <f>Match!R84</f>
        <v>Finished</v>
      </c>
      <c r="AK83" t="str">
        <f t="shared" si="37"/>
        <v>" },</v>
      </c>
    </row>
    <row r="84" spans="1:37" x14ac:dyDescent="0.25">
      <c r="A84" s="94" t="str">
        <f t="shared" si="19"/>
        <v>new Match { MatchId= "</v>
      </c>
      <c r="B84" t="str">
        <f>Match!A85</f>
        <v>UEFAEURO2016-33</v>
      </c>
      <c r="C84" s="94" t="str">
        <f t="shared" si="20"/>
        <v>",MatchNumber=</v>
      </c>
      <c r="D84">
        <f>Match!B85</f>
        <v>33</v>
      </c>
      <c r="E84" s="94" t="str">
        <f t="shared" si="21"/>
        <v>,DateMatch=DateTime.Parse("</v>
      </c>
      <c r="F84" s="85">
        <f>Match!C85</f>
        <v>42544</v>
      </c>
      <c r="G84" s="92" t="str">
        <f t="shared" si="22"/>
        <v>"),TimeMatch=TimeSpan.Parse("</v>
      </c>
      <c r="H84" s="93">
        <f>Match!D85</f>
        <v>0</v>
      </c>
      <c r="I84" s="94" t="str">
        <f t="shared" si="23"/>
        <v>"),MatchYear=</v>
      </c>
      <c r="J84">
        <f>Match!E85</f>
        <v>2016</v>
      </c>
      <c r="K84" s="94" t="str">
        <f t="shared" si="24"/>
        <v>, SeasonId= "</v>
      </c>
      <c r="L84" t="str">
        <f>Match!F85</f>
        <v>UEFAEURO2016</v>
      </c>
      <c r="M84" s="94" t="str">
        <f t="shared" si="25"/>
        <v>",Round= "</v>
      </c>
      <c r="N84" t="str">
        <f>Match!G85</f>
        <v>Final Round</v>
      </c>
      <c r="O84" t="str">
        <f t="shared" si="26"/>
        <v>",Stage= "</v>
      </c>
      <c r="P84" t="str">
        <f>Match!H85</f>
        <v>Group</v>
      </c>
      <c r="Q84" t="str">
        <f t="shared" si="27"/>
        <v>",SubStage= "</v>
      </c>
      <c r="R84" t="str">
        <f>Match!I85</f>
        <v>Group F</v>
      </c>
      <c r="S84" t="str">
        <f t="shared" si="28"/>
        <v>",HTeam= "</v>
      </c>
      <c r="T84" t="str">
        <f>Match!J85</f>
        <v>Iceland</v>
      </c>
      <c r="U84" t="str">
        <f t="shared" si="29"/>
        <v>",HGoal=</v>
      </c>
      <c r="V84">
        <f>Match!K85</f>
        <v>2</v>
      </c>
      <c r="W84" t="str">
        <f t="shared" si="30"/>
        <v>,GGoal=</v>
      </c>
      <c r="X84">
        <f>Match!L85</f>
        <v>1</v>
      </c>
      <c r="Y84" t="str">
        <f t="shared" si="31"/>
        <v>,GTeam= "</v>
      </c>
      <c r="Z84" t="str">
        <f>Match!M85</f>
        <v>Austria</v>
      </c>
      <c r="AA84" t="str">
        <f t="shared" si="32"/>
        <v>",WinNote="</v>
      </c>
      <c r="AB84" t="str">
        <f>IF(Match!N85="","",Match!N85)</f>
        <v/>
      </c>
      <c r="AC84" t="str">
        <f t="shared" si="33"/>
        <v xml:space="preserve">",Stadium=" </v>
      </c>
      <c r="AD84" s="95" t="str">
        <f>Match!O85</f>
        <v>Stade de France, Saint-Denis</v>
      </c>
      <c r="AE84" t="str">
        <f t="shared" si="34"/>
        <v>",Referee= "</v>
      </c>
      <c r="AF84" s="95" t="str">
        <f>IF(Match!P85="","",Match!P85)</f>
        <v/>
      </c>
      <c r="AG84" t="str">
        <f t="shared" si="35"/>
        <v xml:space="preserve">",Visistors= </v>
      </c>
      <c r="AH84" s="95">
        <f>IF(Match!Q85="",0,Match!Q85)</f>
        <v>0</v>
      </c>
      <c r="AI84" t="str">
        <f t="shared" si="36"/>
        <v>,Status= "</v>
      </c>
      <c r="AJ84" s="95" t="str">
        <f>Match!R85</f>
        <v>Finished</v>
      </c>
      <c r="AK84" t="str">
        <f t="shared" si="37"/>
        <v>" },</v>
      </c>
    </row>
    <row r="85" spans="1:37" x14ac:dyDescent="0.25">
      <c r="A85" s="94" t="str">
        <f t="shared" si="19"/>
        <v>new Match { MatchId= "</v>
      </c>
      <c r="B85" t="str">
        <f>Match!A86</f>
        <v>UEFAEURO2016-34</v>
      </c>
      <c r="C85" s="94" t="str">
        <f t="shared" si="20"/>
        <v>",MatchNumber=</v>
      </c>
      <c r="D85">
        <f>Match!B86</f>
        <v>34</v>
      </c>
      <c r="E85" s="94" t="str">
        <f t="shared" si="21"/>
        <v>,DateMatch=DateTime.Parse("</v>
      </c>
      <c r="F85" s="85">
        <f>Match!C86</f>
        <v>42544</v>
      </c>
      <c r="G85" s="92" t="str">
        <f t="shared" si="22"/>
        <v>"),TimeMatch=TimeSpan.Parse("</v>
      </c>
      <c r="H85" s="93">
        <f>Match!D86</f>
        <v>0</v>
      </c>
      <c r="I85" s="94" t="str">
        <f t="shared" si="23"/>
        <v>"),MatchYear=</v>
      </c>
      <c r="J85">
        <f>Match!E86</f>
        <v>2016</v>
      </c>
      <c r="K85" s="94" t="str">
        <f t="shared" si="24"/>
        <v>, SeasonId= "</v>
      </c>
      <c r="L85" t="str">
        <f>Match!F86</f>
        <v>UEFAEURO2016</v>
      </c>
      <c r="M85" s="94" t="str">
        <f t="shared" si="25"/>
        <v>",Round= "</v>
      </c>
      <c r="N85" t="str">
        <f>Match!G86</f>
        <v>Final Round</v>
      </c>
      <c r="O85" t="str">
        <f t="shared" si="26"/>
        <v>",Stage= "</v>
      </c>
      <c r="P85" t="str">
        <f>Match!H86</f>
        <v>Group</v>
      </c>
      <c r="Q85" t="str">
        <f t="shared" si="27"/>
        <v>",SubStage= "</v>
      </c>
      <c r="R85" t="str">
        <f>Match!I86</f>
        <v>Group F</v>
      </c>
      <c r="S85" t="str">
        <f t="shared" si="28"/>
        <v>",HTeam= "</v>
      </c>
      <c r="T85" t="str">
        <f>Match!J86</f>
        <v>Hungary</v>
      </c>
      <c r="U85" t="str">
        <f t="shared" si="29"/>
        <v>",HGoal=</v>
      </c>
      <c r="V85">
        <f>Match!K86</f>
        <v>3</v>
      </c>
      <c r="W85" t="str">
        <f t="shared" si="30"/>
        <v>,GGoal=</v>
      </c>
      <c r="X85">
        <f>Match!L86</f>
        <v>3</v>
      </c>
      <c r="Y85" t="str">
        <f t="shared" si="31"/>
        <v>,GTeam= "</v>
      </c>
      <c r="Z85" t="str">
        <f>Match!M86</f>
        <v>Portugal</v>
      </c>
      <c r="AA85" t="str">
        <f t="shared" si="32"/>
        <v>",WinNote="</v>
      </c>
      <c r="AB85" t="str">
        <f>IF(Match!N86="","",Match!N86)</f>
        <v/>
      </c>
      <c r="AC85" t="str">
        <f t="shared" si="33"/>
        <v xml:space="preserve">",Stadium=" </v>
      </c>
      <c r="AD85" s="95" t="str">
        <f>Match!O86</f>
        <v>Parc Olympique Lyonnais, Lyon</v>
      </c>
      <c r="AE85" t="str">
        <f t="shared" si="34"/>
        <v>",Referee= "</v>
      </c>
      <c r="AF85" s="95" t="str">
        <f>IF(Match!P86="","",Match!P86)</f>
        <v/>
      </c>
      <c r="AG85" t="str">
        <f t="shared" si="35"/>
        <v xml:space="preserve">",Visistors= </v>
      </c>
      <c r="AH85" s="95">
        <f>IF(Match!Q86="",0,Match!Q86)</f>
        <v>0</v>
      </c>
      <c r="AI85" t="str">
        <f t="shared" si="36"/>
        <v>,Status= "</v>
      </c>
      <c r="AJ85" s="95" t="str">
        <f>Match!R86</f>
        <v>Finished</v>
      </c>
      <c r="AK85" t="str">
        <f t="shared" si="37"/>
        <v>" },</v>
      </c>
    </row>
    <row r="86" spans="1:37" x14ac:dyDescent="0.25">
      <c r="A86" s="94" t="str">
        <f t="shared" si="19"/>
        <v>new Match { MatchId= "</v>
      </c>
      <c r="B86" t="str">
        <f>Match!A87</f>
        <v>UEFAEURO2016-35</v>
      </c>
      <c r="C86" s="94" t="str">
        <f t="shared" si="20"/>
        <v>",MatchNumber=</v>
      </c>
      <c r="D86">
        <f>Match!B87</f>
        <v>35</v>
      </c>
      <c r="E86" s="94" t="str">
        <f t="shared" si="21"/>
        <v>,DateMatch=DateTime.Parse("</v>
      </c>
      <c r="F86" s="85">
        <f>Match!C87</f>
        <v>42544</v>
      </c>
      <c r="G86" s="92" t="str">
        <f t="shared" si="22"/>
        <v>"),TimeMatch=TimeSpan.Parse("</v>
      </c>
      <c r="H86" s="93">
        <f>Match!D87</f>
        <v>0.125</v>
      </c>
      <c r="I86" s="94" t="str">
        <f t="shared" si="23"/>
        <v>"),MatchYear=</v>
      </c>
      <c r="J86">
        <f>Match!E87</f>
        <v>2016</v>
      </c>
      <c r="K86" s="94" t="str">
        <f t="shared" si="24"/>
        <v>, SeasonId= "</v>
      </c>
      <c r="L86" t="str">
        <f>Match!F87</f>
        <v>UEFAEURO2016</v>
      </c>
      <c r="M86" s="94" t="str">
        <f t="shared" si="25"/>
        <v>",Round= "</v>
      </c>
      <c r="N86" t="str">
        <f>Match!G87</f>
        <v>Final Round</v>
      </c>
      <c r="O86" t="str">
        <f t="shared" si="26"/>
        <v>",Stage= "</v>
      </c>
      <c r="P86" t="str">
        <f>Match!H87</f>
        <v>Group</v>
      </c>
      <c r="Q86" t="str">
        <f t="shared" si="27"/>
        <v>",SubStage= "</v>
      </c>
      <c r="R86" t="str">
        <f>Match!I87</f>
        <v>Group E</v>
      </c>
      <c r="S86" t="str">
        <f t="shared" si="28"/>
        <v>",HTeam= "</v>
      </c>
      <c r="T86" t="str">
        <f>Match!J87</f>
        <v>Italy</v>
      </c>
      <c r="U86" t="str">
        <f t="shared" si="29"/>
        <v>",HGoal=</v>
      </c>
      <c r="V86">
        <f>Match!K87</f>
        <v>0</v>
      </c>
      <c r="W86" t="str">
        <f t="shared" si="30"/>
        <v>,GGoal=</v>
      </c>
      <c r="X86">
        <f>Match!L87</f>
        <v>1</v>
      </c>
      <c r="Y86" t="str">
        <f t="shared" si="31"/>
        <v>,GTeam= "</v>
      </c>
      <c r="Z86" t="str">
        <f>Match!M87</f>
        <v>Republic of Ireland</v>
      </c>
      <c r="AA86" t="str">
        <f t="shared" si="32"/>
        <v>",WinNote="</v>
      </c>
      <c r="AB86" t="str">
        <f>IF(Match!N87="","",Match!N87)</f>
        <v/>
      </c>
      <c r="AC86" t="str">
        <f t="shared" si="33"/>
        <v xml:space="preserve">",Stadium=" </v>
      </c>
      <c r="AD86" s="95" t="str">
        <f>Match!O87</f>
        <v>Stade Pierre-Mauroy, Lille</v>
      </c>
      <c r="AE86" t="str">
        <f t="shared" si="34"/>
        <v>",Referee= "</v>
      </c>
      <c r="AF86" s="95" t="str">
        <f>IF(Match!P87="","",Match!P87)</f>
        <v/>
      </c>
      <c r="AG86" t="str">
        <f t="shared" si="35"/>
        <v xml:space="preserve">",Visistors= </v>
      </c>
      <c r="AH86" s="95">
        <f>IF(Match!Q87="",0,Match!Q87)</f>
        <v>0</v>
      </c>
      <c r="AI86" t="str">
        <f t="shared" si="36"/>
        <v>,Status= "</v>
      </c>
      <c r="AJ86" s="95" t="str">
        <f>Match!R87</f>
        <v>Finished</v>
      </c>
      <c r="AK86" t="str">
        <f t="shared" si="37"/>
        <v>" },</v>
      </c>
    </row>
    <row r="87" spans="1:37" x14ac:dyDescent="0.25">
      <c r="A87" s="94" t="str">
        <f t="shared" si="19"/>
        <v>new Match { MatchId= "</v>
      </c>
      <c r="B87" t="str">
        <f>Match!A88</f>
        <v>UEFAEURO2016-36</v>
      </c>
      <c r="C87" s="94" t="str">
        <f t="shared" si="20"/>
        <v>",MatchNumber=</v>
      </c>
      <c r="D87">
        <f>Match!B88</f>
        <v>36</v>
      </c>
      <c r="E87" s="94" t="str">
        <f t="shared" si="21"/>
        <v>,DateMatch=DateTime.Parse("</v>
      </c>
      <c r="F87" s="85">
        <f>Match!C88</f>
        <v>42544</v>
      </c>
      <c r="G87" s="92" t="str">
        <f t="shared" si="22"/>
        <v>"),TimeMatch=TimeSpan.Parse("</v>
      </c>
      <c r="H87" s="93">
        <f>Match!D88</f>
        <v>0.125</v>
      </c>
      <c r="I87" s="94" t="str">
        <f t="shared" si="23"/>
        <v>"),MatchYear=</v>
      </c>
      <c r="J87">
        <f>Match!E88</f>
        <v>2016</v>
      </c>
      <c r="K87" s="94" t="str">
        <f t="shared" si="24"/>
        <v>, SeasonId= "</v>
      </c>
      <c r="L87" t="str">
        <f>Match!F88</f>
        <v>UEFAEURO2016</v>
      </c>
      <c r="M87" s="94" t="str">
        <f t="shared" si="25"/>
        <v>",Round= "</v>
      </c>
      <c r="N87" t="str">
        <f>Match!G88</f>
        <v>Final Round</v>
      </c>
      <c r="O87" t="str">
        <f t="shared" si="26"/>
        <v>",Stage= "</v>
      </c>
      <c r="P87" t="str">
        <f>Match!H88</f>
        <v>Group</v>
      </c>
      <c r="Q87" t="str">
        <f t="shared" si="27"/>
        <v>",SubStage= "</v>
      </c>
      <c r="R87" t="str">
        <f>Match!I88</f>
        <v>Group E</v>
      </c>
      <c r="S87" t="str">
        <f t="shared" si="28"/>
        <v>",HTeam= "</v>
      </c>
      <c r="T87" t="str">
        <f>Match!J88</f>
        <v>Sweden</v>
      </c>
      <c r="U87" t="str">
        <f t="shared" si="29"/>
        <v>",HGoal=</v>
      </c>
      <c r="V87">
        <f>Match!K88</f>
        <v>0</v>
      </c>
      <c r="W87" t="str">
        <f t="shared" si="30"/>
        <v>,GGoal=</v>
      </c>
      <c r="X87">
        <f>Match!L88</f>
        <v>1</v>
      </c>
      <c r="Y87" t="str">
        <f t="shared" si="31"/>
        <v>,GTeam= "</v>
      </c>
      <c r="Z87" t="str">
        <f>Match!M88</f>
        <v>Belgium</v>
      </c>
      <c r="AA87" t="str">
        <f t="shared" si="32"/>
        <v>",WinNote="</v>
      </c>
      <c r="AB87" t="str">
        <f>IF(Match!N88="","",Match!N88)</f>
        <v/>
      </c>
      <c r="AC87" t="str">
        <f t="shared" si="33"/>
        <v xml:space="preserve">",Stadium=" </v>
      </c>
      <c r="AD87" s="95" t="str">
        <f>Match!O88</f>
        <v>Allianz Riviera, Nice</v>
      </c>
      <c r="AE87" t="str">
        <f t="shared" si="34"/>
        <v>",Referee= "</v>
      </c>
      <c r="AF87" s="95" t="str">
        <f>IF(Match!P88="","",Match!P88)</f>
        <v/>
      </c>
      <c r="AG87" t="str">
        <f t="shared" si="35"/>
        <v xml:space="preserve">",Visistors= </v>
      </c>
      <c r="AH87" s="95">
        <f>IF(Match!Q88="",0,Match!Q88)</f>
        <v>0</v>
      </c>
      <c r="AI87" t="str">
        <f t="shared" si="36"/>
        <v>,Status= "</v>
      </c>
      <c r="AJ87" s="95" t="str">
        <f>Match!R88</f>
        <v>Finished</v>
      </c>
      <c r="AK87" t="str">
        <f t="shared" si="37"/>
        <v>" },</v>
      </c>
    </row>
    <row r="88" spans="1:37" x14ac:dyDescent="0.25">
      <c r="A88" s="94" t="str">
        <f t="shared" si="19"/>
        <v>new Match { MatchId= "</v>
      </c>
      <c r="B88" t="str">
        <f>Match!A89</f>
        <v>UEFAEURO2016-37</v>
      </c>
      <c r="C88" s="94" t="str">
        <f t="shared" si="20"/>
        <v>",MatchNumber=</v>
      </c>
      <c r="D88">
        <f>Match!B89</f>
        <v>37</v>
      </c>
      <c r="E88" s="94" t="str">
        <f t="shared" si="21"/>
        <v>,DateMatch=DateTime.Parse("</v>
      </c>
      <c r="F88" s="85">
        <f>Match!C89</f>
        <v>42546</v>
      </c>
      <c r="G88" s="92" t="str">
        <f t="shared" si="22"/>
        <v>"),TimeMatch=TimeSpan.Parse("</v>
      </c>
      <c r="H88" s="93">
        <f>Match!D89</f>
        <v>0.875</v>
      </c>
      <c r="I88" s="94" t="str">
        <f t="shared" si="23"/>
        <v>"),MatchYear=</v>
      </c>
      <c r="J88">
        <f>Match!E89</f>
        <v>2016</v>
      </c>
      <c r="K88" s="94" t="str">
        <f t="shared" si="24"/>
        <v>, SeasonId= "</v>
      </c>
      <c r="L88" t="str">
        <f>Match!F89</f>
        <v>UEFAEURO2016</v>
      </c>
      <c r="M88" s="94" t="str">
        <f t="shared" si="25"/>
        <v>",Round= "</v>
      </c>
      <c r="N88" t="str">
        <f>Match!G89</f>
        <v>Final Round</v>
      </c>
      <c r="O88" t="str">
        <f t="shared" si="26"/>
        <v>",Stage= "</v>
      </c>
      <c r="P88" t="str">
        <f>Match!H89</f>
        <v>Knockouts</v>
      </c>
      <c r="Q88" t="str">
        <f t="shared" si="27"/>
        <v>",SubStage= "</v>
      </c>
      <c r="R88" t="str">
        <f>Match!I89</f>
        <v xml:space="preserve">Round of 16 </v>
      </c>
      <c r="S88" t="str">
        <f t="shared" si="28"/>
        <v>",HTeam= "</v>
      </c>
      <c r="T88" t="str">
        <f>Match!J89</f>
        <v>Switzerland</v>
      </c>
      <c r="U88" t="str">
        <f t="shared" si="29"/>
        <v>",HGoal=</v>
      </c>
      <c r="V88">
        <f>Match!K89</f>
        <v>1</v>
      </c>
      <c r="W88" t="str">
        <f t="shared" si="30"/>
        <v>,GGoal=</v>
      </c>
      <c r="X88">
        <f>Match!L89</f>
        <v>1</v>
      </c>
      <c r="Y88" t="str">
        <f t="shared" si="31"/>
        <v>,GTeam= "</v>
      </c>
      <c r="Z88" t="str">
        <f>Match!M89</f>
        <v>Poland</v>
      </c>
      <c r="AA88" t="str">
        <f t="shared" si="32"/>
        <v>",WinNote="</v>
      </c>
      <c r="AB88" t="str">
        <f>IF(Match!N89="","",Match!N89)</f>
        <v>Poland Win on Penalty 4-5</v>
      </c>
      <c r="AC88" t="str">
        <f t="shared" si="33"/>
        <v xml:space="preserve">",Stadium=" </v>
      </c>
      <c r="AD88" s="95" t="str">
        <f>Match!O89</f>
        <v>Saint-Étienne</v>
      </c>
      <c r="AE88" t="str">
        <f t="shared" si="34"/>
        <v>",Referee= "</v>
      </c>
      <c r="AF88" s="95" t="str">
        <f>IF(Match!P89="","",Match!P89)</f>
        <v/>
      </c>
      <c r="AG88" t="str">
        <f t="shared" si="35"/>
        <v xml:space="preserve">",Visistors= </v>
      </c>
      <c r="AH88" s="95">
        <f>IF(Match!Q89="",0,Match!Q89)</f>
        <v>0</v>
      </c>
      <c r="AI88" t="str">
        <f t="shared" si="36"/>
        <v>,Status= "</v>
      </c>
      <c r="AJ88" s="95" t="str">
        <f>Match!R89</f>
        <v>Finished</v>
      </c>
      <c r="AK88" t="str">
        <f t="shared" si="37"/>
        <v>" },</v>
      </c>
    </row>
    <row r="89" spans="1:37" x14ac:dyDescent="0.25">
      <c r="A89" s="94" t="str">
        <f t="shared" si="19"/>
        <v>new Match { MatchId= "</v>
      </c>
      <c r="B89" t="str">
        <f>Match!A90</f>
        <v>UEFAEURO2016-38</v>
      </c>
      <c r="C89" s="94" t="str">
        <f t="shared" si="20"/>
        <v>",MatchNumber=</v>
      </c>
      <c r="D89">
        <f>Match!B90</f>
        <v>38</v>
      </c>
      <c r="E89" s="94" t="str">
        <f t="shared" si="21"/>
        <v>,DateMatch=DateTime.Parse("</v>
      </c>
      <c r="F89" s="85">
        <f>Match!C90</f>
        <v>42547</v>
      </c>
      <c r="G89" s="92" t="str">
        <f t="shared" si="22"/>
        <v>"),TimeMatch=TimeSpan.Parse("</v>
      </c>
      <c r="H89" s="93">
        <f>Match!D90</f>
        <v>0</v>
      </c>
      <c r="I89" s="94" t="str">
        <f t="shared" si="23"/>
        <v>"),MatchYear=</v>
      </c>
      <c r="J89">
        <f>Match!E90</f>
        <v>2016</v>
      </c>
      <c r="K89" s="94" t="str">
        <f t="shared" si="24"/>
        <v>, SeasonId= "</v>
      </c>
      <c r="L89" t="str">
        <f>Match!F90</f>
        <v>UEFAEURO2016</v>
      </c>
      <c r="M89" s="94" t="str">
        <f t="shared" si="25"/>
        <v>",Round= "</v>
      </c>
      <c r="N89" t="str">
        <f>Match!G90</f>
        <v>Final Round</v>
      </c>
      <c r="O89" t="str">
        <f t="shared" si="26"/>
        <v>",Stage= "</v>
      </c>
      <c r="P89" t="str">
        <f>Match!H90</f>
        <v>Knockouts</v>
      </c>
      <c r="Q89" t="str">
        <f t="shared" si="27"/>
        <v>",SubStage= "</v>
      </c>
      <c r="R89" t="str">
        <f>Match!I90</f>
        <v xml:space="preserve">Round of 16 </v>
      </c>
      <c r="S89" t="str">
        <f t="shared" si="28"/>
        <v>",HTeam= "</v>
      </c>
      <c r="T89" t="str">
        <f>Match!J90</f>
        <v>Wales</v>
      </c>
      <c r="U89" t="str">
        <f t="shared" si="29"/>
        <v>",HGoal=</v>
      </c>
      <c r="V89">
        <f>Match!K90</f>
        <v>1</v>
      </c>
      <c r="W89" t="str">
        <f t="shared" si="30"/>
        <v>,GGoal=</v>
      </c>
      <c r="X89">
        <f>Match!L90</f>
        <v>0</v>
      </c>
      <c r="Y89" t="str">
        <f t="shared" si="31"/>
        <v>,GTeam= "</v>
      </c>
      <c r="Z89" t="str">
        <f>Match!M90</f>
        <v>Northern Ireland</v>
      </c>
      <c r="AA89" t="str">
        <f t="shared" si="32"/>
        <v>",WinNote="</v>
      </c>
      <c r="AB89" t="str">
        <f>IF(Match!N90="","",Match!N90)</f>
        <v/>
      </c>
      <c r="AC89" t="str">
        <f t="shared" si="33"/>
        <v xml:space="preserve">",Stadium=" </v>
      </c>
      <c r="AD89" s="95" t="str">
        <f>Match!O90</f>
        <v>Paris</v>
      </c>
      <c r="AE89" t="str">
        <f t="shared" si="34"/>
        <v>",Referee= "</v>
      </c>
      <c r="AF89" s="95" t="str">
        <f>IF(Match!P90="","",Match!P90)</f>
        <v/>
      </c>
      <c r="AG89" t="str">
        <f t="shared" si="35"/>
        <v xml:space="preserve">",Visistors= </v>
      </c>
      <c r="AH89" s="95">
        <f>IF(Match!Q90="",0,Match!Q90)</f>
        <v>0</v>
      </c>
      <c r="AI89" t="str">
        <f t="shared" si="36"/>
        <v>,Status= "</v>
      </c>
      <c r="AJ89" s="95" t="str">
        <f>Match!R90</f>
        <v>Finished</v>
      </c>
      <c r="AK89" t="str">
        <f t="shared" si="37"/>
        <v>" },</v>
      </c>
    </row>
    <row r="90" spans="1:37" x14ac:dyDescent="0.25">
      <c r="A90" s="94" t="str">
        <f t="shared" si="19"/>
        <v>new Match { MatchId= "</v>
      </c>
      <c r="B90" t="str">
        <f>Match!A91</f>
        <v>UEFAEURO2016-39</v>
      </c>
      <c r="C90" s="94" t="str">
        <f t="shared" si="20"/>
        <v>",MatchNumber=</v>
      </c>
      <c r="D90">
        <f>Match!B91</f>
        <v>39</v>
      </c>
      <c r="E90" s="94" t="str">
        <f t="shared" si="21"/>
        <v>,DateMatch=DateTime.Parse("</v>
      </c>
      <c r="F90" s="85">
        <f>Match!C91</f>
        <v>42547</v>
      </c>
      <c r="G90" s="92" t="str">
        <f t="shared" si="22"/>
        <v>"),TimeMatch=TimeSpan.Parse("</v>
      </c>
      <c r="H90" s="93">
        <f>Match!D91</f>
        <v>0.125</v>
      </c>
      <c r="I90" s="94" t="str">
        <f t="shared" si="23"/>
        <v>"),MatchYear=</v>
      </c>
      <c r="J90">
        <f>Match!E91</f>
        <v>2016</v>
      </c>
      <c r="K90" s="94" t="str">
        <f t="shared" si="24"/>
        <v>, SeasonId= "</v>
      </c>
      <c r="L90" t="str">
        <f>Match!F91</f>
        <v>UEFAEURO2016</v>
      </c>
      <c r="M90" s="94" t="str">
        <f t="shared" si="25"/>
        <v>",Round= "</v>
      </c>
      <c r="N90" t="str">
        <f>Match!G91</f>
        <v>Final Round</v>
      </c>
      <c r="O90" t="str">
        <f t="shared" si="26"/>
        <v>",Stage= "</v>
      </c>
      <c r="P90" t="str">
        <f>Match!H91</f>
        <v>Knockouts</v>
      </c>
      <c r="Q90" t="str">
        <f t="shared" si="27"/>
        <v>",SubStage= "</v>
      </c>
      <c r="R90" t="str">
        <f>Match!I91</f>
        <v xml:space="preserve">Round of 16 </v>
      </c>
      <c r="S90" t="str">
        <f t="shared" si="28"/>
        <v>",HTeam= "</v>
      </c>
      <c r="T90" t="str">
        <f>Match!J91</f>
        <v>Croatia</v>
      </c>
      <c r="U90" t="str">
        <f t="shared" si="29"/>
        <v>",HGoal=</v>
      </c>
      <c r="V90">
        <f>Match!K91</f>
        <v>0</v>
      </c>
      <c r="W90" t="str">
        <f t="shared" si="30"/>
        <v>,GGoal=</v>
      </c>
      <c r="X90">
        <f>Match!L91</f>
        <v>1</v>
      </c>
      <c r="Y90" t="str">
        <f t="shared" si="31"/>
        <v>,GTeam= "</v>
      </c>
      <c r="Z90" t="str">
        <f>Match!M91</f>
        <v>Portugal</v>
      </c>
      <c r="AA90" t="str">
        <f t="shared" si="32"/>
        <v>",WinNote="</v>
      </c>
      <c r="AB90" t="str">
        <f>IF(Match!N91="","",Match!N91)</f>
        <v>Portugal Win on Extra Time</v>
      </c>
      <c r="AC90" t="str">
        <f t="shared" si="33"/>
        <v xml:space="preserve">",Stadium=" </v>
      </c>
      <c r="AD90" s="95" t="str">
        <f>Match!O91</f>
        <v>Lens</v>
      </c>
      <c r="AE90" t="str">
        <f t="shared" si="34"/>
        <v>",Referee= "</v>
      </c>
      <c r="AF90" s="95" t="str">
        <f>IF(Match!P91="","",Match!P91)</f>
        <v/>
      </c>
      <c r="AG90" t="str">
        <f t="shared" si="35"/>
        <v xml:space="preserve">",Visistors= </v>
      </c>
      <c r="AH90" s="95">
        <f>IF(Match!Q91="",0,Match!Q91)</f>
        <v>0</v>
      </c>
      <c r="AI90" t="str">
        <f t="shared" si="36"/>
        <v>,Status= "</v>
      </c>
      <c r="AJ90" s="95" t="str">
        <f>Match!R91</f>
        <v>Finished</v>
      </c>
      <c r="AK90" t="str">
        <f t="shared" si="37"/>
        <v>" },</v>
      </c>
    </row>
    <row r="91" spans="1:37" x14ac:dyDescent="0.25">
      <c r="A91" s="94" t="str">
        <f t="shared" si="19"/>
        <v>new Match { MatchId= "</v>
      </c>
      <c r="B91" t="str">
        <f>Match!A92</f>
        <v>UEFAEURO2016-40</v>
      </c>
      <c r="C91" s="94" t="str">
        <f t="shared" si="20"/>
        <v>",MatchNumber=</v>
      </c>
      <c r="D91">
        <f>Match!B92</f>
        <v>40</v>
      </c>
      <c r="E91" s="94" t="str">
        <f t="shared" si="21"/>
        <v>,DateMatch=DateTime.Parse("</v>
      </c>
      <c r="F91" s="85">
        <f>Match!C92</f>
        <v>42547</v>
      </c>
      <c r="G91" s="92" t="str">
        <f t="shared" si="22"/>
        <v>"),TimeMatch=TimeSpan.Parse("</v>
      </c>
      <c r="H91" s="93">
        <f>Match!D92</f>
        <v>0.875</v>
      </c>
      <c r="I91" s="94" t="str">
        <f t="shared" si="23"/>
        <v>"),MatchYear=</v>
      </c>
      <c r="J91">
        <f>Match!E92</f>
        <v>2016</v>
      </c>
      <c r="K91" s="94" t="str">
        <f t="shared" si="24"/>
        <v>, SeasonId= "</v>
      </c>
      <c r="L91" t="str">
        <f>Match!F92</f>
        <v>UEFAEURO2016</v>
      </c>
      <c r="M91" s="94" t="str">
        <f t="shared" si="25"/>
        <v>",Round= "</v>
      </c>
      <c r="N91" t="str">
        <f>Match!G92</f>
        <v>Final Round</v>
      </c>
      <c r="O91" t="str">
        <f t="shared" si="26"/>
        <v>",Stage= "</v>
      </c>
      <c r="P91" t="str">
        <f>Match!H92</f>
        <v>Knockouts</v>
      </c>
      <c r="Q91" t="str">
        <f t="shared" si="27"/>
        <v>",SubStage= "</v>
      </c>
      <c r="R91" t="str">
        <f>Match!I92</f>
        <v xml:space="preserve">Round of 16 </v>
      </c>
      <c r="S91" t="str">
        <f t="shared" si="28"/>
        <v>",HTeam= "</v>
      </c>
      <c r="T91" t="str">
        <f>Match!J92</f>
        <v>France</v>
      </c>
      <c r="U91" t="str">
        <f t="shared" si="29"/>
        <v>",HGoal=</v>
      </c>
      <c r="V91">
        <f>Match!K92</f>
        <v>2</v>
      </c>
      <c r="W91" t="str">
        <f t="shared" si="30"/>
        <v>,GGoal=</v>
      </c>
      <c r="X91">
        <f>Match!L92</f>
        <v>1</v>
      </c>
      <c r="Y91" t="str">
        <f t="shared" si="31"/>
        <v>,GTeam= "</v>
      </c>
      <c r="Z91" t="str">
        <f>Match!M92</f>
        <v>Republic of Ireland</v>
      </c>
      <c r="AA91" t="str">
        <f t="shared" si="32"/>
        <v>",WinNote="</v>
      </c>
      <c r="AB91" t="str">
        <f>IF(Match!N92="","",Match!N92)</f>
        <v/>
      </c>
      <c r="AC91" t="str">
        <f t="shared" si="33"/>
        <v xml:space="preserve">",Stadium=" </v>
      </c>
      <c r="AD91" s="95" t="str">
        <f>Match!O92</f>
        <v>Décines-Charpieu</v>
      </c>
      <c r="AE91" t="str">
        <f t="shared" si="34"/>
        <v>",Referee= "</v>
      </c>
      <c r="AF91" s="95" t="str">
        <f>IF(Match!P92="","",Match!P92)</f>
        <v/>
      </c>
      <c r="AG91" t="str">
        <f t="shared" si="35"/>
        <v xml:space="preserve">",Visistors= </v>
      </c>
      <c r="AH91" s="95">
        <f>IF(Match!Q92="",0,Match!Q92)</f>
        <v>0</v>
      </c>
      <c r="AI91" t="str">
        <f t="shared" si="36"/>
        <v>,Status= "</v>
      </c>
      <c r="AJ91" s="95" t="str">
        <f>Match!R92</f>
        <v>Finished</v>
      </c>
      <c r="AK91" t="str">
        <f t="shared" si="37"/>
        <v>" },</v>
      </c>
    </row>
    <row r="92" spans="1:37" x14ac:dyDescent="0.25">
      <c r="A92" s="94" t="str">
        <f t="shared" si="19"/>
        <v>new Match { MatchId= "</v>
      </c>
      <c r="B92" t="str">
        <f>Match!A93</f>
        <v>UEFAEURO2016-41</v>
      </c>
      <c r="C92" s="94" t="str">
        <f t="shared" si="20"/>
        <v>",MatchNumber=</v>
      </c>
      <c r="D92">
        <f>Match!B93</f>
        <v>41</v>
      </c>
      <c r="E92" s="94" t="str">
        <f t="shared" si="21"/>
        <v>,DateMatch=DateTime.Parse("</v>
      </c>
      <c r="F92" s="85">
        <f>Match!C93</f>
        <v>42548</v>
      </c>
      <c r="G92" s="92" t="str">
        <f t="shared" si="22"/>
        <v>"),TimeMatch=TimeSpan.Parse("</v>
      </c>
      <c r="H92" s="93">
        <f>Match!D93</f>
        <v>0</v>
      </c>
      <c r="I92" s="94" t="str">
        <f t="shared" si="23"/>
        <v>"),MatchYear=</v>
      </c>
      <c r="J92">
        <f>Match!E93</f>
        <v>2016</v>
      </c>
      <c r="K92" s="94" t="str">
        <f t="shared" si="24"/>
        <v>, SeasonId= "</v>
      </c>
      <c r="L92" t="str">
        <f>Match!F93</f>
        <v>UEFAEURO2016</v>
      </c>
      <c r="M92" s="94" t="str">
        <f t="shared" si="25"/>
        <v>",Round= "</v>
      </c>
      <c r="N92" t="str">
        <f>Match!G93</f>
        <v>Final Round</v>
      </c>
      <c r="O92" t="str">
        <f t="shared" si="26"/>
        <v>",Stage= "</v>
      </c>
      <c r="P92" t="str">
        <f>Match!H93</f>
        <v>Knockouts</v>
      </c>
      <c r="Q92" t="str">
        <f t="shared" si="27"/>
        <v>",SubStage= "</v>
      </c>
      <c r="R92" t="str">
        <f>Match!I93</f>
        <v xml:space="preserve">Round of 16 </v>
      </c>
      <c r="S92" t="str">
        <f t="shared" si="28"/>
        <v>",HTeam= "</v>
      </c>
      <c r="T92" t="str">
        <f>Match!J93</f>
        <v>Germany</v>
      </c>
      <c r="U92" t="str">
        <f t="shared" si="29"/>
        <v>",HGoal=</v>
      </c>
      <c r="V92">
        <f>Match!K93</f>
        <v>3</v>
      </c>
      <c r="W92" t="str">
        <f t="shared" si="30"/>
        <v>,GGoal=</v>
      </c>
      <c r="X92">
        <f>Match!L93</f>
        <v>0</v>
      </c>
      <c r="Y92" t="str">
        <f t="shared" si="31"/>
        <v>,GTeam= "</v>
      </c>
      <c r="Z92" t="str">
        <f>Match!M93</f>
        <v>Slovakia</v>
      </c>
      <c r="AA92" t="str">
        <f t="shared" si="32"/>
        <v>",WinNote="</v>
      </c>
      <c r="AB92" t="str">
        <f>IF(Match!N93="","",Match!N93)</f>
        <v/>
      </c>
      <c r="AC92" t="str">
        <f t="shared" si="33"/>
        <v xml:space="preserve">",Stadium=" </v>
      </c>
      <c r="AD92" s="95" t="str">
        <f>Match!O93</f>
        <v>Villeneuve-d'Ascq</v>
      </c>
      <c r="AE92" t="str">
        <f t="shared" si="34"/>
        <v>",Referee= "</v>
      </c>
      <c r="AF92" s="95" t="str">
        <f>IF(Match!P93="","",Match!P93)</f>
        <v/>
      </c>
      <c r="AG92" t="str">
        <f t="shared" si="35"/>
        <v xml:space="preserve">",Visistors= </v>
      </c>
      <c r="AH92" s="95">
        <f>IF(Match!Q93="",0,Match!Q93)</f>
        <v>0</v>
      </c>
      <c r="AI92" t="str">
        <f t="shared" si="36"/>
        <v>,Status= "</v>
      </c>
      <c r="AJ92" s="95" t="str">
        <f>Match!R93</f>
        <v>Finished</v>
      </c>
      <c r="AK92" t="str">
        <f t="shared" si="37"/>
        <v>" },</v>
      </c>
    </row>
    <row r="93" spans="1:37" x14ac:dyDescent="0.25">
      <c r="A93" s="94" t="str">
        <f t="shared" si="19"/>
        <v>new Match { MatchId= "</v>
      </c>
      <c r="B93" t="str">
        <f>Match!A94</f>
        <v>UEFAEURO2016-42</v>
      </c>
      <c r="C93" s="94" t="str">
        <f t="shared" si="20"/>
        <v>",MatchNumber=</v>
      </c>
      <c r="D93">
        <f>Match!B94</f>
        <v>42</v>
      </c>
      <c r="E93" s="94" t="str">
        <f t="shared" si="21"/>
        <v>,DateMatch=DateTime.Parse("</v>
      </c>
      <c r="F93" s="85">
        <f>Match!C94</f>
        <v>42548</v>
      </c>
      <c r="G93" s="92" t="str">
        <f t="shared" si="22"/>
        <v>"),TimeMatch=TimeSpan.Parse("</v>
      </c>
      <c r="H93" s="93">
        <f>Match!D94</f>
        <v>0.125</v>
      </c>
      <c r="I93" s="94" t="str">
        <f t="shared" si="23"/>
        <v>"),MatchYear=</v>
      </c>
      <c r="J93">
        <f>Match!E94</f>
        <v>2016</v>
      </c>
      <c r="K93" s="94" t="str">
        <f t="shared" si="24"/>
        <v>, SeasonId= "</v>
      </c>
      <c r="L93" t="str">
        <f>Match!F94</f>
        <v>UEFAEURO2016</v>
      </c>
      <c r="M93" s="94" t="str">
        <f t="shared" si="25"/>
        <v>",Round= "</v>
      </c>
      <c r="N93" t="str">
        <f>Match!G94</f>
        <v>Final Round</v>
      </c>
      <c r="O93" t="str">
        <f t="shared" si="26"/>
        <v>",Stage= "</v>
      </c>
      <c r="P93" t="str">
        <f>Match!H94</f>
        <v>Knockouts</v>
      </c>
      <c r="Q93" t="str">
        <f t="shared" si="27"/>
        <v>",SubStage= "</v>
      </c>
      <c r="R93" t="str">
        <f>Match!I94</f>
        <v xml:space="preserve">Round of 16 </v>
      </c>
      <c r="S93" t="str">
        <f t="shared" si="28"/>
        <v>",HTeam= "</v>
      </c>
      <c r="T93" t="str">
        <f>Match!J94</f>
        <v>Hungary</v>
      </c>
      <c r="U93" t="str">
        <f t="shared" si="29"/>
        <v>",HGoal=</v>
      </c>
      <c r="V93">
        <f>Match!K94</f>
        <v>0</v>
      </c>
      <c r="W93" t="str">
        <f t="shared" si="30"/>
        <v>,GGoal=</v>
      </c>
      <c r="X93">
        <f>Match!L94</f>
        <v>4</v>
      </c>
      <c r="Y93" t="str">
        <f t="shared" si="31"/>
        <v>,GTeam= "</v>
      </c>
      <c r="Z93" t="str">
        <f>Match!M94</f>
        <v>Belgium</v>
      </c>
      <c r="AA93" t="str">
        <f t="shared" si="32"/>
        <v>",WinNote="</v>
      </c>
      <c r="AB93" t="str">
        <f>IF(Match!N94="","",Match!N94)</f>
        <v/>
      </c>
      <c r="AC93" t="str">
        <f t="shared" si="33"/>
        <v xml:space="preserve">",Stadium=" </v>
      </c>
      <c r="AD93" s="95" t="str">
        <f>Match!O94</f>
        <v>Toulouse</v>
      </c>
      <c r="AE93" t="str">
        <f t="shared" si="34"/>
        <v>",Referee= "</v>
      </c>
      <c r="AF93" s="95" t="str">
        <f>IF(Match!P94="","",Match!P94)</f>
        <v/>
      </c>
      <c r="AG93" t="str">
        <f t="shared" si="35"/>
        <v xml:space="preserve">",Visistors= </v>
      </c>
      <c r="AH93" s="95">
        <f>IF(Match!Q94="",0,Match!Q94)</f>
        <v>0</v>
      </c>
      <c r="AI93" t="str">
        <f t="shared" si="36"/>
        <v>,Status= "</v>
      </c>
      <c r="AJ93" s="95" t="str">
        <f>Match!R94</f>
        <v>Finished</v>
      </c>
      <c r="AK93" t="str">
        <f t="shared" si="37"/>
        <v>" },</v>
      </c>
    </row>
    <row r="94" spans="1:37" x14ac:dyDescent="0.25">
      <c r="A94" s="94" t="str">
        <f t="shared" si="19"/>
        <v>new Match { MatchId= "</v>
      </c>
      <c r="B94" t="str">
        <f>Match!A95</f>
        <v>UEFAEURO2016-43</v>
      </c>
      <c r="C94" s="94" t="str">
        <f t="shared" si="20"/>
        <v>",MatchNumber=</v>
      </c>
      <c r="D94">
        <f>Match!B95</f>
        <v>43</v>
      </c>
      <c r="E94" s="94" t="str">
        <f t="shared" si="21"/>
        <v>,DateMatch=DateTime.Parse("</v>
      </c>
      <c r="F94" s="85">
        <f>Match!C95</f>
        <v>42549</v>
      </c>
      <c r="G94" s="92" t="str">
        <f t="shared" si="22"/>
        <v>"),TimeMatch=TimeSpan.Parse("</v>
      </c>
      <c r="H94" s="93">
        <f>Match!D95</f>
        <v>0</v>
      </c>
      <c r="I94" s="94" t="str">
        <f t="shared" si="23"/>
        <v>"),MatchYear=</v>
      </c>
      <c r="J94">
        <f>Match!E95</f>
        <v>2016</v>
      </c>
      <c r="K94" s="94" t="str">
        <f t="shared" si="24"/>
        <v>, SeasonId= "</v>
      </c>
      <c r="L94" t="str">
        <f>Match!F95</f>
        <v>UEFAEURO2016</v>
      </c>
      <c r="M94" s="94" t="str">
        <f t="shared" si="25"/>
        <v>",Round= "</v>
      </c>
      <c r="N94" t="str">
        <f>Match!G95</f>
        <v>Final Round</v>
      </c>
      <c r="O94" t="str">
        <f t="shared" si="26"/>
        <v>",Stage= "</v>
      </c>
      <c r="P94" t="str">
        <f>Match!H95</f>
        <v>Knockouts</v>
      </c>
      <c r="Q94" t="str">
        <f t="shared" si="27"/>
        <v>",SubStage= "</v>
      </c>
      <c r="R94" t="str">
        <f>Match!I95</f>
        <v xml:space="preserve">Round of 16 </v>
      </c>
      <c r="S94" t="str">
        <f t="shared" si="28"/>
        <v>",HTeam= "</v>
      </c>
      <c r="T94" t="str">
        <f>Match!J95</f>
        <v>Italy</v>
      </c>
      <c r="U94" t="str">
        <f t="shared" si="29"/>
        <v>",HGoal=</v>
      </c>
      <c r="V94">
        <f>Match!K95</f>
        <v>2</v>
      </c>
      <c r="W94" t="str">
        <f t="shared" si="30"/>
        <v>,GGoal=</v>
      </c>
      <c r="X94">
        <f>Match!L95</f>
        <v>0</v>
      </c>
      <c r="Y94" t="str">
        <f t="shared" si="31"/>
        <v>,GTeam= "</v>
      </c>
      <c r="Z94" t="str">
        <f>Match!M95</f>
        <v>Spain</v>
      </c>
      <c r="AA94" t="str">
        <f t="shared" si="32"/>
        <v>",WinNote="</v>
      </c>
      <c r="AB94" t="str">
        <f>IF(Match!N95="","",Match!N95)</f>
        <v/>
      </c>
      <c r="AC94" t="str">
        <f t="shared" si="33"/>
        <v xml:space="preserve">",Stadium=" </v>
      </c>
      <c r="AD94" s="95" t="str">
        <f>Match!O95</f>
        <v>Saint-Denis</v>
      </c>
      <c r="AE94" t="str">
        <f t="shared" si="34"/>
        <v>",Referee= "</v>
      </c>
      <c r="AF94" s="95" t="str">
        <f>IF(Match!P95="","",Match!P95)</f>
        <v/>
      </c>
      <c r="AG94" t="str">
        <f t="shared" si="35"/>
        <v xml:space="preserve">",Visistors= </v>
      </c>
      <c r="AH94" s="95">
        <f>IF(Match!Q95="",0,Match!Q95)</f>
        <v>0</v>
      </c>
      <c r="AI94" t="str">
        <f t="shared" si="36"/>
        <v>,Status= "</v>
      </c>
      <c r="AJ94" s="95" t="str">
        <f>Match!R95</f>
        <v>Finished</v>
      </c>
      <c r="AK94" t="str">
        <f t="shared" si="37"/>
        <v>" },</v>
      </c>
    </row>
    <row r="95" spans="1:37" x14ac:dyDescent="0.25">
      <c r="A95" s="94" t="str">
        <f t="shared" si="19"/>
        <v>new Match { MatchId= "</v>
      </c>
      <c r="B95" t="str">
        <f>Match!A96</f>
        <v>UEFAEURO2016-44</v>
      </c>
      <c r="C95" s="94" t="str">
        <f t="shared" si="20"/>
        <v>",MatchNumber=</v>
      </c>
      <c r="D95">
        <f>Match!B96</f>
        <v>44</v>
      </c>
      <c r="E95" s="94" t="str">
        <f t="shared" si="21"/>
        <v>,DateMatch=DateTime.Parse("</v>
      </c>
      <c r="F95" s="85">
        <f>Match!C96</f>
        <v>42549</v>
      </c>
      <c r="G95" s="92" t="str">
        <f t="shared" si="22"/>
        <v>"),TimeMatch=TimeSpan.Parse("</v>
      </c>
      <c r="H95" s="93">
        <f>Match!D96</f>
        <v>0.125</v>
      </c>
      <c r="I95" s="94" t="str">
        <f t="shared" si="23"/>
        <v>"),MatchYear=</v>
      </c>
      <c r="J95">
        <f>Match!E96</f>
        <v>2016</v>
      </c>
      <c r="K95" s="94" t="str">
        <f t="shared" si="24"/>
        <v>, SeasonId= "</v>
      </c>
      <c r="L95" t="str">
        <f>Match!F96</f>
        <v>UEFAEURO2016</v>
      </c>
      <c r="M95" s="94" t="str">
        <f t="shared" si="25"/>
        <v>",Round= "</v>
      </c>
      <c r="N95" t="str">
        <f>Match!G96</f>
        <v>Final Round</v>
      </c>
      <c r="O95" t="str">
        <f t="shared" si="26"/>
        <v>",Stage= "</v>
      </c>
      <c r="P95" t="str">
        <f>Match!H96</f>
        <v>Knockouts</v>
      </c>
      <c r="Q95" t="str">
        <f t="shared" si="27"/>
        <v>",SubStage= "</v>
      </c>
      <c r="R95" t="str">
        <f>Match!I96</f>
        <v xml:space="preserve">Round of 16 </v>
      </c>
      <c r="S95" t="str">
        <f t="shared" si="28"/>
        <v>",HTeam= "</v>
      </c>
      <c r="T95" t="str">
        <f>Match!J96</f>
        <v>England</v>
      </c>
      <c r="U95" t="str">
        <f t="shared" si="29"/>
        <v>",HGoal=</v>
      </c>
      <c r="V95">
        <f>Match!K96</f>
        <v>1</v>
      </c>
      <c r="W95" t="str">
        <f t="shared" si="30"/>
        <v>,GGoal=</v>
      </c>
      <c r="X95">
        <f>Match!L96</f>
        <v>2</v>
      </c>
      <c r="Y95" t="str">
        <f t="shared" si="31"/>
        <v>,GTeam= "</v>
      </c>
      <c r="Z95" t="str">
        <f>Match!M96</f>
        <v>Iceland</v>
      </c>
      <c r="AA95" t="str">
        <f t="shared" si="32"/>
        <v>",WinNote="</v>
      </c>
      <c r="AB95" t="str">
        <f>IF(Match!N96="","",Match!N96)</f>
        <v/>
      </c>
      <c r="AC95" t="str">
        <f t="shared" si="33"/>
        <v xml:space="preserve">",Stadium=" </v>
      </c>
      <c r="AD95" s="95" t="str">
        <f>Match!O96</f>
        <v>Nice</v>
      </c>
      <c r="AE95" t="str">
        <f t="shared" si="34"/>
        <v>",Referee= "</v>
      </c>
      <c r="AF95" s="95" t="str">
        <f>IF(Match!P96="","",Match!P96)</f>
        <v/>
      </c>
      <c r="AG95" t="str">
        <f t="shared" si="35"/>
        <v xml:space="preserve">",Visistors= </v>
      </c>
      <c r="AH95" s="95">
        <f>IF(Match!Q96="",0,Match!Q96)</f>
        <v>0</v>
      </c>
      <c r="AI95" t="str">
        <f t="shared" si="36"/>
        <v>,Status= "</v>
      </c>
      <c r="AJ95" s="95" t="str">
        <f>Match!R96</f>
        <v>Finished</v>
      </c>
      <c r="AK95" t="str">
        <f t="shared" si="37"/>
        <v>" },</v>
      </c>
    </row>
    <row r="96" spans="1:37" x14ac:dyDescent="0.25">
      <c r="A96" s="94" t="str">
        <f t="shared" si="19"/>
        <v>new Match { MatchId= "</v>
      </c>
      <c r="B96" t="str">
        <f>Match!A97</f>
        <v>UEFAEURO2016-45</v>
      </c>
      <c r="C96" s="94" t="str">
        <f t="shared" si="20"/>
        <v>",MatchNumber=</v>
      </c>
      <c r="D96">
        <f>Match!B97</f>
        <v>45</v>
      </c>
      <c r="E96" s="94" t="str">
        <f t="shared" si="21"/>
        <v>,DateMatch=DateTime.Parse("</v>
      </c>
      <c r="F96" s="85">
        <f>Match!C97</f>
        <v>42551</v>
      </c>
      <c r="G96" s="92" t="str">
        <f t="shared" si="22"/>
        <v>"),TimeMatch=TimeSpan.Parse("</v>
      </c>
      <c r="H96" s="93">
        <f>Match!D97</f>
        <v>0.125</v>
      </c>
      <c r="I96" s="94" t="str">
        <f t="shared" si="23"/>
        <v>"),MatchYear=</v>
      </c>
      <c r="J96">
        <f>Match!E97</f>
        <v>2016</v>
      </c>
      <c r="K96" s="94" t="str">
        <f t="shared" si="24"/>
        <v>, SeasonId= "</v>
      </c>
      <c r="L96" t="str">
        <f>Match!F97</f>
        <v>UEFAEURO2016</v>
      </c>
      <c r="M96" s="94" t="str">
        <f t="shared" si="25"/>
        <v>",Round= "</v>
      </c>
      <c r="N96" t="str">
        <f>Match!G97</f>
        <v>Final Round</v>
      </c>
      <c r="O96" t="str">
        <f t="shared" si="26"/>
        <v>",Stage= "</v>
      </c>
      <c r="P96" t="str">
        <f>Match!H97</f>
        <v>Knockouts</v>
      </c>
      <c r="Q96" t="str">
        <f t="shared" si="27"/>
        <v>",SubStage= "</v>
      </c>
      <c r="R96" t="str">
        <f>Match!I97</f>
        <v>Quaterfinal</v>
      </c>
      <c r="S96" t="str">
        <f t="shared" si="28"/>
        <v>",HTeam= "</v>
      </c>
      <c r="T96" t="str">
        <f>Match!J97</f>
        <v>Poland</v>
      </c>
      <c r="U96" t="str">
        <f t="shared" si="29"/>
        <v>",HGoal=</v>
      </c>
      <c r="V96">
        <f>Match!K97</f>
        <v>1</v>
      </c>
      <c r="W96" t="str">
        <f t="shared" si="30"/>
        <v>,GGoal=</v>
      </c>
      <c r="X96">
        <f>Match!L97</f>
        <v>1</v>
      </c>
      <c r="Y96" t="str">
        <f t="shared" si="31"/>
        <v>,GTeam= "</v>
      </c>
      <c r="Z96" t="str">
        <f>Match!M97</f>
        <v>Portugal</v>
      </c>
      <c r="AA96" t="str">
        <f t="shared" si="32"/>
        <v>",WinNote="</v>
      </c>
      <c r="AB96" t="str">
        <f>IF(Match!N97="","",Match!N97)</f>
        <v>Portugal Win on Penalty 4-2</v>
      </c>
      <c r="AC96" t="str">
        <f t="shared" si="33"/>
        <v xml:space="preserve">",Stadium=" </v>
      </c>
      <c r="AD96" s="95" t="str">
        <f>Match!O97</f>
        <v>Marseille</v>
      </c>
      <c r="AE96" t="str">
        <f t="shared" si="34"/>
        <v>",Referee= "</v>
      </c>
      <c r="AF96" s="95" t="str">
        <f>IF(Match!P97="","",Match!P97)</f>
        <v/>
      </c>
      <c r="AG96" t="str">
        <f t="shared" si="35"/>
        <v xml:space="preserve">",Visistors= </v>
      </c>
      <c r="AH96" s="95">
        <f>IF(Match!Q97="",0,Match!Q97)</f>
        <v>0</v>
      </c>
      <c r="AI96" t="str">
        <f t="shared" si="36"/>
        <v>,Status= "</v>
      </c>
      <c r="AJ96" s="95" t="str">
        <f>Match!R97</f>
        <v>Finished</v>
      </c>
      <c r="AK96" t="str">
        <f t="shared" si="37"/>
        <v>" },</v>
      </c>
    </row>
    <row r="97" spans="1:37" x14ac:dyDescent="0.25">
      <c r="A97" s="94" t="str">
        <f t="shared" si="19"/>
        <v>new Match { MatchId= "</v>
      </c>
      <c r="B97" t="str">
        <f>Match!A98</f>
        <v>UEFAEURO2016-46</v>
      </c>
      <c r="C97" s="94" t="str">
        <f t="shared" si="20"/>
        <v>",MatchNumber=</v>
      </c>
      <c r="D97">
        <f>Match!B98</f>
        <v>46</v>
      </c>
      <c r="E97" s="94" t="str">
        <f t="shared" si="21"/>
        <v>,DateMatch=DateTime.Parse("</v>
      </c>
      <c r="F97" s="85">
        <f>Match!C98</f>
        <v>42552</v>
      </c>
      <c r="G97" s="92" t="str">
        <f t="shared" si="22"/>
        <v>"),TimeMatch=TimeSpan.Parse("</v>
      </c>
      <c r="H97" s="93">
        <f>Match!D98</f>
        <v>0.125</v>
      </c>
      <c r="I97" s="94" t="str">
        <f t="shared" si="23"/>
        <v>"),MatchYear=</v>
      </c>
      <c r="J97">
        <f>Match!E98</f>
        <v>2016</v>
      </c>
      <c r="K97" s="94" t="str">
        <f t="shared" si="24"/>
        <v>, SeasonId= "</v>
      </c>
      <c r="L97" t="str">
        <f>Match!F98</f>
        <v>UEFAEURO2016</v>
      </c>
      <c r="M97" s="94" t="str">
        <f t="shared" si="25"/>
        <v>",Round= "</v>
      </c>
      <c r="N97" t="str">
        <f>Match!G98</f>
        <v>Final Round</v>
      </c>
      <c r="O97" t="str">
        <f t="shared" si="26"/>
        <v>",Stage= "</v>
      </c>
      <c r="P97" t="str">
        <f>Match!H98</f>
        <v>Knockouts</v>
      </c>
      <c r="Q97" t="str">
        <f t="shared" si="27"/>
        <v>",SubStage= "</v>
      </c>
      <c r="R97" t="str">
        <f>Match!I98</f>
        <v>Quaterfinal</v>
      </c>
      <c r="S97" t="str">
        <f t="shared" si="28"/>
        <v>",HTeam= "</v>
      </c>
      <c r="T97" t="str">
        <f>Match!J98</f>
        <v>Wales</v>
      </c>
      <c r="U97" t="str">
        <f t="shared" si="29"/>
        <v>",HGoal=</v>
      </c>
      <c r="V97">
        <f>Match!K98</f>
        <v>3</v>
      </c>
      <c r="W97" t="str">
        <f t="shared" si="30"/>
        <v>,GGoal=</v>
      </c>
      <c r="X97">
        <f>Match!L98</f>
        <v>1</v>
      </c>
      <c r="Y97" t="str">
        <f t="shared" si="31"/>
        <v>,GTeam= "</v>
      </c>
      <c r="Z97" t="str">
        <f>Match!M98</f>
        <v>Belgium</v>
      </c>
      <c r="AA97" t="str">
        <f t="shared" si="32"/>
        <v>",WinNote="</v>
      </c>
      <c r="AB97" t="str">
        <f>IF(Match!N98="","",Match!N98)</f>
        <v/>
      </c>
      <c r="AC97" t="str">
        <f t="shared" si="33"/>
        <v xml:space="preserve">",Stadium=" </v>
      </c>
      <c r="AD97" s="95" t="str">
        <f>Match!O98</f>
        <v>Villeneuve-d'Ascq</v>
      </c>
      <c r="AE97" t="str">
        <f t="shared" si="34"/>
        <v>",Referee= "</v>
      </c>
      <c r="AF97" s="95" t="str">
        <f>IF(Match!P98="","",Match!P98)</f>
        <v/>
      </c>
      <c r="AG97" t="str">
        <f t="shared" si="35"/>
        <v xml:space="preserve">",Visistors= </v>
      </c>
      <c r="AH97" s="95">
        <f>IF(Match!Q98="",0,Match!Q98)</f>
        <v>0</v>
      </c>
      <c r="AI97" t="str">
        <f t="shared" si="36"/>
        <v>,Status= "</v>
      </c>
      <c r="AJ97" s="95" t="str">
        <f>Match!R98</f>
        <v>Finished</v>
      </c>
      <c r="AK97" t="str">
        <f t="shared" si="37"/>
        <v>" },</v>
      </c>
    </row>
    <row r="98" spans="1:37" x14ac:dyDescent="0.25">
      <c r="A98" s="94" t="str">
        <f t="shared" si="19"/>
        <v>new Match { MatchId= "</v>
      </c>
      <c r="B98" t="str">
        <f>Match!A99</f>
        <v>UEFAEURO2016-47</v>
      </c>
      <c r="C98" s="94" t="str">
        <f t="shared" si="20"/>
        <v>",MatchNumber=</v>
      </c>
      <c r="D98">
        <f>Match!B99</f>
        <v>47</v>
      </c>
      <c r="E98" s="94" t="str">
        <f t="shared" si="21"/>
        <v>,DateMatch=DateTime.Parse("</v>
      </c>
      <c r="F98" s="85">
        <f>Match!C99</f>
        <v>42553</v>
      </c>
      <c r="G98" s="92" t="str">
        <f t="shared" si="22"/>
        <v>"),TimeMatch=TimeSpan.Parse("</v>
      </c>
      <c r="H98" s="93">
        <f>Match!D99</f>
        <v>0.125</v>
      </c>
      <c r="I98" s="94" t="str">
        <f t="shared" si="23"/>
        <v>"),MatchYear=</v>
      </c>
      <c r="J98">
        <f>Match!E99</f>
        <v>2016</v>
      </c>
      <c r="K98" s="94" t="str">
        <f t="shared" si="24"/>
        <v>, SeasonId= "</v>
      </c>
      <c r="L98" t="str">
        <f>Match!F99</f>
        <v>UEFAEURO2016</v>
      </c>
      <c r="M98" s="94" t="str">
        <f t="shared" si="25"/>
        <v>",Round= "</v>
      </c>
      <c r="N98" t="str">
        <f>Match!G99</f>
        <v>Final Round</v>
      </c>
      <c r="O98" t="str">
        <f t="shared" si="26"/>
        <v>",Stage= "</v>
      </c>
      <c r="P98" t="str">
        <f>Match!H99</f>
        <v>Knockouts</v>
      </c>
      <c r="Q98" t="str">
        <f t="shared" si="27"/>
        <v>",SubStage= "</v>
      </c>
      <c r="R98" t="str">
        <f>Match!I99</f>
        <v>Quaterfinal</v>
      </c>
      <c r="S98" t="str">
        <f t="shared" si="28"/>
        <v>",HTeam= "</v>
      </c>
      <c r="T98" t="str">
        <f>Match!J99</f>
        <v>Germany</v>
      </c>
      <c r="U98" t="str">
        <f t="shared" si="29"/>
        <v>",HGoal=</v>
      </c>
      <c r="V98">
        <f>Match!K99</f>
        <v>1</v>
      </c>
      <c r="W98" t="str">
        <f t="shared" si="30"/>
        <v>,GGoal=</v>
      </c>
      <c r="X98">
        <f>Match!L99</f>
        <v>1</v>
      </c>
      <c r="Y98" t="str">
        <f t="shared" si="31"/>
        <v>,GTeam= "</v>
      </c>
      <c r="Z98" t="str">
        <f>Match!M99</f>
        <v>Italy</v>
      </c>
      <c r="AA98" t="str">
        <f t="shared" si="32"/>
        <v>",WinNote="</v>
      </c>
      <c r="AB98" t="str">
        <f>IF(Match!N99="","",Match!N99)</f>
        <v>Germany Win on Penalty 5-4</v>
      </c>
      <c r="AC98" t="str">
        <f t="shared" si="33"/>
        <v xml:space="preserve">",Stadium=" </v>
      </c>
      <c r="AD98" s="95" t="str">
        <f>Match!O99</f>
        <v>Bordeaux</v>
      </c>
      <c r="AE98" t="str">
        <f t="shared" si="34"/>
        <v>",Referee= "</v>
      </c>
      <c r="AF98" s="95" t="str">
        <f>IF(Match!P99="","",Match!P99)</f>
        <v/>
      </c>
      <c r="AG98" t="str">
        <f t="shared" si="35"/>
        <v xml:space="preserve">",Visistors= </v>
      </c>
      <c r="AH98" s="95">
        <f>IF(Match!Q99="",0,Match!Q99)</f>
        <v>0</v>
      </c>
      <c r="AI98" t="str">
        <f t="shared" si="36"/>
        <v>,Status= "</v>
      </c>
      <c r="AJ98" s="95" t="str">
        <f>Match!R99</f>
        <v>Finished</v>
      </c>
      <c r="AK98" t="str">
        <f t="shared" si="37"/>
        <v>" },</v>
      </c>
    </row>
    <row r="99" spans="1:37" x14ac:dyDescent="0.25">
      <c r="A99" s="94" t="str">
        <f t="shared" si="19"/>
        <v>new Match { MatchId= "</v>
      </c>
      <c r="B99" t="str">
        <f>Match!A100</f>
        <v>UEFAEURO2016-48</v>
      </c>
      <c r="C99" s="94" t="str">
        <f t="shared" si="20"/>
        <v>",MatchNumber=</v>
      </c>
      <c r="D99">
        <f>Match!B100</f>
        <v>48</v>
      </c>
      <c r="E99" s="94" t="str">
        <f t="shared" si="21"/>
        <v>,DateMatch=DateTime.Parse("</v>
      </c>
      <c r="F99" s="85">
        <f>Match!C100</f>
        <v>42554</v>
      </c>
      <c r="G99" s="92" t="str">
        <f t="shared" si="22"/>
        <v>"),TimeMatch=TimeSpan.Parse("</v>
      </c>
      <c r="H99" s="93">
        <f>Match!D100</f>
        <v>0.125</v>
      </c>
      <c r="I99" s="94" t="str">
        <f t="shared" si="23"/>
        <v>"),MatchYear=</v>
      </c>
      <c r="J99">
        <f>Match!E100</f>
        <v>2016</v>
      </c>
      <c r="K99" s="94" t="str">
        <f t="shared" si="24"/>
        <v>, SeasonId= "</v>
      </c>
      <c r="L99" t="str">
        <f>Match!F100</f>
        <v>UEFAEURO2016</v>
      </c>
      <c r="M99" s="94" t="str">
        <f t="shared" si="25"/>
        <v>",Round= "</v>
      </c>
      <c r="N99" t="str">
        <f>Match!G100</f>
        <v>Final Round</v>
      </c>
      <c r="O99" t="str">
        <f t="shared" si="26"/>
        <v>",Stage= "</v>
      </c>
      <c r="P99" t="str">
        <f>Match!H100</f>
        <v>Knockouts</v>
      </c>
      <c r="Q99" t="str">
        <f t="shared" si="27"/>
        <v>",SubStage= "</v>
      </c>
      <c r="R99" t="str">
        <f>Match!I100</f>
        <v>Quaterfinal</v>
      </c>
      <c r="S99" t="str">
        <f t="shared" si="28"/>
        <v>",HTeam= "</v>
      </c>
      <c r="T99" t="str">
        <f>Match!J100</f>
        <v>France</v>
      </c>
      <c r="U99" t="str">
        <f t="shared" si="29"/>
        <v>",HGoal=</v>
      </c>
      <c r="V99">
        <f>Match!K100</f>
        <v>5</v>
      </c>
      <c r="W99" t="str">
        <f t="shared" si="30"/>
        <v>,GGoal=</v>
      </c>
      <c r="X99">
        <f>Match!L100</f>
        <v>2</v>
      </c>
      <c r="Y99" t="str">
        <f t="shared" si="31"/>
        <v>,GTeam= "</v>
      </c>
      <c r="Z99" t="str">
        <f>Match!M100</f>
        <v>Iceland</v>
      </c>
      <c r="AA99" t="str">
        <f t="shared" si="32"/>
        <v>",WinNote="</v>
      </c>
      <c r="AB99" t="str">
        <f>IF(Match!N100="","",Match!N100)</f>
        <v/>
      </c>
      <c r="AC99" t="str">
        <f t="shared" si="33"/>
        <v xml:space="preserve">",Stadium=" </v>
      </c>
      <c r="AD99" s="95" t="str">
        <f>Match!O100</f>
        <v>Saint-Denis</v>
      </c>
      <c r="AE99" t="str">
        <f t="shared" si="34"/>
        <v>",Referee= "</v>
      </c>
      <c r="AF99" s="95" t="str">
        <f>IF(Match!P100="","",Match!P100)</f>
        <v/>
      </c>
      <c r="AG99" t="str">
        <f t="shared" si="35"/>
        <v xml:space="preserve">",Visistors= </v>
      </c>
      <c r="AH99" s="95">
        <f>IF(Match!Q100="",0,Match!Q100)</f>
        <v>0</v>
      </c>
      <c r="AI99" t="str">
        <f t="shared" si="36"/>
        <v>,Status= "</v>
      </c>
      <c r="AJ99" s="95" t="str">
        <f>Match!R100</f>
        <v>Finished</v>
      </c>
      <c r="AK99" t="str">
        <f t="shared" si="37"/>
        <v>" },</v>
      </c>
    </row>
    <row r="100" spans="1:37" x14ac:dyDescent="0.25">
      <c r="A100" s="94" t="str">
        <f t="shared" si="19"/>
        <v>new Match { MatchId= "</v>
      </c>
      <c r="B100" t="str">
        <f>Match!A101</f>
        <v>UEFAEURO2016-49</v>
      </c>
      <c r="C100" s="94" t="str">
        <f t="shared" si="20"/>
        <v>",MatchNumber=</v>
      </c>
      <c r="D100">
        <f>Match!B101</f>
        <v>49</v>
      </c>
      <c r="E100" s="94" t="str">
        <f t="shared" si="21"/>
        <v>,DateMatch=DateTime.Parse("</v>
      </c>
      <c r="F100" s="85">
        <f>Match!C101</f>
        <v>42558</v>
      </c>
      <c r="G100" s="92" t="str">
        <f t="shared" si="22"/>
        <v>"),TimeMatch=TimeSpan.Parse("</v>
      </c>
      <c r="H100" s="93">
        <f>Match!D101</f>
        <v>0.125</v>
      </c>
      <c r="I100" s="94" t="str">
        <f t="shared" si="23"/>
        <v>"),MatchYear=</v>
      </c>
      <c r="J100">
        <f>Match!E101</f>
        <v>2016</v>
      </c>
      <c r="K100" s="94" t="str">
        <f t="shared" si="24"/>
        <v>, SeasonId= "</v>
      </c>
      <c r="L100" t="str">
        <f>Match!F101</f>
        <v>UEFAEURO2016</v>
      </c>
      <c r="M100" s="94" t="str">
        <f t="shared" si="25"/>
        <v>",Round= "</v>
      </c>
      <c r="N100" t="str">
        <f>Match!G101</f>
        <v>Final Round</v>
      </c>
      <c r="O100" t="str">
        <f t="shared" si="26"/>
        <v>",Stage= "</v>
      </c>
      <c r="P100" t="str">
        <f>Match!H101</f>
        <v>Knockouts</v>
      </c>
      <c r="Q100" t="str">
        <f t="shared" si="27"/>
        <v>",SubStage= "</v>
      </c>
      <c r="R100" t="str">
        <f>Match!I101</f>
        <v>Semifinal</v>
      </c>
      <c r="S100" t="str">
        <f t="shared" si="28"/>
        <v>",HTeam= "</v>
      </c>
      <c r="T100" t="str">
        <f>Match!J101</f>
        <v>Portugal</v>
      </c>
      <c r="U100" t="str">
        <f t="shared" si="29"/>
        <v>",HGoal=</v>
      </c>
      <c r="V100">
        <f>Match!K101</f>
        <v>2</v>
      </c>
      <c r="W100" t="str">
        <f t="shared" si="30"/>
        <v>,GGoal=</v>
      </c>
      <c r="X100">
        <f>Match!L101</f>
        <v>0</v>
      </c>
      <c r="Y100" t="str">
        <f t="shared" si="31"/>
        <v>,GTeam= "</v>
      </c>
      <c r="Z100" t="str">
        <f>Match!M101</f>
        <v>Wales</v>
      </c>
      <c r="AA100" t="str">
        <f t="shared" si="32"/>
        <v>",WinNote="</v>
      </c>
      <c r="AB100" t="str">
        <f>IF(Match!N101="","",Match!N101)</f>
        <v/>
      </c>
      <c r="AC100" t="str">
        <f t="shared" si="33"/>
        <v xml:space="preserve">",Stadium=" </v>
      </c>
      <c r="AD100" s="95" t="str">
        <f>Match!O101</f>
        <v>Décines-Charpieu</v>
      </c>
      <c r="AE100" t="str">
        <f t="shared" si="34"/>
        <v>",Referee= "</v>
      </c>
      <c r="AF100" s="95" t="str">
        <f>IF(Match!P101="","",Match!P101)</f>
        <v/>
      </c>
      <c r="AG100" t="str">
        <f t="shared" si="35"/>
        <v xml:space="preserve">",Visistors= </v>
      </c>
      <c r="AH100" s="95">
        <f>IF(Match!Q101="",0,Match!Q101)</f>
        <v>0</v>
      </c>
      <c r="AI100" t="str">
        <f t="shared" si="36"/>
        <v>,Status= "</v>
      </c>
      <c r="AJ100" s="95" t="str">
        <f>Match!R101</f>
        <v>Finished</v>
      </c>
      <c r="AK100" t="str">
        <f t="shared" si="37"/>
        <v>" },</v>
      </c>
    </row>
    <row r="101" spans="1:37" x14ac:dyDescent="0.25">
      <c r="A101" s="94" t="str">
        <f t="shared" si="19"/>
        <v>new Match { MatchId= "</v>
      </c>
      <c r="B101" t="str">
        <f>Match!A102</f>
        <v>UEFAEURO2016-50</v>
      </c>
      <c r="C101" s="94" t="str">
        <f t="shared" si="20"/>
        <v>",MatchNumber=</v>
      </c>
      <c r="D101">
        <f>Match!B102</f>
        <v>50</v>
      </c>
      <c r="E101" s="94" t="str">
        <f t="shared" si="21"/>
        <v>,DateMatch=DateTime.Parse("</v>
      </c>
      <c r="F101" s="85">
        <f>Match!C102</f>
        <v>42559</v>
      </c>
      <c r="G101" s="92" t="str">
        <f t="shared" si="22"/>
        <v>"),TimeMatch=TimeSpan.Parse("</v>
      </c>
      <c r="H101" s="93">
        <f>Match!D102</f>
        <v>0.125</v>
      </c>
      <c r="I101" s="94" t="str">
        <f t="shared" si="23"/>
        <v>"),MatchYear=</v>
      </c>
      <c r="J101">
        <f>Match!E102</f>
        <v>2016</v>
      </c>
      <c r="K101" s="94" t="str">
        <f t="shared" si="24"/>
        <v>, SeasonId= "</v>
      </c>
      <c r="L101" t="str">
        <f>Match!F102</f>
        <v>UEFAEURO2016</v>
      </c>
      <c r="M101" s="94" t="str">
        <f t="shared" si="25"/>
        <v>",Round= "</v>
      </c>
      <c r="N101" t="str">
        <f>Match!G102</f>
        <v>Final Round</v>
      </c>
      <c r="O101" t="str">
        <f t="shared" si="26"/>
        <v>",Stage= "</v>
      </c>
      <c r="P101" t="str">
        <f>Match!H102</f>
        <v>Knockouts</v>
      </c>
      <c r="Q101" t="str">
        <f t="shared" si="27"/>
        <v>",SubStage= "</v>
      </c>
      <c r="R101" t="str">
        <f>Match!I102</f>
        <v>Semifinal</v>
      </c>
      <c r="S101" t="str">
        <f t="shared" si="28"/>
        <v>",HTeam= "</v>
      </c>
      <c r="T101" t="str">
        <f>Match!J102</f>
        <v>Germany</v>
      </c>
      <c r="U101" t="str">
        <f t="shared" si="29"/>
        <v>",HGoal=</v>
      </c>
      <c r="V101">
        <f>Match!K102</f>
        <v>0</v>
      </c>
      <c r="W101" t="str">
        <f t="shared" si="30"/>
        <v>,GGoal=</v>
      </c>
      <c r="X101">
        <f>Match!L102</f>
        <v>2</v>
      </c>
      <c r="Y101" t="str">
        <f t="shared" si="31"/>
        <v>,GTeam= "</v>
      </c>
      <c r="Z101" t="str">
        <f>Match!M102</f>
        <v>France</v>
      </c>
      <c r="AA101" t="str">
        <f t="shared" si="32"/>
        <v>",WinNote="</v>
      </c>
      <c r="AB101" t="str">
        <f>IF(Match!N102="","",Match!N102)</f>
        <v/>
      </c>
      <c r="AC101" t="str">
        <f t="shared" si="33"/>
        <v xml:space="preserve">",Stadium=" </v>
      </c>
      <c r="AD101" s="95" t="str">
        <f>Match!O102</f>
        <v>Marseille</v>
      </c>
      <c r="AE101" t="str">
        <f t="shared" si="34"/>
        <v>",Referee= "</v>
      </c>
      <c r="AF101" s="95" t="str">
        <f>IF(Match!P102="","",Match!P102)</f>
        <v/>
      </c>
      <c r="AG101" t="str">
        <f t="shared" si="35"/>
        <v xml:space="preserve">",Visistors= </v>
      </c>
      <c r="AH101" s="95">
        <f>IF(Match!Q102="",0,Match!Q102)</f>
        <v>0</v>
      </c>
      <c r="AI101" t="str">
        <f t="shared" si="36"/>
        <v>,Status= "</v>
      </c>
      <c r="AJ101" s="95" t="str">
        <f>Match!R102</f>
        <v>Finished</v>
      </c>
      <c r="AK101" t="str">
        <f t="shared" si="37"/>
        <v>" },</v>
      </c>
    </row>
    <row r="102" spans="1:37" x14ac:dyDescent="0.25">
      <c r="A102" s="94" t="str">
        <f t="shared" si="19"/>
        <v>new Match { MatchId= "</v>
      </c>
      <c r="B102" t="str">
        <f>Match!A103</f>
        <v>UEFAEURO2016-51</v>
      </c>
      <c r="C102" s="94" t="str">
        <f t="shared" si="20"/>
        <v>",MatchNumber=</v>
      </c>
      <c r="D102">
        <f>Match!B103</f>
        <v>51</v>
      </c>
      <c r="E102" s="94" t="str">
        <f t="shared" si="21"/>
        <v>,DateMatch=DateTime.Parse("</v>
      </c>
      <c r="F102" s="85">
        <f>Match!C103</f>
        <v>42562</v>
      </c>
      <c r="G102" s="92" t="str">
        <f t="shared" si="22"/>
        <v>"),TimeMatch=TimeSpan.Parse("</v>
      </c>
      <c r="H102" s="93">
        <f>Match!D103</f>
        <v>0.125</v>
      </c>
      <c r="I102" s="94" t="str">
        <f t="shared" si="23"/>
        <v>"),MatchYear=</v>
      </c>
      <c r="J102">
        <f>Match!E103</f>
        <v>2016</v>
      </c>
      <c r="K102" s="94" t="str">
        <f t="shared" si="24"/>
        <v>, SeasonId= "</v>
      </c>
      <c r="L102" t="str">
        <f>Match!F103</f>
        <v>UEFAEURO2016</v>
      </c>
      <c r="M102" s="94" t="str">
        <f t="shared" si="25"/>
        <v>",Round= "</v>
      </c>
      <c r="N102" t="str">
        <f>Match!G103</f>
        <v>Final Round</v>
      </c>
      <c r="O102" t="str">
        <f t="shared" si="26"/>
        <v>",Stage= "</v>
      </c>
      <c r="P102" t="str">
        <f>Match!H103</f>
        <v>Knockouts</v>
      </c>
      <c r="Q102" t="str">
        <f t="shared" si="27"/>
        <v>",SubStage= "</v>
      </c>
      <c r="R102" t="str">
        <f>Match!I103</f>
        <v>Final</v>
      </c>
      <c r="S102" t="str">
        <f t="shared" si="28"/>
        <v>",HTeam= "</v>
      </c>
      <c r="T102" t="str">
        <f>Match!J103</f>
        <v>Portugal</v>
      </c>
      <c r="U102" t="str">
        <f t="shared" si="29"/>
        <v>",HGoal=</v>
      </c>
      <c r="V102">
        <f>Match!K103</f>
        <v>1</v>
      </c>
      <c r="W102" t="str">
        <f t="shared" si="30"/>
        <v>,GGoal=</v>
      </c>
      <c r="X102">
        <f>Match!L103</f>
        <v>0</v>
      </c>
      <c r="Y102" t="str">
        <f t="shared" si="31"/>
        <v>,GTeam= "</v>
      </c>
      <c r="Z102" t="str">
        <f>Match!M103</f>
        <v>France</v>
      </c>
      <c r="AA102" t="str">
        <f t="shared" si="32"/>
        <v>",WinNote="</v>
      </c>
      <c r="AB102" t="str">
        <f>IF(Match!N103="","",Match!N103)</f>
        <v/>
      </c>
      <c r="AC102" t="str">
        <f t="shared" si="33"/>
        <v xml:space="preserve">",Stadium=" </v>
      </c>
      <c r="AD102" s="95" t="str">
        <f>Match!O103</f>
        <v>Saint-Denis</v>
      </c>
      <c r="AE102" t="str">
        <f t="shared" si="34"/>
        <v>",Referee= "</v>
      </c>
      <c r="AF102" s="95" t="str">
        <f>IF(Match!P103="","",Match!P103)</f>
        <v/>
      </c>
      <c r="AG102" t="str">
        <f t="shared" si="35"/>
        <v xml:space="preserve">",Visistors= </v>
      </c>
      <c r="AH102" s="95">
        <f>IF(Match!Q103="",0,Match!Q103)</f>
        <v>0</v>
      </c>
      <c r="AI102" t="str">
        <f t="shared" si="36"/>
        <v>,Status= "</v>
      </c>
      <c r="AJ102" s="95" t="str">
        <f>Match!R103</f>
        <v>Finished</v>
      </c>
      <c r="AK102" t="str">
        <f t="shared" si="37"/>
        <v>" },</v>
      </c>
    </row>
    <row r="103" spans="1:37" x14ac:dyDescent="0.25">
      <c r="A103" s="94" t="str">
        <f t="shared" si="19"/>
        <v>new Match { MatchId= "</v>
      </c>
      <c r="B103" t="str">
        <f>Match!A104</f>
        <v>UEFAEURO2012-1</v>
      </c>
      <c r="C103" s="94" t="str">
        <f t="shared" si="20"/>
        <v>",MatchNumber=</v>
      </c>
      <c r="D103">
        <f>Match!B104</f>
        <v>1</v>
      </c>
      <c r="E103" s="94" t="str">
        <f t="shared" si="21"/>
        <v>,DateMatch=DateTime.Parse("</v>
      </c>
      <c r="F103" s="85">
        <f>Match!C104</f>
        <v>41069</v>
      </c>
      <c r="G103" s="92" t="str">
        <f t="shared" si="22"/>
        <v>"),TimeMatch=TimeSpan.Parse("</v>
      </c>
      <c r="H103" s="93" t="str">
        <f>Match!D104</f>
        <v>00:00</v>
      </c>
      <c r="I103" s="94" t="str">
        <f t="shared" si="23"/>
        <v>"),MatchYear=</v>
      </c>
      <c r="J103">
        <f>Match!E104</f>
        <v>2012</v>
      </c>
      <c r="K103" s="94" t="str">
        <f t="shared" si="24"/>
        <v>, SeasonId= "</v>
      </c>
      <c r="L103" t="str">
        <f>Match!F104</f>
        <v>UEFAEURO2012</v>
      </c>
      <c r="M103" s="94" t="str">
        <f t="shared" si="25"/>
        <v>",Round= "</v>
      </c>
      <c r="N103" t="str">
        <f>Match!G104</f>
        <v>Final Round</v>
      </c>
      <c r="O103" t="str">
        <f t="shared" si="26"/>
        <v>",Stage= "</v>
      </c>
      <c r="P103" t="str">
        <f>Match!H104</f>
        <v>Group</v>
      </c>
      <c r="Q103" t="str">
        <f t="shared" si="27"/>
        <v>",SubStage= "</v>
      </c>
      <c r="R103" t="str">
        <f>Match!I104</f>
        <v>Group A</v>
      </c>
      <c r="S103" t="str">
        <f t="shared" si="28"/>
        <v>",HTeam= "</v>
      </c>
      <c r="T103" t="str">
        <f>Match!J104</f>
        <v>Poland</v>
      </c>
      <c r="U103" t="str">
        <f t="shared" si="29"/>
        <v>",HGoal=</v>
      </c>
      <c r="V103">
        <f>Match!K104</f>
        <v>1</v>
      </c>
      <c r="W103" t="str">
        <f t="shared" si="30"/>
        <v>,GGoal=</v>
      </c>
      <c r="X103">
        <f>Match!L104</f>
        <v>1</v>
      </c>
      <c r="Y103" t="str">
        <f t="shared" si="31"/>
        <v>,GTeam= "</v>
      </c>
      <c r="Z103" t="str">
        <f>Match!M104</f>
        <v>Greece</v>
      </c>
      <c r="AA103" t="str">
        <f t="shared" si="32"/>
        <v>",WinNote="</v>
      </c>
      <c r="AB103" t="str">
        <f>IF(Match!N104="","",Match!N104)</f>
        <v/>
      </c>
      <c r="AC103" t="str">
        <f t="shared" si="33"/>
        <v xml:space="preserve">",Stadium=" </v>
      </c>
      <c r="AD103" s="95" t="str">
        <f>Match!O104</f>
        <v>Warsaw (POL)</v>
      </c>
      <c r="AE103" t="str">
        <f t="shared" si="34"/>
        <v>",Referee= "</v>
      </c>
      <c r="AF103" s="95" t="str">
        <f>IF(Match!P104="","",Match!P104)</f>
        <v/>
      </c>
      <c r="AG103" t="str">
        <f t="shared" si="35"/>
        <v xml:space="preserve">",Visistors= </v>
      </c>
      <c r="AH103" s="95">
        <f>IF(Match!Q104="",0,Match!Q104)</f>
        <v>0</v>
      </c>
      <c r="AI103" t="str">
        <f t="shared" si="36"/>
        <v>,Status= "</v>
      </c>
      <c r="AJ103" s="95" t="str">
        <f>Match!R104</f>
        <v>Finished</v>
      </c>
      <c r="AK103" t="str">
        <f t="shared" si="37"/>
        <v>" },</v>
      </c>
    </row>
    <row r="104" spans="1:37" x14ac:dyDescent="0.25">
      <c r="A104" s="94" t="str">
        <f t="shared" si="19"/>
        <v>new Match { MatchId= "</v>
      </c>
      <c r="B104" t="str">
        <f>Match!A105</f>
        <v>UEFAEURO2012-2</v>
      </c>
      <c r="C104" s="94" t="str">
        <f t="shared" si="20"/>
        <v>",MatchNumber=</v>
      </c>
      <c r="D104">
        <f>Match!B105</f>
        <v>2</v>
      </c>
      <c r="E104" s="94" t="str">
        <f t="shared" si="21"/>
        <v>,DateMatch=DateTime.Parse("</v>
      </c>
      <c r="F104" s="85">
        <f>Match!C105</f>
        <v>41069</v>
      </c>
      <c r="G104" s="92" t="str">
        <f t="shared" si="22"/>
        <v>"),TimeMatch=TimeSpan.Parse("</v>
      </c>
      <c r="H104" s="93" t="str">
        <f>Match!D105</f>
        <v>02:45</v>
      </c>
      <c r="I104" s="94" t="str">
        <f t="shared" si="23"/>
        <v>"),MatchYear=</v>
      </c>
      <c r="J104">
        <f>Match!E105</f>
        <v>2012</v>
      </c>
      <c r="K104" s="94" t="str">
        <f t="shared" si="24"/>
        <v>, SeasonId= "</v>
      </c>
      <c r="L104" t="str">
        <f>Match!F105</f>
        <v>UEFAEURO2012</v>
      </c>
      <c r="M104" s="94" t="str">
        <f t="shared" si="25"/>
        <v>",Round= "</v>
      </c>
      <c r="N104" t="str">
        <f>Match!G105</f>
        <v>Final Round</v>
      </c>
      <c r="O104" t="str">
        <f t="shared" si="26"/>
        <v>",Stage= "</v>
      </c>
      <c r="P104" t="str">
        <f>Match!H105</f>
        <v>Group</v>
      </c>
      <c r="Q104" t="str">
        <f t="shared" si="27"/>
        <v>",SubStage= "</v>
      </c>
      <c r="R104" t="str">
        <f>Match!I105</f>
        <v>Group A</v>
      </c>
      <c r="S104" t="str">
        <f t="shared" si="28"/>
        <v>",HTeam= "</v>
      </c>
      <c r="T104" t="str">
        <f>Match!J105</f>
        <v>Russia</v>
      </c>
      <c r="U104" t="str">
        <f t="shared" si="29"/>
        <v>",HGoal=</v>
      </c>
      <c r="V104">
        <f>Match!K105</f>
        <v>4</v>
      </c>
      <c r="W104" t="str">
        <f t="shared" si="30"/>
        <v>,GGoal=</v>
      </c>
      <c r="X104">
        <f>Match!L105</f>
        <v>1</v>
      </c>
      <c r="Y104" t="str">
        <f t="shared" si="31"/>
        <v>,GTeam= "</v>
      </c>
      <c r="Z104" t="str">
        <f>Match!M105</f>
        <v>Czech Republic</v>
      </c>
      <c r="AA104" t="str">
        <f t="shared" si="32"/>
        <v>",WinNote="</v>
      </c>
      <c r="AB104" t="str">
        <f>IF(Match!N105="","",Match!N105)</f>
        <v/>
      </c>
      <c r="AC104" t="str">
        <f t="shared" si="33"/>
        <v xml:space="preserve">",Stadium=" </v>
      </c>
      <c r="AD104" s="95" t="str">
        <f>Match!O105</f>
        <v>Wroclaw (POL)</v>
      </c>
      <c r="AE104" t="str">
        <f t="shared" si="34"/>
        <v>",Referee= "</v>
      </c>
      <c r="AF104" s="95" t="str">
        <f>IF(Match!P105="","",Match!P105)</f>
        <v/>
      </c>
      <c r="AG104" t="str">
        <f t="shared" si="35"/>
        <v xml:space="preserve">",Visistors= </v>
      </c>
      <c r="AH104" s="95">
        <f>IF(Match!Q105="",0,Match!Q105)</f>
        <v>0</v>
      </c>
      <c r="AI104" t="str">
        <f t="shared" si="36"/>
        <v>,Status= "</v>
      </c>
      <c r="AJ104" s="95" t="str">
        <f>Match!R105</f>
        <v>Finished</v>
      </c>
      <c r="AK104" t="str">
        <f t="shared" si="37"/>
        <v>" },</v>
      </c>
    </row>
    <row r="105" spans="1:37" x14ac:dyDescent="0.25">
      <c r="A105" s="94" t="str">
        <f t="shared" si="19"/>
        <v>new Match { MatchId= "</v>
      </c>
      <c r="B105" t="str">
        <f>Match!A106</f>
        <v>UEFAEURO2012-3</v>
      </c>
      <c r="C105" s="94" t="str">
        <f t="shared" si="20"/>
        <v>",MatchNumber=</v>
      </c>
      <c r="D105">
        <f>Match!B106</f>
        <v>3</v>
      </c>
      <c r="E105" s="94" t="str">
        <f t="shared" si="21"/>
        <v>,DateMatch=DateTime.Parse("</v>
      </c>
      <c r="F105" s="85">
        <f>Match!C106</f>
        <v>41070</v>
      </c>
      <c r="G105" s="92" t="str">
        <f t="shared" si="22"/>
        <v>"),TimeMatch=TimeSpan.Parse("</v>
      </c>
      <c r="H105" s="93" t="str">
        <f>Match!D106</f>
        <v>00:00</v>
      </c>
      <c r="I105" s="94" t="str">
        <f t="shared" si="23"/>
        <v>"),MatchYear=</v>
      </c>
      <c r="J105">
        <f>Match!E106</f>
        <v>2012</v>
      </c>
      <c r="K105" s="94" t="str">
        <f t="shared" si="24"/>
        <v>, SeasonId= "</v>
      </c>
      <c r="L105" t="str">
        <f>Match!F106</f>
        <v>UEFAEURO2012</v>
      </c>
      <c r="M105" s="94" t="str">
        <f t="shared" si="25"/>
        <v>",Round= "</v>
      </c>
      <c r="N105" t="str">
        <f>Match!G106</f>
        <v>Final Round</v>
      </c>
      <c r="O105" t="str">
        <f t="shared" si="26"/>
        <v>",Stage= "</v>
      </c>
      <c r="P105" t="str">
        <f>Match!H106</f>
        <v>Group</v>
      </c>
      <c r="Q105" t="str">
        <f t="shared" si="27"/>
        <v>",SubStage= "</v>
      </c>
      <c r="R105" t="str">
        <f>Match!I106</f>
        <v>Group B</v>
      </c>
      <c r="S105" t="str">
        <f t="shared" si="28"/>
        <v>",HTeam= "</v>
      </c>
      <c r="T105" t="str">
        <f>Match!J106</f>
        <v>Netherlands</v>
      </c>
      <c r="U105" t="str">
        <f t="shared" si="29"/>
        <v>",HGoal=</v>
      </c>
      <c r="V105">
        <f>Match!K106</f>
        <v>0</v>
      </c>
      <c r="W105" t="str">
        <f t="shared" si="30"/>
        <v>,GGoal=</v>
      </c>
      <c r="X105">
        <f>Match!L106</f>
        <v>1</v>
      </c>
      <c r="Y105" t="str">
        <f t="shared" si="31"/>
        <v>,GTeam= "</v>
      </c>
      <c r="Z105" t="str">
        <f>Match!M106</f>
        <v>Denmark</v>
      </c>
      <c r="AA105" t="str">
        <f t="shared" si="32"/>
        <v>",WinNote="</v>
      </c>
      <c r="AB105" t="str">
        <f>IF(Match!N106="","",Match!N106)</f>
        <v/>
      </c>
      <c r="AC105" t="str">
        <f t="shared" si="33"/>
        <v xml:space="preserve">",Stadium=" </v>
      </c>
      <c r="AD105" s="95" t="str">
        <f>Match!O106</f>
        <v>Kharkiv (UKR)</v>
      </c>
      <c r="AE105" t="str">
        <f t="shared" si="34"/>
        <v>",Referee= "</v>
      </c>
      <c r="AF105" s="95" t="str">
        <f>IF(Match!P106="","",Match!P106)</f>
        <v/>
      </c>
      <c r="AG105" t="str">
        <f t="shared" si="35"/>
        <v xml:space="preserve">",Visistors= </v>
      </c>
      <c r="AH105" s="95">
        <f>IF(Match!Q106="",0,Match!Q106)</f>
        <v>0</v>
      </c>
      <c r="AI105" t="str">
        <f t="shared" si="36"/>
        <v>,Status= "</v>
      </c>
      <c r="AJ105" s="95" t="str">
        <f>Match!R106</f>
        <v>Finished</v>
      </c>
      <c r="AK105" t="str">
        <f t="shared" si="37"/>
        <v>" },</v>
      </c>
    </row>
    <row r="106" spans="1:37" x14ac:dyDescent="0.25">
      <c r="A106" s="94" t="str">
        <f t="shared" si="19"/>
        <v>new Match { MatchId= "</v>
      </c>
      <c r="B106" t="str">
        <f>Match!A107</f>
        <v>UEFAEURO2012-4</v>
      </c>
      <c r="C106" s="94" t="str">
        <f t="shared" si="20"/>
        <v>",MatchNumber=</v>
      </c>
      <c r="D106">
        <f>Match!B107</f>
        <v>4</v>
      </c>
      <c r="E106" s="94" t="str">
        <f t="shared" si="21"/>
        <v>,DateMatch=DateTime.Parse("</v>
      </c>
      <c r="F106" s="85">
        <f>Match!C107</f>
        <v>41070</v>
      </c>
      <c r="G106" s="92" t="str">
        <f t="shared" si="22"/>
        <v>"),TimeMatch=TimeSpan.Parse("</v>
      </c>
      <c r="H106" s="93" t="str">
        <f>Match!D107</f>
        <v>02:45</v>
      </c>
      <c r="I106" s="94" t="str">
        <f t="shared" si="23"/>
        <v>"),MatchYear=</v>
      </c>
      <c r="J106">
        <f>Match!E107</f>
        <v>2012</v>
      </c>
      <c r="K106" s="94" t="str">
        <f t="shared" si="24"/>
        <v>, SeasonId= "</v>
      </c>
      <c r="L106" t="str">
        <f>Match!F107</f>
        <v>UEFAEURO2012</v>
      </c>
      <c r="M106" s="94" t="str">
        <f t="shared" si="25"/>
        <v>",Round= "</v>
      </c>
      <c r="N106" t="str">
        <f>Match!G107</f>
        <v>Final Round</v>
      </c>
      <c r="O106" t="str">
        <f t="shared" si="26"/>
        <v>",Stage= "</v>
      </c>
      <c r="P106" t="str">
        <f>Match!H107</f>
        <v>Group</v>
      </c>
      <c r="Q106" t="str">
        <f t="shared" si="27"/>
        <v>",SubStage= "</v>
      </c>
      <c r="R106" t="str">
        <f>Match!I107</f>
        <v>Group B</v>
      </c>
      <c r="S106" t="str">
        <f t="shared" si="28"/>
        <v>",HTeam= "</v>
      </c>
      <c r="T106" t="str">
        <f>Match!J107</f>
        <v>Germany</v>
      </c>
      <c r="U106" t="str">
        <f t="shared" si="29"/>
        <v>",HGoal=</v>
      </c>
      <c r="V106">
        <f>Match!K107</f>
        <v>1</v>
      </c>
      <c r="W106" t="str">
        <f t="shared" si="30"/>
        <v>,GGoal=</v>
      </c>
      <c r="X106">
        <f>Match!L107</f>
        <v>0</v>
      </c>
      <c r="Y106" t="str">
        <f t="shared" si="31"/>
        <v>,GTeam= "</v>
      </c>
      <c r="Z106" t="str">
        <f>Match!M107</f>
        <v>Portugal</v>
      </c>
      <c r="AA106" t="str">
        <f t="shared" si="32"/>
        <v>",WinNote="</v>
      </c>
      <c r="AB106" t="str">
        <f>IF(Match!N107="","",Match!N107)</f>
        <v/>
      </c>
      <c r="AC106" t="str">
        <f t="shared" si="33"/>
        <v xml:space="preserve">",Stadium=" </v>
      </c>
      <c r="AD106" s="95" t="str">
        <f>Match!O107</f>
        <v>Lviv (UKR)</v>
      </c>
      <c r="AE106" t="str">
        <f t="shared" si="34"/>
        <v>",Referee= "</v>
      </c>
      <c r="AF106" s="95" t="str">
        <f>IF(Match!P107="","",Match!P107)</f>
        <v/>
      </c>
      <c r="AG106" t="str">
        <f t="shared" si="35"/>
        <v xml:space="preserve">",Visistors= </v>
      </c>
      <c r="AH106" s="95">
        <f>IF(Match!Q107="",0,Match!Q107)</f>
        <v>0</v>
      </c>
      <c r="AI106" t="str">
        <f t="shared" si="36"/>
        <v>,Status= "</v>
      </c>
      <c r="AJ106" s="95" t="str">
        <f>Match!R107</f>
        <v>Finished</v>
      </c>
      <c r="AK106" t="str">
        <f t="shared" si="37"/>
        <v>" },</v>
      </c>
    </row>
    <row r="107" spans="1:37" x14ac:dyDescent="0.25">
      <c r="A107" s="94" t="str">
        <f t="shared" si="19"/>
        <v>new Match { MatchId= "</v>
      </c>
      <c r="B107" t="str">
        <f>Match!A108</f>
        <v>UEFAEURO2012-5</v>
      </c>
      <c r="C107" s="94" t="str">
        <f t="shared" si="20"/>
        <v>",MatchNumber=</v>
      </c>
      <c r="D107">
        <f>Match!B108</f>
        <v>5</v>
      </c>
      <c r="E107" s="94" t="str">
        <f t="shared" si="21"/>
        <v>,DateMatch=DateTime.Parse("</v>
      </c>
      <c r="F107" s="85">
        <f>Match!C108</f>
        <v>41071</v>
      </c>
      <c r="G107" s="92" t="str">
        <f t="shared" si="22"/>
        <v>"),TimeMatch=TimeSpan.Parse("</v>
      </c>
      <c r="H107" s="93" t="str">
        <f>Match!D108</f>
        <v>00:00</v>
      </c>
      <c r="I107" s="94" t="str">
        <f t="shared" si="23"/>
        <v>"),MatchYear=</v>
      </c>
      <c r="J107">
        <f>Match!E108</f>
        <v>2012</v>
      </c>
      <c r="K107" s="94" t="str">
        <f t="shared" si="24"/>
        <v>, SeasonId= "</v>
      </c>
      <c r="L107" t="str">
        <f>Match!F108</f>
        <v>UEFAEURO2012</v>
      </c>
      <c r="M107" s="94" t="str">
        <f t="shared" si="25"/>
        <v>",Round= "</v>
      </c>
      <c r="N107" t="str">
        <f>Match!G108</f>
        <v>Final Round</v>
      </c>
      <c r="O107" t="str">
        <f t="shared" si="26"/>
        <v>",Stage= "</v>
      </c>
      <c r="P107" t="str">
        <f>Match!H108</f>
        <v>Group</v>
      </c>
      <c r="Q107" t="str">
        <f t="shared" si="27"/>
        <v>",SubStage= "</v>
      </c>
      <c r="R107" t="str">
        <f>Match!I108</f>
        <v>Group C</v>
      </c>
      <c r="S107" t="str">
        <f t="shared" si="28"/>
        <v>",HTeam= "</v>
      </c>
      <c r="T107" t="str">
        <f>Match!J108</f>
        <v>Spain</v>
      </c>
      <c r="U107" t="str">
        <f t="shared" si="29"/>
        <v>",HGoal=</v>
      </c>
      <c r="V107">
        <f>Match!K108</f>
        <v>1</v>
      </c>
      <c r="W107" t="str">
        <f t="shared" si="30"/>
        <v>,GGoal=</v>
      </c>
      <c r="X107">
        <f>Match!L108</f>
        <v>1</v>
      </c>
      <c r="Y107" t="str">
        <f t="shared" si="31"/>
        <v>,GTeam= "</v>
      </c>
      <c r="Z107" t="str">
        <f>Match!M108</f>
        <v>Italy</v>
      </c>
      <c r="AA107" t="str">
        <f t="shared" si="32"/>
        <v>",WinNote="</v>
      </c>
      <c r="AB107" t="str">
        <f>IF(Match!N108="","",Match!N108)</f>
        <v/>
      </c>
      <c r="AC107" t="str">
        <f t="shared" si="33"/>
        <v xml:space="preserve">",Stadium=" </v>
      </c>
      <c r="AD107" s="95" t="str">
        <f>Match!O108</f>
        <v>Gdansk (POL)</v>
      </c>
      <c r="AE107" t="str">
        <f t="shared" si="34"/>
        <v>",Referee= "</v>
      </c>
      <c r="AF107" s="95" t="str">
        <f>IF(Match!P108="","",Match!P108)</f>
        <v/>
      </c>
      <c r="AG107" t="str">
        <f t="shared" si="35"/>
        <v xml:space="preserve">",Visistors= </v>
      </c>
      <c r="AH107" s="95">
        <f>IF(Match!Q108="",0,Match!Q108)</f>
        <v>0</v>
      </c>
      <c r="AI107" t="str">
        <f t="shared" si="36"/>
        <v>,Status= "</v>
      </c>
      <c r="AJ107" s="95" t="str">
        <f>Match!R108</f>
        <v>Finished</v>
      </c>
      <c r="AK107" t="str">
        <f t="shared" si="37"/>
        <v>" },</v>
      </c>
    </row>
    <row r="108" spans="1:37" x14ac:dyDescent="0.25">
      <c r="A108" s="94" t="str">
        <f t="shared" si="19"/>
        <v>new Match { MatchId= "</v>
      </c>
      <c r="B108" t="str">
        <f>Match!A109</f>
        <v>UEFAEURO2012-6</v>
      </c>
      <c r="C108" s="94" t="str">
        <f t="shared" si="20"/>
        <v>",MatchNumber=</v>
      </c>
      <c r="D108">
        <f>Match!B109</f>
        <v>6</v>
      </c>
      <c r="E108" s="94" t="str">
        <f t="shared" si="21"/>
        <v>,DateMatch=DateTime.Parse("</v>
      </c>
      <c r="F108" s="85">
        <f>Match!C109</f>
        <v>41071</v>
      </c>
      <c r="G108" s="92" t="str">
        <f t="shared" si="22"/>
        <v>"),TimeMatch=TimeSpan.Parse("</v>
      </c>
      <c r="H108" s="93" t="str">
        <f>Match!D109</f>
        <v>02:45</v>
      </c>
      <c r="I108" s="94" t="str">
        <f t="shared" si="23"/>
        <v>"),MatchYear=</v>
      </c>
      <c r="J108">
        <f>Match!E109</f>
        <v>2012</v>
      </c>
      <c r="K108" s="94" t="str">
        <f t="shared" si="24"/>
        <v>, SeasonId= "</v>
      </c>
      <c r="L108" t="str">
        <f>Match!F109</f>
        <v>UEFAEURO2012</v>
      </c>
      <c r="M108" s="94" t="str">
        <f t="shared" si="25"/>
        <v>",Round= "</v>
      </c>
      <c r="N108" t="str">
        <f>Match!G109</f>
        <v>Final Round</v>
      </c>
      <c r="O108" t="str">
        <f t="shared" si="26"/>
        <v>",Stage= "</v>
      </c>
      <c r="P108" t="str">
        <f>Match!H109</f>
        <v>Group</v>
      </c>
      <c r="Q108" t="str">
        <f t="shared" si="27"/>
        <v>",SubStage= "</v>
      </c>
      <c r="R108" t="str">
        <f>Match!I109</f>
        <v>Group C</v>
      </c>
      <c r="S108" t="str">
        <f t="shared" si="28"/>
        <v>",HTeam= "</v>
      </c>
      <c r="T108" t="str">
        <f>Match!J109</f>
        <v>Republic of Ireland</v>
      </c>
      <c r="U108" t="str">
        <f t="shared" si="29"/>
        <v>",HGoal=</v>
      </c>
      <c r="V108">
        <f>Match!K109</f>
        <v>1</v>
      </c>
      <c r="W108" t="str">
        <f t="shared" si="30"/>
        <v>,GGoal=</v>
      </c>
      <c r="X108">
        <f>Match!L109</f>
        <v>3</v>
      </c>
      <c r="Y108" t="str">
        <f t="shared" si="31"/>
        <v>,GTeam= "</v>
      </c>
      <c r="Z108" t="str">
        <f>Match!M109</f>
        <v>Croatia</v>
      </c>
      <c r="AA108" t="str">
        <f t="shared" si="32"/>
        <v>",WinNote="</v>
      </c>
      <c r="AB108" t="str">
        <f>IF(Match!N109="","",Match!N109)</f>
        <v/>
      </c>
      <c r="AC108" t="str">
        <f t="shared" si="33"/>
        <v xml:space="preserve">",Stadium=" </v>
      </c>
      <c r="AD108" s="95" t="str">
        <f>Match!O109</f>
        <v>Poznan (POL)</v>
      </c>
      <c r="AE108" t="str">
        <f t="shared" si="34"/>
        <v>",Referee= "</v>
      </c>
      <c r="AF108" s="95" t="str">
        <f>IF(Match!P109="","",Match!P109)</f>
        <v/>
      </c>
      <c r="AG108" t="str">
        <f t="shared" si="35"/>
        <v xml:space="preserve">",Visistors= </v>
      </c>
      <c r="AH108" s="95">
        <f>IF(Match!Q109="",0,Match!Q109)</f>
        <v>0</v>
      </c>
      <c r="AI108" t="str">
        <f t="shared" si="36"/>
        <v>,Status= "</v>
      </c>
      <c r="AJ108" s="95" t="str">
        <f>Match!R109</f>
        <v>Finished</v>
      </c>
      <c r="AK108" t="str">
        <f t="shared" si="37"/>
        <v>" },</v>
      </c>
    </row>
    <row r="109" spans="1:37" x14ac:dyDescent="0.25">
      <c r="A109" s="94" t="str">
        <f t="shared" si="19"/>
        <v>new Match { MatchId= "</v>
      </c>
      <c r="B109" t="str">
        <f>Match!A110</f>
        <v>UEFAEURO2012-7</v>
      </c>
      <c r="C109" s="94" t="str">
        <f t="shared" si="20"/>
        <v>",MatchNumber=</v>
      </c>
      <c r="D109">
        <f>Match!B110</f>
        <v>7</v>
      </c>
      <c r="E109" s="94" t="str">
        <f t="shared" si="21"/>
        <v>,DateMatch=DateTime.Parse("</v>
      </c>
      <c r="F109" s="85">
        <f>Match!C110</f>
        <v>41072</v>
      </c>
      <c r="G109" s="92" t="str">
        <f t="shared" si="22"/>
        <v>"),TimeMatch=TimeSpan.Parse("</v>
      </c>
      <c r="H109" s="93" t="str">
        <f>Match!D110</f>
        <v>00:00</v>
      </c>
      <c r="I109" s="94" t="str">
        <f t="shared" si="23"/>
        <v>"),MatchYear=</v>
      </c>
      <c r="J109">
        <f>Match!E110</f>
        <v>2012</v>
      </c>
      <c r="K109" s="94" t="str">
        <f t="shared" si="24"/>
        <v>, SeasonId= "</v>
      </c>
      <c r="L109" t="str">
        <f>Match!F110</f>
        <v>UEFAEURO2012</v>
      </c>
      <c r="M109" s="94" t="str">
        <f t="shared" si="25"/>
        <v>",Round= "</v>
      </c>
      <c r="N109" t="str">
        <f>Match!G110</f>
        <v>Final Round</v>
      </c>
      <c r="O109" t="str">
        <f t="shared" si="26"/>
        <v>",Stage= "</v>
      </c>
      <c r="P109" t="str">
        <f>Match!H110</f>
        <v>Group</v>
      </c>
      <c r="Q109" t="str">
        <f t="shared" si="27"/>
        <v>",SubStage= "</v>
      </c>
      <c r="R109" t="str">
        <f>Match!I110</f>
        <v>Group D</v>
      </c>
      <c r="S109" t="str">
        <f t="shared" si="28"/>
        <v>",HTeam= "</v>
      </c>
      <c r="T109" t="str">
        <f>Match!J110</f>
        <v>France</v>
      </c>
      <c r="U109" t="str">
        <f t="shared" si="29"/>
        <v>",HGoal=</v>
      </c>
      <c r="V109">
        <f>Match!K110</f>
        <v>1</v>
      </c>
      <c r="W109" t="str">
        <f t="shared" si="30"/>
        <v>,GGoal=</v>
      </c>
      <c r="X109">
        <f>Match!L110</f>
        <v>1</v>
      </c>
      <c r="Y109" t="str">
        <f t="shared" si="31"/>
        <v>,GTeam= "</v>
      </c>
      <c r="Z109" t="str">
        <f>Match!M110</f>
        <v>England</v>
      </c>
      <c r="AA109" t="str">
        <f t="shared" si="32"/>
        <v>",WinNote="</v>
      </c>
      <c r="AB109" t="str">
        <f>IF(Match!N110="","",Match!N110)</f>
        <v/>
      </c>
      <c r="AC109" t="str">
        <f t="shared" si="33"/>
        <v xml:space="preserve">",Stadium=" </v>
      </c>
      <c r="AD109" s="95" t="str">
        <f>Match!O110</f>
        <v>Donetsk (UKR)</v>
      </c>
      <c r="AE109" t="str">
        <f t="shared" si="34"/>
        <v>",Referee= "</v>
      </c>
      <c r="AF109" s="95" t="str">
        <f>IF(Match!P110="","",Match!P110)</f>
        <v/>
      </c>
      <c r="AG109" t="str">
        <f t="shared" si="35"/>
        <v xml:space="preserve">",Visistors= </v>
      </c>
      <c r="AH109" s="95">
        <f>IF(Match!Q110="",0,Match!Q110)</f>
        <v>0</v>
      </c>
      <c r="AI109" t="str">
        <f t="shared" si="36"/>
        <v>,Status= "</v>
      </c>
      <c r="AJ109" s="95" t="str">
        <f>Match!R110</f>
        <v>Finished</v>
      </c>
      <c r="AK109" t="str">
        <f t="shared" si="37"/>
        <v>" },</v>
      </c>
    </row>
    <row r="110" spans="1:37" x14ac:dyDescent="0.25">
      <c r="A110" s="94" t="str">
        <f t="shared" si="19"/>
        <v>new Match { MatchId= "</v>
      </c>
      <c r="B110" t="str">
        <f>Match!A111</f>
        <v>UEFAEURO2012-8</v>
      </c>
      <c r="C110" s="94" t="str">
        <f t="shared" si="20"/>
        <v>",MatchNumber=</v>
      </c>
      <c r="D110">
        <f>Match!B111</f>
        <v>8</v>
      </c>
      <c r="E110" s="94" t="str">
        <f t="shared" si="21"/>
        <v>,DateMatch=DateTime.Parse("</v>
      </c>
      <c r="F110" s="85">
        <f>Match!C111</f>
        <v>41072</v>
      </c>
      <c r="G110" s="92" t="str">
        <f t="shared" si="22"/>
        <v>"),TimeMatch=TimeSpan.Parse("</v>
      </c>
      <c r="H110" s="93" t="str">
        <f>Match!D111</f>
        <v>02:45</v>
      </c>
      <c r="I110" s="94" t="str">
        <f t="shared" si="23"/>
        <v>"),MatchYear=</v>
      </c>
      <c r="J110">
        <f>Match!E111</f>
        <v>2012</v>
      </c>
      <c r="K110" s="94" t="str">
        <f t="shared" si="24"/>
        <v>, SeasonId= "</v>
      </c>
      <c r="L110" t="str">
        <f>Match!F111</f>
        <v>UEFAEURO2012</v>
      </c>
      <c r="M110" s="94" t="str">
        <f t="shared" si="25"/>
        <v>",Round= "</v>
      </c>
      <c r="N110" t="str">
        <f>Match!G111</f>
        <v>Final Round</v>
      </c>
      <c r="O110" t="str">
        <f t="shared" si="26"/>
        <v>",Stage= "</v>
      </c>
      <c r="P110" t="str">
        <f>Match!H111</f>
        <v>Group</v>
      </c>
      <c r="Q110" t="str">
        <f t="shared" si="27"/>
        <v>",SubStage= "</v>
      </c>
      <c r="R110" t="str">
        <f>Match!I111</f>
        <v>Group D</v>
      </c>
      <c r="S110" t="str">
        <f t="shared" si="28"/>
        <v>",HTeam= "</v>
      </c>
      <c r="T110" t="str">
        <f>Match!J111</f>
        <v>Ukraine</v>
      </c>
      <c r="U110" t="str">
        <f t="shared" si="29"/>
        <v>",HGoal=</v>
      </c>
      <c r="V110">
        <f>Match!K111</f>
        <v>2</v>
      </c>
      <c r="W110" t="str">
        <f t="shared" si="30"/>
        <v>,GGoal=</v>
      </c>
      <c r="X110">
        <f>Match!L111</f>
        <v>1</v>
      </c>
      <c r="Y110" t="str">
        <f t="shared" si="31"/>
        <v>,GTeam= "</v>
      </c>
      <c r="Z110" t="str">
        <f>Match!M111</f>
        <v>Sweden</v>
      </c>
      <c r="AA110" t="str">
        <f t="shared" si="32"/>
        <v>",WinNote="</v>
      </c>
      <c r="AB110" t="str">
        <f>IF(Match!N111="","",Match!N111)</f>
        <v/>
      </c>
      <c r="AC110" t="str">
        <f t="shared" si="33"/>
        <v xml:space="preserve">",Stadium=" </v>
      </c>
      <c r="AD110" s="95" t="str">
        <f>Match!O111</f>
        <v>Kyiv (UKR)</v>
      </c>
      <c r="AE110" t="str">
        <f t="shared" si="34"/>
        <v>",Referee= "</v>
      </c>
      <c r="AF110" s="95" t="str">
        <f>IF(Match!P111="","",Match!P111)</f>
        <v/>
      </c>
      <c r="AG110" t="str">
        <f t="shared" si="35"/>
        <v xml:space="preserve">",Visistors= </v>
      </c>
      <c r="AH110" s="95">
        <f>IF(Match!Q111="",0,Match!Q111)</f>
        <v>0</v>
      </c>
      <c r="AI110" t="str">
        <f t="shared" si="36"/>
        <v>,Status= "</v>
      </c>
      <c r="AJ110" s="95" t="str">
        <f>Match!R111</f>
        <v>Finished</v>
      </c>
      <c r="AK110" t="str">
        <f t="shared" si="37"/>
        <v>" },</v>
      </c>
    </row>
    <row r="111" spans="1:37" x14ac:dyDescent="0.25">
      <c r="A111" s="94" t="str">
        <f t="shared" si="19"/>
        <v>new Match { MatchId= "</v>
      </c>
      <c r="B111" t="str">
        <f>Match!A112</f>
        <v>UEFAEURO2012-9</v>
      </c>
      <c r="C111" s="94" t="str">
        <f t="shared" si="20"/>
        <v>",MatchNumber=</v>
      </c>
      <c r="D111">
        <f>Match!B112</f>
        <v>9</v>
      </c>
      <c r="E111" s="94" t="str">
        <f t="shared" si="21"/>
        <v>,DateMatch=DateTime.Parse("</v>
      </c>
      <c r="F111" s="85">
        <f>Match!C112</f>
        <v>41073</v>
      </c>
      <c r="G111" s="92" t="str">
        <f t="shared" si="22"/>
        <v>"),TimeMatch=TimeSpan.Parse("</v>
      </c>
      <c r="H111" s="93" t="str">
        <f>Match!D112</f>
        <v>00:00</v>
      </c>
      <c r="I111" s="94" t="str">
        <f t="shared" si="23"/>
        <v>"),MatchYear=</v>
      </c>
      <c r="J111">
        <f>Match!E112</f>
        <v>2012</v>
      </c>
      <c r="K111" s="94" t="str">
        <f t="shared" si="24"/>
        <v>, SeasonId= "</v>
      </c>
      <c r="L111" t="str">
        <f>Match!F112</f>
        <v>UEFAEURO2012</v>
      </c>
      <c r="M111" s="94" t="str">
        <f t="shared" si="25"/>
        <v>",Round= "</v>
      </c>
      <c r="N111" t="str">
        <f>Match!G112</f>
        <v>Final Round</v>
      </c>
      <c r="O111" t="str">
        <f t="shared" si="26"/>
        <v>",Stage= "</v>
      </c>
      <c r="P111" t="str">
        <f>Match!H112</f>
        <v>Group</v>
      </c>
      <c r="Q111" t="str">
        <f t="shared" si="27"/>
        <v>",SubStage= "</v>
      </c>
      <c r="R111" t="str">
        <f>Match!I112</f>
        <v>Group A</v>
      </c>
      <c r="S111" t="str">
        <f t="shared" si="28"/>
        <v>",HTeam= "</v>
      </c>
      <c r="T111" t="str">
        <f>Match!J112</f>
        <v>Greece</v>
      </c>
      <c r="U111" t="str">
        <f t="shared" si="29"/>
        <v>",HGoal=</v>
      </c>
      <c r="V111">
        <f>Match!K112</f>
        <v>1</v>
      </c>
      <c r="W111" t="str">
        <f t="shared" si="30"/>
        <v>,GGoal=</v>
      </c>
      <c r="X111">
        <f>Match!L112</f>
        <v>2</v>
      </c>
      <c r="Y111" t="str">
        <f t="shared" si="31"/>
        <v>,GTeam= "</v>
      </c>
      <c r="Z111" t="str">
        <f>Match!M112</f>
        <v>Czech Republic</v>
      </c>
      <c r="AA111" t="str">
        <f t="shared" si="32"/>
        <v>",WinNote="</v>
      </c>
      <c r="AB111" t="str">
        <f>IF(Match!N112="","",Match!N112)</f>
        <v/>
      </c>
      <c r="AC111" t="str">
        <f t="shared" si="33"/>
        <v xml:space="preserve">",Stadium=" </v>
      </c>
      <c r="AD111" s="95" t="str">
        <f>Match!O112</f>
        <v>Wroclaw (POL)</v>
      </c>
      <c r="AE111" t="str">
        <f t="shared" si="34"/>
        <v>",Referee= "</v>
      </c>
      <c r="AF111" s="95" t="str">
        <f>IF(Match!P112="","",Match!P112)</f>
        <v/>
      </c>
      <c r="AG111" t="str">
        <f t="shared" si="35"/>
        <v xml:space="preserve">",Visistors= </v>
      </c>
      <c r="AH111" s="95">
        <f>IF(Match!Q112="",0,Match!Q112)</f>
        <v>0</v>
      </c>
      <c r="AI111" t="str">
        <f t="shared" si="36"/>
        <v>,Status= "</v>
      </c>
      <c r="AJ111" s="95" t="str">
        <f>Match!R112</f>
        <v>Finished</v>
      </c>
      <c r="AK111" t="str">
        <f t="shared" si="37"/>
        <v>" },</v>
      </c>
    </row>
    <row r="112" spans="1:37" x14ac:dyDescent="0.25">
      <c r="A112" s="94" t="str">
        <f t="shared" si="19"/>
        <v>new Match { MatchId= "</v>
      </c>
      <c r="B112" t="str">
        <f>Match!A113</f>
        <v>UEFAEURO2012-10</v>
      </c>
      <c r="C112" s="94" t="str">
        <f t="shared" si="20"/>
        <v>",MatchNumber=</v>
      </c>
      <c r="D112">
        <f>Match!B113</f>
        <v>10</v>
      </c>
      <c r="E112" s="94" t="str">
        <f t="shared" si="21"/>
        <v>,DateMatch=DateTime.Parse("</v>
      </c>
      <c r="F112" s="85">
        <f>Match!C113</f>
        <v>41073</v>
      </c>
      <c r="G112" s="92" t="str">
        <f t="shared" si="22"/>
        <v>"),TimeMatch=TimeSpan.Parse("</v>
      </c>
      <c r="H112" s="93" t="str">
        <f>Match!D113</f>
        <v>02:45</v>
      </c>
      <c r="I112" s="94" t="str">
        <f t="shared" si="23"/>
        <v>"),MatchYear=</v>
      </c>
      <c r="J112">
        <f>Match!E113</f>
        <v>2012</v>
      </c>
      <c r="K112" s="94" t="str">
        <f t="shared" si="24"/>
        <v>, SeasonId= "</v>
      </c>
      <c r="L112" t="str">
        <f>Match!F113</f>
        <v>UEFAEURO2012</v>
      </c>
      <c r="M112" s="94" t="str">
        <f t="shared" si="25"/>
        <v>",Round= "</v>
      </c>
      <c r="N112" t="str">
        <f>Match!G113</f>
        <v>Final Round</v>
      </c>
      <c r="O112" t="str">
        <f t="shared" si="26"/>
        <v>",Stage= "</v>
      </c>
      <c r="P112" t="str">
        <f>Match!H113</f>
        <v>Group</v>
      </c>
      <c r="Q112" t="str">
        <f t="shared" si="27"/>
        <v>",SubStage= "</v>
      </c>
      <c r="R112" t="str">
        <f>Match!I113</f>
        <v>Group A</v>
      </c>
      <c r="S112" t="str">
        <f t="shared" si="28"/>
        <v>",HTeam= "</v>
      </c>
      <c r="T112" t="str">
        <f>Match!J113</f>
        <v>Poland</v>
      </c>
      <c r="U112" t="str">
        <f t="shared" si="29"/>
        <v>",HGoal=</v>
      </c>
      <c r="V112">
        <f>Match!K113</f>
        <v>1</v>
      </c>
      <c r="W112" t="str">
        <f t="shared" si="30"/>
        <v>,GGoal=</v>
      </c>
      <c r="X112">
        <f>Match!L113</f>
        <v>1</v>
      </c>
      <c r="Y112" t="str">
        <f t="shared" si="31"/>
        <v>,GTeam= "</v>
      </c>
      <c r="Z112" t="str">
        <f>Match!M113</f>
        <v>Russia</v>
      </c>
      <c r="AA112" t="str">
        <f t="shared" si="32"/>
        <v>",WinNote="</v>
      </c>
      <c r="AB112" t="str">
        <f>IF(Match!N113="","",Match!N113)</f>
        <v/>
      </c>
      <c r="AC112" t="str">
        <f t="shared" si="33"/>
        <v xml:space="preserve">",Stadium=" </v>
      </c>
      <c r="AD112" s="95" t="str">
        <f>Match!O113</f>
        <v>Warsaw (POL)</v>
      </c>
      <c r="AE112" t="str">
        <f t="shared" si="34"/>
        <v>",Referee= "</v>
      </c>
      <c r="AF112" s="95" t="str">
        <f>IF(Match!P113="","",Match!P113)</f>
        <v/>
      </c>
      <c r="AG112" t="str">
        <f t="shared" si="35"/>
        <v xml:space="preserve">",Visistors= </v>
      </c>
      <c r="AH112" s="95">
        <f>IF(Match!Q113="",0,Match!Q113)</f>
        <v>0</v>
      </c>
      <c r="AI112" t="str">
        <f t="shared" si="36"/>
        <v>,Status= "</v>
      </c>
      <c r="AJ112" s="95" t="str">
        <f>Match!R113</f>
        <v>Finished</v>
      </c>
      <c r="AK112" t="str">
        <f t="shared" si="37"/>
        <v>" },</v>
      </c>
    </row>
    <row r="113" spans="1:37" x14ac:dyDescent="0.25">
      <c r="A113" s="94" t="str">
        <f t="shared" si="19"/>
        <v>new Match { MatchId= "</v>
      </c>
      <c r="B113" t="str">
        <f>Match!A114</f>
        <v>UEFAEURO2012-11</v>
      </c>
      <c r="C113" s="94" t="str">
        <f t="shared" si="20"/>
        <v>",MatchNumber=</v>
      </c>
      <c r="D113">
        <f>Match!B114</f>
        <v>11</v>
      </c>
      <c r="E113" s="94" t="str">
        <f t="shared" si="21"/>
        <v>,DateMatch=DateTime.Parse("</v>
      </c>
      <c r="F113" s="85">
        <f>Match!C114</f>
        <v>41074</v>
      </c>
      <c r="G113" s="92" t="str">
        <f t="shared" si="22"/>
        <v>"),TimeMatch=TimeSpan.Parse("</v>
      </c>
      <c r="H113" s="93" t="str">
        <f>Match!D114</f>
        <v>00:00</v>
      </c>
      <c r="I113" s="94" t="str">
        <f t="shared" si="23"/>
        <v>"),MatchYear=</v>
      </c>
      <c r="J113">
        <f>Match!E114</f>
        <v>2012</v>
      </c>
      <c r="K113" s="94" t="str">
        <f t="shared" si="24"/>
        <v>, SeasonId= "</v>
      </c>
      <c r="L113" t="str">
        <f>Match!F114</f>
        <v>UEFAEURO2012</v>
      </c>
      <c r="M113" s="94" t="str">
        <f t="shared" si="25"/>
        <v>",Round= "</v>
      </c>
      <c r="N113" t="str">
        <f>Match!G114</f>
        <v>Final Round</v>
      </c>
      <c r="O113" t="str">
        <f t="shared" si="26"/>
        <v>",Stage= "</v>
      </c>
      <c r="P113" t="str">
        <f>Match!H114</f>
        <v>Group</v>
      </c>
      <c r="Q113" t="str">
        <f t="shared" si="27"/>
        <v>",SubStage= "</v>
      </c>
      <c r="R113" t="str">
        <f>Match!I114</f>
        <v>Group B</v>
      </c>
      <c r="S113" t="str">
        <f t="shared" si="28"/>
        <v>",HTeam= "</v>
      </c>
      <c r="T113" t="str">
        <f>Match!J114</f>
        <v>Denmark</v>
      </c>
      <c r="U113" t="str">
        <f t="shared" si="29"/>
        <v>",HGoal=</v>
      </c>
      <c r="V113">
        <f>Match!K114</f>
        <v>2</v>
      </c>
      <c r="W113" t="str">
        <f t="shared" si="30"/>
        <v>,GGoal=</v>
      </c>
      <c r="X113">
        <f>Match!L114</f>
        <v>3</v>
      </c>
      <c r="Y113" t="str">
        <f t="shared" si="31"/>
        <v>,GTeam= "</v>
      </c>
      <c r="Z113" t="str">
        <f>Match!M114</f>
        <v>Portugal</v>
      </c>
      <c r="AA113" t="str">
        <f t="shared" si="32"/>
        <v>",WinNote="</v>
      </c>
      <c r="AB113" t="str">
        <f>IF(Match!N114="","",Match!N114)</f>
        <v/>
      </c>
      <c r="AC113" t="str">
        <f t="shared" si="33"/>
        <v xml:space="preserve">",Stadium=" </v>
      </c>
      <c r="AD113" s="95" t="str">
        <f>Match!O114</f>
        <v>Lviv (UKR)</v>
      </c>
      <c r="AE113" t="str">
        <f t="shared" si="34"/>
        <v>",Referee= "</v>
      </c>
      <c r="AF113" s="95" t="str">
        <f>IF(Match!P114="","",Match!P114)</f>
        <v/>
      </c>
      <c r="AG113" t="str">
        <f t="shared" si="35"/>
        <v xml:space="preserve">",Visistors= </v>
      </c>
      <c r="AH113" s="95">
        <f>IF(Match!Q114="",0,Match!Q114)</f>
        <v>0</v>
      </c>
      <c r="AI113" t="str">
        <f t="shared" si="36"/>
        <v>,Status= "</v>
      </c>
      <c r="AJ113" s="95" t="str">
        <f>Match!R114</f>
        <v>Finished</v>
      </c>
      <c r="AK113" t="str">
        <f t="shared" si="37"/>
        <v>" },</v>
      </c>
    </row>
    <row r="114" spans="1:37" x14ac:dyDescent="0.25">
      <c r="A114" s="94" t="str">
        <f t="shared" si="19"/>
        <v>new Match { MatchId= "</v>
      </c>
      <c r="B114" t="str">
        <f>Match!A115</f>
        <v>UEFAEURO2012-12</v>
      </c>
      <c r="C114" s="94" t="str">
        <f t="shared" si="20"/>
        <v>",MatchNumber=</v>
      </c>
      <c r="D114">
        <f>Match!B115</f>
        <v>12</v>
      </c>
      <c r="E114" s="94" t="str">
        <f t="shared" si="21"/>
        <v>,DateMatch=DateTime.Parse("</v>
      </c>
      <c r="F114" s="85">
        <f>Match!C115</f>
        <v>41074</v>
      </c>
      <c r="G114" s="92" t="str">
        <f t="shared" si="22"/>
        <v>"),TimeMatch=TimeSpan.Parse("</v>
      </c>
      <c r="H114" s="93" t="str">
        <f>Match!D115</f>
        <v>02:45</v>
      </c>
      <c r="I114" s="94" t="str">
        <f t="shared" si="23"/>
        <v>"),MatchYear=</v>
      </c>
      <c r="J114">
        <f>Match!E115</f>
        <v>2012</v>
      </c>
      <c r="K114" s="94" t="str">
        <f t="shared" si="24"/>
        <v>, SeasonId= "</v>
      </c>
      <c r="L114" t="str">
        <f>Match!F115</f>
        <v>UEFAEURO2012</v>
      </c>
      <c r="M114" s="94" t="str">
        <f t="shared" si="25"/>
        <v>",Round= "</v>
      </c>
      <c r="N114" t="str">
        <f>Match!G115</f>
        <v>Final Round</v>
      </c>
      <c r="O114" t="str">
        <f t="shared" si="26"/>
        <v>",Stage= "</v>
      </c>
      <c r="P114" t="str">
        <f>Match!H115</f>
        <v>Group</v>
      </c>
      <c r="Q114" t="str">
        <f t="shared" si="27"/>
        <v>",SubStage= "</v>
      </c>
      <c r="R114" t="str">
        <f>Match!I115</f>
        <v>Group B</v>
      </c>
      <c r="S114" t="str">
        <f t="shared" si="28"/>
        <v>",HTeam= "</v>
      </c>
      <c r="T114" t="str">
        <f>Match!J115</f>
        <v>Netherlands</v>
      </c>
      <c r="U114" t="str">
        <f t="shared" si="29"/>
        <v>",HGoal=</v>
      </c>
      <c r="V114">
        <f>Match!K115</f>
        <v>1</v>
      </c>
      <c r="W114" t="str">
        <f t="shared" si="30"/>
        <v>,GGoal=</v>
      </c>
      <c r="X114">
        <f>Match!L115</f>
        <v>2</v>
      </c>
      <c r="Y114" t="str">
        <f t="shared" si="31"/>
        <v>,GTeam= "</v>
      </c>
      <c r="Z114" t="str">
        <f>Match!M115</f>
        <v>Germany</v>
      </c>
      <c r="AA114" t="str">
        <f t="shared" si="32"/>
        <v>",WinNote="</v>
      </c>
      <c r="AB114" t="str">
        <f>IF(Match!N115="","",Match!N115)</f>
        <v/>
      </c>
      <c r="AC114" t="str">
        <f t="shared" si="33"/>
        <v xml:space="preserve">",Stadium=" </v>
      </c>
      <c r="AD114" s="95" t="str">
        <f>Match!O115</f>
        <v>Kharkiv (UKR)</v>
      </c>
      <c r="AE114" t="str">
        <f t="shared" si="34"/>
        <v>",Referee= "</v>
      </c>
      <c r="AF114" s="95" t="str">
        <f>IF(Match!P115="","",Match!P115)</f>
        <v/>
      </c>
      <c r="AG114" t="str">
        <f t="shared" si="35"/>
        <v xml:space="preserve">",Visistors= </v>
      </c>
      <c r="AH114" s="95">
        <f>IF(Match!Q115="",0,Match!Q115)</f>
        <v>0</v>
      </c>
      <c r="AI114" t="str">
        <f t="shared" si="36"/>
        <v>,Status= "</v>
      </c>
      <c r="AJ114" s="95" t="str">
        <f>Match!R115</f>
        <v>Finished</v>
      </c>
      <c r="AK114" t="str">
        <f t="shared" si="37"/>
        <v>" },</v>
      </c>
    </row>
    <row r="115" spans="1:37" x14ac:dyDescent="0.25">
      <c r="A115" s="94" t="str">
        <f t="shared" si="19"/>
        <v>new Match { MatchId= "</v>
      </c>
      <c r="B115" t="str">
        <f>Match!A116</f>
        <v>UEFAEURO2012-13</v>
      </c>
      <c r="C115" s="94" t="str">
        <f t="shared" si="20"/>
        <v>",MatchNumber=</v>
      </c>
      <c r="D115">
        <f>Match!B116</f>
        <v>13</v>
      </c>
      <c r="E115" s="94" t="str">
        <f t="shared" si="21"/>
        <v>,DateMatch=DateTime.Parse("</v>
      </c>
      <c r="F115" s="85">
        <f>Match!C116</f>
        <v>41075</v>
      </c>
      <c r="G115" s="92" t="str">
        <f t="shared" si="22"/>
        <v>"),TimeMatch=TimeSpan.Parse("</v>
      </c>
      <c r="H115" s="93" t="str">
        <f>Match!D116</f>
        <v>00:00</v>
      </c>
      <c r="I115" s="94" t="str">
        <f t="shared" si="23"/>
        <v>"),MatchYear=</v>
      </c>
      <c r="J115">
        <f>Match!E116</f>
        <v>2012</v>
      </c>
      <c r="K115" s="94" t="str">
        <f t="shared" si="24"/>
        <v>, SeasonId= "</v>
      </c>
      <c r="L115" t="str">
        <f>Match!F116</f>
        <v>UEFAEURO2012</v>
      </c>
      <c r="M115" s="94" t="str">
        <f t="shared" si="25"/>
        <v>",Round= "</v>
      </c>
      <c r="N115" t="str">
        <f>Match!G116</f>
        <v>Final Round</v>
      </c>
      <c r="O115" t="str">
        <f t="shared" si="26"/>
        <v>",Stage= "</v>
      </c>
      <c r="P115" t="str">
        <f>Match!H116</f>
        <v>Group</v>
      </c>
      <c r="Q115" t="str">
        <f t="shared" si="27"/>
        <v>",SubStage= "</v>
      </c>
      <c r="R115" t="str">
        <f>Match!I116</f>
        <v>Group C</v>
      </c>
      <c r="S115" t="str">
        <f t="shared" si="28"/>
        <v>",HTeam= "</v>
      </c>
      <c r="T115" t="str">
        <f>Match!J116</f>
        <v>Italy</v>
      </c>
      <c r="U115" t="str">
        <f t="shared" si="29"/>
        <v>",HGoal=</v>
      </c>
      <c r="V115">
        <f>Match!K116</f>
        <v>1</v>
      </c>
      <c r="W115" t="str">
        <f t="shared" si="30"/>
        <v>,GGoal=</v>
      </c>
      <c r="X115">
        <f>Match!L116</f>
        <v>1</v>
      </c>
      <c r="Y115" t="str">
        <f t="shared" si="31"/>
        <v>,GTeam= "</v>
      </c>
      <c r="Z115" t="str">
        <f>Match!M116</f>
        <v>Croatia</v>
      </c>
      <c r="AA115" t="str">
        <f t="shared" si="32"/>
        <v>",WinNote="</v>
      </c>
      <c r="AB115" t="str">
        <f>IF(Match!N116="","",Match!N116)</f>
        <v/>
      </c>
      <c r="AC115" t="str">
        <f t="shared" si="33"/>
        <v xml:space="preserve">",Stadium=" </v>
      </c>
      <c r="AD115" s="95" t="str">
        <f>Match!O116</f>
        <v>Poznan (POL)</v>
      </c>
      <c r="AE115" t="str">
        <f t="shared" si="34"/>
        <v>",Referee= "</v>
      </c>
      <c r="AF115" s="95" t="str">
        <f>IF(Match!P116="","",Match!P116)</f>
        <v/>
      </c>
      <c r="AG115" t="str">
        <f t="shared" si="35"/>
        <v xml:space="preserve">",Visistors= </v>
      </c>
      <c r="AH115" s="95">
        <f>IF(Match!Q116="",0,Match!Q116)</f>
        <v>0</v>
      </c>
      <c r="AI115" t="str">
        <f t="shared" si="36"/>
        <v>,Status= "</v>
      </c>
      <c r="AJ115" s="95" t="str">
        <f>Match!R116</f>
        <v>Finished</v>
      </c>
      <c r="AK115" t="str">
        <f t="shared" si="37"/>
        <v>" },</v>
      </c>
    </row>
    <row r="116" spans="1:37" x14ac:dyDescent="0.25">
      <c r="A116" s="94" t="str">
        <f t="shared" si="19"/>
        <v>new Match { MatchId= "</v>
      </c>
      <c r="B116" t="str">
        <f>Match!A117</f>
        <v>UEFAEURO2012-14</v>
      </c>
      <c r="C116" s="94" t="str">
        <f t="shared" si="20"/>
        <v>",MatchNumber=</v>
      </c>
      <c r="D116">
        <f>Match!B117</f>
        <v>14</v>
      </c>
      <c r="E116" s="94" t="str">
        <f t="shared" si="21"/>
        <v>,DateMatch=DateTime.Parse("</v>
      </c>
      <c r="F116" s="85">
        <f>Match!C117</f>
        <v>41075</v>
      </c>
      <c r="G116" s="92" t="str">
        <f t="shared" si="22"/>
        <v>"),TimeMatch=TimeSpan.Parse("</v>
      </c>
      <c r="H116" s="93" t="str">
        <f>Match!D117</f>
        <v>02:45</v>
      </c>
      <c r="I116" s="94" t="str">
        <f t="shared" si="23"/>
        <v>"),MatchYear=</v>
      </c>
      <c r="J116">
        <f>Match!E117</f>
        <v>2012</v>
      </c>
      <c r="K116" s="94" t="str">
        <f t="shared" si="24"/>
        <v>, SeasonId= "</v>
      </c>
      <c r="L116" t="str">
        <f>Match!F117</f>
        <v>UEFAEURO2012</v>
      </c>
      <c r="M116" s="94" t="str">
        <f t="shared" si="25"/>
        <v>",Round= "</v>
      </c>
      <c r="N116" t="str">
        <f>Match!G117</f>
        <v>Final Round</v>
      </c>
      <c r="O116" t="str">
        <f t="shared" si="26"/>
        <v>",Stage= "</v>
      </c>
      <c r="P116" t="str">
        <f>Match!H117</f>
        <v>Group</v>
      </c>
      <c r="Q116" t="str">
        <f t="shared" si="27"/>
        <v>",SubStage= "</v>
      </c>
      <c r="R116" t="str">
        <f>Match!I117</f>
        <v>Group C</v>
      </c>
      <c r="S116" t="str">
        <f t="shared" si="28"/>
        <v>",HTeam= "</v>
      </c>
      <c r="T116" t="str">
        <f>Match!J117</f>
        <v>Spain</v>
      </c>
      <c r="U116" t="str">
        <f t="shared" si="29"/>
        <v>",HGoal=</v>
      </c>
      <c r="V116">
        <f>Match!K117</f>
        <v>4</v>
      </c>
      <c r="W116" t="str">
        <f t="shared" si="30"/>
        <v>,GGoal=</v>
      </c>
      <c r="X116">
        <f>Match!L117</f>
        <v>0</v>
      </c>
      <c r="Y116" t="str">
        <f t="shared" si="31"/>
        <v>,GTeam= "</v>
      </c>
      <c r="Z116" t="str">
        <f>Match!M117</f>
        <v>Republic of Ireland</v>
      </c>
      <c r="AA116" t="str">
        <f t="shared" si="32"/>
        <v>",WinNote="</v>
      </c>
      <c r="AB116" t="str">
        <f>IF(Match!N117="","",Match!N117)</f>
        <v/>
      </c>
      <c r="AC116" t="str">
        <f t="shared" si="33"/>
        <v xml:space="preserve">",Stadium=" </v>
      </c>
      <c r="AD116" s="95" t="str">
        <f>Match!O117</f>
        <v>Gdansk (POL)</v>
      </c>
      <c r="AE116" t="str">
        <f t="shared" si="34"/>
        <v>",Referee= "</v>
      </c>
      <c r="AF116" s="95" t="str">
        <f>IF(Match!P117="","",Match!P117)</f>
        <v/>
      </c>
      <c r="AG116" t="str">
        <f t="shared" si="35"/>
        <v xml:space="preserve">",Visistors= </v>
      </c>
      <c r="AH116" s="95">
        <f>IF(Match!Q117="",0,Match!Q117)</f>
        <v>0</v>
      </c>
      <c r="AI116" t="str">
        <f t="shared" si="36"/>
        <v>,Status= "</v>
      </c>
      <c r="AJ116" s="95" t="str">
        <f>Match!R117</f>
        <v>Finished</v>
      </c>
      <c r="AK116" t="str">
        <f t="shared" si="37"/>
        <v>" },</v>
      </c>
    </row>
    <row r="117" spans="1:37" x14ac:dyDescent="0.25">
      <c r="A117" s="94" t="str">
        <f t="shared" si="19"/>
        <v>new Match { MatchId= "</v>
      </c>
      <c r="B117" t="str">
        <f>Match!A118</f>
        <v>UEFAEURO2012-15</v>
      </c>
      <c r="C117" s="94" t="str">
        <f t="shared" si="20"/>
        <v>",MatchNumber=</v>
      </c>
      <c r="D117">
        <f>Match!B118</f>
        <v>15</v>
      </c>
      <c r="E117" s="94" t="str">
        <f t="shared" si="21"/>
        <v>,DateMatch=DateTime.Parse("</v>
      </c>
      <c r="F117" s="85">
        <f>Match!C118</f>
        <v>41076</v>
      </c>
      <c r="G117" s="92" t="str">
        <f t="shared" si="22"/>
        <v>"),TimeMatch=TimeSpan.Parse("</v>
      </c>
      <c r="H117" s="93" t="str">
        <f>Match!D118</f>
        <v>00:00</v>
      </c>
      <c r="I117" s="94" t="str">
        <f t="shared" si="23"/>
        <v>"),MatchYear=</v>
      </c>
      <c r="J117">
        <f>Match!E118</f>
        <v>2012</v>
      </c>
      <c r="K117" s="94" t="str">
        <f t="shared" si="24"/>
        <v>, SeasonId= "</v>
      </c>
      <c r="L117" t="str">
        <f>Match!F118</f>
        <v>UEFAEURO2012</v>
      </c>
      <c r="M117" s="94" t="str">
        <f t="shared" si="25"/>
        <v>",Round= "</v>
      </c>
      <c r="N117" t="str">
        <f>Match!G118</f>
        <v>Final Round</v>
      </c>
      <c r="O117" t="str">
        <f t="shared" si="26"/>
        <v>",Stage= "</v>
      </c>
      <c r="P117" t="str">
        <f>Match!H118</f>
        <v>Group</v>
      </c>
      <c r="Q117" t="str">
        <f t="shared" si="27"/>
        <v>",SubStage= "</v>
      </c>
      <c r="R117" t="str">
        <f>Match!I118</f>
        <v>Group D</v>
      </c>
      <c r="S117" t="str">
        <f t="shared" si="28"/>
        <v>",HTeam= "</v>
      </c>
      <c r="T117" t="str">
        <f>Match!J118</f>
        <v>Ukraine</v>
      </c>
      <c r="U117" t="str">
        <f t="shared" si="29"/>
        <v>",HGoal=</v>
      </c>
      <c r="V117">
        <f>Match!K118</f>
        <v>0</v>
      </c>
      <c r="W117" t="str">
        <f t="shared" si="30"/>
        <v>,GGoal=</v>
      </c>
      <c r="X117">
        <f>Match!L118</f>
        <v>2</v>
      </c>
      <c r="Y117" t="str">
        <f t="shared" si="31"/>
        <v>,GTeam= "</v>
      </c>
      <c r="Z117" t="str">
        <f>Match!M118</f>
        <v>France</v>
      </c>
      <c r="AA117" t="str">
        <f t="shared" si="32"/>
        <v>",WinNote="</v>
      </c>
      <c r="AB117" t="str">
        <f>IF(Match!N118="","",Match!N118)</f>
        <v/>
      </c>
      <c r="AC117" t="str">
        <f t="shared" si="33"/>
        <v xml:space="preserve">",Stadium=" </v>
      </c>
      <c r="AD117" s="95" t="str">
        <f>Match!O118</f>
        <v>Donetsk (UKR)</v>
      </c>
      <c r="AE117" t="str">
        <f t="shared" si="34"/>
        <v>",Referee= "</v>
      </c>
      <c r="AF117" s="95" t="str">
        <f>IF(Match!P118="","",Match!P118)</f>
        <v/>
      </c>
      <c r="AG117" t="str">
        <f t="shared" si="35"/>
        <v xml:space="preserve">",Visistors= </v>
      </c>
      <c r="AH117" s="95">
        <f>IF(Match!Q118="",0,Match!Q118)</f>
        <v>0</v>
      </c>
      <c r="AI117" t="str">
        <f t="shared" si="36"/>
        <v>,Status= "</v>
      </c>
      <c r="AJ117" s="95" t="str">
        <f>Match!R118</f>
        <v>Finished</v>
      </c>
      <c r="AK117" t="str">
        <f t="shared" si="37"/>
        <v>" },</v>
      </c>
    </row>
    <row r="118" spans="1:37" x14ac:dyDescent="0.25">
      <c r="A118" s="94" t="str">
        <f t="shared" si="19"/>
        <v>new Match { MatchId= "</v>
      </c>
      <c r="B118" t="str">
        <f>Match!A119</f>
        <v>UEFAEURO2012-16</v>
      </c>
      <c r="C118" s="94" t="str">
        <f t="shared" si="20"/>
        <v>",MatchNumber=</v>
      </c>
      <c r="D118">
        <f>Match!B119</f>
        <v>16</v>
      </c>
      <c r="E118" s="94" t="str">
        <f t="shared" si="21"/>
        <v>,DateMatch=DateTime.Parse("</v>
      </c>
      <c r="F118" s="85">
        <f>Match!C119</f>
        <v>41076</v>
      </c>
      <c r="G118" s="92" t="str">
        <f t="shared" si="22"/>
        <v>"),TimeMatch=TimeSpan.Parse("</v>
      </c>
      <c r="H118" s="93" t="str">
        <f>Match!D119</f>
        <v>02:45</v>
      </c>
      <c r="I118" s="94" t="str">
        <f t="shared" si="23"/>
        <v>"),MatchYear=</v>
      </c>
      <c r="J118">
        <f>Match!E119</f>
        <v>2012</v>
      </c>
      <c r="K118" s="94" t="str">
        <f t="shared" si="24"/>
        <v>, SeasonId= "</v>
      </c>
      <c r="L118" t="str">
        <f>Match!F119</f>
        <v>UEFAEURO2012</v>
      </c>
      <c r="M118" s="94" t="str">
        <f t="shared" si="25"/>
        <v>",Round= "</v>
      </c>
      <c r="N118" t="str">
        <f>Match!G119</f>
        <v>Final Round</v>
      </c>
      <c r="O118" t="str">
        <f t="shared" si="26"/>
        <v>",Stage= "</v>
      </c>
      <c r="P118" t="str">
        <f>Match!H119</f>
        <v>Group</v>
      </c>
      <c r="Q118" t="str">
        <f t="shared" si="27"/>
        <v>",SubStage= "</v>
      </c>
      <c r="R118" t="str">
        <f>Match!I119</f>
        <v>Group D</v>
      </c>
      <c r="S118" t="str">
        <f t="shared" si="28"/>
        <v>",HTeam= "</v>
      </c>
      <c r="T118" t="str">
        <f>Match!J119</f>
        <v>Sweden</v>
      </c>
      <c r="U118" t="str">
        <f t="shared" si="29"/>
        <v>",HGoal=</v>
      </c>
      <c r="V118">
        <f>Match!K119</f>
        <v>2</v>
      </c>
      <c r="W118" t="str">
        <f t="shared" si="30"/>
        <v>,GGoal=</v>
      </c>
      <c r="X118">
        <f>Match!L119</f>
        <v>3</v>
      </c>
      <c r="Y118" t="str">
        <f t="shared" si="31"/>
        <v>,GTeam= "</v>
      </c>
      <c r="Z118" t="str">
        <f>Match!M119</f>
        <v>England</v>
      </c>
      <c r="AA118" t="str">
        <f t="shared" si="32"/>
        <v>",WinNote="</v>
      </c>
      <c r="AB118" t="str">
        <f>IF(Match!N119="","",Match!N119)</f>
        <v/>
      </c>
      <c r="AC118" t="str">
        <f t="shared" si="33"/>
        <v xml:space="preserve">",Stadium=" </v>
      </c>
      <c r="AD118" s="95" t="str">
        <f>Match!O119</f>
        <v>Kyiv (UKR)</v>
      </c>
      <c r="AE118" t="str">
        <f t="shared" si="34"/>
        <v>",Referee= "</v>
      </c>
      <c r="AF118" s="95" t="str">
        <f>IF(Match!P119="","",Match!P119)</f>
        <v/>
      </c>
      <c r="AG118" t="str">
        <f t="shared" si="35"/>
        <v xml:space="preserve">",Visistors= </v>
      </c>
      <c r="AH118" s="95">
        <f>IF(Match!Q119="",0,Match!Q119)</f>
        <v>0</v>
      </c>
      <c r="AI118" t="str">
        <f t="shared" si="36"/>
        <v>,Status= "</v>
      </c>
      <c r="AJ118" s="95" t="str">
        <f>Match!R119</f>
        <v>Finished</v>
      </c>
      <c r="AK118" t="str">
        <f t="shared" si="37"/>
        <v>" },</v>
      </c>
    </row>
    <row r="119" spans="1:37" x14ac:dyDescent="0.25">
      <c r="A119" s="94" t="str">
        <f t="shared" si="19"/>
        <v>new Match { MatchId= "</v>
      </c>
      <c r="B119" t="str">
        <f>Match!A120</f>
        <v>UEFAEURO2012-17</v>
      </c>
      <c r="C119" s="94" t="str">
        <f t="shared" si="20"/>
        <v>",MatchNumber=</v>
      </c>
      <c r="D119">
        <f>Match!B120</f>
        <v>17</v>
      </c>
      <c r="E119" s="94" t="str">
        <f t="shared" si="21"/>
        <v>,DateMatch=DateTime.Parse("</v>
      </c>
      <c r="F119" s="85">
        <f>Match!C120</f>
        <v>41077</v>
      </c>
      <c r="G119" s="92" t="str">
        <f t="shared" si="22"/>
        <v>"),TimeMatch=TimeSpan.Parse("</v>
      </c>
      <c r="H119" s="93" t="str">
        <f>Match!D120</f>
        <v>02:45</v>
      </c>
      <c r="I119" s="94" t="str">
        <f t="shared" si="23"/>
        <v>"),MatchYear=</v>
      </c>
      <c r="J119">
        <f>Match!E120</f>
        <v>2012</v>
      </c>
      <c r="K119" s="94" t="str">
        <f t="shared" si="24"/>
        <v>, SeasonId= "</v>
      </c>
      <c r="L119" t="str">
        <f>Match!F120</f>
        <v>UEFAEURO2012</v>
      </c>
      <c r="M119" s="94" t="str">
        <f t="shared" si="25"/>
        <v>",Round= "</v>
      </c>
      <c r="N119" t="str">
        <f>Match!G120</f>
        <v>Final Round</v>
      </c>
      <c r="O119" t="str">
        <f t="shared" si="26"/>
        <v>",Stage= "</v>
      </c>
      <c r="P119" t="str">
        <f>Match!H120</f>
        <v>Group</v>
      </c>
      <c r="Q119" t="str">
        <f t="shared" si="27"/>
        <v>",SubStage= "</v>
      </c>
      <c r="R119" t="str">
        <f>Match!I120</f>
        <v>Group A</v>
      </c>
      <c r="S119" t="str">
        <f t="shared" si="28"/>
        <v>",HTeam= "</v>
      </c>
      <c r="T119" t="str">
        <f>Match!J120</f>
        <v>Greece</v>
      </c>
      <c r="U119" t="str">
        <f t="shared" si="29"/>
        <v>",HGoal=</v>
      </c>
      <c r="V119">
        <f>Match!K120</f>
        <v>1</v>
      </c>
      <c r="W119" t="str">
        <f t="shared" si="30"/>
        <v>,GGoal=</v>
      </c>
      <c r="X119">
        <f>Match!L120</f>
        <v>0</v>
      </c>
      <c r="Y119" t="str">
        <f t="shared" si="31"/>
        <v>,GTeam= "</v>
      </c>
      <c r="Z119" t="str">
        <f>Match!M120</f>
        <v>Russia</v>
      </c>
      <c r="AA119" t="str">
        <f t="shared" si="32"/>
        <v>",WinNote="</v>
      </c>
      <c r="AB119" t="str">
        <f>IF(Match!N120="","",Match!N120)</f>
        <v/>
      </c>
      <c r="AC119" t="str">
        <f t="shared" si="33"/>
        <v xml:space="preserve">",Stadium=" </v>
      </c>
      <c r="AD119" s="95" t="str">
        <f>Match!O120</f>
        <v>Warsaw (POL)</v>
      </c>
      <c r="AE119" t="str">
        <f t="shared" si="34"/>
        <v>",Referee= "</v>
      </c>
      <c r="AF119" s="95" t="str">
        <f>IF(Match!P120="","",Match!P120)</f>
        <v/>
      </c>
      <c r="AG119" t="str">
        <f t="shared" si="35"/>
        <v xml:space="preserve">",Visistors= </v>
      </c>
      <c r="AH119" s="95">
        <f>IF(Match!Q120="",0,Match!Q120)</f>
        <v>0</v>
      </c>
      <c r="AI119" t="str">
        <f t="shared" si="36"/>
        <v>,Status= "</v>
      </c>
      <c r="AJ119" s="95" t="str">
        <f>Match!R120</f>
        <v>Finished</v>
      </c>
      <c r="AK119" t="str">
        <f t="shared" si="37"/>
        <v>" },</v>
      </c>
    </row>
    <row r="120" spans="1:37" x14ac:dyDescent="0.25">
      <c r="A120" s="94" t="str">
        <f t="shared" si="19"/>
        <v>new Match { MatchId= "</v>
      </c>
      <c r="B120" t="str">
        <f>Match!A121</f>
        <v>UEFAEURO2012-18</v>
      </c>
      <c r="C120" s="94" t="str">
        <f t="shared" si="20"/>
        <v>",MatchNumber=</v>
      </c>
      <c r="D120">
        <f>Match!B121</f>
        <v>18</v>
      </c>
      <c r="E120" s="94" t="str">
        <f t="shared" si="21"/>
        <v>,DateMatch=DateTime.Parse("</v>
      </c>
      <c r="F120" s="85">
        <f>Match!C121</f>
        <v>41077</v>
      </c>
      <c r="G120" s="92" t="str">
        <f t="shared" si="22"/>
        <v>"),TimeMatch=TimeSpan.Parse("</v>
      </c>
      <c r="H120" s="93" t="str">
        <f>Match!D121</f>
        <v>02:45</v>
      </c>
      <c r="I120" s="94" t="str">
        <f t="shared" si="23"/>
        <v>"),MatchYear=</v>
      </c>
      <c r="J120">
        <f>Match!E121</f>
        <v>2012</v>
      </c>
      <c r="K120" s="94" t="str">
        <f t="shared" si="24"/>
        <v>, SeasonId= "</v>
      </c>
      <c r="L120" t="str">
        <f>Match!F121</f>
        <v>UEFAEURO2012</v>
      </c>
      <c r="M120" s="94" t="str">
        <f t="shared" si="25"/>
        <v>",Round= "</v>
      </c>
      <c r="N120" t="str">
        <f>Match!G121</f>
        <v>Final Round</v>
      </c>
      <c r="O120" t="str">
        <f t="shared" si="26"/>
        <v>",Stage= "</v>
      </c>
      <c r="P120" t="str">
        <f>Match!H121</f>
        <v>Group</v>
      </c>
      <c r="Q120" t="str">
        <f t="shared" si="27"/>
        <v>",SubStage= "</v>
      </c>
      <c r="R120" t="str">
        <f>Match!I121</f>
        <v>Group A</v>
      </c>
      <c r="S120" t="str">
        <f t="shared" si="28"/>
        <v>",HTeam= "</v>
      </c>
      <c r="T120" t="str">
        <f>Match!J121</f>
        <v>Czech Republic</v>
      </c>
      <c r="U120" t="str">
        <f t="shared" si="29"/>
        <v>",HGoal=</v>
      </c>
      <c r="V120">
        <f>Match!K121</f>
        <v>1</v>
      </c>
      <c r="W120" t="str">
        <f t="shared" si="30"/>
        <v>,GGoal=</v>
      </c>
      <c r="X120">
        <f>Match!L121</f>
        <v>0</v>
      </c>
      <c r="Y120" t="str">
        <f t="shared" si="31"/>
        <v>,GTeam= "</v>
      </c>
      <c r="Z120" t="str">
        <f>Match!M121</f>
        <v>Poland</v>
      </c>
      <c r="AA120" t="str">
        <f t="shared" si="32"/>
        <v>",WinNote="</v>
      </c>
      <c r="AB120" t="str">
        <f>IF(Match!N121="","",Match!N121)</f>
        <v/>
      </c>
      <c r="AC120" t="str">
        <f t="shared" si="33"/>
        <v xml:space="preserve">",Stadium=" </v>
      </c>
      <c r="AD120" s="95" t="str">
        <f>Match!O121</f>
        <v>Wroclaw (POL)</v>
      </c>
      <c r="AE120" t="str">
        <f t="shared" si="34"/>
        <v>",Referee= "</v>
      </c>
      <c r="AF120" s="95" t="str">
        <f>IF(Match!P121="","",Match!P121)</f>
        <v/>
      </c>
      <c r="AG120" t="str">
        <f t="shared" si="35"/>
        <v xml:space="preserve">",Visistors= </v>
      </c>
      <c r="AH120" s="95">
        <f>IF(Match!Q121="",0,Match!Q121)</f>
        <v>0</v>
      </c>
      <c r="AI120" t="str">
        <f t="shared" si="36"/>
        <v>,Status= "</v>
      </c>
      <c r="AJ120" s="95" t="str">
        <f>Match!R121</f>
        <v>Finished</v>
      </c>
      <c r="AK120" t="str">
        <f t="shared" si="37"/>
        <v>" },</v>
      </c>
    </row>
    <row r="121" spans="1:37" x14ac:dyDescent="0.25">
      <c r="A121" s="94" t="str">
        <f t="shared" si="19"/>
        <v>new Match { MatchId= "</v>
      </c>
      <c r="B121" t="str">
        <f>Match!A122</f>
        <v>UEFAEURO2012-19</v>
      </c>
      <c r="C121" s="94" t="str">
        <f t="shared" si="20"/>
        <v>",MatchNumber=</v>
      </c>
      <c r="D121">
        <f>Match!B122</f>
        <v>19</v>
      </c>
      <c r="E121" s="94" t="str">
        <f t="shared" si="21"/>
        <v>,DateMatch=DateTime.Parse("</v>
      </c>
      <c r="F121" s="85">
        <f>Match!C122</f>
        <v>41078</v>
      </c>
      <c r="G121" s="92" t="str">
        <f t="shared" si="22"/>
        <v>"),TimeMatch=TimeSpan.Parse("</v>
      </c>
      <c r="H121" s="93" t="str">
        <f>Match!D122</f>
        <v>02:45</v>
      </c>
      <c r="I121" s="94" t="str">
        <f t="shared" si="23"/>
        <v>"),MatchYear=</v>
      </c>
      <c r="J121">
        <f>Match!E122</f>
        <v>2012</v>
      </c>
      <c r="K121" s="94" t="str">
        <f t="shared" si="24"/>
        <v>, SeasonId= "</v>
      </c>
      <c r="L121" t="str">
        <f>Match!F122</f>
        <v>UEFAEURO2012</v>
      </c>
      <c r="M121" s="94" t="str">
        <f t="shared" si="25"/>
        <v>",Round= "</v>
      </c>
      <c r="N121" t="str">
        <f>Match!G122</f>
        <v>Final Round</v>
      </c>
      <c r="O121" t="str">
        <f t="shared" si="26"/>
        <v>",Stage= "</v>
      </c>
      <c r="P121" t="str">
        <f>Match!H122</f>
        <v>Group</v>
      </c>
      <c r="Q121" t="str">
        <f t="shared" si="27"/>
        <v>",SubStage= "</v>
      </c>
      <c r="R121" t="str">
        <f>Match!I122</f>
        <v>Group B</v>
      </c>
      <c r="S121" t="str">
        <f t="shared" si="28"/>
        <v>",HTeam= "</v>
      </c>
      <c r="T121" t="str">
        <f>Match!J122</f>
        <v>Portugal</v>
      </c>
      <c r="U121" t="str">
        <f t="shared" si="29"/>
        <v>",HGoal=</v>
      </c>
      <c r="V121">
        <f>Match!K122</f>
        <v>2</v>
      </c>
      <c r="W121" t="str">
        <f t="shared" si="30"/>
        <v>,GGoal=</v>
      </c>
      <c r="X121">
        <f>Match!L122</f>
        <v>1</v>
      </c>
      <c r="Y121" t="str">
        <f t="shared" si="31"/>
        <v>,GTeam= "</v>
      </c>
      <c r="Z121" t="str">
        <f>Match!M122</f>
        <v>Netherlands</v>
      </c>
      <c r="AA121" t="str">
        <f t="shared" si="32"/>
        <v>",WinNote="</v>
      </c>
      <c r="AB121" t="str">
        <f>IF(Match!N122="","",Match!N122)</f>
        <v/>
      </c>
      <c r="AC121" t="str">
        <f t="shared" si="33"/>
        <v xml:space="preserve">",Stadium=" </v>
      </c>
      <c r="AD121" s="95" t="str">
        <f>Match!O122</f>
        <v>Kharkiv (UKR)</v>
      </c>
      <c r="AE121" t="str">
        <f t="shared" si="34"/>
        <v>",Referee= "</v>
      </c>
      <c r="AF121" s="95" t="str">
        <f>IF(Match!P122="","",Match!P122)</f>
        <v/>
      </c>
      <c r="AG121" t="str">
        <f t="shared" si="35"/>
        <v xml:space="preserve">",Visistors= </v>
      </c>
      <c r="AH121" s="95">
        <f>IF(Match!Q122="",0,Match!Q122)</f>
        <v>0</v>
      </c>
      <c r="AI121" t="str">
        <f t="shared" si="36"/>
        <v>,Status= "</v>
      </c>
      <c r="AJ121" s="95" t="str">
        <f>Match!R122</f>
        <v>Finished</v>
      </c>
      <c r="AK121" t="str">
        <f t="shared" si="37"/>
        <v>" },</v>
      </c>
    </row>
    <row r="122" spans="1:37" x14ac:dyDescent="0.25">
      <c r="A122" s="94" t="str">
        <f t="shared" si="19"/>
        <v>new Match { MatchId= "</v>
      </c>
      <c r="B122" t="str">
        <f>Match!A123</f>
        <v>UEFAEURO2012-20</v>
      </c>
      <c r="C122" s="94" t="str">
        <f t="shared" si="20"/>
        <v>",MatchNumber=</v>
      </c>
      <c r="D122">
        <f>Match!B123</f>
        <v>20</v>
      </c>
      <c r="E122" s="94" t="str">
        <f t="shared" si="21"/>
        <v>,DateMatch=DateTime.Parse("</v>
      </c>
      <c r="F122" s="85">
        <f>Match!C123</f>
        <v>41078</v>
      </c>
      <c r="G122" s="92" t="str">
        <f t="shared" si="22"/>
        <v>"),TimeMatch=TimeSpan.Parse("</v>
      </c>
      <c r="H122" s="93" t="str">
        <f>Match!D123</f>
        <v>02:45</v>
      </c>
      <c r="I122" s="94" t="str">
        <f t="shared" si="23"/>
        <v>"),MatchYear=</v>
      </c>
      <c r="J122">
        <f>Match!E123</f>
        <v>2012</v>
      </c>
      <c r="K122" s="94" t="str">
        <f t="shared" si="24"/>
        <v>, SeasonId= "</v>
      </c>
      <c r="L122" t="str">
        <f>Match!F123</f>
        <v>UEFAEURO2012</v>
      </c>
      <c r="M122" s="94" t="str">
        <f t="shared" si="25"/>
        <v>",Round= "</v>
      </c>
      <c r="N122" t="str">
        <f>Match!G123</f>
        <v>Final Round</v>
      </c>
      <c r="O122" t="str">
        <f t="shared" si="26"/>
        <v>",Stage= "</v>
      </c>
      <c r="P122" t="str">
        <f>Match!H123</f>
        <v>Group</v>
      </c>
      <c r="Q122" t="str">
        <f t="shared" si="27"/>
        <v>",SubStage= "</v>
      </c>
      <c r="R122" t="str">
        <f>Match!I123</f>
        <v>Group B</v>
      </c>
      <c r="S122" t="str">
        <f t="shared" si="28"/>
        <v>",HTeam= "</v>
      </c>
      <c r="T122" t="str">
        <f>Match!J123</f>
        <v>Denmark</v>
      </c>
      <c r="U122" t="str">
        <f t="shared" si="29"/>
        <v>",HGoal=</v>
      </c>
      <c r="V122">
        <f>Match!K123</f>
        <v>1</v>
      </c>
      <c r="W122" t="str">
        <f t="shared" si="30"/>
        <v>,GGoal=</v>
      </c>
      <c r="X122">
        <f>Match!L123</f>
        <v>2</v>
      </c>
      <c r="Y122" t="str">
        <f t="shared" si="31"/>
        <v>,GTeam= "</v>
      </c>
      <c r="Z122" t="str">
        <f>Match!M123</f>
        <v>Germany</v>
      </c>
      <c r="AA122" t="str">
        <f t="shared" si="32"/>
        <v>",WinNote="</v>
      </c>
      <c r="AB122" t="str">
        <f>IF(Match!N123="","",Match!N123)</f>
        <v/>
      </c>
      <c r="AC122" t="str">
        <f t="shared" si="33"/>
        <v xml:space="preserve">",Stadium=" </v>
      </c>
      <c r="AD122" s="95" t="str">
        <f>Match!O123</f>
        <v>Lviv (UKR)</v>
      </c>
      <c r="AE122" t="str">
        <f t="shared" si="34"/>
        <v>",Referee= "</v>
      </c>
      <c r="AF122" s="95" t="str">
        <f>IF(Match!P123="","",Match!P123)</f>
        <v/>
      </c>
      <c r="AG122" t="str">
        <f t="shared" si="35"/>
        <v xml:space="preserve">",Visistors= </v>
      </c>
      <c r="AH122" s="95">
        <f>IF(Match!Q123="",0,Match!Q123)</f>
        <v>0</v>
      </c>
      <c r="AI122" t="str">
        <f t="shared" si="36"/>
        <v>,Status= "</v>
      </c>
      <c r="AJ122" s="95" t="str">
        <f>Match!R123</f>
        <v>Finished</v>
      </c>
      <c r="AK122" t="str">
        <f t="shared" si="37"/>
        <v>" },</v>
      </c>
    </row>
    <row r="123" spans="1:37" x14ac:dyDescent="0.25">
      <c r="A123" s="94" t="str">
        <f t="shared" si="19"/>
        <v>new Match { MatchId= "</v>
      </c>
      <c r="B123" t="str">
        <f>Match!A124</f>
        <v>UEFAEURO2012-21</v>
      </c>
      <c r="C123" s="94" t="str">
        <f t="shared" si="20"/>
        <v>",MatchNumber=</v>
      </c>
      <c r="D123">
        <f>Match!B124</f>
        <v>21</v>
      </c>
      <c r="E123" s="94" t="str">
        <f t="shared" si="21"/>
        <v>,DateMatch=DateTime.Parse("</v>
      </c>
      <c r="F123" s="85">
        <f>Match!C124</f>
        <v>41079</v>
      </c>
      <c r="G123" s="92" t="str">
        <f t="shared" si="22"/>
        <v>"),TimeMatch=TimeSpan.Parse("</v>
      </c>
      <c r="H123" s="93" t="str">
        <f>Match!D124</f>
        <v>02:45</v>
      </c>
      <c r="I123" s="94" t="str">
        <f t="shared" si="23"/>
        <v>"),MatchYear=</v>
      </c>
      <c r="J123">
        <f>Match!E124</f>
        <v>2012</v>
      </c>
      <c r="K123" s="94" t="str">
        <f t="shared" si="24"/>
        <v>, SeasonId= "</v>
      </c>
      <c r="L123" t="str">
        <f>Match!F124</f>
        <v>UEFAEURO2012</v>
      </c>
      <c r="M123" s="94" t="str">
        <f t="shared" si="25"/>
        <v>",Round= "</v>
      </c>
      <c r="N123" t="str">
        <f>Match!G124</f>
        <v>Final Round</v>
      </c>
      <c r="O123" t="str">
        <f t="shared" si="26"/>
        <v>",Stage= "</v>
      </c>
      <c r="P123" t="str">
        <f>Match!H124</f>
        <v>Group</v>
      </c>
      <c r="Q123" t="str">
        <f t="shared" si="27"/>
        <v>",SubStage= "</v>
      </c>
      <c r="R123" t="str">
        <f>Match!I124</f>
        <v>Group C</v>
      </c>
      <c r="S123" t="str">
        <f t="shared" si="28"/>
        <v>",HTeam= "</v>
      </c>
      <c r="T123" t="str">
        <f>Match!J124</f>
        <v>Croatia</v>
      </c>
      <c r="U123" t="str">
        <f t="shared" si="29"/>
        <v>",HGoal=</v>
      </c>
      <c r="V123">
        <f>Match!K124</f>
        <v>0</v>
      </c>
      <c r="W123" t="str">
        <f t="shared" si="30"/>
        <v>,GGoal=</v>
      </c>
      <c r="X123">
        <f>Match!L124</f>
        <v>1</v>
      </c>
      <c r="Y123" t="str">
        <f t="shared" si="31"/>
        <v>,GTeam= "</v>
      </c>
      <c r="Z123" t="str">
        <f>Match!M124</f>
        <v>Spain</v>
      </c>
      <c r="AA123" t="str">
        <f t="shared" si="32"/>
        <v>",WinNote="</v>
      </c>
      <c r="AB123" t="str">
        <f>IF(Match!N124="","",Match!N124)</f>
        <v/>
      </c>
      <c r="AC123" t="str">
        <f t="shared" si="33"/>
        <v xml:space="preserve">",Stadium=" </v>
      </c>
      <c r="AD123" s="95" t="str">
        <f>Match!O124</f>
        <v>Gdansk (POL)</v>
      </c>
      <c r="AE123" t="str">
        <f t="shared" si="34"/>
        <v>",Referee= "</v>
      </c>
      <c r="AF123" s="95" t="str">
        <f>IF(Match!P124="","",Match!P124)</f>
        <v/>
      </c>
      <c r="AG123" t="str">
        <f t="shared" si="35"/>
        <v xml:space="preserve">",Visistors= </v>
      </c>
      <c r="AH123" s="95">
        <f>IF(Match!Q124="",0,Match!Q124)</f>
        <v>0</v>
      </c>
      <c r="AI123" t="str">
        <f t="shared" si="36"/>
        <v>,Status= "</v>
      </c>
      <c r="AJ123" s="95" t="str">
        <f>Match!R124</f>
        <v>Finished</v>
      </c>
      <c r="AK123" t="str">
        <f t="shared" si="37"/>
        <v>" },</v>
      </c>
    </row>
    <row r="124" spans="1:37" x14ac:dyDescent="0.25">
      <c r="A124" s="94" t="str">
        <f t="shared" si="19"/>
        <v>new Match { MatchId= "</v>
      </c>
      <c r="B124" t="str">
        <f>Match!A125</f>
        <v>UEFAEURO2012-22</v>
      </c>
      <c r="C124" s="94" t="str">
        <f t="shared" si="20"/>
        <v>",MatchNumber=</v>
      </c>
      <c r="D124">
        <f>Match!B125</f>
        <v>22</v>
      </c>
      <c r="E124" s="94" t="str">
        <f t="shared" si="21"/>
        <v>,DateMatch=DateTime.Parse("</v>
      </c>
      <c r="F124" s="85">
        <f>Match!C125</f>
        <v>41079</v>
      </c>
      <c r="G124" s="92" t="str">
        <f t="shared" si="22"/>
        <v>"),TimeMatch=TimeSpan.Parse("</v>
      </c>
      <c r="H124" s="93" t="str">
        <f>Match!D125</f>
        <v>02:45</v>
      </c>
      <c r="I124" s="94" t="str">
        <f t="shared" si="23"/>
        <v>"),MatchYear=</v>
      </c>
      <c r="J124">
        <f>Match!E125</f>
        <v>2012</v>
      </c>
      <c r="K124" s="94" t="str">
        <f t="shared" si="24"/>
        <v>, SeasonId= "</v>
      </c>
      <c r="L124" t="str">
        <f>Match!F125</f>
        <v>UEFAEURO2012</v>
      </c>
      <c r="M124" s="94" t="str">
        <f t="shared" si="25"/>
        <v>",Round= "</v>
      </c>
      <c r="N124" t="str">
        <f>Match!G125</f>
        <v>Final Round</v>
      </c>
      <c r="O124" t="str">
        <f t="shared" si="26"/>
        <v>",Stage= "</v>
      </c>
      <c r="P124" t="str">
        <f>Match!H125</f>
        <v>Group</v>
      </c>
      <c r="Q124" t="str">
        <f t="shared" si="27"/>
        <v>",SubStage= "</v>
      </c>
      <c r="R124" t="str">
        <f>Match!I125</f>
        <v>Group C</v>
      </c>
      <c r="S124" t="str">
        <f t="shared" si="28"/>
        <v>",HTeam= "</v>
      </c>
      <c r="T124" t="str">
        <f>Match!J125</f>
        <v>Italy</v>
      </c>
      <c r="U124" t="str">
        <f t="shared" si="29"/>
        <v>",HGoal=</v>
      </c>
      <c r="V124">
        <f>Match!K125</f>
        <v>2</v>
      </c>
      <c r="W124" t="str">
        <f t="shared" si="30"/>
        <v>,GGoal=</v>
      </c>
      <c r="X124">
        <f>Match!L125</f>
        <v>0</v>
      </c>
      <c r="Y124" t="str">
        <f t="shared" si="31"/>
        <v>,GTeam= "</v>
      </c>
      <c r="Z124" t="str">
        <f>Match!M125</f>
        <v>Republic of Ireland</v>
      </c>
      <c r="AA124" t="str">
        <f t="shared" si="32"/>
        <v>",WinNote="</v>
      </c>
      <c r="AB124" t="str">
        <f>IF(Match!N125="","",Match!N125)</f>
        <v/>
      </c>
      <c r="AC124" t="str">
        <f t="shared" si="33"/>
        <v xml:space="preserve">",Stadium=" </v>
      </c>
      <c r="AD124" s="95" t="str">
        <f>Match!O125</f>
        <v>Poznan (POL)</v>
      </c>
      <c r="AE124" t="str">
        <f t="shared" si="34"/>
        <v>",Referee= "</v>
      </c>
      <c r="AF124" s="95" t="str">
        <f>IF(Match!P125="","",Match!P125)</f>
        <v/>
      </c>
      <c r="AG124" t="str">
        <f t="shared" si="35"/>
        <v xml:space="preserve">",Visistors= </v>
      </c>
      <c r="AH124" s="95">
        <f>IF(Match!Q125="",0,Match!Q125)</f>
        <v>0</v>
      </c>
      <c r="AI124" t="str">
        <f t="shared" si="36"/>
        <v>,Status= "</v>
      </c>
      <c r="AJ124" s="95" t="str">
        <f>Match!R125</f>
        <v>Finished</v>
      </c>
      <c r="AK124" t="str">
        <f t="shared" si="37"/>
        <v>" },</v>
      </c>
    </row>
    <row r="125" spans="1:37" x14ac:dyDescent="0.25">
      <c r="A125" s="94" t="str">
        <f t="shared" si="19"/>
        <v>new Match { MatchId= "</v>
      </c>
      <c r="B125" t="str">
        <f>Match!A126</f>
        <v>UEFAEURO2012-23</v>
      </c>
      <c r="C125" s="94" t="str">
        <f t="shared" si="20"/>
        <v>",MatchNumber=</v>
      </c>
      <c r="D125">
        <f>Match!B126</f>
        <v>23</v>
      </c>
      <c r="E125" s="94" t="str">
        <f t="shared" si="21"/>
        <v>,DateMatch=DateTime.Parse("</v>
      </c>
      <c r="F125" s="85">
        <f>Match!C126</f>
        <v>41080</v>
      </c>
      <c r="G125" s="92" t="str">
        <f t="shared" si="22"/>
        <v>"),TimeMatch=TimeSpan.Parse("</v>
      </c>
      <c r="H125" s="93" t="str">
        <f>Match!D126</f>
        <v>02:45</v>
      </c>
      <c r="I125" s="94" t="str">
        <f t="shared" si="23"/>
        <v>"),MatchYear=</v>
      </c>
      <c r="J125">
        <f>Match!E126</f>
        <v>2012</v>
      </c>
      <c r="K125" s="94" t="str">
        <f t="shared" si="24"/>
        <v>, SeasonId= "</v>
      </c>
      <c r="L125" t="str">
        <f>Match!F126</f>
        <v>UEFAEURO2012</v>
      </c>
      <c r="M125" s="94" t="str">
        <f t="shared" si="25"/>
        <v>",Round= "</v>
      </c>
      <c r="N125" t="str">
        <f>Match!G126</f>
        <v>Final Round</v>
      </c>
      <c r="O125" t="str">
        <f t="shared" si="26"/>
        <v>",Stage= "</v>
      </c>
      <c r="P125" t="str">
        <f>Match!H126</f>
        <v>Group</v>
      </c>
      <c r="Q125" t="str">
        <f t="shared" si="27"/>
        <v>",SubStage= "</v>
      </c>
      <c r="R125" t="str">
        <f>Match!I126</f>
        <v>Group D</v>
      </c>
      <c r="S125" t="str">
        <f t="shared" si="28"/>
        <v>",HTeam= "</v>
      </c>
      <c r="T125" t="str">
        <f>Match!J126</f>
        <v>Sweden</v>
      </c>
      <c r="U125" t="str">
        <f t="shared" si="29"/>
        <v>",HGoal=</v>
      </c>
      <c r="V125">
        <f>Match!K126</f>
        <v>2</v>
      </c>
      <c r="W125" t="str">
        <f t="shared" si="30"/>
        <v>,GGoal=</v>
      </c>
      <c r="X125">
        <f>Match!L126</f>
        <v>0</v>
      </c>
      <c r="Y125" t="str">
        <f t="shared" si="31"/>
        <v>,GTeam= "</v>
      </c>
      <c r="Z125" t="str">
        <f>Match!M126</f>
        <v>France</v>
      </c>
      <c r="AA125" t="str">
        <f t="shared" si="32"/>
        <v>",WinNote="</v>
      </c>
      <c r="AB125" t="str">
        <f>IF(Match!N126="","",Match!N126)</f>
        <v/>
      </c>
      <c r="AC125" t="str">
        <f t="shared" si="33"/>
        <v xml:space="preserve">",Stadium=" </v>
      </c>
      <c r="AD125" s="95" t="str">
        <f>Match!O126</f>
        <v>Kyiv (UKR)</v>
      </c>
      <c r="AE125" t="str">
        <f t="shared" si="34"/>
        <v>",Referee= "</v>
      </c>
      <c r="AF125" s="95" t="str">
        <f>IF(Match!P126="","",Match!P126)</f>
        <v/>
      </c>
      <c r="AG125" t="str">
        <f t="shared" si="35"/>
        <v xml:space="preserve">",Visistors= </v>
      </c>
      <c r="AH125" s="95">
        <f>IF(Match!Q126="",0,Match!Q126)</f>
        <v>0</v>
      </c>
      <c r="AI125" t="str">
        <f t="shared" si="36"/>
        <v>,Status= "</v>
      </c>
      <c r="AJ125" s="95" t="str">
        <f>Match!R126</f>
        <v>Finished</v>
      </c>
      <c r="AK125" t="str">
        <f t="shared" si="37"/>
        <v>" },</v>
      </c>
    </row>
    <row r="126" spans="1:37" x14ac:dyDescent="0.25">
      <c r="A126" s="94" t="str">
        <f t="shared" si="19"/>
        <v>new Match { MatchId= "</v>
      </c>
      <c r="B126" t="str">
        <f>Match!A127</f>
        <v>UEFAEURO2012-24</v>
      </c>
      <c r="C126" s="94" t="str">
        <f t="shared" si="20"/>
        <v>",MatchNumber=</v>
      </c>
      <c r="D126">
        <f>Match!B127</f>
        <v>24</v>
      </c>
      <c r="E126" s="94" t="str">
        <f t="shared" si="21"/>
        <v>,DateMatch=DateTime.Parse("</v>
      </c>
      <c r="F126" s="85">
        <f>Match!C127</f>
        <v>41080</v>
      </c>
      <c r="G126" s="92" t="str">
        <f t="shared" si="22"/>
        <v>"),TimeMatch=TimeSpan.Parse("</v>
      </c>
      <c r="H126" s="93" t="str">
        <f>Match!D127</f>
        <v>02:45</v>
      </c>
      <c r="I126" s="94" t="str">
        <f t="shared" si="23"/>
        <v>"),MatchYear=</v>
      </c>
      <c r="J126">
        <f>Match!E127</f>
        <v>2012</v>
      </c>
      <c r="K126" s="94" t="str">
        <f t="shared" si="24"/>
        <v>, SeasonId= "</v>
      </c>
      <c r="L126" t="str">
        <f>Match!F127</f>
        <v>UEFAEURO2012</v>
      </c>
      <c r="M126" s="94" t="str">
        <f t="shared" si="25"/>
        <v>",Round= "</v>
      </c>
      <c r="N126" t="str">
        <f>Match!G127</f>
        <v>Final Round</v>
      </c>
      <c r="O126" t="str">
        <f t="shared" si="26"/>
        <v>",Stage= "</v>
      </c>
      <c r="P126" t="str">
        <f>Match!H127</f>
        <v>Group</v>
      </c>
      <c r="Q126" t="str">
        <f t="shared" si="27"/>
        <v>",SubStage= "</v>
      </c>
      <c r="R126" t="str">
        <f>Match!I127</f>
        <v>Group D</v>
      </c>
      <c r="S126" t="str">
        <f t="shared" si="28"/>
        <v>",HTeam= "</v>
      </c>
      <c r="T126" t="str">
        <f>Match!J127</f>
        <v>England</v>
      </c>
      <c r="U126" t="str">
        <f t="shared" si="29"/>
        <v>",HGoal=</v>
      </c>
      <c r="V126">
        <f>Match!K127</f>
        <v>1</v>
      </c>
      <c r="W126" t="str">
        <f t="shared" si="30"/>
        <v>,GGoal=</v>
      </c>
      <c r="X126">
        <f>Match!L127</f>
        <v>0</v>
      </c>
      <c r="Y126" t="str">
        <f t="shared" si="31"/>
        <v>,GTeam= "</v>
      </c>
      <c r="Z126" t="str">
        <f>Match!M127</f>
        <v>Ukraine</v>
      </c>
      <c r="AA126" t="str">
        <f t="shared" si="32"/>
        <v>",WinNote="</v>
      </c>
      <c r="AB126" t="str">
        <f>IF(Match!N127="","",Match!N127)</f>
        <v/>
      </c>
      <c r="AC126" t="str">
        <f t="shared" si="33"/>
        <v xml:space="preserve">",Stadium=" </v>
      </c>
      <c r="AD126" s="95" t="str">
        <f>Match!O127</f>
        <v>Donetsk (UKR)</v>
      </c>
      <c r="AE126" t="str">
        <f t="shared" si="34"/>
        <v>",Referee= "</v>
      </c>
      <c r="AF126" s="95" t="str">
        <f>IF(Match!P127="","",Match!P127)</f>
        <v/>
      </c>
      <c r="AG126" t="str">
        <f t="shared" si="35"/>
        <v xml:space="preserve">",Visistors= </v>
      </c>
      <c r="AH126" s="95">
        <f>IF(Match!Q127="",0,Match!Q127)</f>
        <v>0</v>
      </c>
      <c r="AI126" t="str">
        <f t="shared" si="36"/>
        <v>,Status= "</v>
      </c>
      <c r="AJ126" s="95" t="str">
        <f>Match!R127</f>
        <v>Finished</v>
      </c>
      <c r="AK126" t="str">
        <f t="shared" si="37"/>
        <v>" },</v>
      </c>
    </row>
    <row r="127" spans="1:37" x14ac:dyDescent="0.25">
      <c r="A127" s="94" t="str">
        <f t="shared" si="19"/>
        <v>new Match { MatchId= "</v>
      </c>
      <c r="B127" t="str">
        <f>Match!A128</f>
        <v>UEFAEURO2012-25</v>
      </c>
      <c r="C127" s="94" t="str">
        <f t="shared" si="20"/>
        <v>",MatchNumber=</v>
      </c>
      <c r="D127">
        <f>Match!B128</f>
        <v>25</v>
      </c>
      <c r="E127" s="94" t="str">
        <f t="shared" si="21"/>
        <v>,DateMatch=DateTime.Parse("</v>
      </c>
      <c r="F127" s="85">
        <f>Match!C128</f>
        <v>41082</v>
      </c>
      <c r="G127" s="92" t="str">
        <f t="shared" si="22"/>
        <v>"),TimeMatch=TimeSpan.Parse("</v>
      </c>
      <c r="H127" s="93" t="str">
        <f>Match!D128</f>
        <v>02:45</v>
      </c>
      <c r="I127" s="94" t="str">
        <f t="shared" si="23"/>
        <v>"),MatchYear=</v>
      </c>
      <c r="J127">
        <f>Match!E128</f>
        <v>2012</v>
      </c>
      <c r="K127" s="94" t="str">
        <f t="shared" si="24"/>
        <v>, SeasonId= "</v>
      </c>
      <c r="L127" t="str">
        <f>Match!F128</f>
        <v>UEFAEURO2012</v>
      </c>
      <c r="M127" s="94" t="str">
        <f t="shared" si="25"/>
        <v>",Round= "</v>
      </c>
      <c r="N127" t="str">
        <f>Match!G128</f>
        <v>Final Round</v>
      </c>
      <c r="O127" t="str">
        <f t="shared" si="26"/>
        <v>",Stage= "</v>
      </c>
      <c r="P127" t="str">
        <f>Match!H128</f>
        <v>Knockouts</v>
      </c>
      <c r="Q127" t="str">
        <f t="shared" si="27"/>
        <v>",SubStage= "</v>
      </c>
      <c r="R127" t="str">
        <f>Match!I128</f>
        <v>Quaterfinal</v>
      </c>
      <c r="S127" t="str">
        <f t="shared" si="28"/>
        <v>",HTeam= "</v>
      </c>
      <c r="T127" t="str">
        <f>Match!J128</f>
        <v>Czech Republic</v>
      </c>
      <c r="U127" t="str">
        <f t="shared" si="29"/>
        <v>",HGoal=</v>
      </c>
      <c r="V127">
        <f>Match!K128</f>
        <v>0</v>
      </c>
      <c r="W127" t="str">
        <f t="shared" si="30"/>
        <v>,GGoal=</v>
      </c>
      <c r="X127">
        <f>Match!L128</f>
        <v>1</v>
      </c>
      <c r="Y127" t="str">
        <f t="shared" si="31"/>
        <v>,GTeam= "</v>
      </c>
      <c r="Z127" t="str">
        <f>Match!M128</f>
        <v>Portugal</v>
      </c>
      <c r="AA127" t="str">
        <f t="shared" si="32"/>
        <v>",WinNote="</v>
      </c>
      <c r="AB127" t="str">
        <f>IF(Match!N128="","",Match!N128)</f>
        <v/>
      </c>
      <c r="AC127" t="str">
        <f t="shared" si="33"/>
        <v xml:space="preserve">",Stadium=" </v>
      </c>
      <c r="AD127" s="95" t="str">
        <f>Match!O128</f>
        <v>Warsaw (POL)</v>
      </c>
      <c r="AE127" t="str">
        <f t="shared" si="34"/>
        <v>",Referee= "</v>
      </c>
      <c r="AF127" s="95" t="str">
        <f>IF(Match!P128="","",Match!P128)</f>
        <v/>
      </c>
      <c r="AG127" t="str">
        <f t="shared" si="35"/>
        <v xml:space="preserve">",Visistors= </v>
      </c>
      <c r="AH127" s="95">
        <f>IF(Match!Q128="",0,Match!Q128)</f>
        <v>0</v>
      </c>
      <c r="AI127" t="str">
        <f t="shared" si="36"/>
        <v>,Status= "</v>
      </c>
      <c r="AJ127" s="95" t="str">
        <f>Match!R128</f>
        <v>Finished</v>
      </c>
      <c r="AK127" t="str">
        <f t="shared" si="37"/>
        <v>" },</v>
      </c>
    </row>
    <row r="128" spans="1:37" x14ac:dyDescent="0.25">
      <c r="A128" s="94" t="str">
        <f t="shared" si="19"/>
        <v>new Match { MatchId= "</v>
      </c>
      <c r="B128" t="str">
        <f>Match!A129</f>
        <v>UEFAEURO2012-26</v>
      </c>
      <c r="C128" s="94" t="str">
        <f t="shared" si="20"/>
        <v>",MatchNumber=</v>
      </c>
      <c r="D128">
        <f>Match!B129</f>
        <v>26</v>
      </c>
      <c r="E128" s="94" t="str">
        <f t="shared" si="21"/>
        <v>,DateMatch=DateTime.Parse("</v>
      </c>
      <c r="F128" s="85">
        <f>Match!C129</f>
        <v>41083</v>
      </c>
      <c r="G128" s="92" t="str">
        <f t="shared" si="22"/>
        <v>"),TimeMatch=TimeSpan.Parse("</v>
      </c>
      <c r="H128" s="93" t="str">
        <f>Match!D129</f>
        <v>02:45</v>
      </c>
      <c r="I128" s="94" t="str">
        <f t="shared" si="23"/>
        <v>"),MatchYear=</v>
      </c>
      <c r="J128">
        <f>Match!E129</f>
        <v>2012</v>
      </c>
      <c r="K128" s="94" t="str">
        <f t="shared" si="24"/>
        <v>, SeasonId= "</v>
      </c>
      <c r="L128" t="str">
        <f>Match!F129</f>
        <v>UEFAEURO2012</v>
      </c>
      <c r="M128" s="94" t="str">
        <f t="shared" si="25"/>
        <v>",Round= "</v>
      </c>
      <c r="N128" t="str">
        <f>Match!G129</f>
        <v>Final Round</v>
      </c>
      <c r="O128" t="str">
        <f t="shared" si="26"/>
        <v>",Stage= "</v>
      </c>
      <c r="P128" t="str">
        <f>Match!H129</f>
        <v>Knockouts</v>
      </c>
      <c r="Q128" t="str">
        <f t="shared" si="27"/>
        <v>",SubStage= "</v>
      </c>
      <c r="R128" t="str">
        <f>Match!I129</f>
        <v>Quaterfinal</v>
      </c>
      <c r="S128" t="str">
        <f t="shared" si="28"/>
        <v>",HTeam= "</v>
      </c>
      <c r="T128" t="str">
        <f>Match!J129</f>
        <v>Germany</v>
      </c>
      <c r="U128" t="str">
        <f t="shared" si="29"/>
        <v>",HGoal=</v>
      </c>
      <c r="V128">
        <f>Match!K129</f>
        <v>4</v>
      </c>
      <c r="W128" t="str">
        <f t="shared" si="30"/>
        <v>,GGoal=</v>
      </c>
      <c r="X128">
        <f>Match!L129</f>
        <v>2</v>
      </c>
      <c r="Y128" t="str">
        <f t="shared" si="31"/>
        <v>,GTeam= "</v>
      </c>
      <c r="Z128" t="str">
        <f>Match!M129</f>
        <v>Greece</v>
      </c>
      <c r="AA128" t="str">
        <f t="shared" si="32"/>
        <v>",WinNote="</v>
      </c>
      <c r="AB128" t="str">
        <f>IF(Match!N129="","",Match!N129)</f>
        <v/>
      </c>
      <c r="AC128" t="str">
        <f t="shared" si="33"/>
        <v xml:space="preserve">",Stadium=" </v>
      </c>
      <c r="AD128" s="95" t="str">
        <f>Match!O129</f>
        <v>Gdansk (POL)</v>
      </c>
      <c r="AE128" t="str">
        <f t="shared" si="34"/>
        <v>",Referee= "</v>
      </c>
      <c r="AF128" s="95" t="str">
        <f>IF(Match!P129="","",Match!P129)</f>
        <v/>
      </c>
      <c r="AG128" t="str">
        <f t="shared" si="35"/>
        <v xml:space="preserve">",Visistors= </v>
      </c>
      <c r="AH128" s="95">
        <f>IF(Match!Q129="",0,Match!Q129)</f>
        <v>0</v>
      </c>
      <c r="AI128" t="str">
        <f t="shared" si="36"/>
        <v>,Status= "</v>
      </c>
      <c r="AJ128" s="95" t="str">
        <f>Match!R129</f>
        <v>Finished</v>
      </c>
      <c r="AK128" t="str">
        <f t="shared" si="37"/>
        <v>" },</v>
      </c>
    </row>
    <row r="129" spans="1:37" x14ac:dyDescent="0.25">
      <c r="A129" s="94" t="str">
        <f t="shared" si="19"/>
        <v>new Match { MatchId= "</v>
      </c>
      <c r="B129" t="str">
        <f>Match!A130</f>
        <v>UEFAEURO2012-27</v>
      </c>
      <c r="C129" s="94" t="str">
        <f t="shared" si="20"/>
        <v>",MatchNumber=</v>
      </c>
      <c r="D129">
        <f>Match!B130</f>
        <v>27</v>
      </c>
      <c r="E129" s="94" t="str">
        <f t="shared" si="21"/>
        <v>,DateMatch=DateTime.Parse("</v>
      </c>
      <c r="F129" s="85">
        <f>Match!C130</f>
        <v>41084</v>
      </c>
      <c r="G129" s="92" t="str">
        <f t="shared" si="22"/>
        <v>"),TimeMatch=TimeSpan.Parse("</v>
      </c>
      <c r="H129" s="93" t="str">
        <f>Match!D130</f>
        <v>02:45</v>
      </c>
      <c r="I129" s="94" t="str">
        <f t="shared" si="23"/>
        <v>"),MatchYear=</v>
      </c>
      <c r="J129">
        <f>Match!E130</f>
        <v>2012</v>
      </c>
      <c r="K129" s="94" t="str">
        <f t="shared" si="24"/>
        <v>, SeasonId= "</v>
      </c>
      <c r="L129" t="str">
        <f>Match!F130</f>
        <v>UEFAEURO2012</v>
      </c>
      <c r="M129" s="94" t="str">
        <f t="shared" si="25"/>
        <v>",Round= "</v>
      </c>
      <c r="N129" t="str">
        <f>Match!G130</f>
        <v>Final Round</v>
      </c>
      <c r="O129" t="str">
        <f t="shared" si="26"/>
        <v>",Stage= "</v>
      </c>
      <c r="P129" t="str">
        <f>Match!H130</f>
        <v>Knockouts</v>
      </c>
      <c r="Q129" t="str">
        <f t="shared" si="27"/>
        <v>",SubStage= "</v>
      </c>
      <c r="R129" t="str">
        <f>Match!I130</f>
        <v>Quaterfinal</v>
      </c>
      <c r="S129" t="str">
        <f t="shared" si="28"/>
        <v>",HTeam= "</v>
      </c>
      <c r="T129" t="str">
        <f>Match!J130</f>
        <v>Spain</v>
      </c>
      <c r="U129" t="str">
        <f t="shared" si="29"/>
        <v>",HGoal=</v>
      </c>
      <c r="V129">
        <f>Match!K130</f>
        <v>2</v>
      </c>
      <c r="W129" t="str">
        <f t="shared" si="30"/>
        <v>,GGoal=</v>
      </c>
      <c r="X129">
        <f>Match!L130</f>
        <v>0</v>
      </c>
      <c r="Y129" t="str">
        <f t="shared" si="31"/>
        <v>,GTeam= "</v>
      </c>
      <c r="Z129" t="str">
        <f>Match!M130</f>
        <v>France</v>
      </c>
      <c r="AA129" t="str">
        <f t="shared" si="32"/>
        <v>",WinNote="</v>
      </c>
      <c r="AB129" t="str">
        <f>IF(Match!N130="","",Match!N130)</f>
        <v/>
      </c>
      <c r="AC129" t="str">
        <f t="shared" si="33"/>
        <v xml:space="preserve">",Stadium=" </v>
      </c>
      <c r="AD129" s="95" t="str">
        <f>Match!O130</f>
        <v>Donetsk (UKR)</v>
      </c>
      <c r="AE129" t="str">
        <f t="shared" si="34"/>
        <v>",Referee= "</v>
      </c>
      <c r="AF129" s="95" t="str">
        <f>IF(Match!P130="","",Match!P130)</f>
        <v/>
      </c>
      <c r="AG129" t="str">
        <f t="shared" si="35"/>
        <v xml:space="preserve">",Visistors= </v>
      </c>
      <c r="AH129" s="95">
        <f>IF(Match!Q130="",0,Match!Q130)</f>
        <v>0</v>
      </c>
      <c r="AI129" t="str">
        <f t="shared" si="36"/>
        <v>,Status= "</v>
      </c>
      <c r="AJ129" s="95" t="str">
        <f>Match!R130</f>
        <v>Finished</v>
      </c>
      <c r="AK129" t="str">
        <f t="shared" si="37"/>
        <v>" },</v>
      </c>
    </row>
    <row r="130" spans="1:37" x14ac:dyDescent="0.25">
      <c r="A130" s="94" t="str">
        <f t="shared" si="19"/>
        <v>new Match { MatchId= "</v>
      </c>
      <c r="B130" t="str">
        <f>Match!A131</f>
        <v>UEFAEURO2012-28</v>
      </c>
      <c r="C130" s="94" t="str">
        <f t="shared" si="20"/>
        <v>",MatchNumber=</v>
      </c>
      <c r="D130">
        <f>Match!B131</f>
        <v>28</v>
      </c>
      <c r="E130" s="94" t="str">
        <f t="shared" si="21"/>
        <v>,DateMatch=DateTime.Parse("</v>
      </c>
      <c r="F130" s="85">
        <f>Match!C131</f>
        <v>41085</v>
      </c>
      <c r="G130" s="92" t="str">
        <f t="shared" si="22"/>
        <v>"),TimeMatch=TimeSpan.Parse("</v>
      </c>
      <c r="H130" s="93" t="str">
        <f>Match!D131</f>
        <v>02:45</v>
      </c>
      <c r="I130" s="94" t="str">
        <f t="shared" si="23"/>
        <v>"),MatchYear=</v>
      </c>
      <c r="J130">
        <f>Match!E131</f>
        <v>2012</v>
      </c>
      <c r="K130" s="94" t="str">
        <f t="shared" si="24"/>
        <v>, SeasonId= "</v>
      </c>
      <c r="L130" t="str">
        <f>Match!F131</f>
        <v>UEFAEURO2012</v>
      </c>
      <c r="M130" s="94" t="str">
        <f t="shared" si="25"/>
        <v>",Round= "</v>
      </c>
      <c r="N130" t="str">
        <f>Match!G131</f>
        <v>Final Round</v>
      </c>
      <c r="O130" t="str">
        <f t="shared" si="26"/>
        <v>",Stage= "</v>
      </c>
      <c r="P130" t="str">
        <f>Match!H131</f>
        <v>Knockouts</v>
      </c>
      <c r="Q130" t="str">
        <f t="shared" si="27"/>
        <v>",SubStage= "</v>
      </c>
      <c r="R130" t="str">
        <f>Match!I131</f>
        <v>Quaterfinal</v>
      </c>
      <c r="S130" t="str">
        <f t="shared" si="28"/>
        <v>",HTeam= "</v>
      </c>
      <c r="T130" t="str">
        <f>Match!J131</f>
        <v>England</v>
      </c>
      <c r="U130" t="str">
        <f t="shared" si="29"/>
        <v>",HGoal=</v>
      </c>
      <c r="V130">
        <f>Match!K131</f>
        <v>0</v>
      </c>
      <c r="W130" t="str">
        <f t="shared" si="30"/>
        <v>,GGoal=</v>
      </c>
      <c r="X130">
        <f>Match!L131</f>
        <v>0</v>
      </c>
      <c r="Y130" t="str">
        <f t="shared" si="31"/>
        <v>,GTeam= "</v>
      </c>
      <c r="Z130" t="str">
        <f>Match!M131</f>
        <v>Italy</v>
      </c>
      <c r="AA130" t="str">
        <f t="shared" si="32"/>
        <v>",WinNote="</v>
      </c>
      <c r="AB130" t="str">
        <f>IF(Match!N131="","",Match!N131)</f>
        <v>Italy Win on Penalty 4-2</v>
      </c>
      <c r="AC130" t="str">
        <f t="shared" si="33"/>
        <v xml:space="preserve">",Stadium=" </v>
      </c>
      <c r="AD130" s="95" t="str">
        <f>Match!O131</f>
        <v>Kyiv (UKR)</v>
      </c>
      <c r="AE130" t="str">
        <f t="shared" si="34"/>
        <v>",Referee= "</v>
      </c>
      <c r="AF130" s="95" t="str">
        <f>IF(Match!P131="","",Match!P131)</f>
        <v/>
      </c>
      <c r="AG130" t="str">
        <f t="shared" si="35"/>
        <v xml:space="preserve">",Visistors= </v>
      </c>
      <c r="AH130" s="95">
        <f>IF(Match!Q131="",0,Match!Q131)</f>
        <v>0</v>
      </c>
      <c r="AI130" t="str">
        <f t="shared" si="36"/>
        <v>,Status= "</v>
      </c>
      <c r="AJ130" s="95" t="str">
        <f>Match!R131</f>
        <v>Finished</v>
      </c>
      <c r="AK130" t="str">
        <f t="shared" si="37"/>
        <v>" },</v>
      </c>
    </row>
    <row r="131" spans="1:37" x14ac:dyDescent="0.25">
      <c r="A131" s="94" t="str">
        <f t="shared" ref="A131:A194" si="38">A130</f>
        <v>new Match { MatchId= "</v>
      </c>
      <c r="B131" t="str">
        <f>Match!A132</f>
        <v>UEFAEURO2012-29</v>
      </c>
      <c r="C131" s="94" t="str">
        <f t="shared" ref="C131:C194" si="39">C130</f>
        <v>",MatchNumber=</v>
      </c>
      <c r="D131">
        <f>Match!B132</f>
        <v>29</v>
      </c>
      <c r="E131" s="94" t="str">
        <f t="shared" ref="E131:E194" si="40">E130</f>
        <v>,DateMatch=DateTime.Parse("</v>
      </c>
      <c r="F131" s="85">
        <f>Match!C132</f>
        <v>41088</v>
      </c>
      <c r="G131" s="92" t="str">
        <f t="shared" ref="G131:G194" si="41">G130</f>
        <v>"),TimeMatch=TimeSpan.Parse("</v>
      </c>
      <c r="H131" s="93" t="str">
        <f>Match!D132</f>
        <v>02:45</v>
      </c>
      <c r="I131" s="94" t="str">
        <f t="shared" ref="I131:I194" si="42">I130</f>
        <v>"),MatchYear=</v>
      </c>
      <c r="J131">
        <f>Match!E132</f>
        <v>2012</v>
      </c>
      <c r="K131" s="94" t="str">
        <f t="shared" ref="K131:K194" si="43">K130</f>
        <v>, SeasonId= "</v>
      </c>
      <c r="L131" t="str">
        <f>Match!F132</f>
        <v>UEFAEURO2012</v>
      </c>
      <c r="M131" s="94" t="str">
        <f t="shared" ref="M131:M194" si="44">M130</f>
        <v>",Round= "</v>
      </c>
      <c r="N131" t="str">
        <f>Match!G132</f>
        <v>Final Round</v>
      </c>
      <c r="O131" t="str">
        <f t="shared" ref="O131:O194" si="45">O130</f>
        <v>",Stage= "</v>
      </c>
      <c r="P131" t="str">
        <f>Match!H132</f>
        <v>Knockouts</v>
      </c>
      <c r="Q131" t="str">
        <f t="shared" ref="Q131:Q194" si="46">Q130</f>
        <v>",SubStage= "</v>
      </c>
      <c r="R131" t="str">
        <f>Match!I132</f>
        <v>Semifinal</v>
      </c>
      <c r="S131" t="str">
        <f t="shared" ref="S131:S194" si="47">S130</f>
        <v>",HTeam= "</v>
      </c>
      <c r="T131" t="str">
        <f>Match!J132</f>
        <v>Portugal</v>
      </c>
      <c r="U131" t="str">
        <f t="shared" ref="U131:U194" si="48">U130</f>
        <v>",HGoal=</v>
      </c>
      <c r="V131">
        <f>Match!K132</f>
        <v>0</v>
      </c>
      <c r="W131" t="str">
        <f t="shared" ref="W131:W194" si="49">W130</f>
        <v>,GGoal=</v>
      </c>
      <c r="X131">
        <f>Match!L132</f>
        <v>0</v>
      </c>
      <c r="Y131" t="str">
        <f t="shared" ref="Y131:Y194" si="50">Y130</f>
        <v>,GTeam= "</v>
      </c>
      <c r="Z131" t="str">
        <f>Match!M132</f>
        <v>Spain</v>
      </c>
      <c r="AA131" t="str">
        <f t="shared" ref="AA131:AA194" si="51">AA130</f>
        <v>",WinNote="</v>
      </c>
      <c r="AB131" t="str">
        <f>IF(Match!N132="","",Match!N132)</f>
        <v>Spain win on Penalties 4-2</v>
      </c>
      <c r="AC131" t="str">
        <f t="shared" ref="AC131:AC194" si="52">AC130</f>
        <v xml:space="preserve">",Stadium=" </v>
      </c>
      <c r="AD131" s="95" t="str">
        <f>Match!O132</f>
        <v>Donetsk (UKR)</v>
      </c>
      <c r="AE131" t="str">
        <f t="shared" ref="AE131:AE194" si="53">AE130</f>
        <v>",Referee= "</v>
      </c>
      <c r="AF131" s="95" t="str">
        <f>IF(Match!P132="","",Match!P132)</f>
        <v/>
      </c>
      <c r="AG131" t="str">
        <f t="shared" ref="AG131:AG194" si="54">AG130</f>
        <v xml:space="preserve">",Visistors= </v>
      </c>
      <c r="AH131" s="95">
        <f>IF(Match!Q132="",0,Match!Q132)</f>
        <v>0</v>
      </c>
      <c r="AI131" t="str">
        <f t="shared" ref="AI131:AI194" si="55">AI130</f>
        <v>,Status= "</v>
      </c>
      <c r="AJ131" s="95" t="str">
        <f>Match!R132</f>
        <v>Finished</v>
      </c>
      <c r="AK131" t="str">
        <f t="shared" ref="AK131:AK194" si="56">AK130</f>
        <v>" },</v>
      </c>
    </row>
    <row r="132" spans="1:37" x14ac:dyDescent="0.25">
      <c r="A132" s="94" t="str">
        <f t="shared" si="38"/>
        <v>new Match { MatchId= "</v>
      </c>
      <c r="B132" t="str">
        <f>Match!A133</f>
        <v>UEFAEURO2012-30</v>
      </c>
      <c r="C132" s="94" t="str">
        <f t="shared" si="39"/>
        <v>",MatchNumber=</v>
      </c>
      <c r="D132">
        <f>Match!B133</f>
        <v>30</v>
      </c>
      <c r="E132" s="94" t="str">
        <f t="shared" si="40"/>
        <v>,DateMatch=DateTime.Parse("</v>
      </c>
      <c r="F132" s="85">
        <f>Match!C133</f>
        <v>41089</v>
      </c>
      <c r="G132" s="92" t="str">
        <f t="shared" si="41"/>
        <v>"),TimeMatch=TimeSpan.Parse("</v>
      </c>
      <c r="H132" s="93" t="str">
        <f>Match!D133</f>
        <v>02:45</v>
      </c>
      <c r="I132" s="94" t="str">
        <f t="shared" si="42"/>
        <v>"),MatchYear=</v>
      </c>
      <c r="J132">
        <f>Match!E133</f>
        <v>2012</v>
      </c>
      <c r="K132" s="94" t="str">
        <f t="shared" si="43"/>
        <v>, SeasonId= "</v>
      </c>
      <c r="L132" t="str">
        <f>Match!F133</f>
        <v>UEFAEURO2012</v>
      </c>
      <c r="M132" s="94" t="str">
        <f t="shared" si="44"/>
        <v>",Round= "</v>
      </c>
      <c r="N132" t="str">
        <f>Match!G133</f>
        <v>Final Round</v>
      </c>
      <c r="O132" t="str">
        <f t="shared" si="45"/>
        <v>",Stage= "</v>
      </c>
      <c r="P132" t="str">
        <f>Match!H133</f>
        <v>Knockouts</v>
      </c>
      <c r="Q132" t="str">
        <f t="shared" si="46"/>
        <v>",SubStage= "</v>
      </c>
      <c r="R132" t="str">
        <f>Match!I133</f>
        <v>Semifinal</v>
      </c>
      <c r="S132" t="str">
        <f t="shared" si="47"/>
        <v>",HTeam= "</v>
      </c>
      <c r="T132" t="str">
        <f>Match!J133</f>
        <v>Germany</v>
      </c>
      <c r="U132" t="str">
        <f t="shared" si="48"/>
        <v>",HGoal=</v>
      </c>
      <c r="V132">
        <f>Match!K133</f>
        <v>1</v>
      </c>
      <c r="W132" t="str">
        <f t="shared" si="49"/>
        <v>,GGoal=</v>
      </c>
      <c r="X132">
        <f>Match!L133</f>
        <v>2</v>
      </c>
      <c r="Y132" t="str">
        <f t="shared" si="50"/>
        <v>,GTeam= "</v>
      </c>
      <c r="Z132" t="str">
        <f>Match!M133</f>
        <v>Italy</v>
      </c>
      <c r="AA132" t="str">
        <f t="shared" si="51"/>
        <v>",WinNote="</v>
      </c>
      <c r="AB132" t="str">
        <f>IF(Match!N133="","",Match!N133)</f>
        <v/>
      </c>
      <c r="AC132" t="str">
        <f t="shared" si="52"/>
        <v xml:space="preserve">",Stadium=" </v>
      </c>
      <c r="AD132" s="95" t="str">
        <f>Match!O133</f>
        <v>Warsaw (POL)</v>
      </c>
      <c r="AE132" t="str">
        <f t="shared" si="53"/>
        <v>",Referee= "</v>
      </c>
      <c r="AF132" s="95" t="str">
        <f>IF(Match!P133="","",Match!P133)</f>
        <v/>
      </c>
      <c r="AG132" t="str">
        <f t="shared" si="54"/>
        <v xml:space="preserve">",Visistors= </v>
      </c>
      <c r="AH132" s="95">
        <f>IF(Match!Q133="",0,Match!Q133)</f>
        <v>0</v>
      </c>
      <c r="AI132" t="str">
        <f t="shared" si="55"/>
        <v>,Status= "</v>
      </c>
      <c r="AJ132" s="95" t="str">
        <f>Match!R133</f>
        <v>Finished</v>
      </c>
      <c r="AK132" t="str">
        <f t="shared" si="56"/>
        <v>" },</v>
      </c>
    </row>
    <row r="133" spans="1:37" x14ac:dyDescent="0.25">
      <c r="A133" s="94" t="str">
        <f t="shared" si="38"/>
        <v>new Match { MatchId= "</v>
      </c>
      <c r="B133" t="str">
        <f>Match!A134</f>
        <v>UEFAEURO2012-31</v>
      </c>
      <c r="C133" s="94" t="str">
        <f t="shared" si="39"/>
        <v>",MatchNumber=</v>
      </c>
      <c r="D133">
        <f>Match!B134</f>
        <v>31</v>
      </c>
      <c r="E133" s="94" t="str">
        <f t="shared" si="40"/>
        <v>,DateMatch=DateTime.Parse("</v>
      </c>
      <c r="F133" s="85">
        <f>Match!C134</f>
        <v>41091</v>
      </c>
      <c r="G133" s="92" t="str">
        <f t="shared" si="41"/>
        <v>"),TimeMatch=TimeSpan.Parse("</v>
      </c>
      <c r="H133" s="93" t="str">
        <f>Match!D134</f>
        <v>02:45</v>
      </c>
      <c r="I133" s="94" t="str">
        <f t="shared" si="42"/>
        <v>"),MatchYear=</v>
      </c>
      <c r="J133">
        <f>Match!E134</f>
        <v>2012</v>
      </c>
      <c r="K133" s="94" t="str">
        <f t="shared" si="43"/>
        <v>, SeasonId= "</v>
      </c>
      <c r="L133" t="str">
        <f>Match!F134</f>
        <v>UEFAEURO2012</v>
      </c>
      <c r="M133" s="94" t="str">
        <f t="shared" si="44"/>
        <v>",Round= "</v>
      </c>
      <c r="N133" t="str">
        <f>Match!G134</f>
        <v>Final Round</v>
      </c>
      <c r="O133" t="str">
        <f t="shared" si="45"/>
        <v>",Stage= "</v>
      </c>
      <c r="P133" t="str">
        <f>Match!H134</f>
        <v>Knockouts</v>
      </c>
      <c r="Q133" t="str">
        <f t="shared" si="46"/>
        <v>",SubStage= "</v>
      </c>
      <c r="R133" t="str">
        <f>Match!I134</f>
        <v>Final</v>
      </c>
      <c r="S133" t="str">
        <f t="shared" si="47"/>
        <v>",HTeam= "</v>
      </c>
      <c r="T133" t="str">
        <f>Match!J134</f>
        <v>Spain</v>
      </c>
      <c r="U133" t="str">
        <f t="shared" si="48"/>
        <v>",HGoal=</v>
      </c>
      <c r="V133">
        <f>Match!K134</f>
        <v>4</v>
      </c>
      <c r="W133" t="str">
        <f t="shared" si="49"/>
        <v>,GGoal=</v>
      </c>
      <c r="X133">
        <f>Match!L134</f>
        <v>0</v>
      </c>
      <c r="Y133" t="str">
        <f t="shared" si="50"/>
        <v>,GTeam= "</v>
      </c>
      <c r="Z133" t="str">
        <f>Match!M134</f>
        <v>Italy</v>
      </c>
      <c r="AA133" t="str">
        <f t="shared" si="51"/>
        <v>",WinNote="</v>
      </c>
      <c r="AB133" t="str">
        <f>IF(Match!N134="","",Match!N134)</f>
        <v/>
      </c>
      <c r="AC133" t="str">
        <f t="shared" si="52"/>
        <v xml:space="preserve">",Stadium=" </v>
      </c>
      <c r="AD133" s="95" t="str">
        <f>Match!O134</f>
        <v>Kyiv</v>
      </c>
      <c r="AE133" t="str">
        <f t="shared" si="53"/>
        <v>",Referee= "</v>
      </c>
      <c r="AF133" s="95" t="str">
        <f>IF(Match!P134="","",Match!P134)</f>
        <v/>
      </c>
      <c r="AG133" t="str">
        <f t="shared" si="54"/>
        <v xml:space="preserve">",Visistors= </v>
      </c>
      <c r="AH133" s="95">
        <f>IF(Match!Q134="",0,Match!Q134)</f>
        <v>0</v>
      </c>
      <c r="AI133" t="str">
        <f t="shared" si="55"/>
        <v>,Status= "</v>
      </c>
      <c r="AJ133" s="95" t="str">
        <f>Match!R134</f>
        <v>Finished</v>
      </c>
      <c r="AK133" t="str">
        <f t="shared" si="56"/>
        <v>" },</v>
      </c>
    </row>
    <row r="134" spans="1:37" x14ac:dyDescent="0.25">
      <c r="A134" s="94" t="str">
        <f t="shared" si="38"/>
        <v>new Match { MatchId= "</v>
      </c>
      <c r="B134" t="str">
        <f>Match!A135</f>
        <v>UEFAEURO2008-1</v>
      </c>
      <c r="C134" s="94" t="str">
        <f t="shared" si="39"/>
        <v>",MatchNumber=</v>
      </c>
      <c r="D134">
        <f>Match!B135</f>
        <v>1</v>
      </c>
      <c r="E134" s="94" t="str">
        <f t="shared" si="40"/>
        <v>,DateMatch=DateTime.Parse("</v>
      </c>
      <c r="F134" s="85">
        <f>Match!C135</f>
        <v>39607</v>
      </c>
      <c r="G134" s="92" t="str">
        <f t="shared" si="41"/>
        <v>"),TimeMatch=TimeSpan.Parse("</v>
      </c>
      <c r="H134" s="93">
        <f>Match!D135</f>
        <v>0</v>
      </c>
      <c r="I134" s="94" t="str">
        <f t="shared" si="42"/>
        <v>"),MatchYear=</v>
      </c>
      <c r="J134">
        <f>Match!E135</f>
        <v>2008</v>
      </c>
      <c r="K134" s="94" t="str">
        <f t="shared" si="43"/>
        <v>, SeasonId= "</v>
      </c>
      <c r="L134" t="str">
        <f>Match!F135</f>
        <v>UEFAEURO2008</v>
      </c>
      <c r="M134" s="94" t="str">
        <f t="shared" si="44"/>
        <v>",Round= "</v>
      </c>
      <c r="N134" t="str">
        <f>Match!G135</f>
        <v>Final Round</v>
      </c>
      <c r="O134" t="str">
        <f t="shared" si="45"/>
        <v>",Stage= "</v>
      </c>
      <c r="P134" t="str">
        <f>Match!H135</f>
        <v>Group</v>
      </c>
      <c r="Q134" t="str">
        <f t="shared" si="46"/>
        <v>",SubStage= "</v>
      </c>
      <c r="R134" t="str">
        <f>Match!I135</f>
        <v>Group A</v>
      </c>
      <c r="S134" t="str">
        <f t="shared" si="47"/>
        <v>",HTeam= "</v>
      </c>
      <c r="T134" t="str">
        <f>Match!J135</f>
        <v>Switzerland</v>
      </c>
      <c r="U134" t="str">
        <f t="shared" si="48"/>
        <v>",HGoal=</v>
      </c>
      <c r="V134">
        <f>Match!K135</f>
        <v>0</v>
      </c>
      <c r="W134" t="str">
        <f t="shared" si="49"/>
        <v>,GGoal=</v>
      </c>
      <c r="X134">
        <f>Match!L135</f>
        <v>1</v>
      </c>
      <c r="Y134" t="str">
        <f t="shared" si="50"/>
        <v>,GTeam= "</v>
      </c>
      <c r="Z134" t="str">
        <f>Match!M135</f>
        <v>Czech Republic</v>
      </c>
      <c r="AA134" t="str">
        <f t="shared" si="51"/>
        <v>",WinNote="</v>
      </c>
      <c r="AB134" t="str">
        <f>IF(Match!N135="","",Match!N135)</f>
        <v/>
      </c>
      <c r="AC134" t="str">
        <f t="shared" si="52"/>
        <v xml:space="preserve">",Stadium=" </v>
      </c>
      <c r="AD134" s="95" t="str">
        <f>Match!O135</f>
        <v>Basel</v>
      </c>
      <c r="AE134" t="str">
        <f t="shared" si="53"/>
        <v>",Referee= "</v>
      </c>
      <c r="AF134" s="95" t="str">
        <f>IF(Match!P135="","",Match!P135)</f>
        <v/>
      </c>
      <c r="AG134" t="str">
        <f t="shared" si="54"/>
        <v xml:space="preserve">",Visistors= </v>
      </c>
      <c r="AH134" s="95">
        <f>IF(Match!Q135="",0,Match!Q135)</f>
        <v>0</v>
      </c>
      <c r="AI134" t="str">
        <f t="shared" si="55"/>
        <v>,Status= "</v>
      </c>
      <c r="AJ134" s="95" t="str">
        <f>Match!R135</f>
        <v>Finished</v>
      </c>
      <c r="AK134" t="str">
        <f t="shared" si="56"/>
        <v>" },</v>
      </c>
    </row>
    <row r="135" spans="1:37" x14ac:dyDescent="0.25">
      <c r="A135" s="94" t="str">
        <f t="shared" si="38"/>
        <v>new Match { MatchId= "</v>
      </c>
      <c r="B135" t="str">
        <f>Match!A136</f>
        <v>UEFAEURO2008-2</v>
      </c>
      <c r="C135" s="94" t="str">
        <f t="shared" si="39"/>
        <v>",MatchNumber=</v>
      </c>
      <c r="D135">
        <f>Match!B136</f>
        <v>2</v>
      </c>
      <c r="E135" s="94" t="str">
        <f t="shared" si="40"/>
        <v>,DateMatch=DateTime.Parse("</v>
      </c>
      <c r="F135" s="85">
        <f>Match!C136</f>
        <v>39607</v>
      </c>
      <c r="G135" s="92" t="str">
        <f t="shared" si="41"/>
        <v>"),TimeMatch=TimeSpan.Parse("</v>
      </c>
      <c r="H135" s="93">
        <f>Match!D136</f>
        <v>0.11458333333333326</v>
      </c>
      <c r="I135" s="94" t="str">
        <f t="shared" si="42"/>
        <v>"),MatchYear=</v>
      </c>
      <c r="J135">
        <f>Match!E136</f>
        <v>2008</v>
      </c>
      <c r="K135" s="94" t="str">
        <f t="shared" si="43"/>
        <v>, SeasonId= "</v>
      </c>
      <c r="L135" t="str">
        <f>Match!F136</f>
        <v>UEFAEURO2008</v>
      </c>
      <c r="M135" s="94" t="str">
        <f t="shared" si="44"/>
        <v>",Round= "</v>
      </c>
      <c r="N135" t="str">
        <f>Match!G136</f>
        <v>Final Round</v>
      </c>
      <c r="O135" t="str">
        <f t="shared" si="45"/>
        <v>",Stage= "</v>
      </c>
      <c r="P135" t="str">
        <f>Match!H136</f>
        <v>Group</v>
      </c>
      <c r="Q135" t="str">
        <f t="shared" si="46"/>
        <v>",SubStage= "</v>
      </c>
      <c r="R135" t="str">
        <f>Match!I136</f>
        <v>Group A</v>
      </c>
      <c r="S135" t="str">
        <f t="shared" si="47"/>
        <v>",HTeam= "</v>
      </c>
      <c r="T135" t="str">
        <f>Match!J136</f>
        <v>Portugal</v>
      </c>
      <c r="U135" t="str">
        <f t="shared" si="48"/>
        <v>",HGoal=</v>
      </c>
      <c r="V135">
        <f>Match!K136</f>
        <v>2</v>
      </c>
      <c r="W135" t="str">
        <f t="shared" si="49"/>
        <v>,GGoal=</v>
      </c>
      <c r="X135">
        <f>Match!L136</f>
        <v>0</v>
      </c>
      <c r="Y135" t="str">
        <f t="shared" si="50"/>
        <v>,GTeam= "</v>
      </c>
      <c r="Z135" t="str">
        <f>Match!M136</f>
        <v>Turkey</v>
      </c>
      <c r="AA135" t="str">
        <f t="shared" si="51"/>
        <v>",WinNote="</v>
      </c>
      <c r="AB135" t="str">
        <f>IF(Match!N136="","",Match!N136)</f>
        <v/>
      </c>
      <c r="AC135" t="str">
        <f t="shared" si="52"/>
        <v xml:space="preserve">",Stadium=" </v>
      </c>
      <c r="AD135" s="95" t="str">
        <f>Match!O136</f>
        <v>Geneva</v>
      </c>
      <c r="AE135" t="str">
        <f t="shared" si="53"/>
        <v>",Referee= "</v>
      </c>
      <c r="AF135" s="95" t="str">
        <f>IF(Match!P136="","",Match!P136)</f>
        <v/>
      </c>
      <c r="AG135" t="str">
        <f t="shared" si="54"/>
        <v xml:space="preserve">",Visistors= </v>
      </c>
      <c r="AH135" s="95">
        <f>IF(Match!Q136="",0,Match!Q136)</f>
        <v>0</v>
      </c>
      <c r="AI135" t="str">
        <f t="shared" si="55"/>
        <v>,Status= "</v>
      </c>
      <c r="AJ135" s="95" t="str">
        <f>Match!R136</f>
        <v>Finished</v>
      </c>
      <c r="AK135" t="str">
        <f t="shared" si="56"/>
        <v>" },</v>
      </c>
    </row>
    <row r="136" spans="1:37" x14ac:dyDescent="0.25">
      <c r="A136" s="94" t="str">
        <f t="shared" si="38"/>
        <v>new Match { MatchId= "</v>
      </c>
      <c r="B136" t="str">
        <f>Match!A137</f>
        <v>UEFAEURO2008-3</v>
      </c>
      <c r="C136" s="94" t="str">
        <f t="shared" si="39"/>
        <v>",MatchNumber=</v>
      </c>
      <c r="D136">
        <f>Match!B137</f>
        <v>3</v>
      </c>
      <c r="E136" s="94" t="str">
        <f t="shared" si="40"/>
        <v>,DateMatch=DateTime.Parse("</v>
      </c>
      <c r="F136" s="85">
        <f>Match!C137</f>
        <v>39608</v>
      </c>
      <c r="G136" s="92" t="str">
        <f t="shared" si="41"/>
        <v>"),TimeMatch=TimeSpan.Parse("</v>
      </c>
      <c r="H136" s="93">
        <f>Match!D137</f>
        <v>0</v>
      </c>
      <c r="I136" s="94" t="str">
        <f t="shared" si="42"/>
        <v>"),MatchYear=</v>
      </c>
      <c r="J136">
        <f>Match!E137</f>
        <v>2008</v>
      </c>
      <c r="K136" s="94" t="str">
        <f t="shared" si="43"/>
        <v>, SeasonId= "</v>
      </c>
      <c r="L136" t="str">
        <f>Match!F137</f>
        <v>UEFAEURO2008</v>
      </c>
      <c r="M136" s="94" t="str">
        <f t="shared" si="44"/>
        <v>",Round= "</v>
      </c>
      <c r="N136" t="str">
        <f>Match!G137</f>
        <v>Final Round</v>
      </c>
      <c r="O136" t="str">
        <f t="shared" si="45"/>
        <v>",Stage= "</v>
      </c>
      <c r="P136" t="str">
        <f>Match!H137</f>
        <v>Group</v>
      </c>
      <c r="Q136" t="str">
        <f t="shared" si="46"/>
        <v>",SubStage= "</v>
      </c>
      <c r="R136" t="str">
        <f>Match!I137</f>
        <v>Group B</v>
      </c>
      <c r="S136" t="str">
        <f t="shared" si="47"/>
        <v>",HTeam= "</v>
      </c>
      <c r="T136" t="str">
        <f>Match!J137</f>
        <v>Austria</v>
      </c>
      <c r="U136" t="str">
        <f t="shared" si="48"/>
        <v>",HGoal=</v>
      </c>
      <c r="V136">
        <f>Match!K137</f>
        <v>0</v>
      </c>
      <c r="W136" t="str">
        <f t="shared" si="49"/>
        <v>,GGoal=</v>
      </c>
      <c r="X136">
        <f>Match!L137</f>
        <v>1</v>
      </c>
      <c r="Y136" t="str">
        <f t="shared" si="50"/>
        <v>,GTeam= "</v>
      </c>
      <c r="Z136" t="str">
        <f>Match!M137</f>
        <v>Croatia</v>
      </c>
      <c r="AA136" t="str">
        <f t="shared" si="51"/>
        <v>",WinNote="</v>
      </c>
      <c r="AB136" t="str">
        <f>IF(Match!N137="","",Match!N137)</f>
        <v/>
      </c>
      <c r="AC136" t="str">
        <f t="shared" si="52"/>
        <v xml:space="preserve">",Stadium=" </v>
      </c>
      <c r="AD136" s="95" t="str">
        <f>Match!O137</f>
        <v>Vienna</v>
      </c>
      <c r="AE136" t="str">
        <f t="shared" si="53"/>
        <v>",Referee= "</v>
      </c>
      <c r="AF136" s="95" t="str">
        <f>IF(Match!P137="","",Match!P137)</f>
        <v/>
      </c>
      <c r="AG136" t="str">
        <f t="shared" si="54"/>
        <v xml:space="preserve">",Visistors= </v>
      </c>
      <c r="AH136" s="95">
        <f>IF(Match!Q137="",0,Match!Q137)</f>
        <v>0</v>
      </c>
      <c r="AI136" t="str">
        <f t="shared" si="55"/>
        <v>,Status= "</v>
      </c>
      <c r="AJ136" s="95" t="str">
        <f>Match!R137</f>
        <v>Finished</v>
      </c>
      <c r="AK136" t="str">
        <f t="shared" si="56"/>
        <v>" },</v>
      </c>
    </row>
    <row r="137" spans="1:37" x14ac:dyDescent="0.25">
      <c r="A137" s="94" t="str">
        <f t="shared" si="38"/>
        <v>new Match { MatchId= "</v>
      </c>
      <c r="B137" t="str">
        <f>Match!A138</f>
        <v>UEFAEURO2008-4</v>
      </c>
      <c r="C137" s="94" t="str">
        <f t="shared" si="39"/>
        <v>",MatchNumber=</v>
      </c>
      <c r="D137">
        <f>Match!B138</f>
        <v>4</v>
      </c>
      <c r="E137" s="94" t="str">
        <f t="shared" si="40"/>
        <v>,DateMatch=DateTime.Parse("</v>
      </c>
      <c r="F137" s="85">
        <f>Match!C138</f>
        <v>39608</v>
      </c>
      <c r="G137" s="92" t="str">
        <f t="shared" si="41"/>
        <v>"),TimeMatch=TimeSpan.Parse("</v>
      </c>
      <c r="H137" s="93">
        <f>Match!D138</f>
        <v>0.11458333333333326</v>
      </c>
      <c r="I137" s="94" t="str">
        <f t="shared" si="42"/>
        <v>"),MatchYear=</v>
      </c>
      <c r="J137">
        <f>Match!E138</f>
        <v>2008</v>
      </c>
      <c r="K137" s="94" t="str">
        <f t="shared" si="43"/>
        <v>, SeasonId= "</v>
      </c>
      <c r="L137" t="str">
        <f>Match!F138</f>
        <v>UEFAEURO2008</v>
      </c>
      <c r="M137" s="94" t="str">
        <f t="shared" si="44"/>
        <v>",Round= "</v>
      </c>
      <c r="N137" t="str">
        <f>Match!G138</f>
        <v>Final Round</v>
      </c>
      <c r="O137" t="str">
        <f t="shared" si="45"/>
        <v>",Stage= "</v>
      </c>
      <c r="P137" t="str">
        <f>Match!H138</f>
        <v>Group</v>
      </c>
      <c r="Q137" t="str">
        <f t="shared" si="46"/>
        <v>",SubStage= "</v>
      </c>
      <c r="R137" t="str">
        <f>Match!I138</f>
        <v>Group B</v>
      </c>
      <c r="S137" t="str">
        <f t="shared" si="47"/>
        <v>",HTeam= "</v>
      </c>
      <c r="T137" t="str">
        <f>Match!J138</f>
        <v>Germany</v>
      </c>
      <c r="U137" t="str">
        <f t="shared" si="48"/>
        <v>",HGoal=</v>
      </c>
      <c r="V137">
        <f>Match!K138</f>
        <v>2</v>
      </c>
      <c r="W137" t="str">
        <f t="shared" si="49"/>
        <v>,GGoal=</v>
      </c>
      <c r="X137">
        <f>Match!L138</f>
        <v>0</v>
      </c>
      <c r="Y137" t="str">
        <f t="shared" si="50"/>
        <v>,GTeam= "</v>
      </c>
      <c r="Z137" t="str">
        <f>Match!M138</f>
        <v>Poland</v>
      </c>
      <c r="AA137" t="str">
        <f t="shared" si="51"/>
        <v>",WinNote="</v>
      </c>
      <c r="AB137" t="str">
        <f>IF(Match!N138="","",Match!N138)</f>
        <v/>
      </c>
      <c r="AC137" t="str">
        <f t="shared" si="52"/>
        <v xml:space="preserve">",Stadium=" </v>
      </c>
      <c r="AD137" s="95" t="str">
        <f>Match!O138</f>
        <v>Klagenfurt</v>
      </c>
      <c r="AE137" t="str">
        <f t="shared" si="53"/>
        <v>",Referee= "</v>
      </c>
      <c r="AF137" s="95" t="str">
        <f>IF(Match!P138="","",Match!P138)</f>
        <v/>
      </c>
      <c r="AG137" t="str">
        <f t="shared" si="54"/>
        <v xml:space="preserve">",Visistors= </v>
      </c>
      <c r="AH137" s="95">
        <f>IF(Match!Q138="",0,Match!Q138)</f>
        <v>0</v>
      </c>
      <c r="AI137" t="str">
        <f t="shared" si="55"/>
        <v>,Status= "</v>
      </c>
      <c r="AJ137" s="95" t="str">
        <f>Match!R138</f>
        <v>Finished</v>
      </c>
      <c r="AK137" t="str">
        <f t="shared" si="56"/>
        <v>" },</v>
      </c>
    </row>
    <row r="138" spans="1:37" x14ac:dyDescent="0.25">
      <c r="A138" s="94" t="str">
        <f t="shared" si="38"/>
        <v>new Match { MatchId= "</v>
      </c>
      <c r="B138" t="str">
        <f>Match!A139</f>
        <v>UEFAEURO2008-5</v>
      </c>
      <c r="C138" s="94" t="str">
        <f t="shared" si="39"/>
        <v>",MatchNumber=</v>
      </c>
      <c r="D138">
        <f>Match!B139</f>
        <v>5</v>
      </c>
      <c r="E138" s="94" t="str">
        <f t="shared" si="40"/>
        <v>,DateMatch=DateTime.Parse("</v>
      </c>
      <c r="F138" s="85">
        <f>Match!C139</f>
        <v>39609</v>
      </c>
      <c r="G138" s="92" t="str">
        <f t="shared" si="41"/>
        <v>"),TimeMatch=TimeSpan.Parse("</v>
      </c>
      <c r="H138" s="93">
        <f>Match!D139</f>
        <v>0</v>
      </c>
      <c r="I138" s="94" t="str">
        <f t="shared" si="42"/>
        <v>"),MatchYear=</v>
      </c>
      <c r="J138">
        <f>Match!E139</f>
        <v>2008</v>
      </c>
      <c r="K138" s="94" t="str">
        <f t="shared" si="43"/>
        <v>, SeasonId= "</v>
      </c>
      <c r="L138" t="str">
        <f>Match!F139</f>
        <v>UEFAEURO2008</v>
      </c>
      <c r="M138" s="94" t="str">
        <f t="shared" si="44"/>
        <v>",Round= "</v>
      </c>
      <c r="N138" t="str">
        <f>Match!G139</f>
        <v>Final Round</v>
      </c>
      <c r="O138" t="str">
        <f t="shared" si="45"/>
        <v>",Stage= "</v>
      </c>
      <c r="P138" t="str">
        <f>Match!H139</f>
        <v>Group</v>
      </c>
      <c r="Q138" t="str">
        <f t="shared" si="46"/>
        <v>",SubStage= "</v>
      </c>
      <c r="R138" t="str">
        <f>Match!I139</f>
        <v>Group C</v>
      </c>
      <c r="S138" t="str">
        <f t="shared" si="47"/>
        <v>",HTeam= "</v>
      </c>
      <c r="T138" t="str">
        <f>Match!J139</f>
        <v>Romania</v>
      </c>
      <c r="U138" t="str">
        <f t="shared" si="48"/>
        <v>",HGoal=</v>
      </c>
      <c r="V138">
        <f>Match!K139</f>
        <v>0</v>
      </c>
      <c r="W138" t="str">
        <f t="shared" si="49"/>
        <v>,GGoal=</v>
      </c>
      <c r="X138">
        <f>Match!L139</f>
        <v>0</v>
      </c>
      <c r="Y138" t="str">
        <f t="shared" si="50"/>
        <v>,GTeam= "</v>
      </c>
      <c r="Z138" t="str">
        <f>Match!M139</f>
        <v>France</v>
      </c>
      <c r="AA138" t="str">
        <f t="shared" si="51"/>
        <v>",WinNote="</v>
      </c>
      <c r="AB138" t="str">
        <f>IF(Match!N139="","",Match!N139)</f>
        <v/>
      </c>
      <c r="AC138" t="str">
        <f t="shared" si="52"/>
        <v xml:space="preserve">",Stadium=" </v>
      </c>
      <c r="AD138" s="95" t="str">
        <f>Match!O139</f>
        <v>Zürich</v>
      </c>
      <c r="AE138" t="str">
        <f t="shared" si="53"/>
        <v>",Referee= "</v>
      </c>
      <c r="AF138" s="95" t="str">
        <f>IF(Match!P139="","",Match!P139)</f>
        <v/>
      </c>
      <c r="AG138" t="str">
        <f t="shared" si="54"/>
        <v xml:space="preserve">",Visistors= </v>
      </c>
      <c r="AH138" s="95">
        <f>IF(Match!Q139="",0,Match!Q139)</f>
        <v>0</v>
      </c>
      <c r="AI138" t="str">
        <f t="shared" si="55"/>
        <v>,Status= "</v>
      </c>
      <c r="AJ138" s="95" t="str">
        <f>Match!R139</f>
        <v>Finished</v>
      </c>
      <c r="AK138" t="str">
        <f t="shared" si="56"/>
        <v>" },</v>
      </c>
    </row>
    <row r="139" spans="1:37" x14ac:dyDescent="0.25">
      <c r="A139" s="94" t="str">
        <f t="shared" si="38"/>
        <v>new Match { MatchId= "</v>
      </c>
      <c r="B139" t="str">
        <f>Match!A140</f>
        <v>UEFAEURO2008-6</v>
      </c>
      <c r="C139" s="94" t="str">
        <f t="shared" si="39"/>
        <v>",MatchNumber=</v>
      </c>
      <c r="D139">
        <f>Match!B140</f>
        <v>6</v>
      </c>
      <c r="E139" s="94" t="str">
        <f t="shared" si="40"/>
        <v>,DateMatch=DateTime.Parse("</v>
      </c>
      <c r="F139" s="85">
        <f>Match!C140</f>
        <v>39609</v>
      </c>
      <c r="G139" s="92" t="str">
        <f t="shared" si="41"/>
        <v>"),TimeMatch=TimeSpan.Parse("</v>
      </c>
      <c r="H139" s="93">
        <f>Match!D140</f>
        <v>0.11458333333333326</v>
      </c>
      <c r="I139" s="94" t="str">
        <f t="shared" si="42"/>
        <v>"),MatchYear=</v>
      </c>
      <c r="J139">
        <f>Match!E140</f>
        <v>2008</v>
      </c>
      <c r="K139" s="94" t="str">
        <f t="shared" si="43"/>
        <v>, SeasonId= "</v>
      </c>
      <c r="L139" t="str">
        <f>Match!F140</f>
        <v>UEFAEURO2008</v>
      </c>
      <c r="M139" s="94" t="str">
        <f t="shared" si="44"/>
        <v>",Round= "</v>
      </c>
      <c r="N139" t="str">
        <f>Match!G140</f>
        <v>Final Round</v>
      </c>
      <c r="O139" t="str">
        <f t="shared" si="45"/>
        <v>",Stage= "</v>
      </c>
      <c r="P139" t="str">
        <f>Match!H140</f>
        <v>Group</v>
      </c>
      <c r="Q139" t="str">
        <f t="shared" si="46"/>
        <v>",SubStage= "</v>
      </c>
      <c r="R139" t="str">
        <f>Match!I140</f>
        <v>Group C</v>
      </c>
      <c r="S139" t="str">
        <f t="shared" si="47"/>
        <v>",HTeam= "</v>
      </c>
      <c r="T139" t="str">
        <f>Match!J140</f>
        <v>Netherlands</v>
      </c>
      <c r="U139" t="str">
        <f t="shared" si="48"/>
        <v>",HGoal=</v>
      </c>
      <c r="V139">
        <f>Match!K140</f>
        <v>3</v>
      </c>
      <c r="W139" t="str">
        <f t="shared" si="49"/>
        <v>,GGoal=</v>
      </c>
      <c r="X139">
        <f>Match!L140</f>
        <v>0</v>
      </c>
      <c r="Y139" t="str">
        <f t="shared" si="50"/>
        <v>,GTeam= "</v>
      </c>
      <c r="Z139" t="str">
        <f>Match!M140</f>
        <v>Italy</v>
      </c>
      <c r="AA139" t="str">
        <f t="shared" si="51"/>
        <v>",WinNote="</v>
      </c>
      <c r="AB139" t="str">
        <f>IF(Match!N140="","",Match!N140)</f>
        <v/>
      </c>
      <c r="AC139" t="str">
        <f t="shared" si="52"/>
        <v xml:space="preserve">",Stadium=" </v>
      </c>
      <c r="AD139" s="95" t="str">
        <f>Match!O140</f>
        <v>Berne</v>
      </c>
      <c r="AE139" t="str">
        <f t="shared" si="53"/>
        <v>",Referee= "</v>
      </c>
      <c r="AF139" s="95" t="str">
        <f>IF(Match!P140="","",Match!P140)</f>
        <v/>
      </c>
      <c r="AG139" t="str">
        <f t="shared" si="54"/>
        <v xml:space="preserve">",Visistors= </v>
      </c>
      <c r="AH139" s="95">
        <f>IF(Match!Q140="",0,Match!Q140)</f>
        <v>0</v>
      </c>
      <c r="AI139" t="str">
        <f t="shared" si="55"/>
        <v>,Status= "</v>
      </c>
      <c r="AJ139" s="95" t="str">
        <f>Match!R140</f>
        <v>Finished</v>
      </c>
      <c r="AK139" t="str">
        <f t="shared" si="56"/>
        <v>" },</v>
      </c>
    </row>
    <row r="140" spans="1:37" x14ac:dyDescent="0.25">
      <c r="A140" s="94" t="str">
        <f t="shared" si="38"/>
        <v>new Match { MatchId= "</v>
      </c>
      <c r="B140" t="str">
        <f>Match!A141</f>
        <v>UEFAEURO2008-7</v>
      </c>
      <c r="C140" s="94" t="str">
        <f t="shared" si="39"/>
        <v>",MatchNumber=</v>
      </c>
      <c r="D140">
        <f>Match!B141</f>
        <v>7</v>
      </c>
      <c r="E140" s="94" t="str">
        <f t="shared" si="40"/>
        <v>,DateMatch=DateTime.Parse("</v>
      </c>
      <c r="F140" s="85">
        <f>Match!C141</f>
        <v>39610</v>
      </c>
      <c r="G140" s="92" t="str">
        <f t="shared" si="41"/>
        <v>"),TimeMatch=TimeSpan.Parse("</v>
      </c>
      <c r="H140" s="93">
        <f>Match!D141</f>
        <v>0</v>
      </c>
      <c r="I140" s="94" t="str">
        <f t="shared" si="42"/>
        <v>"),MatchYear=</v>
      </c>
      <c r="J140">
        <f>Match!E141</f>
        <v>2008</v>
      </c>
      <c r="K140" s="94" t="str">
        <f t="shared" si="43"/>
        <v>, SeasonId= "</v>
      </c>
      <c r="L140" t="str">
        <f>Match!F141</f>
        <v>UEFAEURO2008</v>
      </c>
      <c r="M140" s="94" t="str">
        <f t="shared" si="44"/>
        <v>",Round= "</v>
      </c>
      <c r="N140" t="str">
        <f>Match!G141</f>
        <v>Final Round</v>
      </c>
      <c r="O140" t="str">
        <f t="shared" si="45"/>
        <v>",Stage= "</v>
      </c>
      <c r="P140" t="str">
        <f>Match!H141</f>
        <v>Group</v>
      </c>
      <c r="Q140" t="str">
        <f t="shared" si="46"/>
        <v>",SubStage= "</v>
      </c>
      <c r="R140" t="str">
        <f>Match!I141</f>
        <v>Group D</v>
      </c>
      <c r="S140" t="str">
        <f t="shared" si="47"/>
        <v>",HTeam= "</v>
      </c>
      <c r="T140" t="str">
        <f>Match!J141</f>
        <v>Spain</v>
      </c>
      <c r="U140" t="str">
        <f t="shared" si="48"/>
        <v>",HGoal=</v>
      </c>
      <c r="V140">
        <f>Match!K141</f>
        <v>4</v>
      </c>
      <c r="W140" t="str">
        <f t="shared" si="49"/>
        <v>,GGoal=</v>
      </c>
      <c r="X140">
        <f>Match!L141</f>
        <v>1</v>
      </c>
      <c r="Y140" t="str">
        <f t="shared" si="50"/>
        <v>,GTeam= "</v>
      </c>
      <c r="Z140" t="str">
        <f>Match!M141</f>
        <v>Russia</v>
      </c>
      <c r="AA140" t="str">
        <f t="shared" si="51"/>
        <v>",WinNote="</v>
      </c>
      <c r="AB140" t="str">
        <f>IF(Match!N141="","",Match!N141)</f>
        <v/>
      </c>
      <c r="AC140" t="str">
        <f t="shared" si="52"/>
        <v xml:space="preserve">",Stadium=" </v>
      </c>
      <c r="AD140" s="95" t="str">
        <f>Match!O141</f>
        <v>Innsbruck</v>
      </c>
      <c r="AE140" t="str">
        <f t="shared" si="53"/>
        <v>",Referee= "</v>
      </c>
      <c r="AF140" s="95" t="str">
        <f>IF(Match!P141="","",Match!P141)</f>
        <v/>
      </c>
      <c r="AG140" t="str">
        <f t="shared" si="54"/>
        <v xml:space="preserve">",Visistors= </v>
      </c>
      <c r="AH140" s="95">
        <f>IF(Match!Q141="",0,Match!Q141)</f>
        <v>0</v>
      </c>
      <c r="AI140" t="str">
        <f t="shared" si="55"/>
        <v>,Status= "</v>
      </c>
      <c r="AJ140" s="95" t="str">
        <f>Match!R141</f>
        <v>Finished</v>
      </c>
      <c r="AK140" t="str">
        <f t="shared" si="56"/>
        <v>" },</v>
      </c>
    </row>
    <row r="141" spans="1:37" x14ac:dyDescent="0.25">
      <c r="A141" s="94" t="str">
        <f t="shared" si="38"/>
        <v>new Match { MatchId= "</v>
      </c>
      <c r="B141" t="str">
        <f>Match!A142</f>
        <v>UEFAEURO2008-8</v>
      </c>
      <c r="C141" s="94" t="str">
        <f t="shared" si="39"/>
        <v>",MatchNumber=</v>
      </c>
      <c r="D141">
        <f>Match!B142</f>
        <v>8</v>
      </c>
      <c r="E141" s="94" t="str">
        <f t="shared" si="40"/>
        <v>,DateMatch=DateTime.Parse("</v>
      </c>
      <c r="F141" s="85">
        <f>Match!C142</f>
        <v>39610</v>
      </c>
      <c r="G141" s="92" t="str">
        <f t="shared" si="41"/>
        <v>"),TimeMatch=TimeSpan.Parse("</v>
      </c>
      <c r="H141" s="93">
        <f>Match!D142</f>
        <v>0.11458333333333326</v>
      </c>
      <c r="I141" s="94" t="str">
        <f t="shared" si="42"/>
        <v>"),MatchYear=</v>
      </c>
      <c r="J141">
        <f>Match!E142</f>
        <v>2008</v>
      </c>
      <c r="K141" s="94" t="str">
        <f t="shared" si="43"/>
        <v>, SeasonId= "</v>
      </c>
      <c r="L141" t="str">
        <f>Match!F142</f>
        <v>UEFAEURO2008</v>
      </c>
      <c r="M141" s="94" t="str">
        <f t="shared" si="44"/>
        <v>",Round= "</v>
      </c>
      <c r="N141" t="str">
        <f>Match!G142</f>
        <v>Final Round</v>
      </c>
      <c r="O141" t="str">
        <f t="shared" si="45"/>
        <v>",Stage= "</v>
      </c>
      <c r="P141" t="str">
        <f>Match!H142</f>
        <v>Group</v>
      </c>
      <c r="Q141" t="str">
        <f t="shared" si="46"/>
        <v>",SubStage= "</v>
      </c>
      <c r="R141" t="str">
        <f>Match!I142</f>
        <v>Group D</v>
      </c>
      <c r="S141" t="str">
        <f t="shared" si="47"/>
        <v>",HTeam= "</v>
      </c>
      <c r="T141" t="str">
        <f>Match!J142</f>
        <v>Greece</v>
      </c>
      <c r="U141" t="str">
        <f t="shared" si="48"/>
        <v>",HGoal=</v>
      </c>
      <c r="V141">
        <f>Match!K142</f>
        <v>0</v>
      </c>
      <c r="W141" t="str">
        <f t="shared" si="49"/>
        <v>,GGoal=</v>
      </c>
      <c r="X141">
        <f>Match!L142</f>
        <v>2</v>
      </c>
      <c r="Y141" t="str">
        <f t="shared" si="50"/>
        <v>,GTeam= "</v>
      </c>
      <c r="Z141" t="str">
        <f>Match!M142</f>
        <v>Sweden</v>
      </c>
      <c r="AA141" t="str">
        <f t="shared" si="51"/>
        <v>",WinNote="</v>
      </c>
      <c r="AB141" t="str">
        <f>IF(Match!N142="","",Match!N142)</f>
        <v/>
      </c>
      <c r="AC141" t="str">
        <f t="shared" si="52"/>
        <v xml:space="preserve">",Stadium=" </v>
      </c>
      <c r="AD141" s="95" t="str">
        <f>Match!O142</f>
        <v>Salzburg</v>
      </c>
      <c r="AE141" t="str">
        <f t="shared" si="53"/>
        <v>",Referee= "</v>
      </c>
      <c r="AF141" s="95" t="str">
        <f>IF(Match!P142="","",Match!P142)</f>
        <v/>
      </c>
      <c r="AG141" t="str">
        <f t="shared" si="54"/>
        <v xml:space="preserve">",Visistors= </v>
      </c>
      <c r="AH141" s="95">
        <f>IF(Match!Q142="",0,Match!Q142)</f>
        <v>0</v>
      </c>
      <c r="AI141" t="str">
        <f t="shared" si="55"/>
        <v>,Status= "</v>
      </c>
      <c r="AJ141" s="95" t="str">
        <f>Match!R142</f>
        <v>Finished</v>
      </c>
      <c r="AK141" t="str">
        <f t="shared" si="56"/>
        <v>" },</v>
      </c>
    </row>
    <row r="142" spans="1:37" x14ac:dyDescent="0.25">
      <c r="A142" s="94" t="str">
        <f t="shared" si="38"/>
        <v>new Match { MatchId= "</v>
      </c>
      <c r="B142" t="str">
        <f>Match!A143</f>
        <v>UEFAEURO2008-9</v>
      </c>
      <c r="C142" s="94" t="str">
        <f t="shared" si="39"/>
        <v>",MatchNumber=</v>
      </c>
      <c r="D142">
        <f>Match!B143</f>
        <v>9</v>
      </c>
      <c r="E142" s="94" t="str">
        <f t="shared" si="40"/>
        <v>,DateMatch=DateTime.Parse("</v>
      </c>
      <c r="F142" s="85">
        <f>Match!C143</f>
        <v>39611</v>
      </c>
      <c r="G142" s="92" t="str">
        <f t="shared" si="41"/>
        <v>"),TimeMatch=TimeSpan.Parse("</v>
      </c>
      <c r="H142" s="93">
        <f>Match!D143</f>
        <v>0</v>
      </c>
      <c r="I142" s="94" t="str">
        <f t="shared" si="42"/>
        <v>"),MatchYear=</v>
      </c>
      <c r="J142">
        <f>Match!E143</f>
        <v>2008</v>
      </c>
      <c r="K142" s="94" t="str">
        <f t="shared" si="43"/>
        <v>, SeasonId= "</v>
      </c>
      <c r="L142" t="str">
        <f>Match!F143</f>
        <v>UEFAEURO2008</v>
      </c>
      <c r="M142" s="94" t="str">
        <f t="shared" si="44"/>
        <v>",Round= "</v>
      </c>
      <c r="N142" t="str">
        <f>Match!G143</f>
        <v>Final Round</v>
      </c>
      <c r="O142" t="str">
        <f t="shared" si="45"/>
        <v>",Stage= "</v>
      </c>
      <c r="P142" t="str">
        <f>Match!H143</f>
        <v>Group</v>
      </c>
      <c r="Q142" t="str">
        <f t="shared" si="46"/>
        <v>",SubStage= "</v>
      </c>
      <c r="R142" t="str">
        <f>Match!I143</f>
        <v>Group A</v>
      </c>
      <c r="S142" t="str">
        <f t="shared" si="47"/>
        <v>",HTeam= "</v>
      </c>
      <c r="T142" t="str">
        <f>Match!J143</f>
        <v>Czech Republic</v>
      </c>
      <c r="U142" t="str">
        <f t="shared" si="48"/>
        <v>",HGoal=</v>
      </c>
      <c r="V142">
        <f>Match!K143</f>
        <v>1</v>
      </c>
      <c r="W142" t="str">
        <f t="shared" si="49"/>
        <v>,GGoal=</v>
      </c>
      <c r="X142">
        <f>Match!L143</f>
        <v>3</v>
      </c>
      <c r="Y142" t="str">
        <f t="shared" si="50"/>
        <v>,GTeam= "</v>
      </c>
      <c r="Z142" t="str">
        <f>Match!M143</f>
        <v>Portugal</v>
      </c>
      <c r="AA142" t="str">
        <f t="shared" si="51"/>
        <v>",WinNote="</v>
      </c>
      <c r="AB142" t="str">
        <f>IF(Match!N143="","",Match!N143)</f>
        <v/>
      </c>
      <c r="AC142" t="str">
        <f t="shared" si="52"/>
        <v xml:space="preserve">",Stadium=" </v>
      </c>
      <c r="AD142" s="95" t="str">
        <f>Match!O143</f>
        <v>Geneva</v>
      </c>
      <c r="AE142" t="str">
        <f t="shared" si="53"/>
        <v>",Referee= "</v>
      </c>
      <c r="AF142" s="95" t="str">
        <f>IF(Match!P143="","",Match!P143)</f>
        <v/>
      </c>
      <c r="AG142" t="str">
        <f t="shared" si="54"/>
        <v xml:space="preserve">",Visistors= </v>
      </c>
      <c r="AH142" s="95">
        <f>IF(Match!Q143="",0,Match!Q143)</f>
        <v>0</v>
      </c>
      <c r="AI142" t="str">
        <f t="shared" si="55"/>
        <v>,Status= "</v>
      </c>
      <c r="AJ142" s="95" t="str">
        <f>Match!R143</f>
        <v>Finished</v>
      </c>
      <c r="AK142" t="str">
        <f t="shared" si="56"/>
        <v>" },</v>
      </c>
    </row>
    <row r="143" spans="1:37" x14ac:dyDescent="0.25">
      <c r="A143" s="94" t="str">
        <f t="shared" si="38"/>
        <v>new Match { MatchId= "</v>
      </c>
      <c r="B143" t="str">
        <f>Match!A144</f>
        <v>UEFAEURO2008-10</v>
      </c>
      <c r="C143" s="94" t="str">
        <f t="shared" si="39"/>
        <v>",MatchNumber=</v>
      </c>
      <c r="D143">
        <f>Match!B144</f>
        <v>10</v>
      </c>
      <c r="E143" s="94" t="str">
        <f t="shared" si="40"/>
        <v>,DateMatch=DateTime.Parse("</v>
      </c>
      <c r="F143" s="85">
        <f>Match!C144</f>
        <v>39611</v>
      </c>
      <c r="G143" s="92" t="str">
        <f t="shared" si="41"/>
        <v>"),TimeMatch=TimeSpan.Parse("</v>
      </c>
      <c r="H143" s="93">
        <f>Match!D144</f>
        <v>0.11458333333333326</v>
      </c>
      <c r="I143" s="94" t="str">
        <f t="shared" si="42"/>
        <v>"),MatchYear=</v>
      </c>
      <c r="J143">
        <f>Match!E144</f>
        <v>2008</v>
      </c>
      <c r="K143" s="94" t="str">
        <f t="shared" si="43"/>
        <v>, SeasonId= "</v>
      </c>
      <c r="L143" t="str">
        <f>Match!F144</f>
        <v>UEFAEURO2008</v>
      </c>
      <c r="M143" s="94" t="str">
        <f t="shared" si="44"/>
        <v>",Round= "</v>
      </c>
      <c r="N143" t="str">
        <f>Match!G144</f>
        <v>Final Round</v>
      </c>
      <c r="O143" t="str">
        <f t="shared" si="45"/>
        <v>",Stage= "</v>
      </c>
      <c r="P143" t="str">
        <f>Match!H144</f>
        <v>Group</v>
      </c>
      <c r="Q143" t="str">
        <f t="shared" si="46"/>
        <v>",SubStage= "</v>
      </c>
      <c r="R143" t="str">
        <f>Match!I144</f>
        <v>Group A</v>
      </c>
      <c r="S143" t="str">
        <f t="shared" si="47"/>
        <v>",HTeam= "</v>
      </c>
      <c r="T143" t="str">
        <f>Match!J144</f>
        <v>Switzerland</v>
      </c>
      <c r="U143" t="str">
        <f t="shared" si="48"/>
        <v>",HGoal=</v>
      </c>
      <c r="V143">
        <f>Match!K144</f>
        <v>1</v>
      </c>
      <c r="W143" t="str">
        <f t="shared" si="49"/>
        <v>,GGoal=</v>
      </c>
      <c r="X143">
        <f>Match!L144</f>
        <v>2</v>
      </c>
      <c r="Y143" t="str">
        <f t="shared" si="50"/>
        <v>,GTeam= "</v>
      </c>
      <c r="Z143" t="str">
        <f>Match!M144</f>
        <v>Turkey</v>
      </c>
      <c r="AA143" t="str">
        <f t="shared" si="51"/>
        <v>",WinNote="</v>
      </c>
      <c r="AB143" t="str">
        <f>IF(Match!N144="","",Match!N144)</f>
        <v/>
      </c>
      <c r="AC143" t="str">
        <f t="shared" si="52"/>
        <v xml:space="preserve">",Stadium=" </v>
      </c>
      <c r="AD143" s="95" t="str">
        <f>Match!O144</f>
        <v>Basel</v>
      </c>
      <c r="AE143" t="str">
        <f t="shared" si="53"/>
        <v>",Referee= "</v>
      </c>
      <c r="AF143" s="95" t="str">
        <f>IF(Match!P144="","",Match!P144)</f>
        <v/>
      </c>
      <c r="AG143" t="str">
        <f t="shared" si="54"/>
        <v xml:space="preserve">",Visistors= </v>
      </c>
      <c r="AH143" s="95">
        <f>IF(Match!Q144="",0,Match!Q144)</f>
        <v>0</v>
      </c>
      <c r="AI143" t="str">
        <f t="shared" si="55"/>
        <v>,Status= "</v>
      </c>
      <c r="AJ143" s="95" t="str">
        <f>Match!R144</f>
        <v>Finished</v>
      </c>
      <c r="AK143" t="str">
        <f t="shared" si="56"/>
        <v>" },</v>
      </c>
    </row>
    <row r="144" spans="1:37" x14ac:dyDescent="0.25">
      <c r="A144" s="94" t="str">
        <f t="shared" si="38"/>
        <v>new Match { MatchId= "</v>
      </c>
      <c r="B144" t="str">
        <f>Match!A145</f>
        <v>UEFAEURO2008-11</v>
      </c>
      <c r="C144" s="94" t="str">
        <f t="shared" si="39"/>
        <v>",MatchNumber=</v>
      </c>
      <c r="D144">
        <f>Match!B145</f>
        <v>11</v>
      </c>
      <c r="E144" s="94" t="str">
        <f t="shared" si="40"/>
        <v>,DateMatch=DateTime.Parse("</v>
      </c>
      <c r="F144" s="85">
        <f>Match!C145</f>
        <v>39612</v>
      </c>
      <c r="G144" s="92" t="str">
        <f t="shared" si="41"/>
        <v>"),TimeMatch=TimeSpan.Parse("</v>
      </c>
      <c r="H144" s="93">
        <f>Match!D145</f>
        <v>0</v>
      </c>
      <c r="I144" s="94" t="str">
        <f t="shared" si="42"/>
        <v>"),MatchYear=</v>
      </c>
      <c r="J144">
        <f>Match!E145</f>
        <v>2008</v>
      </c>
      <c r="K144" s="94" t="str">
        <f t="shared" si="43"/>
        <v>, SeasonId= "</v>
      </c>
      <c r="L144" t="str">
        <f>Match!F145</f>
        <v>UEFAEURO2008</v>
      </c>
      <c r="M144" s="94" t="str">
        <f t="shared" si="44"/>
        <v>",Round= "</v>
      </c>
      <c r="N144" t="str">
        <f>Match!G145</f>
        <v>Final Round</v>
      </c>
      <c r="O144" t="str">
        <f t="shared" si="45"/>
        <v>",Stage= "</v>
      </c>
      <c r="P144" t="str">
        <f>Match!H145</f>
        <v>Group</v>
      </c>
      <c r="Q144" t="str">
        <f t="shared" si="46"/>
        <v>",SubStage= "</v>
      </c>
      <c r="R144" t="str">
        <f>Match!I145</f>
        <v>Group B</v>
      </c>
      <c r="S144" t="str">
        <f t="shared" si="47"/>
        <v>",HTeam= "</v>
      </c>
      <c r="T144" t="str">
        <f>Match!J145</f>
        <v>Croatia</v>
      </c>
      <c r="U144" t="str">
        <f t="shared" si="48"/>
        <v>",HGoal=</v>
      </c>
      <c r="V144">
        <f>Match!K145</f>
        <v>2</v>
      </c>
      <c r="W144" t="str">
        <f t="shared" si="49"/>
        <v>,GGoal=</v>
      </c>
      <c r="X144">
        <f>Match!L145</f>
        <v>1</v>
      </c>
      <c r="Y144" t="str">
        <f t="shared" si="50"/>
        <v>,GTeam= "</v>
      </c>
      <c r="Z144" t="str">
        <f>Match!M145</f>
        <v>Germany</v>
      </c>
      <c r="AA144" t="str">
        <f t="shared" si="51"/>
        <v>",WinNote="</v>
      </c>
      <c r="AB144" t="str">
        <f>IF(Match!N145="","",Match!N145)</f>
        <v/>
      </c>
      <c r="AC144" t="str">
        <f t="shared" si="52"/>
        <v xml:space="preserve">",Stadium=" </v>
      </c>
      <c r="AD144" s="95" t="str">
        <f>Match!O145</f>
        <v>Klagenfurt</v>
      </c>
      <c r="AE144" t="str">
        <f t="shared" si="53"/>
        <v>",Referee= "</v>
      </c>
      <c r="AF144" s="95" t="str">
        <f>IF(Match!P145="","",Match!P145)</f>
        <v/>
      </c>
      <c r="AG144" t="str">
        <f t="shared" si="54"/>
        <v xml:space="preserve">",Visistors= </v>
      </c>
      <c r="AH144" s="95">
        <f>IF(Match!Q145="",0,Match!Q145)</f>
        <v>0</v>
      </c>
      <c r="AI144" t="str">
        <f t="shared" si="55"/>
        <v>,Status= "</v>
      </c>
      <c r="AJ144" s="95" t="str">
        <f>Match!R145</f>
        <v>Finished</v>
      </c>
      <c r="AK144" t="str">
        <f t="shared" si="56"/>
        <v>" },</v>
      </c>
    </row>
    <row r="145" spans="1:37" x14ac:dyDescent="0.25">
      <c r="A145" s="94" t="str">
        <f t="shared" si="38"/>
        <v>new Match { MatchId= "</v>
      </c>
      <c r="B145" t="str">
        <f>Match!A146</f>
        <v>UEFAEURO2008-12</v>
      </c>
      <c r="C145" s="94" t="str">
        <f t="shared" si="39"/>
        <v>",MatchNumber=</v>
      </c>
      <c r="D145">
        <f>Match!B146</f>
        <v>12</v>
      </c>
      <c r="E145" s="94" t="str">
        <f t="shared" si="40"/>
        <v>,DateMatch=DateTime.Parse("</v>
      </c>
      <c r="F145" s="85">
        <f>Match!C146</f>
        <v>39612</v>
      </c>
      <c r="G145" s="92" t="str">
        <f t="shared" si="41"/>
        <v>"),TimeMatch=TimeSpan.Parse("</v>
      </c>
      <c r="H145" s="93">
        <f>Match!D146</f>
        <v>0.11458333333333326</v>
      </c>
      <c r="I145" s="94" t="str">
        <f t="shared" si="42"/>
        <v>"),MatchYear=</v>
      </c>
      <c r="J145">
        <f>Match!E146</f>
        <v>2008</v>
      </c>
      <c r="K145" s="94" t="str">
        <f t="shared" si="43"/>
        <v>, SeasonId= "</v>
      </c>
      <c r="L145" t="str">
        <f>Match!F146</f>
        <v>UEFAEURO2008</v>
      </c>
      <c r="M145" s="94" t="str">
        <f t="shared" si="44"/>
        <v>",Round= "</v>
      </c>
      <c r="N145" t="str">
        <f>Match!G146</f>
        <v>Final Round</v>
      </c>
      <c r="O145" t="str">
        <f t="shared" si="45"/>
        <v>",Stage= "</v>
      </c>
      <c r="P145" t="str">
        <f>Match!H146</f>
        <v>Group</v>
      </c>
      <c r="Q145" t="str">
        <f t="shared" si="46"/>
        <v>",SubStage= "</v>
      </c>
      <c r="R145" t="str">
        <f>Match!I146</f>
        <v>Group B</v>
      </c>
      <c r="S145" t="str">
        <f t="shared" si="47"/>
        <v>",HTeam= "</v>
      </c>
      <c r="T145" t="str">
        <f>Match!J146</f>
        <v>Austria</v>
      </c>
      <c r="U145" t="str">
        <f t="shared" si="48"/>
        <v>",HGoal=</v>
      </c>
      <c r="V145">
        <f>Match!K146</f>
        <v>1</v>
      </c>
      <c r="W145" t="str">
        <f t="shared" si="49"/>
        <v>,GGoal=</v>
      </c>
      <c r="X145">
        <f>Match!L146</f>
        <v>1</v>
      </c>
      <c r="Y145" t="str">
        <f t="shared" si="50"/>
        <v>,GTeam= "</v>
      </c>
      <c r="Z145" t="str">
        <f>Match!M146</f>
        <v>Poland</v>
      </c>
      <c r="AA145" t="str">
        <f t="shared" si="51"/>
        <v>",WinNote="</v>
      </c>
      <c r="AB145" t="str">
        <f>IF(Match!N146="","",Match!N146)</f>
        <v/>
      </c>
      <c r="AC145" t="str">
        <f t="shared" si="52"/>
        <v xml:space="preserve">",Stadium=" </v>
      </c>
      <c r="AD145" s="95" t="str">
        <f>Match!O146</f>
        <v>Vienna</v>
      </c>
      <c r="AE145" t="str">
        <f t="shared" si="53"/>
        <v>",Referee= "</v>
      </c>
      <c r="AF145" s="95" t="str">
        <f>IF(Match!P146="","",Match!P146)</f>
        <v/>
      </c>
      <c r="AG145" t="str">
        <f t="shared" si="54"/>
        <v xml:space="preserve">",Visistors= </v>
      </c>
      <c r="AH145" s="95">
        <f>IF(Match!Q146="",0,Match!Q146)</f>
        <v>0</v>
      </c>
      <c r="AI145" t="str">
        <f t="shared" si="55"/>
        <v>,Status= "</v>
      </c>
      <c r="AJ145" s="95" t="str">
        <f>Match!R146</f>
        <v>Finished</v>
      </c>
      <c r="AK145" t="str">
        <f t="shared" si="56"/>
        <v>" },</v>
      </c>
    </row>
    <row r="146" spans="1:37" x14ac:dyDescent="0.25">
      <c r="A146" s="94" t="str">
        <f t="shared" si="38"/>
        <v>new Match { MatchId= "</v>
      </c>
      <c r="B146" t="str">
        <f>Match!A147</f>
        <v>UEFAEURO2008-13</v>
      </c>
      <c r="C146" s="94" t="str">
        <f t="shared" si="39"/>
        <v>",MatchNumber=</v>
      </c>
      <c r="D146">
        <f>Match!B147</f>
        <v>13</v>
      </c>
      <c r="E146" s="94" t="str">
        <f t="shared" si="40"/>
        <v>,DateMatch=DateTime.Parse("</v>
      </c>
      <c r="F146" s="85">
        <f>Match!C147</f>
        <v>39613</v>
      </c>
      <c r="G146" s="92" t="str">
        <f t="shared" si="41"/>
        <v>"),TimeMatch=TimeSpan.Parse("</v>
      </c>
      <c r="H146" s="93">
        <f>Match!D147</f>
        <v>0</v>
      </c>
      <c r="I146" s="94" t="str">
        <f t="shared" si="42"/>
        <v>"),MatchYear=</v>
      </c>
      <c r="J146">
        <f>Match!E147</f>
        <v>2008</v>
      </c>
      <c r="K146" s="94" t="str">
        <f t="shared" si="43"/>
        <v>, SeasonId= "</v>
      </c>
      <c r="L146" t="str">
        <f>Match!F147</f>
        <v>UEFAEURO2008</v>
      </c>
      <c r="M146" s="94" t="str">
        <f t="shared" si="44"/>
        <v>",Round= "</v>
      </c>
      <c r="N146" t="str">
        <f>Match!G147</f>
        <v>Final Round</v>
      </c>
      <c r="O146" t="str">
        <f t="shared" si="45"/>
        <v>",Stage= "</v>
      </c>
      <c r="P146" t="str">
        <f>Match!H147</f>
        <v>Group</v>
      </c>
      <c r="Q146" t="str">
        <f t="shared" si="46"/>
        <v>",SubStage= "</v>
      </c>
      <c r="R146" t="str">
        <f>Match!I147</f>
        <v>Group C</v>
      </c>
      <c r="S146" t="str">
        <f t="shared" si="47"/>
        <v>",HTeam= "</v>
      </c>
      <c r="T146" t="str">
        <f>Match!J147</f>
        <v>Italy</v>
      </c>
      <c r="U146" t="str">
        <f t="shared" si="48"/>
        <v>",HGoal=</v>
      </c>
      <c r="V146">
        <f>Match!K147</f>
        <v>1</v>
      </c>
      <c r="W146" t="str">
        <f t="shared" si="49"/>
        <v>,GGoal=</v>
      </c>
      <c r="X146">
        <f>Match!L147</f>
        <v>1</v>
      </c>
      <c r="Y146" t="str">
        <f t="shared" si="50"/>
        <v>,GTeam= "</v>
      </c>
      <c r="Z146" t="str">
        <f>Match!M147</f>
        <v>Romania</v>
      </c>
      <c r="AA146" t="str">
        <f t="shared" si="51"/>
        <v>",WinNote="</v>
      </c>
      <c r="AB146" t="str">
        <f>IF(Match!N147="","",Match!N147)</f>
        <v/>
      </c>
      <c r="AC146" t="str">
        <f t="shared" si="52"/>
        <v xml:space="preserve">",Stadium=" </v>
      </c>
      <c r="AD146" s="95" t="str">
        <f>Match!O147</f>
        <v>Zürich</v>
      </c>
      <c r="AE146" t="str">
        <f t="shared" si="53"/>
        <v>",Referee= "</v>
      </c>
      <c r="AF146" s="95" t="str">
        <f>IF(Match!P147="","",Match!P147)</f>
        <v/>
      </c>
      <c r="AG146" t="str">
        <f t="shared" si="54"/>
        <v xml:space="preserve">",Visistors= </v>
      </c>
      <c r="AH146" s="95">
        <f>IF(Match!Q147="",0,Match!Q147)</f>
        <v>0</v>
      </c>
      <c r="AI146" t="str">
        <f t="shared" si="55"/>
        <v>,Status= "</v>
      </c>
      <c r="AJ146" s="95" t="str">
        <f>Match!R147</f>
        <v>Finished</v>
      </c>
      <c r="AK146" t="str">
        <f t="shared" si="56"/>
        <v>" },</v>
      </c>
    </row>
    <row r="147" spans="1:37" x14ac:dyDescent="0.25">
      <c r="A147" s="94" t="str">
        <f t="shared" si="38"/>
        <v>new Match { MatchId= "</v>
      </c>
      <c r="B147" t="str">
        <f>Match!A148</f>
        <v>UEFAEURO2008-14</v>
      </c>
      <c r="C147" s="94" t="str">
        <f t="shared" si="39"/>
        <v>",MatchNumber=</v>
      </c>
      <c r="D147">
        <f>Match!B148</f>
        <v>14</v>
      </c>
      <c r="E147" s="94" t="str">
        <f t="shared" si="40"/>
        <v>,DateMatch=DateTime.Parse("</v>
      </c>
      <c r="F147" s="85">
        <f>Match!C148</f>
        <v>39613</v>
      </c>
      <c r="G147" s="92" t="str">
        <f t="shared" si="41"/>
        <v>"),TimeMatch=TimeSpan.Parse("</v>
      </c>
      <c r="H147" s="93">
        <f>Match!D148</f>
        <v>0.11458333333333326</v>
      </c>
      <c r="I147" s="94" t="str">
        <f t="shared" si="42"/>
        <v>"),MatchYear=</v>
      </c>
      <c r="J147">
        <f>Match!E148</f>
        <v>2008</v>
      </c>
      <c r="K147" s="94" t="str">
        <f t="shared" si="43"/>
        <v>, SeasonId= "</v>
      </c>
      <c r="L147" t="str">
        <f>Match!F148</f>
        <v>UEFAEURO2008</v>
      </c>
      <c r="M147" s="94" t="str">
        <f t="shared" si="44"/>
        <v>",Round= "</v>
      </c>
      <c r="N147" t="str">
        <f>Match!G148</f>
        <v>Final Round</v>
      </c>
      <c r="O147" t="str">
        <f t="shared" si="45"/>
        <v>",Stage= "</v>
      </c>
      <c r="P147" t="str">
        <f>Match!H148</f>
        <v>Group</v>
      </c>
      <c r="Q147" t="str">
        <f t="shared" si="46"/>
        <v>",SubStage= "</v>
      </c>
      <c r="R147" t="str">
        <f>Match!I148</f>
        <v>Group C</v>
      </c>
      <c r="S147" t="str">
        <f t="shared" si="47"/>
        <v>",HTeam= "</v>
      </c>
      <c r="T147" t="str">
        <f>Match!J148</f>
        <v>Netherlands</v>
      </c>
      <c r="U147" t="str">
        <f t="shared" si="48"/>
        <v>",HGoal=</v>
      </c>
      <c r="V147">
        <f>Match!K148</f>
        <v>4</v>
      </c>
      <c r="W147" t="str">
        <f t="shared" si="49"/>
        <v>,GGoal=</v>
      </c>
      <c r="X147">
        <f>Match!L148</f>
        <v>1</v>
      </c>
      <c r="Y147" t="str">
        <f t="shared" si="50"/>
        <v>,GTeam= "</v>
      </c>
      <c r="Z147" t="str">
        <f>Match!M148</f>
        <v>France</v>
      </c>
      <c r="AA147" t="str">
        <f t="shared" si="51"/>
        <v>",WinNote="</v>
      </c>
      <c r="AB147" t="str">
        <f>IF(Match!N148="","",Match!N148)</f>
        <v/>
      </c>
      <c r="AC147" t="str">
        <f t="shared" si="52"/>
        <v xml:space="preserve">",Stadium=" </v>
      </c>
      <c r="AD147" s="95" t="str">
        <f>Match!O148</f>
        <v>Berne</v>
      </c>
      <c r="AE147" t="str">
        <f t="shared" si="53"/>
        <v>",Referee= "</v>
      </c>
      <c r="AF147" s="95" t="str">
        <f>IF(Match!P148="","",Match!P148)</f>
        <v/>
      </c>
      <c r="AG147" t="str">
        <f t="shared" si="54"/>
        <v xml:space="preserve">",Visistors= </v>
      </c>
      <c r="AH147" s="95">
        <f>IF(Match!Q148="",0,Match!Q148)</f>
        <v>0</v>
      </c>
      <c r="AI147" t="str">
        <f t="shared" si="55"/>
        <v>,Status= "</v>
      </c>
      <c r="AJ147" s="95" t="str">
        <f>Match!R148</f>
        <v>Finished</v>
      </c>
      <c r="AK147" t="str">
        <f t="shared" si="56"/>
        <v>" },</v>
      </c>
    </row>
    <row r="148" spans="1:37" x14ac:dyDescent="0.25">
      <c r="A148" s="94" t="str">
        <f t="shared" si="38"/>
        <v>new Match { MatchId= "</v>
      </c>
      <c r="B148" t="str">
        <f>Match!A149</f>
        <v>UEFAEURO2008-15</v>
      </c>
      <c r="C148" s="94" t="str">
        <f t="shared" si="39"/>
        <v>",MatchNumber=</v>
      </c>
      <c r="D148">
        <f>Match!B149</f>
        <v>15</v>
      </c>
      <c r="E148" s="94" t="str">
        <f t="shared" si="40"/>
        <v>,DateMatch=DateTime.Parse("</v>
      </c>
      <c r="F148" s="85">
        <f>Match!C149</f>
        <v>39614</v>
      </c>
      <c r="G148" s="92" t="str">
        <f t="shared" si="41"/>
        <v>"),TimeMatch=TimeSpan.Parse("</v>
      </c>
      <c r="H148" s="93">
        <f>Match!D149</f>
        <v>0</v>
      </c>
      <c r="I148" s="94" t="str">
        <f t="shared" si="42"/>
        <v>"),MatchYear=</v>
      </c>
      <c r="J148">
        <f>Match!E149</f>
        <v>2008</v>
      </c>
      <c r="K148" s="94" t="str">
        <f t="shared" si="43"/>
        <v>, SeasonId= "</v>
      </c>
      <c r="L148" t="str">
        <f>Match!F149</f>
        <v>UEFAEURO2008</v>
      </c>
      <c r="M148" s="94" t="str">
        <f t="shared" si="44"/>
        <v>",Round= "</v>
      </c>
      <c r="N148" t="str">
        <f>Match!G149</f>
        <v>Final Round</v>
      </c>
      <c r="O148" t="str">
        <f t="shared" si="45"/>
        <v>",Stage= "</v>
      </c>
      <c r="P148" t="str">
        <f>Match!H149</f>
        <v>Group</v>
      </c>
      <c r="Q148" t="str">
        <f t="shared" si="46"/>
        <v>",SubStage= "</v>
      </c>
      <c r="R148" t="str">
        <f>Match!I149</f>
        <v>Group D</v>
      </c>
      <c r="S148" t="str">
        <f t="shared" si="47"/>
        <v>",HTeam= "</v>
      </c>
      <c r="T148" t="str">
        <f>Match!J149</f>
        <v>Sweden</v>
      </c>
      <c r="U148" t="str">
        <f t="shared" si="48"/>
        <v>",HGoal=</v>
      </c>
      <c r="V148">
        <f>Match!K149</f>
        <v>1</v>
      </c>
      <c r="W148" t="str">
        <f t="shared" si="49"/>
        <v>,GGoal=</v>
      </c>
      <c r="X148">
        <f>Match!L149</f>
        <v>2</v>
      </c>
      <c r="Y148" t="str">
        <f t="shared" si="50"/>
        <v>,GTeam= "</v>
      </c>
      <c r="Z148" t="str">
        <f>Match!M149</f>
        <v>Spain</v>
      </c>
      <c r="AA148" t="str">
        <f t="shared" si="51"/>
        <v>",WinNote="</v>
      </c>
      <c r="AB148" t="str">
        <f>IF(Match!N149="","",Match!N149)</f>
        <v/>
      </c>
      <c r="AC148" t="str">
        <f t="shared" si="52"/>
        <v xml:space="preserve">",Stadium=" </v>
      </c>
      <c r="AD148" s="95" t="str">
        <f>Match!O149</f>
        <v>Innsbruck</v>
      </c>
      <c r="AE148" t="str">
        <f t="shared" si="53"/>
        <v>",Referee= "</v>
      </c>
      <c r="AF148" s="95" t="str">
        <f>IF(Match!P149="","",Match!P149)</f>
        <v/>
      </c>
      <c r="AG148" t="str">
        <f t="shared" si="54"/>
        <v xml:space="preserve">",Visistors= </v>
      </c>
      <c r="AH148" s="95">
        <f>IF(Match!Q149="",0,Match!Q149)</f>
        <v>0</v>
      </c>
      <c r="AI148" t="str">
        <f t="shared" si="55"/>
        <v>,Status= "</v>
      </c>
      <c r="AJ148" s="95" t="str">
        <f>Match!R149</f>
        <v>Finished</v>
      </c>
      <c r="AK148" t="str">
        <f t="shared" si="56"/>
        <v>" },</v>
      </c>
    </row>
    <row r="149" spans="1:37" x14ac:dyDescent="0.25">
      <c r="A149" s="94" t="str">
        <f t="shared" si="38"/>
        <v>new Match { MatchId= "</v>
      </c>
      <c r="B149" t="str">
        <f>Match!A150</f>
        <v>UEFAEURO2008-16</v>
      </c>
      <c r="C149" s="94" t="str">
        <f t="shared" si="39"/>
        <v>",MatchNumber=</v>
      </c>
      <c r="D149">
        <f>Match!B150</f>
        <v>16</v>
      </c>
      <c r="E149" s="94" t="str">
        <f t="shared" si="40"/>
        <v>,DateMatch=DateTime.Parse("</v>
      </c>
      <c r="F149" s="85">
        <f>Match!C150</f>
        <v>39614</v>
      </c>
      <c r="G149" s="92" t="str">
        <f t="shared" si="41"/>
        <v>"),TimeMatch=TimeSpan.Parse("</v>
      </c>
      <c r="H149" s="93">
        <f>Match!D150</f>
        <v>0.11458333333333326</v>
      </c>
      <c r="I149" s="94" t="str">
        <f t="shared" si="42"/>
        <v>"),MatchYear=</v>
      </c>
      <c r="J149">
        <f>Match!E150</f>
        <v>2008</v>
      </c>
      <c r="K149" s="94" t="str">
        <f t="shared" si="43"/>
        <v>, SeasonId= "</v>
      </c>
      <c r="L149" t="str">
        <f>Match!F150</f>
        <v>UEFAEURO2008</v>
      </c>
      <c r="M149" s="94" t="str">
        <f t="shared" si="44"/>
        <v>",Round= "</v>
      </c>
      <c r="N149" t="str">
        <f>Match!G150</f>
        <v>Final Round</v>
      </c>
      <c r="O149" t="str">
        <f t="shared" si="45"/>
        <v>",Stage= "</v>
      </c>
      <c r="P149" t="str">
        <f>Match!H150</f>
        <v>Group</v>
      </c>
      <c r="Q149" t="str">
        <f t="shared" si="46"/>
        <v>",SubStage= "</v>
      </c>
      <c r="R149" t="str">
        <f>Match!I150</f>
        <v>Group D</v>
      </c>
      <c r="S149" t="str">
        <f t="shared" si="47"/>
        <v>",HTeam= "</v>
      </c>
      <c r="T149" t="str">
        <f>Match!J150</f>
        <v>Greece</v>
      </c>
      <c r="U149" t="str">
        <f t="shared" si="48"/>
        <v>",HGoal=</v>
      </c>
      <c r="V149">
        <f>Match!K150</f>
        <v>0</v>
      </c>
      <c r="W149" t="str">
        <f t="shared" si="49"/>
        <v>,GGoal=</v>
      </c>
      <c r="X149">
        <f>Match!L150</f>
        <v>1</v>
      </c>
      <c r="Y149" t="str">
        <f t="shared" si="50"/>
        <v>,GTeam= "</v>
      </c>
      <c r="Z149" t="str">
        <f>Match!M150</f>
        <v>Russia</v>
      </c>
      <c r="AA149" t="str">
        <f t="shared" si="51"/>
        <v>",WinNote="</v>
      </c>
      <c r="AB149" t="str">
        <f>IF(Match!N150="","",Match!N150)</f>
        <v/>
      </c>
      <c r="AC149" t="str">
        <f t="shared" si="52"/>
        <v xml:space="preserve">",Stadium=" </v>
      </c>
      <c r="AD149" s="95" t="str">
        <f>Match!O150</f>
        <v>Salzburg</v>
      </c>
      <c r="AE149" t="str">
        <f t="shared" si="53"/>
        <v>",Referee= "</v>
      </c>
      <c r="AF149" s="95" t="str">
        <f>IF(Match!P150="","",Match!P150)</f>
        <v/>
      </c>
      <c r="AG149" t="str">
        <f t="shared" si="54"/>
        <v xml:space="preserve">",Visistors= </v>
      </c>
      <c r="AH149" s="95">
        <f>IF(Match!Q150="",0,Match!Q150)</f>
        <v>0</v>
      </c>
      <c r="AI149" t="str">
        <f t="shared" si="55"/>
        <v>,Status= "</v>
      </c>
      <c r="AJ149" s="95" t="str">
        <f>Match!R150</f>
        <v>Finished</v>
      </c>
      <c r="AK149" t="str">
        <f t="shared" si="56"/>
        <v>" },</v>
      </c>
    </row>
    <row r="150" spans="1:37" x14ac:dyDescent="0.25">
      <c r="A150" s="94" t="str">
        <f t="shared" si="38"/>
        <v>new Match { MatchId= "</v>
      </c>
      <c r="B150" t="str">
        <f>Match!A151</f>
        <v>UEFAEURO2008-17</v>
      </c>
      <c r="C150" s="94" t="str">
        <f t="shared" si="39"/>
        <v>",MatchNumber=</v>
      </c>
      <c r="D150">
        <f>Match!B151</f>
        <v>17</v>
      </c>
      <c r="E150" s="94" t="str">
        <f t="shared" si="40"/>
        <v>,DateMatch=DateTime.Parse("</v>
      </c>
      <c r="F150" s="85">
        <f>Match!C151</f>
        <v>39615</v>
      </c>
      <c r="G150" s="92" t="str">
        <f t="shared" si="41"/>
        <v>"),TimeMatch=TimeSpan.Parse("</v>
      </c>
      <c r="H150" s="93">
        <f>Match!D151</f>
        <v>0.11458333333333326</v>
      </c>
      <c r="I150" s="94" t="str">
        <f t="shared" si="42"/>
        <v>"),MatchYear=</v>
      </c>
      <c r="J150">
        <f>Match!E151</f>
        <v>2008</v>
      </c>
      <c r="K150" s="94" t="str">
        <f t="shared" si="43"/>
        <v>, SeasonId= "</v>
      </c>
      <c r="L150" t="str">
        <f>Match!F151</f>
        <v>UEFAEURO2008</v>
      </c>
      <c r="M150" s="94" t="str">
        <f t="shared" si="44"/>
        <v>",Round= "</v>
      </c>
      <c r="N150" t="str">
        <f>Match!G151</f>
        <v>Final Round</v>
      </c>
      <c r="O150" t="str">
        <f t="shared" si="45"/>
        <v>",Stage= "</v>
      </c>
      <c r="P150" t="str">
        <f>Match!H151</f>
        <v>Group</v>
      </c>
      <c r="Q150" t="str">
        <f t="shared" si="46"/>
        <v>",SubStage= "</v>
      </c>
      <c r="R150" t="str">
        <f>Match!I151</f>
        <v>Group A</v>
      </c>
      <c r="S150" t="str">
        <f t="shared" si="47"/>
        <v>",HTeam= "</v>
      </c>
      <c r="T150" t="str">
        <f>Match!J151</f>
        <v>Switzerland</v>
      </c>
      <c r="U150" t="str">
        <f t="shared" si="48"/>
        <v>",HGoal=</v>
      </c>
      <c r="V150">
        <f>Match!K151</f>
        <v>2</v>
      </c>
      <c r="W150" t="str">
        <f t="shared" si="49"/>
        <v>,GGoal=</v>
      </c>
      <c r="X150">
        <f>Match!L151</f>
        <v>0</v>
      </c>
      <c r="Y150" t="str">
        <f t="shared" si="50"/>
        <v>,GTeam= "</v>
      </c>
      <c r="Z150" t="str">
        <f>Match!M151</f>
        <v>Portugal</v>
      </c>
      <c r="AA150" t="str">
        <f t="shared" si="51"/>
        <v>",WinNote="</v>
      </c>
      <c r="AB150" t="str">
        <f>IF(Match!N151="","",Match!N151)</f>
        <v/>
      </c>
      <c r="AC150" t="str">
        <f t="shared" si="52"/>
        <v xml:space="preserve">",Stadium=" </v>
      </c>
      <c r="AD150" s="95" t="str">
        <f>Match!O151</f>
        <v>Basel</v>
      </c>
      <c r="AE150" t="str">
        <f t="shared" si="53"/>
        <v>",Referee= "</v>
      </c>
      <c r="AF150" s="95" t="str">
        <f>IF(Match!P151="","",Match!P151)</f>
        <v/>
      </c>
      <c r="AG150" t="str">
        <f t="shared" si="54"/>
        <v xml:space="preserve">",Visistors= </v>
      </c>
      <c r="AH150" s="95">
        <f>IF(Match!Q151="",0,Match!Q151)</f>
        <v>0</v>
      </c>
      <c r="AI150" t="str">
        <f t="shared" si="55"/>
        <v>,Status= "</v>
      </c>
      <c r="AJ150" s="95" t="str">
        <f>Match!R151</f>
        <v>Finished</v>
      </c>
      <c r="AK150" t="str">
        <f t="shared" si="56"/>
        <v>" },</v>
      </c>
    </row>
    <row r="151" spans="1:37" x14ac:dyDescent="0.25">
      <c r="A151" s="94" t="str">
        <f t="shared" si="38"/>
        <v>new Match { MatchId= "</v>
      </c>
      <c r="B151" t="str">
        <f>Match!A152</f>
        <v>UEFAEURO2008-18</v>
      </c>
      <c r="C151" s="94" t="str">
        <f t="shared" si="39"/>
        <v>",MatchNumber=</v>
      </c>
      <c r="D151">
        <f>Match!B152</f>
        <v>18</v>
      </c>
      <c r="E151" s="94" t="str">
        <f t="shared" si="40"/>
        <v>,DateMatch=DateTime.Parse("</v>
      </c>
      <c r="F151" s="85">
        <f>Match!C152</f>
        <v>39615</v>
      </c>
      <c r="G151" s="92" t="str">
        <f t="shared" si="41"/>
        <v>"),TimeMatch=TimeSpan.Parse("</v>
      </c>
      <c r="H151" s="93">
        <f>Match!D152</f>
        <v>0.11458333333333326</v>
      </c>
      <c r="I151" s="94" t="str">
        <f t="shared" si="42"/>
        <v>"),MatchYear=</v>
      </c>
      <c r="J151">
        <f>Match!E152</f>
        <v>2008</v>
      </c>
      <c r="K151" s="94" t="str">
        <f t="shared" si="43"/>
        <v>, SeasonId= "</v>
      </c>
      <c r="L151" t="str">
        <f>Match!F152</f>
        <v>UEFAEURO2008</v>
      </c>
      <c r="M151" s="94" t="str">
        <f t="shared" si="44"/>
        <v>",Round= "</v>
      </c>
      <c r="N151" t="str">
        <f>Match!G152</f>
        <v>Final Round</v>
      </c>
      <c r="O151" t="str">
        <f t="shared" si="45"/>
        <v>",Stage= "</v>
      </c>
      <c r="P151" t="str">
        <f>Match!H152</f>
        <v>Group</v>
      </c>
      <c r="Q151" t="str">
        <f t="shared" si="46"/>
        <v>",SubStage= "</v>
      </c>
      <c r="R151" t="str">
        <f>Match!I152</f>
        <v>Group A</v>
      </c>
      <c r="S151" t="str">
        <f t="shared" si="47"/>
        <v>",HTeam= "</v>
      </c>
      <c r="T151" t="str">
        <f>Match!J152</f>
        <v>Turkey</v>
      </c>
      <c r="U151" t="str">
        <f t="shared" si="48"/>
        <v>",HGoal=</v>
      </c>
      <c r="V151">
        <f>Match!K152</f>
        <v>3</v>
      </c>
      <c r="W151" t="str">
        <f t="shared" si="49"/>
        <v>,GGoal=</v>
      </c>
      <c r="X151">
        <f>Match!L152</f>
        <v>2</v>
      </c>
      <c r="Y151" t="str">
        <f t="shared" si="50"/>
        <v>,GTeam= "</v>
      </c>
      <c r="Z151" t="str">
        <f>Match!M152</f>
        <v>Czech Republic</v>
      </c>
      <c r="AA151" t="str">
        <f t="shared" si="51"/>
        <v>",WinNote="</v>
      </c>
      <c r="AB151" t="str">
        <f>IF(Match!N152="","",Match!N152)</f>
        <v/>
      </c>
      <c r="AC151" t="str">
        <f t="shared" si="52"/>
        <v xml:space="preserve">",Stadium=" </v>
      </c>
      <c r="AD151" s="95" t="str">
        <f>Match!O152</f>
        <v>Geneva</v>
      </c>
      <c r="AE151" t="str">
        <f t="shared" si="53"/>
        <v>",Referee= "</v>
      </c>
      <c r="AF151" s="95" t="str">
        <f>IF(Match!P152="","",Match!P152)</f>
        <v/>
      </c>
      <c r="AG151" t="str">
        <f t="shared" si="54"/>
        <v xml:space="preserve">",Visistors= </v>
      </c>
      <c r="AH151" s="95">
        <f>IF(Match!Q152="",0,Match!Q152)</f>
        <v>0</v>
      </c>
      <c r="AI151" t="str">
        <f t="shared" si="55"/>
        <v>,Status= "</v>
      </c>
      <c r="AJ151" s="95" t="str">
        <f>Match!R152</f>
        <v>Finished</v>
      </c>
      <c r="AK151" t="str">
        <f t="shared" si="56"/>
        <v>" },</v>
      </c>
    </row>
    <row r="152" spans="1:37" x14ac:dyDescent="0.25">
      <c r="A152" s="94" t="str">
        <f t="shared" si="38"/>
        <v>new Match { MatchId= "</v>
      </c>
      <c r="B152" t="str">
        <f>Match!A153</f>
        <v>UEFAEURO2008-19</v>
      </c>
      <c r="C152" s="94" t="str">
        <f t="shared" si="39"/>
        <v>",MatchNumber=</v>
      </c>
      <c r="D152">
        <f>Match!B153</f>
        <v>19</v>
      </c>
      <c r="E152" s="94" t="str">
        <f t="shared" si="40"/>
        <v>,DateMatch=DateTime.Parse("</v>
      </c>
      <c r="F152" s="85">
        <f>Match!C153</f>
        <v>39616</v>
      </c>
      <c r="G152" s="92" t="str">
        <f t="shared" si="41"/>
        <v>"),TimeMatch=TimeSpan.Parse("</v>
      </c>
      <c r="H152" s="93">
        <f>Match!D153</f>
        <v>0.11458333333333326</v>
      </c>
      <c r="I152" s="94" t="str">
        <f t="shared" si="42"/>
        <v>"),MatchYear=</v>
      </c>
      <c r="J152">
        <f>Match!E153</f>
        <v>2008</v>
      </c>
      <c r="K152" s="94" t="str">
        <f t="shared" si="43"/>
        <v>, SeasonId= "</v>
      </c>
      <c r="L152" t="str">
        <f>Match!F153</f>
        <v>UEFAEURO2008</v>
      </c>
      <c r="M152" s="94" t="str">
        <f t="shared" si="44"/>
        <v>",Round= "</v>
      </c>
      <c r="N152" t="str">
        <f>Match!G153</f>
        <v>Final Round</v>
      </c>
      <c r="O152" t="str">
        <f t="shared" si="45"/>
        <v>",Stage= "</v>
      </c>
      <c r="P152" t="str">
        <f>Match!H153</f>
        <v>Group</v>
      </c>
      <c r="Q152" t="str">
        <f t="shared" si="46"/>
        <v>",SubStage= "</v>
      </c>
      <c r="R152" t="str">
        <f>Match!I153</f>
        <v>Group B</v>
      </c>
      <c r="S152" t="str">
        <f t="shared" si="47"/>
        <v>",HTeam= "</v>
      </c>
      <c r="T152" t="str">
        <f>Match!J153</f>
        <v>Poland</v>
      </c>
      <c r="U152" t="str">
        <f t="shared" si="48"/>
        <v>",HGoal=</v>
      </c>
      <c r="V152">
        <f>Match!K153</f>
        <v>0</v>
      </c>
      <c r="W152" t="str">
        <f t="shared" si="49"/>
        <v>,GGoal=</v>
      </c>
      <c r="X152">
        <f>Match!L153</f>
        <v>1</v>
      </c>
      <c r="Y152" t="str">
        <f t="shared" si="50"/>
        <v>,GTeam= "</v>
      </c>
      <c r="Z152" t="str">
        <f>Match!M153</f>
        <v>Croatia</v>
      </c>
      <c r="AA152" t="str">
        <f t="shared" si="51"/>
        <v>",WinNote="</v>
      </c>
      <c r="AB152" t="str">
        <f>IF(Match!N153="","",Match!N153)</f>
        <v/>
      </c>
      <c r="AC152" t="str">
        <f t="shared" si="52"/>
        <v xml:space="preserve">",Stadium=" </v>
      </c>
      <c r="AD152" s="95" t="str">
        <f>Match!O153</f>
        <v>Klagenfurt</v>
      </c>
      <c r="AE152" t="str">
        <f t="shared" si="53"/>
        <v>",Referee= "</v>
      </c>
      <c r="AF152" s="95" t="str">
        <f>IF(Match!P153="","",Match!P153)</f>
        <v/>
      </c>
      <c r="AG152" t="str">
        <f t="shared" si="54"/>
        <v xml:space="preserve">",Visistors= </v>
      </c>
      <c r="AH152" s="95">
        <f>IF(Match!Q153="",0,Match!Q153)</f>
        <v>0</v>
      </c>
      <c r="AI152" t="str">
        <f t="shared" si="55"/>
        <v>,Status= "</v>
      </c>
      <c r="AJ152" s="95" t="str">
        <f>Match!R153</f>
        <v>Finished</v>
      </c>
      <c r="AK152" t="str">
        <f t="shared" si="56"/>
        <v>" },</v>
      </c>
    </row>
    <row r="153" spans="1:37" x14ac:dyDescent="0.25">
      <c r="A153" s="94" t="str">
        <f t="shared" si="38"/>
        <v>new Match { MatchId= "</v>
      </c>
      <c r="B153" t="str">
        <f>Match!A154</f>
        <v>UEFAEURO2008-20</v>
      </c>
      <c r="C153" s="94" t="str">
        <f t="shared" si="39"/>
        <v>",MatchNumber=</v>
      </c>
      <c r="D153">
        <f>Match!B154</f>
        <v>20</v>
      </c>
      <c r="E153" s="94" t="str">
        <f t="shared" si="40"/>
        <v>,DateMatch=DateTime.Parse("</v>
      </c>
      <c r="F153" s="85">
        <f>Match!C154</f>
        <v>39616</v>
      </c>
      <c r="G153" s="92" t="str">
        <f t="shared" si="41"/>
        <v>"),TimeMatch=TimeSpan.Parse("</v>
      </c>
      <c r="H153" s="93">
        <f>Match!D154</f>
        <v>0.11458333333333326</v>
      </c>
      <c r="I153" s="94" t="str">
        <f t="shared" si="42"/>
        <v>"),MatchYear=</v>
      </c>
      <c r="J153">
        <f>Match!E154</f>
        <v>2008</v>
      </c>
      <c r="K153" s="94" t="str">
        <f t="shared" si="43"/>
        <v>, SeasonId= "</v>
      </c>
      <c r="L153" t="str">
        <f>Match!F154</f>
        <v>UEFAEURO2008</v>
      </c>
      <c r="M153" s="94" t="str">
        <f t="shared" si="44"/>
        <v>",Round= "</v>
      </c>
      <c r="N153" t="str">
        <f>Match!G154</f>
        <v>Final Round</v>
      </c>
      <c r="O153" t="str">
        <f t="shared" si="45"/>
        <v>",Stage= "</v>
      </c>
      <c r="P153" t="str">
        <f>Match!H154</f>
        <v>Group</v>
      </c>
      <c r="Q153" t="str">
        <f t="shared" si="46"/>
        <v>",SubStage= "</v>
      </c>
      <c r="R153" t="str">
        <f>Match!I154</f>
        <v>Group B</v>
      </c>
      <c r="S153" t="str">
        <f t="shared" si="47"/>
        <v>",HTeam= "</v>
      </c>
      <c r="T153" t="str">
        <f>Match!J154</f>
        <v>Austria</v>
      </c>
      <c r="U153" t="str">
        <f t="shared" si="48"/>
        <v>",HGoal=</v>
      </c>
      <c r="V153">
        <f>Match!K154</f>
        <v>0</v>
      </c>
      <c r="W153" t="str">
        <f t="shared" si="49"/>
        <v>,GGoal=</v>
      </c>
      <c r="X153">
        <f>Match!L154</f>
        <v>1</v>
      </c>
      <c r="Y153" t="str">
        <f t="shared" si="50"/>
        <v>,GTeam= "</v>
      </c>
      <c r="Z153" t="str">
        <f>Match!M154</f>
        <v>Germany</v>
      </c>
      <c r="AA153" t="str">
        <f t="shared" si="51"/>
        <v>",WinNote="</v>
      </c>
      <c r="AB153" t="str">
        <f>IF(Match!N154="","",Match!N154)</f>
        <v/>
      </c>
      <c r="AC153" t="str">
        <f t="shared" si="52"/>
        <v xml:space="preserve">",Stadium=" </v>
      </c>
      <c r="AD153" s="95" t="str">
        <f>Match!O154</f>
        <v>Vienna</v>
      </c>
      <c r="AE153" t="str">
        <f t="shared" si="53"/>
        <v>",Referee= "</v>
      </c>
      <c r="AF153" s="95" t="str">
        <f>IF(Match!P154="","",Match!P154)</f>
        <v/>
      </c>
      <c r="AG153" t="str">
        <f t="shared" si="54"/>
        <v xml:space="preserve">",Visistors= </v>
      </c>
      <c r="AH153" s="95">
        <f>IF(Match!Q154="",0,Match!Q154)</f>
        <v>0</v>
      </c>
      <c r="AI153" t="str">
        <f t="shared" si="55"/>
        <v>,Status= "</v>
      </c>
      <c r="AJ153" s="95" t="str">
        <f>Match!R154</f>
        <v>Finished</v>
      </c>
      <c r="AK153" t="str">
        <f t="shared" si="56"/>
        <v>" },</v>
      </c>
    </row>
    <row r="154" spans="1:37" x14ac:dyDescent="0.25">
      <c r="A154" s="94" t="str">
        <f t="shared" si="38"/>
        <v>new Match { MatchId= "</v>
      </c>
      <c r="B154" t="str">
        <f>Match!A155</f>
        <v>UEFAEURO2008-21</v>
      </c>
      <c r="C154" s="94" t="str">
        <f t="shared" si="39"/>
        <v>",MatchNumber=</v>
      </c>
      <c r="D154">
        <f>Match!B155</f>
        <v>21</v>
      </c>
      <c r="E154" s="94" t="str">
        <f t="shared" si="40"/>
        <v>,DateMatch=DateTime.Parse("</v>
      </c>
      <c r="F154" s="85">
        <f>Match!C155</f>
        <v>39617</v>
      </c>
      <c r="G154" s="92" t="str">
        <f t="shared" si="41"/>
        <v>"),TimeMatch=TimeSpan.Parse("</v>
      </c>
      <c r="H154" s="93">
        <f>Match!D155</f>
        <v>0.11458333333333326</v>
      </c>
      <c r="I154" s="94" t="str">
        <f t="shared" si="42"/>
        <v>"),MatchYear=</v>
      </c>
      <c r="J154">
        <f>Match!E155</f>
        <v>2008</v>
      </c>
      <c r="K154" s="94" t="str">
        <f t="shared" si="43"/>
        <v>, SeasonId= "</v>
      </c>
      <c r="L154" t="str">
        <f>Match!F155</f>
        <v>UEFAEURO2008</v>
      </c>
      <c r="M154" s="94" t="str">
        <f t="shared" si="44"/>
        <v>",Round= "</v>
      </c>
      <c r="N154" t="str">
        <f>Match!G155</f>
        <v>Final Round</v>
      </c>
      <c r="O154" t="str">
        <f t="shared" si="45"/>
        <v>",Stage= "</v>
      </c>
      <c r="P154" t="str">
        <f>Match!H155</f>
        <v>Group</v>
      </c>
      <c r="Q154" t="str">
        <f t="shared" si="46"/>
        <v>",SubStage= "</v>
      </c>
      <c r="R154" t="str">
        <f>Match!I155</f>
        <v>Group C</v>
      </c>
      <c r="S154" t="str">
        <f t="shared" si="47"/>
        <v>",HTeam= "</v>
      </c>
      <c r="T154" t="str">
        <f>Match!J155</f>
        <v>Netherlands</v>
      </c>
      <c r="U154" t="str">
        <f t="shared" si="48"/>
        <v>",HGoal=</v>
      </c>
      <c r="V154">
        <f>Match!K155</f>
        <v>2</v>
      </c>
      <c r="W154" t="str">
        <f t="shared" si="49"/>
        <v>,GGoal=</v>
      </c>
      <c r="X154">
        <f>Match!L155</f>
        <v>0</v>
      </c>
      <c r="Y154" t="str">
        <f t="shared" si="50"/>
        <v>,GTeam= "</v>
      </c>
      <c r="Z154" t="str">
        <f>Match!M155</f>
        <v>Romania</v>
      </c>
      <c r="AA154" t="str">
        <f t="shared" si="51"/>
        <v>",WinNote="</v>
      </c>
      <c r="AB154" t="str">
        <f>IF(Match!N155="","",Match!N155)</f>
        <v/>
      </c>
      <c r="AC154" t="str">
        <f t="shared" si="52"/>
        <v xml:space="preserve">",Stadium=" </v>
      </c>
      <c r="AD154" s="95" t="str">
        <f>Match!O155</f>
        <v>Berne</v>
      </c>
      <c r="AE154" t="str">
        <f t="shared" si="53"/>
        <v>",Referee= "</v>
      </c>
      <c r="AF154" s="95" t="str">
        <f>IF(Match!P155="","",Match!P155)</f>
        <v/>
      </c>
      <c r="AG154" t="str">
        <f t="shared" si="54"/>
        <v xml:space="preserve">",Visistors= </v>
      </c>
      <c r="AH154" s="95">
        <f>IF(Match!Q155="",0,Match!Q155)</f>
        <v>0</v>
      </c>
      <c r="AI154" t="str">
        <f t="shared" si="55"/>
        <v>,Status= "</v>
      </c>
      <c r="AJ154" s="95" t="str">
        <f>Match!R155</f>
        <v>Finished</v>
      </c>
      <c r="AK154" t="str">
        <f t="shared" si="56"/>
        <v>" },</v>
      </c>
    </row>
    <row r="155" spans="1:37" x14ac:dyDescent="0.25">
      <c r="A155" s="94" t="str">
        <f t="shared" si="38"/>
        <v>new Match { MatchId= "</v>
      </c>
      <c r="B155" t="str">
        <f>Match!A156</f>
        <v>UEFAEURO2008-22</v>
      </c>
      <c r="C155" s="94" t="str">
        <f t="shared" si="39"/>
        <v>",MatchNumber=</v>
      </c>
      <c r="D155">
        <f>Match!B156</f>
        <v>22</v>
      </c>
      <c r="E155" s="94" t="str">
        <f t="shared" si="40"/>
        <v>,DateMatch=DateTime.Parse("</v>
      </c>
      <c r="F155" s="85">
        <f>Match!C156</f>
        <v>39617</v>
      </c>
      <c r="G155" s="92" t="str">
        <f t="shared" si="41"/>
        <v>"),TimeMatch=TimeSpan.Parse("</v>
      </c>
      <c r="H155" s="93">
        <f>Match!D156</f>
        <v>0.11458333333333326</v>
      </c>
      <c r="I155" s="94" t="str">
        <f t="shared" si="42"/>
        <v>"),MatchYear=</v>
      </c>
      <c r="J155">
        <f>Match!E156</f>
        <v>2008</v>
      </c>
      <c r="K155" s="94" t="str">
        <f t="shared" si="43"/>
        <v>, SeasonId= "</v>
      </c>
      <c r="L155" t="str">
        <f>Match!F156</f>
        <v>UEFAEURO2008</v>
      </c>
      <c r="M155" s="94" t="str">
        <f t="shared" si="44"/>
        <v>",Round= "</v>
      </c>
      <c r="N155" t="str">
        <f>Match!G156</f>
        <v>Final Round</v>
      </c>
      <c r="O155" t="str">
        <f t="shared" si="45"/>
        <v>",Stage= "</v>
      </c>
      <c r="P155" t="str">
        <f>Match!H156</f>
        <v>Group</v>
      </c>
      <c r="Q155" t="str">
        <f t="shared" si="46"/>
        <v>",SubStage= "</v>
      </c>
      <c r="R155" t="str">
        <f>Match!I156</f>
        <v>Group C</v>
      </c>
      <c r="S155" t="str">
        <f t="shared" si="47"/>
        <v>",HTeam= "</v>
      </c>
      <c r="T155" t="str">
        <f>Match!J156</f>
        <v>France</v>
      </c>
      <c r="U155" t="str">
        <f t="shared" si="48"/>
        <v>",HGoal=</v>
      </c>
      <c r="V155">
        <f>Match!K156</f>
        <v>0</v>
      </c>
      <c r="W155" t="str">
        <f t="shared" si="49"/>
        <v>,GGoal=</v>
      </c>
      <c r="X155">
        <f>Match!L156</f>
        <v>2</v>
      </c>
      <c r="Y155" t="str">
        <f t="shared" si="50"/>
        <v>,GTeam= "</v>
      </c>
      <c r="Z155" t="str">
        <f>Match!M156</f>
        <v>Italy</v>
      </c>
      <c r="AA155" t="str">
        <f t="shared" si="51"/>
        <v>",WinNote="</v>
      </c>
      <c r="AB155" t="str">
        <f>IF(Match!N156="","",Match!N156)</f>
        <v/>
      </c>
      <c r="AC155" t="str">
        <f t="shared" si="52"/>
        <v xml:space="preserve">",Stadium=" </v>
      </c>
      <c r="AD155" s="95" t="str">
        <f>Match!O156</f>
        <v>Zürich</v>
      </c>
      <c r="AE155" t="str">
        <f t="shared" si="53"/>
        <v>",Referee= "</v>
      </c>
      <c r="AF155" s="95" t="str">
        <f>IF(Match!P156="","",Match!P156)</f>
        <v/>
      </c>
      <c r="AG155" t="str">
        <f t="shared" si="54"/>
        <v xml:space="preserve">",Visistors= </v>
      </c>
      <c r="AH155" s="95">
        <f>IF(Match!Q156="",0,Match!Q156)</f>
        <v>0</v>
      </c>
      <c r="AI155" t="str">
        <f t="shared" si="55"/>
        <v>,Status= "</v>
      </c>
      <c r="AJ155" s="95" t="str">
        <f>Match!R156</f>
        <v>Finished</v>
      </c>
      <c r="AK155" t="str">
        <f t="shared" si="56"/>
        <v>" },</v>
      </c>
    </row>
    <row r="156" spans="1:37" x14ac:dyDescent="0.25">
      <c r="A156" s="94" t="str">
        <f t="shared" si="38"/>
        <v>new Match { MatchId= "</v>
      </c>
      <c r="B156" t="str">
        <f>Match!A157</f>
        <v>UEFAEURO2008-23</v>
      </c>
      <c r="C156" s="94" t="str">
        <f t="shared" si="39"/>
        <v>",MatchNumber=</v>
      </c>
      <c r="D156">
        <f>Match!B157</f>
        <v>23</v>
      </c>
      <c r="E156" s="94" t="str">
        <f t="shared" si="40"/>
        <v>,DateMatch=DateTime.Parse("</v>
      </c>
      <c r="F156" s="85">
        <f>Match!C157</f>
        <v>39618</v>
      </c>
      <c r="G156" s="92" t="str">
        <f t="shared" si="41"/>
        <v>"),TimeMatch=TimeSpan.Parse("</v>
      </c>
      <c r="H156" s="93">
        <f>Match!D157</f>
        <v>0.11458333333333326</v>
      </c>
      <c r="I156" s="94" t="str">
        <f t="shared" si="42"/>
        <v>"),MatchYear=</v>
      </c>
      <c r="J156">
        <f>Match!E157</f>
        <v>2008</v>
      </c>
      <c r="K156" s="94" t="str">
        <f t="shared" si="43"/>
        <v>, SeasonId= "</v>
      </c>
      <c r="L156" t="str">
        <f>Match!F157</f>
        <v>UEFAEURO2008</v>
      </c>
      <c r="M156" s="94" t="str">
        <f t="shared" si="44"/>
        <v>",Round= "</v>
      </c>
      <c r="N156" t="str">
        <f>Match!G157</f>
        <v>Final Round</v>
      </c>
      <c r="O156" t="str">
        <f t="shared" si="45"/>
        <v>",Stage= "</v>
      </c>
      <c r="P156" t="str">
        <f>Match!H157</f>
        <v>Group</v>
      </c>
      <c r="Q156" t="str">
        <f t="shared" si="46"/>
        <v>",SubStage= "</v>
      </c>
      <c r="R156" t="str">
        <f>Match!I157</f>
        <v>Group D</v>
      </c>
      <c r="S156" t="str">
        <f t="shared" si="47"/>
        <v>",HTeam= "</v>
      </c>
      <c r="T156" t="str">
        <f>Match!J157</f>
        <v>Greece</v>
      </c>
      <c r="U156" t="str">
        <f t="shared" si="48"/>
        <v>",HGoal=</v>
      </c>
      <c r="V156">
        <f>Match!K157</f>
        <v>1</v>
      </c>
      <c r="W156" t="str">
        <f t="shared" si="49"/>
        <v>,GGoal=</v>
      </c>
      <c r="X156">
        <f>Match!L157</f>
        <v>2</v>
      </c>
      <c r="Y156" t="str">
        <f t="shared" si="50"/>
        <v>,GTeam= "</v>
      </c>
      <c r="Z156" t="str">
        <f>Match!M157</f>
        <v>Spain</v>
      </c>
      <c r="AA156" t="str">
        <f t="shared" si="51"/>
        <v>",WinNote="</v>
      </c>
      <c r="AB156" t="str">
        <f>IF(Match!N157="","",Match!N157)</f>
        <v/>
      </c>
      <c r="AC156" t="str">
        <f t="shared" si="52"/>
        <v xml:space="preserve">",Stadium=" </v>
      </c>
      <c r="AD156" s="95" t="str">
        <f>Match!O157</f>
        <v>Salzburg</v>
      </c>
      <c r="AE156" t="str">
        <f t="shared" si="53"/>
        <v>",Referee= "</v>
      </c>
      <c r="AF156" s="95" t="str">
        <f>IF(Match!P157="","",Match!P157)</f>
        <v/>
      </c>
      <c r="AG156" t="str">
        <f t="shared" si="54"/>
        <v xml:space="preserve">",Visistors= </v>
      </c>
      <c r="AH156" s="95">
        <f>IF(Match!Q157="",0,Match!Q157)</f>
        <v>0</v>
      </c>
      <c r="AI156" t="str">
        <f t="shared" si="55"/>
        <v>,Status= "</v>
      </c>
      <c r="AJ156" s="95" t="str">
        <f>Match!R157</f>
        <v>Finished</v>
      </c>
      <c r="AK156" t="str">
        <f t="shared" si="56"/>
        <v>" },</v>
      </c>
    </row>
    <row r="157" spans="1:37" x14ac:dyDescent="0.25">
      <c r="A157" s="94" t="str">
        <f t="shared" si="38"/>
        <v>new Match { MatchId= "</v>
      </c>
      <c r="B157" t="str">
        <f>Match!A158</f>
        <v>UEFAEURO2008-24</v>
      </c>
      <c r="C157" s="94" t="str">
        <f t="shared" si="39"/>
        <v>",MatchNumber=</v>
      </c>
      <c r="D157">
        <f>Match!B158</f>
        <v>24</v>
      </c>
      <c r="E157" s="94" t="str">
        <f t="shared" si="40"/>
        <v>,DateMatch=DateTime.Parse("</v>
      </c>
      <c r="F157" s="85">
        <f>Match!C158</f>
        <v>39618</v>
      </c>
      <c r="G157" s="92" t="str">
        <f t="shared" si="41"/>
        <v>"),TimeMatch=TimeSpan.Parse("</v>
      </c>
      <c r="H157" s="93">
        <f>Match!D158</f>
        <v>0.11458333333333326</v>
      </c>
      <c r="I157" s="94" t="str">
        <f t="shared" si="42"/>
        <v>"),MatchYear=</v>
      </c>
      <c r="J157">
        <f>Match!E158</f>
        <v>2008</v>
      </c>
      <c r="K157" s="94" t="str">
        <f t="shared" si="43"/>
        <v>, SeasonId= "</v>
      </c>
      <c r="L157" t="str">
        <f>Match!F158</f>
        <v>UEFAEURO2008</v>
      </c>
      <c r="M157" s="94" t="str">
        <f t="shared" si="44"/>
        <v>",Round= "</v>
      </c>
      <c r="N157" t="str">
        <f>Match!G158</f>
        <v>Final Round</v>
      </c>
      <c r="O157" t="str">
        <f t="shared" si="45"/>
        <v>",Stage= "</v>
      </c>
      <c r="P157" t="str">
        <f>Match!H158</f>
        <v>Group</v>
      </c>
      <c r="Q157" t="str">
        <f t="shared" si="46"/>
        <v>",SubStage= "</v>
      </c>
      <c r="R157" t="str">
        <f>Match!I158</f>
        <v>Group D</v>
      </c>
      <c r="S157" t="str">
        <f t="shared" si="47"/>
        <v>",HTeam= "</v>
      </c>
      <c r="T157" t="str">
        <f>Match!J158</f>
        <v>Russia</v>
      </c>
      <c r="U157" t="str">
        <f t="shared" si="48"/>
        <v>",HGoal=</v>
      </c>
      <c r="V157">
        <f>Match!K158</f>
        <v>2</v>
      </c>
      <c r="W157" t="str">
        <f t="shared" si="49"/>
        <v>,GGoal=</v>
      </c>
      <c r="X157">
        <f>Match!L158</f>
        <v>0</v>
      </c>
      <c r="Y157" t="str">
        <f t="shared" si="50"/>
        <v>,GTeam= "</v>
      </c>
      <c r="Z157" t="str">
        <f>Match!M158</f>
        <v>Sweden</v>
      </c>
      <c r="AA157" t="str">
        <f t="shared" si="51"/>
        <v>",WinNote="</v>
      </c>
      <c r="AB157" t="str">
        <f>IF(Match!N158="","",Match!N158)</f>
        <v/>
      </c>
      <c r="AC157" t="str">
        <f t="shared" si="52"/>
        <v xml:space="preserve">",Stadium=" </v>
      </c>
      <c r="AD157" s="95" t="str">
        <f>Match!O158</f>
        <v>Innsbruck</v>
      </c>
      <c r="AE157" t="str">
        <f t="shared" si="53"/>
        <v>",Referee= "</v>
      </c>
      <c r="AF157" s="95" t="str">
        <f>IF(Match!P158="","",Match!P158)</f>
        <v/>
      </c>
      <c r="AG157" t="str">
        <f t="shared" si="54"/>
        <v xml:space="preserve">",Visistors= </v>
      </c>
      <c r="AH157" s="95">
        <f>IF(Match!Q158="",0,Match!Q158)</f>
        <v>0</v>
      </c>
      <c r="AI157" t="str">
        <f t="shared" si="55"/>
        <v>,Status= "</v>
      </c>
      <c r="AJ157" s="95" t="str">
        <f>Match!R158</f>
        <v>Finished</v>
      </c>
      <c r="AK157" t="str">
        <f t="shared" si="56"/>
        <v>" },</v>
      </c>
    </row>
    <row r="158" spans="1:37" x14ac:dyDescent="0.25">
      <c r="A158" s="94" t="str">
        <f t="shared" si="38"/>
        <v>new Match { MatchId= "</v>
      </c>
      <c r="B158" t="str">
        <f>Match!A159</f>
        <v>UEFAEURO2008-25</v>
      </c>
      <c r="C158" s="94" t="str">
        <f t="shared" si="39"/>
        <v>",MatchNumber=</v>
      </c>
      <c r="D158">
        <f>Match!B159</f>
        <v>25</v>
      </c>
      <c r="E158" s="94" t="str">
        <f t="shared" si="40"/>
        <v>,DateMatch=DateTime.Parse("</v>
      </c>
      <c r="F158" s="85">
        <f>Match!C159</f>
        <v>39619</v>
      </c>
      <c r="G158" s="92" t="str">
        <f t="shared" si="41"/>
        <v>"),TimeMatch=TimeSpan.Parse("</v>
      </c>
      <c r="H158" s="93">
        <f>Match!D159</f>
        <v>0.11458333333333326</v>
      </c>
      <c r="I158" s="94" t="str">
        <f t="shared" si="42"/>
        <v>"),MatchYear=</v>
      </c>
      <c r="J158">
        <f>Match!E159</f>
        <v>2008</v>
      </c>
      <c r="K158" s="94" t="str">
        <f t="shared" si="43"/>
        <v>, SeasonId= "</v>
      </c>
      <c r="L158" t="str">
        <f>Match!F159</f>
        <v>UEFAEURO2008</v>
      </c>
      <c r="M158" s="94" t="str">
        <f t="shared" si="44"/>
        <v>",Round= "</v>
      </c>
      <c r="N158" t="str">
        <f>Match!G159</f>
        <v>Final Round</v>
      </c>
      <c r="O158" t="str">
        <f t="shared" si="45"/>
        <v>",Stage= "</v>
      </c>
      <c r="P158" t="str">
        <f>Match!H159</f>
        <v>Knockouts</v>
      </c>
      <c r="Q158" t="str">
        <f t="shared" si="46"/>
        <v>",SubStage= "</v>
      </c>
      <c r="R158" t="str">
        <f>Match!I159</f>
        <v>Quaterfinal</v>
      </c>
      <c r="S158" t="str">
        <f t="shared" si="47"/>
        <v>",HTeam= "</v>
      </c>
      <c r="T158" t="str">
        <f>Match!J159</f>
        <v>Portugal</v>
      </c>
      <c r="U158" t="str">
        <f t="shared" si="48"/>
        <v>",HGoal=</v>
      </c>
      <c r="V158">
        <f>Match!K159</f>
        <v>2</v>
      </c>
      <c r="W158" t="str">
        <f t="shared" si="49"/>
        <v>,GGoal=</v>
      </c>
      <c r="X158">
        <f>Match!L159</f>
        <v>3</v>
      </c>
      <c r="Y158" t="str">
        <f t="shared" si="50"/>
        <v>,GTeam= "</v>
      </c>
      <c r="Z158" t="str">
        <f>Match!M159</f>
        <v>Germany</v>
      </c>
      <c r="AA158" t="str">
        <f t="shared" si="51"/>
        <v>",WinNote="</v>
      </c>
      <c r="AB158" t="str">
        <f>IF(Match!N159="","",Match!N159)</f>
        <v/>
      </c>
      <c r="AC158" t="str">
        <f t="shared" si="52"/>
        <v xml:space="preserve">",Stadium=" </v>
      </c>
      <c r="AD158" s="95" t="str">
        <f>Match!O159</f>
        <v>Basel</v>
      </c>
      <c r="AE158" t="str">
        <f t="shared" si="53"/>
        <v>",Referee= "</v>
      </c>
      <c r="AF158" s="95" t="str">
        <f>IF(Match!P159="","",Match!P159)</f>
        <v/>
      </c>
      <c r="AG158" t="str">
        <f t="shared" si="54"/>
        <v xml:space="preserve">",Visistors= </v>
      </c>
      <c r="AH158" s="95">
        <f>IF(Match!Q159="",0,Match!Q159)</f>
        <v>0</v>
      </c>
      <c r="AI158" t="str">
        <f t="shared" si="55"/>
        <v>,Status= "</v>
      </c>
      <c r="AJ158" s="95" t="str">
        <f>Match!R159</f>
        <v>Finished</v>
      </c>
      <c r="AK158" t="str">
        <f t="shared" si="56"/>
        <v>" },</v>
      </c>
    </row>
    <row r="159" spans="1:37" x14ac:dyDescent="0.25">
      <c r="A159" s="94" t="str">
        <f t="shared" si="38"/>
        <v>new Match { MatchId= "</v>
      </c>
      <c r="B159" t="str">
        <f>Match!A160</f>
        <v>UEFAEURO2008-26</v>
      </c>
      <c r="C159" s="94" t="str">
        <f t="shared" si="39"/>
        <v>",MatchNumber=</v>
      </c>
      <c r="D159">
        <f>Match!B160</f>
        <v>26</v>
      </c>
      <c r="E159" s="94" t="str">
        <f t="shared" si="40"/>
        <v>,DateMatch=DateTime.Parse("</v>
      </c>
      <c r="F159" s="85">
        <f>Match!C160</f>
        <v>39620</v>
      </c>
      <c r="G159" s="92" t="str">
        <f t="shared" si="41"/>
        <v>"),TimeMatch=TimeSpan.Parse("</v>
      </c>
      <c r="H159" s="93">
        <f>Match!D160</f>
        <v>0.11458333333333326</v>
      </c>
      <c r="I159" s="94" t="str">
        <f t="shared" si="42"/>
        <v>"),MatchYear=</v>
      </c>
      <c r="J159">
        <f>Match!E160</f>
        <v>2008</v>
      </c>
      <c r="K159" s="94" t="str">
        <f t="shared" si="43"/>
        <v>, SeasonId= "</v>
      </c>
      <c r="L159" t="str">
        <f>Match!F160</f>
        <v>UEFAEURO2008</v>
      </c>
      <c r="M159" s="94" t="str">
        <f t="shared" si="44"/>
        <v>",Round= "</v>
      </c>
      <c r="N159" t="str">
        <f>Match!G160</f>
        <v>Final Round</v>
      </c>
      <c r="O159" t="str">
        <f t="shared" si="45"/>
        <v>",Stage= "</v>
      </c>
      <c r="P159" t="str">
        <f>Match!H160</f>
        <v>Knockouts</v>
      </c>
      <c r="Q159" t="str">
        <f t="shared" si="46"/>
        <v>",SubStage= "</v>
      </c>
      <c r="R159" t="str">
        <f>Match!I160</f>
        <v>Quaterfinal</v>
      </c>
      <c r="S159" t="str">
        <f t="shared" si="47"/>
        <v>",HTeam= "</v>
      </c>
      <c r="T159" t="str">
        <f>Match!J160</f>
        <v>Croatia</v>
      </c>
      <c r="U159" t="str">
        <f t="shared" si="48"/>
        <v>",HGoal=</v>
      </c>
      <c r="V159">
        <f>Match!K160</f>
        <v>1</v>
      </c>
      <c r="W159" t="str">
        <f t="shared" si="49"/>
        <v>,GGoal=</v>
      </c>
      <c r="X159">
        <f>Match!L160</f>
        <v>1</v>
      </c>
      <c r="Y159" t="str">
        <f t="shared" si="50"/>
        <v>,GTeam= "</v>
      </c>
      <c r="Z159" t="str">
        <f>Match!M160</f>
        <v>Turkey</v>
      </c>
      <c r="AA159" t="str">
        <f t="shared" si="51"/>
        <v>",WinNote="</v>
      </c>
      <c r="AB159" t="str">
        <f>IF(Match!N160="","",Match!N160)</f>
        <v>Turkey Win on Penalty 3-1</v>
      </c>
      <c r="AC159" t="str">
        <f t="shared" si="52"/>
        <v xml:space="preserve">",Stadium=" </v>
      </c>
      <c r="AD159" s="95" t="str">
        <f>Match!O160</f>
        <v>Vienna</v>
      </c>
      <c r="AE159" t="str">
        <f t="shared" si="53"/>
        <v>",Referee= "</v>
      </c>
      <c r="AF159" s="95" t="str">
        <f>IF(Match!P160="","",Match!P160)</f>
        <v/>
      </c>
      <c r="AG159" t="str">
        <f t="shared" si="54"/>
        <v xml:space="preserve">",Visistors= </v>
      </c>
      <c r="AH159" s="95">
        <f>IF(Match!Q160="",0,Match!Q160)</f>
        <v>0</v>
      </c>
      <c r="AI159" t="str">
        <f t="shared" si="55"/>
        <v>,Status= "</v>
      </c>
      <c r="AJ159" s="95" t="str">
        <f>Match!R160</f>
        <v>Finished</v>
      </c>
      <c r="AK159" t="str">
        <f t="shared" si="56"/>
        <v>" },</v>
      </c>
    </row>
    <row r="160" spans="1:37" x14ac:dyDescent="0.25">
      <c r="A160" s="94" t="str">
        <f t="shared" si="38"/>
        <v>new Match { MatchId= "</v>
      </c>
      <c r="B160" t="str">
        <f>Match!A161</f>
        <v>UEFAEURO2008-27</v>
      </c>
      <c r="C160" s="94" t="str">
        <f t="shared" si="39"/>
        <v>",MatchNumber=</v>
      </c>
      <c r="D160">
        <f>Match!B161</f>
        <v>27</v>
      </c>
      <c r="E160" s="94" t="str">
        <f t="shared" si="40"/>
        <v>,DateMatch=DateTime.Parse("</v>
      </c>
      <c r="F160" s="85">
        <f>Match!C161</f>
        <v>39621</v>
      </c>
      <c r="G160" s="92" t="str">
        <f t="shared" si="41"/>
        <v>"),TimeMatch=TimeSpan.Parse("</v>
      </c>
      <c r="H160" s="93">
        <f>Match!D161</f>
        <v>0.11458333333333326</v>
      </c>
      <c r="I160" s="94" t="str">
        <f t="shared" si="42"/>
        <v>"),MatchYear=</v>
      </c>
      <c r="J160">
        <f>Match!E161</f>
        <v>2008</v>
      </c>
      <c r="K160" s="94" t="str">
        <f t="shared" si="43"/>
        <v>, SeasonId= "</v>
      </c>
      <c r="L160" t="str">
        <f>Match!F161</f>
        <v>UEFAEURO2008</v>
      </c>
      <c r="M160" s="94" t="str">
        <f t="shared" si="44"/>
        <v>",Round= "</v>
      </c>
      <c r="N160" t="str">
        <f>Match!G161</f>
        <v>Final Round</v>
      </c>
      <c r="O160" t="str">
        <f t="shared" si="45"/>
        <v>",Stage= "</v>
      </c>
      <c r="P160" t="str">
        <f>Match!H161</f>
        <v>Knockouts</v>
      </c>
      <c r="Q160" t="str">
        <f t="shared" si="46"/>
        <v>",SubStage= "</v>
      </c>
      <c r="R160" t="str">
        <f>Match!I161</f>
        <v>Quaterfinal</v>
      </c>
      <c r="S160" t="str">
        <f t="shared" si="47"/>
        <v>",HTeam= "</v>
      </c>
      <c r="T160" t="str">
        <f>Match!J161</f>
        <v>Netherlands</v>
      </c>
      <c r="U160" t="str">
        <f t="shared" si="48"/>
        <v>",HGoal=</v>
      </c>
      <c r="V160">
        <f>Match!K161</f>
        <v>1</v>
      </c>
      <c r="W160" t="str">
        <f t="shared" si="49"/>
        <v>,GGoal=</v>
      </c>
      <c r="X160">
        <f>Match!L161</f>
        <v>3</v>
      </c>
      <c r="Y160" t="str">
        <f t="shared" si="50"/>
        <v>,GTeam= "</v>
      </c>
      <c r="Z160" t="str">
        <f>Match!M161</f>
        <v>Russia</v>
      </c>
      <c r="AA160" t="str">
        <f t="shared" si="51"/>
        <v>",WinNote="</v>
      </c>
      <c r="AB160" t="str">
        <f>IF(Match!N161="","",Match!N161)</f>
        <v>Russia Win on Extra time</v>
      </c>
      <c r="AC160" t="str">
        <f t="shared" si="52"/>
        <v xml:space="preserve">",Stadium=" </v>
      </c>
      <c r="AD160" s="95" t="str">
        <f>Match!O161</f>
        <v>Basel</v>
      </c>
      <c r="AE160" t="str">
        <f t="shared" si="53"/>
        <v>",Referee= "</v>
      </c>
      <c r="AF160" s="95" t="str">
        <f>IF(Match!P161="","",Match!P161)</f>
        <v/>
      </c>
      <c r="AG160" t="str">
        <f t="shared" si="54"/>
        <v xml:space="preserve">",Visistors= </v>
      </c>
      <c r="AH160" s="95">
        <f>IF(Match!Q161="",0,Match!Q161)</f>
        <v>0</v>
      </c>
      <c r="AI160" t="str">
        <f t="shared" si="55"/>
        <v>,Status= "</v>
      </c>
      <c r="AJ160" s="95" t="str">
        <f>Match!R161</f>
        <v>Finished</v>
      </c>
      <c r="AK160" t="str">
        <f t="shared" si="56"/>
        <v>" },</v>
      </c>
    </row>
    <row r="161" spans="1:37" x14ac:dyDescent="0.25">
      <c r="A161" s="94" t="str">
        <f t="shared" si="38"/>
        <v>new Match { MatchId= "</v>
      </c>
      <c r="B161" t="str">
        <f>Match!A162</f>
        <v>UEFAEURO2008-28</v>
      </c>
      <c r="C161" s="94" t="str">
        <f t="shared" si="39"/>
        <v>",MatchNumber=</v>
      </c>
      <c r="D161">
        <f>Match!B162</f>
        <v>28</v>
      </c>
      <c r="E161" s="94" t="str">
        <f t="shared" si="40"/>
        <v>,DateMatch=DateTime.Parse("</v>
      </c>
      <c r="F161" s="85">
        <f>Match!C162</f>
        <v>39622</v>
      </c>
      <c r="G161" s="92" t="str">
        <f t="shared" si="41"/>
        <v>"),TimeMatch=TimeSpan.Parse("</v>
      </c>
      <c r="H161" s="93">
        <f>Match!D162</f>
        <v>0.11458333333333326</v>
      </c>
      <c r="I161" s="94" t="str">
        <f t="shared" si="42"/>
        <v>"),MatchYear=</v>
      </c>
      <c r="J161">
        <f>Match!E162</f>
        <v>2008</v>
      </c>
      <c r="K161" s="94" t="str">
        <f t="shared" si="43"/>
        <v>, SeasonId= "</v>
      </c>
      <c r="L161" t="str">
        <f>Match!F162</f>
        <v>UEFAEURO2008</v>
      </c>
      <c r="M161" s="94" t="str">
        <f t="shared" si="44"/>
        <v>",Round= "</v>
      </c>
      <c r="N161" t="str">
        <f>Match!G162</f>
        <v>Final Round</v>
      </c>
      <c r="O161" t="str">
        <f t="shared" si="45"/>
        <v>",Stage= "</v>
      </c>
      <c r="P161" t="str">
        <f>Match!H162</f>
        <v>Knockouts</v>
      </c>
      <c r="Q161" t="str">
        <f t="shared" si="46"/>
        <v>",SubStage= "</v>
      </c>
      <c r="R161" t="str">
        <f>Match!I162</f>
        <v>Quaterfinal</v>
      </c>
      <c r="S161" t="str">
        <f t="shared" si="47"/>
        <v>",HTeam= "</v>
      </c>
      <c r="T161" t="str">
        <f>Match!J162</f>
        <v>Spain</v>
      </c>
      <c r="U161" t="str">
        <f t="shared" si="48"/>
        <v>",HGoal=</v>
      </c>
      <c r="V161">
        <f>Match!K162</f>
        <v>0</v>
      </c>
      <c r="W161" t="str">
        <f t="shared" si="49"/>
        <v>,GGoal=</v>
      </c>
      <c r="X161">
        <f>Match!L162</f>
        <v>0</v>
      </c>
      <c r="Y161" t="str">
        <f t="shared" si="50"/>
        <v>,GTeam= "</v>
      </c>
      <c r="Z161" t="str">
        <f>Match!M162</f>
        <v>Italy</v>
      </c>
      <c r="AA161" t="str">
        <f t="shared" si="51"/>
        <v>",WinNote="</v>
      </c>
      <c r="AB161" t="str">
        <f>IF(Match!N162="","",Match!N162)</f>
        <v>Spain win on Penalties 4-2</v>
      </c>
      <c r="AC161" t="str">
        <f t="shared" si="52"/>
        <v xml:space="preserve">",Stadium=" </v>
      </c>
      <c r="AD161" s="95" t="str">
        <f>Match!O162</f>
        <v>Vienna</v>
      </c>
      <c r="AE161" t="str">
        <f t="shared" si="53"/>
        <v>",Referee= "</v>
      </c>
      <c r="AF161" s="95" t="str">
        <f>IF(Match!P162="","",Match!P162)</f>
        <v/>
      </c>
      <c r="AG161" t="str">
        <f t="shared" si="54"/>
        <v xml:space="preserve">",Visistors= </v>
      </c>
      <c r="AH161" s="95">
        <f>IF(Match!Q162="",0,Match!Q162)</f>
        <v>0</v>
      </c>
      <c r="AI161" t="str">
        <f t="shared" si="55"/>
        <v>,Status= "</v>
      </c>
      <c r="AJ161" s="95" t="str">
        <f>Match!R162</f>
        <v>Finished</v>
      </c>
      <c r="AK161" t="str">
        <f t="shared" si="56"/>
        <v>" },</v>
      </c>
    </row>
    <row r="162" spans="1:37" x14ac:dyDescent="0.25">
      <c r="A162" s="94" t="str">
        <f t="shared" si="38"/>
        <v>new Match { MatchId= "</v>
      </c>
      <c r="B162" t="str">
        <f>Match!A163</f>
        <v>UEFAEURO2008-29</v>
      </c>
      <c r="C162" s="94" t="str">
        <f t="shared" si="39"/>
        <v>",MatchNumber=</v>
      </c>
      <c r="D162">
        <f>Match!B163</f>
        <v>29</v>
      </c>
      <c r="E162" s="94" t="str">
        <f t="shared" si="40"/>
        <v>,DateMatch=DateTime.Parse("</v>
      </c>
      <c r="F162" s="85">
        <f>Match!C163</f>
        <v>39625</v>
      </c>
      <c r="G162" s="92" t="str">
        <f t="shared" si="41"/>
        <v>"),TimeMatch=TimeSpan.Parse("</v>
      </c>
      <c r="H162" s="93">
        <f>Match!D163</f>
        <v>0.11458333333333326</v>
      </c>
      <c r="I162" s="94" t="str">
        <f t="shared" si="42"/>
        <v>"),MatchYear=</v>
      </c>
      <c r="J162">
        <f>Match!E163</f>
        <v>2008</v>
      </c>
      <c r="K162" s="94" t="str">
        <f t="shared" si="43"/>
        <v>, SeasonId= "</v>
      </c>
      <c r="L162" t="str">
        <f>Match!F163</f>
        <v>UEFAEURO2008</v>
      </c>
      <c r="M162" s="94" t="str">
        <f t="shared" si="44"/>
        <v>",Round= "</v>
      </c>
      <c r="N162" t="str">
        <f>Match!G163</f>
        <v>Final Round</v>
      </c>
      <c r="O162" t="str">
        <f t="shared" si="45"/>
        <v>",Stage= "</v>
      </c>
      <c r="P162" t="str">
        <f>Match!H163</f>
        <v>Knockouts</v>
      </c>
      <c r="Q162" t="str">
        <f t="shared" si="46"/>
        <v>",SubStage= "</v>
      </c>
      <c r="R162" t="str">
        <f>Match!I163</f>
        <v>Semifinal</v>
      </c>
      <c r="S162" t="str">
        <f t="shared" si="47"/>
        <v>",HTeam= "</v>
      </c>
      <c r="T162" t="str">
        <f>Match!J163</f>
        <v>Germany</v>
      </c>
      <c r="U162" t="str">
        <f t="shared" si="48"/>
        <v>",HGoal=</v>
      </c>
      <c r="V162">
        <f>Match!K163</f>
        <v>3</v>
      </c>
      <c r="W162" t="str">
        <f t="shared" si="49"/>
        <v>,GGoal=</v>
      </c>
      <c r="X162">
        <f>Match!L163</f>
        <v>2</v>
      </c>
      <c r="Y162" t="str">
        <f t="shared" si="50"/>
        <v>,GTeam= "</v>
      </c>
      <c r="Z162" t="str">
        <f>Match!M163</f>
        <v>Turkey</v>
      </c>
      <c r="AA162" t="str">
        <f t="shared" si="51"/>
        <v>",WinNote="</v>
      </c>
      <c r="AB162" t="str">
        <f>IF(Match!N163="","",Match!N163)</f>
        <v/>
      </c>
      <c r="AC162" t="str">
        <f t="shared" si="52"/>
        <v xml:space="preserve">",Stadium=" </v>
      </c>
      <c r="AD162" s="95" t="str">
        <f>Match!O163</f>
        <v>Basel</v>
      </c>
      <c r="AE162" t="str">
        <f t="shared" si="53"/>
        <v>",Referee= "</v>
      </c>
      <c r="AF162" s="95" t="str">
        <f>IF(Match!P163="","",Match!P163)</f>
        <v/>
      </c>
      <c r="AG162" t="str">
        <f t="shared" si="54"/>
        <v xml:space="preserve">",Visistors= </v>
      </c>
      <c r="AH162" s="95">
        <f>IF(Match!Q163="",0,Match!Q163)</f>
        <v>0</v>
      </c>
      <c r="AI162" t="str">
        <f t="shared" si="55"/>
        <v>,Status= "</v>
      </c>
      <c r="AJ162" s="95" t="str">
        <f>Match!R163</f>
        <v>Finished</v>
      </c>
      <c r="AK162" t="str">
        <f t="shared" si="56"/>
        <v>" },</v>
      </c>
    </row>
    <row r="163" spans="1:37" x14ac:dyDescent="0.25">
      <c r="A163" s="94" t="str">
        <f t="shared" si="38"/>
        <v>new Match { MatchId= "</v>
      </c>
      <c r="B163" t="str">
        <f>Match!A164</f>
        <v>UEFAEURO2008-30</v>
      </c>
      <c r="C163" s="94" t="str">
        <f t="shared" si="39"/>
        <v>",MatchNumber=</v>
      </c>
      <c r="D163">
        <f>Match!B164</f>
        <v>30</v>
      </c>
      <c r="E163" s="94" t="str">
        <f t="shared" si="40"/>
        <v>,DateMatch=DateTime.Parse("</v>
      </c>
      <c r="F163" s="85">
        <f>Match!C164</f>
        <v>39626</v>
      </c>
      <c r="G163" s="92" t="str">
        <f t="shared" si="41"/>
        <v>"),TimeMatch=TimeSpan.Parse("</v>
      </c>
      <c r="H163" s="93">
        <f>Match!D164</f>
        <v>0.11458333333333326</v>
      </c>
      <c r="I163" s="94" t="str">
        <f t="shared" si="42"/>
        <v>"),MatchYear=</v>
      </c>
      <c r="J163">
        <f>Match!E164</f>
        <v>2008</v>
      </c>
      <c r="K163" s="94" t="str">
        <f t="shared" si="43"/>
        <v>, SeasonId= "</v>
      </c>
      <c r="L163" t="str">
        <f>Match!F164</f>
        <v>UEFAEURO2008</v>
      </c>
      <c r="M163" s="94" t="str">
        <f t="shared" si="44"/>
        <v>",Round= "</v>
      </c>
      <c r="N163" t="str">
        <f>Match!G164</f>
        <v>Final Round</v>
      </c>
      <c r="O163" t="str">
        <f t="shared" si="45"/>
        <v>",Stage= "</v>
      </c>
      <c r="P163" t="str">
        <f>Match!H164</f>
        <v>Knockouts</v>
      </c>
      <c r="Q163" t="str">
        <f t="shared" si="46"/>
        <v>",SubStage= "</v>
      </c>
      <c r="R163" t="str">
        <f>Match!I164</f>
        <v>Semifinal</v>
      </c>
      <c r="S163" t="str">
        <f t="shared" si="47"/>
        <v>",HTeam= "</v>
      </c>
      <c r="T163" t="str">
        <f>Match!J164</f>
        <v>Russia</v>
      </c>
      <c r="U163" t="str">
        <f t="shared" si="48"/>
        <v>",HGoal=</v>
      </c>
      <c r="V163">
        <f>Match!K164</f>
        <v>0</v>
      </c>
      <c r="W163" t="str">
        <f t="shared" si="49"/>
        <v>,GGoal=</v>
      </c>
      <c r="X163">
        <f>Match!L164</f>
        <v>3</v>
      </c>
      <c r="Y163" t="str">
        <f t="shared" si="50"/>
        <v>,GTeam= "</v>
      </c>
      <c r="Z163" t="str">
        <f>Match!M164</f>
        <v>Spain</v>
      </c>
      <c r="AA163" t="str">
        <f t="shared" si="51"/>
        <v>",WinNote="</v>
      </c>
      <c r="AB163" t="str">
        <f>IF(Match!N164="","",Match!N164)</f>
        <v/>
      </c>
      <c r="AC163" t="str">
        <f t="shared" si="52"/>
        <v xml:space="preserve">",Stadium=" </v>
      </c>
      <c r="AD163" s="95" t="str">
        <f>Match!O164</f>
        <v>Vienna</v>
      </c>
      <c r="AE163" t="str">
        <f t="shared" si="53"/>
        <v>",Referee= "</v>
      </c>
      <c r="AF163" s="95" t="str">
        <f>IF(Match!P164="","",Match!P164)</f>
        <v/>
      </c>
      <c r="AG163" t="str">
        <f t="shared" si="54"/>
        <v xml:space="preserve">",Visistors= </v>
      </c>
      <c r="AH163" s="95">
        <f>IF(Match!Q164="",0,Match!Q164)</f>
        <v>0</v>
      </c>
      <c r="AI163" t="str">
        <f t="shared" si="55"/>
        <v>,Status= "</v>
      </c>
      <c r="AJ163" s="95" t="str">
        <f>Match!R164</f>
        <v>Finished</v>
      </c>
      <c r="AK163" t="str">
        <f t="shared" si="56"/>
        <v>" },</v>
      </c>
    </row>
    <row r="164" spans="1:37" x14ac:dyDescent="0.25">
      <c r="A164" s="94" t="str">
        <f t="shared" si="38"/>
        <v>new Match { MatchId= "</v>
      </c>
      <c r="B164" t="str">
        <f>Match!A165</f>
        <v>UEFAEURO2008-31</v>
      </c>
      <c r="C164" s="94" t="str">
        <f t="shared" si="39"/>
        <v>",MatchNumber=</v>
      </c>
      <c r="D164">
        <f>Match!B165</f>
        <v>31</v>
      </c>
      <c r="E164" s="94" t="str">
        <f t="shared" si="40"/>
        <v>,DateMatch=DateTime.Parse("</v>
      </c>
      <c r="F164" s="85">
        <f>Match!C165</f>
        <v>39629</v>
      </c>
      <c r="G164" s="92" t="str">
        <f t="shared" si="41"/>
        <v>"),TimeMatch=TimeSpan.Parse("</v>
      </c>
      <c r="H164" s="93">
        <f>Match!D165</f>
        <v>0.11458333333333326</v>
      </c>
      <c r="I164" s="94" t="str">
        <f t="shared" si="42"/>
        <v>"),MatchYear=</v>
      </c>
      <c r="J164">
        <f>Match!E165</f>
        <v>2008</v>
      </c>
      <c r="K164" s="94" t="str">
        <f t="shared" si="43"/>
        <v>, SeasonId= "</v>
      </c>
      <c r="L164" t="str">
        <f>Match!F165</f>
        <v>UEFAEURO2008</v>
      </c>
      <c r="M164" s="94" t="str">
        <f t="shared" si="44"/>
        <v>",Round= "</v>
      </c>
      <c r="N164" t="str">
        <f>Match!G165</f>
        <v>Final Round</v>
      </c>
      <c r="O164" t="str">
        <f t="shared" si="45"/>
        <v>",Stage= "</v>
      </c>
      <c r="P164" t="str">
        <f>Match!H165</f>
        <v>Knockouts</v>
      </c>
      <c r="Q164" t="str">
        <f t="shared" si="46"/>
        <v>",SubStage= "</v>
      </c>
      <c r="R164" t="str">
        <f>Match!I165</f>
        <v>Final</v>
      </c>
      <c r="S164" t="str">
        <f t="shared" si="47"/>
        <v>",HTeam= "</v>
      </c>
      <c r="T164" t="str">
        <f>Match!J165</f>
        <v>Germany</v>
      </c>
      <c r="U164" t="str">
        <f t="shared" si="48"/>
        <v>",HGoal=</v>
      </c>
      <c r="V164">
        <f>Match!K165</f>
        <v>0</v>
      </c>
      <c r="W164" t="str">
        <f t="shared" si="49"/>
        <v>,GGoal=</v>
      </c>
      <c r="X164">
        <f>Match!L165</f>
        <v>1</v>
      </c>
      <c r="Y164" t="str">
        <f t="shared" si="50"/>
        <v>,GTeam= "</v>
      </c>
      <c r="Z164" t="str">
        <f>Match!M165</f>
        <v>Spain</v>
      </c>
      <c r="AA164" t="str">
        <f t="shared" si="51"/>
        <v>",WinNote="</v>
      </c>
      <c r="AB164" t="str">
        <f>IF(Match!N165="","",Match!N165)</f>
        <v/>
      </c>
      <c r="AC164" t="str">
        <f t="shared" si="52"/>
        <v xml:space="preserve">",Stadium=" </v>
      </c>
      <c r="AD164" s="95" t="str">
        <f>Match!O165</f>
        <v>Vienna</v>
      </c>
      <c r="AE164" t="str">
        <f t="shared" si="53"/>
        <v>",Referee= "</v>
      </c>
      <c r="AF164" s="95" t="str">
        <f>IF(Match!P165="","",Match!P165)</f>
        <v/>
      </c>
      <c r="AG164" t="str">
        <f t="shared" si="54"/>
        <v xml:space="preserve">",Visistors= </v>
      </c>
      <c r="AH164" s="95">
        <f>IF(Match!Q165="",0,Match!Q165)</f>
        <v>0</v>
      </c>
      <c r="AI164" t="str">
        <f t="shared" si="55"/>
        <v>,Status= "</v>
      </c>
      <c r="AJ164" s="95" t="str">
        <f>Match!R165</f>
        <v>Finished</v>
      </c>
      <c r="AK164" t="str">
        <f t="shared" si="56"/>
        <v>" },</v>
      </c>
    </row>
    <row r="165" spans="1:37" x14ac:dyDescent="0.25">
      <c r="A165" s="94" t="str">
        <f t="shared" si="38"/>
        <v>new Match { MatchId= "</v>
      </c>
      <c r="B165">
        <f>Match!A166</f>
        <v>0</v>
      </c>
      <c r="C165" s="94" t="str">
        <f t="shared" si="39"/>
        <v>",MatchNumber=</v>
      </c>
      <c r="D165">
        <f>Match!B166</f>
        <v>0</v>
      </c>
      <c r="E165" s="94" t="str">
        <f t="shared" si="40"/>
        <v>,DateMatch=DateTime.Parse("</v>
      </c>
      <c r="F165" s="85">
        <f>Match!C166</f>
        <v>0</v>
      </c>
      <c r="G165" s="92" t="str">
        <f t="shared" si="41"/>
        <v>"),TimeMatch=TimeSpan.Parse("</v>
      </c>
      <c r="H165" s="93">
        <f>Match!D166</f>
        <v>0</v>
      </c>
      <c r="I165" s="94" t="str">
        <f t="shared" si="42"/>
        <v>"),MatchYear=</v>
      </c>
      <c r="J165">
        <f>Match!E166</f>
        <v>0</v>
      </c>
      <c r="K165" s="94" t="str">
        <f t="shared" si="43"/>
        <v>, SeasonId= "</v>
      </c>
      <c r="L165">
        <f>Match!F166</f>
        <v>0</v>
      </c>
      <c r="M165" s="94" t="str">
        <f t="shared" si="44"/>
        <v>",Round= "</v>
      </c>
      <c r="N165">
        <f>Match!G166</f>
        <v>0</v>
      </c>
      <c r="O165" t="str">
        <f t="shared" si="45"/>
        <v>",Stage= "</v>
      </c>
      <c r="P165">
        <f>Match!H166</f>
        <v>0</v>
      </c>
      <c r="Q165" t="str">
        <f t="shared" si="46"/>
        <v>",SubStage= "</v>
      </c>
      <c r="R165">
        <f>Match!I166</f>
        <v>0</v>
      </c>
      <c r="S165" t="str">
        <f t="shared" si="47"/>
        <v>",HTeam= "</v>
      </c>
      <c r="T165">
        <f>Match!J166</f>
        <v>0</v>
      </c>
      <c r="U165" t="str">
        <f t="shared" si="48"/>
        <v>",HGoal=</v>
      </c>
      <c r="V165">
        <f>Match!K166</f>
        <v>0</v>
      </c>
      <c r="W165" t="str">
        <f t="shared" si="49"/>
        <v>,GGoal=</v>
      </c>
      <c r="X165">
        <f>Match!L166</f>
        <v>0</v>
      </c>
      <c r="Y165" t="str">
        <f t="shared" si="50"/>
        <v>,GTeam= "</v>
      </c>
      <c r="Z165">
        <f>Match!M166</f>
        <v>0</v>
      </c>
      <c r="AA165" t="str">
        <f t="shared" si="51"/>
        <v>",WinNote="</v>
      </c>
      <c r="AB165" t="str">
        <f>IF(Match!N166="","",Match!N166)</f>
        <v/>
      </c>
      <c r="AC165" t="str">
        <f t="shared" si="52"/>
        <v xml:space="preserve">",Stadium=" </v>
      </c>
      <c r="AD165" s="95">
        <f>Match!O166</f>
        <v>0</v>
      </c>
      <c r="AE165" t="str">
        <f t="shared" si="53"/>
        <v>",Referee= "</v>
      </c>
      <c r="AF165" s="95" t="str">
        <f>IF(Match!P166="","",Match!P166)</f>
        <v/>
      </c>
      <c r="AG165" t="str">
        <f t="shared" si="54"/>
        <v xml:space="preserve">",Visistors= </v>
      </c>
      <c r="AH165" s="95">
        <f>IF(Match!Q166="",0,Match!Q166)</f>
        <v>0</v>
      </c>
      <c r="AI165" t="str">
        <f t="shared" si="55"/>
        <v>,Status= "</v>
      </c>
      <c r="AJ165" s="95">
        <f>Match!R166</f>
        <v>0</v>
      </c>
      <c r="AK165" t="str">
        <f t="shared" si="56"/>
        <v>" },</v>
      </c>
    </row>
    <row r="166" spans="1:37" x14ac:dyDescent="0.25">
      <c r="A166" s="94" t="str">
        <f t="shared" si="38"/>
        <v>new Match { MatchId= "</v>
      </c>
      <c r="B166">
        <f>Match!A167</f>
        <v>0</v>
      </c>
      <c r="C166" s="94" t="str">
        <f t="shared" si="39"/>
        <v>",MatchNumber=</v>
      </c>
      <c r="D166">
        <f>Match!B167</f>
        <v>0</v>
      </c>
      <c r="E166" s="94" t="str">
        <f t="shared" si="40"/>
        <v>,DateMatch=DateTime.Parse("</v>
      </c>
      <c r="F166" s="85">
        <f>Match!C167</f>
        <v>0</v>
      </c>
      <c r="G166" s="92" t="str">
        <f t="shared" si="41"/>
        <v>"),TimeMatch=TimeSpan.Parse("</v>
      </c>
      <c r="H166" s="93">
        <f>Match!D167</f>
        <v>0</v>
      </c>
      <c r="I166" s="94" t="str">
        <f t="shared" si="42"/>
        <v>"),MatchYear=</v>
      </c>
      <c r="J166">
        <f>Match!E167</f>
        <v>0</v>
      </c>
      <c r="K166" s="94" t="str">
        <f t="shared" si="43"/>
        <v>, SeasonId= "</v>
      </c>
      <c r="L166">
        <f>Match!F167</f>
        <v>0</v>
      </c>
      <c r="M166" s="94" t="str">
        <f t="shared" si="44"/>
        <v>",Round= "</v>
      </c>
      <c r="N166">
        <f>Match!G167</f>
        <v>0</v>
      </c>
      <c r="O166" t="str">
        <f t="shared" si="45"/>
        <v>",Stage= "</v>
      </c>
      <c r="P166">
        <f>Match!H167</f>
        <v>0</v>
      </c>
      <c r="Q166" t="str">
        <f t="shared" si="46"/>
        <v>",SubStage= "</v>
      </c>
      <c r="R166">
        <f>Match!I167</f>
        <v>0</v>
      </c>
      <c r="S166" t="str">
        <f t="shared" si="47"/>
        <v>",HTeam= "</v>
      </c>
      <c r="T166">
        <f>Match!J167</f>
        <v>0</v>
      </c>
      <c r="U166" t="str">
        <f t="shared" si="48"/>
        <v>",HGoal=</v>
      </c>
      <c r="V166">
        <f>Match!K167</f>
        <v>0</v>
      </c>
      <c r="W166" t="str">
        <f t="shared" si="49"/>
        <v>,GGoal=</v>
      </c>
      <c r="X166">
        <f>Match!L167</f>
        <v>0</v>
      </c>
      <c r="Y166" t="str">
        <f t="shared" si="50"/>
        <v>,GTeam= "</v>
      </c>
      <c r="Z166">
        <f>Match!M167</f>
        <v>0</v>
      </c>
      <c r="AA166" t="str">
        <f t="shared" si="51"/>
        <v>",WinNote="</v>
      </c>
      <c r="AB166" t="str">
        <f>IF(Match!N167="","",Match!N167)</f>
        <v/>
      </c>
      <c r="AC166" t="str">
        <f t="shared" si="52"/>
        <v xml:space="preserve">",Stadium=" </v>
      </c>
      <c r="AD166" s="95">
        <f>Match!O167</f>
        <v>0</v>
      </c>
      <c r="AE166" t="str">
        <f t="shared" si="53"/>
        <v>",Referee= "</v>
      </c>
      <c r="AF166" s="95" t="str">
        <f>IF(Match!P167="","",Match!P167)</f>
        <v/>
      </c>
      <c r="AG166" t="str">
        <f t="shared" si="54"/>
        <v xml:space="preserve">",Visistors= </v>
      </c>
      <c r="AH166" s="95">
        <f>IF(Match!Q167="",0,Match!Q167)</f>
        <v>0</v>
      </c>
      <c r="AI166" t="str">
        <f t="shared" si="55"/>
        <v>,Status= "</v>
      </c>
      <c r="AJ166" s="95">
        <f>Match!R167</f>
        <v>0</v>
      </c>
      <c r="AK166" t="str">
        <f t="shared" si="56"/>
        <v>" },</v>
      </c>
    </row>
    <row r="167" spans="1:37" x14ac:dyDescent="0.25">
      <c r="A167" s="94" t="str">
        <f t="shared" si="38"/>
        <v>new Match { MatchId= "</v>
      </c>
      <c r="B167">
        <f>Match!A168</f>
        <v>0</v>
      </c>
      <c r="C167" s="94" t="str">
        <f t="shared" si="39"/>
        <v>",MatchNumber=</v>
      </c>
      <c r="D167">
        <f>Match!B168</f>
        <v>0</v>
      </c>
      <c r="E167" s="94" t="str">
        <f t="shared" si="40"/>
        <v>,DateMatch=DateTime.Parse("</v>
      </c>
      <c r="F167" s="85">
        <f>Match!C168</f>
        <v>0</v>
      </c>
      <c r="G167" s="92" t="str">
        <f t="shared" si="41"/>
        <v>"),TimeMatch=TimeSpan.Parse("</v>
      </c>
      <c r="H167" s="93">
        <f>Match!D168</f>
        <v>0</v>
      </c>
      <c r="I167" s="94" t="str">
        <f t="shared" si="42"/>
        <v>"),MatchYear=</v>
      </c>
      <c r="J167">
        <f>Match!E168</f>
        <v>0</v>
      </c>
      <c r="K167" s="94" t="str">
        <f t="shared" si="43"/>
        <v>, SeasonId= "</v>
      </c>
      <c r="L167">
        <f>Match!F168</f>
        <v>0</v>
      </c>
      <c r="M167" s="94" t="str">
        <f t="shared" si="44"/>
        <v>",Round= "</v>
      </c>
      <c r="N167">
        <f>Match!G168</f>
        <v>0</v>
      </c>
      <c r="O167" t="str">
        <f t="shared" si="45"/>
        <v>",Stage= "</v>
      </c>
      <c r="P167">
        <f>Match!H168</f>
        <v>0</v>
      </c>
      <c r="Q167" t="str">
        <f t="shared" si="46"/>
        <v>",SubStage= "</v>
      </c>
      <c r="R167">
        <f>Match!I168</f>
        <v>0</v>
      </c>
      <c r="S167" t="str">
        <f t="shared" si="47"/>
        <v>",HTeam= "</v>
      </c>
      <c r="T167">
        <f>Match!J168</f>
        <v>0</v>
      </c>
      <c r="U167" t="str">
        <f t="shared" si="48"/>
        <v>",HGoal=</v>
      </c>
      <c r="V167">
        <f>Match!K168</f>
        <v>0</v>
      </c>
      <c r="W167" t="str">
        <f t="shared" si="49"/>
        <v>,GGoal=</v>
      </c>
      <c r="X167">
        <f>Match!L168</f>
        <v>0</v>
      </c>
      <c r="Y167" t="str">
        <f t="shared" si="50"/>
        <v>,GTeam= "</v>
      </c>
      <c r="Z167">
        <f>Match!M168</f>
        <v>0</v>
      </c>
      <c r="AA167" t="str">
        <f t="shared" si="51"/>
        <v>",WinNote="</v>
      </c>
      <c r="AB167" t="str">
        <f>IF(Match!N168="","",Match!N168)</f>
        <v/>
      </c>
      <c r="AC167" t="str">
        <f t="shared" si="52"/>
        <v xml:space="preserve">",Stadium=" </v>
      </c>
      <c r="AD167" s="95">
        <f>Match!O168</f>
        <v>0</v>
      </c>
      <c r="AE167" t="str">
        <f t="shared" si="53"/>
        <v>",Referee= "</v>
      </c>
      <c r="AF167" s="95" t="str">
        <f>IF(Match!P168="","",Match!P168)</f>
        <v/>
      </c>
      <c r="AG167" t="str">
        <f t="shared" si="54"/>
        <v xml:space="preserve">",Visistors= </v>
      </c>
      <c r="AH167" s="95">
        <f>IF(Match!Q168="",0,Match!Q168)</f>
        <v>0</v>
      </c>
      <c r="AI167" t="str">
        <f t="shared" si="55"/>
        <v>,Status= "</v>
      </c>
      <c r="AJ167" s="95">
        <f>Match!R168</f>
        <v>0</v>
      </c>
      <c r="AK167" t="str">
        <f t="shared" si="56"/>
        <v>" },</v>
      </c>
    </row>
    <row r="168" spans="1:37" x14ac:dyDescent="0.25">
      <c r="A168" s="94" t="str">
        <f t="shared" si="38"/>
        <v>new Match { MatchId= "</v>
      </c>
      <c r="B168">
        <f>Match!A169</f>
        <v>0</v>
      </c>
      <c r="C168" s="94" t="str">
        <f t="shared" si="39"/>
        <v>",MatchNumber=</v>
      </c>
      <c r="D168">
        <f>Match!B169</f>
        <v>0</v>
      </c>
      <c r="E168" s="94" t="str">
        <f t="shared" si="40"/>
        <v>,DateMatch=DateTime.Parse("</v>
      </c>
      <c r="F168" s="85">
        <f>Match!C169</f>
        <v>0</v>
      </c>
      <c r="G168" s="92" t="str">
        <f t="shared" si="41"/>
        <v>"),TimeMatch=TimeSpan.Parse("</v>
      </c>
      <c r="H168" s="93">
        <f>Match!D169</f>
        <v>0</v>
      </c>
      <c r="I168" s="94" t="str">
        <f t="shared" si="42"/>
        <v>"),MatchYear=</v>
      </c>
      <c r="J168">
        <f>Match!E169</f>
        <v>0</v>
      </c>
      <c r="K168" s="94" t="str">
        <f t="shared" si="43"/>
        <v>, SeasonId= "</v>
      </c>
      <c r="L168">
        <f>Match!F169</f>
        <v>0</v>
      </c>
      <c r="M168" s="94" t="str">
        <f t="shared" si="44"/>
        <v>",Round= "</v>
      </c>
      <c r="N168">
        <f>Match!G169</f>
        <v>0</v>
      </c>
      <c r="O168" t="str">
        <f t="shared" si="45"/>
        <v>",Stage= "</v>
      </c>
      <c r="P168">
        <f>Match!H169</f>
        <v>0</v>
      </c>
      <c r="Q168" t="str">
        <f t="shared" si="46"/>
        <v>",SubStage= "</v>
      </c>
      <c r="R168">
        <f>Match!I169</f>
        <v>0</v>
      </c>
      <c r="S168" t="str">
        <f t="shared" si="47"/>
        <v>",HTeam= "</v>
      </c>
      <c r="T168">
        <f>Match!J169</f>
        <v>0</v>
      </c>
      <c r="U168" t="str">
        <f t="shared" si="48"/>
        <v>",HGoal=</v>
      </c>
      <c r="V168">
        <f>Match!K169</f>
        <v>0</v>
      </c>
      <c r="W168" t="str">
        <f t="shared" si="49"/>
        <v>,GGoal=</v>
      </c>
      <c r="X168">
        <f>Match!L169</f>
        <v>0</v>
      </c>
      <c r="Y168" t="str">
        <f t="shared" si="50"/>
        <v>,GTeam= "</v>
      </c>
      <c r="Z168">
        <f>Match!M169</f>
        <v>0</v>
      </c>
      <c r="AA168" t="str">
        <f t="shared" si="51"/>
        <v>",WinNote="</v>
      </c>
      <c r="AB168" t="str">
        <f>IF(Match!N169="","",Match!N169)</f>
        <v/>
      </c>
      <c r="AC168" t="str">
        <f t="shared" si="52"/>
        <v xml:space="preserve">",Stadium=" </v>
      </c>
      <c r="AD168" s="95">
        <f>Match!O169</f>
        <v>0</v>
      </c>
      <c r="AE168" t="str">
        <f t="shared" si="53"/>
        <v>",Referee= "</v>
      </c>
      <c r="AF168" s="95" t="str">
        <f>IF(Match!P169="","",Match!P169)</f>
        <v/>
      </c>
      <c r="AG168" t="str">
        <f t="shared" si="54"/>
        <v xml:space="preserve">",Visistors= </v>
      </c>
      <c r="AH168" s="95">
        <f>IF(Match!Q169="",0,Match!Q169)</f>
        <v>0</v>
      </c>
      <c r="AI168" t="str">
        <f t="shared" si="55"/>
        <v>,Status= "</v>
      </c>
      <c r="AJ168" s="95">
        <f>Match!R169</f>
        <v>0</v>
      </c>
      <c r="AK168" t="str">
        <f t="shared" si="56"/>
        <v>" },</v>
      </c>
    </row>
    <row r="169" spans="1:37" x14ac:dyDescent="0.25">
      <c r="A169" s="94" t="str">
        <f t="shared" si="38"/>
        <v>new Match { MatchId= "</v>
      </c>
      <c r="B169">
        <f>Match!A170</f>
        <v>0</v>
      </c>
      <c r="C169" s="94" t="str">
        <f t="shared" si="39"/>
        <v>",MatchNumber=</v>
      </c>
      <c r="D169">
        <f>Match!B170</f>
        <v>0</v>
      </c>
      <c r="E169" s="94" t="str">
        <f t="shared" si="40"/>
        <v>,DateMatch=DateTime.Parse("</v>
      </c>
      <c r="F169" s="85">
        <f>Match!C170</f>
        <v>0</v>
      </c>
      <c r="G169" s="92" t="str">
        <f t="shared" si="41"/>
        <v>"),TimeMatch=TimeSpan.Parse("</v>
      </c>
      <c r="H169" s="93">
        <f>Match!D170</f>
        <v>0</v>
      </c>
      <c r="I169" s="94" t="str">
        <f t="shared" si="42"/>
        <v>"),MatchYear=</v>
      </c>
      <c r="J169">
        <f>Match!E170</f>
        <v>0</v>
      </c>
      <c r="K169" s="94" t="str">
        <f t="shared" si="43"/>
        <v>, SeasonId= "</v>
      </c>
      <c r="L169">
        <f>Match!F170</f>
        <v>0</v>
      </c>
      <c r="M169" s="94" t="str">
        <f t="shared" si="44"/>
        <v>",Round= "</v>
      </c>
      <c r="N169">
        <f>Match!G170</f>
        <v>0</v>
      </c>
      <c r="O169" t="str">
        <f t="shared" si="45"/>
        <v>",Stage= "</v>
      </c>
      <c r="P169">
        <f>Match!H170</f>
        <v>0</v>
      </c>
      <c r="Q169" t="str">
        <f t="shared" si="46"/>
        <v>",SubStage= "</v>
      </c>
      <c r="R169">
        <f>Match!I170</f>
        <v>0</v>
      </c>
      <c r="S169" t="str">
        <f t="shared" si="47"/>
        <v>",HTeam= "</v>
      </c>
      <c r="T169">
        <f>Match!J170</f>
        <v>0</v>
      </c>
      <c r="U169" t="str">
        <f t="shared" si="48"/>
        <v>",HGoal=</v>
      </c>
      <c r="V169">
        <f>Match!K170</f>
        <v>0</v>
      </c>
      <c r="W169" t="str">
        <f t="shared" si="49"/>
        <v>,GGoal=</v>
      </c>
      <c r="X169">
        <f>Match!L170</f>
        <v>0</v>
      </c>
      <c r="Y169" t="str">
        <f t="shared" si="50"/>
        <v>,GTeam= "</v>
      </c>
      <c r="Z169">
        <f>Match!M170</f>
        <v>0</v>
      </c>
      <c r="AA169" t="str">
        <f t="shared" si="51"/>
        <v>",WinNote="</v>
      </c>
      <c r="AB169" t="str">
        <f>IF(Match!N170="","",Match!N170)</f>
        <v/>
      </c>
      <c r="AC169" t="str">
        <f t="shared" si="52"/>
        <v xml:space="preserve">",Stadium=" </v>
      </c>
      <c r="AD169" s="95">
        <f>Match!O170</f>
        <v>0</v>
      </c>
      <c r="AE169" t="str">
        <f t="shared" si="53"/>
        <v>",Referee= "</v>
      </c>
      <c r="AF169" s="95" t="str">
        <f>IF(Match!P170="","",Match!P170)</f>
        <v/>
      </c>
      <c r="AG169" t="str">
        <f t="shared" si="54"/>
        <v xml:space="preserve">",Visistors= </v>
      </c>
      <c r="AH169" s="95">
        <f>IF(Match!Q170="",0,Match!Q170)</f>
        <v>0</v>
      </c>
      <c r="AI169" t="str">
        <f t="shared" si="55"/>
        <v>,Status= "</v>
      </c>
      <c r="AJ169" s="95">
        <f>Match!R170</f>
        <v>0</v>
      </c>
      <c r="AK169" t="str">
        <f t="shared" si="56"/>
        <v>" },</v>
      </c>
    </row>
    <row r="170" spans="1:37" x14ac:dyDescent="0.25">
      <c r="A170" s="94" t="str">
        <f t="shared" si="38"/>
        <v>new Match { MatchId= "</v>
      </c>
      <c r="B170">
        <f>Match!A171</f>
        <v>0</v>
      </c>
      <c r="C170" s="94" t="str">
        <f t="shared" si="39"/>
        <v>",MatchNumber=</v>
      </c>
      <c r="D170">
        <f>Match!B171</f>
        <v>0</v>
      </c>
      <c r="E170" s="94" t="str">
        <f t="shared" si="40"/>
        <v>,DateMatch=DateTime.Parse("</v>
      </c>
      <c r="F170" s="85">
        <f>Match!C171</f>
        <v>0</v>
      </c>
      <c r="G170" s="92" t="str">
        <f t="shared" si="41"/>
        <v>"),TimeMatch=TimeSpan.Parse("</v>
      </c>
      <c r="H170" s="93">
        <f>Match!D171</f>
        <v>0</v>
      </c>
      <c r="I170" s="94" t="str">
        <f t="shared" si="42"/>
        <v>"),MatchYear=</v>
      </c>
      <c r="J170">
        <f>Match!E171</f>
        <v>0</v>
      </c>
      <c r="K170" s="94" t="str">
        <f t="shared" si="43"/>
        <v>, SeasonId= "</v>
      </c>
      <c r="L170">
        <f>Match!F171</f>
        <v>0</v>
      </c>
      <c r="M170" s="94" t="str">
        <f t="shared" si="44"/>
        <v>",Round= "</v>
      </c>
      <c r="N170">
        <f>Match!G171</f>
        <v>0</v>
      </c>
      <c r="O170" t="str">
        <f t="shared" si="45"/>
        <v>",Stage= "</v>
      </c>
      <c r="P170">
        <f>Match!H171</f>
        <v>0</v>
      </c>
      <c r="Q170" t="str">
        <f t="shared" si="46"/>
        <v>",SubStage= "</v>
      </c>
      <c r="R170">
        <f>Match!I171</f>
        <v>0</v>
      </c>
      <c r="S170" t="str">
        <f t="shared" si="47"/>
        <v>",HTeam= "</v>
      </c>
      <c r="T170">
        <f>Match!J171</f>
        <v>0</v>
      </c>
      <c r="U170" t="str">
        <f t="shared" si="48"/>
        <v>",HGoal=</v>
      </c>
      <c r="V170">
        <f>Match!K171</f>
        <v>0</v>
      </c>
      <c r="W170" t="str">
        <f t="shared" si="49"/>
        <v>,GGoal=</v>
      </c>
      <c r="X170">
        <f>Match!L171</f>
        <v>0</v>
      </c>
      <c r="Y170" t="str">
        <f t="shared" si="50"/>
        <v>,GTeam= "</v>
      </c>
      <c r="Z170">
        <f>Match!M171</f>
        <v>0</v>
      </c>
      <c r="AA170" t="str">
        <f t="shared" si="51"/>
        <v>",WinNote="</v>
      </c>
      <c r="AB170" t="str">
        <f>IF(Match!N171="","",Match!N171)</f>
        <v/>
      </c>
      <c r="AC170" t="str">
        <f t="shared" si="52"/>
        <v xml:space="preserve">",Stadium=" </v>
      </c>
      <c r="AD170" s="95">
        <f>Match!O171</f>
        <v>0</v>
      </c>
      <c r="AE170" t="str">
        <f t="shared" si="53"/>
        <v>",Referee= "</v>
      </c>
      <c r="AF170" s="95" t="str">
        <f>IF(Match!P171="","",Match!P171)</f>
        <v/>
      </c>
      <c r="AG170" t="str">
        <f t="shared" si="54"/>
        <v xml:space="preserve">",Visistors= </v>
      </c>
      <c r="AH170" s="95">
        <f>IF(Match!Q171="",0,Match!Q171)</f>
        <v>0</v>
      </c>
      <c r="AI170" t="str">
        <f t="shared" si="55"/>
        <v>,Status= "</v>
      </c>
      <c r="AJ170" s="95">
        <f>Match!R171</f>
        <v>0</v>
      </c>
      <c r="AK170" t="str">
        <f t="shared" si="56"/>
        <v>" },</v>
      </c>
    </row>
    <row r="171" spans="1:37" x14ac:dyDescent="0.25">
      <c r="A171" s="94" t="str">
        <f t="shared" si="38"/>
        <v>new Match { MatchId= "</v>
      </c>
      <c r="B171">
        <f>Match!A172</f>
        <v>0</v>
      </c>
      <c r="C171" s="94" t="str">
        <f t="shared" si="39"/>
        <v>",MatchNumber=</v>
      </c>
      <c r="D171">
        <f>Match!B172</f>
        <v>0</v>
      </c>
      <c r="E171" s="94" t="str">
        <f t="shared" si="40"/>
        <v>,DateMatch=DateTime.Parse("</v>
      </c>
      <c r="F171" s="85">
        <f>Match!C172</f>
        <v>0</v>
      </c>
      <c r="G171" s="92" t="str">
        <f t="shared" si="41"/>
        <v>"),TimeMatch=TimeSpan.Parse("</v>
      </c>
      <c r="H171" s="93">
        <f>Match!D172</f>
        <v>0</v>
      </c>
      <c r="I171" s="94" t="str">
        <f t="shared" si="42"/>
        <v>"),MatchYear=</v>
      </c>
      <c r="J171">
        <f>Match!E172</f>
        <v>0</v>
      </c>
      <c r="K171" s="94" t="str">
        <f t="shared" si="43"/>
        <v>, SeasonId= "</v>
      </c>
      <c r="L171">
        <f>Match!F172</f>
        <v>0</v>
      </c>
      <c r="M171" s="94" t="str">
        <f t="shared" si="44"/>
        <v>",Round= "</v>
      </c>
      <c r="N171">
        <f>Match!G172</f>
        <v>0</v>
      </c>
      <c r="O171" t="str">
        <f t="shared" si="45"/>
        <v>",Stage= "</v>
      </c>
      <c r="P171">
        <f>Match!H172</f>
        <v>0</v>
      </c>
      <c r="Q171" t="str">
        <f t="shared" si="46"/>
        <v>",SubStage= "</v>
      </c>
      <c r="R171">
        <f>Match!I172</f>
        <v>0</v>
      </c>
      <c r="S171" t="str">
        <f t="shared" si="47"/>
        <v>",HTeam= "</v>
      </c>
      <c r="T171">
        <f>Match!J172</f>
        <v>0</v>
      </c>
      <c r="U171" t="str">
        <f t="shared" si="48"/>
        <v>",HGoal=</v>
      </c>
      <c r="V171">
        <f>Match!K172</f>
        <v>0</v>
      </c>
      <c r="W171" t="str">
        <f t="shared" si="49"/>
        <v>,GGoal=</v>
      </c>
      <c r="X171">
        <f>Match!L172</f>
        <v>0</v>
      </c>
      <c r="Y171" t="str">
        <f t="shared" si="50"/>
        <v>,GTeam= "</v>
      </c>
      <c r="Z171">
        <f>Match!M172</f>
        <v>0</v>
      </c>
      <c r="AA171" t="str">
        <f t="shared" si="51"/>
        <v>",WinNote="</v>
      </c>
      <c r="AB171" t="str">
        <f>IF(Match!N172="","",Match!N172)</f>
        <v/>
      </c>
      <c r="AC171" t="str">
        <f t="shared" si="52"/>
        <v xml:space="preserve">",Stadium=" </v>
      </c>
      <c r="AD171" s="95">
        <f>Match!O172</f>
        <v>0</v>
      </c>
      <c r="AE171" t="str">
        <f t="shared" si="53"/>
        <v>",Referee= "</v>
      </c>
      <c r="AF171" s="95" t="str">
        <f>IF(Match!P172="","",Match!P172)</f>
        <v/>
      </c>
      <c r="AG171" t="str">
        <f t="shared" si="54"/>
        <v xml:space="preserve">",Visistors= </v>
      </c>
      <c r="AH171" s="95">
        <f>IF(Match!Q172="",0,Match!Q172)</f>
        <v>0</v>
      </c>
      <c r="AI171" t="str">
        <f t="shared" si="55"/>
        <v>,Status= "</v>
      </c>
      <c r="AJ171" s="95">
        <f>Match!R172</f>
        <v>0</v>
      </c>
      <c r="AK171" t="str">
        <f t="shared" si="56"/>
        <v>" },</v>
      </c>
    </row>
    <row r="172" spans="1:37" x14ac:dyDescent="0.25">
      <c r="A172" s="94" t="str">
        <f t="shared" si="38"/>
        <v>new Match { MatchId= "</v>
      </c>
      <c r="B172">
        <f>Match!A173</f>
        <v>0</v>
      </c>
      <c r="C172" s="94" t="str">
        <f t="shared" si="39"/>
        <v>",MatchNumber=</v>
      </c>
      <c r="D172">
        <f>Match!B173</f>
        <v>0</v>
      </c>
      <c r="E172" s="94" t="str">
        <f t="shared" si="40"/>
        <v>,DateMatch=DateTime.Parse("</v>
      </c>
      <c r="F172" s="85">
        <f>Match!C173</f>
        <v>0</v>
      </c>
      <c r="G172" s="92" t="str">
        <f t="shared" si="41"/>
        <v>"),TimeMatch=TimeSpan.Parse("</v>
      </c>
      <c r="H172" s="93">
        <f>Match!D173</f>
        <v>0</v>
      </c>
      <c r="I172" s="94" t="str">
        <f t="shared" si="42"/>
        <v>"),MatchYear=</v>
      </c>
      <c r="J172">
        <f>Match!E173</f>
        <v>0</v>
      </c>
      <c r="K172" s="94" t="str">
        <f t="shared" si="43"/>
        <v>, SeasonId= "</v>
      </c>
      <c r="L172">
        <f>Match!F173</f>
        <v>0</v>
      </c>
      <c r="M172" s="94" t="str">
        <f t="shared" si="44"/>
        <v>",Round= "</v>
      </c>
      <c r="N172">
        <f>Match!G173</f>
        <v>0</v>
      </c>
      <c r="O172" t="str">
        <f t="shared" si="45"/>
        <v>",Stage= "</v>
      </c>
      <c r="P172">
        <f>Match!H173</f>
        <v>0</v>
      </c>
      <c r="Q172" t="str">
        <f t="shared" si="46"/>
        <v>",SubStage= "</v>
      </c>
      <c r="R172">
        <f>Match!I173</f>
        <v>0</v>
      </c>
      <c r="S172" t="str">
        <f t="shared" si="47"/>
        <v>",HTeam= "</v>
      </c>
      <c r="T172">
        <f>Match!J173</f>
        <v>0</v>
      </c>
      <c r="U172" t="str">
        <f t="shared" si="48"/>
        <v>",HGoal=</v>
      </c>
      <c r="V172">
        <f>Match!K173</f>
        <v>0</v>
      </c>
      <c r="W172" t="str">
        <f t="shared" si="49"/>
        <v>,GGoal=</v>
      </c>
      <c r="X172">
        <f>Match!L173</f>
        <v>0</v>
      </c>
      <c r="Y172" t="str">
        <f t="shared" si="50"/>
        <v>,GTeam= "</v>
      </c>
      <c r="Z172">
        <f>Match!M173</f>
        <v>0</v>
      </c>
      <c r="AA172" t="str">
        <f t="shared" si="51"/>
        <v>",WinNote="</v>
      </c>
      <c r="AB172" t="str">
        <f>IF(Match!N173="","",Match!N173)</f>
        <v/>
      </c>
      <c r="AC172" t="str">
        <f t="shared" si="52"/>
        <v xml:space="preserve">",Stadium=" </v>
      </c>
      <c r="AD172" s="95">
        <f>Match!O173</f>
        <v>0</v>
      </c>
      <c r="AE172" t="str">
        <f t="shared" si="53"/>
        <v>",Referee= "</v>
      </c>
      <c r="AF172" s="95" t="str">
        <f>IF(Match!P173="","",Match!P173)</f>
        <v/>
      </c>
      <c r="AG172" t="str">
        <f t="shared" si="54"/>
        <v xml:space="preserve">",Visistors= </v>
      </c>
      <c r="AH172" s="95">
        <f>IF(Match!Q173="",0,Match!Q173)</f>
        <v>0</v>
      </c>
      <c r="AI172" t="str">
        <f t="shared" si="55"/>
        <v>,Status= "</v>
      </c>
      <c r="AJ172" s="95">
        <f>Match!R173</f>
        <v>0</v>
      </c>
      <c r="AK172" t="str">
        <f t="shared" si="56"/>
        <v>" },</v>
      </c>
    </row>
    <row r="173" spans="1:37" x14ac:dyDescent="0.25">
      <c r="A173" s="94" t="str">
        <f t="shared" si="38"/>
        <v>new Match { MatchId= "</v>
      </c>
      <c r="B173">
        <f>Match!A174</f>
        <v>0</v>
      </c>
      <c r="C173" s="94" t="str">
        <f t="shared" si="39"/>
        <v>",MatchNumber=</v>
      </c>
      <c r="D173">
        <f>Match!B174</f>
        <v>0</v>
      </c>
      <c r="E173" s="94" t="str">
        <f t="shared" si="40"/>
        <v>,DateMatch=DateTime.Parse("</v>
      </c>
      <c r="F173" s="85">
        <f>Match!C174</f>
        <v>0</v>
      </c>
      <c r="G173" s="92" t="str">
        <f t="shared" si="41"/>
        <v>"),TimeMatch=TimeSpan.Parse("</v>
      </c>
      <c r="H173" s="93">
        <f>Match!D174</f>
        <v>0</v>
      </c>
      <c r="I173" s="94" t="str">
        <f t="shared" si="42"/>
        <v>"),MatchYear=</v>
      </c>
      <c r="J173">
        <f>Match!E174</f>
        <v>0</v>
      </c>
      <c r="K173" s="94" t="str">
        <f t="shared" si="43"/>
        <v>, SeasonId= "</v>
      </c>
      <c r="L173">
        <f>Match!F174</f>
        <v>0</v>
      </c>
      <c r="M173" s="94" t="str">
        <f t="shared" si="44"/>
        <v>",Round= "</v>
      </c>
      <c r="N173">
        <f>Match!G174</f>
        <v>0</v>
      </c>
      <c r="O173" t="str">
        <f t="shared" si="45"/>
        <v>",Stage= "</v>
      </c>
      <c r="P173">
        <f>Match!H174</f>
        <v>0</v>
      </c>
      <c r="Q173" t="str">
        <f t="shared" si="46"/>
        <v>",SubStage= "</v>
      </c>
      <c r="R173">
        <f>Match!I174</f>
        <v>0</v>
      </c>
      <c r="S173" t="str">
        <f t="shared" si="47"/>
        <v>",HTeam= "</v>
      </c>
      <c r="T173">
        <f>Match!J174</f>
        <v>0</v>
      </c>
      <c r="U173" t="str">
        <f t="shared" si="48"/>
        <v>",HGoal=</v>
      </c>
      <c r="V173">
        <f>Match!K174</f>
        <v>0</v>
      </c>
      <c r="W173" t="str">
        <f t="shared" si="49"/>
        <v>,GGoal=</v>
      </c>
      <c r="X173">
        <f>Match!L174</f>
        <v>0</v>
      </c>
      <c r="Y173" t="str">
        <f t="shared" si="50"/>
        <v>,GTeam= "</v>
      </c>
      <c r="Z173">
        <f>Match!M174</f>
        <v>0</v>
      </c>
      <c r="AA173" t="str">
        <f t="shared" si="51"/>
        <v>",WinNote="</v>
      </c>
      <c r="AB173" t="str">
        <f>IF(Match!N174="","",Match!N174)</f>
        <v/>
      </c>
      <c r="AC173" t="str">
        <f t="shared" si="52"/>
        <v xml:space="preserve">",Stadium=" </v>
      </c>
      <c r="AD173" s="95">
        <f>Match!O174</f>
        <v>0</v>
      </c>
      <c r="AE173" t="str">
        <f t="shared" si="53"/>
        <v>",Referee= "</v>
      </c>
      <c r="AF173" s="95" t="str">
        <f>IF(Match!P174="","",Match!P174)</f>
        <v/>
      </c>
      <c r="AG173" t="str">
        <f t="shared" si="54"/>
        <v xml:space="preserve">",Visistors= </v>
      </c>
      <c r="AH173" s="95">
        <f>IF(Match!Q174="",0,Match!Q174)</f>
        <v>0</v>
      </c>
      <c r="AI173" t="str">
        <f t="shared" si="55"/>
        <v>,Status= "</v>
      </c>
      <c r="AJ173" s="95">
        <f>Match!R174</f>
        <v>0</v>
      </c>
      <c r="AK173" t="str">
        <f t="shared" si="56"/>
        <v>" },</v>
      </c>
    </row>
    <row r="174" spans="1:37" x14ac:dyDescent="0.25">
      <c r="A174" s="94" t="str">
        <f t="shared" si="38"/>
        <v>new Match { MatchId= "</v>
      </c>
      <c r="B174">
        <f>Match!A175</f>
        <v>0</v>
      </c>
      <c r="C174" s="94" t="str">
        <f t="shared" si="39"/>
        <v>",MatchNumber=</v>
      </c>
      <c r="D174">
        <f>Match!B175</f>
        <v>0</v>
      </c>
      <c r="E174" s="94" t="str">
        <f t="shared" si="40"/>
        <v>,DateMatch=DateTime.Parse("</v>
      </c>
      <c r="F174" s="85">
        <f>Match!C175</f>
        <v>0</v>
      </c>
      <c r="G174" s="92" t="str">
        <f t="shared" si="41"/>
        <v>"),TimeMatch=TimeSpan.Parse("</v>
      </c>
      <c r="H174" s="93">
        <f>Match!D175</f>
        <v>0</v>
      </c>
      <c r="I174" s="94" t="str">
        <f t="shared" si="42"/>
        <v>"),MatchYear=</v>
      </c>
      <c r="J174">
        <f>Match!E175</f>
        <v>0</v>
      </c>
      <c r="K174" s="94" t="str">
        <f t="shared" si="43"/>
        <v>, SeasonId= "</v>
      </c>
      <c r="L174">
        <f>Match!F175</f>
        <v>0</v>
      </c>
      <c r="M174" s="94" t="str">
        <f t="shared" si="44"/>
        <v>",Round= "</v>
      </c>
      <c r="N174">
        <f>Match!G175</f>
        <v>0</v>
      </c>
      <c r="O174" t="str">
        <f t="shared" si="45"/>
        <v>",Stage= "</v>
      </c>
      <c r="P174">
        <f>Match!H175</f>
        <v>0</v>
      </c>
      <c r="Q174" t="str">
        <f t="shared" si="46"/>
        <v>",SubStage= "</v>
      </c>
      <c r="R174">
        <f>Match!I175</f>
        <v>0</v>
      </c>
      <c r="S174" t="str">
        <f t="shared" si="47"/>
        <v>",HTeam= "</v>
      </c>
      <c r="T174">
        <f>Match!J175</f>
        <v>0</v>
      </c>
      <c r="U174" t="str">
        <f t="shared" si="48"/>
        <v>",HGoal=</v>
      </c>
      <c r="V174">
        <f>Match!K175</f>
        <v>0</v>
      </c>
      <c r="W174" t="str">
        <f t="shared" si="49"/>
        <v>,GGoal=</v>
      </c>
      <c r="X174">
        <f>Match!L175</f>
        <v>0</v>
      </c>
      <c r="Y174" t="str">
        <f t="shared" si="50"/>
        <v>,GTeam= "</v>
      </c>
      <c r="Z174">
        <f>Match!M175</f>
        <v>0</v>
      </c>
      <c r="AA174" t="str">
        <f t="shared" si="51"/>
        <v>",WinNote="</v>
      </c>
      <c r="AB174" t="str">
        <f>IF(Match!N175="","",Match!N175)</f>
        <v/>
      </c>
      <c r="AC174" t="str">
        <f t="shared" si="52"/>
        <v xml:space="preserve">",Stadium=" </v>
      </c>
      <c r="AD174" s="95">
        <f>Match!O175</f>
        <v>0</v>
      </c>
      <c r="AE174" t="str">
        <f t="shared" si="53"/>
        <v>",Referee= "</v>
      </c>
      <c r="AF174" s="95" t="str">
        <f>IF(Match!P175="","",Match!P175)</f>
        <v/>
      </c>
      <c r="AG174" t="str">
        <f t="shared" si="54"/>
        <v xml:space="preserve">",Visistors= </v>
      </c>
      <c r="AH174" s="95">
        <f>IF(Match!Q175="",0,Match!Q175)</f>
        <v>0</v>
      </c>
      <c r="AI174" t="str">
        <f t="shared" si="55"/>
        <v>,Status= "</v>
      </c>
      <c r="AJ174" s="95">
        <f>Match!R175</f>
        <v>0</v>
      </c>
      <c r="AK174" t="str">
        <f t="shared" si="56"/>
        <v>" },</v>
      </c>
    </row>
    <row r="175" spans="1:37" x14ac:dyDescent="0.25">
      <c r="A175" s="94" t="str">
        <f t="shared" si="38"/>
        <v>new Match { MatchId= "</v>
      </c>
      <c r="B175">
        <f>Match!A176</f>
        <v>0</v>
      </c>
      <c r="C175" s="94" t="str">
        <f t="shared" si="39"/>
        <v>",MatchNumber=</v>
      </c>
      <c r="D175">
        <f>Match!B176</f>
        <v>0</v>
      </c>
      <c r="E175" s="94" t="str">
        <f t="shared" si="40"/>
        <v>,DateMatch=DateTime.Parse("</v>
      </c>
      <c r="F175" s="85">
        <f>Match!C176</f>
        <v>0</v>
      </c>
      <c r="G175" s="92" t="str">
        <f t="shared" si="41"/>
        <v>"),TimeMatch=TimeSpan.Parse("</v>
      </c>
      <c r="H175" s="93">
        <f>Match!D176</f>
        <v>0</v>
      </c>
      <c r="I175" s="94" t="str">
        <f t="shared" si="42"/>
        <v>"),MatchYear=</v>
      </c>
      <c r="J175">
        <f>Match!E176</f>
        <v>0</v>
      </c>
      <c r="K175" s="94" t="str">
        <f t="shared" si="43"/>
        <v>, SeasonId= "</v>
      </c>
      <c r="L175">
        <f>Match!F176</f>
        <v>0</v>
      </c>
      <c r="M175" s="94" t="str">
        <f t="shared" si="44"/>
        <v>",Round= "</v>
      </c>
      <c r="N175">
        <f>Match!G176</f>
        <v>0</v>
      </c>
      <c r="O175" t="str">
        <f t="shared" si="45"/>
        <v>",Stage= "</v>
      </c>
      <c r="P175">
        <f>Match!H176</f>
        <v>0</v>
      </c>
      <c r="Q175" t="str">
        <f t="shared" si="46"/>
        <v>",SubStage= "</v>
      </c>
      <c r="R175">
        <f>Match!I176</f>
        <v>0</v>
      </c>
      <c r="S175" t="str">
        <f t="shared" si="47"/>
        <v>",HTeam= "</v>
      </c>
      <c r="T175">
        <f>Match!J176</f>
        <v>0</v>
      </c>
      <c r="U175" t="str">
        <f t="shared" si="48"/>
        <v>",HGoal=</v>
      </c>
      <c r="V175">
        <f>Match!K176</f>
        <v>0</v>
      </c>
      <c r="W175" t="str">
        <f t="shared" si="49"/>
        <v>,GGoal=</v>
      </c>
      <c r="X175">
        <f>Match!L176</f>
        <v>0</v>
      </c>
      <c r="Y175" t="str">
        <f t="shared" si="50"/>
        <v>,GTeam= "</v>
      </c>
      <c r="Z175">
        <f>Match!M176</f>
        <v>0</v>
      </c>
      <c r="AA175" t="str">
        <f t="shared" si="51"/>
        <v>",WinNote="</v>
      </c>
      <c r="AB175" t="str">
        <f>IF(Match!N176="","",Match!N176)</f>
        <v/>
      </c>
      <c r="AC175" t="str">
        <f t="shared" si="52"/>
        <v xml:space="preserve">",Stadium=" </v>
      </c>
      <c r="AD175" s="95">
        <f>Match!O176</f>
        <v>0</v>
      </c>
      <c r="AE175" t="str">
        <f t="shared" si="53"/>
        <v>",Referee= "</v>
      </c>
      <c r="AF175" s="95" t="str">
        <f>IF(Match!P176="","",Match!P176)</f>
        <v/>
      </c>
      <c r="AG175" t="str">
        <f t="shared" si="54"/>
        <v xml:space="preserve">",Visistors= </v>
      </c>
      <c r="AH175" s="95">
        <f>IF(Match!Q176="",0,Match!Q176)</f>
        <v>0</v>
      </c>
      <c r="AI175" t="str">
        <f t="shared" si="55"/>
        <v>,Status= "</v>
      </c>
      <c r="AJ175" s="95">
        <f>Match!R176</f>
        <v>0</v>
      </c>
      <c r="AK175" t="str">
        <f t="shared" si="56"/>
        <v>" },</v>
      </c>
    </row>
    <row r="176" spans="1:37" x14ac:dyDescent="0.25">
      <c r="A176" s="94" t="str">
        <f t="shared" si="38"/>
        <v>new Match { MatchId= "</v>
      </c>
      <c r="B176">
        <f>Match!A177</f>
        <v>0</v>
      </c>
      <c r="C176" s="94" t="str">
        <f t="shared" si="39"/>
        <v>",MatchNumber=</v>
      </c>
      <c r="D176">
        <f>Match!B177</f>
        <v>0</v>
      </c>
      <c r="E176" s="94" t="str">
        <f t="shared" si="40"/>
        <v>,DateMatch=DateTime.Parse("</v>
      </c>
      <c r="F176" s="85">
        <f>Match!C177</f>
        <v>0</v>
      </c>
      <c r="G176" s="92" t="str">
        <f t="shared" si="41"/>
        <v>"),TimeMatch=TimeSpan.Parse("</v>
      </c>
      <c r="H176" s="93">
        <f>Match!D177</f>
        <v>0</v>
      </c>
      <c r="I176" s="94" t="str">
        <f t="shared" si="42"/>
        <v>"),MatchYear=</v>
      </c>
      <c r="J176">
        <f>Match!E177</f>
        <v>0</v>
      </c>
      <c r="K176" s="94" t="str">
        <f t="shared" si="43"/>
        <v>, SeasonId= "</v>
      </c>
      <c r="L176">
        <f>Match!F177</f>
        <v>0</v>
      </c>
      <c r="M176" s="94" t="str">
        <f t="shared" si="44"/>
        <v>",Round= "</v>
      </c>
      <c r="N176">
        <f>Match!G177</f>
        <v>0</v>
      </c>
      <c r="O176" t="str">
        <f t="shared" si="45"/>
        <v>",Stage= "</v>
      </c>
      <c r="P176">
        <f>Match!H177</f>
        <v>0</v>
      </c>
      <c r="Q176" t="str">
        <f t="shared" si="46"/>
        <v>",SubStage= "</v>
      </c>
      <c r="R176">
        <f>Match!I177</f>
        <v>0</v>
      </c>
      <c r="S176" t="str">
        <f t="shared" si="47"/>
        <v>",HTeam= "</v>
      </c>
      <c r="T176">
        <f>Match!J177</f>
        <v>0</v>
      </c>
      <c r="U176" t="str">
        <f t="shared" si="48"/>
        <v>",HGoal=</v>
      </c>
      <c r="V176">
        <f>Match!K177</f>
        <v>0</v>
      </c>
      <c r="W176" t="str">
        <f t="shared" si="49"/>
        <v>,GGoal=</v>
      </c>
      <c r="X176">
        <f>Match!L177</f>
        <v>0</v>
      </c>
      <c r="Y176" t="str">
        <f t="shared" si="50"/>
        <v>,GTeam= "</v>
      </c>
      <c r="Z176">
        <f>Match!M177</f>
        <v>0</v>
      </c>
      <c r="AA176" t="str">
        <f t="shared" si="51"/>
        <v>",WinNote="</v>
      </c>
      <c r="AB176" t="str">
        <f>IF(Match!N177="","",Match!N177)</f>
        <v/>
      </c>
      <c r="AC176" t="str">
        <f t="shared" si="52"/>
        <v xml:space="preserve">",Stadium=" </v>
      </c>
      <c r="AD176" s="95">
        <f>Match!O177</f>
        <v>0</v>
      </c>
      <c r="AE176" t="str">
        <f t="shared" si="53"/>
        <v>",Referee= "</v>
      </c>
      <c r="AF176" s="95" t="str">
        <f>IF(Match!P177="","",Match!P177)</f>
        <v/>
      </c>
      <c r="AG176" t="str">
        <f t="shared" si="54"/>
        <v xml:space="preserve">",Visistors= </v>
      </c>
      <c r="AH176" s="95">
        <f>IF(Match!Q177="",0,Match!Q177)</f>
        <v>0</v>
      </c>
      <c r="AI176" t="str">
        <f t="shared" si="55"/>
        <v>,Status= "</v>
      </c>
      <c r="AJ176" s="95">
        <f>Match!R177</f>
        <v>0</v>
      </c>
      <c r="AK176" t="str">
        <f t="shared" si="56"/>
        <v>" },</v>
      </c>
    </row>
    <row r="177" spans="1:37" x14ac:dyDescent="0.25">
      <c r="A177" s="94" t="str">
        <f t="shared" si="38"/>
        <v>new Match { MatchId= "</v>
      </c>
      <c r="B177">
        <f>Match!A178</f>
        <v>0</v>
      </c>
      <c r="C177" s="94" t="str">
        <f t="shared" si="39"/>
        <v>",MatchNumber=</v>
      </c>
      <c r="D177">
        <f>Match!B178</f>
        <v>0</v>
      </c>
      <c r="E177" s="94" t="str">
        <f t="shared" si="40"/>
        <v>,DateMatch=DateTime.Parse("</v>
      </c>
      <c r="F177" s="85">
        <f>Match!C178</f>
        <v>0</v>
      </c>
      <c r="G177" s="92" t="str">
        <f t="shared" si="41"/>
        <v>"),TimeMatch=TimeSpan.Parse("</v>
      </c>
      <c r="H177" s="93">
        <f>Match!D178</f>
        <v>0</v>
      </c>
      <c r="I177" s="94" t="str">
        <f t="shared" si="42"/>
        <v>"),MatchYear=</v>
      </c>
      <c r="J177">
        <f>Match!E178</f>
        <v>0</v>
      </c>
      <c r="K177" s="94" t="str">
        <f t="shared" si="43"/>
        <v>, SeasonId= "</v>
      </c>
      <c r="L177">
        <f>Match!F178</f>
        <v>0</v>
      </c>
      <c r="M177" s="94" t="str">
        <f t="shared" si="44"/>
        <v>",Round= "</v>
      </c>
      <c r="N177">
        <f>Match!G178</f>
        <v>0</v>
      </c>
      <c r="O177" t="str">
        <f t="shared" si="45"/>
        <v>",Stage= "</v>
      </c>
      <c r="P177">
        <f>Match!H178</f>
        <v>0</v>
      </c>
      <c r="Q177" t="str">
        <f t="shared" si="46"/>
        <v>",SubStage= "</v>
      </c>
      <c r="R177">
        <f>Match!I178</f>
        <v>0</v>
      </c>
      <c r="S177" t="str">
        <f t="shared" si="47"/>
        <v>",HTeam= "</v>
      </c>
      <c r="T177">
        <f>Match!J178</f>
        <v>0</v>
      </c>
      <c r="U177" t="str">
        <f t="shared" si="48"/>
        <v>",HGoal=</v>
      </c>
      <c r="V177">
        <f>Match!K178</f>
        <v>0</v>
      </c>
      <c r="W177" t="str">
        <f t="shared" si="49"/>
        <v>,GGoal=</v>
      </c>
      <c r="X177">
        <f>Match!L178</f>
        <v>0</v>
      </c>
      <c r="Y177" t="str">
        <f t="shared" si="50"/>
        <v>,GTeam= "</v>
      </c>
      <c r="Z177">
        <f>Match!M178</f>
        <v>0</v>
      </c>
      <c r="AA177" t="str">
        <f t="shared" si="51"/>
        <v>",WinNote="</v>
      </c>
      <c r="AB177" t="str">
        <f>IF(Match!N178="","",Match!N178)</f>
        <v/>
      </c>
      <c r="AC177" t="str">
        <f t="shared" si="52"/>
        <v xml:space="preserve">",Stadium=" </v>
      </c>
      <c r="AD177" s="95">
        <f>Match!O178</f>
        <v>0</v>
      </c>
      <c r="AE177" t="str">
        <f t="shared" si="53"/>
        <v>",Referee= "</v>
      </c>
      <c r="AF177" s="95" t="str">
        <f>IF(Match!P178="","",Match!P178)</f>
        <v/>
      </c>
      <c r="AG177" t="str">
        <f t="shared" si="54"/>
        <v xml:space="preserve">",Visistors= </v>
      </c>
      <c r="AH177" s="95">
        <f>IF(Match!Q178="",0,Match!Q178)</f>
        <v>0</v>
      </c>
      <c r="AI177" t="str">
        <f t="shared" si="55"/>
        <v>,Status= "</v>
      </c>
      <c r="AJ177" s="95">
        <f>Match!R178</f>
        <v>0</v>
      </c>
      <c r="AK177" t="str">
        <f t="shared" si="56"/>
        <v>" },</v>
      </c>
    </row>
    <row r="178" spans="1:37" x14ac:dyDescent="0.25">
      <c r="A178" s="94" t="str">
        <f t="shared" si="38"/>
        <v>new Match { MatchId= "</v>
      </c>
      <c r="B178">
        <f>Match!A179</f>
        <v>0</v>
      </c>
      <c r="C178" s="94" t="str">
        <f t="shared" si="39"/>
        <v>",MatchNumber=</v>
      </c>
      <c r="D178">
        <f>Match!B179</f>
        <v>0</v>
      </c>
      <c r="E178" s="94" t="str">
        <f t="shared" si="40"/>
        <v>,DateMatch=DateTime.Parse("</v>
      </c>
      <c r="F178" s="85">
        <f>Match!C179</f>
        <v>0</v>
      </c>
      <c r="G178" s="92" t="str">
        <f t="shared" si="41"/>
        <v>"),TimeMatch=TimeSpan.Parse("</v>
      </c>
      <c r="H178" s="93">
        <f>Match!D179</f>
        <v>0</v>
      </c>
      <c r="I178" s="94" t="str">
        <f t="shared" si="42"/>
        <v>"),MatchYear=</v>
      </c>
      <c r="J178">
        <f>Match!E179</f>
        <v>0</v>
      </c>
      <c r="K178" s="94" t="str">
        <f t="shared" si="43"/>
        <v>, SeasonId= "</v>
      </c>
      <c r="L178">
        <f>Match!F179</f>
        <v>0</v>
      </c>
      <c r="M178" s="94" t="str">
        <f t="shared" si="44"/>
        <v>",Round= "</v>
      </c>
      <c r="N178">
        <f>Match!G179</f>
        <v>0</v>
      </c>
      <c r="O178" t="str">
        <f t="shared" si="45"/>
        <v>",Stage= "</v>
      </c>
      <c r="P178">
        <f>Match!H179</f>
        <v>0</v>
      </c>
      <c r="Q178" t="str">
        <f t="shared" si="46"/>
        <v>",SubStage= "</v>
      </c>
      <c r="R178">
        <f>Match!I179</f>
        <v>0</v>
      </c>
      <c r="S178" t="str">
        <f t="shared" si="47"/>
        <v>",HTeam= "</v>
      </c>
      <c r="T178">
        <f>Match!J179</f>
        <v>0</v>
      </c>
      <c r="U178" t="str">
        <f t="shared" si="48"/>
        <v>",HGoal=</v>
      </c>
      <c r="V178">
        <f>Match!K179</f>
        <v>0</v>
      </c>
      <c r="W178" t="str">
        <f t="shared" si="49"/>
        <v>,GGoal=</v>
      </c>
      <c r="X178">
        <f>Match!L179</f>
        <v>0</v>
      </c>
      <c r="Y178" t="str">
        <f t="shared" si="50"/>
        <v>,GTeam= "</v>
      </c>
      <c r="Z178">
        <f>Match!M179</f>
        <v>0</v>
      </c>
      <c r="AA178" t="str">
        <f t="shared" si="51"/>
        <v>",WinNote="</v>
      </c>
      <c r="AB178" t="str">
        <f>IF(Match!N179="","",Match!N179)</f>
        <v/>
      </c>
      <c r="AC178" t="str">
        <f t="shared" si="52"/>
        <v xml:space="preserve">",Stadium=" </v>
      </c>
      <c r="AD178" s="95">
        <f>Match!O179</f>
        <v>0</v>
      </c>
      <c r="AE178" t="str">
        <f t="shared" si="53"/>
        <v>",Referee= "</v>
      </c>
      <c r="AF178" s="95" t="str">
        <f>IF(Match!P179="","",Match!P179)</f>
        <v/>
      </c>
      <c r="AG178" t="str">
        <f t="shared" si="54"/>
        <v xml:space="preserve">",Visistors= </v>
      </c>
      <c r="AH178" s="95">
        <f>IF(Match!Q179="",0,Match!Q179)</f>
        <v>0</v>
      </c>
      <c r="AI178" t="str">
        <f t="shared" si="55"/>
        <v>,Status= "</v>
      </c>
      <c r="AJ178" s="95">
        <f>Match!R179</f>
        <v>0</v>
      </c>
      <c r="AK178" t="str">
        <f t="shared" si="56"/>
        <v>" },</v>
      </c>
    </row>
    <row r="179" spans="1:37" x14ac:dyDescent="0.25">
      <c r="A179" s="94" t="str">
        <f t="shared" si="38"/>
        <v>new Match { MatchId= "</v>
      </c>
      <c r="B179">
        <f>Match!A180</f>
        <v>0</v>
      </c>
      <c r="C179" s="94" t="str">
        <f t="shared" si="39"/>
        <v>",MatchNumber=</v>
      </c>
      <c r="D179">
        <f>Match!B180</f>
        <v>0</v>
      </c>
      <c r="E179" s="94" t="str">
        <f t="shared" si="40"/>
        <v>,DateMatch=DateTime.Parse("</v>
      </c>
      <c r="F179" s="85">
        <f>Match!C180</f>
        <v>0</v>
      </c>
      <c r="G179" s="92" t="str">
        <f t="shared" si="41"/>
        <v>"),TimeMatch=TimeSpan.Parse("</v>
      </c>
      <c r="H179" s="93">
        <f>Match!D180</f>
        <v>0</v>
      </c>
      <c r="I179" s="94" t="str">
        <f t="shared" si="42"/>
        <v>"),MatchYear=</v>
      </c>
      <c r="J179">
        <f>Match!E180</f>
        <v>0</v>
      </c>
      <c r="K179" s="94" t="str">
        <f t="shared" si="43"/>
        <v>, SeasonId= "</v>
      </c>
      <c r="L179">
        <f>Match!F180</f>
        <v>0</v>
      </c>
      <c r="M179" s="94" t="str">
        <f t="shared" si="44"/>
        <v>",Round= "</v>
      </c>
      <c r="N179">
        <f>Match!G180</f>
        <v>0</v>
      </c>
      <c r="O179" t="str">
        <f t="shared" si="45"/>
        <v>",Stage= "</v>
      </c>
      <c r="P179">
        <f>Match!H180</f>
        <v>0</v>
      </c>
      <c r="Q179" t="str">
        <f t="shared" si="46"/>
        <v>",SubStage= "</v>
      </c>
      <c r="R179">
        <f>Match!I180</f>
        <v>0</v>
      </c>
      <c r="S179" t="str">
        <f t="shared" si="47"/>
        <v>",HTeam= "</v>
      </c>
      <c r="T179">
        <f>Match!J180</f>
        <v>0</v>
      </c>
      <c r="U179" t="str">
        <f t="shared" si="48"/>
        <v>",HGoal=</v>
      </c>
      <c r="V179">
        <f>Match!K180</f>
        <v>0</v>
      </c>
      <c r="W179" t="str">
        <f t="shared" si="49"/>
        <v>,GGoal=</v>
      </c>
      <c r="X179">
        <f>Match!L180</f>
        <v>0</v>
      </c>
      <c r="Y179" t="str">
        <f t="shared" si="50"/>
        <v>,GTeam= "</v>
      </c>
      <c r="Z179">
        <f>Match!M180</f>
        <v>0</v>
      </c>
      <c r="AA179" t="str">
        <f t="shared" si="51"/>
        <v>",WinNote="</v>
      </c>
      <c r="AB179" t="str">
        <f>IF(Match!N180="","",Match!N180)</f>
        <v/>
      </c>
      <c r="AC179" t="str">
        <f t="shared" si="52"/>
        <v xml:space="preserve">",Stadium=" </v>
      </c>
      <c r="AD179" s="95">
        <f>Match!O180</f>
        <v>0</v>
      </c>
      <c r="AE179" t="str">
        <f t="shared" si="53"/>
        <v>",Referee= "</v>
      </c>
      <c r="AF179" s="95" t="str">
        <f>IF(Match!P180="","",Match!P180)</f>
        <v/>
      </c>
      <c r="AG179" t="str">
        <f t="shared" si="54"/>
        <v xml:space="preserve">",Visistors= </v>
      </c>
      <c r="AH179" s="95">
        <f>IF(Match!Q180="",0,Match!Q180)</f>
        <v>0</v>
      </c>
      <c r="AI179" t="str">
        <f t="shared" si="55"/>
        <v>,Status= "</v>
      </c>
      <c r="AJ179" s="95">
        <f>Match!R180</f>
        <v>0</v>
      </c>
      <c r="AK179" t="str">
        <f t="shared" si="56"/>
        <v>" },</v>
      </c>
    </row>
    <row r="180" spans="1:37" x14ac:dyDescent="0.25">
      <c r="A180" s="94" t="str">
        <f t="shared" si="38"/>
        <v>new Match { MatchId= "</v>
      </c>
      <c r="B180">
        <f>Match!A181</f>
        <v>0</v>
      </c>
      <c r="C180" s="94" t="str">
        <f t="shared" si="39"/>
        <v>",MatchNumber=</v>
      </c>
      <c r="D180">
        <f>Match!B181</f>
        <v>0</v>
      </c>
      <c r="E180" s="94" t="str">
        <f t="shared" si="40"/>
        <v>,DateMatch=DateTime.Parse("</v>
      </c>
      <c r="F180" s="85">
        <f>Match!C181</f>
        <v>0</v>
      </c>
      <c r="G180" s="92" t="str">
        <f t="shared" si="41"/>
        <v>"),TimeMatch=TimeSpan.Parse("</v>
      </c>
      <c r="H180" s="93">
        <f>Match!D181</f>
        <v>0</v>
      </c>
      <c r="I180" s="94" t="str">
        <f t="shared" si="42"/>
        <v>"),MatchYear=</v>
      </c>
      <c r="J180">
        <f>Match!E181</f>
        <v>0</v>
      </c>
      <c r="K180" s="94" t="str">
        <f t="shared" si="43"/>
        <v>, SeasonId= "</v>
      </c>
      <c r="L180">
        <f>Match!F181</f>
        <v>0</v>
      </c>
      <c r="M180" s="94" t="str">
        <f t="shared" si="44"/>
        <v>",Round= "</v>
      </c>
      <c r="N180">
        <f>Match!G181</f>
        <v>0</v>
      </c>
      <c r="O180" t="str">
        <f t="shared" si="45"/>
        <v>",Stage= "</v>
      </c>
      <c r="P180">
        <f>Match!H181</f>
        <v>0</v>
      </c>
      <c r="Q180" t="str">
        <f t="shared" si="46"/>
        <v>",SubStage= "</v>
      </c>
      <c r="R180">
        <f>Match!I181</f>
        <v>0</v>
      </c>
      <c r="S180" t="str">
        <f t="shared" si="47"/>
        <v>",HTeam= "</v>
      </c>
      <c r="T180">
        <f>Match!J181</f>
        <v>0</v>
      </c>
      <c r="U180" t="str">
        <f t="shared" si="48"/>
        <v>",HGoal=</v>
      </c>
      <c r="V180">
        <f>Match!K181</f>
        <v>0</v>
      </c>
      <c r="W180" t="str">
        <f t="shared" si="49"/>
        <v>,GGoal=</v>
      </c>
      <c r="X180">
        <f>Match!L181</f>
        <v>0</v>
      </c>
      <c r="Y180" t="str">
        <f t="shared" si="50"/>
        <v>,GTeam= "</v>
      </c>
      <c r="Z180">
        <f>Match!M181</f>
        <v>0</v>
      </c>
      <c r="AA180" t="str">
        <f t="shared" si="51"/>
        <v>",WinNote="</v>
      </c>
      <c r="AB180" t="str">
        <f>IF(Match!N181="","",Match!N181)</f>
        <v/>
      </c>
      <c r="AC180" t="str">
        <f t="shared" si="52"/>
        <v xml:space="preserve">",Stadium=" </v>
      </c>
      <c r="AD180" s="95">
        <f>Match!O181</f>
        <v>0</v>
      </c>
      <c r="AE180" t="str">
        <f t="shared" si="53"/>
        <v>",Referee= "</v>
      </c>
      <c r="AF180" s="95" t="str">
        <f>IF(Match!P181="","",Match!P181)</f>
        <v/>
      </c>
      <c r="AG180" t="str">
        <f t="shared" si="54"/>
        <v xml:space="preserve">",Visistors= </v>
      </c>
      <c r="AH180" s="95">
        <f>IF(Match!Q181="",0,Match!Q181)</f>
        <v>0</v>
      </c>
      <c r="AI180" t="str">
        <f t="shared" si="55"/>
        <v>,Status= "</v>
      </c>
      <c r="AJ180" s="95">
        <f>Match!R181</f>
        <v>0</v>
      </c>
      <c r="AK180" t="str">
        <f t="shared" si="56"/>
        <v>" },</v>
      </c>
    </row>
    <row r="181" spans="1:37" x14ac:dyDescent="0.25">
      <c r="A181" s="94" t="str">
        <f t="shared" si="38"/>
        <v>new Match { MatchId= "</v>
      </c>
      <c r="B181">
        <f>Match!A182</f>
        <v>0</v>
      </c>
      <c r="C181" s="94" t="str">
        <f t="shared" si="39"/>
        <v>",MatchNumber=</v>
      </c>
      <c r="D181">
        <f>Match!B182</f>
        <v>0</v>
      </c>
      <c r="E181" s="94" t="str">
        <f t="shared" si="40"/>
        <v>,DateMatch=DateTime.Parse("</v>
      </c>
      <c r="F181" s="85">
        <f>Match!C182</f>
        <v>0</v>
      </c>
      <c r="G181" s="92" t="str">
        <f t="shared" si="41"/>
        <v>"),TimeMatch=TimeSpan.Parse("</v>
      </c>
      <c r="H181" s="93">
        <f>Match!D182</f>
        <v>0</v>
      </c>
      <c r="I181" s="94" t="str">
        <f t="shared" si="42"/>
        <v>"),MatchYear=</v>
      </c>
      <c r="J181">
        <f>Match!E182</f>
        <v>0</v>
      </c>
      <c r="K181" s="94" t="str">
        <f t="shared" si="43"/>
        <v>, SeasonId= "</v>
      </c>
      <c r="L181">
        <f>Match!F182</f>
        <v>0</v>
      </c>
      <c r="M181" s="94" t="str">
        <f t="shared" si="44"/>
        <v>",Round= "</v>
      </c>
      <c r="N181">
        <f>Match!G182</f>
        <v>0</v>
      </c>
      <c r="O181" t="str">
        <f t="shared" si="45"/>
        <v>",Stage= "</v>
      </c>
      <c r="P181">
        <f>Match!H182</f>
        <v>0</v>
      </c>
      <c r="Q181" t="str">
        <f t="shared" si="46"/>
        <v>",SubStage= "</v>
      </c>
      <c r="R181">
        <f>Match!I182</f>
        <v>0</v>
      </c>
      <c r="S181" t="str">
        <f t="shared" si="47"/>
        <v>",HTeam= "</v>
      </c>
      <c r="T181">
        <f>Match!J182</f>
        <v>0</v>
      </c>
      <c r="U181" t="str">
        <f t="shared" si="48"/>
        <v>",HGoal=</v>
      </c>
      <c r="V181">
        <f>Match!K182</f>
        <v>0</v>
      </c>
      <c r="W181" t="str">
        <f t="shared" si="49"/>
        <v>,GGoal=</v>
      </c>
      <c r="X181">
        <f>Match!L182</f>
        <v>0</v>
      </c>
      <c r="Y181" t="str">
        <f t="shared" si="50"/>
        <v>,GTeam= "</v>
      </c>
      <c r="Z181">
        <f>Match!M182</f>
        <v>0</v>
      </c>
      <c r="AA181" t="str">
        <f t="shared" si="51"/>
        <v>",WinNote="</v>
      </c>
      <c r="AB181" t="str">
        <f>IF(Match!N182="","",Match!N182)</f>
        <v/>
      </c>
      <c r="AC181" t="str">
        <f t="shared" si="52"/>
        <v xml:space="preserve">",Stadium=" </v>
      </c>
      <c r="AD181" s="95">
        <f>Match!O182</f>
        <v>0</v>
      </c>
      <c r="AE181" t="str">
        <f t="shared" si="53"/>
        <v>",Referee= "</v>
      </c>
      <c r="AF181" s="95" t="str">
        <f>IF(Match!P182="","",Match!P182)</f>
        <v/>
      </c>
      <c r="AG181" t="str">
        <f t="shared" si="54"/>
        <v xml:space="preserve">",Visistors= </v>
      </c>
      <c r="AH181" s="95">
        <f>IF(Match!Q182="",0,Match!Q182)</f>
        <v>0</v>
      </c>
      <c r="AI181" t="str">
        <f t="shared" si="55"/>
        <v>,Status= "</v>
      </c>
      <c r="AJ181" s="95">
        <f>Match!R182</f>
        <v>0</v>
      </c>
      <c r="AK181" t="str">
        <f t="shared" si="56"/>
        <v>" },</v>
      </c>
    </row>
    <row r="182" spans="1:37" x14ac:dyDescent="0.25">
      <c r="A182" s="94" t="str">
        <f t="shared" si="38"/>
        <v>new Match { MatchId= "</v>
      </c>
      <c r="B182">
        <f>Match!A183</f>
        <v>0</v>
      </c>
      <c r="C182" s="94" t="str">
        <f t="shared" si="39"/>
        <v>",MatchNumber=</v>
      </c>
      <c r="D182">
        <f>Match!B183</f>
        <v>0</v>
      </c>
      <c r="E182" s="94" t="str">
        <f t="shared" si="40"/>
        <v>,DateMatch=DateTime.Parse("</v>
      </c>
      <c r="F182" s="85">
        <f>Match!C183</f>
        <v>0</v>
      </c>
      <c r="G182" s="92" t="str">
        <f t="shared" si="41"/>
        <v>"),TimeMatch=TimeSpan.Parse("</v>
      </c>
      <c r="H182" s="93">
        <f>Match!D183</f>
        <v>0</v>
      </c>
      <c r="I182" s="94" t="str">
        <f t="shared" si="42"/>
        <v>"),MatchYear=</v>
      </c>
      <c r="J182">
        <f>Match!E183</f>
        <v>0</v>
      </c>
      <c r="K182" s="94" t="str">
        <f t="shared" si="43"/>
        <v>, SeasonId= "</v>
      </c>
      <c r="L182">
        <f>Match!F183</f>
        <v>0</v>
      </c>
      <c r="M182" s="94" t="str">
        <f t="shared" si="44"/>
        <v>",Round= "</v>
      </c>
      <c r="N182">
        <f>Match!G183</f>
        <v>0</v>
      </c>
      <c r="O182" t="str">
        <f t="shared" si="45"/>
        <v>",Stage= "</v>
      </c>
      <c r="P182">
        <f>Match!H183</f>
        <v>0</v>
      </c>
      <c r="Q182" t="str">
        <f t="shared" si="46"/>
        <v>",SubStage= "</v>
      </c>
      <c r="R182">
        <f>Match!I183</f>
        <v>0</v>
      </c>
      <c r="S182" t="str">
        <f t="shared" si="47"/>
        <v>",HTeam= "</v>
      </c>
      <c r="T182">
        <f>Match!J183</f>
        <v>0</v>
      </c>
      <c r="U182" t="str">
        <f t="shared" si="48"/>
        <v>",HGoal=</v>
      </c>
      <c r="V182">
        <f>Match!K183</f>
        <v>0</v>
      </c>
      <c r="W182" t="str">
        <f t="shared" si="49"/>
        <v>,GGoal=</v>
      </c>
      <c r="X182">
        <f>Match!L183</f>
        <v>0</v>
      </c>
      <c r="Y182" t="str">
        <f t="shared" si="50"/>
        <v>,GTeam= "</v>
      </c>
      <c r="Z182">
        <f>Match!M183</f>
        <v>0</v>
      </c>
      <c r="AA182" t="str">
        <f t="shared" si="51"/>
        <v>",WinNote="</v>
      </c>
      <c r="AB182" t="str">
        <f>IF(Match!N183="","",Match!N183)</f>
        <v/>
      </c>
      <c r="AC182" t="str">
        <f t="shared" si="52"/>
        <v xml:space="preserve">",Stadium=" </v>
      </c>
      <c r="AD182" s="95">
        <f>Match!O183</f>
        <v>0</v>
      </c>
      <c r="AE182" t="str">
        <f t="shared" si="53"/>
        <v>",Referee= "</v>
      </c>
      <c r="AF182" s="95" t="str">
        <f>IF(Match!P183="","",Match!P183)</f>
        <v/>
      </c>
      <c r="AG182" t="str">
        <f t="shared" si="54"/>
        <v xml:space="preserve">",Visistors= </v>
      </c>
      <c r="AH182" s="95">
        <f>IF(Match!Q183="",0,Match!Q183)</f>
        <v>0</v>
      </c>
      <c r="AI182" t="str">
        <f t="shared" si="55"/>
        <v>,Status= "</v>
      </c>
      <c r="AJ182" s="95">
        <f>Match!R183</f>
        <v>0</v>
      </c>
      <c r="AK182" t="str">
        <f t="shared" si="56"/>
        <v>" },</v>
      </c>
    </row>
    <row r="183" spans="1:37" x14ac:dyDescent="0.25">
      <c r="A183" s="94" t="str">
        <f t="shared" si="38"/>
        <v>new Match { MatchId= "</v>
      </c>
      <c r="B183">
        <f>Match!A184</f>
        <v>0</v>
      </c>
      <c r="C183" s="94" t="str">
        <f t="shared" si="39"/>
        <v>",MatchNumber=</v>
      </c>
      <c r="D183">
        <f>Match!B184</f>
        <v>0</v>
      </c>
      <c r="E183" s="94" t="str">
        <f t="shared" si="40"/>
        <v>,DateMatch=DateTime.Parse("</v>
      </c>
      <c r="F183" s="85">
        <f>Match!C184</f>
        <v>0</v>
      </c>
      <c r="G183" s="92" t="str">
        <f t="shared" si="41"/>
        <v>"),TimeMatch=TimeSpan.Parse("</v>
      </c>
      <c r="H183" s="93">
        <f>Match!D184</f>
        <v>0</v>
      </c>
      <c r="I183" s="94" t="str">
        <f t="shared" si="42"/>
        <v>"),MatchYear=</v>
      </c>
      <c r="J183">
        <f>Match!E184</f>
        <v>0</v>
      </c>
      <c r="K183" s="94" t="str">
        <f t="shared" si="43"/>
        <v>, SeasonId= "</v>
      </c>
      <c r="L183">
        <f>Match!F184</f>
        <v>0</v>
      </c>
      <c r="M183" s="94" t="str">
        <f t="shared" si="44"/>
        <v>",Round= "</v>
      </c>
      <c r="N183">
        <f>Match!G184</f>
        <v>0</v>
      </c>
      <c r="O183" t="str">
        <f t="shared" si="45"/>
        <v>",Stage= "</v>
      </c>
      <c r="P183">
        <f>Match!H184</f>
        <v>0</v>
      </c>
      <c r="Q183" t="str">
        <f t="shared" si="46"/>
        <v>",SubStage= "</v>
      </c>
      <c r="R183">
        <f>Match!I184</f>
        <v>0</v>
      </c>
      <c r="S183" t="str">
        <f t="shared" si="47"/>
        <v>",HTeam= "</v>
      </c>
      <c r="T183">
        <f>Match!J184</f>
        <v>0</v>
      </c>
      <c r="U183" t="str">
        <f t="shared" si="48"/>
        <v>",HGoal=</v>
      </c>
      <c r="V183">
        <f>Match!K184</f>
        <v>0</v>
      </c>
      <c r="W183" t="str">
        <f t="shared" si="49"/>
        <v>,GGoal=</v>
      </c>
      <c r="X183">
        <f>Match!L184</f>
        <v>0</v>
      </c>
      <c r="Y183" t="str">
        <f t="shared" si="50"/>
        <v>,GTeam= "</v>
      </c>
      <c r="Z183">
        <f>Match!M184</f>
        <v>0</v>
      </c>
      <c r="AA183" t="str">
        <f t="shared" si="51"/>
        <v>",WinNote="</v>
      </c>
      <c r="AB183" t="str">
        <f>IF(Match!N184="","",Match!N184)</f>
        <v/>
      </c>
      <c r="AC183" t="str">
        <f t="shared" si="52"/>
        <v xml:space="preserve">",Stadium=" </v>
      </c>
      <c r="AD183" s="95">
        <f>Match!O184</f>
        <v>0</v>
      </c>
      <c r="AE183" t="str">
        <f t="shared" si="53"/>
        <v>",Referee= "</v>
      </c>
      <c r="AF183" s="95" t="str">
        <f>IF(Match!P184="","",Match!P184)</f>
        <v/>
      </c>
      <c r="AG183" t="str">
        <f t="shared" si="54"/>
        <v xml:space="preserve">",Visistors= </v>
      </c>
      <c r="AH183" s="95">
        <f>IF(Match!Q184="",0,Match!Q184)</f>
        <v>0</v>
      </c>
      <c r="AI183" t="str">
        <f t="shared" si="55"/>
        <v>,Status= "</v>
      </c>
      <c r="AJ183" s="95">
        <f>Match!R184</f>
        <v>0</v>
      </c>
      <c r="AK183" t="str">
        <f t="shared" si="56"/>
        <v>" },</v>
      </c>
    </row>
    <row r="184" spans="1:37" x14ac:dyDescent="0.25">
      <c r="A184" s="94" t="str">
        <f t="shared" si="38"/>
        <v>new Match { MatchId= "</v>
      </c>
      <c r="B184">
        <f>Match!A185</f>
        <v>0</v>
      </c>
      <c r="C184" s="94" t="str">
        <f t="shared" si="39"/>
        <v>",MatchNumber=</v>
      </c>
      <c r="D184">
        <f>Match!B185</f>
        <v>0</v>
      </c>
      <c r="E184" s="94" t="str">
        <f t="shared" si="40"/>
        <v>,DateMatch=DateTime.Parse("</v>
      </c>
      <c r="F184" s="85">
        <f>Match!C185</f>
        <v>0</v>
      </c>
      <c r="G184" s="92" t="str">
        <f t="shared" si="41"/>
        <v>"),TimeMatch=TimeSpan.Parse("</v>
      </c>
      <c r="H184" s="93">
        <f>Match!D185</f>
        <v>0</v>
      </c>
      <c r="I184" s="94" t="str">
        <f t="shared" si="42"/>
        <v>"),MatchYear=</v>
      </c>
      <c r="J184">
        <f>Match!E185</f>
        <v>0</v>
      </c>
      <c r="K184" s="94" t="str">
        <f t="shared" si="43"/>
        <v>, SeasonId= "</v>
      </c>
      <c r="L184">
        <f>Match!F185</f>
        <v>0</v>
      </c>
      <c r="M184" s="94" t="str">
        <f t="shared" si="44"/>
        <v>",Round= "</v>
      </c>
      <c r="N184">
        <f>Match!G185</f>
        <v>0</v>
      </c>
      <c r="O184" t="str">
        <f t="shared" si="45"/>
        <v>",Stage= "</v>
      </c>
      <c r="P184">
        <f>Match!H185</f>
        <v>0</v>
      </c>
      <c r="Q184" t="str">
        <f t="shared" si="46"/>
        <v>",SubStage= "</v>
      </c>
      <c r="R184">
        <f>Match!I185</f>
        <v>0</v>
      </c>
      <c r="S184" t="str">
        <f t="shared" si="47"/>
        <v>",HTeam= "</v>
      </c>
      <c r="T184">
        <f>Match!J185</f>
        <v>0</v>
      </c>
      <c r="U184" t="str">
        <f t="shared" si="48"/>
        <v>",HGoal=</v>
      </c>
      <c r="V184">
        <f>Match!K185</f>
        <v>0</v>
      </c>
      <c r="W184" t="str">
        <f t="shared" si="49"/>
        <v>,GGoal=</v>
      </c>
      <c r="X184">
        <f>Match!L185</f>
        <v>0</v>
      </c>
      <c r="Y184" t="str">
        <f t="shared" si="50"/>
        <v>,GTeam= "</v>
      </c>
      <c r="Z184">
        <f>Match!M185</f>
        <v>0</v>
      </c>
      <c r="AA184" t="str">
        <f t="shared" si="51"/>
        <v>",WinNote="</v>
      </c>
      <c r="AB184" t="str">
        <f>IF(Match!N185="","",Match!N185)</f>
        <v/>
      </c>
      <c r="AC184" t="str">
        <f t="shared" si="52"/>
        <v xml:space="preserve">",Stadium=" </v>
      </c>
      <c r="AD184" s="95">
        <f>Match!O185</f>
        <v>0</v>
      </c>
      <c r="AE184" t="str">
        <f t="shared" si="53"/>
        <v>",Referee= "</v>
      </c>
      <c r="AF184" s="95" t="str">
        <f>IF(Match!P185="","",Match!P185)</f>
        <v/>
      </c>
      <c r="AG184" t="str">
        <f t="shared" si="54"/>
        <v xml:space="preserve">",Visistors= </v>
      </c>
      <c r="AH184" s="95">
        <f>IF(Match!Q185="",0,Match!Q185)</f>
        <v>0</v>
      </c>
      <c r="AI184" t="str">
        <f t="shared" si="55"/>
        <v>,Status= "</v>
      </c>
      <c r="AJ184" s="95">
        <f>Match!R185</f>
        <v>0</v>
      </c>
      <c r="AK184" t="str">
        <f t="shared" si="56"/>
        <v>" },</v>
      </c>
    </row>
    <row r="185" spans="1:37" x14ac:dyDescent="0.25">
      <c r="A185" s="94" t="str">
        <f t="shared" si="38"/>
        <v>new Match { MatchId= "</v>
      </c>
      <c r="B185">
        <f>Match!A186</f>
        <v>0</v>
      </c>
      <c r="C185" s="94" t="str">
        <f t="shared" si="39"/>
        <v>",MatchNumber=</v>
      </c>
      <c r="D185">
        <f>Match!B186</f>
        <v>0</v>
      </c>
      <c r="E185" s="94" t="str">
        <f t="shared" si="40"/>
        <v>,DateMatch=DateTime.Parse("</v>
      </c>
      <c r="F185" s="85">
        <f>Match!C186</f>
        <v>0</v>
      </c>
      <c r="G185" s="92" t="str">
        <f t="shared" si="41"/>
        <v>"),TimeMatch=TimeSpan.Parse("</v>
      </c>
      <c r="H185" s="93">
        <f>Match!D186</f>
        <v>0</v>
      </c>
      <c r="I185" s="94" t="str">
        <f t="shared" si="42"/>
        <v>"),MatchYear=</v>
      </c>
      <c r="J185">
        <f>Match!E186</f>
        <v>0</v>
      </c>
      <c r="K185" s="94" t="str">
        <f t="shared" si="43"/>
        <v>, SeasonId= "</v>
      </c>
      <c r="L185">
        <f>Match!F186</f>
        <v>0</v>
      </c>
      <c r="M185" s="94" t="str">
        <f t="shared" si="44"/>
        <v>",Round= "</v>
      </c>
      <c r="N185">
        <f>Match!G186</f>
        <v>0</v>
      </c>
      <c r="O185" t="str">
        <f t="shared" si="45"/>
        <v>",Stage= "</v>
      </c>
      <c r="P185">
        <f>Match!H186</f>
        <v>0</v>
      </c>
      <c r="Q185" t="str">
        <f t="shared" si="46"/>
        <v>",SubStage= "</v>
      </c>
      <c r="R185">
        <f>Match!I186</f>
        <v>0</v>
      </c>
      <c r="S185" t="str">
        <f t="shared" si="47"/>
        <v>",HTeam= "</v>
      </c>
      <c r="T185">
        <f>Match!J186</f>
        <v>0</v>
      </c>
      <c r="U185" t="str">
        <f t="shared" si="48"/>
        <v>",HGoal=</v>
      </c>
      <c r="V185">
        <f>Match!K186</f>
        <v>0</v>
      </c>
      <c r="W185" t="str">
        <f t="shared" si="49"/>
        <v>,GGoal=</v>
      </c>
      <c r="X185">
        <f>Match!L186</f>
        <v>0</v>
      </c>
      <c r="Y185" t="str">
        <f t="shared" si="50"/>
        <v>,GTeam= "</v>
      </c>
      <c r="Z185">
        <f>Match!M186</f>
        <v>0</v>
      </c>
      <c r="AA185" t="str">
        <f t="shared" si="51"/>
        <v>",WinNote="</v>
      </c>
      <c r="AB185" t="str">
        <f>IF(Match!N186="","",Match!N186)</f>
        <v/>
      </c>
      <c r="AC185" t="str">
        <f t="shared" si="52"/>
        <v xml:space="preserve">",Stadium=" </v>
      </c>
      <c r="AD185" s="95">
        <f>Match!O186</f>
        <v>0</v>
      </c>
      <c r="AE185" t="str">
        <f t="shared" si="53"/>
        <v>",Referee= "</v>
      </c>
      <c r="AF185" s="95" t="str">
        <f>IF(Match!P186="","",Match!P186)</f>
        <v/>
      </c>
      <c r="AG185" t="str">
        <f t="shared" si="54"/>
        <v xml:space="preserve">",Visistors= </v>
      </c>
      <c r="AH185" s="95">
        <f>IF(Match!Q186="",0,Match!Q186)</f>
        <v>0</v>
      </c>
      <c r="AI185" t="str">
        <f t="shared" si="55"/>
        <v>,Status= "</v>
      </c>
      <c r="AJ185" s="95">
        <f>Match!R186</f>
        <v>0</v>
      </c>
      <c r="AK185" t="str">
        <f t="shared" si="56"/>
        <v>" },</v>
      </c>
    </row>
    <row r="186" spans="1:37" x14ac:dyDescent="0.25">
      <c r="A186" s="94" t="str">
        <f t="shared" si="38"/>
        <v>new Match { MatchId= "</v>
      </c>
      <c r="B186">
        <f>Match!A187</f>
        <v>0</v>
      </c>
      <c r="C186" s="94" t="str">
        <f t="shared" si="39"/>
        <v>",MatchNumber=</v>
      </c>
      <c r="D186">
        <f>Match!B187</f>
        <v>0</v>
      </c>
      <c r="E186" s="94" t="str">
        <f t="shared" si="40"/>
        <v>,DateMatch=DateTime.Parse("</v>
      </c>
      <c r="F186" s="85">
        <f>Match!C187</f>
        <v>0</v>
      </c>
      <c r="G186" s="92" t="str">
        <f t="shared" si="41"/>
        <v>"),TimeMatch=TimeSpan.Parse("</v>
      </c>
      <c r="H186" s="93">
        <f>Match!D187</f>
        <v>0</v>
      </c>
      <c r="I186" s="94" t="str">
        <f t="shared" si="42"/>
        <v>"),MatchYear=</v>
      </c>
      <c r="J186">
        <f>Match!E187</f>
        <v>0</v>
      </c>
      <c r="K186" s="94" t="str">
        <f t="shared" si="43"/>
        <v>, SeasonId= "</v>
      </c>
      <c r="L186">
        <f>Match!F187</f>
        <v>0</v>
      </c>
      <c r="M186" s="94" t="str">
        <f t="shared" si="44"/>
        <v>",Round= "</v>
      </c>
      <c r="N186">
        <f>Match!G187</f>
        <v>0</v>
      </c>
      <c r="O186" t="str">
        <f t="shared" si="45"/>
        <v>",Stage= "</v>
      </c>
      <c r="P186">
        <f>Match!H187</f>
        <v>0</v>
      </c>
      <c r="Q186" t="str">
        <f t="shared" si="46"/>
        <v>",SubStage= "</v>
      </c>
      <c r="R186">
        <f>Match!I187</f>
        <v>0</v>
      </c>
      <c r="S186" t="str">
        <f t="shared" si="47"/>
        <v>",HTeam= "</v>
      </c>
      <c r="T186">
        <f>Match!J187</f>
        <v>0</v>
      </c>
      <c r="U186" t="str">
        <f t="shared" si="48"/>
        <v>",HGoal=</v>
      </c>
      <c r="V186">
        <f>Match!K187</f>
        <v>0</v>
      </c>
      <c r="W186" t="str">
        <f t="shared" si="49"/>
        <v>,GGoal=</v>
      </c>
      <c r="X186">
        <f>Match!L187</f>
        <v>0</v>
      </c>
      <c r="Y186" t="str">
        <f t="shared" si="50"/>
        <v>,GTeam= "</v>
      </c>
      <c r="Z186">
        <f>Match!M187</f>
        <v>0</v>
      </c>
      <c r="AA186" t="str">
        <f t="shared" si="51"/>
        <v>",WinNote="</v>
      </c>
      <c r="AB186" t="str">
        <f>IF(Match!N187="","",Match!N187)</f>
        <v/>
      </c>
      <c r="AC186" t="str">
        <f t="shared" si="52"/>
        <v xml:space="preserve">",Stadium=" </v>
      </c>
      <c r="AD186" s="95">
        <f>Match!O187</f>
        <v>0</v>
      </c>
      <c r="AE186" t="str">
        <f t="shared" si="53"/>
        <v>",Referee= "</v>
      </c>
      <c r="AF186" s="95" t="str">
        <f>IF(Match!P187="","",Match!P187)</f>
        <v/>
      </c>
      <c r="AG186" t="str">
        <f t="shared" si="54"/>
        <v xml:space="preserve">",Visistors= </v>
      </c>
      <c r="AH186" s="95">
        <f>IF(Match!Q187="",0,Match!Q187)</f>
        <v>0</v>
      </c>
      <c r="AI186" t="str">
        <f t="shared" si="55"/>
        <v>,Status= "</v>
      </c>
      <c r="AJ186" s="95">
        <f>Match!R187</f>
        <v>0</v>
      </c>
      <c r="AK186" t="str">
        <f t="shared" si="56"/>
        <v>" },</v>
      </c>
    </row>
    <row r="187" spans="1:37" x14ac:dyDescent="0.25">
      <c r="A187" s="94" t="str">
        <f t="shared" si="38"/>
        <v>new Match { MatchId= "</v>
      </c>
      <c r="B187">
        <f>Match!A188</f>
        <v>0</v>
      </c>
      <c r="C187" s="94" t="str">
        <f t="shared" si="39"/>
        <v>",MatchNumber=</v>
      </c>
      <c r="D187">
        <f>Match!B188</f>
        <v>0</v>
      </c>
      <c r="E187" s="94" t="str">
        <f t="shared" si="40"/>
        <v>,DateMatch=DateTime.Parse("</v>
      </c>
      <c r="F187" s="85">
        <f>Match!C188</f>
        <v>0</v>
      </c>
      <c r="G187" s="92" t="str">
        <f t="shared" si="41"/>
        <v>"),TimeMatch=TimeSpan.Parse("</v>
      </c>
      <c r="H187" s="93">
        <f>Match!D188</f>
        <v>0</v>
      </c>
      <c r="I187" s="94" t="str">
        <f t="shared" si="42"/>
        <v>"),MatchYear=</v>
      </c>
      <c r="J187">
        <f>Match!E188</f>
        <v>0</v>
      </c>
      <c r="K187" s="94" t="str">
        <f t="shared" si="43"/>
        <v>, SeasonId= "</v>
      </c>
      <c r="L187">
        <f>Match!F188</f>
        <v>0</v>
      </c>
      <c r="M187" s="94" t="str">
        <f t="shared" si="44"/>
        <v>",Round= "</v>
      </c>
      <c r="N187">
        <f>Match!G188</f>
        <v>0</v>
      </c>
      <c r="O187" t="str">
        <f t="shared" si="45"/>
        <v>",Stage= "</v>
      </c>
      <c r="P187">
        <f>Match!H188</f>
        <v>0</v>
      </c>
      <c r="Q187" t="str">
        <f t="shared" si="46"/>
        <v>",SubStage= "</v>
      </c>
      <c r="R187">
        <f>Match!I188</f>
        <v>0</v>
      </c>
      <c r="S187" t="str">
        <f t="shared" si="47"/>
        <v>",HTeam= "</v>
      </c>
      <c r="T187">
        <f>Match!J188</f>
        <v>0</v>
      </c>
      <c r="U187" t="str">
        <f t="shared" si="48"/>
        <v>",HGoal=</v>
      </c>
      <c r="V187">
        <f>Match!K188</f>
        <v>0</v>
      </c>
      <c r="W187" t="str">
        <f t="shared" si="49"/>
        <v>,GGoal=</v>
      </c>
      <c r="X187">
        <f>Match!L188</f>
        <v>0</v>
      </c>
      <c r="Y187" t="str">
        <f t="shared" si="50"/>
        <v>,GTeam= "</v>
      </c>
      <c r="Z187">
        <f>Match!M188</f>
        <v>0</v>
      </c>
      <c r="AA187" t="str">
        <f t="shared" si="51"/>
        <v>",WinNote="</v>
      </c>
      <c r="AB187" t="str">
        <f>IF(Match!N188="","",Match!N188)</f>
        <v/>
      </c>
      <c r="AC187" t="str">
        <f t="shared" si="52"/>
        <v xml:space="preserve">",Stadium=" </v>
      </c>
      <c r="AD187" s="95">
        <f>Match!O188</f>
        <v>0</v>
      </c>
      <c r="AE187" t="str">
        <f t="shared" si="53"/>
        <v>",Referee= "</v>
      </c>
      <c r="AF187" s="95" t="str">
        <f>IF(Match!P188="","",Match!P188)</f>
        <v/>
      </c>
      <c r="AG187" t="str">
        <f t="shared" si="54"/>
        <v xml:space="preserve">",Visistors= </v>
      </c>
      <c r="AH187" s="95">
        <f>IF(Match!Q188="",0,Match!Q188)</f>
        <v>0</v>
      </c>
      <c r="AI187" t="str">
        <f t="shared" si="55"/>
        <v>,Status= "</v>
      </c>
      <c r="AJ187" s="95">
        <f>Match!R188</f>
        <v>0</v>
      </c>
      <c r="AK187" t="str">
        <f t="shared" si="56"/>
        <v>" },</v>
      </c>
    </row>
    <row r="188" spans="1:37" x14ac:dyDescent="0.25">
      <c r="A188" s="94" t="str">
        <f t="shared" si="38"/>
        <v>new Match { MatchId= "</v>
      </c>
      <c r="B188">
        <f>Match!A189</f>
        <v>0</v>
      </c>
      <c r="C188" s="94" t="str">
        <f t="shared" si="39"/>
        <v>",MatchNumber=</v>
      </c>
      <c r="D188">
        <f>Match!B189</f>
        <v>0</v>
      </c>
      <c r="E188" s="94" t="str">
        <f t="shared" si="40"/>
        <v>,DateMatch=DateTime.Parse("</v>
      </c>
      <c r="F188" s="85">
        <f>Match!C189</f>
        <v>0</v>
      </c>
      <c r="G188" s="92" t="str">
        <f t="shared" si="41"/>
        <v>"),TimeMatch=TimeSpan.Parse("</v>
      </c>
      <c r="H188" s="93">
        <f>Match!D189</f>
        <v>0</v>
      </c>
      <c r="I188" s="94" t="str">
        <f t="shared" si="42"/>
        <v>"),MatchYear=</v>
      </c>
      <c r="J188">
        <f>Match!E189</f>
        <v>0</v>
      </c>
      <c r="K188" s="94" t="str">
        <f t="shared" si="43"/>
        <v>, SeasonId= "</v>
      </c>
      <c r="L188">
        <f>Match!F189</f>
        <v>0</v>
      </c>
      <c r="M188" s="94" t="str">
        <f t="shared" si="44"/>
        <v>",Round= "</v>
      </c>
      <c r="N188">
        <f>Match!G189</f>
        <v>0</v>
      </c>
      <c r="O188" t="str">
        <f t="shared" si="45"/>
        <v>",Stage= "</v>
      </c>
      <c r="P188">
        <f>Match!H189</f>
        <v>0</v>
      </c>
      <c r="Q188" t="str">
        <f t="shared" si="46"/>
        <v>",SubStage= "</v>
      </c>
      <c r="R188">
        <f>Match!I189</f>
        <v>0</v>
      </c>
      <c r="S188" t="str">
        <f t="shared" si="47"/>
        <v>",HTeam= "</v>
      </c>
      <c r="T188">
        <f>Match!J189</f>
        <v>0</v>
      </c>
      <c r="U188" t="str">
        <f t="shared" si="48"/>
        <v>",HGoal=</v>
      </c>
      <c r="V188">
        <f>Match!K189</f>
        <v>0</v>
      </c>
      <c r="W188" t="str">
        <f t="shared" si="49"/>
        <v>,GGoal=</v>
      </c>
      <c r="X188">
        <f>Match!L189</f>
        <v>0</v>
      </c>
      <c r="Y188" t="str">
        <f t="shared" si="50"/>
        <v>,GTeam= "</v>
      </c>
      <c r="Z188">
        <f>Match!M189</f>
        <v>0</v>
      </c>
      <c r="AA188" t="str">
        <f t="shared" si="51"/>
        <v>",WinNote="</v>
      </c>
      <c r="AB188" t="str">
        <f>IF(Match!N189="","",Match!N189)</f>
        <v/>
      </c>
      <c r="AC188" t="str">
        <f t="shared" si="52"/>
        <v xml:space="preserve">",Stadium=" </v>
      </c>
      <c r="AD188" s="95">
        <f>Match!O189</f>
        <v>0</v>
      </c>
      <c r="AE188" t="str">
        <f t="shared" si="53"/>
        <v>",Referee= "</v>
      </c>
      <c r="AF188" s="95" t="str">
        <f>IF(Match!P189="","",Match!P189)</f>
        <v/>
      </c>
      <c r="AG188" t="str">
        <f t="shared" si="54"/>
        <v xml:space="preserve">",Visistors= </v>
      </c>
      <c r="AH188" s="95">
        <f>IF(Match!Q189="",0,Match!Q189)</f>
        <v>0</v>
      </c>
      <c r="AI188" t="str">
        <f t="shared" si="55"/>
        <v>,Status= "</v>
      </c>
      <c r="AJ188" s="95">
        <f>Match!R189</f>
        <v>0</v>
      </c>
      <c r="AK188" t="str">
        <f t="shared" si="56"/>
        <v>" },</v>
      </c>
    </row>
    <row r="189" spans="1:37" x14ac:dyDescent="0.25">
      <c r="A189" s="94" t="str">
        <f t="shared" si="38"/>
        <v>new Match { MatchId= "</v>
      </c>
      <c r="B189">
        <f>Match!A190</f>
        <v>0</v>
      </c>
      <c r="C189" s="94" t="str">
        <f t="shared" si="39"/>
        <v>",MatchNumber=</v>
      </c>
      <c r="D189">
        <f>Match!B190</f>
        <v>0</v>
      </c>
      <c r="E189" s="94" t="str">
        <f t="shared" si="40"/>
        <v>,DateMatch=DateTime.Parse("</v>
      </c>
      <c r="F189" s="85">
        <f>Match!C190</f>
        <v>0</v>
      </c>
      <c r="G189" s="92" t="str">
        <f t="shared" si="41"/>
        <v>"),TimeMatch=TimeSpan.Parse("</v>
      </c>
      <c r="H189" s="93">
        <f>Match!D190</f>
        <v>0</v>
      </c>
      <c r="I189" s="94" t="str">
        <f t="shared" si="42"/>
        <v>"),MatchYear=</v>
      </c>
      <c r="J189">
        <f>Match!E190</f>
        <v>0</v>
      </c>
      <c r="K189" s="94" t="str">
        <f t="shared" si="43"/>
        <v>, SeasonId= "</v>
      </c>
      <c r="L189">
        <f>Match!F190</f>
        <v>0</v>
      </c>
      <c r="M189" s="94" t="str">
        <f t="shared" si="44"/>
        <v>",Round= "</v>
      </c>
      <c r="N189">
        <f>Match!G190</f>
        <v>0</v>
      </c>
      <c r="O189" t="str">
        <f t="shared" si="45"/>
        <v>",Stage= "</v>
      </c>
      <c r="P189">
        <f>Match!H190</f>
        <v>0</v>
      </c>
      <c r="Q189" t="str">
        <f t="shared" si="46"/>
        <v>",SubStage= "</v>
      </c>
      <c r="R189">
        <f>Match!I190</f>
        <v>0</v>
      </c>
      <c r="S189" t="str">
        <f t="shared" si="47"/>
        <v>",HTeam= "</v>
      </c>
      <c r="T189">
        <f>Match!J190</f>
        <v>0</v>
      </c>
      <c r="U189" t="str">
        <f t="shared" si="48"/>
        <v>",HGoal=</v>
      </c>
      <c r="V189">
        <f>Match!K190</f>
        <v>0</v>
      </c>
      <c r="W189" t="str">
        <f t="shared" si="49"/>
        <v>,GGoal=</v>
      </c>
      <c r="X189">
        <f>Match!L190</f>
        <v>0</v>
      </c>
      <c r="Y189" t="str">
        <f t="shared" si="50"/>
        <v>,GTeam= "</v>
      </c>
      <c r="Z189">
        <f>Match!M190</f>
        <v>0</v>
      </c>
      <c r="AA189" t="str">
        <f t="shared" si="51"/>
        <v>",WinNote="</v>
      </c>
      <c r="AB189" t="str">
        <f>IF(Match!N190="","",Match!N190)</f>
        <v/>
      </c>
      <c r="AC189" t="str">
        <f t="shared" si="52"/>
        <v xml:space="preserve">",Stadium=" </v>
      </c>
      <c r="AD189" s="95">
        <f>Match!O190</f>
        <v>0</v>
      </c>
      <c r="AE189" t="str">
        <f t="shared" si="53"/>
        <v>",Referee= "</v>
      </c>
      <c r="AF189" s="95" t="str">
        <f>IF(Match!P190="","",Match!P190)</f>
        <v/>
      </c>
      <c r="AG189" t="str">
        <f t="shared" si="54"/>
        <v xml:space="preserve">",Visistors= </v>
      </c>
      <c r="AH189" s="95">
        <f>IF(Match!Q190="",0,Match!Q190)</f>
        <v>0</v>
      </c>
      <c r="AI189" t="str">
        <f t="shared" si="55"/>
        <v>,Status= "</v>
      </c>
      <c r="AJ189" s="95">
        <f>Match!R190</f>
        <v>0</v>
      </c>
      <c r="AK189" t="str">
        <f t="shared" si="56"/>
        <v>" },</v>
      </c>
    </row>
    <row r="190" spans="1:37" x14ac:dyDescent="0.25">
      <c r="A190" s="94" t="str">
        <f t="shared" si="38"/>
        <v>new Match { MatchId= "</v>
      </c>
      <c r="B190">
        <f>Match!A191</f>
        <v>0</v>
      </c>
      <c r="C190" s="94" t="str">
        <f t="shared" si="39"/>
        <v>",MatchNumber=</v>
      </c>
      <c r="D190">
        <f>Match!B191</f>
        <v>0</v>
      </c>
      <c r="E190" s="94" t="str">
        <f t="shared" si="40"/>
        <v>,DateMatch=DateTime.Parse("</v>
      </c>
      <c r="F190" s="85">
        <f>Match!C191</f>
        <v>0</v>
      </c>
      <c r="G190" s="92" t="str">
        <f t="shared" si="41"/>
        <v>"),TimeMatch=TimeSpan.Parse("</v>
      </c>
      <c r="H190" s="93">
        <f>Match!D191</f>
        <v>0</v>
      </c>
      <c r="I190" s="94" t="str">
        <f t="shared" si="42"/>
        <v>"),MatchYear=</v>
      </c>
      <c r="J190">
        <f>Match!E191</f>
        <v>0</v>
      </c>
      <c r="K190" s="94" t="str">
        <f t="shared" si="43"/>
        <v>, SeasonId= "</v>
      </c>
      <c r="L190">
        <f>Match!F191</f>
        <v>0</v>
      </c>
      <c r="M190" s="94" t="str">
        <f t="shared" si="44"/>
        <v>",Round= "</v>
      </c>
      <c r="N190">
        <f>Match!G191</f>
        <v>0</v>
      </c>
      <c r="O190" t="str">
        <f t="shared" si="45"/>
        <v>",Stage= "</v>
      </c>
      <c r="P190">
        <f>Match!H191</f>
        <v>0</v>
      </c>
      <c r="Q190" t="str">
        <f t="shared" si="46"/>
        <v>",SubStage= "</v>
      </c>
      <c r="R190">
        <f>Match!I191</f>
        <v>0</v>
      </c>
      <c r="S190" t="str">
        <f t="shared" si="47"/>
        <v>",HTeam= "</v>
      </c>
      <c r="T190">
        <f>Match!J191</f>
        <v>0</v>
      </c>
      <c r="U190" t="str">
        <f t="shared" si="48"/>
        <v>",HGoal=</v>
      </c>
      <c r="V190">
        <f>Match!K191</f>
        <v>0</v>
      </c>
      <c r="W190" t="str">
        <f t="shared" si="49"/>
        <v>,GGoal=</v>
      </c>
      <c r="X190">
        <f>Match!L191</f>
        <v>0</v>
      </c>
      <c r="Y190" t="str">
        <f t="shared" si="50"/>
        <v>,GTeam= "</v>
      </c>
      <c r="Z190">
        <f>Match!M191</f>
        <v>0</v>
      </c>
      <c r="AA190" t="str">
        <f t="shared" si="51"/>
        <v>",WinNote="</v>
      </c>
      <c r="AB190" t="str">
        <f>IF(Match!N191="","",Match!N191)</f>
        <v/>
      </c>
      <c r="AC190" t="str">
        <f t="shared" si="52"/>
        <v xml:space="preserve">",Stadium=" </v>
      </c>
      <c r="AD190" s="95">
        <f>Match!O191</f>
        <v>0</v>
      </c>
      <c r="AE190" t="str">
        <f t="shared" si="53"/>
        <v>",Referee= "</v>
      </c>
      <c r="AF190" s="95" t="str">
        <f>IF(Match!P191="","",Match!P191)</f>
        <v/>
      </c>
      <c r="AG190" t="str">
        <f t="shared" si="54"/>
        <v xml:space="preserve">",Visistors= </v>
      </c>
      <c r="AH190" s="95">
        <f>IF(Match!Q191="",0,Match!Q191)</f>
        <v>0</v>
      </c>
      <c r="AI190" t="str">
        <f t="shared" si="55"/>
        <v>,Status= "</v>
      </c>
      <c r="AJ190" s="95">
        <f>Match!R191</f>
        <v>0</v>
      </c>
      <c r="AK190" t="str">
        <f t="shared" si="56"/>
        <v>" },</v>
      </c>
    </row>
    <row r="191" spans="1:37" x14ac:dyDescent="0.25">
      <c r="A191" s="94" t="str">
        <f t="shared" si="38"/>
        <v>new Match { MatchId= "</v>
      </c>
      <c r="B191">
        <f>Match!A192</f>
        <v>0</v>
      </c>
      <c r="C191" s="94" t="str">
        <f t="shared" si="39"/>
        <v>",MatchNumber=</v>
      </c>
      <c r="D191">
        <f>Match!B192</f>
        <v>0</v>
      </c>
      <c r="E191" s="94" t="str">
        <f t="shared" si="40"/>
        <v>,DateMatch=DateTime.Parse("</v>
      </c>
      <c r="F191" s="85">
        <f>Match!C192</f>
        <v>0</v>
      </c>
      <c r="G191" s="92" t="str">
        <f t="shared" si="41"/>
        <v>"),TimeMatch=TimeSpan.Parse("</v>
      </c>
      <c r="H191" s="93">
        <f>Match!D192</f>
        <v>0</v>
      </c>
      <c r="I191" s="94" t="str">
        <f t="shared" si="42"/>
        <v>"),MatchYear=</v>
      </c>
      <c r="J191">
        <f>Match!E192</f>
        <v>0</v>
      </c>
      <c r="K191" s="94" t="str">
        <f t="shared" si="43"/>
        <v>, SeasonId= "</v>
      </c>
      <c r="L191">
        <f>Match!F192</f>
        <v>0</v>
      </c>
      <c r="M191" s="94" t="str">
        <f t="shared" si="44"/>
        <v>",Round= "</v>
      </c>
      <c r="N191">
        <f>Match!G192</f>
        <v>0</v>
      </c>
      <c r="O191" t="str">
        <f t="shared" si="45"/>
        <v>",Stage= "</v>
      </c>
      <c r="P191">
        <f>Match!H192</f>
        <v>0</v>
      </c>
      <c r="Q191" t="str">
        <f t="shared" si="46"/>
        <v>",SubStage= "</v>
      </c>
      <c r="R191">
        <f>Match!I192</f>
        <v>0</v>
      </c>
      <c r="S191" t="str">
        <f t="shared" si="47"/>
        <v>",HTeam= "</v>
      </c>
      <c r="T191">
        <f>Match!J192</f>
        <v>0</v>
      </c>
      <c r="U191" t="str">
        <f t="shared" si="48"/>
        <v>",HGoal=</v>
      </c>
      <c r="V191">
        <f>Match!K192</f>
        <v>0</v>
      </c>
      <c r="W191" t="str">
        <f t="shared" si="49"/>
        <v>,GGoal=</v>
      </c>
      <c r="X191">
        <f>Match!L192</f>
        <v>0</v>
      </c>
      <c r="Y191" t="str">
        <f t="shared" si="50"/>
        <v>,GTeam= "</v>
      </c>
      <c r="Z191">
        <f>Match!M192</f>
        <v>0</v>
      </c>
      <c r="AA191" t="str">
        <f t="shared" si="51"/>
        <v>",WinNote="</v>
      </c>
      <c r="AB191" t="str">
        <f>IF(Match!N192="","",Match!N192)</f>
        <v/>
      </c>
      <c r="AC191" t="str">
        <f t="shared" si="52"/>
        <v xml:space="preserve">",Stadium=" </v>
      </c>
      <c r="AD191" s="95">
        <f>Match!O192</f>
        <v>0</v>
      </c>
      <c r="AE191" t="str">
        <f t="shared" si="53"/>
        <v>",Referee= "</v>
      </c>
      <c r="AF191" s="95" t="str">
        <f>IF(Match!P192="","",Match!P192)</f>
        <v/>
      </c>
      <c r="AG191" t="str">
        <f t="shared" si="54"/>
        <v xml:space="preserve">",Visistors= </v>
      </c>
      <c r="AH191" s="95">
        <f>IF(Match!Q192="",0,Match!Q192)</f>
        <v>0</v>
      </c>
      <c r="AI191" t="str">
        <f t="shared" si="55"/>
        <v>,Status= "</v>
      </c>
      <c r="AJ191" s="95">
        <f>Match!R192</f>
        <v>0</v>
      </c>
      <c r="AK191" t="str">
        <f t="shared" si="56"/>
        <v>" },</v>
      </c>
    </row>
    <row r="192" spans="1:37" x14ac:dyDescent="0.25">
      <c r="A192" s="94" t="str">
        <f t="shared" si="38"/>
        <v>new Match { MatchId= "</v>
      </c>
      <c r="B192">
        <f>Match!A193</f>
        <v>0</v>
      </c>
      <c r="C192" s="94" t="str">
        <f t="shared" si="39"/>
        <v>",MatchNumber=</v>
      </c>
      <c r="D192">
        <f>Match!B193</f>
        <v>0</v>
      </c>
      <c r="E192" s="94" t="str">
        <f t="shared" si="40"/>
        <v>,DateMatch=DateTime.Parse("</v>
      </c>
      <c r="F192" s="85">
        <f>Match!C193</f>
        <v>0</v>
      </c>
      <c r="G192" s="92" t="str">
        <f t="shared" si="41"/>
        <v>"),TimeMatch=TimeSpan.Parse("</v>
      </c>
      <c r="H192" s="93">
        <f>Match!D193</f>
        <v>0</v>
      </c>
      <c r="I192" s="94" t="str">
        <f t="shared" si="42"/>
        <v>"),MatchYear=</v>
      </c>
      <c r="J192">
        <f>Match!E193</f>
        <v>0</v>
      </c>
      <c r="K192" s="94" t="str">
        <f t="shared" si="43"/>
        <v>, SeasonId= "</v>
      </c>
      <c r="L192">
        <f>Match!F193</f>
        <v>0</v>
      </c>
      <c r="M192" s="94" t="str">
        <f t="shared" si="44"/>
        <v>",Round= "</v>
      </c>
      <c r="N192">
        <f>Match!G193</f>
        <v>0</v>
      </c>
      <c r="O192" t="str">
        <f t="shared" si="45"/>
        <v>",Stage= "</v>
      </c>
      <c r="P192">
        <f>Match!H193</f>
        <v>0</v>
      </c>
      <c r="Q192" t="str">
        <f t="shared" si="46"/>
        <v>",SubStage= "</v>
      </c>
      <c r="R192">
        <f>Match!I193</f>
        <v>0</v>
      </c>
      <c r="S192" t="str">
        <f t="shared" si="47"/>
        <v>",HTeam= "</v>
      </c>
      <c r="T192">
        <f>Match!J193</f>
        <v>0</v>
      </c>
      <c r="U192" t="str">
        <f t="shared" si="48"/>
        <v>",HGoal=</v>
      </c>
      <c r="V192">
        <f>Match!K193</f>
        <v>0</v>
      </c>
      <c r="W192" t="str">
        <f t="shared" si="49"/>
        <v>,GGoal=</v>
      </c>
      <c r="X192">
        <f>Match!L193</f>
        <v>0</v>
      </c>
      <c r="Y192" t="str">
        <f t="shared" si="50"/>
        <v>,GTeam= "</v>
      </c>
      <c r="Z192">
        <f>Match!M193</f>
        <v>0</v>
      </c>
      <c r="AA192" t="str">
        <f t="shared" si="51"/>
        <v>",WinNote="</v>
      </c>
      <c r="AB192" t="str">
        <f>IF(Match!N193="","",Match!N193)</f>
        <v/>
      </c>
      <c r="AC192" t="str">
        <f t="shared" si="52"/>
        <v xml:space="preserve">",Stadium=" </v>
      </c>
      <c r="AD192" s="95">
        <f>Match!O193</f>
        <v>0</v>
      </c>
      <c r="AE192" t="str">
        <f t="shared" si="53"/>
        <v>",Referee= "</v>
      </c>
      <c r="AF192" s="95" t="str">
        <f>IF(Match!P193="","",Match!P193)</f>
        <v/>
      </c>
      <c r="AG192" t="str">
        <f t="shared" si="54"/>
        <v xml:space="preserve">",Visistors= </v>
      </c>
      <c r="AH192" s="95">
        <f>IF(Match!Q193="",0,Match!Q193)</f>
        <v>0</v>
      </c>
      <c r="AI192" t="str">
        <f t="shared" si="55"/>
        <v>,Status= "</v>
      </c>
      <c r="AJ192" s="95">
        <f>Match!R193</f>
        <v>0</v>
      </c>
      <c r="AK192" t="str">
        <f t="shared" si="56"/>
        <v>" },</v>
      </c>
    </row>
    <row r="193" spans="1:37" x14ac:dyDescent="0.25">
      <c r="A193" s="94" t="str">
        <f t="shared" si="38"/>
        <v>new Match { MatchId= "</v>
      </c>
      <c r="B193">
        <f>Match!A194</f>
        <v>0</v>
      </c>
      <c r="C193" s="94" t="str">
        <f t="shared" si="39"/>
        <v>",MatchNumber=</v>
      </c>
      <c r="D193">
        <f>Match!B194</f>
        <v>0</v>
      </c>
      <c r="E193" s="94" t="str">
        <f t="shared" si="40"/>
        <v>,DateMatch=DateTime.Parse("</v>
      </c>
      <c r="F193" s="85">
        <f>Match!C194</f>
        <v>0</v>
      </c>
      <c r="G193" s="92" t="str">
        <f t="shared" si="41"/>
        <v>"),TimeMatch=TimeSpan.Parse("</v>
      </c>
      <c r="H193" s="93">
        <f>Match!D194</f>
        <v>0</v>
      </c>
      <c r="I193" s="94" t="str">
        <f t="shared" si="42"/>
        <v>"),MatchYear=</v>
      </c>
      <c r="J193">
        <f>Match!E194</f>
        <v>0</v>
      </c>
      <c r="K193" s="94" t="str">
        <f t="shared" si="43"/>
        <v>, SeasonId= "</v>
      </c>
      <c r="L193">
        <f>Match!F194</f>
        <v>0</v>
      </c>
      <c r="M193" s="94" t="str">
        <f t="shared" si="44"/>
        <v>",Round= "</v>
      </c>
      <c r="N193">
        <f>Match!G194</f>
        <v>0</v>
      </c>
      <c r="O193" t="str">
        <f t="shared" si="45"/>
        <v>",Stage= "</v>
      </c>
      <c r="P193">
        <f>Match!H194</f>
        <v>0</v>
      </c>
      <c r="Q193" t="str">
        <f t="shared" si="46"/>
        <v>",SubStage= "</v>
      </c>
      <c r="R193">
        <f>Match!I194</f>
        <v>0</v>
      </c>
      <c r="S193" t="str">
        <f t="shared" si="47"/>
        <v>",HTeam= "</v>
      </c>
      <c r="T193">
        <f>Match!J194</f>
        <v>0</v>
      </c>
      <c r="U193" t="str">
        <f t="shared" si="48"/>
        <v>",HGoal=</v>
      </c>
      <c r="V193">
        <f>Match!K194</f>
        <v>0</v>
      </c>
      <c r="W193" t="str">
        <f t="shared" si="49"/>
        <v>,GGoal=</v>
      </c>
      <c r="X193">
        <f>Match!L194</f>
        <v>0</v>
      </c>
      <c r="Y193" t="str">
        <f t="shared" si="50"/>
        <v>,GTeam= "</v>
      </c>
      <c r="Z193">
        <f>Match!M194</f>
        <v>0</v>
      </c>
      <c r="AA193" t="str">
        <f t="shared" si="51"/>
        <v>",WinNote="</v>
      </c>
      <c r="AB193" t="str">
        <f>IF(Match!N194="","",Match!N194)</f>
        <v/>
      </c>
      <c r="AC193" t="str">
        <f t="shared" si="52"/>
        <v xml:space="preserve">",Stadium=" </v>
      </c>
      <c r="AD193" s="95">
        <f>Match!O194</f>
        <v>0</v>
      </c>
      <c r="AE193" t="str">
        <f t="shared" si="53"/>
        <v>",Referee= "</v>
      </c>
      <c r="AF193" s="95" t="str">
        <f>IF(Match!P194="","",Match!P194)</f>
        <v/>
      </c>
      <c r="AG193" t="str">
        <f t="shared" si="54"/>
        <v xml:space="preserve">",Visistors= </v>
      </c>
      <c r="AH193" s="95">
        <f>IF(Match!Q194="",0,Match!Q194)</f>
        <v>0</v>
      </c>
      <c r="AI193" t="str">
        <f t="shared" si="55"/>
        <v>,Status= "</v>
      </c>
      <c r="AJ193" s="95">
        <f>Match!R194</f>
        <v>0</v>
      </c>
      <c r="AK193" t="str">
        <f t="shared" si="56"/>
        <v>" },</v>
      </c>
    </row>
    <row r="194" spans="1:37" x14ac:dyDescent="0.25">
      <c r="A194" s="94" t="str">
        <f t="shared" si="38"/>
        <v>new Match { MatchId= "</v>
      </c>
      <c r="B194">
        <f>Match!A195</f>
        <v>0</v>
      </c>
      <c r="C194" s="94" t="str">
        <f t="shared" si="39"/>
        <v>",MatchNumber=</v>
      </c>
      <c r="D194">
        <f>Match!B195</f>
        <v>0</v>
      </c>
      <c r="E194" s="94" t="str">
        <f t="shared" si="40"/>
        <v>,DateMatch=DateTime.Parse("</v>
      </c>
      <c r="F194" s="85">
        <f>Match!C195</f>
        <v>0</v>
      </c>
      <c r="G194" s="92" t="str">
        <f t="shared" si="41"/>
        <v>"),TimeMatch=TimeSpan.Parse("</v>
      </c>
      <c r="H194" s="93">
        <f>Match!D195</f>
        <v>0</v>
      </c>
      <c r="I194" s="94" t="str">
        <f t="shared" si="42"/>
        <v>"),MatchYear=</v>
      </c>
      <c r="J194">
        <f>Match!E195</f>
        <v>0</v>
      </c>
      <c r="K194" s="94" t="str">
        <f t="shared" si="43"/>
        <v>, SeasonId= "</v>
      </c>
      <c r="L194">
        <f>Match!F195</f>
        <v>0</v>
      </c>
      <c r="M194" s="94" t="str">
        <f t="shared" si="44"/>
        <v>",Round= "</v>
      </c>
      <c r="N194">
        <f>Match!G195</f>
        <v>0</v>
      </c>
      <c r="O194" t="str">
        <f t="shared" si="45"/>
        <v>",Stage= "</v>
      </c>
      <c r="P194">
        <f>Match!H195</f>
        <v>0</v>
      </c>
      <c r="Q194" t="str">
        <f t="shared" si="46"/>
        <v>",SubStage= "</v>
      </c>
      <c r="R194">
        <f>Match!I195</f>
        <v>0</v>
      </c>
      <c r="S194" t="str">
        <f t="shared" si="47"/>
        <v>",HTeam= "</v>
      </c>
      <c r="T194">
        <f>Match!J195</f>
        <v>0</v>
      </c>
      <c r="U194" t="str">
        <f t="shared" si="48"/>
        <v>",HGoal=</v>
      </c>
      <c r="V194">
        <f>Match!K195</f>
        <v>0</v>
      </c>
      <c r="W194" t="str">
        <f t="shared" si="49"/>
        <v>,GGoal=</v>
      </c>
      <c r="X194">
        <f>Match!L195</f>
        <v>0</v>
      </c>
      <c r="Y194" t="str">
        <f t="shared" si="50"/>
        <v>,GTeam= "</v>
      </c>
      <c r="Z194">
        <f>Match!M195</f>
        <v>0</v>
      </c>
      <c r="AA194" t="str">
        <f t="shared" si="51"/>
        <v>",WinNote="</v>
      </c>
      <c r="AB194" t="str">
        <f>IF(Match!N195="","",Match!N195)</f>
        <v/>
      </c>
      <c r="AC194" t="str">
        <f t="shared" si="52"/>
        <v xml:space="preserve">",Stadium=" </v>
      </c>
      <c r="AD194" s="95">
        <f>Match!O195</f>
        <v>0</v>
      </c>
      <c r="AE194" t="str">
        <f t="shared" si="53"/>
        <v>",Referee= "</v>
      </c>
      <c r="AF194" s="95" t="str">
        <f>IF(Match!P195="","",Match!P195)</f>
        <v/>
      </c>
      <c r="AG194" t="str">
        <f t="shared" si="54"/>
        <v xml:space="preserve">",Visistors= </v>
      </c>
      <c r="AH194" s="95">
        <f>IF(Match!Q195="",0,Match!Q195)</f>
        <v>0</v>
      </c>
      <c r="AI194" t="str">
        <f t="shared" si="55"/>
        <v>,Status= "</v>
      </c>
      <c r="AJ194" s="95">
        <f>Match!R195</f>
        <v>0</v>
      </c>
      <c r="AK194" t="str">
        <f t="shared" si="56"/>
        <v>" },</v>
      </c>
    </row>
    <row r="195" spans="1:37" x14ac:dyDescent="0.25">
      <c r="A195" s="94" t="str">
        <f t="shared" ref="A195:A258" si="57">A194</f>
        <v>new Match { MatchId= "</v>
      </c>
      <c r="B195">
        <f>Match!A196</f>
        <v>0</v>
      </c>
      <c r="C195" s="94" t="str">
        <f t="shared" ref="C195:C258" si="58">C194</f>
        <v>",MatchNumber=</v>
      </c>
      <c r="D195">
        <f>Match!B196</f>
        <v>0</v>
      </c>
      <c r="E195" s="94" t="str">
        <f t="shared" ref="E195:E258" si="59">E194</f>
        <v>,DateMatch=DateTime.Parse("</v>
      </c>
      <c r="F195" s="85">
        <f>Match!C196</f>
        <v>0</v>
      </c>
      <c r="G195" s="92" t="str">
        <f t="shared" ref="G195:G258" si="60">G194</f>
        <v>"),TimeMatch=TimeSpan.Parse("</v>
      </c>
      <c r="H195" s="93">
        <f>Match!D196</f>
        <v>0</v>
      </c>
      <c r="I195" s="94" t="str">
        <f t="shared" ref="I195:I258" si="61">I194</f>
        <v>"),MatchYear=</v>
      </c>
      <c r="J195">
        <f>Match!E196</f>
        <v>0</v>
      </c>
      <c r="K195" s="94" t="str">
        <f t="shared" ref="K195:K258" si="62">K194</f>
        <v>, SeasonId= "</v>
      </c>
      <c r="L195">
        <f>Match!F196</f>
        <v>0</v>
      </c>
      <c r="M195" s="94" t="str">
        <f t="shared" ref="M195:M258" si="63">M194</f>
        <v>",Round= "</v>
      </c>
      <c r="N195">
        <f>Match!G196</f>
        <v>0</v>
      </c>
      <c r="O195" t="str">
        <f t="shared" ref="O195:O258" si="64">O194</f>
        <v>",Stage= "</v>
      </c>
      <c r="P195">
        <f>Match!H196</f>
        <v>0</v>
      </c>
      <c r="Q195" t="str">
        <f t="shared" ref="Q195:Q258" si="65">Q194</f>
        <v>",SubStage= "</v>
      </c>
      <c r="R195">
        <f>Match!I196</f>
        <v>0</v>
      </c>
      <c r="S195" t="str">
        <f t="shared" ref="S195:S258" si="66">S194</f>
        <v>",HTeam= "</v>
      </c>
      <c r="T195">
        <f>Match!J196</f>
        <v>0</v>
      </c>
      <c r="U195" t="str">
        <f t="shared" ref="U195:U258" si="67">U194</f>
        <v>",HGoal=</v>
      </c>
      <c r="V195">
        <f>Match!K196</f>
        <v>0</v>
      </c>
      <c r="W195" t="str">
        <f t="shared" ref="W195:W258" si="68">W194</f>
        <v>,GGoal=</v>
      </c>
      <c r="X195">
        <f>Match!L196</f>
        <v>0</v>
      </c>
      <c r="Y195" t="str">
        <f t="shared" ref="Y195:Y258" si="69">Y194</f>
        <v>,GTeam= "</v>
      </c>
      <c r="Z195">
        <f>Match!M196</f>
        <v>0</v>
      </c>
      <c r="AA195" t="str">
        <f t="shared" ref="AA195:AA258" si="70">AA194</f>
        <v>",WinNote="</v>
      </c>
      <c r="AB195" t="str">
        <f>IF(Match!N196="","",Match!N196)</f>
        <v/>
      </c>
      <c r="AC195" t="str">
        <f t="shared" ref="AC195:AC258" si="71">AC194</f>
        <v xml:space="preserve">",Stadium=" </v>
      </c>
      <c r="AD195" s="95">
        <f>Match!O196</f>
        <v>0</v>
      </c>
      <c r="AE195" t="str">
        <f t="shared" ref="AE195:AE258" si="72">AE194</f>
        <v>",Referee= "</v>
      </c>
      <c r="AF195" s="95" t="str">
        <f>IF(Match!P196="","",Match!P196)</f>
        <v/>
      </c>
      <c r="AG195" t="str">
        <f t="shared" ref="AG195:AG258" si="73">AG194</f>
        <v xml:space="preserve">",Visistors= </v>
      </c>
      <c r="AH195" s="95">
        <f>IF(Match!Q196="",0,Match!Q196)</f>
        <v>0</v>
      </c>
      <c r="AI195" t="str">
        <f t="shared" ref="AI195:AI258" si="74">AI194</f>
        <v>,Status= "</v>
      </c>
      <c r="AJ195" s="95">
        <f>Match!R196</f>
        <v>0</v>
      </c>
      <c r="AK195" t="str">
        <f t="shared" ref="AK195:AK258" si="75">AK194</f>
        <v>" },</v>
      </c>
    </row>
    <row r="196" spans="1:37" x14ac:dyDescent="0.25">
      <c r="A196" s="94" t="str">
        <f t="shared" si="57"/>
        <v>new Match { MatchId= "</v>
      </c>
      <c r="B196">
        <f>Match!A197</f>
        <v>0</v>
      </c>
      <c r="C196" s="94" t="str">
        <f t="shared" si="58"/>
        <v>",MatchNumber=</v>
      </c>
      <c r="D196">
        <f>Match!B197</f>
        <v>0</v>
      </c>
      <c r="E196" s="94" t="str">
        <f t="shared" si="59"/>
        <v>,DateMatch=DateTime.Parse("</v>
      </c>
      <c r="F196" s="85">
        <f>Match!C197</f>
        <v>0</v>
      </c>
      <c r="G196" s="92" t="str">
        <f t="shared" si="60"/>
        <v>"),TimeMatch=TimeSpan.Parse("</v>
      </c>
      <c r="H196" s="93">
        <f>Match!D197</f>
        <v>0</v>
      </c>
      <c r="I196" s="94" t="str">
        <f t="shared" si="61"/>
        <v>"),MatchYear=</v>
      </c>
      <c r="J196">
        <f>Match!E197</f>
        <v>0</v>
      </c>
      <c r="K196" s="94" t="str">
        <f t="shared" si="62"/>
        <v>, SeasonId= "</v>
      </c>
      <c r="L196">
        <f>Match!F197</f>
        <v>0</v>
      </c>
      <c r="M196" s="94" t="str">
        <f t="shared" si="63"/>
        <v>",Round= "</v>
      </c>
      <c r="N196">
        <f>Match!G197</f>
        <v>0</v>
      </c>
      <c r="O196" t="str">
        <f t="shared" si="64"/>
        <v>",Stage= "</v>
      </c>
      <c r="P196">
        <f>Match!H197</f>
        <v>0</v>
      </c>
      <c r="Q196" t="str">
        <f t="shared" si="65"/>
        <v>",SubStage= "</v>
      </c>
      <c r="R196">
        <f>Match!I197</f>
        <v>0</v>
      </c>
      <c r="S196" t="str">
        <f t="shared" si="66"/>
        <v>",HTeam= "</v>
      </c>
      <c r="T196">
        <f>Match!J197</f>
        <v>0</v>
      </c>
      <c r="U196" t="str">
        <f t="shared" si="67"/>
        <v>",HGoal=</v>
      </c>
      <c r="V196">
        <f>Match!K197</f>
        <v>0</v>
      </c>
      <c r="W196" t="str">
        <f t="shared" si="68"/>
        <v>,GGoal=</v>
      </c>
      <c r="X196">
        <f>Match!L197</f>
        <v>0</v>
      </c>
      <c r="Y196" t="str">
        <f t="shared" si="69"/>
        <v>,GTeam= "</v>
      </c>
      <c r="Z196">
        <f>Match!M197</f>
        <v>0</v>
      </c>
      <c r="AA196" t="str">
        <f t="shared" si="70"/>
        <v>",WinNote="</v>
      </c>
      <c r="AB196" t="str">
        <f>IF(Match!N197="","",Match!N197)</f>
        <v/>
      </c>
      <c r="AC196" t="str">
        <f t="shared" si="71"/>
        <v xml:space="preserve">",Stadium=" </v>
      </c>
      <c r="AD196" s="95">
        <f>Match!O197</f>
        <v>0</v>
      </c>
      <c r="AE196" t="str">
        <f t="shared" si="72"/>
        <v>",Referee= "</v>
      </c>
      <c r="AF196" s="95" t="str">
        <f>IF(Match!P197="","",Match!P197)</f>
        <v/>
      </c>
      <c r="AG196" t="str">
        <f t="shared" si="73"/>
        <v xml:space="preserve">",Visistors= </v>
      </c>
      <c r="AH196" s="95">
        <f>IF(Match!Q197="",0,Match!Q197)</f>
        <v>0</v>
      </c>
      <c r="AI196" t="str">
        <f t="shared" si="74"/>
        <v>,Status= "</v>
      </c>
      <c r="AJ196" s="95">
        <f>Match!R197</f>
        <v>0</v>
      </c>
      <c r="AK196" t="str">
        <f t="shared" si="75"/>
        <v>" },</v>
      </c>
    </row>
    <row r="197" spans="1:37" x14ac:dyDescent="0.25">
      <c r="A197" s="94" t="str">
        <f t="shared" si="57"/>
        <v>new Match { MatchId= "</v>
      </c>
      <c r="B197">
        <f>Match!A198</f>
        <v>0</v>
      </c>
      <c r="C197" s="94" t="str">
        <f t="shared" si="58"/>
        <v>",MatchNumber=</v>
      </c>
      <c r="D197">
        <f>Match!B198</f>
        <v>0</v>
      </c>
      <c r="E197" s="94" t="str">
        <f t="shared" si="59"/>
        <v>,DateMatch=DateTime.Parse("</v>
      </c>
      <c r="F197" s="85">
        <f>Match!C198</f>
        <v>0</v>
      </c>
      <c r="G197" s="92" t="str">
        <f t="shared" si="60"/>
        <v>"),TimeMatch=TimeSpan.Parse("</v>
      </c>
      <c r="H197" s="93">
        <f>Match!D198</f>
        <v>0</v>
      </c>
      <c r="I197" s="94" t="str">
        <f t="shared" si="61"/>
        <v>"),MatchYear=</v>
      </c>
      <c r="J197">
        <f>Match!E198</f>
        <v>0</v>
      </c>
      <c r="K197" s="94" t="str">
        <f t="shared" si="62"/>
        <v>, SeasonId= "</v>
      </c>
      <c r="L197">
        <f>Match!F198</f>
        <v>0</v>
      </c>
      <c r="M197" s="94" t="str">
        <f t="shared" si="63"/>
        <v>",Round= "</v>
      </c>
      <c r="N197">
        <f>Match!G198</f>
        <v>0</v>
      </c>
      <c r="O197" t="str">
        <f t="shared" si="64"/>
        <v>",Stage= "</v>
      </c>
      <c r="P197">
        <f>Match!H198</f>
        <v>0</v>
      </c>
      <c r="Q197" t="str">
        <f t="shared" si="65"/>
        <v>",SubStage= "</v>
      </c>
      <c r="R197">
        <f>Match!I198</f>
        <v>0</v>
      </c>
      <c r="S197" t="str">
        <f t="shared" si="66"/>
        <v>",HTeam= "</v>
      </c>
      <c r="T197">
        <f>Match!J198</f>
        <v>0</v>
      </c>
      <c r="U197" t="str">
        <f t="shared" si="67"/>
        <v>",HGoal=</v>
      </c>
      <c r="V197">
        <f>Match!K198</f>
        <v>0</v>
      </c>
      <c r="W197" t="str">
        <f t="shared" si="68"/>
        <v>,GGoal=</v>
      </c>
      <c r="X197">
        <f>Match!L198</f>
        <v>0</v>
      </c>
      <c r="Y197" t="str">
        <f t="shared" si="69"/>
        <v>,GTeam= "</v>
      </c>
      <c r="Z197">
        <f>Match!M198</f>
        <v>0</v>
      </c>
      <c r="AA197" t="str">
        <f t="shared" si="70"/>
        <v>",WinNote="</v>
      </c>
      <c r="AB197" t="str">
        <f>IF(Match!N198="","",Match!N198)</f>
        <v/>
      </c>
      <c r="AC197" t="str">
        <f t="shared" si="71"/>
        <v xml:space="preserve">",Stadium=" </v>
      </c>
      <c r="AD197" s="95">
        <f>Match!O198</f>
        <v>0</v>
      </c>
      <c r="AE197" t="str">
        <f t="shared" si="72"/>
        <v>",Referee= "</v>
      </c>
      <c r="AF197" s="95" t="str">
        <f>IF(Match!P198="","",Match!P198)</f>
        <v/>
      </c>
      <c r="AG197" t="str">
        <f t="shared" si="73"/>
        <v xml:space="preserve">",Visistors= </v>
      </c>
      <c r="AH197" s="95">
        <f>IF(Match!Q198="",0,Match!Q198)</f>
        <v>0</v>
      </c>
      <c r="AI197" t="str">
        <f t="shared" si="74"/>
        <v>,Status= "</v>
      </c>
      <c r="AJ197" s="95">
        <f>Match!R198</f>
        <v>0</v>
      </c>
      <c r="AK197" t="str">
        <f t="shared" si="75"/>
        <v>" },</v>
      </c>
    </row>
    <row r="198" spans="1:37" x14ac:dyDescent="0.25">
      <c r="A198" s="94" t="str">
        <f t="shared" si="57"/>
        <v>new Match { MatchId= "</v>
      </c>
      <c r="B198">
        <f>Match!A199</f>
        <v>0</v>
      </c>
      <c r="C198" s="94" t="str">
        <f t="shared" si="58"/>
        <v>",MatchNumber=</v>
      </c>
      <c r="D198">
        <f>Match!B199</f>
        <v>0</v>
      </c>
      <c r="E198" s="94" t="str">
        <f t="shared" si="59"/>
        <v>,DateMatch=DateTime.Parse("</v>
      </c>
      <c r="F198" s="85">
        <f>Match!C199</f>
        <v>0</v>
      </c>
      <c r="G198" s="92" t="str">
        <f t="shared" si="60"/>
        <v>"),TimeMatch=TimeSpan.Parse("</v>
      </c>
      <c r="H198" s="93">
        <f>Match!D199</f>
        <v>0</v>
      </c>
      <c r="I198" s="94" t="str">
        <f t="shared" si="61"/>
        <v>"),MatchYear=</v>
      </c>
      <c r="J198">
        <f>Match!E199</f>
        <v>0</v>
      </c>
      <c r="K198" s="94" t="str">
        <f t="shared" si="62"/>
        <v>, SeasonId= "</v>
      </c>
      <c r="L198">
        <f>Match!F199</f>
        <v>0</v>
      </c>
      <c r="M198" s="94" t="str">
        <f t="shared" si="63"/>
        <v>",Round= "</v>
      </c>
      <c r="N198">
        <f>Match!G199</f>
        <v>0</v>
      </c>
      <c r="O198" t="str">
        <f t="shared" si="64"/>
        <v>",Stage= "</v>
      </c>
      <c r="P198">
        <f>Match!H199</f>
        <v>0</v>
      </c>
      <c r="Q198" t="str">
        <f t="shared" si="65"/>
        <v>",SubStage= "</v>
      </c>
      <c r="R198">
        <f>Match!I199</f>
        <v>0</v>
      </c>
      <c r="S198" t="str">
        <f t="shared" si="66"/>
        <v>",HTeam= "</v>
      </c>
      <c r="T198">
        <f>Match!J199</f>
        <v>0</v>
      </c>
      <c r="U198" t="str">
        <f t="shared" si="67"/>
        <v>",HGoal=</v>
      </c>
      <c r="V198">
        <f>Match!K199</f>
        <v>0</v>
      </c>
      <c r="W198" t="str">
        <f t="shared" si="68"/>
        <v>,GGoal=</v>
      </c>
      <c r="X198">
        <f>Match!L199</f>
        <v>0</v>
      </c>
      <c r="Y198" t="str">
        <f t="shared" si="69"/>
        <v>,GTeam= "</v>
      </c>
      <c r="Z198">
        <f>Match!M199</f>
        <v>0</v>
      </c>
      <c r="AA198" t="str">
        <f t="shared" si="70"/>
        <v>",WinNote="</v>
      </c>
      <c r="AB198" t="str">
        <f>IF(Match!N199="","",Match!N199)</f>
        <v/>
      </c>
      <c r="AC198" t="str">
        <f t="shared" si="71"/>
        <v xml:space="preserve">",Stadium=" </v>
      </c>
      <c r="AD198" s="95">
        <f>Match!O199</f>
        <v>0</v>
      </c>
      <c r="AE198" t="str">
        <f t="shared" si="72"/>
        <v>",Referee= "</v>
      </c>
      <c r="AF198" s="95" t="str">
        <f>IF(Match!P199="","",Match!P199)</f>
        <v/>
      </c>
      <c r="AG198" t="str">
        <f t="shared" si="73"/>
        <v xml:space="preserve">",Visistors= </v>
      </c>
      <c r="AH198" s="95">
        <f>IF(Match!Q199="",0,Match!Q199)</f>
        <v>0</v>
      </c>
      <c r="AI198" t="str">
        <f t="shared" si="74"/>
        <v>,Status= "</v>
      </c>
      <c r="AJ198" s="95">
        <f>Match!R199</f>
        <v>0</v>
      </c>
      <c r="AK198" t="str">
        <f t="shared" si="75"/>
        <v>" },</v>
      </c>
    </row>
    <row r="199" spans="1:37" x14ac:dyDescent="0.25">
      <c r="A199" s="94" t="str">
        <f t="shared" si="57"/>
        <v>new Match { MatchId= "</v>
      </c>
      <c r="B199">
        <f>Match!A200</f>
        <v>0</v>
      </c>
      <c r="C199" s="94" t="str">
        <f t="shared" si="58"/>
        <v>",MatchNumber=</v>
      </c>
      <c r="D199">
        <f>Match!B200</f>
        <v>0</v>
      </c>
      <c r="E199" s="94" t="str">
        <f t="shared" si="59"/>
        <v>,DateMatch=DateTime.Parse("</v>
      </c>
      <c r="F199" s="85">
        <f>Match!C200</f>
        <v>0</v>
      </c>
      <c r="G199" s="92" t="str">
        <f t="shared" si="60"/>
        <v>"),TimeMatch=TimeSpan.Parse("</v>
      </c>
      <c r="H199" s="93">
        <f>Match!D200</f>
        <v>0</v>
      </c>
      <c r="I199" s="94" t="str">
        <f t="shared" si="61"/>
        <v>"),MatchYear=</v>
      </c>
      <c r="J199">
        <f>Match!E200</f>
        <v>0</v>
      </c>
      <c r="K199" s="94" t="str">
        <f t="shared" si="62"/>
        <v>, SeasonId= "</v>
      </c>
      <c r="L199">
        <f>Match!F200</f>
        <v>0</v>
      </c>
      <c r="M199" s="94" t="str">
        <f t="shared" si="63"/>
        <v>",Round= "</v>
      </c>
      <c r="N199">
        <f>Match!G200</f>
        <v>0</v>
      </c>
      <c r="O199" t="str">
        <f t="shared" si="64"/>
        <v>",Stage= "</v>
      </c>
      <c r="P199">
        <f>Match!H200</f>
        <v>0</v>
      </c>
      <c r="Q199" t="str">
        <f t="shared" si="65"/>
        <v>",SubStage= "</v>
      </c>
      <c r="R199">
        <f>Match!I200</f>
        <v>0</v>
      </c>
      <c r="S199" t="str">
        <f t="shared" si="66"/>
        <v>",HTeam= "</v>
      </c>
      <c r="T199">
        <f>Match!J200</f>
        <v>0</v>
      </c>
      <c r="U199" t="str">
        <f t="shared" si="67"/>
        <v>",HGoal=</v>
      </c>
      <c r="V199">
        <f>Match!K200</f>
        <v>0</v>
      </c>
      <c r="W199" t="str">
        <f t="shared" si="68"/>
        <v>,GGoal=</v>
      </c>
      <c r="X199">
        <f>Match!L200</f>
        <v>0</v>
      </c>
      <c r="Y199" t="str">
        <f t="shared" si="69"/>
        <v>,GTeam= "</v>
      </c>
      <c r="Z199">
        <f>Match!M200</f>
        <v>0</v>
      </c>
      <c r="AA199" t="str">
        <f t="shared" si="70"/>
        <v>",WinNote="</v>
      </c>
      <c r="AB199" t="str">
        <f>IF(Match!N200="","",Match!N200)</f>
        <v/>
      </c>
      <c r="AC199" t="str">
        <f t="shared" si="71"/>
        <v xml:space="preserve">",Stadium=" </v>
      </c>
      <c r="AD199" s="95">
        <f>Match!O200</f>
        <v>0</v>
      </c>
      <c r="AE199" t="str">
        <f t="shared" si="72"/>
        <v>",Referee= "</v>
      </c>
      <c r="AF199" s="95" t="str">
        <f>IF(Match!P200="","",Match!P200)</f>
        <v/>
      </c>
      <c r="AG199" t="str">
        <f t="shared" si="73"/>
        <v xml:space="preserve">",Visistors= </v>
      </c>
      <c r="AH199" s="95">
        <f>IF(Match!Q200="",0,Match!Q200)</f>
        <v>0</v>
      </c>
      <c r="AI199" t="str">
        <f t="shared" si="74"/>
        <v>,Status= "</v>
      </c>
      <c r="AJ199" s="95">
        <f>Match!R200</f>
        <v>0</v>
      </c>
      <c r="AK199" t="str">
        <f t="shared" si="75"/>
        <v>" },</v>
      </c>
    </row>
    <row r="200" spans="1:37" x14ac:dyDescent="0.25">
      <c r="A200" s="94" t="str">
        <f t="shared" si="57"/>
        <v>new Match { MatchId= "</v>
      </c>
      <c r="B200">
        <f>Match!A201</f>
        <v>0</v>
      </c>
      <c r="C200" s="94" t="str">
        <f t="shared" si="58"/>
        <v>",MatchNumber=</v>
      </c>
      <c r="D200">
        <f>Match!B201</f>
        <v>0</v>
      </c>
      <c r="E200" s="94" t="str">
        <f t="shared" si="59"/>
        <v>,DateMatch=DateTime.Parse("</v>
      </c>
      <c r="F200" s="85">
        <f>Match!C201</f>
        <v>0</v>
      </c>
      <c r="G200" s="92" t="str">
        <f t="shared" si="60"/>
        <v>"),TimeMatch=TimeSpan.Parse("</v>
      </c>
      <c r="H200" s="93">
        <f>Match!D201</f>
        <v>0</v>
      </c>
      <c r="I200" s="94" t="str">
        <f t="shared" si="61"/>
        <v>"),MatchYear=</v>
      </c>
      <c r="J200">
        <f>Match!E201</f>
        <v>0</v>
      </c>
      <c r="K200" s="94" t="str">
        <f t="shared" si="62"/>
        <v>, SeasonId= "</v>
      </c>
      <c r="L200">
        <f>Match!F201</f>
        <v>0</v>
      </c>
      <c r="M200" s="94" t="str">
        <f t="shared" si="63"/>
        <v>",Round= "</v>
      </c>
      <c r="N200">
        <f>Match!G201</f>
        <v>0</v>
      </c>
      <c r="O200" t="str">
        <f t="shared" si="64"/>
        <v>",Stage= "</v>
      </c>
      <c r="P200">
        <f>Match!H201</f>
        <v>0</v>
      </c>
      <c r="Q200" t="str">
        <f t="shared" si="65"/>
        <v>",SubStage= "</v>
      </c>
      <c r="R200">
        <f>Match!I201</f>
        <v>0</v>
      </c>
      <c r="S200" t="str">
        <f t="shared" si="66"/>
        <v>",HTeam= "</v>
      </c>
      <c r="T200">
        <f>Match!J201</f>
        <v>0</v>
      </c>
      <c r="U200" t="str">
        <f t="shared" si="67"/>
        <v>",HGoal=</v>
      </c>
      <c r="V200">
        <f>Match!K201</f>
        <v>0</v>
      </c>
      <c r="W200" t="str">
        <f t="shared" si="68"/>
        <v>,GGoal=</v>
      </c>
      <c r="X200">
        <f>Match!L201</f>
        <v>0</v>
      </c>
      <c r="Y200" t="str">
        <f t="shared" si="69"/>
        <v>,GTeam= "</v>
      </c>
      <c r="Z200">
        <f>Match!M201</f>
        <v>0</v>
      </c>
      <c r="AA200" t="str">
        <f t="shared" si="70"/>
        <v>",WinNote="</v>
      </c>
      <c r="AB200" t="str">
        <f>IF(Match!N201="","",Match!N201)</f>
        <v/>
      </c>
      <c r="AC200" t="str">
        <f t="shared" si="71"/>
        <v xml:space="preserve">",Stadium=" </v>
      </c>
      <c r="AD200" s="95">
        <f>Match!O201</f>
        <v>0</v>
      </c>
      <c r="AE200" t="str">
        <f t="shared" si="72"/>
        <v>",Referee= "</v>
      </c>
      <c r="AF200" s="95" t="str">
        <f>IF(Match!P201="","",Match!P201)</f>
        <v/>
      </c>
      <c r="AG200" t="str">
        <f t="shared" si="73"/>
        <v xml:space="preserve">",Visistors= </v>
      </c>
      <c r="AH200" s="95">
        <f>IF(Match!Q201="",0,Match!Q201)</f>
        <v>0</v>
      </c>
      <c r="AI200" t="str">
        <f t="shared" si="74"/>
        <v>,Status= "</v>
      </c>
      <c r="AJ200" s="95">
        <f>Match!R201</f>
        <v>0</v>
      </c>
      <c r="AK200" t="str">
        <f t="shared" si="75"/>
        <v>" },</v>
      </c>
    </row>
    <row r="201" spans="1:37" x14ac:dyDescent="0.25">
      <c r="A201" s="94" t="str">
        <f t="shared" si="57"/>
        <v>new Match { MatchId= "</v>
      </c>
      <c r="B201">
        <f>Match!A202</f>
        <v>0</v>
      </c>
      <c r="C201" s="94" t="str">
        <f t="shared" si="58"/>
        <v>",MatchNumber=</v>
      </c>
      <c r="D201">
        <f>Match!B202</f>
        <v>0</v>
      </c>
      <c r="E201" s="94" t="str">
        <f t="shared" si="59"/>
        <v>,DateMatch=DateTime.Parse("</v>
      </c>
      <c r="F201" s="85">
        <f>Match!C202</f>
        <v>0</v>
      </c>
      <c r="G201" s="92" t="str">
        <f t="shared" si="60"/>
        <v>"),TimeMatch=TimeSpan.Parse("</v>
      </c>
      <c r="H201" s="93">
        <f>Match!D202</f>
        <v>0</v>
      </c>
      <c r="I201" s="94" t="str">
        <f t="shared" si="61"/>
        <v>"),MatchYear=</v>
      </c>
      <c r="J201">
        <f>Match!E202</f>
        <v>0</v>
      </c>
      <c r="K201" s="94" t="str">
        <f t="shared" si="62"/>
        <v>, SeasonId= "</v>
      </c>
      <c r="L201">
        <f>Match!F202</f>
        <v>0</v>
      </c>
      <c r="M201" s="94" t="str">
        <f t="shared" si="63"/>
        <v>",Round= "</v>
      </c>
      <c r="N201">
        <f>Match!G202</f>
        <v>0</v>
      </c>
      <c r="O201" t="str">
        <f t="shared" si="64"/>
        <v>",Stage= "</v>
      </c>
      <c r="P201">
        <f>Match!H202</f>
        <v>0</v>
      </c>
      <c r="Q201" t="str">
        <f t="shared" si="65"/>
        <v>",SubStage= "</v>
      </c>
      <c r="R201">
        <f>Match!I202</f>
        <v>0</v>
      </c>
      <c r="S201" t="str">
        <f t="shared" si="66"/>
        <v>",HTeam= "</v>
      </c>
      <c r="T201">
        <f>Match!J202</f>
        <v>0</v>
      </c>
      <c r="U201" t="str">
        <f t="shared" si="67"/>
        <v>",HGoal=</v>
      </c>
      <c r="V201">
        <f>Match!K202</f>
        <v>0</v>
      </c>
      <c r="W201" t="str">
        <f t="shared" si="68"/>
        <v>,GGoal=</v>
      </c>
      <c r="X201">
        <f>Match!L202</f>
        <v>0</v>
      </c>
      <c r="Y201" t="str">
        <f t="shared" si="69"/>
        <v>,GTeam= "</v>
      </c>
      <c r="Z201">
        <f>Match!M202</f>
        <v>0</v>
      </c>
      <c r="AA201" t="str">
        <f t="shared" si="70"/>
        <v>",WinNote="</v>
      </c>
      <c r="AB201" t="str">
        <f>IF(Match!N202="","",Match!N202)</f>
        <v/>
      </c>
      <c r="AC201" t="str">
        <f t="shared" si="71"/>
        <v xml:space="preserve">",Stadium=" </v>
      </c>
      <c r="AD201" s="95">
        <f>Match!O202</f>
        <v>0</v>
      </c>
      <c r="AE201" t="str">
        <f t="shared" si="72"/>
        <v>",Referee= "</v>
      </c>
      <c r="AF201" s="95" t="str">
        <f>IF(Match!P202="","",Match!P202)</f>
        <v/>
      </c>
      <c r="AG201" t="str">
        <f t="shared" si="73"/>
        <v xml:space="preserve">",Visistors= </v>
      </c>
      <c r="AH201" s="95">
        <f>IF(Match!Q202="",0,Match!Q202)</f>
        <v>0</v>
      </c>
      <c r="AI201" t="str">
        <f t="shared" si="74"/>
        <v>,Status= "</v>
      </c>
      <c r="AJ201" s="95">
        <f>Match!R202</f>
        <v>0</v>
      </c>
      <c r="AK201" t="str">
        <f t="shared" si="75"/>
        <v>" },</v>
      </c>
    </row>
    <row r="202" spans="1:37" x14ac:dyDescent="0.25">
      <c r="A202" s="94" t="str">
        <f t="shared" si="57"/>
        <v>new Match { MatchId= "</v>
      </c>
      <c r="B202">
        <f>Match!A203</f>
        <v>0</v>
      </c>
      <c r="C202" s="94" t="str">
        <f t="shared" si="58"/>
        <v>",MatchNumber=</v>
      </c>
      <c r="D202">
        <f>Match!B203</f>
        <v>0</v>
      </c>
      <c r="E202" s="94" t="str">
        <f t="shared" si="59"/>
        <v>,DateMatch=DateTime.Parse("</v>
      </c>
      <c r="F202" s="85">
        <f>Match!C203</f>
        <v>0</v>
      </c>
      <c r="G202" s="92" t="str">
        <f t="shared" si="60"/>
        <v>"),TimeMatch=TimeSpan.Parse("</v>
      </c>
      <c r="H202" s="93">
        <f>Match!D203</f>
        <v>0</v>
      </c>
      <c r="I202" s="94" t="str">
        <f t="shared" si="61"/>
        <v>"),MatchYear=</v>
      </c>
      <c r="J202">
        <f>Match!E203</f>
        <v>0</v>
      </c>
      <c r="K202" s="94" t="str">
        <f t="shared" si="62"/>
        <v>, SeasonId= "</v>
      </c>
      <c r="L202">
        <f>Match!F203</f>
        <v>0</v>
      </c>
      <c r="M202" s="94" t="str">
        <f t="shared" si="63"/>
        <v>",Round= "</v>
      </c>
      <c r="N202">
        <f>Match!G203</f>
        <v>0</v>
      </c>
      <c r="O202" t="str">
        <f t="shared" si="64"/>
        <v>",Stage= "</v>
      </c>
      <c r="P202">
        <f>Match!H203</f>
        <v>0</v>
      </c>
      <c r="Q202" t="str">
        <f t="shared" si="65"/>
        <v>",SubStage= "</v>
      </c>
      <c r="R202">
        <f>Match!I203</f>
        <v>0</v>
      </c>
      <c r="S202" t="str">
        <f t="shared" si="66"/>
        <v>",HTeam= "</v>
      </c>
      <c r="T202">
        <f>Match!J203</f>
        <v>0</v>
      </c>
      <c r="U202" t="str">
        <f t="shared" si="67"/>
        <v>",HGoal=</v>
      </c>
      <c r="V202">
        <f>Match!K203</f>
        <v>0</v>
      </c>
      <c r="W202" t="str">
        <f t="shared" si="68"/>
        <v>,GGoal=</v>
      </c>
      <c r="X202">
        <f>Match!L203</f>
        <v>0</v>
      </c>
      <c r="Y202" t="str">
        <f t="shared" si="69"/>
        <v>,GTeam= "</v>
      </c>
      <c r="Z202">
        <f>Match!M203</f>
        <v>0</v>
      </c>
      <c r="AA202" t="str">
        <f t="shared" si="70"/>
        <v>",WinNote="</v>
      </c>
      <c r="AB202" t="str">
        <f>IF(Match!N203="","",Match!N203)</f>
        <v/>
      </c>
      <c r="AC202" t="str">
        <f t="shared" si="71"/>
        <v xml:space="preserve">",Stadium=" </v>
      </c>
      <c r="AD202" s="95">
        <f>Match!O203</f>
        <v>0</v>
      </c>
      <c r="AE202" t="str">
        <f t="shared" si="72"/>
        <v>",Referee= "</v>
      </c>
      <c r="AF202" s="95" t="str">
        <f>IF(Match!P203="","",Match!P203)</f>
        <v/>
      </c>
      <c r="AG202" t="str">
        <f t="shared" si="73"/>
        <v xml:space="preserve">",Visistors= </v>
      </c>
      <c r="AH202" s="95">
        <f>IF(Match!Q203="",0,Match!Q203)</f>
        <v>0</v>
      </c>
      <c r="AI202" t="str">
        <f t="shared" si="74"/>
        <v>,Status= "</v>
      </c>
      <c r="AJ202" s="95">
        <f>Match!R203</f>
        <v>0</v>
      </c>
      <c r="AK202" t="str">
        <f t="shared" si="75"/>
        <v>" },</v>
      </c>
    </row>
    <row r="203" spans="1:37" x14ac:dyDescent="0.25">
      <c r="A203" s="94" t="str">
        <f t="shared" si="57"/>
        <v>new Match { MatchId= "</v>
      </c>
      <c r="B203">
        <f>Match!A204</f>
        <v>0</v>
      </c>
      <c r="C203" s="94" t="str">
        <f t="shared" si="58"/>
        <v>",MatchNumber=</v>
      </c>
      <c r="D203">
        <f>Match!B204</f>
        <v>0</v>
      </c>
      <c r="E203" s="94" t="str">
        <f t="shared" si="59"/>
        <v>,DateMatch=DateTime.Parse("</v>
      </c>
      <c r="F203" s="85">
        <f>Match!C204</f>
        <v>0</v>
      </c>
      <c r="G203" s="92" t="str">
        <f t="shared" si="60"/>
        <v>"),TimeMatch=TimeSpan.Parse("</v>
      </c>
      <c r="H203" s="93">
        <f>Match!D204</f>
        <v>0</v>
      </c>
      <c r="I203" s="94" t="str">
        <f t="shared" si="61"/>
        <v>"),MatchYear=</v>
      </c>
      <c r="J203">
        <f>Match!E204</f>
        <v>0</v>
      </c>
      <c r="K203" s="94" t="str">
        <f t="shared" si="62"/>
        <v>, SeasonId= "</v>
      </c>
      <c r="L203">
        <f>Match!F204</f>
        <v>0</v>
      </c>
      <c r="M203" s="94" t="str">
        <f t="shared" si="63"/>
        <v>",Round= "</v>
      </c>
      <c r="N203">
        <f>Match!G204</f>
        <v>0</v>
      </c>
      <c r="O203" t="str">
        <f t="shared" si="64"/>
        <v>",Stage= "</v>
      </c>
      <c r="P203">
        <f>Match!H204</f>
        <v>0</v>
      </c>
      <c r="Q203" t="str">
        <f t="shared" si="65"/>
        <v>",SubStage= "</v>
      </c>
      <c r="R203">
        <f>Match!I204</f>
        <v>0</v>
      </c>
      <c r="S203" t="str">
        <f t="shared" si="66"/>
        <v>",HTeam= "</v>
      </c>
      <c r="T203">
        <f>Match!J204</f>
        <v>0</v>
      </c>
      <c r="U203" t="str">
        <f t="shared" si="67"/>
        <v>",HGoal=</v>
      </c>
      <c r="V203">
        <f>Match!K204</f>
        <v>0</v>
      </c>
      <c r="W203" t="str">
        <f t="shared" si="68"/>
        <v>,GGoal=</v>
      </c>
      <c r="X203">
        <f>Match!L204</f>
        <v>0</v>
      </c>
      <c r="Y203" t="str">
        <f t="shared" si="69"/>
        <v>,GTeam= "</v>
      </c>
      <c r="Z203">
        <f>Match!M204</f>
        <v>0</v>
      </c>
      <c r="AA203" t="str">
        <f t="shared" si="70"/>
        <v>",WinNote="</v>
      </c>
      <c r="AB203" t="str">
        <f>IF(Match!N204="","",Match!N204)</f>
        <v/>
      </c>
      <c r="AC203" t="str">
        <f t="shared" si="71"/>
        <v xml:space="preserve">",Stadium=" </v>
      </c>
      <c r="AD203" s="95">
        <f>Match!O204</f>
        <v>0</v>
      </c>
      <c r="AE203" t="str">
        <f t="shared" si="72"/>
        <v>",Referee= "</v>
      </c>
      <c r="AF203" s="95" t="str">
        <f>IF(Match!P204="","",Match!P204)</f>
        <v/>
      </c>
      <c r="AG203" t="str">
        <f t="shared" si="73"/>
        <v xml:space="preserve">",Visistors= </v>
      </c>
      <c r="AH203" s="95">
        <f>IF(Match!Q204="",0,Match!Q204)</f>
        <v>0</v>
      </c>
      <c r="AI203" t="str">
        <f t="shared" si="74"/>
        <v>,Status= "</v>
      </c>
      <c r="AJ203" s="95">
        <f>Match!R204</f>
        <v>0</v>
      </c>
      <c r="AK203" t="str">
        <f t="shared" si="75"/>
        <v>" },</v>
      </c>
    </row>
    <row r="204" spans="1:37" x14ac:dyDescent="0.25">
      <c r="A204" s="94" t="str">
        <f t="shared" si="57"/>
        <v>new Match { MatchId= "</v>
      </c>
      <c r="B204">
        <f>Match!A205</f>
        <v>0</v>
      </c>
      <c r="C204" s="94" t="str">
        <f t="shared" si="58"/>
        <v>",MatchNumber=</v>
      </c>
      <c r="D204">
        <f>Match!B205</f>
        <v>0</v>
      </c>
      <c r="E204" s="94" t="str">
        <f t="shared" si="59"/>
        <v>,DateMatch=DateTime.Parse("</v>
      </c>
      <c r="F204" s="85">
        <f>Match!C205</f>
        <v>0</v>
      </c>
      <c r="G204" s="92" t="str">
        <f t="shared" si="60"/>
        <v>"),TimeMatch=TimeSpan.Parse("</v>
      </c>
      <c r="H204" s="93">
        <f>Match!D205</f>
        <v>0</v>
      </c>
      <c r="I204" s="94" t="str">
        <f t="shared" si="61"/>
        <v>"),MatchYear=</v>
      </c>
      <c r="J204">
        <f>Match!E205</f>
        <v>0</v>
      </c>
      <c r="K204" s="94" t="str">
        <f t="shared" si="62"/>
        <v>, SeasonId= "</v>
      </c>
      <c r="L204">
        <f>Match!F205</f>
        <v>0</v>
      </c>
      <c r="M204" s="94" t="str">
        <f t="shared" si="63"/>
        <v>",Round= "</v>
      </c>
      <c r="N204">
        <f>Match!G205</f>
        <v>0</v>
      </c>
      <c r="O204" t="str">
        <f t="shared" si="64"/>
        <v>",Stage= "</v>
      </c>
      <c r="P204">
        <f>Match!H205</f>
        <v>0</v>
      </c>
      <c r="Q204" t="str">
        <f t="shared" si="65"/>
        <v>",SubStage= "</v>
      </c>
      <c r="R204">
        <f>Match!I205</f>
        <v>0</v>
      </c>
      <c r="S204" t="str">
        <f t="shared" si="66"/>
        <v>",HTeam= "</v>
      </c>
      <c r="T204">
        <f>Match!J205</f>
        <v>0</v>
      </c>
      <c r="U204" t="str">
        <f t="shared" si="67"/>
        <v>",HGoal=</v>
      </c>
      <c r="V204">
        <f>Match!K205</f>
        <v>0</v>
      </c>
      <c r="W204" t="str">
        <f t="shared" si="68"/>
        <v>,GGoal=</v>
      </c>
      <c r="X204">
        <f>Match!L205</f>
        <v>0</v>
      </c>
      <c r="Y204" t="str">
        <f t="shared" si="69"/>
        <v>,GTeam= "</v>
      </c>
      <c r="Z204">
        <f>Match!M205</f>
        <v>0</v>
      </c>
      <c r="AA204" t="str">
        <f t="shared" si="70"/>
        <v>",WinNote="</v>
      </c>
      <c r="AB204" t="str">
        <f>IF(Match!N205="","",Match!N205)</f>
        <v/>
      </c>
      <c r="AC204" t="str">
        <f t="shared" si="71"/>
        <v xml:space="preserve">",Stadium=" </v>
      </c>
      <c r="AD204" s="95">
        <f>Match!O205</f>
        <v>0</v>
      </c>
      <c r="AE204" t="str">
        <f t="shared" si="72"/>
        <v>",Referee= "</v>
      </c>
      <c r="AF204" s="95" t="str">
        <f>IF(Match!P205="","",Match!P205)</f>
        <v/>
      </c>
      <c r="AG204" t="str">
        <f t="shared" si="73"/>
        <v xml:space="preserve">",Visistors= </v>
      </c>
      <c r="AH204" s="95">
        <f>IF(Match!Q205="",0,Match!Q205)</f>
        <v>0</v>
      </c>
      <c r="AI204" t="str">
        <f t="shared" si="74"/>
        <v>,Status= "</v>
      </c>
      <c r="AJ204" s="95">
        <f>Match!R205</f>
        <v>0</v>
      </c>
      <c r="AK204" t="str">
        <f t="shared" si="75"/>
        <v>" },</v>
      </c>
    </row>
    <row r="205" spans="1:37" x14ac:dyDescent="0.25">
      <c r="A205" s="94" t="str">
        <f t="shared" si="57"/>
        <v>new Match { MatchId= "</v>
      </c>
      <c r="B205">
        <f>Match!A206</f>
        <v>0</v>
      </c>
      <c r="C205" s="94" t="str">
        <f t="shared" si="58"/>
        <v>",MatchNumber=</v>
      </c>
      <c r="D205">
        <f>Match!B206</f>
        <v>0</v>
      </c>
      <c r="E205" s="94" t="str">
        <f t="shared" si="59"/>
        <v>,DateMatch=DateTime.Parse("</v>
      </c>
      <c r="F205" s="85">
        <f>Match!C206</f>
        <v>0</v>
      </c>
      <c r="G205" s="92" t="str">
        <f t="shared" si="60"/>
        <v>"),TimeMatch=TimeSpan.Parse("</v>
      </c>
      <c r="H205" s="93">
        <f>Match!D206</f>
        <v>0</v>
      </c>
      <c r="I205" s="94" t="str">
        <f t="shared" si="61"/>
        <v>"),MatchYear=</v>
      </c>
      <c r="J205">
        <f>Match!E206</f>
        <v>0</v>
      </c>
      <c r="K205" s="94" t="str">
        <f t="shared" si="62"/>
        <v>, SeasonId= "</v>
      </c>
      <c r="L205">
        <f>Match!F206</f>
        <v>0</v>
      </c>
      <c r="M205" s="94" t="str">
        <f t="shared" si="63"/>
        <v>",Round= "</v>
      </c>
      <c r="N205">
        <f>Match!G206</f>
        <v>0</v>
      </c>
      <c r="O205" t="str">
        <f t="shared" si="64"/>
        <v>",Stage= "</v>
      </c>
      <c r="P205">
        <f>Match!H206</f>
        <v>0</v>
      </c>
      <c r="Q205" t="str">
        <f t="shared" si="65"/>
        <v>",SubStage= "</v>
      </c>
      <c r="R205">
        <f>Match!I206</f>
        <v>0</v>
      </c>
      <c r="S205" t="str">
        <f t="shared" si="66"/>
        <v>",HTeam= "</v>
      </c>
      <c r="T205">
        <f>Match!J206</f>
        <v>0</v>
      </c>
      <c r="U205" t="str">
        <f t="shared" si="67"/>
        <v>",HGoal=</v>
      </c>
      <c r="V205">
        <f>Match!K206</f>
        <v>0</v>
      </c>
      <c r="W205" t="str">
        <f t="shared" si="68"/>
        <v>,GGoal=</v>
      </c>
      <c r="X205">
        <f>Match!L206</f>
        <v>0</v>
      </c>
      <c r="Y205" t="str">
        <f t="shared" si="69"/>
        <v>,GTeam= "</v>
      </c>
      <c r="Z205">
        <f>Match!M206</f>
        <v>0</v>
      </c>
      <c r="AA205" t="str">
        <f t="shared" si="70"/>
        <v>",WinNote="</v>
      </c>
      <c r="AB205" t="str">
        <f>IF(Match!N206="","",Match!N206)</f>
        <v/>
      </c>
      <c r="AC205" t="str">
        <f t="shared" si="71"/>
        <v xml:space="preserve">",Stadium=" </v>
      </c>
      <c r="AD205" s="95">
        <f>Match!O206</f>
        <v>0</v>
      </c>
      <c r="AE205" t="str">
        <f t="shared" si="72"/>
        <v>",Referee= "</v>
      </c>
      <c r="AF205" s="95" t="str">
        <f>IF(Match!P206="","",Match!P206)</f>
        <v/>
      </c>
      <c r="AG205" t="str">
        <f t="shared" si="73"/>
        <v xml:space="preserve">",Visistors= </v>
      </c>
      <c r="AH205" s="95">
        <f>IF(Match!Q206="",0,Match!Q206)</f>
        <v>0</v>
      </c>
      <c r="AI205" t="str">
        <f t="shared" si="74"/>
        <v>,Status= "</v>
      </c>
      <c r="AJ205" s="95">
        <f>Match!R206</f>
        <v>0</v>
      </c>
      <c r="AK205" t="str">
        <f t="shared" si="75"/>
        <v>" },</v>
      </c>
    </row>
    <row r="206" spans="1:37" x14ac:dyDescent="0.25">
      <c r="A206" s="94" t="str">
        <f t="shared" si="57"/>
        <v>new Match { MatchId= "</v>
      </c>
      <c r="B206">
        <f>Match!A207</f>
        <v>0</v>
      </c>
      <c r="C206" s="94" t="str">
        <f t="shared" si="58"/>
        <v>",MatchNumber=</v>
      </c>
      <c r="D206">
        <f>Match!B207</f>
        <v>0</v>
      </c>
      <c r="E206" s="94" t="str">
        <f t="shared" si="59"/>
        <v>,DateMatch=DateTime.Parse("</v>
      </c>
      <c r="F206" s="85">
        <f>Match!C207</f>
        <v>0</v>
      </c>
      <c r="G206" s="92" t="str">
        <f t="shared" si="60"/>
        <v>"),TimeMatch=TimeSpan.Parse("</v>
      </c>
      <c r="H206" s="93">
        <f>Match!D207</f>
        <v>0</v>
      </c>
      <c r="I206" s="94" t="str">
        <f t="shared" si="61"/>
        <v>"),MatchYear=</v>
      </c>
      <c r="J206">
        <f>Match!E207</f>
        <v>0</v>
      </c>
      <c r="K206" s="94" t="str">
        <f t="shared" si="62"/>
        <v>, SeasonId= "</v>
      </c>
      <c r="L206">
        <f>Match!F207</f>
        <v>0</v>
      </c>
      <c r="M206" s="94" t="str">
        <f t="shared" si="63"/>
        <v>",Round= "</v>
      </c>
      <c r="N206">
        <f>Match!G207</f>
        <v>0</v>
      </c>
      <c r="O206" t="str">
        <f t="shared" si="64"/>
        <v>",Stage= "</v>
      </c>
      <c r="P206">
        <f>Match!H207</f>
        <v>0</v>
      </c>
      <c r="Q206" t="str">
        <f t="shared" si="65"/>
        <v>",SubStage= "</v>
      </c>
      <c r="R206">
        <f>Match!I207</f>
        <v>0</v>
      </c>
      <c r="S206" t="str">
        <f t="shared" si="66"/>
        <v>",HTeam= "</v>
      </c>
      <c r="T206">
        <f>Match!J207</f>
        <v>0</v>
      </c>
      <c r="U206" t="str">
        <f t="shared" si="67"/>
        <v>",HGoal=</v>
      </c>
      <c r="V206">
        <f>Match!K207</f>
        <v>0</v>
      </c>
      <c r="W206" t="str">
        <f t="shared" si="68"/>
        <v>,GGoal=</v>
      </c>
      <c r="X206">
        <f>Match!L207</f>
        <v>0</v>
      </c>
      <c r="Y206" t="str">
        <f t="shared" si="69"/>
        <v>,GTeam= "</v>
      </c>
      <c r="Z206">
        <f>Match!M207</f>
        <v>0</v>
      </c>
      <c r="AA206" t="str">
        <f t="shared" si="70"/>
        <v>",WinNote="</v>
      </c>
      <c r="AB206" t="str">
        <f>IF(Match!N207="","",Match!N207)</f>
        <v/>
      </c>
      <c r="AC206" t="str">
        <f t="shared" si="71"/>
        <v xml:space="preserve">",Stadium=" </v>
      </c>
      <c r="AD206" s="95">
        <f>Match!O207</f>
        <v>0</v>
      </c>
      <c r="AE206" t="str">
        <f t="shared" si="72"/>
        <v>",Referee= "</v>
      </c>
      <c r="AF206" s="95" t="str">
        <f>IF(Match!P207="","",Match!P207)</f>
        <v/>
      </c>
      <c r="AG206" t="str">
        <f t="shared" si="73"/>
        <v xml:space="preserve">",Visistors= </v>
      </c>
      <c r="AH206" s="95">
        <f>IF(Match!Q207="",0,Match!Q207)</f>
        <v>0</v>
      </c>
      <c r="AI206" t="str">
        <f t="shared" si="74"/>
        <v>,Status= "</v>
      </c>
      <c r="AJ206" s="95">
        <f>Match!R207</f>
        <v>0</v>
      </c>
      <c r="AK206" t="str">
        <f t="shared" si="75"/>
        <v>" },</v>
      </c>
    </row>
    <row r="207" spans="1:37" x14ac:dyDescent="0.25">
      <c r="A207" s="94" t="str">
        <f t="shared" si="57"/>
        <v>new Match { MatchId= "</v>
      </c>
      <c r="B207">
        <f>Match!A208</f>
        <v>0</v>
      </c>
      <c r="C207" s="94" t="str">
        <f t="shared" si="58"/>
        <v>",MatchNumber=</v>
      </c>
      <c r="D207">
        <f>Match!B208</f>
        <v>0</v>
      </c>
      <c r="E207" s="94" t="str">
        <f t="shared" si="59"/>
        <v>,DateMatch=DateTime.Parse("</v>
      </c>
      <c r="F207" s="85">
        <f>Match!C208</f>
        <v>0</v>
      </c>
      <c r="G207" s="92" t="str">
        <f t="shared" si="60"/>
        <v>"),TimeMatch=TimeSpan.Parse("</v>
      </c>
      <c r="H207" s="93">
        <f>Match!D208</f>
        <v>0</v>
      </c>
      <c r="I207" s="94" t="str">
        <f t="shared" si="61"/>
        <v>"),MatchYear=</v>
      </c>
      <c r="J207">
        <f>Match!E208</f>
        <v>0</v>
      </c>
      <c r="K207" s="94" t="str">
        <f t="shared" si="62"/>
        <v>, SeasonId= "</v>
      </c>
      <c r="L207">
        <f>Match!F208</f>
        <v>0</v>
      </c>
      <c r="M207" s="94" t="str">
        <f t="shared" si="63"/>
        <v>",Round= "</v>
      </c>
      <c r="N207">
        <f>Match!G208</f>
        <v>0</v>
      </c>
      <c r="O207" t="str">
        <f t="shared" si="64"/>
        <v>",Stage= "</v>
      </c>
      <c r="P207">
        <f>Match!H208</f>
        <v>0</v>
      </c>
      <c r="Q207" t="str">
        <f t="shared" si="65"/>
        <v>",SubStage= "</v>
      </c>
      <c r="R207">
        <f>Match!I208</f>
        <v>0</v>
      </c>
      <c r="S207" t="str">
        <f t="shared" si="66"/>
        <v>",HTeam= "</v>
      </c>
      <c r="T207">
        <f>Match!J208</f>
        <v>0</v>
      </c>
      <c r="U207" t="str">
        <f t="shared" si="67"/>
        <v>",HGoal=</v>
      </c>
      <c r="V207">
        <f>Match!K208</f>
        <v>0</v>
      </c>
      <c r="W207" t="str">
        <f t="shared" si="68"/>
        <v>,GGoal=</v>
      </c>
      <c r="X207">
        <f>Match!L208</f>
        <v>0</v>
      </c>
      <c r="Y207" t="str">
        <f t="shared" si="69"/>
        <v>,GTeam= "</v>
      </c>
      <c r="Z207">
        <f>Match!M208</f>
        <v>0</v>
      </c>
      <c r="AA207" t="str">
        <f t="shared" si="70"/>
        <v>",WinNote="</v>
      </c>
      <c r="AB207" t="str">
        <f>IF(Match!N208="","",Match!N208)</f>
        <v/>
      </c>
      <c r="AC207" t="str">
        <f t="shared" si="71"/>
        <v xml:space="preserve">",Stadium=" </v>
      </c>
      <c r="AD207" s="95">
        <f>Match!O208</f>
        <v>0</v>
      </c>
      <c r="AE207" t="str">
        <f t="shared" si="72"/>
        <v>",Referee= "</v>
      </c>
      <c r="AF207" s="95" t="str">
        <f>IF(Match!P208="","",Match!P208)</f>
        <v/>
      </c>
      <c r="AG207" t="str">
        <f t="shared" si="73"/>
        <v xml:space="preserve">",Visistors= </v>
      </c>
      <c r="AH207" s="95">
        <f>IF(Match!Q208="",0,Match!Q208)</f>
        <v>0</v>
      </c>
      <c r="AI207" t="str">
        <f t="shared" si="74"/>
        <v>,Status= "</v>
      </c>
      <c r="AJ207" s="95">
        <f>Match!R208</f>
        <v>0</v>
      </c>
      <c r="AK207" t="str">
        <f t="shared" si="75"/>
        <v>" },</v>
      </c>
    </row>
    <row r="208" spans="1:37" x14ac:dyDescent="0.25">
      <c r="A208" s="94" t="str">
        <f t="shared" si="57"/>
        <v>new Match { MatchId= "</v>
      </c>
      <c r="B208">
        <f>Match!A209</f>
        <v>0</v>
      </c>
      <c r="C208" s="94" t="str">
        <f t="shared" si="58"/>
        <v>",MatchNumber=</v>
      </c>
      <c r="D208">
        <f>Match!B209</f>
        <v>0</v>
      </c>
      <c r="E208" s="94" t="str">
        <f t="shared" si="59"/>
        <v>,DateMatch=DateTime.Parse("</v>
      </c>
      <c r="F208" s="85">
        <f>Match!C209</f>
        <v>0</v>
      </c>
      <c r="G208" s="92" t="str">
        <f t="shared" si="60"/>
        <v>"),TimeMatch=TimeSpan.Parse("</v>
      </c>
      <c r="H208" s="93">
        <f>Match!D209</f>
        <v>0</v>
      </c>
      <c r="I208" s="94" t="str">
        <f t="shared" si="61"/>
        <v>"),MatchYear=</v>
      </c>
      <c r="J208">
        <f>Match!E209</f>
        <v>0</v>
      </c>
      <c r="K208" s="94" t="str">
        <f t="shared" si="62"/>
        <v>, SeasonId= "</v>
      </c>
      <c r="L208">
        <f>Match!F209</f>
        <v>0</v>
      </c>
      <c r="M208" s="94" t="str">
        <f t="shared" si="63"/>
        <v>",Round= "</v>
      </c>
      <c r="N208">
        <f>Match!G209</f>
        <v>0</v>
      </c>
      <c r="O208" t="str">
        <f t="shared" si="64"/>
        <v>",Stage= "</v>
      </c>
      <c r="P208">
        <f>Match!H209</f>
        <v>0</v>
      </c>
      <c r="Q208" t="str">
        <f t="shared" si="65"/>
        <v>",SubStage= "</v>
      </c>
      <c r="R208">
        <f>Match!I209</f>
        <v>0</v>
      </c>
      <c r="S208" t="str">
        <f t="shared" si="66"/>
        <v>",HTeam= "</v>
      </c>
      <c r="T208">
        <f>Match!J209</f>
        <v>0</v>
      </c>
      <c r="U208" t="str">
        <f t="shared" si="67"/>
        <v>",HGoal=</v>
      </c>
      <c r="V208">
        <f>Match!K209</f>
        <v>0</v>
      </c>
      <c r="W208" t="str">
        <f t="shared" si="68"/>
        <v>,GGoal=</v>
      </c>
      <c r="X208">
        <f>Match!L209</f>
        <v>0</v>
      </c>
      <c r="Y208" t="str">
        <f t="shared" si="69"/>
        <v>,GTeam= "</v>
      </c>
      <c r="Z208">
        <f>Match!M209</f>
        <v>0</v>
      </c>
      <c r="AA208" t="str">
        <f t="shared" si="70"/>
        <v>",WinNote="</v>
      </c>
      <c r="AB208" t="str">
        <f>IF(Match!N209="","",Match!N209)</f>
        <v/>
      </c>
      <c r="AC208" t="str">
        <f t="shared" si="71"/>
        <v xml:space="preserve">",Stadium=" </v>
      </c>
      <c r="AD208" s="95">
        <f>Match!O209</f>
        <v>0</v>
      </c>
      <c r="AE208" t="str">
        <f t="shared" si="72"/>
        <v>",Referee= "</v>
      </c>
      <c r="AF208" s="95" t="str">
        <f>IF(Match!P209="","",Match!P209)</f>
        <v/>
      </c>
      <c r="AG208" t="str">
        <f t="shared" si="73"/>
        <v xml:space="preserve">",Visistors= </v>
      </c>
      <c r="AH208" s="95">
        <f>IF(Match!Q209="",0,Match!Q209)</f>
        <v>0</v>
      </c>
      <c r="AI208" t="str">
        <f t="shared" si="74"/>
        <v>,Status= "</v>
      </c>
      <c r="AJ208" s="95">
        <f>Match!R209</f>
        <v>0</v>
      </c>
      <c r="AK208" t="str">
        <f t="shared" si="75"/>
        <v>" },</v>
      </c>
    </row>
    <row r="209" spans="1:37" x14ac:dyDescent="0.25">
      <c r="A209" s="94" t="str">
        <f t="shared" si="57"/>
        <v>new Match { MatchId= "</v>
      </c>
      <c r="B209">
        <f>Match!A210</f>
        <v>0</v>
      </c>
      <c r="C209" s="94" t="str">
        <f t="shared" si="58"/>
        <v>",MatchNumber=</v>
      </c>
      <c r="D209">
        <f>Match!B210</f>
        <v>0</v>
      </c>
      <c r="E209" s="94" t="str">
        <f t="shared" si="59"/>
        <v>,DateMatch=DateTime.Parse("</v>
      </c>
      <c r="F209" s="85">
        <f>Match!C210</f>
        <v>0</v>
      </c>
      <c r="G209" s="92" t="str">
        <f t="shared" si="60"/>
        <v>"),TimeMatch=TimeSpan.Parse("</v>
      </c>
      <c r="H209" s="93">
        <f>Match!D210</f>
        <v>0</v>
      </c>
      <c r="I209" s="94" t="str">
        <f t="shared" si="61"/>
        <v>"),MatchYear=</v>
      </c>
      <c r="J209">
        <f>Match!E210</f>
        <v>0</v>
      </c>
      <c r="K209" s="94" t="str">
        <f t="shared" si="62"/>
        <v>, SeasonId= "</v>
      </c>
      <c r="L209">
        <f>Match!F210</f>
        <v>0</v>
      </c>
      <c r="M209" s="94" t="str">
        <f t="shared" si="63"/>
        <v>",Round= "</v>
      </c>
      <c r="N209">
        <f>Match!G210</f>
        <v>0</v>
      </c>
      <c r="O209" t="str">
        <f t="shared" si="64"/>
        <v>",Stage= "</v>
      </c>
      <c r="P209">
        <f>Match!H210</f>
        <v>0</v>
      </c>
      <c r="Q209" t="str">
        <f t="shared" si="65"/>
        <v>",SubStage= "</v>
      </c>
      <c r="R209">
        <f>Match!I210</f>
        <v>0</v>
      </c>
      <c r="S209" t="str">
        <f t="shared" si="66"/>
        <v>",HTeam= "</v>
      </c>
      <c r="T209">
        <f>Match!J210</f>
        <v>0</v>
      </c>
      <c r="U209" t="str">
        <f t="shared" si="67"/>
        <v>",HGoal=</v>
      </c>
      <c r="V209">
        <f>Match!K210</f>
        <v>0</v>
      </c>
      <c r="W209" t="str">
        <f t="shared" si="68"/>
        <v>,GGoal=</v>
      </c>
      <c r="X209">
        <f>Match!L210</f>
        <v>0</v>
      </c>
      <c r="Y209" t="str">
        <f t="shared" si="69"/>
        <v>,GTeam= "</v>
      </c>
      <c r="Z209">
        <f>Match!M210</f>
        <v>0</v>
      </c>
      <c r="AA209" t="str">
        <f t="shared" si="70"/>
        <v>",WinNote="</v>
      </c>
      <c r="AB209" t="str">
        <f>IF(Match!N210="","",Match!N210)</f>
        <v/>
      </c>
      <c r="AC209" t="str">
        <f t="shared" si="71"/>
        <v xml:space="preserve">",Stadium=" </v>
      </c>
      <c r="AD209" s="95">
        <f>Match!O210</f>
        <v>0</v>
      </c>
      <c r="AE209" t="str">
        <f t="shared" si="72"/>
        <v>",Referee= "</v>
      </c>
      <c r="AF209" s="95" t="str">
        <f>IF(Match!P210="","",Match!P210)</f>
        <v/>
      </c>
      <c r="AG209" t="str">
        <f t="shared" si="73"/>
        <v xml:space="preserve">",Visistors= </v>
      </c>
      <c r="AH209" s="95">
        <f>IF(Match!Q210="",0,Match!Q210)</f>
        <v>0</v>
      </c>
      <c r="AI209" t="str">
        <f t="shared" si="74"/>
        <v>,Status= "</v>
      </c>
      <c r="AJ209" s="95">
        <f>Match!R210</f>
        <v>0</v>
      </c>
      <c r="AK209" t="str">
        <f t="shared" si="75"/>
        <v>" },</v>
      </c>
    </row>
    <row r="210" spans="1:37" x14ac:dyDescent="0.25">
      <c r="A210" s="94" t="str">
        <f t="shared" si="57"/>
        <v>new Match { MatchId= "</v>
      </c>
      <c r="B210">
        <f>Match!A211</f>
        <v>0</v>
      </c>
      <c r="C210" s="94" t="str">
        <f t="shared" si="58"/>
        <v>",MatchNumber=</v>
      </c>
      <c r="D210">
        <f>Match!B211</f>
        <v>0</v>
      </c>
      <c r="E210" s="94" t="str">
        <f t="shared" si="59"/>
        <v>,DateMatch=DateTime.Parse("</v>
      </c>
      <c r="F210" s="85">
        <f>Match!C211</f>
        <v>0</v>
      </c>
      <c r="G210" s="92" t="str">
        <f t="shared" si="60"/>
        <v>"),TimeMatch=TimeSpan.Parse("</v>
      </c>
      <c r="H210" s="93">
        <f>Match!D211</f>
        <v>0</v>
      </c>
      <c r="I210" s="94" t="str">
        <f t="shared" si="61"/>
        <v>"),MatchYear=</v>
      </c>
      <c r="J210">
        <f>Match!E211</f>
        <v>0</v>
      </c>
      <c r="K210" s="94" t="str">
        <f t="shared" si="62"/>
        <v>, SeasonId= "</v>
      </c>
      <c r="L210">
        <f>Match!F211</f>
        <v>0</v>
      </c>
      <c r="M210" s="94" t="str">
        <f t="shared" si="63"/>
        <v>",Round= "</v>
      </c>
      <c r="N210">
        <f>Match!G211</f>
        <v>0</v>
      </c>
      <c r="O210" t="str">
        <f t="shared" si="64"/>
        <v>",Stage= "</v>
      </c>
      <c r="P210">
        <f>Match!H211</f>
        <v>0</v>
      </c>
      <c r="Q210" t="str">
        <f t="shared" si="65"/>
        <v>",SubStage= "</v>
      </c>
      <c r="R210">
        <f>Match!I211</f>
        <v>0</v>
      </c>
      <c r="S210" t="str">
        <f t="shared" si="66"/>
        <v>",HTeam= "</v>
      </c>
      <c r="T210">
        <f>Match!J211</f>
        <v>0</v>
      </c>
      <c r="U210" t="str">
        <f t="shared" si="67"/>
        <v>",HGoal=</v>
      </c>
      <c r="V210">
        <f>Match!K211</f>
        <v>0</v>
      </c>
      <c r="W210" t="str">
        <f t="shared" si="68"/>
        <v>,GGoal=</v>
      </c>
      <c r="X210">
        <f>Match!L211</f>
        <v>0</v>
      </c>
      <c r="Y210" t="str">
        <f t="shared" si="69"/>
        <v>,GTeam= "</v>
      </c>
      <c r="Z210">
        <f>Match!M211</f>
        <v>0</v>
      </c>
      <c r="AA210" t="str">
        <f t="shared" si="70"/>
        <v>",WinNote="</v>
      </c>
      <c r="AB210" t="str">
        <f>IF(Match!N211="","",Match!N211)</f>
        <v/>
      </c>
      <c r="AC210" t="str">
        <f t="shared" si="71"/>
        <v xml:space="preserve">",Stadium=" </v>
      </c>
      <c r="AD210" s="95">
        <f>Match!O211</f>
        <v>0</v>
      </c>
      <c r="AE210" t="str">
        <f t="shared" si="72"/>
        <v>",Referee= "</v>
      </c>
      <c r="AF210" s="95" t="str">
        <f>IF(Match!P211="","",Match!P211)</f>
        <v/>
      </c>
      <c r="AG210" t="str">
        <f t="shared" si="73"/>
        <v xml:space="preserve">",Visistors= </v>
      </c>
      <c r="AH210" s="95">
        <f>IF(Match!Q211="",0,Match!Q211)</f>
        <v>0</v>
      </c>
      <c r="AI210" t="str">
        <f t="shared" si="74"/>
        <v>,Status= "</v>
      </c>
      <c r="AJ210" s="95">
        <f>Match!R211</f>
        <v>0</v>
      </c>
      <c r="AK210" t="str">
        <f t="shared" si="75"/>
        <v>" },</v>
      </c>
    </row>
    <row r="211" spans="1:37" x14ac:dyDescent="0.25">
      <c r="A211" s="94" t="str">
        <f t="shared" si="57"/>
        <v>new Match { MatchId= "</v>
      </c>
      <c r="B211">
        <f>Match!A212</f>
        <v>0</v>
      </c>
      <c r="C211" s="94" t="str">
        <f t="shared" si="58"/>
        <v>",MatchNumber=</v>
      </c>
      <c r="D211">
        <f>Match!B212</f>
        <v>0</v>
      </c>
      <c r="E211" s="94" t="str">
        <f t="shared" si="59"/>
        <v>,DateMatch=DateTime.Parse("</v>
      </c>
      <c r="F211" s="85">
        <f>Match!C212</f>
        <v>0</v>
      </c>
      <c r="G211" s="92" t="str">
        <f t="shared" si="60"/>
        <v>"),TimeMatch=TimeSpan.Parse("</v>
      </c>
      <c r="H211" s="93">
        <f>Match!D212</f>
        <v>0</v>
      </c>
      <c r="I211" s="94" t="str">
        <f t="shared" si="61"/>
        <v>"),MatchYear=</v>
      </c>
      <c r="J211">
        <f>Match!E212</f>
        <v>0</v>
      </c>
      <c r="K211" s="94" t="str">
        <f t="shared" si="62"/>
        <v>, SeasonId= "</v>
      </c>
      <c r="L211">
        <f>Match!F212</f>
        <v>0</v>
      </c>
      <c r="M211" s="94" t="str">
        <f t="shared" si="63"/>
        <v>",Round= "</v>
      </c>
      <c r="N211">
        <f>Match!G212</f>
        <v>0</v>
      </c>
      <c r="O211" t="str">
        <f t="shared" si="64"/>
        <v>",Stage= "</v>
      </c>
      <c r="P211">
        <f>Match!H212</f>
        <v>0</v>
      </c>
      <c r="Q211" t="str">
        <f t="shared" si="65"/>
        <v>",SubStage= "</v>
      </c>
      <c r="R211">
        <f>Match!I212</f>
        <v>0</v>
      </c>
      <c r="S211" t="str">
        <f t="shared" si="66"/>
        <v>",HTeam= "</v>
      </c>
      <c r="T211">
        <f>Match!J212</f>
        <v>0</v>
      </c>
      <c r="U211" t="str">
        <f t="shared" si="67"/>
        <v>",HGoal=</v>
      </c>
      <c r="V211">
        <f>Match!K212</f>
        <v>0</v>
      </c>
      <c r="W211" t="str">
        <f t="shared" si="68"/>
        <v>,GGoal=</v>
      </c>
      <c r="X211">
        <f>Match!L212</f>
        <v>0</v>
      </c>
      <c r="Y211" t="str">
        <f t="shared" si="69"/>
        <v>,GTeam= "</v>
      </c>
      <c r="Z211">
        <f>Match!M212</f>
        <v>0</v>
      </c>
      <c r="AA211" t="str">
        <f t="shared" si="70"/>
        <v>",WinNote="</v>
      </c>
      <c r="AB211" t="str">
        <f>IF(Match!N212="","",Match!N212)</f>
        <v/>
      </c>
      <c r="AC211" t="str">
        <f t="shared" si="71"/>
        <v xml:space="preserve">",Stadium=" </v>
      </c>
      <c r="AD211" s="95">
        <f>Match!O212</f>
        <v>0</v>
      </c>
      <c r="AE211" t="str">
        <f t="shared" si="72"/>
        <v>",Referee= "</v>
      </c>
      <c r="AF211" s="95" t="str">
        <f>IF(Match!P212="","",Match!P212)</f>
        <v/>
      </c>
      <c r="AG211" t="str">
        <f t="shared" si="73"/>
        <v xml:space="preserve">",Visistors= </v>
      </c>
      <c r="AH211" s="95">
        <f>IF(Match!Q212="",0,Match!Q212)</f>
        <v>0</v>
      </c>
      <c r="AI211" t="str">
        <f t="shared" si="74"/>
        <v>,Status= "</v>
      </c>
      <c r="AJ211" s="95">
        <f>Match!R212</f>
        <v>0</v>
      </c>
      <c r="AK211" t="str">
        <f t="shared" si="75"/>
        <v>" },</v>
      </c>
    </row>
    <row r="212" spans="1:37" x14ac:dyDescent="0.25">
      <c r="A212" s="94" t="str">
        <f t="shared" si="57"/>
        <v>new Match { MatchId= "</v>
      </c>
      <c r="B212">
        <f>Match!A213</f>
        <v>0</v>
      </c>
      <c r="C212" s="94" t="str">
        <f t="shared" si="58"/>
        <v>",MatchNumber=</v>
      </c>
      <c r="D212">
        <f>Match!B213</f>
        <v>0</v>
      </c>
      <c r="E212" s="94" t="str">
        <f t="shared" si="59"/>
        <v>,DateMatch=DateTime.Parse("</v>
      </c>
      <c r="F212" s="85">
        <f>Match!C213</f>
        <v>0</v>
      </c>
      <c r="G212" s="92" t="str">
        <f t="shared" si="60"/>
        <v>"),TimeMatch=TimeSpan.Parse("</v>
      </c>
      <c r="H212" s="93">
        <f>Match!D213</f>
        <v>0</v>
      </c>
      <c r="I212" s="94" t="str">
        <f t="shared" si="61"/>
        <v>"),MatchYear=</v>
      </c>
      <c r="J212">
        <f>Match!E213</f>
        <v>0</v>
      </c>
      <c r="K212" s="94" t="str">
        <f t="shared" si="62"/>
        <v>, SeasonId= "</v>
      </c>
      <c r="L212">
        <f>Match!F213</f>
        <v>0</v>
      </c>
      <c r="M212" s="94" t="str">
        <f t="shared" si="63"/>
        <v>",Round= "</v>
      </c>
      <c r="N212">
        <f>Match!G213</f>
        <v>0</v>
      </c>
      <c r="O212" t="str">
        <f t="shared" si="64"/>
        <v>",Stage= "</v>
      </c>
      <c r="P212">
        <f>Match!H213</f>
        <v>0</v>
      </c>
      <c r="Q212" t="str">
        <f t="shared" si="65"/>
        <v>",SubStage= "</v>
      </c>
      <c r="R212">
        <f>Match!I213</f>
        <v>0</v>
      </c>
      <c r="S212" t="str">
        <f t="shared" si="66"/>
        <v>",HTeam= "</v>
      </c>
      <c r="T212">
        <f>Match!J213</f>
        <v>0</v>
      </c>
      <c r="U212" t="str">
        <f t="shared" si="67"/>
        <v>",HGoal=</v>
      </c>
      <c r="V212">
        <f>Match!K213</f>
        <v>0</v>
      </c>
      <c r="W212" t="str">
        <f t="shared" si="68"/>
        <v>,GGoal=</v>
      </c>
      <c r="X212">
        <f>Match!L213</f>
        <v>0</v>
      </c>
      <c r="Y212" t="str">
        <f t="shared" si="69"/>
        <v>,GTeam= "</v>
      </c>
      <c r="Z212">
        <f>Match!M213</f>
        <v>0</v>
      </c>
      <c r="AA212" t="str">
        <f t="shared" si="70"/>
        <v>",WinNote="</v>
      </c>
      <c r="AB212" t="str">
        <f>IF(Match!N213="","",Match!N213)</f>
        <v/>
      </c>
      <c r="AC212" t="str">
        <f t="shared" si="71"/>
        <v xml:space="preserve">",Stadium=" </v>
      </c>
      <c r="AD212" s="95">
        <f>Match!O213</f>
        <v>0</v>
      </c>
      <c r="AE212" t="str">
        <f t="shared" si="72"/>
        <v>",Referee= "</v>
      </c>
      <c r="AF212" s="95" t="str">
        <f>IF(Match!P213="","",Match!P213)</f>
        <v/>
      </c>
      <c r="AG212" t="str">
        <f t="shared" si="73"/>
        <v xml:space="preserve">",Visistors= </v>
      </c>
      <c r="AH212" s="95">
        <f>IF(Match!Q213="",0,Match!Q213)</f>
        <v>0</v>
      </c>
      <c r="AI212" t="str">
        <f t="shared" si="74"/>
        <v>,Status= "</v>
      </c>
      <c r="AJ212" s="95">
        <f>Match!R213</f>
        <v>0</v>
      </c>
      <c r="AK212" t="str">
        <f t="shared" si="75"/>
        <v>" },</v>
      </c>
    </row>
    <row r="213" spans="1:37" x14ac:dyDescent="0.25">
      <c r="A213" s="94" t="str">
        <f t="shared" si="57"/>
        <v>new Match { MatchId= "</v>
      </c>
      <c r="B213">
        <f>Match!A214</f>
        <v>0</v>
      </c>
      <c r="C213" s="94" t="str">
        <f t="shared" si="58"/>
        <v>",MatchNumber=</v>
      </c>
      <c r="D213">
        <f>Match!B214</f>
        <v>0</v>
      </c>
      <c r="E213" s="94" t="str">
        <f t="shared" si="59"/>
        <v>,DateMatch=DateTime.Parse("</v>
      </c>
      <c r="F213" s="85">
        <f>Match!C214</f>
        <v>0</v>
      </c>
      <c r="G213" s="92" t="str">
        <f t="shared" si="60"/>
        <v>"),TimeMatch=TimeSpan.Parse("</v>
      </c>
      <c r="H213" s="93">
        <f>Match!D214</f>
        <v>0</v>
      </c>
      <c r="I213" s="94" t="str">
        <f t="shared" si="61"/>
        <v>"),MatchYear=</v>
      </c>
      <c r="J213">
        <f>Match!E214</f>
        <v>0</v>
      </c>
      <c r="K213" s="94" t="str">
        <f t="shared" si="62"/>
        <v>, SeasonId= "</v>
      </c>
      <c r="L213">
        <f>Match!F214</f>
        <v>0</v>
      </c>
      <c r="M213" s="94" t="str">
        <f t="shared" si="63"/>
        <v>",Round= "</v>
      </c>
      <c r="N213">
        <f>Match!G214</f>
        <v>0</v>
      </c>
      <c r="O213" t="str">
        <f t="shared" si="64"/>
        <v>",Stage= "</v>
      </c>
      <c r="P213">
        <f>Match!H214</f>
        <v>0</v>
      </c>
      <c r="Q213" t="str">
        <f t="shared" si="65"/>
        <v>",SubStage= "</v>
      </c>
      <c r="R213">
        <f>Match!I214</f>
        <v>0</v>
      </c>
      <c r="S213" t="str">
        <f t="shared" si="66"/>
        <v>",HTeam= "</v>
      </c>
      <c r="T213">
        <f>Match!J214</f>
        <v>0</v>
      </c>
      <c r="U213" t="str">
        <f t="shared" si="67"/>
        <v>",HGoal=</v>
      </c>
      <c r="V213">
        <f>Match!K214</f>
        <v>0</v>
      </c>
      <c r="W213" t="str">
        <f t="shared" si="68"/>
        <v>,GGoal=</v>
      </c>
      <c r="X213">
        <f>Match!L214</f>
        <v>0</v>
      </c>
      <c r="Y213" t="str">
        <f t="shared" si="69"/>
        <v>,GTeam= "</v>
      </c>
      <c r="Z213">
        <f>Match!M214</f>
        <v>0</v>
      </c>
      <c r="AA213" t="str">
        <f t="shared" si="70"/>
        <v>",WinNote="</v>
      </c>
      <c r="AB213" t="str">
        <f>IF(Match!N214="","",Match!N214)</f>
        <v/>
      </c>
      <c r="AC213" t="str">
        <f t="shared" si="71"/>
        <v xml:space="preserve">",Stadium=" </v>
      </c>
      <c r="AD213" s="95">
        <f>Match!O214</f>
        <v>0</v>
      </c>
      <c r="AE213" t="str">
        <f t="shared" si="72"/>
        <v>",Referee= "</v>
      </c>
      <c r="AF213" s="95" t="str">
        <f>IF(Match!P214="","",Match!P214)</f>
        <v/>
      </c>
      <c r="AG213" t="str">
        <f t="shared" si="73"/>
        <v xml:space="preserve">",Visistors= </v>
      </c>
      <c r="AH213" s="95">
        <f>IF(Match!Q214="",0,Match!Q214)</f>
        <v>0</v>
      </c>
      <c r="AI213" t="str">
        <f t="shared" si="74"/>
        <v>,Status= "</v>
      </c>
      <c r="AJ213" s="95">
        <f>Match!R214</f>
        <v>0</v>
      </c>
      <c r="AK213" t="str">
        <f t="shared" si="75"/>
        <v>" },</v>
      </c>
    </row>
    <row r="214" spans="1:37" x14ac:dyDescent="0.25">
      <c r="A214" s="94" t="str">
        <f t="shared" si="57"/>
        <v>new Match { MatchId= "</v>
      </c>
      <c r="B214">
        <f>Match!A215</f>
        <v>0</v>
      </c>
      <c r="C214" s="94" t="str">
        <f t="shared" si="58"/>
        <v>",MatchNumber=</v>
      </c>
      <c r="D214">
        <f>Match!B215</f>
        <v>0</v>
      </c>
      <c r="E214" s="94" t="str">
        <f t="shared" si="59"/>
        <v>,DateMatch=DateTime.Parse("</v>
      </c>
      <c r="F214" s="85">
        <f>Match!C215</f>
        <v>0</v>
      </c>
      <c r="G214" s="92" t="str">
        <f t="shared" si="60"/>
        <v>"),TimeMatch=TimeSpan.Parse("</v>
      </c>
      <c r="H214" s="93">
        <f>Match!D215</f>
        <v>0</v>
      </c>
      <c r="I214" s="94" t="str">
        <f t="shared" si="61"/>
        <v>"),MatchYear=</v>
      </c>
      <c r="J214">
        <f>Match!E215</f>
        <v>0</v>
      </c>
      <c r="K214" s="94" t="str">
        <f t="shared" si="62"/>
        <v>, SeasonId= "</v>
      </c>
      <c r="L214">
        <f>Match!F215</f>
        <v>0</v>
      </c>
      <c r="M214" s="94" t="str">
        <f t="shared" si="63"/>
        <v>",Round= "</v>
      </c>
      <c r="N214">
        <f>Match!G215</f>
        <v>0</v>
      </c>
      <c r="O214" t="str">
        <f t="shared" si="64"/>
        <v>",Stage= "</v>
      </c>
      <c r="P214">
        <f>Match!H215</f>
        <v>0</v>
      </c>
      <c r="Q214" t="str">
        <f t="shared" si="65"/>
        <v>",SubStage= "</v>
      </c>
      <c r="R214">
        <f>Match!I215</f>
        <v>0</v>
      </c>
      <c r="S214" t="str">
        <f t="shared" si="66"/>
        <v>",HTeam= "</v>
      </c>
      <c r="T214">
        <f>Match!J215</f>
        <v>0</v>
      </c>
      <c r="U214" t="str">
        <f t="shared" si="67"/>
        <v>",HGoal=</v>
      </c>
      <c r="V214">
        <f>Match!K215</f>
        <v>0</v>
      </c>
      <c r="W214" t="str">
        <f t="shared" si="68"/>
        <v>,GGoal=</v>
      </c>
      <c r="X214">
        <f>Match!L215</f>
        <v>0</v>
      </c>
      <c r="Y214" t="str">
        <f t="shared" si="69"/>
        <v>,GTeam= "</v>
      </c>
      <c r="Z214">
        <f>Match!M215</f>
        <v>0</v>
      </c>
      <c r="AA214" t="str">
        <f t="shared" si="70"/>
        <v>",WinNote="</v>
      </c>
      <c r="AB214" t="str">
        <f>IF(Match!N215="","",Match!N215)</f>
        <v/>
      </c>
      <c r="AC214" t="str">
        <f t="shared" si="71"/>
        <v xml:space="preserve">",Stadium=" </v>
      </c>
      <c r="AD214" s="95">
        <f>Match!O215</f>
        <v>0</v>
      </c>
      <c r="AE214" t="str">
        <f t="shared" si="72"/>
        <v>",Referee= "</v>
      </c>
      <c r="AF214" s="95" t="str">
        <f>IF(Match!P215="","",Match!P215)</f>
        <v/>
      </c>
      <c r="AG214" t="str">
        <f t="shared" si="73"/>
        <v xml:space="preserve">",Visistors= </v>
      </c>
      <c r="AH214" s="95">
        <f>IF(Match!Q215="",0,Match!Q215)</f>
        <v>0</v>
      </c>
      <c r="AI214" t="str">
        <f t="shared" si="74"/>
        <v>,Status= "</v>
      </c>
      <c r="AJ214" s="95">
        <f>Match!R215</f>
        <v>0</v>
      </c>
      <c r="AK214" t="str">
        <f t="shared" si="75"/>
        <v>" },</v>
      </c>
    </row>
    <row r="215" spans="1:37" x14ac:dyDescent="0.25">
      <c r="A215" s="94" t="str">
        <f t="shared" si="57"/>
        <v>new Match { MatchId= "</v>
      </c>
      <c r="B215">
        <f>Match!A216</f>
        <v>0</v>
      </c>
      <c r="C215" s="94" t="str">
        <f t="shared" si="58"/>
        <v>",MatchNumber=</v>
      </c>
      <c r="D215">
        <f>Match!B216</f>
        <v>0</v>
      </c>
      <c r="E215" s="94" t="str">
        <f t="shared" si="59"/>
        <v>,DateMatch=DateTime.Parse("</v>
      </c>
      <c r="F215" s="85">
        <f>Match!C216</f>
        <v>0</v>
      </c>
      <c r="G215" s="92" t="str">
        <f t="shared" si="60"/>
        <v>"),TimeMatch=TimeSpan.Parse("</v>
      </c>
      <c r="H215" s="93">
        <f>Match!D216</f>
        <v>0</v>
      </c>
      <c r="I215" s="94" t="str">
        <f t="shared" si="61"/>
        <v>"),MatchYear=</v>
      </c>
      <c r="J215">
        <f>Match!E216</f>
        <v>0</v>
      </c>
      <c r="K215" s="94" t="str">
        <f t="shared" si="62"/>
        <v>, SeasonId= "</v>
      </c>
      <c r="L215">
        <f>Match!F216</f>
        <v>0</v>
      </c>
      <c r="M215" s="94" t="str">
        <f t="shared" si="63"/>
        <v>",Round= "</v>
      </c>
      <c r="N215">
        <f>Match!G216</f>
        <v>0</v>
      </c>
      <c r="O215" t="str">
        <f t="shared" si="64"/>
        <v>",Stage= "</v>
      </c>
      <c r="P215">
        <f>Match!H216</f>
        <v>0</v>
      </c>
      <c r="Q215" t="str">
        <f t="shared" si="65"/>
        <v>",SubStage= "</v>
      </c>
      <c r="R215">
        <f>Match!I216</f>
        <v>0</v>
      </c>
      <c r="S215" t="str">
        <f t="shared" si="66"/>
        <v>",HTeam= "</v>
      </c>
      <c r="T215">
        <f>Match!J216</f>
        <v>0</v>
      </c>
      <c r="U215" t="str">
        <f t="shared" si="67"/>
        <v>",HGoal=</v>
      </c>
      <c r="V215">
        <f>Match!K216</f>
        <v>0</v>
      </c>
      <c r="W215" t="str">
        <f t="shared" si="68"/>
        <v>,GGoal=</v>
      </c>
      <c r="X215">
        <f>Match!L216</f>
        <v>0</v>
      </c>
      <c r="Y215" t="str">
        <f t="shared" si="69"/>
        <v>,GTeam= "</v>
      </c>
      <c r="Z215">
        <f>Match!M216</f>
        <v>0</v>
      </c>
      <c r="AA215" t="str">
        <f t="shared" si="70"/>
        <v>",WinNote="</v>
      </c>
      <c r="AB215" t="str">
        <f>IF(Match!N216="","",Match!N216)</f>
        <v/>
      </c>
      <c r="AC215" t="str">
        <f t="shared" si="71"/>
        <v xml:space="preserve">",Stadium=" </v>
      </c>
      <c r="AD215" s="95">
        <f>Match!O216</f>
        <v>0</v>
      </c>
      <c r="AE215" t="str">
        <f t="shared" si="72"/>
        <v>",Referee= "</v>
      </c>
      <c r="AF215" s="95" t="str">
        <f>IF(Match!P216="","",Match!P216)</f>
        <v/>
      </c>
      <c r="AG215" t="str">
        <f t="shared" si="73"/>
        <v xml:space="preserve">",Visistors= </v>
      </c>
      <c r="AH215" s="95">
        <f>IF(Match!Q216="",0,Match!Q216)</f>
        <v>0</v>
      </c>
      <c r="AI215" t="str">
        <f t="shared" si="74"/>
        <v>,Status= "</v>
      </c>
      <c r="AJ215" s="95">
        <f>Match!R216</f>
        <v>0</v>
      </c>
      <c r="AK215" t="str">
        <f t="shared" si="75"/>
        <v>" },</v>
      </c>
    </row>
    <row r="216" spans="1:37" x14ac:dyDescent="0.25">
      <c r="A216" s="94" t="str">
        <f t="shared" si="57"/>
        <v>new Match { MatchId= "</v>
      </c>
      <c r="B216">
        <f>Match!A217</f>
        <v>0</v>
      </c>
      <c r="C216" s="94" t="str">
        <f t="shared" si="58"/>
        <v>",MatchNumber=</v>
      </c>
      <c r="D216">
        <f>Match!B217</f>
        <v>0</v>
      </c>
      <c r="E216" s="94" t="str">
        <f t="shared" si="59"/>
        <v>,DateMatch=DateTime.Parse("</v>
      </c>
      <c r="F216" s="85">
        <f>Match!C217</f>
        <v>0</v>
      </c>
      <c r="G216" s="92" t="str">
        <f t="shared" si="60"/>
        <v>"),TimeMatch=TimeSpan.Parse("</v>
      </c>
      <c r="H216" s="93">
        <f>Match!D217</f>
        <v>0</v>
      </c>
      <c r="I216" s="94" t="str">
        <f t="shared" si="61"/>
        <v>"),MatchYear=</v>
      </c>
      <c r="J216">
        <f>Match!E217</f>
        <v>0</v>
      </c>
      <c r="K216" s="94" t="str">
        <f t="shared" si="62"/>
        <v>, SeasonId= "</v>
      </c>
      <c r="L216">
        <f>Match!F217</f>
        <v>0</v>
      </c>
      <c r="M216" s="94" t="str">
        <f t="shared" si="63"/>
        <v>",Round= "</v>
      </c>
      <c r="N216">
        <f>Match!G217</f>
        <v>0</v>
      </c>
      <c r="O216" t="str">
        <f t="shared" si="64"/>
        <v>",Stage= "</v>
      </c>
      <c r="P216">
        <f>Match!H217</f>
        <v>0</v>
      </c>
      <c r="Q216" t="str">
        <f t="shared" si="65"/>
        <v>",SubStage= "</v>
      </c>
      <c r="R216">
        <f>Match!I217</f>
        <v>0</v>
      </c>
      <c r="S216" t="str">
        <f t="shared" si="66"/>
        <v>",HTeam= "</v>
      </c>
      <c r="T216">
        <f>Match!J217</f>
        <v>0</v>
      </c>
      <c r="U216" t="str">
        <f t="shared" si="67"/>
        <v>",HGoal=</v>
      </c>
      <c r="V216">
        <f>Match!K217</f>
        <v>0</v>
      </c>
      <c r="W216" t="str">
        <f t="shared" si="68"/>
        <v>,GGoal=</v>
      </c>
      <c r="X216">
        <f>Match!L217</f>
        <v>0</v>
      </c>
      <c r="Y216" t="str">
        <f t="shared" si="69"/>
        <v>,GTeam= "</v>
      </c>
      <c r="Z216">
        <f>Match!M217</f>
        <v>0</v>
      </c>
      <c r="AA216" t="str">
        <f t="shared" si="70"/>
        <v>",WinNote="</v>
      </c>
      <c r="AB216" t="str">
        <f>IF(Match!N217="","",Match!N217)</f>
        <v/>
      </c>
      <c r="AC216" t="str">
        <f t="shared" si="71"/>
        <v xml:space="preserve">",Stadium=" </v>
      </c>
      <c r="AD216" s="95">
        <f>Match!O217</f>
        <v>0</v>
      </c>
      <c r="AE216" t="str">
        <f t="shared" si="72"/>
        <v>",Referee= "</v>
      </c>
      <c r="AF216" s="95" t="str">
        <f>IF(Match!P217="","",Match!P217)</f>
        <v/>
      </c>
      <c r="AG216" t="str">
        <f t="shared" si="73"/>
        <v xml:space="preserve">",Visistors= </v>
      </c>
      <c r="AH216" s="95">
        <f>IF(Match!Q217="",0,Match!Q217)</f>
        <v>0</v>
      </c>
      <c r="AI216" t="str">
        <f t="shared" si="74"/>
        <v>,Status= "</v>
      </c>
      <c r="AJ216" s="95">
        <f>Match!R217</f>
        <v>0</v>
      </c>
      <c r="AK216" t="str">
        <f t="shared" si="75"/>
        <v>" },</v>
      </c>
    </row>
    <row r="217" spans="1:37" x14ac:dyDescent="0.25">
      <c r="A217" s="94" t="str">
        <f t="shared" si="57"/>
        <v>new Match { MatchId= "</v>
      </c>
      <c r="B217">
        <f>Match!A218</f>
        <v>0</v>
      </c>
      <c r="C217" s="94" t="str">
        <f t="shared" si="58"/>
        <v>",MatchNumber=</v>
      </c>
      <c r="D217">
        <f>Match!B218</f>
        <v>0</v>
      </c>
      <c r="E217" s="94" t="str">
        <f t="shared" si="59"/>
        <v>,DateMatch=DateTime.Parse("</v>
      </c>
      <c r="F217" s="85">
        <f>Match!C218</f>
        <v>0</v>
      </c>
      <c r="G217" s="92" t="str">
        <f t="shared" si="60"/>
        <v>"),TimeMatch=TimeSpan.Parse("</v>
      </c>
      <c r="H217" s="93">
        <f>Match!D218</f>
        <v>0</v>
      </c>
      <c r="I217" s="94" t="str">
        <f t="shared" si="61"/>
        <v>"),MatchYear=</v>
      </c>
      <c r="J217">
        <f>Match!E218</f>
        <v>0</v>
      </c>
      <c r="K217" s="94" t="str">
        <f t="shared" si="62"/>
        <v>, SeasonId= "</v>
      </c>
      <c r="L217">
        <f>Match!F218</f>
        <v>0</v>
      </c>
      <c r="M217" s="94" t="str">
        <f t="shared" si="63"/>
        <v>",Round= "</v>
      </c>
      <c r="N217">
        <f>Match!G218</f>
        <v>0</v>
      </c>
      <c r="O217" t="str">
        <f t="shared" si="64"/>
        <v>",Stage= "</v>
      </c>
      <c r="P217">
        <f>Match!H218</f>
        <v>0</v>
      </c>
      <c r="Q217" t="str">
        <f t="shared" si="65"/>
        <v>",SubStage= "</v>
      </c>
      <c r="R217">
        <f>Match!I218</f>
        <v>0</v>
      </c>
      <c r="S217" t="str">
        <f t="shared" si="66"/>
        <v>",HTeam= "</v>
      </c>
      <c r="T217">
        <f>Match!J218</f>
        <v>0</v>
      </c>
      <c r="U217" t="str">
        <f t="shared" si="67"/>
        <v>",HGoal=</v>
      </c>
      <c r="V217">
        <f>Match!K218</f>
        <v>0</v>
      </c>
      <c r="W217" t="str">
        <f t="shared" si="68"/>
        <v>,GGoal=</v>
      </c>
      <c r="X217">
        <f>Match!L218</f>
        <v>0</v>
      </c>
      <c r="Y217" t="str">
        <f t="shared" si="69"/>
        <v>,GTeam= "</v>
      </c>
      <c r="Z217">
        <f>Match!M218</f>
        <v>0</v>
      </c>
      <c r="AA217" t="str">
        <f t="shared" si="70"/>
        <v>",WinNote="</v>
      </c>
      <c r="AB217" t="str">
        <f>IF(Match!N218="","",Match!N218)</f>
        <v/>
      </c>
      <c r="AC217" t="str">
        <f t="shared" si="71"/>
        <v xml:space="preserve">",Stadium=" </v>
      </c>
      <c r="AD217" s="95">
        <f>Match!O218</f>
        <v>0</v>
      </c>
      <c r="AE217" t="str">
        <f t="shared" si="72"/>
        <v>",Referee= "</v>
      </c>
      <c r="AF217" s="95" t="str">
        <f>IF(Match!P218="","",Match!P218)</f>
        <v/>
      </c>
      <c r="AG217" t="str">
        <f t="shared" si="73"/>
        <v xml:space="preserve">",Visistors= </v>
      </c>
      <c r="AH217" s="95">
        <f>IF(Match!Q218="",0,Match!Q218)</f>
        <v>0</v>
      </c>
      <c r="AI217" t="str">
        <f t="shared" si="74"/>
        <v>,Status= "</v>
      </c>
      <c r="AJ217" s="95">
        <f>Match!R218</f>
        <v>0</v>
      </c>
      <c r="AK217" t="str">
        <f t="shared" si="75"/>
        <v>" },</v>
      </c>
    </row>
    <row r="218" spans="1:37" x14ac:dyDescent="0.25">
      <c r="A218" s="94" t="str">
        <f t="shared" si="57"/>
        <v>new Match { MatchId= "</v>
      </c>
      <c r="B218">
        <f>Match!A219</f>
        <v>0</v>
      </c>
      <c r="C218" s="94" t="str">
        <f t="shared" si="58"/>
        <v>",MatchNumber=</v>
      </c>
      <c r="D218">
        <f>Match!B219</f>
        <v>0</v>
      </c>
      <c r="E218" s="94" t="str">
        <f t="shared" si="59"/>
        <v>,DateMatch=DateTime.Parse("</v>
      </c>
      <c r="F218" s="85">
        <f>Match!C219</f>
        <v>0</v>
      </c>
      <c r="G218" s="92" t="str">
        <f t="shared" si="60"/>
        <v>"),TimeMatch=TimeSpan.Parse("</v>
      </c>
      <c r="H218" s="93">
        <f>Match!D219</f>
        <v>0</v>
      </c>
      <c r="I218" s="94" t="str">
        <f t="shared" si="61"/>
        <v>"),MatchYear=</v>
      </c>
      <c r="J218">
        <f>Match!E219</f>
        <v>0</v>
      </c>
      <c r="K218" s="94" t="str">
        <f t="shared" si="62"/>
        <v>, SeasonId= "</v>
      </c>
      <c r="L218">
        <f>Match!F219</f>
        <v>0</v>
      </c>
      <c r="M218" s="94" t="str">
        <f t="shared" si="63"/>
        <v>",Round= "</v>
      </c>
      <c r="N218">
        <f>Match!G219</f>
        <v>0</v>
      </c>
      <c r="O218" t="str">
        <f t="shared" si="64"/>
        <v>",Stage= "</v>
      </c>
      <c r="P218">
        <f>Match!H219</f>
        <v>0</v>
      </c>
      <c r="Q218" t="str">
        <f t="shared" si="65"/>
        <v>",SubStage= "</v>
      </c>
      <c r="R218">
        <f>Match!I219</f>
        <v>0</v>
      </c>
      <c r="S218" t="str">
        <f t="shared" si="66"/>
        <v>",HTeam= "</v>
      </c>
      <c r="T218">
        <f>Match!J219</f>
        <v>0</v>
      </c>
      <c r="U218" t="str">
        <f t="shared" si="67"/>
        <v>",HGoal=</v>
      </c>
      <c r="V218">
        <f>Match!K219</f>
        <v>0</v>
      </c>
      <c r="W218" t="str">
        <f t="shared" si="68"/>
        <v>,GGoal=</v>
      </c>
      <c r="X218">
        <f>Match!L219</f>
        <v>0</v>
      </c>
      <c r="Y218" t="str">
        <f t="shared" si="69"/>
        <v>,GTeam= "</v>
      </c>
      <c r="Z218">
        <f>Match!M219</f>
        <v>0</v>
      </c>
      <c r="AA218" t="str">
        <f t="shared" si="70"/>
        <v>",WinNote="</v>
      </c>
      <c r="AB218" t="str">
        <f>IF(Match!N219="","",Match!N219)</f>
        <v/>
      </c>
      <c r="AC218" t="str">
        <f t="shared" si="71"/>
        <v xml:space="preserve">",Stadium=" </v>
      </c>
      <c r="AD218" s="95">
        <f>Match!O219</f>
        <v>0</v>
      </c>
      <c r="AE218" t="str">
        <f t="shared" si="72"/>
        <v>",Referee= "</v>
      </c>
      <c r="AF218" s="95" t="str">
        <f>IF(Match!P219="","",Match!P219)</f>
        <v/>
      </c>
      <c r="AG218" t="str">
        <f t="shared" si="73"/>
        <v xml:space="preserve">",Visistors= </v>
      </c>
      <c r="AH218" s="95">
        <f>IF(Match!Q219="",0,Match!Q219)</f>
        <v>0</v>
      </c>
      <c r="AI218" t="str">
        <f t="shared" si="74"/>
        <v>,Status= "</v>
      </c>
      <c r="AJ218" s="95">
        <f>Match!R219</f>
        <v>0</v>
      </c>
      <c r="AK218" t="str">
        <f t="shared" si="75"/>
        <v>" },</v>
      </c>
    </row>
    <row r="219" spans="1:37" x14ac:dyDescent="0.25">
      <c r="A219" s="94" t="str">
        <f t="shared" si="57"/>
        <v>new Match { MatchId= "</v>
      </c>
      <c r="B219">
        <f>Match!A220</f>
        <v>0</v>
      </c>
      <c r="C219" s="94" t="str">
        <f t="shared" si="58"/>
        <v>",MatchNumber=</v>
      </c>
      <c r="D219">
        <f>Match!B220</f>
        <v>0</v>
      </c>
      <c r="E219" s="94" t="str">
        <f t="shared" si="59"/>
        <v>,DateMatch=DateTime.Parse("</v>
      </c>
      <c r="F219" s="85">
        <f>Match!C220</f>
        <v>0</v>
      </c>
      <c r="G219" s="92" t="str">
        <f t="shared" si="60"/>
        <v>"),TimeMatch=TimeSpan.Parse("</v>
      </c>
      <c r="H219" s="93">
        <f>Match!D220</f>
        <v>0</v>
      </c>
      <c r="I219" s="94" t="str">
        <f t="shared" si="61"/>
        <v>"),MatchYear=</v>
      </c>
      <c r="J219">
        <f>Match!E220</f>
        <v>0</v>
      </c>
      <c r="K219" s="94" t="str">
        <f t="shared" si="62"/>
        <v>, SeasonId= "</v>
      </c>
      <c r="L219">
        <f>Match!F220</f>
        <v>0</v>
      </c>
      <c r="M219" s="94" t="str">
        <f t="shared" si="63"/>
        <v>",Round= "</v>
      </c>
      <c r="N219">
        <f>Match!G220</f>
        <v>0</v>
      </c>
      <c r="O219" t="str">
        <f t="shared" si="64"/>
        <v>",Stage= "</v>
      </c>
      <c r="P219">
        <f>Match!H220</f>
        <v>0</v>
      </c>
      <c r="Q219" t="str">
        <f t="shared" si="65"/>
        <v>",SubStage= "</v>
      </c>
      <c r="R219">
        <f>Match!I220</f>
        <v>0</v>
      </c>
      <c r="S219" t="str">
        <f t="shared" si="66"/>
        <v>",HTeam= "</v>
      </c>
      <c r="T219">
        <f>Match!J220</f>
        <v>0</v>
      </c>
      <c r="U219" t="str">
        <f t="shared" si="67"/>
        <v>",HGoal=</v>
      </c>
      <c r="V219">
        <f>Match!K220</f>
        <v>0</v>
      </c>
      <c r="W219" t="str">
        <f t="shared" si="68"/>
        <v>,GGoal=</v>
      </c>
      <c r="X219">
        <f>Match!L220</f>
        <v>0</v>
      </c>
      <c r="Y219" t="str">
        <f t="shared" si="69"/>
        <v>,GTeam= "</v>
      </c>
      <c r="Z219">
        <f>Match!M220</f>
        <v>0</v>
      </c>
      <c r="AA219" t="str">
        <f t="shared" si="70"/>
        <v>",WinNote="</v>
      </c>
      <c r="AB219" t="str">
        <f>IF(Match!N220="","",Match!N220)</f>
        <v/>
      </c>
      <c r="AC219" t="str">
        <f t="shared" si="71"/>
        <v xml:space="preserve">",Stadium=" </v>
      </c>
      <c r="AD219" s="95">
        <f>Match!O220</f>
        <v>0</v>
      </c>
      <c r="AE219" t="str">
        <f t="shared" si="72"/>
        <v>",Referee= "</v>
      </c>
      <c r="AF219" s="95" t="str">
        <f>IF(Match!P220="","",Match!P220)</f>
        <v/>
      </c>
      <c r="AG219" t="str">
        <f t="shared" si="73"/>
        <v xml:space="preserve">",Visistors= </v>
      </c>
      <c r="AH219" s="95">
        <f>IF(Match!Q220="",0,Match!Q220)</f>
        <v>0</v>
      </c>
      <c r="AI219" t="str">
        <f t="shared" si="74"/>
        <v>,Status= "</v>
      </c>
      <c r="AJ219" s="95">
        <f>Match!R220</f>
        <v>0</v>
      </c>
      <c r="AK219" t="str">
        <f t="shared" si="75"/>
        <v>" },</v>
      </c>
    </row>
    <row r="220" spans="1:37" x14ac:dyDescent="0.25">
      <c r="A220" s="94" t="str">
        <f t="shared" si="57"/>
        <v>new Match { MatchId= "</v>
      </c>
      <c r="B220">
        <f>Match!A221</f>
        <v>0</v>
      </c>
      <c r="C220" s="94" t="str">
        <f t="shared" si="58"/>
        <v>",MatchNumber=</v>
      </c>
      <c r="D220">
        <f>Match!B221</f>
        <v>0</v>
      </c>
      <c r="E220" s="94" t="str">
        <f t="shared" si="59"/>
        <v>,DateMatch=DateTime.Parse("</v>
      </c>
      <c r="F220" s="85">
        <f>Match!C221</f>
        <v>0</v>
      </c>
      <c r="G220" s="92" t="str">
        <f t="shared" si="60"/>
        <v>"),TimeMatch=TimeSpan.Parse("</v>
      </c>
      <c r="H220" s="93">
        <f>Match!D221</f>
        <v>0</v>
      </c>
      <c r="I220" s="94" t="str">
        <f t="shared" si="61"/>
        <v>"),MatchYear=</v>
      </c>
      <c r="J220">
        <f>Match!E221</f>
        <v>0</v>
      </c>
      <c r="K220" s="94" t="str">
        <f t="shared" si="62"/>
        <v>, SeasonId= "</v>
      </c>
      <c r="L220">
        <f>Match!F221</f>
        <v>0</v>
      </c>
      <c r="M220" s="94" t="str">
        <f t="shared" si="63"/>
        <v>",Round= "</v>
      </c>
      <c r="N220">
        <f>Match!G221</f>
        <v>0</v>
      </c>
      <c r="O220" t="str">
        <f t="shared" si="64"/>
        <v>",Stage= "</v>
      </c>
      <c r="P220">
        <f>Match!H221</f>
        <v>0</v>
      </c>
      <c r="Q220" t="str">
        <f t="shared" si="65"/>
        <v>",SubStage= "</v>
      </c>
      <c r="R220">
        <f>Match!I221</f>
        <v>0</v>
      </c>
      <c r="S220" t="str">
        <f t="shared" si="66"/>
        <v>",HTeam= "</v>
      </c>
      <c r="T220">
        <f>Match!J221</f>
        <v>0</v>
      </c>
      <c r="U220" t="str">
        <f t="shared" si="67"/>
        <v>",HGoal=</v>
      </c>
      <c r="V220">
        <f>Match!K221</f>
        <v>0</v>
      </c>
      <c r="W220" t="str">
        <f t="shared" si="68"/>
        <v>,GGoal=</v>
      </c>
      <c r="X220">
        <f>Match!L221</f>
        <v>0</v>
      </c>
      <c r="Y220" t="str">
        <f t="shared" si="69"/>
        <v>,GTeam= "</v>
      </c>
      <c r="Z220">
        <f>Match!M221</f>
        <v>0</v>
      </c>
      <c r="AA220" t="str">
        <f t="shared" si="70"/>
        <v>",WinNote="</v>
      </c>
      <c r="AB220" t="str">
        <f>IF(Match!N221="","",Match!N221)</f>
        <v/>
      </c>
      <c r="AC220" t="str">
        <f t="shared" si="71"/>
        <v xml:space="preserve">",Stadium=" </v>
      </c>
      <c r="AD220" s="95">
        <f>Match!O221</f>
        <v>0</v>
      </c>
      <c r="AE220" t="str">
        <f t="shared" si="72"/>
        <v>",Referee= "</v>
      </c>
      <c r="AF220" s="95" t="str">
        <f>IF(Match!P221="","",Match!P221)</f>
        <v/>
      </c>
      <c r="AG220" t="str">
        <f t="shared" si="73"/>
        <v xml:space="preserve">",Visistors= </v>
      </c>
      <c r="AH220" s="95">
        <f>IF(Match!Q221="",0,Match!Q221)</f>
        <v>0</v>
      </c>
      <c r="AI220" t="str">
        <f t="shared" si="74"/>
        <v>,Status= "</v>
      </c>
      <c r="AJ220" s="95">
        <f>Match!R221</f>
        <v>0</v>
      </c>
      <c r="AK220" t="str">
        <f t="shared" si="75"/>
        <v>" },</v>
      </c>
    </row>
    <row r="221" spans="1:37" x14ac:dyDescent="0.25">
      <c r="A221" s="94" t="str">
        <f t="shared" si="57"/>
        <v>new Match { MatchId= "</v>
      </c>
      <c r="B221">
        <f>Match!A222</f>
        <v>0</v>
      </c>
      <c r="C221" s="94" t="str">
        <f t="shared" si="58"/>
        <v>",MatchNumber=</v>
      </c>
      <c r="D221">
        <f>Match!B222</f>
        <v>0</v>
      </c>
      <c r="E221" s="94" t="str">
        <f t="shared" si="59"/>
        <v>,DateMatch=DateTime.Parse("</v>
      </c>
      <c r="F221" s="85">
        <f>Match!C222</f>
        <v>0</v>
      </c>
      <c r="G221" s="92" t="str">
        <f t="shared" si="60"/>
        <v>"),TimeMatch=TimeSpan.Parse("</v>
      </c>
      <c r="H221" s="93">
        <f>Match!D222</f>
        <v>0</v>
      </c>
      <c r="I221" s="94" t="str">
        <f t="shared" si="61"/>
        <v>"),MatchYear=</v>
      </c>
      <c r="J221">
        <f>Match!E222</f>
        <v>0</v>
      </c>
      <c r="K221" s="94" t="str">
        <f t="shared" si="62"/>
        <v>, SeasonId= "</v>
      </c>
      <c r="L221">
        <f>Match!F222</f>
        <v>0</v>
      </c>
      <c r="M221" s="94" t="str">
        <f t="shared" si="63"/>
        <v>",Round= "</v>
      </c>
      <c r="N221">
        <f>Match!G222</f>
        <v>0</v>
      </c>
      <c r="O221" t="str">
        <f t="shared" si="64"/>
        <v>",Stage= "</v>
      </c>
      <c r="P221">
        <f>Match!H222</f>
        <v>0</v>
      </c>
      <c r="Q221" t="str">
        <f t="shared" si="65"/>
        <v>",SubStage= "</v>
      </c>
      <c r="R221">
        <f>Match!I222</f>
        <v>0</v>
      </c>
      <c r="S221" t="str">
        <f t="shared" si="66"/>
        <v>",HTeam= "</v>
      </c>
      <c r="T221">
        <f>Match!J222</f>
        <v>0</v>
      </c>
      <c r="U221" t="str">
        <f t="shared" si="67"/>
        <v>",HGoal=</v>
      </c>
      <c r="V221">
        <f>Match!K222</f>
        <v>0</v>
      </c>
      <c r="W221" t="str">
        <f t="shared" si="68"/>
        <v>,GGoal=</v>
      </c>
      <c r="X221">
        <f>Match!L222</f>
        <v>0</v>
      </c>
      <c r="Y221" t="str">
        <f t="shared" si="69"/>
        <v>,GTeam= "</v>
      </c>
      <c r="Z221">
        <f>Match!M222</f>
        <v>0</v>
      </c>
      <c r="AA221" t="str">
        <f t="shared" si="70"/>
        <v>",WinNote="</v>
      </c>
      <c r="AB221" t="str">
        <f>IF(Match!N222="","",Match!N222)</f>
        <v/>
      </c>
      <c r="AC221" t="str">
        <f t="shared" si="71"/>
        <v xml:space="preserve">",Stadium=" </v>
      </c>
      <c r="AD221" s="95">
        <f>Match!O222</f>
        <v>0</v>
      </c>
      <c r="AE221" t="str">
        <f t="shared" si="72"/>
        <v>",Referee= "</v>
      </c>
      <c r="AF221" s="95" t="str">
        <f>IF(Match!P222="","",Match!P222)</f>
        <v/>
      </c>
      <c r="AG221" t="str">
        <f t="shared" si="73"/>
        <v xml:space="preserve">",Visistors= </v>
      </c>
      <c r="AH221" s="95">
        <f>IF(Match!Q222="",0,Match!Q222)</f>
        <v>0</v>
      </c>
      <c r="AI221" t="str">
        <f t="shared" si="74"/>
        <v>,Status= "</v>
      </c>
      <c r="AJ221" s="95">
        <f>Match!R222</f>
        <v>0</v>
      </c>
      <c r="AK221" t="str">
        <f t="shared" si="75"/>
        <v>" },</v>
      </c>
    </row>
    <row r="222" spans="1:37" x14ac:dyDescent="0.25">
      <c r="A222" s="94" t="str">
        <f t="shared" si="57"/>
        <v>new Match { MatchId= "</v>
      </c>
      <c r="B222">
        <f>Match!A223</f>
        <v>0</v>
      </c>
      <c r="C222" s="94" t="str">
        <f t="shared" si="58"/>
        <v>",MatchNumber=</v>
      </c>
      <c r="D222">
        <f>Match!B223</f>
        <v>0</v>
      </c>
      <c r="E222" s="94" t="str">
        <f t="shared" si="59"/>
        <v>,DateMatch=DateTime.Parse("</v>
      </c>
      <c r="F222" s="85">
        <f>Match!C223</f>
        <v>0</v>
      </c>
      <c r="G222" s="92" t="str">
        <f t="shared" si="60"/>
        <v>"),TimeMatch=TimeSpan.Parse("</v>
      </c>
      <c r="H222" s="93">
        <f>Match!D223</f>
        <v>0</v>
      </c>
      <c r="I222" s="94" t="str">
        <f t="shared" si="61"/>
        <v>"),MatchYear=</v>
      </c>
      <c r="J222">
        <f>Match!E223</f>
        <v>0</v>
      </c>
      <c r="K222" s="94" t="str">
        <f t="shared" si="62"/>
        <v>, SeasonId= "</v>
      </c>
      <c r="L222">
        <f>Match!F223</f>
        <v>0</v>
      </c>
      <c r="M222" s="94" t="str">
        <f t="shared" si="63"/>
        <v>",Round= "</v>
      </c>
      <c r="N222">
        <f>Match!G223</f>
        <v>0</v>
      </c>
      <c r="O222" t="str">
        <f t="shared" si="64"/>
        <v>",Stage= "</v>
      </c>
      <c r="P222">
        <f>Match!H223</f>
        <v>0</v>
      </c>
      <c r="Q222" t="str">
        <f t="shared" si="65"/>
        <v>",SubStage= "</v>
      </c>
      <c r="R222">
        <f>Match!I223</f>
        <v>0</v>
      </c>
      <c r="S222" t="str">
        <f t="shared" si="66"/>
        <v>",HTeam= "</v>
      </c>
      <c r="T222">
        <f>Match!J223</f>
        <v>0</v>
      </c>
      <c r="U222" t="str">
        <f t="shared" si="67"/>
        <v>",HGoal=</v>
      </c>
      <c r="V222">
        <f>Match!K223</f>
        <v>0</v>
      </c>
      <c r="W222" t="str">
        <f t="shared" si="68"/>
        <v>,GGoal=</v>
      </c>
      <c r="X222">
        <f>Match!L223</f>
        <v>0</v>
      </c>
      <c r="Y222" t="str">
        <f t="shared" si="69"/>
        <v>,GTeam= "</v>
      </c>
      <c r="Z222">
        <f>Match!M223</f>
        <v>0</v>
      </c>
      <c r="AA222" t="str">
        <f t="shared" si="70"/>
        <v>",WinNote="</v>
      </c>
      <c r="AB222" t="str">
        <f>IF(Match!N223="","",Match!N223)</f>
        <v/>
      </c>
      <c r="AC222" t="str">
        <f t="shared" si="71"/>
        <v xml:space="preserve">",Stadium=" </v>
      </c>
      <c r="AD222" s="95">
        <f>Match!O223</f>
        <v>0</v>
      </c>
      <c r="AE222" t="str">
        <f t="shared" si="72"/>
        <v>",Referee= "</v>
      </c>
      <c r="AF222" s="95" t="str">
        <f>IF(Match!P223="","",Match!P223)</f>
        <v/>
      </c>
      <c r="AG222" t="str">
        <f t="shared" si="73"/>
        <v xml:space="preserve">",Visistors= </v>
      </c>
      <c r="AH222" s="95">
        <f>IF(Match!Q223="",0,Match!Q223)</f>
        <v>0</v>
      </c>
      <c r="AI222" t="str">
        <f t="shared" si="74"/>
        <v>,Status= "</v>
      </c>
      <c r="AJ222" s="95">
        <f>Match!R223</f>
        <v>0</v>
      </c>
      <c r="AK222" t="str">
        <f t="shared" si="75"/>
        <v>" },</v>
      </c>
    </row>
    <row r="223" spans="1:37" x14ac:dyDescent="0.25">
      <c r="A223" s="94" t="str">
        <f t="shared" si="57"/>
        <v>new Match { MatchId= "</v>
      </c>
      <c r="B223">
        <f>Match!A224</f>
        <v>0</v>
      </c>
      <c r="C223" s="94" t="str">
        <f t="shared" si="58"/>
        <v>",MatchNumber=</v>
      </c>
      <c r="D223">
        <f>Match!B224</f>
        <v>0</v>
      </c>
      <c r="E223" s="94" t="str">
        <f t="shared" si="59"/>
        <v>,DateMatch=DateTime.Parse("</v>
      </c>
      <c r="F223" s="85">
        <f>Match!C224</f>
        <v>0</v>
      </c>
      <c r="G223" s="92" t="str">
        <f t="shared" si="60"/>
        <v>"),TimeMatch=TimeSpan.Parse("</v>
      </c>
      <c r="H223" s="93">
        <f>Match!D224</f>
        <v>0</v>
      </c>
      <c r="I223" s="94" t="str">
        <f t="shared" si="61"/>
        <v>"),MatchYear=</v>
      </c>
      <c r="J223">
        <f>Match!E224</f>
        <v>0</v>
      </c>
      <c r="K223" s="94" t="str">
        <f t="shared" si="62"/>
        <v>, SeasonId= "</v>
      </c>
      <c r="L223">
        <f>Match!F224</f>
        <v>0</v>
      </c>
      <c r="M223" s="94" t="str">
        <f t="shared" si="63"/>
        <v>",Round= "</v>
      </c>
      <c r="N223">
        <f>Match!G224</f>
        <v>0</v>
      </c>
      <c r="O223" t="str">
        <f t="shared" si="64"/>
        <v>",Stage= "</v>
      </c>
      <c r="P223">
        <f>Match!H224</f>
        <v>0</v>
      </c>
      <c r="Q223" t="str">
        <f t="shared" si="65"/>
        <v>",SubStage= "</v>
      </c>
      <c r="R223">
        <f>Match!I224</f>
        <v>0</v>
      </c>
      <c r="S223" t="str">
        <f t="shared" si="66"/>
        <v>",HTeam= "</v>
      </c>
      <c r="T223">
        <f>Match!J224</f>
        <v>0</v>
      </c>
      <c r="U223" t="str">
        <f t="shared" si="67"/>
        <v>",HGoal=</v>
      </c>
      <c r="V223">
        <f>Match!K224</f>
        <v>0</v>
      </c>
      <c r="W223" t="str">
        <f t="shared" si="68"/>
        <v>,GGoal=</v>
      </c>
      <c r="X223">
        <f>Match!L224</f>
        <v>0</v>
      </c>
      <c r="Y223" t="str">
        <f t="shared" si="69"/>
        <v>,GTeam= "</v>
      </c>
      <c r="Z223">
        <f>Match!M224</f>
        <v>0</v>
      </c>
      <c r="AA223" t="str">
        <f t="shared" si="70"/>
        <v>",WinNote="</v>
      </c>
      <c r="AB223" t="str">
        <f>IF(Match!N224="","",Match!N224)</f>
        <v/>
      </c>
      <c r="AC223" t="str">
        <f t="shared" si="71"/>
        <v xml:space="preserve">",Stadium=" </v>
      </c>
      <c r="AD223" s="95">
        <f>Match!O224</f>
        <v>0</v>
      </c>
      <c r="AE223" t="str">
        <f t="shared" si="72"/>
        <v>",Referee= "</v>
      </c>
      <c r="AF223" s="95" t="str">
        <f>IF(Match!P224="","",Match!P224)</f>
        <v/>
      </c>
      <c r="AG223" t="str">
        <f t="shared" si="73"/>
        <v xml:space="preserve">",Visistors= </v>
      </c>
      <c r="AH223" s="95">
        <f>IF(Match!Q224="",0,Match!Q224)</f>
        <v>0</v>
      </c>
      <c r="AI223" t="str">
        <f t="shared" si="74"/>
        <v>,Status= "</v>
      </c>
      <c r="AJ223" s="95">
        <f>Match!R224</f>
        <v>0</v>
      </c>
      <c r="AK223" t="str">
        <f t="shared" si="75"/>
        <v>" },</v>
      </c>
    </row>
    <row r="224" spans="1:37" x14ac:dyDescent="0.25">
      <c r="A224" s="94" t="str">
        <f t="shared" si="57"/>
        <v>new Match { MatchId= "</v>
      </c>
      <c r="B224">
        <f>Match!A225</f>
        <v>0</v>
      </c>
      <c r="C224" s="94" t="str">
        <f t="shared" si="58"/>
        <v>",MatchNumber=</v>
      </c>
      <c r="D224">
        <f>Match!B225</f>
        <v>0</v>
      </c>
      <c r="E224" s="94" t="str">
        <f t="shared" si="59"/>
        <v>,DateMatch=DateTime.Parse("</v>
      </c>
      <c r="F224" s="85">
        <f>Match!C225</f>
        <v>0</v>
      </c>
      <c r="G224" s="92" t="str">
        <f t="shared" si="60"/>
        <v>"),TimeMatch=TimeSpan.Parse("</v>
      </c>
      <c r="H224" s="93">
        <f>Match!D225</f>
        <v>0</v>
      </c>
      <c r="I224" s="94" t="str">
        <f t="shared" si="61"/>
        <v>"),MatchYear=</v>
      </c>
      <c r="J224">
        <f>Match!E225</f>
        <v>0</v>
      </c>
      <c r="K224" s="94" t="str">
        <f t="shared" si="62"/>
        <v>, SeasonId= "</v>
      </c>
      <c r="L224">
        <f>Match!F225</f>
        <v>0</v>
      </c>
      <c r="M224" s="94" t="str">
        <f t="shared" si="63"/>
        <v>",Round= "</v>
      </c>
      <c r="N224">
        <f>Match!G225</f>
        <v>0</v>
      </c>
      <c r="O224" t="str">
        <f t="shared" si="64"/>
        <v>",Stage= "</v>
      </c>
      <c r="P224">
        <f>Match!H225</f>
        <v>0</v>
      </c>
      <c r="Q224" t="str">
        <f t="shared" si="65"/>
        <v>",SubStage= "</v>
      </c>
      <c r="R224">
        <f>Match!I225</f>
        <v>0</v>
      </c>
      <c r="S224" t="str">
        <f t="shared" si="66"/>
        <v>",HTeam= "</v>
      </c>
      <c r="T224">
        <f>Match!J225</f>
        <v>0</v>
      </c>
      <c r="U224" t="str">
        <f t="shared" si="67"/>
        <v>",HGoal=</v>
      </c>
      <c r="V224">
        <f>Match!K225</f>
        <v>0</v>
      </c>
      <c r="W224" t="str">
        <f t="shared" si="68"/>
        <v>,GGoal=</v>
      </c>
      <c r="X224">
        <f>Match!L225</f>
        <v>0</v>
      </c>
      <c r="Y224" t="str">
        <f t="shared" si="69"/>
        <v>,GTeam= "</v>
      </c>
      <c r="Z224">
        <f>Match!M225</f>
        <v>0</v>
      </c>
      <c r="AA224" t="str">
        <f t="shared" si="70"/>
        <v>",WinNote="</v>
      </c>
      <c r="AB224" t="str">
        <f>IF(Match!N225="","",Match!N225)</f>
        <v/>
      </c>
      <c r="AC224" t="str">
        <f t="shared" si="71"/>
        <v xml:space="preserve">",Stadium=" </v>
      </c>
      <c r="AD224" s="95">
        <f>Match!O225</f>
        <v>0</v>
      </c>
      <c r="AE224" t="str">
        <f t="shared" si="72"/>
        <v>",Referee= "</v>
      </c>
      <c r="AF224" s="95" t="str">
        <f>IF(Match!P225="","",Match!P225)</f>
        <v/>
      </c>
      <c r="AG224" t="str">
        <f t="shared" si="73"/>
        <v xml:space="preserve">",Visistors= </v>
      </c>
      <c r="AH224" s="95">
        <f>IF(Match!Q225="",0,Match!Q225)</f>
        <v>0</v>
      </c>
      <c r="AI224" t="str">
        <f t="shared" si="74"/>
        <v>,Status= "</v>
      </c>
      <c r="AJ224" s="95">
        <f>Match!R225</f>
        <v>0</v>
      </c>
      <c r="AK224" t="str">
        <f t="shared" si="75"/>
        <v>" },</v>
      </c>
    </row>
    <row r="225" spans="1:37" x14ac:dyDescent="0.25">
      <c r="A225" s="94" t="str">
        <f t="shared" si="57"/>
        <v>new Match { MatchId= "</v>
      </c>
      <c r="B225">
        <f>Match!A226</f>
        <v>0</v>
      </c>
      <c r="C225" s="94" t="str">
        <f t="shared" si="58"/>
        <v>",MatchNumber=</v>
      </c>
      <c r="D225">
        <f>Match!B226</f>
        <v>0</v>
      </c>
      <c r="E225" s="94" t="str">
        <f t="shared" si="59"/>
        <v>,DateMatch=DateTime.Parse("</v>
      </c>
      <c r="F225" s="85">
        <f>Match!C226</f>
        <v>0</v>
      </c>
      <c r="G225" s="92" t="str">
        <f t="shared" si="60"/>
        <v>"),TimeMatch=TimeSpan.Parse("</v>
      </c>
      <c r="H225" s="93">
        <f>Match!D226</f>
        <v>0</v>
      </c>
      <c r="I225" s="94" t="str">
        <f t="shared" si="61"/>
        <v>"),MatchYear=</v>
      </c>
      <c r="J225">
        <f>Match!E226</f>
        <v>0</v>
      </c>
      <c r="K225" s="94" t="str">
        <f t="shared" si="62"/>
        <v>, SeasonId= "</v>
      </c>
      <c r="L225">
        <f>Match!F226</f>
        <v>0</v>
      </c>
      <c r="M225" s="94" t="str">
        <f t="shared" si="63"/>
        <v>",Round= "</v>
      </c>
      <c r="N225">
        <f>Match!G226</f>
        <v>0</v>
      </c>
      <c r="O225" t="str">
        <f t="shared" si="64"/>
        <v>",Stage= "</v>
      </c>
      <c r="P225">
        <f>Match!H226</f>
        <v>0</v>
      </c>
      <c r="Q225" t="str">
        <f t="shared" si="65"/>
        <v>",SubStage= "</v>
      </c>
      <c r="R225">
        <f>Match!I226</f>
        <v>0</v>
      </c>
      <c r="S225" t="str">
        <f t="shared" si="66"/>
        <v>",HTeam= "</v>
      </c>
      <c r="T225">
        <f>Match!J226</f>
        <v>0</v>
      </c>
      <c r="U225" t="str">
        <f t="shared" si="67"/>
        <v>",HGoal=</v>
      </c>
      <c r="V225">
        <f>Match!K226</f>
        <v>0</v>
      </c>
      <c r="W225" t="str">
        <f t="shared" si="68"/>
        <v>,GGoal=</v>
      </c>
      <c r="X225">
        <f>Match!L226</f>
        <v>0</v>
      </c>
      <c r="Y225" t="str">
        <f t="shared" si="69"/>
        <v>,GTeam= "</v>
      </c>
      <c r="Z225">
        <f>Match!M226</f>
        <v>0</v>
      </c>
      <c r="AA225" t="str">
        <f t="shared" si="70"/>
        <v>",WinNote="</v>
      </c>
      <c r="AB225" t="str">
        <f>IF(Match!N226="","",Match!N226)</f>
        <v/>
      </c>
      <c r="AC225" t="str">
        <f t="shared" si="71"/>
        <v xml:space="preserve">",Stadium=" </v>
      </c>
      <c r="AD225" s="95">
        <f>Match!O226</f>
        <v>0</v>
      </c>
      <c r="AE225" t="str">
        <f t="shared" si="72"/>
        <v>",Referee= "</v>
      </c>
      <c r="AF225" s="95" t="str">
        <f>IF(Match!P226="","",Match!P226)</f>
        <v/>
      </c>
      <c r="AG225" t="str">
        <f t="shared" si="73"/>
        <v xml:space="preserve">",Visistors= </v>
      </c>
      <c r="AH225" s="95">
        <f>IF(Match!Q226="",0,Match!Q226)</f>
        <v>0</v>
      </c>
      <c r="AI225" t="str">
        <f t="shared" si="74"/>
        <v>,Status= "</v>
      </c>
      <c r="AJ225" s="95">
        <f>Match!R226</f>
        <v>0</v>
      </c>
      <c r="AK225" t="str">
        <f t="shared" si="75"/>
        <v>" },</v>
      </c>
    </row>
    <row r="226" spans="1:37" x14ac:dyDescent="0.25">
      <c r="A226" s="94" t="str">
        <f t="shared" si="57"/>
        <v>new Match { MatchId= "</v>
      </c>
      <c r="B226">
        <f>Match!A227</f>
        <v>0</v>
      </c>
      <c r="C226" s="94" t="str">
        <f t="shared" si="58"/>
        <v>",MatchNumber=</v>
      </c>
      <c r="D226">
        <f>Match!B227</f>
        <v>0</v>
      </c>
      <c r="E226" s="94" t="str">
        <f t="shared" si="59"/>
        <v>,DateMatch=DateTime.Parse("</v>
      </c>
      <c r="F226" s="85">
        <f>Match!C227</f>
        <v>0</v>
      </c>
      <c r="G226" s="92" t="str">
        <f t="shared" si="60"/>
        <v>"),TimeMatch=TimeSpan.Parse("</v>
      </c>
      <c r="H226" s="93">
        <f>Match!D227</f>
        <v>0</v>
      </c>
      <c r="I226" s="94" t="str">
        <f t="shared" si="61"/>
        <v>"),MatchYear=</v>
      </c>
      <c r="J226">
        <f>Match!E227</f>
        <v>0</v>
      </c>
      <c r="K226" s="94" t="str">
        <f t="shared" si="62"/>
        <v>, SeasonId= "</v>
      </c>
      <c r="L226">
        <f>Match!F227</f>
        <v>0</v>
      </c>
      <c r="M226" s="94" t="str">
        <f t="shared" si="63"/>
        <v>",Round= "</v>
      </c>
      <c r="N226">
        <f>Match!G227</f>
        <v>0</v>
      </c>
      <c r="O226" t="str">
        <f t="shared" si="64"/>
        <v>",Stage= "</v>
      </c>
      <c r="P226">
        <f>Match!H227</f>
        <v>0</v>
      </c>
      <c r="Q226" t="str">
        <f t="shared" si="65"/>
        <v>",SubStage= "</v>
      </c>
      <c r="R226">
        <f>Match!I227</f>
        <v>0</v>
      </c>
      <c r="S226" t="str">
        <f t="shared" si="66"/>
        <v>",HTeam= "</v>
      </c>
      <c r="T226">
        <f>Match!J227</f>
        <v>0</v>
      </c>
      <c r="U226" t="str">
        <f t="shared" si="67"/>
        <v>",HGoal=</v>
      </c>
      <c r="V226">
        <f>Match!K227</f>
        <v>0</v>
      </c>
      <c r="W226" t="str">
        <f t="shared" si="68"/>
        <v>,GGoal=</v>
      </c>
      <c r="X226">
        <f>Match!L227</f>
        <v>0</v>
      </c>
      <c r="Y226" t="str">
        <f t="shared" si="69"/>
        <v>,GTeam= "</v>
      </c>
      <c r="Z226">
        <f>Match!M227</f>
        <v>0</v>
      </c>
      <c r="AA226" t="str">
        <f t="shared" si="70"/>
        <v>",WinNote="</v>
      </c>
      <c r="AB226" t="str">
        <f>IF(Match!N227="","",Match!N227)</f>
        <v/>
      </c>
      <c r="AC226" t="str">
        <f t="shared" si="71"/>
        <v xml:space="preserve">",Stadium=" </v>
      </c>
      <c r="AD226" s="95">
        <f>Match!O227</f>
        <v>0</v>
      </c>
      <c r="AE226" t="str">
        <f t="shared" si="72"/>
        <v>",Referee= "</v>
      </c>
      <c r="AF226" s="95" t="str">
        <f>IF(Match!P227="","",Match!P227)</f>
        <v/>
      </c>
      <c r="AG226" t="str">
        <f t="shared" si="73"/>
        <v xml:space="preserve">",Visistors= </v>
      </c>
      <c r="AH226" s="95">
        <f>IF(Match!Q227="",0,Match!Q227)</f>
        <v>0</v>
      </c>
      <c r="AI226" t="str">
        <f t="shared" si="74"/>
        <v>,Status= "</v>
      </c>
      <c r="AJ226" s="95">
        <f>Match!R227</f>
        <v>0</v>
      </c>
      <c r="AK226" t="str">
        <f t="shared" si="75"/>
        <v>" },</v>
      </c>
    </row>
    <row r="227" spans="1:37" x14ac:dyDescent="0.25">
      <c r="A227" s="94" t="str">
        <f t="shared" si="57"/>
        <v>new Match { MatchId= "</v>
      </c>
      <c r="B227">
        <f>Match!A228</f>
        <v>0</v>
      </c>
      <c r="C227" s="94" t="str">
        <f t="shared" si="58"/>
        <v>",MatchNumber=</v>
      </c>
      <c r="D227">
        <f>Match!B228</f>
        <v>0</v>
      </c>
      <c r="E227" s="94" t="str">
        <f t="shared" si="59"/>
        <v>,DateMatch=DateTime.Parse("</v>
      </c>
      <c r="F227" s="85">
        <f>Match!C228</f>
        <v>0</v>
      </c>
      <c r="G227" s="92" t="str">
        <f t="shared" si="60"/>
        <v>"),TimeMatch=TimeSpan.Parse("</v>
      </c>
      <c r="H227" s="93">
        <f>Match!D228</f>
        <v>0</v>
      </c>
      <c r="I227" s="94" t="str">
        <f t="shared" si="61"/>
        <v>"),MatchYear=</v>
      </c>
      <c r="J227">
        <f>Match!E228</f>
        <v>0</v>
      </c>
      <c r="K227" s="94" t="str">
        <f t="shared" si="62"/>
        <v>, SeasonId= "</v>
      </c>
      <c r="L227">
        <f>Match!F228</f>
        <v>0</v>
      </c>
      <c r="M227" s="94" t="str">
        <f t="shared" si="63"/>
        <v>",Round= "</v>
      </c>
      <c r="N227">
        <f>Match!G228</f>
        <v>0</v>
      </c>
      <c r="O227" t="str">
        <f t="shared" si="64"/>
        <v>",Stage= "</v>
      </c>
      <c r="P227">
        <f>Match!H228</f>
        <v>0</v>
      </c>
      <c r="Q227" t="str">
        <f t="shared" si="65"/>
        <v>",SubStage= "</v>
      </c>
      <c r="R227">
        <f>Match!I228</f>
        <v>0</v>
      </c>
      <c r="S227" t="str">
        <f t="shared" si="66"/>
        <v>",HTeam= "</v>
      </c>
      <c r="T227">
        <f>Match!J228</f>
        <v>0</v>
      </c>
      <c r="U227" t="str">
        <f t="shared" si="67"/>
        <v>",HGoal=</v>
      </c>
      <c r="V227">
        <f>Match!K228</f>
        <v>0</v>
      </c>
      <c r="W227" t="str">
        <f t="shared" si="68"/>
        <v>,GGoal=</v>
      </c>
      <c r="X227">
        <f>Match!L228</f>
        <v>0</v>
      </c>
      <c r="Y227" t="str">
        <f t="shared" si="69"/>
        <v>,GTeam= "</v>
      </c>
      <c r="Z227">
        <f>Match!M228</f>
        <v>0</v>
      </c>
      <c r="AA227" t="str">
        <f t="shared" si="70"/>
        <v>",WinNote="</v>
      </c>
      <c r="AB227" t="str">
        <f>IF(Match!N228="","",Match!N228)</f>
        <v/>
      </c>
      <c r="AC227" t="str">
        <f t="shared" si="71"/>
        <v xml:space="preserve">",Stadium=" </v>
      </c>
      <c r="AD227" s="95">
        <f>Match!O228</f>
        <v>0</v>
      </c>
      <c r="AE227" t="str">
        <f t="shared" si="72"/>
        <v>",Referee= "</v>
      </c>
      <c r="AF227" s="95" t="str">
        <f>IF(Match!P228="","",Match!P228)</f>
        <v/>
      </c>
      <c r="AG227" t="str">
        <f t="shared" si="73"/>
        <v xml:space="preserve">",Visistors= </v>
      </c>
      <c r="AH227" s="95">
        <f>IF(Match!Q228="",0,Match!Q228)</f>
        <v>0</v>
      </c>
      <c r="AI227" t="str">
        <f t="shared" si="74"/>
        <v>,Status= "</v>
      </c>
      <c r="AJ227" s="95">
        <f>Match!R228</f>
        <v>0</v>
      </c>
      <c r="AK227" t="str">
        <f t="shared" si="75"/>
        <v>" },</v>
      </c>
    </row>
    <row r="228" spans="1:37" x14ac:dyDescent="0.25">
      <c r="A228" s="94" t="str">
        <f t="shared" si="57"/>
        <v>new Match { MatchId= "</v>
      </c>
      <c r="B228">
        <f>Match!A229</f>
        <v>0</v>
      </c>
      <c r="C228" s="94" t="str">
        <f t="shared" si="58"/>
        <v>",MatchNumber=</v>
      </c>
      <c r="D228">
        <f>Match!B229</f>
        <v>0</v>
      </c>
      <c r="E228" s="94" t="str">
        <f t="shared" si="59"/>
        <v>,DateMatch=DateTime.Parse("</v>
      </c>
      <c r="F228" s="85">
        <f>Match!C229</f>
        <v>0</v>
      </c>
      <c r="G228" s="92" t="str">
        <f t="shared" si="60"/>
        <v>"),TimeMatch=TimeSpan.Parse("</v>
      </c>
      <c r="H228" s="93">
        <f>Match!D229</f>
        <v>0</v>
      </c>
      <c r="I228" s="94" t="str">
        <f t="shared" si="61"/>
        <v>"),MatchYear=</v>
      </c>
      <c r="J228">
        <f>Match!E229</f>
        <v>0</v>
      </c>
      <c r="K228" s="94" t="str">
        <f t="shared" si="62"/>
        <v>, SeasonId= "</v>
      </c>
      <c r="L228">
        <f>Match!F229</f>
        <v>0</v>
      </c>
      <c r="M228" s="94" t="str">
        <f t="shared" si="63"/>
        <v>",Round= "</v>
      </c>
      <c r="N228">
        <f>Match!G229</f>
        <v>0</v>
      </c>
      <c r="O228" t="str">
        <f t="shared" si="64"/>
        <v>",Stage= "</v>
      </c>
      <c r="P228">
        <f>Match!H229</f>
        <v>0</v>
      </c>
      <c r="Q228" t="str">
        <f t="shared" si="65"/>
        <v>",SubStage= "</v>
      </c>
      <c r="R228">
        <f>Match!I229</f>
        <v>0</v>
      </c>
      <c r="S228" t="str">
        <f t="shared" si="66"/>
        <v>",HTeam= "</v>
      </c>
      <c r="T228">
        <f>Match!J229</f>
        <v>0</v>
      </c>
      <c r="U228" t="str">
        <f t="shared" si="67"/>
        <v>",HGoal=</v>
      </c>
      <c r="V228">
        <f>Match!K229</f>
        <v>0</v>
      </c>
      <c r="W228" t="str">
        <f t="shared" si="68"/>
        <v>,GGoal=</v>
      </c>
      <c r="X228">
        <f>Match!L229</f>
        <v>0</v>
      </c>
      <c r="Y228" t="str">
        <f t="shared" si="69"/>
        <v>,GTeam= "</v>
      </c>
      <c r="Z228">
        <f>Match!M229</f>
        <v>0</v>
      </c>
      <c r="AA228" t="str">
        <f t="shared" si="70"/>
        <v>",WinNote="</v>
      </c>
      <c r="AB228" t="str">
        <f>IF(Match!N229="","",Match!N229)</f>
        <v/>
      </c>
      <c r="AC228" t="str">
        <f t="shared" si="71"/>
        <v xml:space="preserve">",Stadium=" </v>
      </c>
      <c r="AD228" s="95">
        <f>Match!O229</f>
        <v>0</v>
      </c>
      <c r="AE228" t="str">
        <f t="shared" si="72"/>
        <v>",Referee= "</v>
      </c>
      <c r="AF228" s="95" t="str">
        <f>IF(Match!P229="","",Match!P229)</f>
        <v/>
      </c>
      <c r="AG228" t="str">
        <f t="shared" si="73"/>
        <v xml:space="preserve">",Visistors= </v>
      </c>
      <c r="AH228" s="95">
        <f>IF(Match!Q229="",0,Match!Q229)</f>
        <v>0</v>
      </c>
      <c r="AI228" t="str">
        <f t="shared" si="74"/>
        <v>,Status= "</v>
      </c>
      <c r="AJ228" s="95">
        <f>Match!R229</f>
        <v>0</v>
      </c>
      <c r="AK228" t="str">
        <f t="shared" si="75"/>
        <v>" },</v>
      </c>
    </row>
    <row r="229" spans="1:37" x14ac:dyDescent="0.25">
      <c r="A229" s="94" t="str">
        <f t="shared" si="57"/>
        <v>new Match { MatchId= "</v>
      </c>
      <c r="B229">
        <f>Match!A230</f>
        <v>0</v>
      </c>
      <c r="C229" s="94" t="str">
        <f t="shared" si="58"/>
        <v>",MatchNumber=</v>
      </c>
      <c r="D229">
        <f>Match!B230</f>
        <v>0</v>
      </c>
      <c r="E229" s="94" t="str">
        <f t="shared" si="59"/>
        <v>,DateMatch=DateTime.Parse("</v>
      </c>
      <c r="F229" s="85">
        <f>Match!C230</f>
        <v>0</v>
      </c>
      <c r="G229" s="92" t="str">
        <f t="shared" si="60"/>
        <v>"),TimeMatch=TimeSpan.Parse("</v>
      </c>
      <c r="H229" s="93">
        <f>Match!D230</f>
        <v>0</v>
      </c>
      <c r="I229" s="94" t="str">
        <f t="shared" si="61"/>
        <v>"),MatchYear=</v>
      </c>
      <c r="J229">
        <f>Match!E230</f>
        <v>0</v>
      </c>
      <c r="K229" s="94" t="str">
        <f t="shared" si="62"/>
        <v>, SeasonId= "</v>
      </c>
      <c r="L229">
        <f>Match!F230</f>
        <v>0</v>
      </c>
      <c r="M229" s="94" t="str">
        <f t="shared" si="63"/>
        <v>",Round= "</v>
      </c>
      <c r="N229">
        <f>Match!G230</f>
        <v>0</v>
      </c>
      <c r="O229" t="str">
        <f t="shared" si="64"/>
        <v>",Stage= "</v>
      </c>
      <c r="P229">
        <f>Match!H230</f>
        <v>0</v>
      </c>
      <c r="Q229" t="str">
        <f t="shared" si="65"/>
        <v>",SubStage= "</v>
      </c>
      <c r="R229">
        <f>Match!I230</f>
        <v>0</v>
      </c>
      <c r="S229" t="str">
        <f t="shared" si="66"/>
        <v>",HTeam= "</v>
      </c>
      <c r="T229">
        <f>Match!J230</f>
        <v>0</v>
      </c>
      <c r="U229" t="str">
        <f t="shared" si="67"/>
        <v>",HGoal=</v>
      </c>
      <c r="V229">
        <f>Match!K230</f>
        <v>0</v>
      </c>
      <c r="W229" t="str">
        <f t="shared" si="68"/>
        <v>,GGoal=</v>
      </c>
      <c r="X229">
        <f>Match!L230</f>
        <v>0</v>
      </c>
      <c r="Y229" t="str">
        <f t="shared" si="69"/>
        <v>,GTeam= "</v>
      </c>
      <c r="Z229">
        <f>Match!M230</f>
        <v>0</v>
      </c>
      <c r="AA229" t="str">
        <f t="shared" si="70"/>
        <v>",WinNote="</v>
      </c>
      <c r="AB229" t="str">
        <f>IF(Match!N230="","",Match!N230)</f>
        <v/>
      </c>
      <c r="AC229" t="str">
        <f t="shared" si="71"/>
        <v xml:space="preserve">",Stadium=" </v>
      </c>
      <c r="AD229" s="95">
        <f>Match!O230</f>
        <v>0</v>
      </c>
      <c r="AE229" t="str">
        <f t="shared" si="72"/>
        <v>",Referee= "</v>
      </c>
      <c r="AF229" s="95" t="str">
        <f>IF(Match!P230="","",Match!P230)</f>
        <v/>
      </c>
      <c r="AG229" t="str">
        <f t="shared" si="73"/>
        <v xml:space="preserve">",Visistors= </v>
      </c>
      <c r="AH229" s="95">
        <f>IF(Match!Q230="",0,Match!Q230)</f>
        <v>0</v>
      </c>
      <c r="AI229" t="str">
        <f t="shared" si="74"/>
        <v>,Status= "</v>
      </c>
      <c r="AJ229" s="95">
        <f>Match!R230</f>
        <v>0</v>
      </c>
      <c r="AK229" t="str">
        <f t="shared" si="75"/>
        <v>" },</v>
      </c>
    </row>
    <row r="230" spans="1:37" x14ac:dyDescent="0.25">
      <c r="A230" s="94" t="str">
        <f t="shared" si="57"/>
        <v>new Match { MatchId= "</v>
      </c>
      <c r="B230">
        <f>Match!A231</f>
        <v>0</v>
      </c>
      <c r="C230" s="94" t="str">
        <f t="shared" si="58"/>
        <v>",MatchNumber=</v>
      </c>
      <c r="D230">
        <f>Match!B231</f>
        <v>0</v>
      </c>
      <c r="E230" s="94" t="str">
        <f t="shared" si="59"/>
        <v>,DateMatch=DateTime.Parse("</v>
      </c>
      <c r="F230" s="85">
        <f>Match!C231</f>
        <v>0</v>
      </c>
      <c r="G230" s="92" t="str">
        <f t="shared" si="60"/>
        <v>"),TimeMatch=TimeSpan.Parse("</v>
      </c>
      <c r="H230" s="93">
        <f>Match!D231</f>
        <v>0</v>
      </c>
      <c r="I230" s="94" t="str">
        <f t="shared" si="61"/>
        <v>"),MatchYear=</v>
      </c>
      <c r="J230">
        <f>Match!E231</f>
        <v>0</v>
      </c>
      <c r="K230" s="94" t="str">
        <f t="shared" si="62"/>
        <v>, SeasonId= "</v>
      </c>
      <c r="L230">
        <f>Match!F231</f>
        <v>0</v>
      </c>
      <c r="M230" s="94" t="str">
        <f t="shared" si="63"/>
        <v>",Round= "</v>
      </c>
      <c r="N230">
        <f>Match!G231</f>
        <v>0</v>
      </c>
      <c r="O230" t="str">
        <f t="shared" si="64"/>
        <v>",Stage= "</v>
      </c>
      <c r="P230">
        <f>Match!H231</f>
        <v>0</v>
      </c>
      <c r="Q230" t="str">
        <f t="shared" si="65"/>
        <v>",SubStage= "</v>
      </c>
      <c r="R230">
        <f>Match!I231</f>
        <v>0</v>
      </c>
      <c r="S230" t="str">
        <f t="shared" si="66"/>
        <v>",HTeam= "</v>
      </c>
      <c r="T230">
        <f>Match!J231</f>
        <v>0</v>
      </c>
      <c r="U230" t="str">
        <f t="shared" si="67"/>
        <v>",HGoal=</v>
      </c>
      <c r="V230">
        <f>Match!K231</f>
        <v>0</v>
      </c>
      <c r="W230" t="str">
        <f t="shared" si="68"/>
        <v>,GGoal=</v>
      </c>
      <c r="X230">
        <f>Match!L231</f>
        <v>0</v>
      </c>
      <c r="Y230" t="str">
        <f t="shared" si="69"/>
        <v>,GTeam= "</v>
      </c>
      <c r="Z230">
        <f>Match!M231</f>
        <v>0</v>
      </c>
      <c r="AA230" t="str">
        <f t="shared" si="70"/>
        <v>",WinNote="</v>
      </c>
      <c r="AB230" t="str">
        <f>IF(Match!N231="","",Match!N231)</f>
        <v/>
      </c>
      <c r="AC230" t="str">
        <f t="shared" si="71"/>
        <v xml:space="preserve">",Stadium=" </v>
      </c>
      <c r="AD230" s="95">
        <f>Match!O231</f>
        <v>0</v>
      </c>
      <c r="AE230" t="str">
        <f t="shared" si="72"/>
        <v>",Referee= "</v>
      </c>
      <c r="AF230" s="95" t="str">
        <f>IF(Match!P231="","",Match!P231)</f>
        <v/>
      </c>
      <c r="AG230" t="str">
        <f t="shared" si="73"/>
        <v xml:space="preserve">",Visistors= </v>
      </c>
      <c r="AH230" s="95">
        <f>IF(Match!Q231="",0,Match!Q231)</f>
        <v>0</v>
      </c>
      <c r="AI230" t="str">
        <f t="shared" si="74"/>
        <v>,Status= "</v>
      </c>
      <c r="AJ230" s="95">
        <f>Match!R231</f>
        <v>0</v>
      </c>
      <c r="AK230" t="str">
        <f t="shared" si="75"/>
        <v>" },</v>
      </c>
    </row>
    <row r="231" spans="1:37" x14ac:dyDescent="0.25">
      <c r="A231" s="94" t="str">
        <f t="shared" si="57"/>
        <v>new Match { MatchId= "</v>
      </c>
      <c r="B231">
        <f>Match!A232</f>
        <v>0</v>
      </c>
      <c r="C231" s="94" t="str">
        <f t="shared" si="58"/>
        <v>",MatchNumber=</v>
      </c>
      <c r="D231">
        <f>Match!B232</f>
        <v>0</v>
      </c>
      <c r="E231" s="94" t="str">
        <f t="shared" si="59"/>
        <v>,DateMatch=DateTime.Parse("</v>
      </c>
      <c r="F231" s="85">
        <f>Match!C232</f>
        <v>0</v>
      </c>
      <c r="G231" s="92" t="str">
        <f t="shared" si="60"/>
        <v>"),TimeMatch=TimeSpan.Parse("</v>
      </c>
      <c r="H231" s="93">
        <f>Match!D232</f>
        <v>0</v>
      </c>
      <c r="I231" s="94" t="str">
        <f t="shared" si="61"/>
        <v>"),MatchYear=</v>
      </c>
      <c r="J231">
        <f>Match!E232</f>
        <v>0</v>
      </c>
      <c r="K231" s="94" t="str">
        <f t="shared" si="62"/>
        <v>, SeasonId= "</v>
      </c>
      <c r="L231">
        <f>Match!F232</f>
        <v>0</v>
      </c>
      <c r="M231" s="94" t="str">
        <f t="shared" si="63"/>
        <v>",Round= "</v>
      </c>
      <c r="N231">
        <f>Match!G232</f>
        <v>0</v>
      </c>
      <c r="O231" t="str">
        <f t="shared" si="64"/>
        <v>",Stage= "</v>
      </c>
      <c r="P231">
        <f>Match!H232</f>
        <v>0</v>
      </c>
      <c r="Q231" t="str">
        <f t="shared" si="65"/>
        <v>",SubStage= "</v>
      </c>
      <c r="R231">
        <f>Match!I232</f>
        <v>0</v>
      </c>
      <c r="S231" t="str">
        <f t="shared" si="66"/>
        <v>",HTeam= "</v>
      </c>
      <c r="T231">
        <f>Match!J232</f>
        <v>0</v>
      </c>
      <c r="U231" t="str">
        <f t="shared" si="67"/>
        <v>",HGoal=</v>
      </c>
      <c r="V231">
        <f>Match!K232</f>
        <v>0</v>
      </c>
      <c r="W231" t="str">
        <f t="shared" si="68"/>
        <v>,GGoal=</v>
      </c>
      <c r="X231">
        <f>Match!L232</f>
        <v>0</v>
      </c>
      <c r="Y231" t="str">
        <f t="shared" si="69"/>
        <v>,GTeam= "</v>
      </c>
      <c r="Z231">
        <f>Match!M232</f>
        <v>0</v>
      </c>
      <c r="AA231" t="str">
        <f t="shared" si="70"/>
        <v>",WinNote="</v>
      </c>
      <c r="AB231" t="str">
        <f>IF(Match!N232="","",Match!N232)</f>
        <v/>
      </c>
      <c r="AC231" t="str">
        <f t="shared" si="71"/>
        <v xml:space="preserve">",Stadium=" </v>
      </c>
      <c r="AD231" s="95">
        <f>Match!O232</f>
        <v>0</v>
      </c>
      <c r="AE231" t="str">
        <f t="shared" si="72"/>
        <v>",Referee= "</v>
      </c>
      <c r="AF231" s="95" t="str">
        <f>IF(Match!P232="","",Match!P232)</f>
        <v/>
      </c>
      <c r="AG231" t="str">
        <f t="shared" si="73"/>
        <v xml:space="preserve">",Visistors= </v>
      </c>
      <c r="AH231" s="95">
        <f>IF(Match!Q232="",0,Match!Q232)</f>
        <v>0</v>
      </c>
      <c r="AI231" t="str">
        <f t="shared" si="74"/>
        <v>,Status= "</v>
      </c>
      <c r="AJ231" s="95">
        <f>Match!R232</f>
        <v>0</v>
      </c>
      <c r="AK231" t="str">
        <f t="shared" si="75"/>
        <v>" },</v>
      </c>
    </row>
    <row r="232" spans="1:37" x14ac:dyDescent="0.25">
      <c r="A232" s="94" t="str">
        <f t="shared" si="57"/>
        <v>new Match { MatchId= "</v>
      </c>
      <c r="B232">
        <f>Match!A233</f>
        <v>0</v>
      </c>
      <c r="C232" s="94" t="str">
        <f t="shared" si="58"/>
        <v>",MatchNumber=</v>
      </c>
      <c r="D232">
        <f>Match!B233</f>
        <v>0</v>
      </c>
      <c r="E232" s="94" t="str">
        <f t="shared" si="59"/>
        <v>,DateMatch=DateTime.Parse("</v>
      </c>
      <c r="F232" s="85">
        <f>Match!C233</f>
        <v>0</v>
      </c>
      <c r="G232" s="92" t="str">
        <f t="shared" si="60"/>
        <v>"),TimeMatch=TimeSpan.Parse("</v>
      </c>
      <c r="H232" s="93">
        <f>Match!D233</f>
        <v>0</v>
      </c>
      <c r="I232" s="94" t="str">
        <f t="shared" si="61"/>
        <v>"),MatchYear=</v>
      </c>
      <c r="J232">
        <f>Match!E233</f>
        <v>0</v>
      </c>
      <c r="K232" s="94" t="str">
        <f t="shared" si="62"/>
        <v>, SeasonId= "</v>
      </c>
      <c r="L232">
        <f>Match!F233</f>
        <v>0</v>
      </c>
      <c r="M232" s="94" t="str">
        <f t="shared" si="63"/>
        <v>",Round= "</v>
      </c>
      <c r="N232">
        <f>Match!G233</f>
        <v>0</v>
      </c>
      <c r="O232" t="str">
        <f t="shared" si="64"/>
        <v>",Stage= "</v>
      </c>
      <c r="P232">
        <f>Match!H233</f>
        <v>0</v>
      </c>
      <c r="Q232" t="str">
        <f t="shared" si="65"/>
        <v>",SubStage= "</v>
      </c>
      <c r="R232">
        <f>Match!I233</f>
        <v>0</v>
      </c>
      <c r="S232" t="str">
        <f t="shared" si="66"/>
        <v>",HTeam= "</v>
      </c>
      <c r="T232">
        <f>Match!J233</f>
        <v>0</v>
      </c>
      <c r="U232" t="str">
        <f t="shared" si="67"/>
        <v>",HGoal=</v>
      </c>
      <c r="V232">
        <f>Match!K233</f>
        <v>0</v>
      </c>
      <c r="W232" t="str">
        <f t="shared" si="68"/>
        <v>,GGoal=</v>
      </c>
      <c r="X232">
        <f>Match!L233</f>
        <v>0</v>
      </c>
      <c r="Y232" t="str">
        <f t="shared" si="69"/>
        <v>,GTeam= "</v>
      </c>
      <c r="Z232">
        <f>Match!M233</f>
        <v>0</v>
      </c>
      <c r="AA232" t="str">
        <f t="shared" si="70"/>
        <v>",WinNote="</v>
      </c>
      <c r="AB232" t="str">
        <f>IF(Match!N233="","",Match!N233)</f>
        <v/>
      </c>
      <c r="AC232" t="str">
        <f t="shared" si="71"/>
        <v xml:space="preserve">",Stadium=" </v>
      </c>
      <c r="AD232" s="95">
        <f>Match!O233</f>
        <v>0</v>
      </c>
      <c r="AE232" t="str">
        <f t="shared" si="72"/>
        <v>",Referee= "</v>
      </c>
      <c r="AF232" s="95" t="str">
        <f>IF(Match!P233="","",Match!P233)</f>
        <v/>
      </c>
      <c r="AG232" t="str">
        <f t="shared" si="73"/>
        <v xml:space="preserve">",Visistors= </v>
      </c>
      <c r="AH232" s="95">
        <f>IF(Match!Q233="",0,Match!Q233)</f>
        <v>0</v>
      </c>
      <c r="AI232" t="str">
        <f t="shared" si="74"/>
        <v>,Status= "</v>
      </c>
      <c r="AJ232" s="95">
        <f>Match!R233</f>
        <v>0</v>
      </c>
      <c r="AK232" t="str">
        <f t="shared" si="75"/>
        <v>" },</v>
      </c>
    </row>
    <row r="233" spans="1:37" x14ac:dyDescent="0.25">
      <c r="A233" s="94" t="str">
        <f t="shared" si="57"/>
        <v>new Match { MatchId= "</v>
      </c>
      <c r="B233">
        <f>Match!A234</f>
        <v>0</v>
      </c>
      <c r="C233" s="94" t="str">
        <f t="shared" si="58"/>
        <v>",MatchNumber=</v>
      </c>
      <c r="D233">
        <f>Match!B234</f>
        <v>0</v>
      </c>
      <c r="E233" s="94" t="str">
        <f t="shared" si="59"/>
        <v>,DateMatch=DateTime.Parse("</v>
      </c>
      <c r="F233" s="85">
        <f>Match!C234</f>
        <v>0</v>
      </c>
      <c r="G233" s="92" t="str">
        <f t="shared" si="60"/>
        <v>"),TimeMatch=TimeSpan.Parse("</v>
      </c>
      <c r="H233" s="93">
        <f>Match!D234</f>
        <v>0</v>
      </c>
      <c r="I233" s="94" t="str">
        <f t="shared" si="61"/>
        <v>"),MatchYear=</v>
      </c>
      <c r="J233">
        <f>Match!E234</f>
        <v>0</v>
      </c>
      <c r="K233" s="94" t="str">
        <f t="shared" si="62"/>
        <v>, SeasonId= "</v>
      </c>
      <c r="L233">
        <f>Match!F234</f>
        <v>0</v>
      </c>
      <c r="M233" s="94" t="str">
        <f t="shared" si="63"/>
        <v>",Round= "</v>
      </c>
      <c r="N233">
        <f>Match!G234</f>
        <v>0</v>
      </c>
      <c r="O233" t="str">
        <f t="shared" si="64"/>
        <v>",Stage= "</v>
      </c>
      <c r="P233">
        <f>Match!H234</f>
        <v>0</v>
      </c>
      <c r="Q233" t="str">
        <f t="shared" si="65"/>
        <v>",SubStage= "</v>
      </c>
      <c r="R233">
        <f>Match!I234</f>
        <v>0</v>
      </c>
      <c r="S233" t="str">
        <f t="shared" si="66"/>
        <v>",HTeam= "</v>
      </c>
      <c r="T233">
        <f>Match!J234</f>
        <v>0</v>
      </c>
      <c r="U233" t="str">
        <f t="shared" si="67"/>
        <v>",HGoal=</v>
      </c>
      <c r="V233">
        <f>Match!K234</f>
        <v>0</v>
      </c>
      <c r="W233" t="str">
        <f t="shared" si="68"/>
        <v>,GGoal=</v>
      </c>
      <c r="X233">
        <f>Match!L234</f>
        <v>0</v>
      </c>
      <c r="Y233" t="str">
        <f t="shared" si="69"/>
        <v>,GTeam= "</v>
      </c>
      <c r="Z233">
        <f>Match!M234</f>
        <v>0</v>
      </c>
      <c r="AA233" t="str">
        <f t="shared" si="70"/>
        <v>",WinNote="</v>
      </c>
      <c r="AB233" t="str">
        <f>IF(Match!N234="","",Match!N234)</f>
        <v/>
      </c>
      <c r="AC233" t="str">
        <f t="shared" si="71"/>
        <v xml:space="preserve">",Stadium=" </v>
      </c>
      <c r="AD233" s="95">
        <f>Match!O234</f>
        <v>0</v>
      </c>
      <c r="AE233" t="str">
        <f t="shared" si="72"/>
        <v>",Referee= "</v>
      </c>
      <c r="AF233" s="95" t="str">
        <f>IF(Match!P234="","",Match!P234)</f>
        <v/>
      </c>
      <c r="AG233" t="str">
        <f t="shared" si="73"/>
        <v xml:space="preserve">",Visistors= </v>
      </c>
      <c r="AH233" s="95">
        <f>IF(Match!Q234="",0,Match!Q234)</f>
        <v>0</v>
      </c>
      <c r="AI233" t="str">
        <f t="shared" si="74"/>
        <v>,Status= "</v>
      </c>
      <c r="AJ233" s="95">
        <f>Match!R234</f>
        <v>0</v>
      </c>
      <c r="AK233" t="str">
        <f t="shared" si="75"/>
        <v>" },</v>
      </c>
    </row>
    <row r="234" spans="1:37" x14ac:dyDescent="0.25">
      <c r="A234" s="94" t="str">
        <f t="shared" si="57"/>
        <v>new Match { MatchId= "</v>
      </c>
      <c r="B234">
        <f>Match!A235</f>
        <v>0</v>
      </c>
      <c r="C234" s="94" t="str">
        <f t="shared" si="58"/>
        <v>",MatchNumber=</v>
      </c>
      <c r="D234">
        <f>Match!B235</f>
        <v>0</v>
      </c>
      <c r="E234" s="94" t="str">
        <f t="shared" si="59"/>
        <v>,DateMatch=DateTime.Parse("</v>
      </c>
      <c r="F234" s="85">
        <f>Match!C235</f>
        <v>0</v>
      </c>
      <c r="G234" s="92" t="str">
        <f t="shared" si="60"/>
        <v>"),TimeMatch=TimeSpan.Parse("</v>
      </c>
      <c r="H234" s="93">
        <f>Match!D235</f>
        <v>0</v>
      </c>
      <c r="I234" s="94" t="str">
        <f t="shared" si="61"/>
        <v>"),MatchYear=</v>
      </c>
      <c r="J234">
        <f>Match!E235</f>
        <v>0</v>
      </c>
      <c r="K234" s="94" t="str">
        <f t="shared" si="62"/>
        <v>, SeasonId= "</v>
      </c>
      <c r="L234">
        <f>Match!F235</f>
        <v>0</v>
      </c>
      <c r="M234" s="94" t="str">
        <f t="shared" si="63"/>
        <v>",Round= "</v>
      </c>
      <c r="N234">
        <f>Match!G235</f>
        <v>0</v>
      </c>
      <c r="O234" t="str">
        <f t="shared" si="64"/>
        <v>",Stage= "</v>
      </c>
      <c r="P234">
        <f>Match!H235</f>
        <v>0</v>
      </c>
      <c r="Q234" t="str">
        <f t="shared" si="65"/>
        <v>",SubStage= "</v>
      </c>
      <c r="R234">
        <f>Match!I235</f>
        <v>0</v>
      </c>
      <c r="S234" t="str">
        <f t="shared" si="66"/>
        <v>",HTeam= "</v>
      </c>
      <c r="T234">
        <f>Match!J235</f>
        <v>0</v>
      </c>
      <c r="U234" t="str">
        <f t="shared" si="67"/>
        <v>",HGoal=</v>
      </c>
      <c r="V234">
        <f>Match!K235</f>
        <v>0</v>
      </c>
      <c r="W234" t="str">
        <f t="shared" si="68"/>
        <v>,GGoal=</v>
      </c>
      <c r="X234">
        <f>Match!L235</f>
        <v>0</v>
      </c>
      <c r="Y234" t="str">
        <f t="shared" si="69"/>
        <v>,GTeam= "</v>
      </c>
      <c r="Z234">
        <f>Match!M235</f>
        <v>0</v>
      </c>
      <c r="AA234" t="str">
        <f t="shared" si="70"/>
        <v>",WinNote="</v>
      </c>
      <c r="AB234" t="str">
        <f>IF(Match!N235="","",Match!N235)</f>
        <v/>
      </c>
      <c r="AC234" t="str">
        <f t="shared" si="71"/>
        <v xml:space="preserve">",Stadium=" </v>
      </c>
      <c r="AD234" s="95">
        <f>Match!O235</f>
        <v>0</v>
      </c>
      <c r="AE234" t="str">
        <f t="shared" si="72"/>
        <v>",Referee= "</v>
      </c>
      <c r="AF234" s="95" t="str">
        <f>IF(Match!P235="","",Match!P235)</f>
        <v/>
      </c>
      <c r="AG234" t="str">
        <f t="shared" si="73"/>
        <v xml:space="preserve">",Visistors= </v>
      </c>
      <c r="AH234" s="95">
        <f>IF(Match!Q235="",0,Match!Q235)</f>
        <v>0</v>
      </c>
      <c r="AI234" t="str">
        <f t="shared" si="74"/>
        <v>,Status= "</v>
      </c>
      <c r="AJ234" s="95">
        <f>Match!R235</f>
        <v>0</v>
      </c>
      <c r="AK234" t="str">
        <f t="shared" si="75"/>
        <v>" },</v>
      </c>
    </row>
    <row r="235" spans="1:37" x14ac:dyDescent="0.25">
      <c r="A235" s="94" t="str">
        <f t="shared" si="57"/>
        <v>new Match { MatchId= "</v>
      </c>
      <c r="B235">
        <f>Match!A236</f>
        <v>0</v>
      </c>
      <c r="C235" s="94" t="str">
        <f t="shared" si="58"/>
        <v>",MatchNumber=</v>
      </c>
      <c r="D235">
        <f>Match!B236</f>
        <v>0</v>
      </c>
      <c r="E235" s="94" t="str">
        <f t="shared" si="59"/>
        <v>,DateMatch=DateTime.Parse("</v>
      </c>
      <c r="F235" s="85">
        <f>Match!C236</f>
        <v>0</v>
      </c>
      <c r="G235" s="92" t="str">
        <f t="shared" si="60"/>
        <v>"),TimeMatch=TimeSpan.Parse("</v>
      </c>
      <c r="H235" s="93">
        <f>Match!D236</f>
        <v>0</v>
      </c>
      <c r="I235" s="94" t="str">
        <f t="shared" si="61"/>
        <v>"),MatchYear=</v>
      </c>
      <c r="J235">
        <f>Match!E236</f>
        <v>0</v>
      </c>
      <c r="K235" s="94" t="str">
        <f t="shared" si="62"/>
        <v>, SeasonId= "</v>
      </c>
      <c r="L235">
        <f>Match!F236</f>
        <v>0</v>
      </c>
      <c r="M235" s="94" t="str">
        <f t="shared" si="63"/>
        <v>",Round= "</v>
      </c>
      <c r="N235">
        <f>Match!G236</f>
        <v>0</v>
      </c>
      <c r="O235" t="str">
        <f t="shared" si="64"/>
        <v>",Stage= "</v>
      </c>
      <c r="P235">
        <f>Match!H236</f>
        <v>0</v>
      </c>
      <c r="Q235" t="str">
        <f t="shared" si="65"/>
        <v>",SubStage= "</v>
      </c>
      <c r="R235">
        <f>Match!I236</f>
        <v>0</v>
      </c>
      <c r="S235" t="str">
        <f t="shared" si="66"/>
        <v>",HTeam= "</v>
      </c>
      <c r="T235">
        <f>Match!J236</f>
        <v>0</v>
      </c>
      <c r="U235" t="str">
        <f t="shared" si="67"/>
        <v>",HGoal=</v>
      </c>
      <c r="V235">
        <f>Match!K236</f>
        <v>0</v>
      </c>
      <c r="W235" t="str">
        <f t="shared" si="68"/>
        <v>,GGoal=</v>
      </c>
      <c r="X235">
        <f>Match!L236</f>
        <v>0</v>
      </c>
      <c r="Y235" t="str">
        <f t="shared" si="69"/>
        <v>,GTeam= "</v>
      </c>
      <c r="Z235">
        <f>Match!M236</f>
        <v>0</v>
      </c>
      <c r="AA235" t="str">
        <f t="shared" si="70"/>
        <v>",WinNote="</v>
      </c>
      <c r="AB235" t="str">
        <f>IF(Match!N236="","",Match!N236)</f>
        <v/>
      </c>
      <c r="AC235" t="str">
        <f t="shared" si="71"/>
        <v xml:space="preserve">",Stadium=" </v>
      </c>
      <c r="AD235" s="95">
        <f>Match!O236</f>
        <v>0</v>
      </c>
      <c r="AE235" t="str">
        <f t="shared" si="72"/>
        <v>",Referee= "</v>
      </c>
      <c r="AF235" s="95" t="str">
        <f>IF(Match!P236="","",Match!P236)</f>
        <v/>
      </c>
      <c r="AG235" t="str">
        <f t="shared" si="73"/>
        <v xml:space="preserve">",Visistors= </v>
      </c>
      <c r="AH235" s="95">
        <f>IF(Match!Q236="",0,Match!Q236)</f>
        <v>0</v>
      </c>
      <c r="AI235" t="str">
        <f t="shared" si="74"/>
        <v>,Status= "</v>
      </c>
      <c r="AJ235" s="95">
        <f>Match!R236</f>
        <v>0</v>
      </c>
      <c r="AK235" t="str">
        <f t="shared" si="75"/>
        <v>" },</v>
      </c>
    </row>
    <row r="236" spans="1:37" x14ac:dyDescent="0.25">
      <c r="A236" s="94" t="str">
        <f t="shared" si="57"/>
        <v>new Match { MatchId= "</v>
      </c>
      <c r="B236">
        <f>Match!A237</f>
        <v>0</v>
      </c>
      <c r="C236" s="94" t="str">
        <f t="shared" si="58"/>
        <v>",MatchNumber=</v>
      </c>
      <c r="D236">
        <f>Match!B237</f>
        <v>0</v>
      </c>
      <c r="E236" s="94" t="str">
        <f t="shared" si="59"/>
        <v>,DateMatch=DateTime.Parse("</v>
      </c>
      <c r="F236" s="85">
        <f>Match!C237</f>
        <v>0</v>
      </c>
      <c r="G236" s="92" t="str">
        <f t="shared" si="60"/>
        <v>"),TimeMatch=TimeSpan.Parse("</v>
      </c>
      <c r="H236" s="93">
        <f>Match!D237</f>
        <v>0</v>
      </c>
      <c r="I236" s="94" t="str">
        <f t="shared" si="61"/>
        <v>"),MatchYear=</v>
      </c>
      <c r="J236">
        <f>Match!E237</f>
        <v>0</v>
      </c>
      <c r="K236" s="94" t="str">
        <f t="shared" si="62"/>
        <v>, SeasonId= "</v>
      </c>
      <c r="L236">
        <f>Match!F237</f>
        <v>0</v>
      </c>
      <c r="M236" s="94" t="str">
        <f t="shared" si="63"/>
        <v>",Round= "</v>
      </c>
      <c r="N236">
        <f>Match!G237</f>
        <v>0</v>
      </c>
      <c r="O236" t="str">
        <f t="shared" si="64"/>
        <v>",Stage= "</v>
      </c>
      <c r="P236">
        <f>Match!H237</f>
        <v>0</v>
      </c>
      <c r="Q236" t="str">
        <f t="shared" si="65"/>
        <v>",SubStage= "</v>
      </c>
      <c r="R236">
        <f>Match!I237</f>
        <v>0</v>
      </c>
      <c r="S236" t="str">
        <f t="shared" si="66"/>
        <v>",HTeam= "</v>
      </c>
      <c r="T236">
        <f>Match!J237</f>
        <v>0</v>
      </c>
      <c r="U236" t="str">
        <f t="shared" si="67"/>
        <v>",HGoal=</v>
      </c>
      <c r="V236">
        <f>Match!K237</f>
        <v>0</v>
      </c>
      <c r="W236" t="str">
        <f t="shared" si="68"/>
        <v>,GGoal=</v>
      </c>
      <c r="X236">
        <f>Match!L237</f>
        <v>0</v>
      </c>
      <c r="Y236" t="str">
        <f t="shared" si="69"/>
        <v>,GTeam= "</v>
      </c>
      <c r="Z236">
        <f>Match!M237</f>
        <v>0</v>
      </c>
      <c r="AA236" t="str">
        <f t="shared" si="70"/>
        <v>",WinNote="</v>
      </c>
      <c r="AB236" t="str">
        <f>IF(Match!N237="","",Match!N237)</f>
        <v/>
      </c>
      <c r="AC236" t="str">
        <f t="shared" si="71"/>
        <v xml:space="preserve">",Stadium=" </v>
      </c>
      <c r="AD236" s="95">
        <f>Match!O237</f>
        <v>0</v>
      </c>
      <c r="AE236" t="str">
        <f t="shared" si="72"/>
        <v>",Referee= "</v>
      </c>
      <c r="AF236" s="95" t="str">
        <f>IF(Match!P237="","",Match!P237)</f>
        <v/>
      </c>
      <c r="AG236" t="str">
        <f t="shared" si="73"/>
        <v xml:space="preserve">",Visistors= </v>
      </c>
      <c r="AH236" s="95">
        <f>IF(Match!Q237="",0,Match!Q237)</f>
        <v>0</v>
      </c>
      <c r="AI236" t="str">
        <f t="shared" si="74"/>
        <v>,Status= "</v>
      </c>
      <c r="AJ236" s="95">
        <f>Match!R237</f>
        <v>0</v>
      </c>
      <c r="AK236" t="str">
        <f t="shared" si="75"/>
        <v>" },</v>
      </c>
    </row>
    <row r="237" spans="1:37" x14ac:dyDescent="0.25">
      <c r="A237" s="94" t="str">
        <f t="shared" si="57"/>
        <v>new Match { MatchId= "</v>
      </c>
      <c r="B237">
        <f>Match!A238</f>
        <v>0</v>
      </c>
      <c r="C237" s="94" t="str">
        <f t="shared" si="58"/>
        <v>",MatchNumber=</v>
      </c>
      <c r="D237">
        <f>Match!B238</f>
        <v>0</v>
      </c>
      <c r="E237" s="94" t="str">
        <f t="shared" si="59"/>
        <v>,DateMatch=DateTime.Parse("</v>
      </c>
      <c r="F237" s="85">
        <f>Match!C238</f>
        <v>0</v>
      </c>
      <c r="G237" s="92" t="str">
        <f t="shared" si="60"/>
        <v>"),TimeMatch=TimeSpan.Parse("</v>
      </c>
      <c r="H237" s="93">
        <f>Match!D238</f>
        <v>0</v>
      </c>
      <c r="I237" s="94" t="str">
        <f t="shared" si="61"/>
        <v>"),MatchYear=</v>
      </c>
      <c r="J237">
        <f>Match!E238</f>
        <v>0</v>
      </c>
      <c r="K237" s="94" t="str">
        <f t="shared" si="62"/>
        <v>, SeasonId= "</v>
      </c>
      <c r="L237">
        <f>Match!F238</f>
        <v>0</v>
      </c>
      <c r="M237" s="94" t="str">
        <f t="shared" si="63"/>
        <v>",Round= "</v>
      </c>
      <c r="N237">
        <f>Match!G238</f>
        <v>0</v>
      </c>
      <c r="O237" t="str">
        <f t="shared" si="64"/>
        <v>",Stage= "</v>
      </c>
      <c r="P237">
        <f>Match!H238</f>
        <v>0</v>
      </c>
      <c r="Q237" t="str">
        <f t="shared" si="65"/>
        <v>",SubStage= "</v>
      </c>
      <c r="R237">
        <f>Match!I238</f>
        <v>0</v>
      </c>
      <c r="S237" t="str">
        <f t="shared" si="66"/>
        <v>",HTeam= "</v>
      </c>
      <c r="T237">
        <f>Match!J238</f>
        <v>0</v>
      </c>
      <c r="U237" t="str">
        <f t="shared" si="67"/>
        <v>",HGoal=</v>
      </c>
      <c r="V237">
        <f>Match!K238</f>
        <v>0</v>
      </c>
      <c r="W237" t="str">
        <f t="shared" si="68"/>
        <v>,GGoal=</v>
      </c>
      <c r="X237">
        <f>Match!L238</f>
        <v>0</v>
      </c>
      <c r="Y237" t="str">
        <f t="shared" si="69"/>
        <v>,GTeam= "</v>
      </c>
      <c r="Z237">
        <f>Match!M238</f>
        <v>0</v>
      </c>
      <c r="AA237" t="str">
        <f t="shared" si="70"/>
        <v>",WinNote="</v>
      </c>
      <c r="AB237" t="str">
        <f>IF(Match!N238="","",Match!N238)</f>
        <v/>
      </c>
      <c r="AC237" t="str">
        <f t="shared" si="71"/>
        <v xml:space="preserve">",Stadium=" </v>
      </c>
      <c r="AD237" s="95">
        <f>Match!O238</f>
        <v>0</v>
      </c>
      <c r="AE237" t="str">
        <f t="shared" si="72"/>
        <v>",Referee= "</v>
      </c>
      <c r="AF237" s="95" t="str">
        <f>IF(Match!P238="","",Match!P238)</f>
        <v/>
      </c>
      <c r="AG237" t="str">
        <f t="shared" si="73"/>
        <v xml:space="preserve">",Visistors= </v>
      </c>
      <c r="AH237" s="95">
        <f>IF(Match!Q238="",0,Match!Q238)</f>
        <v>0</v>
      </c>
      <c r="AI237" t="str">
        <f t="shared" si="74"/>
        <v>,Status= "</v>
      </c>
      <c r="AJ237" s="95">
        <f>Match!R238</f>
        <v>0</v>
      </c>
      <c r="AK237" t="str">
        <f t="shared" si="75"/>
        <v>" },</v>
      </c>
    </row>
    <row r="238" spans="1:37" x14ac:dyDescent="0.25">
      <c r="A238" s="94" t="str">
        <f t="shared" si="57"/>
        <v>new Match { MatchId= "</v>
      </c>
      <c r="B238">
        <f>Match!A239</f>
        <v>0</v>
      </c>
      <c r="C238" s="94" t="str">
        <f t="shared" si="58"/>
        <v>",MatchNumber=</v>
      </c>
      <c r="D238">
        <f>Match!B239</f>
        <v>0</v>
      </c>
      <c r="E238" s="94" t="str">
        <f t="shared" si="59"/>
        <v>,DateMatch=DateTime.Parse("</v>
      </c>
      <c r="F238" s="85">
        <f>Match!C239</f>
        <v>0</v>
      </c>
      <c r="G238" s="92" t="str">
        <f t="shared" si="60"/>
        <v>"),TimeMatch=TimeSpan.Parse("</v>
      </c>
      <c r="H238" s="93">
        <f>Match!D239</f>
        <v>0</v>
      </c>
      <c r="I238" s="94" t="str">
        <f t="shared" si="61"/>
        <v>"),MatchYear=</v>
      </c>
      <c r="J238">
        <f>Match!E239</f>
        <v>0</v>
      </c>
      <c r="K238" s="94" t="str">
        <f t="shared" si="62"/>
        <v>, SeasonId= "</v>
      </c>
      <c r="L238">
        <f>Match!F239</f>
        <v>0</v>
      </c>
      <c r="M238" s="94" t="str">
        <f t="shared" si="63"/>
        <v>",Round= "</v>
      </c>
      <c r="N238">
        <f>Match!G239</f>
        <v>0</v>
      </c>
      <c r="O238" t="str">
        <f t="shared" si="64"/>
        <v>",Stage= "</v>
      </c>
      <c r="P238">
        <f>Match!H239</f>
        <v>0</v>
      </c>
      <c r="Q238" t="str">
        <f t="shared" si="65"/>
        <v>",SubStage= "</v>
      </c>
      <c r="R238">
        <f>Match!I239</f>
        <v>0</v>
      </c>
      <c r="S238" t="str">
        <f t="shared" si="66"/>
        <v>",HTeam= "</v>
      </c>
      <c r="T238">
        <f>Match!J239</f>
        <v>0</v>
      </c>
      <c r="U238" t="str">
        <f t="shared" si="67"/>
        <v>",HGoal=</v>
      </c>
      <c r="V238">
        <f>Match!K239</f>
        <v>0</v>
      </c>
      <c r="W238" t="str">
        <f t="shared" si="68"/>
        <v>,GGoal=</v>
      </c>
      <c r="X238">
        <f>Match!L239</f>
        <v>0</v>
      </c>
      <c r="Y238" t="str">
        <f t="shared" si="69"/>
        <v>,GTeam= "</v>
      </c>
      <c r="Z238">
        <f>Match!M239</f>
        <v>0</v>
      </c>
      <c r="AA238" t="str">
        <f t="shared" si="70"/>
        <v>",WinNote="</v>
      </c>
      <c r="AB238" t="str">
        <f>IF(Match!N239="","",Match!N239)</f>
        <v/>
      </c>
      <c r="AC238" t="str">
        <f t="shared" si="71"/>
        <v xml:space="preserve">",Stadium=" </v>
      </c>
      <c r="AD238" s="95">
        <f>Match!O239</f>
        <v>0</v>
      </c>
      <c r="AE238" t="str">
        <f t="shared" si="72"/>
        <v>",Referee= "</v>
      </c>
      <c r="AF238" s="95" t="str">
        <f>IF(Match!P239="","",Match!P239)</f>
        <v/>
      </c>
      <c r="AG238" t="str">
        <f t="shared" si="73"/>
        <v xml:space="preserve">",Visistors= </v>
      </c>
      <c r="AH238" s="95">
        <f>IF(Match!Q239="",0,Match!Q239)</f>
        <v>0</v>
      </c>
      <c r="AI238" t="str">
        <f t="shared" si="74"/>
        <v>,Status= "</v>
      </c>
      <c r="AJ238" s="95">
        <f>Match!R239</f>
        <v>0</v>
      </c>
      <c r="AK238" t="str">
        <f t="shared" si="75"/>
        <v>" },</v>
      </c>
    </row>
    <row r="239" spans="1:37" x14ac:dyDescent="0.25">
      <c r="A239" s="94" t="str">
        <f t="shared" si="57"/>
        <v>new Match { MatchId= "</v>
      </c>
      <c r="B239">
        <f>Match!A240</f>
        <v>0</v>
      </c>
      <c r="C239" s="94" t="str">
        <f t="shared" si="58"/>
        <v>",MatchNumber=</v>
      </c>
      <c r="D239">
        <f>Match!B240</f>
        <v>0</v>
      </c>
      <c r="E239" s="94" t="str">
        <f t="shared" si="59"/>
        <v>,DateMatch=DateTime.Parse("</v>
      </c>
      <c r="F239" s="85">
        <f>Match!C240</f>
        <v>0</v>
      </c>
      <c r="G239" s="92" t="str">
        <f t="shared" si="60"/>
        <v>"),TimeMatch=TimeSpan.Parse("</v>
      </c>
      <c r="H239" s="93">
        <f>Match!D240</f>
        <v>0</v>
      </c>
      <c r="I239" s="94" t="str">
        <f t="shared" si="61"/>
        <v>"),MatchYear=</v>
      </c>
      <c r="J239">
        <f>Match!E240</f>
        <v>0</v>
      </c>
      <c r="K239" s="94" t="str">
        <f t="shared" si="62"/>
        <v>, SeasonId= "</v>
      </c>
      <c r="L239">
        <f>Match!F240</f>
        <v>0</v>
      </c>
      <c r="M239" s="94" t="str">
        <f t="shared" si="63"/>
        <v>",Round= "</v>
      </c>
      <c r="N239">
        <f>Match!G240</f>
        <v>0</v>
      </c>
      <c r="O239" t="str">
        <f t="shared" si="64"/>
        <v>",Stage= "</v>
      </c>
      <c r="P239">
        <f>Match!H240</f>
        <v>0</v>
      </c>
      <c r="Q239" t="str">
        <f t="shared" si="65"/>
        <v>",SubStage= "</v>
      </c>
      <c r="R239">
        <f>Match!I240</f>
        <v>0</v>
      </c>
      <c r="S239" t="str">
        <f t="shared" si="66"/>
        <v>",HTeam= "</v>
      </c>
      <c r="T239">
        <f>Match!J240</f>
        <v>0</v>
      </c>
      <c r="U239" t="str">
        <f t="shared" si="67"/>
        <v>",HGoal=</v>
      </c>
      <c r="V239">
        <f>Match!K240</f>
        <v>0</v>
      </c>
      <c r="W239" t="str">
        <f t="shared" si="68"/>
        <v>,GGoal=</v>
      </c>
      <c r="X239">
        <f>Match!L240</f>
        <v>0</v>
      </c>
      <c r="Y239" t="str">
        <f t="shared" si="69"/>
        <v>,GTeam= "</v>
      </c>
      <c r="Z239">
        <f>Match!M240</f>
        <v>0</v>
      </c>
      <c r="AA239" t="str">
        <f t="shared" si="70"/>
        <v>",WinNote="</v>
      </c>
      <c r="AB239" t="str">
        <f>IF(Match!N240="","",Match!N240)</f>
        <v/>
      </c>
      <c r="AC239" t="str">
        <f t="shared" si="71"/>
        <v xml:space="preserve">",Stadium=" </v>
      </c>
      <c r="AD239" s="95">
        <f>Match!O240</f>
        <v>0</v>
      </c>
      <c r="AE239" t="str">
        <f t="shared" si="72"/>
        <v>",Referee= "</v>
      </c>
      <c r="AF239" s="95" t="str">
        <f>IF(Match!P240="","",Match!P240)</f>
        <v/>
      </c>
      <c r="AG239" t="str">
        <f t="shared" si="73"/>
        <v xml:space="preserve">",Visistors= </v>
      </c>
      <c r="AH239" s="95">
        <f>IF(Match!Q240="",0,Match!Q240)</f>
        <v>0</v>
      </c>
      <c r="AI239" t="str">
        <f t="shared" si="74"/>
        <v>,Status= "</v>
      </c>
      <c r="AJ239" s="95">
        <f>Match!R240</f>
        <v>0</v>
      </c>
      <c r="AK239" t="str">
        <f t="shared" si="75"/>
        <v>" },</v>
      </c>
    </row>
    <row r="240" spans="1:37" x14ac:dyDescent="0.25">
      <c r="A240" s="94" t="str">
        <f t="shared" si="57"/>
        <v>new Match { MatchId= "</v>
      </c>
      <c r="B240">
        <f>Match!A241</f>
        <v>0</v>
      </c>
      <c r="C240" s="94" t="str">
        <f t="shared" si="58"/>
        <v>",MatchNumber=</v>
      </c>
      <c r="D240">
        <f>Match!B241</f>
        <v>0</v>
      </c>
      <c r="E240" s="94" t="str">
        <f t="shared" si="59"/>
        <v>,DateMatch=DateTime.Parse("</v>
      </c>
      <c r="F240" s="85">
        <f>Match!C241</f>
        <v>0</v>
      </c>
      <c r="G240" s="92" t="str">
        <f t="shared" si="60"/>
        <v>"),TimeMatch=TimeSpan.Parse("</v>
      </c>
      <c r="H240" s="93">
        <f>Match!D241</f>
        <v>0</v>
      </c>
      <c r="I240" s="94" t="str">
        <f t="shared" si="61"/>
        <v>"),MatchYear=</v>
      </c>
      <c r="J240">
        <f>Match!E241</f>
        <v>0</v>
      </c>
      <c r="K240" s="94" t="str">
        <f t="shared" si="62"/>
        <v>, SeasonId= "</v>
      </c>
      <c r="L240">
        <f>Match!F241</f>
        <v>0</v>
      </c>
      <c r="M240" s="94" t="str">
        <f t="shared" si="63"/>
        <v>",Round= "</v>
      </c>
      <c r="N240">
        <f>Match!G241</f>
        <v>0</v>
      </c>
      <c r="O240" t="str">
        <f t="shared" si="64"/>
        <v>",Stage= "</v>
      </c>
      <c r="P240">
        <f>Match!H241</f>
        <v>0</v>
      </c>
      <c r="Q240" t="str">
        <f t="shared" si="65"/>
        <v>",SubStage= "</v>
      </c>
      <c r="R240">
        <f>Match!I241</f>
        <v>0</v>
      </c>
      <c r="S240" t="str">
        <f t="shared" si="66"/>
        <v>",HTeam= "</v>
      </c>
      <c r="T240">
        <f>Match!J241</f>
        <v>0</v>
      </c>
      <c r="U240" t="str">
        <f t="shared" si="67"/>
        <v>",HGoal=</v>
      </c>
      <c r="V240">
        <f>Match!K241</f>
        <v>0</v>
      </c>
      <c r="W240" t="str">
        <f t="shared" si="68"/>
        <v>,GGoal=</v>
      </c>
      <c r="X240">
        <f>Match!L241</f>
        <v>0</v>
      </c>
      <c r="Y240" t="str">
        <f t="shared" si="69"/>
        <v>,GTeam= "</v>
      </c>
      <c r="Z240">
        <f>Match!M241</f>
        <v>0</v>
      </c>
      <c r="AA240" t="str">
        <f t="shared" si="70"/>
        <v>",WinNote="</v>
      </c>
      <c r="AB240" t="str">
        <f>IF(Match!N241="","",Match!N241)</f>
        <v/>
      </c>
      <c r="AC240" t="str">
        <f t="shared" si="71"/>
        <v xml:space="preserve">",Stadium=" </v>
      </c>
      <c r="AD240" s="95">
        <f>Match!O241</f>
        <v>0</v>
      </c>
      <c r="AE240" t="str">
        <f t="shared" si="72"/>
        <v>",Referee= "</v>
      </c>
      <c r="AF240" s="95" t="str">
        <f>IF(Match!P241="","",Match!P241)</f>
        <v/>
      </c>
      <c r="AG240" t="str">
        <f t="shared" si="73"/>
        <v xml:space="preserve">",Visistors= </v>
      </c>
      <c r="AH240" s="95">
        <f>IF(Match!Q241="",0,Match!Q241)</f>
        <v>0</v>
      </c>
      <c r="AI240" t="str">
        <f t="shared" si="74"/>
        <v>,Status= "</v>
      </c>
      <c r="AJ240" s="95">
        <f>Match!R241</f>
        <v>0</v>
      </c>
      <c r="AK240" t="str">
        <f t="shared" si="75"/>
        <v>" },</v>
      </c>
    </row>
    <row r="241" spans="1:37" x14ac:dyDescent="0.25">
      <c r="A241" s="94" t="str">
        <f t="shared" si="57"/>
        <v>new Match { MatchId= "</v>
      </c>
      <c r="B241">
        <f>Match!A242</f>
        <v>0</v>
      </c>
      <c r="C241" s="94" t="str">
        <f t="shared" si="58"/>
        <v>",MatchNumber=</v>
      </c>
      <c r="D241">
        <f>Match!B242</f>
        <v>0</v>
      </c>
      <c r="E241" s="94" t="str">
        <f t="shared" si="59"/>
        <v>,DateMatch=DateTime.Parse("</v>
      </c>
      <c r="F241" s="85">
        <f>Match!C242</f>
        <v>0</v>
      </c>
      <c r="G241" s="92" t="str">
        <f t="shared" si="60"/>
        <v>"),TimeMatch=TimeSpan.Parse("</v>
      </c>
      <c r="H241" s="93">
        <f>Match!D242</f>
        <v>0</v>
      </c>
      <c r="I241" s="94" t="str">
        <f t="shared" si="61"/>
        <v>"),MatchYear=</v>
      </c>
      <c r="J241">
        <f>Match!E242</f>
        <v>0</v>
      </c>
      <c r="K241" s="94" t="str">
        <f t="shared" si="62"/>
        <v>, SeasonId= "</v>
      </c>
      <c r="L241">
        <f>Match!F242</f>
        <v>0</v>
      </c>
      <c r="M241" s="94" t="str">
        <f t="shared" si="63"/>
        <v>",Round= "</v>
      </c>
      <c r="N241">
        <f>Match!G242</f>
        <v>0</v>
      </c>
      <c r="O241" t="str">
        <f t="shared" si="64"/>
        <v>",Stage= "</v>
      </c>
      <c r="P241">
        <f>Match!H242</f>
        <v>0</v>
      </c>
      <c r="Q241" t="str">
        <f t="shared" si="65"/>
        <v>",SubStage= "</v>
      </c>
      <c r="R241">
        <f>Match!I242</f>
        <v>0</v>
      </c>
      <c r="S241" t="str">
        <f t="shared" si="66"/>
        <v>",HTeam= "</v>
      </c>
      <c r="T241">
        <f>Match!J242</f>
        <v>0</v>
      </c>
      <c r="U241" t="str">
        <f t="shared" si="67"/>
        <v>",HGoal=</v>
      </c>
      <c r="V241">
        <f>Match!K242</f>
        <v>0</v>
      </c>
      <c r="W241" t="str">
        <f t="shared" si="68"/>
        <v>,GGoal=</v>
      </c>
      <c r="X241">
        <f>Match!L242</f>
        <v>0</v>
      </c>
      <c r="Y241" t="str">
        <f t="shared" si="69"/>
        <v>,GTeam= "</v>
      </c>
      <c r="Z241">
        <f>Match!M242</f>
        <v>0</v>
      </c>
      <c r="AA241" t="str">
        <f t="shared" si="70"/>
        <v>",WinNote="</v>
      </c>
      <c r="AB241" t="str">
        <f>IF(Match!N242="","",Match!N242)</f>
        <v/>
      </c>
      <c r="AC241" t="str">
        <f t="shared" si="71"/>
        <v xml:space="preserve">",Stadium=" </v>
      </c>
      <c r="AD241" s="95">
        <f>Match!O242</f>
        <v>0</v>
      </c>
      <c r="AE241" t="str">
        <f t="shared" si="72"/>
        <v>",Referee= "</v>
      </c>
      <c r="AF241" s="95" t="str">
        <f>IF(Match!P242="","",Match!P242)</f>
        <v/>
      </c>
      <c r="AG241" t="str">
        <f t="shared" si="73"/>
        <v xml:space="preserve">",Visistors= </v>
      </c>
      <c r="AH241" s="95">
        <f>IF(Match!Q242="",0,Match!Q242)</f>
        <v>0</v>
      </c>
      <c r="AI241" t="str">
        <f t="shared" si="74"/>
        <v>,Status= "</v>
      </c>
      <c r="AJ241" s="95">
        <f>Match!R242</f>
        <v>0</v>
      </c>
      <c r="AK241" t="str">
        <f t="shared" si="75"/>
        <v>" },</v>
      </c>
    </row>
    <row r="242" spans="1:37" x14ac:dyDescent="0.25">
      <c r="A242" s="94" t="str">
        <f t="shared" si="57"/>
        <v>new Match { MatchId= "</v>
      </c>
      <c r="B242">
        <f>Match!A243</f>
        <v>0</v>
      </c>
      <c r="C242" s="94" t="str">
        <f t="shared" si="58"/>
        <v>",MatchNumber=</v>
      </c>
      <c r="D242">
        <f>Match!B243</f>
        <v>0</v>
      </c>
      <c r="E242" s="94" t="str">
        <f t="shared" si="59"/>
        <v>,DateMatch=DateTime.Parse("</v>
      </c>
      <c r="F242" s="85">
        <f>Match!C243</f>
        <v>0</v>
      </c>
      <c r="G242" s="92" t="str">
        <f t="shared" si="60"/>
        <v>"),TimeMatch=TimeSpan.Parse("</v>
      </c>
      <c r="H242" s="93">
        <f>Match!D243</f>
        <v>0</v>
      </c>
      <c r="I242" s="94" t="str">
        <f t="shared" si="61"/>
        <v>"),MatchYear=</v>
      </c>
      <c r="J242">
        <f>Match!E243</f>
        <v>0</v>
      </c>
      <c r="K242" s="94" t="str">
        <f t="shared" si="62"/>
        <v>, SeasonId= "</v>
      </c>
      <c r="L242">
        <f>Match!F243</f>
        <v>0</v>
      </c>
      <c r="M242" s="94" t="str">
        <f t="shared" si="63"/>
        <v>",Round= "</v>
      </c>
      <c r="N242">
        <f>Match!G243</f>
        <v>0</v>
      </c>
      <c r="O242" t="str">
        <f t="shared" si="64"/>
        <v>",Stage= "</v>
      </c>
      <c r="P242">
        <f>Match!H243</f>
        <v>0</v>
      </c>
      <c r="Q242" t="str">
        <f t="shared" si="65"/>
        <v>",SubStage= "</v>
      </c>
      <c r="R242">
        <f>Match!I243</f>
        <v>0</v>
      </c>
      <c r="S242" t="str">
        <f t="shared" si="66"/>
        <v>",HTeam= "</v>
      </c>
      <c r="T242">
        <f>Match!J243</f>
        <v>0</v>
      </c>
      <c r="U242" t="str">
        <f t="shared" si="67"/>
        <v>",HGoal=</v>
      </c>
      <c r="V242">
        <f>Match!K243</f>
        <v>0</v>
      </c>
      <c r="W242" t="str">
        <f t="shared" si="68"/>
        <v>,GGoal=</v>
      </c>
      <c r="X242">
        <f>Match!L243</f>
        <v>0</v>
      </c>
      <c r="Y242" t="str">
        <f t="shared" si="69"/>
        <v>,GTeam= "</v>
      </c>
      <c r="Z242">
        <f>Match!M243</f>
        <v>0</v>
      </c>
      <c r="AA242" t="str">
        <f t="shared" si="70"/>
        <v>",WinNote="</v>
      </c>
      <c r="AB242" t="str">
        <f>IF(Match!N243="","",Match!N243)</f>
        <v/>
      </c>
      <c r="AC242" t="str">
        <f t="shared" si="71"/>
        <v xml:space="preserve">",Stadium=" </v>
      </c>
      <c r="AD242" s="95">
        <f>Match!O243</f>
        <v>0</v>
      </c>
      <c r="AE242" t="str">
        <f t="shared" si="72"/>
        <v>",Referee= "</v>
      </c>
      <c r="AF242" s="95" t="str">
        <f>IF(Match!P243="","",Match!P243)</f>
        <v/>
      </c>
      <c r="AG242" t="str">
        <f t="shared" si="73"/>
        <v xml:space="preserve">",Visistors= </v>
      </c>
      <c r="AH242" s="95">
        <f>IF(Match!Q243="",0,Match!Q243)</f>
        <v>0</v>
      </c>
      <c r="AI242" t="str">
        <f t="shared" si="74"/>
        <v>,Status= "</v>
      </c>
      <c r="AJ242" s="95">
        <f>Match!R243</f>
        <v>0</v>
      </c>
      <c r="AK242" t="str">
        <f t="shared" si="75"/>
        <v>" },</v>
      </c>
    </row>
    <row r="243" spans="1:37" x14ac:dyDescent="0.25">
      <c r="A243" s="94" t="str">
        <f t="shared" si="57"/>
        <v>new Match { MatchId= "</v>
      </c>
      <c r="B243">
        <f>Match!A244</f>
        <v>0</v>
      </c>
      <c r="C243" s="94" t="str">
        <f t="shared" si="58"/>
        <v>",MatchNumber=</v>
      </c>
      <c r="D243">
        <f>Match!B244</f>
        <v>0</v>
      </c>
      <c r="E243" s="94" t="str">
        <f t="shared" si="59"/>
        <v>,DateMatch=DateTime.Parse("</v>
      </c>
      <c r="F243" s="85">
        <f>Match!C244</f>
        <v>0</v>
      </c>
      <c r="G243" s="92" t="str">
        <f t="shared" si="60"/>
        <v>"),TimeMatch=TimeSpan.Parse("</v>
      </c>
      <c r="H243" s="93">
        <f>Match!D244</f>
        <v>0</v>
      </c>
      <c r="I243" s="94" t="str">
        <f t="shared" si="61"/>
        <v>"),MatchYear=</v>
      </c>
      <c r="J243">
        <f>Match!E244</f>
        <v>0</v>
      </c>
      <c r="K243" s="94" t="str">
        <f t="shared" si="62"/>
        <v>, SeasonId= "</v>
      </c>
      <c r="L243">
        <f>Match!F244</f>
        <v>0</v>
      </c>
      <c r="M243" s="94" t="str">
        <f t="shared" si="63"/>
        <v>",Round= "</v>
      </c>
      <c r="N243">
        <f>Match!G244</f>
        <v>0</v>
      </c>
      <c r="O243" t="str">
        <f t="shared" si="64"/>
        <v>",Stage= "</v>
      </c>
      <c r="P243">
        <f>Match!H244</f>
        <v>0</v>
      </c>
      <c r="Q243" t="str">
        <f t="shared" si="65"/>
        <v>",SubStage= "</v>
      </c>
      <c r="R243">
        <f>Match!I244</f>
        <v>0</v>
      </c>
      <c r="S243" t="str">
        <f t="shared" si="66"/>
        <v>",HTeam= "</v>
      </c>
      <c r="T243">
        <f>Match!J244</f>
        <v>0</v>
      </c>
      <c r="U243" t="str">
        <f t="shared" si="67"/>
        <v>",HGoal=</v>
      </c>
      <c r="V243">
        <f>Match!K244</f>
        <v>0</v>
      </c>
      <c r="W243" t="str">
        <f t="shared" si="68"/>
        <v>,GGoal=</v>
      </c>
      <c r="X243">
        <f>Match!L244</f>
        <v>0</v>
      </c>
      <c r="Y243" t="str">
        <f t="shared" si="69"/>
        <v>,GTeam= "</v>
      </c>
      <c r="Z243">
        <f>Match!M244</f>
        <v>0</v>
      </c>
      <c r="AA243" t="str">
        <f t="shared" si="70"/>
        <v>",WinNote="</v>
      </c>
      <c r="AB243" t="str">
        <f>IF(Match!N244="","",Match!N244)</f>
        <v/>
      </c>
      <c r="AC243" t="str">
        <f t="shared" si="71"/>
        <v xml:space="preserve">",Stadium=" </v>
      </c>
      <c r="AD243" s="95">
        <f>Match!O244</f>
        <v>0</v>
      </c>
      <c r="AE243" t="str">
        <f t="shared" si="72"/>
        <v>",Referee= "</v>
      </c>
      <c r="AF243" s="95" t="str">
        <f>IF(Match!P244="","",Match!P244)</f>
        <v/>
      </c>
      <c r="AG243" t="str">
        <f t="shared" si="73"/>
        <v xml:space="preserve">",Visistors= </v>
      </c>
      <c r="AH243" s="95">
        <f>IF(Match!Q244="",0,Match!Q244)</f>
        <v>0</v>
      </c>
      <c r="AI243" t="str">
        <f t="shared" si="74"/>
        <v>,Status= "</v>
      </c>
      <c r="AJ243" s="95">
        <f>Match!R244</f>
        <v>0</v>
      </c>
      <c r="AK243" t="str">
        <f t="shared" si="75"/>
        <v>" },</v>
      </c>
    </row>
    <row r="244" spans="1:37" x14ac:dyDescent="0.25">
      <c r="A244" s="94" t="str">
        <f t="shared" si="57"/>
        <v>new Match { MatchId= "</v>
      </c>
      <c r="B244">
        <f>Match!A245</f>
        <v>0</v>
      </c>
      <c r="C244" s="94" t="str">
        <f t="shared" si="58"/>
        <v>",MatchNumber=</v>
      </c>
      <c r="D244">
        <f>Match!B245</f>
        <v>0</v>
      </c>
      <c r="E244" s="94" t="str">
        <f t="shared" si="59"/>
        <v>,DateMatch=DateTime.Parse("</v>
      </c>
      <c r="F244" s="85">
        <f>Match!C245</f>
        <v>0</v>
      </c>
      <c r="G244" s="92" t="str">
        <f t="shared" si="60"/>
        <v>"),TimeMatch=TimeSpan.Parse("</v>
      </c>
      <c r="H244" s="93">
        <f>Match!D245</f>
        <v>0</v>
      </c>
      <c r="I244" s="94" t="str">
        <f t="shared" si="61"/>
        <v>"),MatchYear=</v>
      </c>
      <c r="J244">
        <f>Match!E245</f>
        <v>0</v>
      </c>
      <c r="K244" s="94" t="str">
        <f t="shared" si="62"/>
        <v>, SeasonId= "</v>
      </c>
      <c r="L244">
        <f>Match!F245</f>
        <v>0</v>
      </c>
      <c r="M244" s="94" t="str">
        <f t="shared" si="63"/>
        <v>",Round= "</v>
      </c>
      <c r="N244">
        <f>Match!G245</f>
        <v>0</v>
      </c>
      <c r="O244" t="str">
        <f t="shared" si="64"/>
        <v>",Stage= "</v>
      </c>
      <c r="P244">
        <f>Match!H245</f>
        <v>0</v>
      </c>
      <c r="Q244" t="str">
        <f t="shared" si="65"/>
        <v>",SubStage= "</v>
      </c>
      <c r="R244">
        <f>Match!I245</f>
        <v>0</v>
      </c>
      <c r="S244" t="str">
        <f t="shared" si="66"/>
        <v>",HTeam= "</v>
      </c>
      <c r="T244">
        <f>Match!J245</f>
        <v>0</v>
      </c>
      <c r="U244" t="str">
        <f t="shared" si="67"/>
        <v>",HGoal=</v>
      </c>
      <c r="V244">
        <f>Match!K245</f>
        <v>0</v>
      </c>
      <c r="W244" t="str">
        <f t="shared" si="68"/>
        <v>,GGoal=</v>
      </c>
      <c r="X244">
        <f>Match!L245</f>
        <v>0</v>
      </c>
      <c r="Y244" t="str">
        <f t="shared" si="69"/>
        <v>,GTeam= "</v>
      </c>
      <c r="Z244">
        <f>Match!M245</f>
        <v>0</v>
      </c>
      <c r="AA244" t="str">
        <f t="shared" si="70"/>
        <v>",WinNote="</v>
      </c>
      <c r="AB244" t="str">
        <f>IF(Match!N245="","",Match!N245)</f>
        <v/>
      </c>
      <c r="AC244" t="str">
        <f t="shared" si="71"/>
        <v xml:space="preserve">",Stadium=" </v>
      </c>
      <c r="AD244" s="95">
        <f>Match!O245</f>
        <v>0</v>
      </c>
      <c r="AE244" t="str">
        <f t="shared" si="72"/>
        <v>",Referee= "</v>
      </c>
      <c r="AF244" s="95" t="str">
        <f>IF(Match!P245="","",Match!P245)</f>
        <v/>
      </c>
      <c r="AG244" t="str">
        <f t="shared" si="73"/>
        <v xml:space="preserve">",Visistors= </v>
      </c>
      <c r="AH244" s="95">
        <f>IF(Match!Q245="",0,Match!Q245)</f>
        <v>0</v>
      </c>
      <c r="AI244" t="str">
        <f t="shared" si="74"/>
        <v>,Status= "</v>
      </c>
      <c r="AJ244" s="95">
        <f>Match!R245</f>
        <v>0</v>
      </c>
      <c r="AK244" t="str">
        <f t="shared" si="75"/>
        <v>" },</v>
      </c>
    </row>
    <row r="245" spans="1:37" x14ac:dyDescent="0.25">
      <c r="A245" s="94" t="str">
        <f t="shared" si="57"/>
        <v>new Match { MatchId= "</v>
      </c>
      <c r="B245">
        <f>Match!A246</f>
        <v>0</v>
      </c>
      <c r="C245" s="94" t="str">
        <f t="shared" si="58"/>
        <v>",MatchNumber=</v>
      </c>
      <c r="D245">
        <f>Match!B246</f>
        <v>0</v>
      </c>
      <c r="E245" s="94" t="str">
        <f t="shared" si="59"/>
        <v>,DateMatch=DateTime.Parse("</v>
      </c>
      <c r="F245" s="85">
        <f>Match!C246</f>
        <v>0</v>
      </c>
      <c r="G245" s="92" t="str">
        <f t="shared" si="60"/>
        <v>"),TimeMatch=TimeSpan.Parse("</v>
      </c>
      <c r="H245" s="93">
        <f>Match!D246</f>
        <v>0</v>
      </c>
      <c r="I245" s="94" t="str">
        <f t="shared" si="61"/>
        <v>"),MatchYear=</v>
      </c>
      <c r="J245">
        <f>Match!E246</f>
        <v>0</v>
      </c>
      <c r="K245" s="94" t="str">
        <f t="shared" si="62"/>
        <v>, SeasonId= "</v>
      </c>
      <c r="L245">
        <f>Match!F246</f>
        <v>0</v>
      </c>
      <c r="M245" s="94" t="str">
        <f t="shared" si="63"/>
        <v>",Round= "</v>
      </c>
      <c r="N245">
        <f>Match!G246</f>
        <v>0</v>
      </c>
      <c r="O245" t="str">
        <f t="shared" si="64"/>
        <v>",Stage= "</v>
      </c>
      <c r="P245">
        <f>Match!H246</f>
        <v>0</v>
      </c>
      <c r="Q245" t="str">
        <f t="shared" si="65"/>
        <v>",SubStage= "</v>
      </c>
      <c r="R245">
        <f>Match!I246</f>
        <v>0</v>
      </c>
      <c r="S245" t="str">
        <f t="shared" si="66"/>
        <v>",HTeam= "</v>
      </c>
      <c r="T245">
        <f>Match!J246</f>
        <v>0</v>
      </c>
      <c r="U245" t="str">
        <f t="shared" si="67"/>
        <v>",HGoal=</v>
      </c>
      <c r="V245">
        <f>Match!K246</f>
        <v>0</v>
      </c>
      <c r="W245" t="str">
        <f t="shared" si="68"/>
        <v>,GGoal=</v>
      </c>
      <c r="X245">
        <f>Match!L246</f>
        <v>0</v>
      </c>
      <c r="Y245" t="str">
        <f t="shared" si="69"/>
        <v>,GTeam= "</v>
      </c>
      <c r="Z245">
        <f>Match!M246</f>
        <v>0</v>
      </c>
      <c r="AA245" t="str">
        <f t="shared" si="70"/>
        <v>",WinNote="</v>
      </c>
      <c r="AB245" t="str">
        <f>IF(Match!N246="","",Match!N246)</f>
        <v/>
      </c>
      <c r="AC245" t="str">
        <f t="shared" si="71"/>
        <v xml:space="preserve">",Stadium=" </v>
      </c>
      <c r="AD245" s="95">
        <f>Match!O246</f>
        <v>0</v>
      </c>
      <c r="AE245" t="str">
        <f t="shared" si="72"/>
        <v>",Referee= "</v>
      </c>
      <c r="AF245" s="95" t="str">
        <f>IF(Match!P246="","",Match!P246)</f>
        <v/>
      </c>
      <c r="AG245" t="str">
        <f t="shared" si="73"/>
        <v xml:space="preserve">",Visistors= </v>
      </c>
      <c r="AH245" s="95">
        <f>IF(Match!Q246="",0,Match!Q246)</f>
        <v>0</v>
      </c>
      <c r="AI245" t="str">
        <f t="shared" si="74"/>
        <v>,Status= "</v>
      </c>
      <c r="AJ245" s="95">
        <f>Match!R246</f>
        <v>0</v>
      </c>
      <c r="AK245" t="str">
        <f t="shared" si="75"/>
        <v>" },</v>
      </c>
    </row>
    <row r="246" spans="1:37" x14ac:dyDescent="0.25">
      <c r="A246" s="94" t="str">
        <f t="shared" si="57"/>
        <v>new Match { MatchId= "</v>
      </c>
      <c r="B246">
        <f>Match!A247</f>
        <v>0</v>
      </c>
      <c r="C246" s="94" t="str">
        <f t="shared" si="58"/>
        <v>",MatchNumber=</v>
      </c>
      <c r="D246">
        <f>Match!B247</f>
        <v>0</v>
      </c>
      <c r="E246" s="94" t="str">
        <f t="shared" si="59"/>
        <v>,DateMatch=DateTime.Parse("</v>
      </c>
      <c r="F246" s="85">
        <f>Match!C247</f>
        <v>0</v>
      </c>
      <c r="G246" s="92" t="str">
        <f t="shared" si="60"/>
        <v>"),TimeMatch=TimeSpan.Parse("</v>
      </c>
      <c r="H246" s="93">
        <f>Match!D247</f>
        <v>0</v>
      </c>
      <c r="I246" s="94" t="str">
        <f t="shared" si="61"/>
        <v>"),MatchYear=</v>
      </c>
      <c r="J246">
        <f>Match!E247</f>
        <v>0</v>
      </c>
      <c r="K246" s="94" t="str">
        <f t="shared" si="62"/>
        <v>, SeasonId= "</v>
      </c>
      <c r="L246">
        <f>Match!F247</f>
        <v>0</v>
      </c>
      <c r="M246" s="94" t="str">
        <f t="shared" si="63"/>
        <v>",Round= "</v>
      </c>
      <c r="N246">
        <f>Match!G247</f>
        <v>0</v>
      </c>
      <c r="O246" t="str">
        <f t="shared" si="64"/>
        <v>",Stage= "</v>
      </c>
      <c r="P246">
        <f>Match!H247</f>
        <v>0</v>
      </c>
      <c r="Q246" t="str">
        <f t="shared" si="65"/>
        <v>",SubStage= "</v>
      </c>
      <c r="R246">
        <f>Match!I247</f>
        <v>0</v>
      </c>
      <c r="S246" t="str">
        <f t="shared" si="66"/>
        <v>",HTeam= "</v>
      </c>
      <c r="T246">
        <f>Match!J247</f>
        <v>0</v>
      </c>
      <c r="U246" t="str">
        <f t="shared" si="67"/>
        <v>",HGoal=</v>
      </c>
      <c r="V246">
        <f>Match!K247</f>
        <v>0</v>
      </c>
      <c r="W246" t="str">
        <f t="shared" si="68"/>
        <v>,GGoal=</v>
      </c>
      <c r="X246">
        <f>Match!L247</f>
        <v>0</v>
      </c>
      <c r="Y246" t="str">
        <f t="shared" si="69"/>
        <v>,GTeam= "</v>
      </c>
      <c r="Z246">
        <f>Match!M247</f>
        <v>0</v>
      </c>
      <c r="AA246" t="str">
        <f t="shared" si="70"/>
        <v>",WinNote="</v>
      </c>
      <c r="AB246" t="str">
        <f>IF(Match!N247="","",Match!N247)</f>
        <v/>
      </c>
      <c r="AC246" t="str">
        <f t="shared" si="71"/>
        <v xml:space="preserve">",Stadium=" </v>
      </c>
      <c r="AD246" s="95">
        <f>Match!O247</f>
        <v>0</v>
      </c>
      <c r="AE246" t="str">
        <f t="shared" si="72"/>
        <v>",Referee= "</v>
      </c>
      <c r="AF246" s="95" t="str">
        <f>IF(Match!P247="","",Match!P247)</f>
        <v/>
      </c>
      <c r="AG246" t="str">
        <f t="shared" si="73"/>
        <v xml:space="preserve">",Visistors= </v>
      </c>
      <c r="AH246" s="95">
        <f>IF(Match!Q247="",0,Match!Q247)</f>
        <v>0</v>
      </c>
      <c r="AI246" t="str">
        <f t="shared" si="74"/>
        <v>,Status= "</v>
      </c>
      <c r="AJ246" s="95">
        <f>Match!R247</f>
        <v>0</v>
      </c>
      <c r="AK246" t="str">
        <f t="shared" si="75"/>
        <v>" },</v>
      </c>
    </row>
    <row r="247" spans="1:37" x14ac:dyDescent="0.25">
      <c r="A247" s="94" t="str">
        <f t="shared" si="57"/>
        <v>new Match { MatchId= "</v>
      </c>
      <c r="B247">
        <f>Match!A248</f>
        <v>0</v>
      </c>
      <c r="C247" s="94" t="str">
        <f t="shared" si="58"/>
        <v>",MatchNumber=</v>
      </c>
      <c r="D247">
        <f>Match!B248</f>
        <v>0</v>
      </c>
      <c r="E247" s="94" t="str">
        <f t="shared" si="59"/>
        <v>,DateMatch=DateTime.Parse("</v>
      </c>
      <c r="F247" s="85">
        <f>Match!C248</f>
        <v>0</v>
      </c>
      <c r="G247" s="92" t="str">
        <f t="shared" si="60"/>
        <v>"),TimeMatch=TimeSpan.Parse("</v>
      </c>
      <c r="H247" s="93">
        <f>Match!D248</f>
        <v>0</v>
      </c>
      <c r="I247" s="94" t="str">
        <f t="shared" si="61"/>
        <v>"),MatchYear=</v>
      </c>
      <c r="J247">
        <f>Match!E248</f>
        <v>0</v>
      </c>
      <c r="K247" s="94" t="str">
        <f t="shared" si="62"/>
        <v>, SeasonId= "</v>
      </c>
      <c r="L247">
        <f>Match!F248</f>
        <v>0</v>
      </c>
      <c r="M247" s="94" t="str">
        <f t="shared" si="63"/>
        <v>",Round= "</v>
      </c>
      <c r="N247">
        <f>Match!G248</f>
        <v>0</v>
      </c>
      <c r="O247" t="str">
        <f t="shared" si="64"/>
        <v>",Stage= "</v>
      </c>
      <c r="P247">
        <f>Match!H248</f>
        <v>0</v>
      </c>
      <c r="Q247" t="str">
        <f t="shared" si="65"/>
        <v>",SubStage= "</v>
      </c>
      <c r="R247">
        <f>Match!I248</f>
        <v>0</v>
      </c>
      <c r="S247" t="str">
        <f t="shared" si="66"/>
        <v>",HTeam= "</v>
      </c>
      <c r="T247">
        <f>Match!J248</f>
        <v>0</v>
      </c>
      <c r="U247" t="str">
        <f t="shared" si="67"/>
        <v>",HGoal=</v>
      </c>
      <c r="V247">
        <f>Match!K248</f>
        <v>0</v>
      </c>
      <c r="W247" t="str">
        <f t="shared" si="68"/>
        <v>,GGoal=</v>
      </c>
      <c r="X247">
        <f>Match!L248</f>
        <v>0</v>
      </c>
      <c r="Y247" t="str">
        <f t="shared" si="69"/>
        <v>,GTeam= "</v>
      </c>
      <c r="Z247">
        <f>Match!M248</f>
        <v>0</v>
      </c>
      <c r="AA247" t="str">
        <f t="shared" si="70"/>
        <v>",WinNote="</v>
      </c>
      <c r="AB247" t="str">
        <f>IF(Match!N248="","",Match!N248)</f>
        <v/>
      </c>
      <c r="AC247" t="str">
        <f t="shared" si="71"/>
        <v xml:space="preserve">",Stadium=" </v>
      </c>
      <c r="AD247" s="95">
        <f>Match!O248</f>
        <v>0</v>
      </c>
      <c r="AE247" t="str">
        <f t="shared" si="72"/>
        <v>",Referee= "</v>
      </c>
      <c r="AF247" s="95" t="str">
        <f>IF(Match!P248="","",Match!P248)</f>
        <v/>
      </c>
      <c r="AG247" t="str">
        <f t="shared" si="73"/>
        <v xml:space="preserve">",Visistors= </v>
      </c>
      <c r="AH247" s="95">
        <f>IF(Match!Q248="",0,Match!Q248)</f>
        <v>0</v>
      </c>
      <c r="AI247" t="str">
        <f t="shared" si="74"/>
        <v>,Status= "</v>
      </c>
      <c r="AJ247" s="95">
        <f>Match!R248</f>
        <v>0</v>
      </c>
      <c r="AK247" t="str">
        <f t="shared" si="75"/>
        <v>" },</v>
      </c>
    </row>
    <row r="248" spans="1:37" x14ac:dyDescent="0.25">
      <c r="A248" s="94" t="str">
        <f t="shared" si="57"/>
        <v>new Match { MatchId= "</v>
      </c>
      <c r="B248">
        <f>Match!A249</f>
        <v>0</v>
      </c>
      <c r="C248" s="94" t="str">
        <f t="shared" si="58"/>
        <v>",MatchNumber=</v>
      </c>
      <c r="D248">
        <f>Match!B249</f>
        <v>0</v>
      </c>
      <c r="E248" s="94" t="str">
        <f t="shared" si="59"/>
        <v>,DateMatch=DateTime.Parse("</v>
      </c>
      <c r="F248" s="85">
        <f>Match!C249</f>
        <v>0</v>
      </c>
      <c r="G248" s="92" t="str">
        <f t="shared" si="60"/>
        <v>"),TimeMatch=TimeSpan.Parse("</v>
      </c>
      <c r="H248" s="93">
        <f>Match!D249</f>
        <v>0</v>
      </c>
      <c r="I248" s="94" t="str">
        <f t="shared" si="61"/>
        <v>"),MatchYear=</v>
      </c>
      <c r="J248">
        <f>Match!E249</f>
        <v>0</v>
      </c>
      <c r="K248" s="94" t="str">
        <f t="shared" si="62"/>
        <v>, SeasonId= "</v>
      </c>
      <c r="L248">
        <f>Match!F249</f>
        <v>0</v>
      </c>
      <c r="M248" s="94" t="str">
        <f t="shared" si="63"/>
        <v>",Round= "</v>
      </c>
      <c r="N248">
        <f>Match!G249</f>
        <v>0</v>
      </c>
      <c r="O248" t="str">
        <f t="shared" si="64"/>
        <v>",Stage= "</v>
      </c>
      <c r="P248">
        <f>Match!H249</f>
        <v>0</v>
      </c>
      <c r="Q248" t="str">
        <f t="shared" si="65"/>
        <v>",SubStage= "</v>
      </c>
      <c r="R248">
        <f>Match!I249</f>
        <v>0</v>
      </c>
      <c r="S248" t="str">
        <f t="shared" si="66"/>
        <v>",HTeam= "</v>
      </c>
      <c r="T248">
        <f>Match!J249</f>
        <v>0</v>
      </c>
      <c r="U248" t="str">
        <f t="shared" si="67"/>
        <v>",HGoal=</v>
      </c>
      <c r="V248">
        <f>Match!K249</f>
        <v>0</v>
      </c>
      <c r="W248" t="str">
        <f t="shared" si="68"/>
        <v>,GGoal=</v>
      </c>
      <c r="X248">
        <f>Match!L249</f>
        <v>0</v>
      </c>
      <c r="Y248" t="str">
        <f t="shared" si="69"/>
        <v>,GTeam= "</v>
      </c>
      <c r="Z248">
        <f>Match!M249</f>
        <v>0</v>
      </c>
      <c r="AA248" t="str">
        <f t="shared" si="70"/>
        <v>",WinNote="</v>
      </c>
      <c r="AB248" t="str">
        <f>IF(Match!N249="","",Match!N249)</f>
        <v/>
      </c>
      <c r="AC248" t="str">
        <f t="shared" si="71"/>
        <v xml:space="preserve">",Stadium=" </v>
      </c>
      <c r="AD248" s="95">
        <f>Match!O249</f>
        <v>0</v>
      </c>
      <c r="AE248" t="str">
        <f t="shared" si="72"/>
        <v>",Referee= "</v>
      </c>
      <c r="AF248" s="95" t="str">
        <f>IF(Match!P249="","",Match!P249)</f>
        <v/>
      </c>
      <c r="AG248" t="str">
        <f t="shared" si="73"/>
        <v xml:space="preserve">",Visistors= </v>
      </c>
      <c r="AH248" s="95">
        <f>IF(Match!Q249="",0,Match!Q249)</f>
        <v>0</v>
      </c>
      <c r="AI248" t="str">
        <f t="shared" si="74"/>
        <v>,Status= "</v>
      </c>
      <c r="AJ248" s="95">
        <f>Match!R249</f>
        <v>0</v>
      </c>
      <c r="AK248" t="str">
        <f t="shared" si="75"/>
        <v>" },</v>
      </c>
    </row>
    <row r="249" spans="1:37" x14ac:dyDescent="0.25">
      <c r="A249" s="94" t="str">
        <f t="shared" si="57"/>
        <v>new Match { MatchId= "</v>
      </c>
      <c r="B249">
        <f>Match!A250</f>
        <v>0</v>
      </c>
      <c r="C249" s="94" t="str">
        <f t="shared" si="58"/>
        <v>",MatchNumber=</v>
      </c>
      <c r="D249">
        <f>Match!B250</f>
        <v>0</v>
      </c>
      <c r="E249" s="94" t="str">
        <f t="shared" si="59"/>
        <v>,DateMatch=DateTime.Parse("</v>
      </c>
      <c r="F249" s="85">
        <f>Match!C250</f>
        <v>0</v>
      </c>
      <c r="G249" s="92" t="str">
        <f t="shared" si="60"/>
        <v>"),TimeMatch=TimeSpan.Parse("</v>
      </c>
      <c r="H249" s="93">
        <f>Match!D250</f>
        <v>0</v>
      </c>
      <c r="I249" s="94" t="str">
        <f t="shared" si="61"/>
        <v>"),MatchYear=</v>
      </c>
      <c r="J249">
        <f>Match!E250</f>
        <v>0</v>
      </c>
      <c r="K249" s="94" t="str">
        <f t="shared" si="62"/>
        <v>, SeasonId= "</v>
      </c>
      <c r="L249">
        <f>Match!F250</f>
        <v>0</v>
      </c>
      <c r="M249" s="94" t="str">
        <f t="shared" si="63"/>
        <v>",Round= "</v>
      </c>
      <c r="N249">
        <f>Match!G250</f>
        <v>0</v>
      </c>
      <c r="O249" t="str">
        <f t="shared" si="64"/>
        <v>",Stage= "</v>
      </c>
      <c r="P249">
        <f>Match!H250</f>
        <v>0</v>
      </c>
      <c r="Q249" t="str">
        <f t="shared" si="65"/>
        <v>",SubStage= "</v>
      </c>
      <c r="R249">
        <f>Match!I250</f>
        <v>0</v>
      </c>
      <c r="S249" t="str">
        <f t="shared" si="66"/>
        <v>",HTeam= "</v>
      </c>
      <c r="T249">
        <f>Match!J250</f>
        <v>0</v>
      </c>
      <c r="U249" t="str">
        <f t="shared" si="67"/>
        <v>",HGoal=</v>
      </c>
      <c r="V249">
        <f>Match!K250</f>
        <v>0</v>
      </c>
      <c r="W249" t="str">
        <f t="shared" si="68"/>
        <v>,GGoal=</v>
      </c>
      <c r="X249">
        <f>Match!L250</f>
        <v>0</v>
      </c>
      <c r="Y249" t="str">
        <f t="shared" si="69"/>
        <v>,GTeam= "</v>
      </c>
      <c r="Z249">
        <f>Match!M250</f>
        <v>0</v>
      </c>
      <c r="AA249" t="str">
        <f t="shared" si="70"/>
        <v>",WinNote="</v>
      </c>
      <c r="AB249" t="str">
        <f>IF(Match!N250="","",Match!N250)</f>
        <v/>
      </c>
      <c r="AC249" t="str">
        <f t="shared" si="71"/>
        <v xml:space="preserve">",Stadium=" </v>
      </c>
      <c r="AD249" s="95">
        <f>Match!O250</f>
        <v>0</v>
      </c>
      <c r="AE249" t="str">
        <f t="shared" si="72"/>
        <v>",Referee= "</v>
      </c>
      <c r="AF249" s="95" t="str">
        <f>IF(Match!P250="","",Match!P250)</f>
        <v/>
      </c>
      <c r="AG249" t="str">
        <f t="shared" si="73"/>
        <v xml:space="preserve">",Visistors= </v>
      </c>
      <c r="AH249" s="95">
        <f>IF(Match!Q250="",0,Match!Q250)</f>
        <v>0</v>
      </c>
      <c r="AI249" t="str">
        <f t="shared" si="74"/>
        <v>,Status= "</v>
      </c>
      <c r="AJ249" s="95">
        <f>Match!R250</f>
        <v>0</v>
      </c>
      <c r="AK249" t="str">
        <f t="shared" si="75"/>
        <v>" },</v>
      </c>
    </row>
    <row r="250" spans="1:37" x14ac:dyDescent="0.25">
      <c r="A250" s="94" t="str">
        <f t="shared" si="57"/>
        <v>new Match { MatchId= "</v>
      </c>
      <c r="B250">
        <f>Match!A251</f>
        <v>0</v>
      </c>
      <c r="C250" s="94" t="str">
        <f t="shared" si="58"/>
        <v>",MatchNumber=</v>
      </c>
      <c r="D250">
        <f>Match!B251</f>
        <v>0</v>
      </c>
      <c r="E250" s="94" t="str">
        <f t="shared" si="59"/>
        <v>,DateMatch=DateTime.Parse("</v>
      </c>
      <c r="F250" s="85">
        <f>Match!C251</f>
        <v>0</v>
      </c>
      <c r="G250" s="92" t="str">
        <f t="shared" si="60"/>
        <v>"),TimeMatch=TimeSpan.Parse("</v>
      </c>
      <c r="H250" s="93">
        <f>Match!D251</f>
        <v>0</v>
      </c>
      <c r="I250" s="94" t="str">
        <f t="shared" si="61"/>
        <v>"),MatchYear=</v>
      </c>
      <c r="J250">
        <f>Match!E251</f>
        <v>0</v>
      </c>
      <c r="K250" s="94" t="str">
        <f t="shared" si="62"/>
        <v>, SeasonId= "</v>
      </c>
      <c r="L250">
        <f>Match!F251</f>
        <v>0</v>
      </c>
      <c r="M250" s="94" t="str">
        <f t="shared" si="63"/>
        <v>",Round= "</v>
      </c>
      <c r="N250">
        <f>Match!G251</f>
        <v>0</v>
      </c>
      <c r="O250" t="str">
        <f t="shared" si="64"/>
        <v>",Stage= "</v>
      </c>
      <c r="P250">
        <f>Match!H251</f>
        <v>0</v>
      </c>
      <c r="Q250" t="str">
        <f t="shared" si="65"/>
        <v>",SubStage= "</v>
      </c>
      <c r="R250">
        <f>Match!I251</f>
        <v>0</v>
      </c>
      <c r="S250" t="str">
        <f t="shared" si="66"/>
        <v>",HTeam= "</v>
      </c>
      <c r="T250">
        <f>Match!J251</f>
        <v>0</v>
      </c>
      <c r="U250" t="str">
        <f t="shared" si="67"/>
        <v>",HGoal=</v>
      </c>
      <c r="V250">
        <f>Match!K251</f>
        <v>0</v>
      </c>
      <c r="W250" t="str">
        <f t="shared" si="68"/>
        <v>,GGoal=</v>
      </c>
      <c r="X250">
        <f>Match!L251</f>
        <v>0</v>
      </c>
      <c r="Y250" t="str">
        <f t="shared" si="69"/>
        <v>,GTeam= "</v>
      </c>
      <c r="Z250">
        <f>Match!M251</f>
        <v>0</v>
      </c>
      <c r="AA250" t="str">
        <f t="shared" si="70"/>
        <v>",WinNote="</v>
      </c>
      <c r="AB250" t="str">
        <f>IF(Match!N251="","",Match!N251)</f>
        <v/>
      </c>
      <c r="AC250" t="str">
        <f t="shared" si="71"/>
        <v xml:space="preserve">",Stadium=" </v>
      </c>
      <c r="AD250" s="95">
        <f>Match!O251</f>
        <v>0</v>
      </c>
      <c r="AE250" t="str">
        <f t="shared" si="72"/>
        <v>",Referee= "</v>
      </c>
      <c r="AF250" s="95" t="str">
        <f>IF(Match!P251="","",Match!P251)</f>
        <v/>
      </c>
      <c r="AG250" t="str">
        <f t="shared" si="73"/>
        <v xml:space="preserve">",Visistors= </v>
      </c>
      <c r="AH250" s="95">
        <f>IF(Match!Q251="",0,Match!Q251)</f>
        <v>0</v>
      </c>
      <c r="AI250" t="str">
        <f t="shared" si="74"/>
        <v>,Status= "</v>
      </c>
      <c r="AJ250" s="95">
        <f>Match!R251</f>
        <v>0</v>
      </c>
      <c r="AK250" t="str">
        <f t="shared" si="75"/>
        <v>" },</v>
      </c>
    </row>
    <row r="251" spans="1:37" x14ac:dyDescent="0.25">
      <c r="A251" s="94" t="str">
        <f t="shared" si="57"/>
        <v>new Match { MatchId= "</v>
      </c>
      <c r="B251">
        <f>Match!A252</f>
        <v>0</v>
      </c>
      <c r="C251" s="94" t="str">
        <f t="shared" si="58"/>
        <v>",MatchNumber=</v>
      </c>
      <c r="D251">
        <f>Match!B252</f>
        <v>0</v>
      </c>
      <c r="E251" s="94" t="str">
        <f t="shared" si="59"/>
        <v>,DateMatch=DateTime.Parse("</v>
      </c>
      <c r="F251" s="85">
        <f>Match!C252</f>
        <v>0</v>
      </c>
      <c r="G251" s="92" t="str">
        <f t="shared" si="60"/>
        <v>"),TimeMatch=TimeSpan.Parse("</v>
      </c>
      <c r="H251" s="93">
        <f>Match!D252</f>
        <v>0</v>
      </c>
      <c r="I251" s="94" t="str">
        <f t="shared" si="61"/>
        <v>"),MatchYear=</v>
      </c>
      <c r="J251">
        <f>Match!E252</f>
        <v>0</v>
      </c>
      <c r="K251" s="94" t="str">
        <f t="shared" si="62"/>
        <v>, SeasonId= "</v>
      </c>
      <c r="L251">
        <f>Match!F252</f>
        <v>0</v>
      </c>
      <c r="M251" s="94" t="str">
        <f t="shared" si="63"/>
        <v>",Round= "</v>
      </c>
      <c r="N251">
        <f>Match!G252</f>
        <v>0</v>
      </c>
      <c r="O251" t="str">
        <f t="shared" si="64"/>
        <v>",Stage= "</v>
      </c>
      <c r="P251">
        <f>Match!H252</f>
        <v>0</v>
      </c>
      <c r="Q251" t="str">
        <f t="shared" si="65"/>
        <v>",SubStage= "</v>
      </c>
      <c r="R251">
        <f>Match!I252</f>
        <v>0</v>
      </c>
      <c r="S251" t="str">
        <f t="shared" si="66"/>
        <v>",HTeam= "</v>
      </c>
      <c r="T251">
        <f>Match!J252</f>
        <v>0</v>
      </c>
      <c r="U251" t="str">
        <f t="shared" si="67"/>
        <v>",HGoal=</v>
      </c>
      <c r="V251">
        <f>Match!K252</f>
        <v>0</v>
      </c>
      <c r="W251" t="str">
        <f t="shared" si="68"/>
        <v>,GGoal=</v>
      </c>
      <c r="X251">
        <f>Match!L252</f>
        <v>0</v>
      </c>
      <c r="Y251" t="str">
        <f t="shared" si="69"/>
        <v>,GTeam= "</v>
      </c>
      <c r="Z251">
        <f>Match!M252</f>
        <v>0</v>
      </c>
      <c r="AA251" t="str">
        <f t="shared" si="70"/>
        <v>",WinNote="</v>
      </c>
      <c r="AB251" t="str">
        <f>IF(Match!N252="","",Match!N252)</f>
        <v/>
      </c>
      <c r="AC251" t="str">
        <f t="shared" si="71"/>
        <v xml:space="preserve">",Stadium=" </v>
      </c>
      <c r="AD251" s="95">
        <f>Match!O252</f>
        <v>0</v>
      </c>
      <c r="AE251" t="str">
        <f t="shared" si="72"/>
        <v>",Referee= "</v>
      </c>
      <c r="AF251" s="95" t="str">
        <f>IF(Match!P252="","",Match!P252)</f>
        <v/>
      </c>
      <c r="AG251" t="str">
        <f t="shared" si="73"/>
        <v xml:space="preserve">",Visistors= </v>
      </c>
      <c r="AH251" s="95">
        <f>IF(Match!Q252="",0,Match!Q252)</f>
        <v>0</v>
      </c>
      <c r="AI251" t="str">
        <f t="shared" si="74"/>
        <v>,Status= "</v>
      </c>
      <c r="AJ251" s="95">
        <f>Match!R252</f>
        <v>0</v>
      </c>
      <c r="AK251" t="str">
        <f t="shared" si="75"/>
        <v>" },</v>
      </c>
    </row>
    <row r="252" spans="1:37" x14ac:dyDescent="0.25">
      <c r="A252" s="94" t="str">
        <f t="shared" si="57"/>
        <v>new Match { MatchId= "</v>
      </c>
      <c r="B252">
        <f>Match!A253</f>
        <v>0</v>
      </c>
      <c r="C252" s="94" t="str">
        <f t="shared" si="58"/>
        <v>",MatchNumber=</v>
      </c>
      <c r="D252">
        <f>Match!B253</f>
        <v>0</v>
      </c>
      <c r="E252" s="94" t="str">
        <f t="shared" si="59"/>
        <v>,DateMatch=DateTime.Parse("</v>
      </c>
      <c r="F252" s="85">
        <f>Match!C253</f>
        <v>0</v>
      </c>
      <c r="G252" s="92" t="str">
        <f t="shared" si="60"/>
        <v>"),TimeMatch=TimeSpan.Parse("</v>
      </c>
      <c r="H252" s="93">
        <f>Match!D253</f>
        <v>0</v>
      </c>
      <c r="I252" s="94" t="str">
        <f t="shared" si="61"/>
        <v>"),MatchYear=</v>
      </c>
      <c r="J252">
        <f>Match!E253</f>
        <v>0</v>
      </c>
      <c r="K252" s="94" t="str">
        <f t="shared" si="62"/>
        <v>, SeasonId= "</v>
      </c>
      <c r="L252">
        <f>Match!F253</f>
        <v>0</v>
      </c>
      <c r="M252" s="94" t="str">
        <f t="shared" si="63"/>
        <v>",Round= "</v>
      </c>
      <c r="N252">
        <f>Match!G253</f>
        <v>0</v>
      </c>
      <c r="O252" t="str">
        <f t="shared" si="64"/>
        <v>",Stage= "</v>
      </c>
      <c r="P252">
        <f>Match!H253</f>
        <v>0</v>
      </c>
      <c r="Q252" t="str">
        <f t="shared" si="65"/>
        <v>",SubStage= "</v>
      </c>
      <c r="R252">
        <f>Match!I253</f>
        <v>0</v>
      </c>
      <c r="S252" t="str">
        <f t="shared" si="66"/>
        <v>",HTeam= "</v>
      </c>
      <c r="T252">
        <f>Match!J253</f>
        <v>0</v>
      </c>
      <c r="U252" t="str">
        <f t="shared" si="67"/>
        <v>",HGoal=</v>
      </c>
      <c r="V252">
        <f>Match!K253</f>
        <v>0</v>
      </c>
      <c r="W252" t="str">
        <f t="shared" si="68"/>
        <v>,GGoal=</v>
      </c>
      <c r="X252">
        <f>Match!L253</f>
        <v>0</v>
      </c>
      <c r="Y252" t="str">
        <f t="shared" si="69"/>
        <v>,GTeam= "</v>
      </c>
      <c r="Z252">
        <f>Match!M253</f>
        <v>0</v>
      </c>
      <c r="AA252" t="str">
        <f t="shared" si="70"/>
        <v>",WinNote="</v>
      </c>
      <c r="AB252" t="str">
        <f>IF(Match!N253="","",Match!N253)</f>
        <v/>
      </c>
      <c r="AC252" t="str">
        <f t="shared" si="71"/>
        <v xml:space="preserve">",Stadium=" </v>
      </c>
      <c r="AD252" s="95">
        <f>Match!O253</f>
        <v>0</v>
      </c>
      <c r="AE252" t="str">
        <f t="shared" si="72"/>
        <v>",Referee= "</v>
      </c>
      <c r="AF252" s="95" t="str">
        <f>IF(Match!P253="","",Match!P253)</f>
        <v/>
      </c>
      <c r="AG252" t="str">
        <f t="shared" si="73"/>
        <v xml:space="preserve">",Visistors= </v>
      </c>
      <c r="AH252" s="95">
        <f>IF(Match!Q253="",0,Match!Q253)</f>
        <v>0</v>
      </c>
      <c r="AI252" t="str">
        <f t="shared" si="74"/>
        <v>,Status= "</v>
      </c>
      <c r="AJ252" s="95">
        <f>Match!R253</f>
        <v>0</v>
      </c>
      <c r="AK252" t="str">
        <f t="shared" si="75"/>
        <v>" },</v>
      </c>
    </row>
    <row r="253" spans="1:37" x14ac:dyDescent="0.25">
      <c r="A253" s="94" t="str">
        <f t="shared" si="57"/>
        <v>new Match { MatchId= "</v>
      </c>
      <c r="B253">
        <f>Match!A254</f>
        <v>0</v>
      </c>
      <c r="C253" s="94" t="str">
        <f t="shared" si="58"/>
        <v>",MatchNumber=</v>
      </c>
      <c r="D253">
        <f>Match!B254</f>
        <v>0</v>
      </c>
      <c r="E253" s="94" t="str">
        <f t="shared" si="59"/>
        <v>,DateMatch=DateTime.Parse("</v>
      </c>
      <c r="F253" s="85">
        <f>Match!C254</f>
        <v>0</v>
      </c>
      <c r="G253" s="92" t="str">
        <f t="shared" si="60"/>
        <v>"),TimeMatch=TimeSpan.Parse("</v>
      </c>
      <c r="H253" s="93">
        <f>Match!D254</f>
        <v>0</v>
      </c>
      <c r="I253" s="94" t="str">
        <f t="shared" si="61"/>
        <v>"),MatchYear=</v>
      </c>
      <c r="J253">
        <f>Match!E254</f>
        <v>0</v>
      </c>
      <c r="K253" s="94" t="str">
        <f t="shared" si="62"/>
        <v>, SeasonId= "</v>
      </c>
      <c r="L253">
        <f>Match!F254</f>
        <v>0</v>
      </c>
      <c r="M253" s="94" t="str">
        <f t="shared" si="63"/>
        <v>",Round= "</v>
      </c>
      <c r="N253">
        <f>Match!G254</f>
        <v>0</v>
      </c>
      <c r="O253" t="str">
        <f t="shared" si="64"/>
        <v>",Stage= "</v>
      </c>
      <c r="P253">
        <f>Match!H254</f>
        <v>0</v>
      </c>
      <c r="Q253" t="str">
        <f t="shared" si="65"/>
        <v>",SubStage= "</v>
      </c>
      <c r="R253">
        <f>Match!I254</f>
        <v>0</v>
      </c>
      <c r="S253" t="str">
        <f t="shared" si="66"/>
        <v>",HTeam= "</v>
      </c>
      <c r="T253">
        <f>Match!J254</f>
        <v>0</v>
      </c>
      <c r="U253" t="str">
        <f t="shared" si="67"/>
        <v>",HGoal=</v>
      </c>
      <c r="V253">
        <f>Match!K254</f>
        <v>0</v>
      </c>
      <c r="W253" t="str">
        <f t="shared" si="68"/>
        <v>,GGoal=</v>
      </c>
      <c r="X253">
        <f>Match!L254</f>
        <v>0</v>
      </c>
      <c r="Y253" t="str">
        <f t="shared" si="69"/>
        <v>,GTeam= "</v>
      </c>
      <c r="Z253">
        <f>Match!M254</f>
        <v>0</v>
      </c>
      <c r="AA253" t="str">
        <f t="shared" si="70"/>
        <v>",WinNote="</v>
      </c>
      <c r="AB253" t="str">
        <f>IF(Match!N254="","",Match!N254)</f>
        <v/>
      </c>
      <c r="AC253" t="str">
        <f t="shared" si="71"/>
        <v xml:space="preserve">",Stadium=" </v>
      </c>
      <c r="AD253" s="95">
        <f>Match!O254</f>
        <v>0</v>
      </c>
      <c r="AE253" t="str">
        <f t="shared" si="72"/>
        <v>",Referee= "</v>
      </c>
      <c r="AF253" s="95" t="str">
        <f>IF(Match!P254="","",Match!P254)</f>
        <v/>
      </c>
      <c r="AG253" t="str">
        <f t="shared" si="73"/>
        <v xml:space="preserve">",Visistors= </v>
      </c>
      <c r="AH253" s="95">
        <f>IF(Match!Q254="",0,Match!Q254)</f>
        <v>0</v>
      </c>
      <c r="AI253" t="str">
        <f t="shared" si="74"/>
        <v>,Status= "</v>
      </c>
      <c r="AJ253" s="95">
        <f>Match!R254</f>
        <v>0</v>
      </c>
      <c r="AK253" t="str">
        <f t="shared" si="75"/>
        <v>" },</v>
      </c>
    </row>
    <row r="254" spans="1:37" x14ac:dyDescent="0.25">
      <c r="A254" s="94" t="str">
        <f t="shared" si="57"/>
        <v>new Match { MatchId= "</v>
      </c>
      <c r="B254">
        <f>Match!A255</f>
        <v>0</v>
      </c>
      <c r="C254" s="94" t="str">
        <f t="shared" si="58"/>
        <v>",MatchNumber=</v>
      </c>
      <c r="D254">
        <f>Match!B255</f>
        <v>0</v>
      </c>
      <c r="E254" s="94" t="str">
        <f t="shared" si="59"/>
        <v>,DateMatch=DateTime.Parse("</v>
      </c>
      <c r="F254" s="85">
        <f>Match!C255</f>
        <v>0</v>
      </c>
      <c r="G254" s="92" t="str">
        <f t="shared" si="60"/>
        <v>"),TimeMatch=TimeSpan.Parse("</v>
      </c>
      <c r="H254" s="93">
        <f>Match!D255</f>
        <v>0</v>
      </c>
      <c r="I254" s="94" t="str">
        <f t="shared" si="61"/>
        <v>"),MatchYear=</v>
      </c>
      <c r="J254">
        <f>Match!E255</f>
        <v>0</v>
      </c>
      <c r="K254" s="94" t="str">
        <f t="shared" si="62"/>
        <v>, SeasonId= "</v>
      </c>
      <c r="L254">
        <f>Match!F255</f>
        <v>0</v>
      </c>
      <c r="M254" s="94" t="str">
        <f t="shared" si="63"/>
        <v>",Round= "</v>
      </c>
      <c r="N254">
        <f>Match!G255</f>
        <v>0</v>
      </c>
      <c r="O254" t="str">
        <f t="shared" si="64"/>
        <v>",Stage= "</v>
      </c>
      <c r="P254">
        <f>Match!H255</f>
        <v>0</v>
      </c>
      <c r="Q254" t="str">
        <f t="shared" si="65"/>
        <v>",SubStage= "</v>
      </c>
      <c r="R254">
        <f>Match!I255</f>
        <v>0</v>
      </c>
      <c r="S254" t="str">
        <f t="shared" si="66"/>
        <v>",HTeam= "</v>
      </c>
      <c r="T254">
        <f>Match!J255</f>
        <v>0</v>
      </c>
      <c r="U254" t="str">
        <f t="shared" si="67"/>
        <v>",HGoal=</v>
      </c>
      <c r="V254">
        <f>Match!K255</f>
        <v>0</v>
      </c>
      <c r="W254" t="str">
        <f t="shared" si="68"/>
        <v>,GGoal=</v>
      </c>
      <c r="X254">
        <f>Match!L255</f>
        <v>0</v>
      </c>
      <c r="Y254" t="str">
        <f t="shared" si="69"/>
        <v>,GTeam= "</v>
      </c>
      <c r="Z254">
        <f>Match!M255</f>
        <v>0</v>
      </c>
      <c r="AA254" t="str">
        <f t="shared" si="70"/>
        <v>",WinNote="</v>
      </c>
      <c r="AB254" t="str">
        <f>IF(Match!N255="","",Match!N255)</f>
        <v/>
      </c>
      <c r="AC254" t="str">
        <f t="shared" si="71"/>
        <v xml:space="preserve">",Stadium=" </v>
      </c>
      <c r="AD254" s="95">
        <f>Match!O255</f>
        <v>0</v>
      </c>
      <c r="AE254" t="str">
        <f t="shared" si="72"/>
        <v>",Referee= "</v>
      </c>
      <c r="AF254" s="95" t="str">
        <f>IF(Match!P255="","",Match!P255)</f>
        <v/>
      </c>
      <c r="AG254" t="str">
        <f t="shared" si="73"/>
        <v xml:space="preserve">",Visistors= </v>
      </c>
      <c r="AH254" s="95">
        <f>IF(Match!Q255="",0,Match!Q255)</f>
        <v>0</v>
      </c>
      <c r="AI254" t="str">
        <f t="shared" si="74"/>
        <v>,Status= "</v>
      </c>
      <c r="AJ254" s="95">
        <f>Match!R255</f>
        <v>0</v>
      </c>
      <c r="AK254" t="str">
        <f t="shared" si="75"/>
        <v>" },</v>
      </c>
    </row>
    <row r="255" spans="1:37" x14ac:dyDescent="0.25">
      <c r="A255" s="94" t="str">
        <f t="shared" si="57"/>
        <v>new Match { MatchId= "</v>
      </c>
      <c r="B255">
        <f>Match!A256</f>
        <v>0</v>
      </c>
      <c r="C255" s="94" t="str">
        <f t="shared" si="58"/>
        <v>",MatchNumber=</v>
      </c>
      <c r="D255">
        <f>Match!B256</f>
        <v>0</v>
      </c>
      <c r="E255" s="94" t="str">
        <f t="shared" si="59"/>
        <v>,DateMatch=DateTime.Parse("</v>
      </c>
      <c r="F255" s="85">
        <f>Match!C256</f>
        <v>0</v>
      </c>
      <c r="G255" s="92" t="str">
        <f t="shared" si="60"/>
        <v>"),TimeMatch=TimeSpan.Parse("</v>
      </c>
      <c r="H255" s="93">
        <f>Match!D256</f>
        <v>0</v>
      </c>
      <c r="I255" s="94" t="str">
        <f t="shared" si="61"/>
        <v>"),MatchYear=</v>
      </c>
      <c r="J255">
        <f>Match!E256</f>
        <v>0</v>
      </c>
      <c r="K255" s="94" t="str">
        <f t="shared" si="62"/>
        <v>, SeasonId= "</v>
      </c>
      <c r="L255">
        <f>Match!F256</f>
        <v>0</v>
      </c>
      <c r="M255" s="94" t="str">
        <f t="shared" si="63"/>
        <v>",Round= "</v>
      </c>
      <c r="N255">
        <f>Match!G256</f>
        <v>0</v>
      </c>
      <c r="O255" t="str">
        <f t="shared" si="64"/>
        <v>",Stage= "</v>
      </c>
      <c r="P255">
        <f>Match!H256</f>
        <v>0</v>
      </c>
      <c r="Q255" t="str">
        <f t="shared" si="65"/>
        <v>",SubStage= "</v>
      </c>
      <c r="R255">
        <f>Match!I256</f>
        <v>0</v>
      </c>
      <c r="S255" t="str">
        <f t="shared" si="66"/>
        <v>",HTeam= "</v>
      </c>
      <c r="T255">
        <f>Match!J256</f>
        <v>0</v>
      </c>
      <c r="U255" t="str">
        <f t="shared" si="67"/>
        <v>",HGoal=</v>
      </c>
      <c r="V255">
        <f>Match!K256</f>
        <v>0</v>
      </c>
      <c r="W255" t="str">
        <f t="shared" si="68"/>
        <v>,GGoal=</v>
      </c>
      <c r="X255">
        <f>Match!L256</f>
        <v>0</v>
      </c>
      <c r="Y255" t="str">
        <f t="shared" si="69"/>
        <v>,GTeam= "</v>
      </c>
      <c r="Z255">
        <f>Match!M256</f>
        <v>0</v>
      </c>
      <c r="AA255" t="str">
        <f t="shared" si="70"/>
        <v>",WinNote="</v>
      </c>
      <c r="AB255" t="str">
        <f>IF(Match!N256="","",Match!N256)</f>
        <v/>
      </c>
      <c r="AC255" t="str">
        <f t="shared" si="71"/>
        <v xml:space="preserve">",Stadium=" </v>
      </c>
      <c r="AD255" s="95">
        <f>Match!O256</f>
        <v>0</v>
      </c>
      <c r="AE255" t="str">
        <f t="shared" si="72"/>
        <v>",Referee= "</v>
      </c>
      <c r="AF255" s="95" t="str">
        <f>IF(Match!P256="","",Match!P256)</f>
        <v/>
      </c>
      <c r="AG255" t="str">
        <f t="shared" si="73"/>
        <v xml:space="preserve">",Visistors= </v>
      </c>
      <c r="AH255" s="95">
        <f>IF(Match!Q256="",0,Match!Q256)</f>
        <v>0</v>
      </c>
      <c r="AI255" t="str">
        <f t="shared" si="74"/>
        <v>,Status= "</v>
      </c>
      <c r="AJ255" s="95">
        <f>Match!R256</f>
        <v>0</v>
      </c>
      <c r="AK255" t="str">
        <f t="shared" si="75"/>
        <v>" },</v>
      </c>
    </row>
    <row r="256" spans="1:37" x14ac:dyDescent="0.25">
      <c r="A256" s="94" t="str">
        <f t="shared" si="57"/>
        <v>new Match { MatchId= "</v>
      </c>
      <c r="B256">
        <f>Match!A257</f>
        <v>0</v>
      </c>
      <c r="C256" s="94" t="str">
        <f t="shared" si="58"/>
        <v>",MatchNumber=</v>
      </c>
      <c r="D256">
        <f>Match!B257</f>
        <v>0</v>
      </c>
      <c r="E256" s="94" t="str">
        <f t="shared" si="59"/>
        <v>,DateMatch=DateTime.Parse("</v>
      </c>
      <c r="F256" s="85">
        <f>Match!C257</f>
        <v>0</v>
      </c>
      <c r="G256" s="92" t="str">
        <f t="shared" si="60"/>
        <v>"),TimeMatch=TimeSpan.Parse("</v>
      </c>
      <c r="H256" s="93">
        <f>Match!D257</f>
        <v>0</v>
      </c>
      <c r="I256" s="94" t="str">
        <f t="shared" si="61"/>
        <v>"),MatchYear=</v>
      </c>
      <c r="J256">
        <f>Match!E257</f>
        <v>0</v>
      </c>
      <c r="K256" s="94" t="str">
        <f t="shared" si="62"/>
        <v>, SeasonId= "</v>
      </c>
      <c r="L256">
        <f>Match!F257</f>
        <v>0</v>
      </c>
      <c r="M256" s="94" t="str">
        <f t="shared" si="63"/>
        <v>",Round= "</v>
      </c>
      <c r="N256">
        <f>Match!G257</f>
        <v>0</v>
      </c>
      <c r="O256" t="str">
        <f t="shared" si="64"/>
        <v>",Stage= "</v>
      </c>
      <c r="P256">
        <f>Match!H257</f>
        <v>0</v>
      </c>
      <c r="Q256" t="str">
        <f t="shared" si="65"/>
        <v>",SubStage= "</v>
      </c>
      <c r="R256">
        <f>Match!I257</f>
        <v>0</v>
      </c>
      <c r="S256" t="str">
        <f t="shared" si="66"/>
        <v>",HTeam= "</v>
      </c>
      <c r="T256">
        <f>Match!J257</f>
        <v>0</v>
      </c>
      <c r="U256" t="str">
        <f t="shared" si="67"/>
        <v>",HGoal=</v>
      </c>
      <c r="V256">
        <f>Match!K257</f>
        <v>0</v>
      </c>
      <c r="W256" t="str">
        <f t="shared" si="68"/>
        <v>,GGoal=</v>
      </c>
      <c r="X256">
        <f>Match!L257</f>
        <v>0</v>
      </c>
      <c r="Y256" t="str">
        <f t="shared" si="69"/>
        <v>,GTeam= "</v>
      </c>
      <c r="Z256">
        <f>Match!M257</f>
        <v>0</v>
      </c>
      <c r="AA256" t="str">
        <f t="shared" si="70"/>
        <v>",WinNote="</v>
      </c>
      <c r="AB256" t="str">
        <f>IF(Match!N257="","",Match!N257)</f>
        <v/>
      </c>
      <c r="AC256" t="str">
        <f t="shared" si="71"/>
        <v xml:space="preserve">",Stadium=" </v>
      </c>
      <c r="AD256" s="95">
        <f>Match!O257</f>
        <v>0</v>
      </c>
      <c r="AE256" t="str">
        <f t="shared" si="72"/>
        <v>",Referee= "</v>
      </c>
      <c r="AF256" s="95" t="str">
        <f>IF(Match!P257="","",Match!P257)</f>
        <v/>
      </c>
      <c r="AG256" t="str">
        <f t="shared" si="73"/>
        <v xml:space="preserve">",Visistors= </v>
      </c>
      <c r="AH256" s="95">
        <f>IF(Match!Q257="",0,Match!Q257)</f>
        <v>0</v>
      </c>
      <c r="AI256" t="str">
        <f t="shared" si="74"/>
        <v>,Status= "</v>
      </c>
      <c r="AJ256" s="95">
        <f>Match!R257</f>
        <v>0</v>
      </c>
      <c r="AK256" t="str">
        <f t="shared" si="75"/>
        <v>" },</v>
      </c>
    </row>
    <row r="257" spans="1:37" x14ac:dyDescent="0.25">
      <c r="A257" s="94" t="str">
        <f t="shared" si="57"/>
        <v>new Match { MatchId= "</v>
      </c>
      <c r="B257">
        <f>Match!A258</f>
        <v>0</v>
      </c>
      <c r="C257" s="94" t="str">
        <f t="shared" si="58"/>
        <v>",MatchNumber=</v>
      </c>
      <c r="D257">
        <f>Match!B258</f>
        <v>0</v>
      </c>
      <c r="E257" s="94" t="str">
        <f t="shared" si="59"/>
        <v>,DateMatch=DateTime.Parse("</v>
      </c>
      <c r="F257" s="85">
        <f>Match!C258</f>
        <v>0</v>
      </c>
      <c r="G257" s="92" t="str">
        <f t="shared" si="60"/>
        <v>"),TimeMatch=TimeSpan.Parse("</v>
      </c>
      <c r="H257" s="93">
        <f>Match!D258</f>
        <v>0</v>
      </c>
      <c r="I257" s="94" t="str">
        <f t="shared" si="61"/>
        <v>"),MatchYear=</v>
      </c>
      <c r="J257">
        <f>Match!E258</f>
        <v>0</v>
      </c>
      <c r="K257" s="94" t="str">
        <f t="shared" si="62"/>
        <v>, SeasonId= "</v>
      </c>
      <c r="L257">
        <f>Match!F258</f>
        <v>0</v>
      </c>
      <c r="M257" s="94" t="str">
        <f t="shared" si="63"/>
        <v>",Round= "</v>
      </c>
      <c r="N257">
        <f>Match!G258</f>
        <v>0</v>
      </c>
      <c r="O257" t="str">
        <f t="shared" si="64"/>
        <v>",Stage= "</v>
      </c>
      <c r="P257">
        <f>Match!H258</f>
        <v>0</v>
      </c>
      <c r="Q257" t="str">
        <f t="shared" si="65"/>
        <v>",SubStage= "</v>
      </c>
      <c r="R257">
        <f>Match!I258</f>
        <v>0</v>
      </c>
      <c r="S257" t="str">
        <f t="shared" si="66"/>
        <v>",HTeam= "</v>
      </c>
      <c r="T257">
        <f>Match!J258</f>
        <v>0</v>
      </c>
      <c r="U257" t="str">
        <f t="shared" si="67"/>
        <v>",HGoal=</v>
      </c>
      <c r="V257">
        <f>Match!K258</f>
        <v>0</v>
      </c>
      <c r="W257" t="str">
        <f t="shared" si="68"/>
        <v>,GGoal=</v>
      </c>
      <c r="X257">
        <f>Match!L258</f>
        <v>0</v>
      </c>
      <c r="Y257" t="str">
        <f t="shared" si="69"/>
        <v>,GTeam= "</v>
      </c>
      <c r="Z257">
        <f>Match!M258</f>
        <v>0</v>
      </c>
      <c r="AA257" t="str">
        <f t="shared" si="70"/>
        <v>",WinNote="</v>
      </c>
      <c r="AB257" t="str">
        <f>IF(Match!N258="","",Match!N258)</f>
        <v/>
      </c>
      <c r="AC257" t="str">
        <f t="shared" si="71"/>
        <v xml:space="preserve">",Stadium=" </v>
      </c>
      <c r="AD257" s="95">
        <f>Match!O258</f>
        <v>0</v>
      </c>
      <c r="AE257" t="str">
        <f t="shared" si="72"/>
        <v>",Referee= "</v>
      </c>
      <c r="AF257" s="95" t="str">
        <f>IF(Match!P258="","",Match!P258)</f>
        <v/>
      </c>
      <c r="AG257" t="str">
        <f t="shared" si="73"/>
        <v xml:space="preserve">",Visistors= </v>
      </c>
      <c r="AH257" s="95">
        <f>IF(Match!Q258="",0,Match!Q258)</f>
        <v>0</v>
      </c>
      <c r="AI257" t="str">
        <f t="shared" si="74"/>
        <v>,Status= "</v>
      </c>
      <c r="AJ257" s="95">
        <f>Match!R258</f>
        <v>0</v>
      </c>
      <c r="AK257" t="str">
        <f t="shared" si="75"/>
        <v>" },</v>
      </c>
    </row>
    <row r="258" spans="1:37" x14ac:dyDescent="0.25">
      <c r="A258" s="94" t="str">
        <f t="shared" si="57"/>
        <v>new Match { MatchId= "</v>
      </c>
      <c r="B258">
        <f>Match!A259</f>
        <v>0</v>
      </c>
      <c r="C258" s="94" t="str">
        <f t="shared" si="58"/>
        <v>",MatchNumber=</v>
      </c>
      <c r="D258">
        <f>Match!B259</f>
        <v>0</v>
      </c>
      <c r="E258" s="94" t="str">
        <f t="shared" si="59"/>
        <v>,DateMatch=DateTime.Parse("</v>
      </c>
      <c r="F258" s="85">
        <f>Match!C259</f>
        <v>0</v>
      </c>
      <c r="G258" s="92" t="str">
        <f t="shared" si="60"/>
        <v>"),TimeMatch=TimeSpan.Parse("</v>
      </c>
      <c r="H258" s="93">
        <f>Match!D259</f>
        <v>0</v>
      </c>
      <c r="I258" s="94" t="str">
        <f t="shared" si="61"/>
        <v>"),MatchYear=</v>
      </c>
      <c r="J258">
        <f>Match!E259</f>
        <v>0</v>
      </c>
      <c r="K258" s="94" t="str">
        <f t="shared" si="62"/>
        <v>, SeasonId= "</v>
      </c>
      <c r="L258">
        <f>Match!F259</f>
        <v>0</v>
      </c>
      <c r="M258" s="94" t="str">
        <f t="shared" si="63"/>
        <v>",Round= "</v>
      </c>
      <c r="N258">
        <f>Match!G259</f>
        <v>0</v>
      </c>
      <c r="O258" t="str">
        <f t="shared" si="64"/>
        <v>",Stage= "</v>
      </c>
      <c r="P258">
        <f>Match!H259</f>
        <v>0</v>
      </c>
      <c r="Q258" t="str">
        <f t="shared" si="65"/>
        <v>",SubStage= "</v>
      </c>
      <c r="R258">
        <f>Match!I259</f>
        <v>0</v>
      </c>
      <c r="S258" t="str">
        <f t="shared" si="66"/>
        <v>",HTeam= "</v>
      </c>
      <c r="T258">
        <f>Match!J259</f>
        <v>0</v>
      </c>
      <c r="U258" t="str">
        <f t="shared" si="67"/>
        <v>",HGoal=</v>
      </c>
      <c r="V258">
        <f>Match!K259</f>
        <v>0</v>
      </c>
      <c r="W258" t="str">
        <f t="shared" si="68"/>
        <v>,GGoal=</v>
      </c>
      <c r="X258">
        <f>Match!L259</f>
        <v>0</v>
      </c>
      <c r="Y258" t="str">
        <f t="shared" si="69"/>
        <v>,GTeam= "</v>
      </c>
      <c r="Z258">
        <f>Match!M259</f>
        <v>0</v>
      </c>
      <c r="AA258" t="str">
        <f t="shared" si="70"/>
        <v>",WinNote="</v>
      </c>
      <c r="AB258" t="str">
        <f>IF(Match!N259="","",Match!N259)</f>
        <v/>
      </c>
      <c r="AC258" t="str">
        <f t="shared" si="71"/>
        <v xml:space="preserve">",Stadium=" </v>
      </c>
      <c r="AD258" s="95">
        <f>Match!O259</f>
        <v>0</v>
      </c>
      <c r="AE258" t="str">
        <f t="shared" si="72"/>
        <v>",Referee= "</v>
      </c>
      <c r="AF258" s="95" t="str">
        <f>IF(Match!P259="","",Match!P259)</f>
        <v/>
      </c>
      <c r="AG258" t="str">
        <f t="shared" si="73"/>
        <v xml:space="preserve">",Visistors= </v>
      </c>
      <c r="AH258" s="95">
        <f>IF(Match!Q259="",0,Match!Q259)</f>
        <v>0</v>
      </c>
      <c r="AI258" t="str">
        <f t="shared" si="74"/>
        <v>,Status= "</v>
      </c>
      <c r="AJ258" s="95">
        <f>Match!R259</f>
        <v>0</v>
      </c>
      <c r="AK258" t="str">
        <f t="shared" si="75"/>
        <v>" },</v>
      </c>
    </row>
    <row r="259" spans="1:37" x14ac:dyDescent="0.25">
      <c r="A259" s="94" t="str">
        <f t="shared" ref="A259:A322" si="76">A258</f>
        <v>new Match { MatchId= "</v>
      </c>
      <c r="B259">
        <f>Match!A260</f>
        <v>0</v>
      </c>
      <c r="C259" s="94" t="str">
        <f t="shared" ref="C259:C322" si="77">C258</f>
        <v>",MatchNumber=</v>
      </c>
      <c r="D259">
        <f>Match!B260</f>
        <v>0</v>
      </c>
      <c r="E259" s="94" t="str">
        <f t="shared" ref="E259:E322" si="78">E258</f>
        <v>,DateMatch=DateTime.Parse("</v>
      </c>
      <c r="F259" s="85">
        <f>Match!C260</f>
        <v>0</v>
      </c>
      <c r="G259" s="92" t="str">
        <f t="shared" ref="G259:G322" si="79">G258</f>
        <v>"),TimeMatch=TimeSpan.Parse("</v>
      </c>
      <c r="H259" s="93">
        <f>Match!D260</f>
        <v>0</v>
      </c>
      <c r="I259" s="94" t="str">
        <f t="shared" ref="I259:I322" si="80">I258</f>
        <v>"),MatchYear=</v>
      </c>
      <c r="J259">
        <f>Match!E260</f>
        <v>0</v>
      </c>
      <c r="K259" s="94" t="str">
        <f t="shared" ref="K259:K309" si="81">K258</f>
        <v>, SeasonId= "</v>
      </c>
      <c r="L259">
        <f>Match!F260</f>
        <v>0</v>
      </c>
      <c r="M259" s="94" t="str">
        <f t="shared" ref="M259:M309" si="82">M258</f>
        <v>",Round= "</v>
      </c>
      <c r="N259">
        <f>Match!G260</f>
        <v>0</v>
      </c>
      <c r="O259" t="str">
        <f t="shared" ref="O259:O309" si="83">O258</f>
        <v>",Stage= "</v>
      </c>
      <c r="P259">
        <f>Match!H260</f>
        <v>0</v>
      </c>
      <c r="Q259" t="str">
        <f t="shared" ref="Q259:Q309" si="84">Q258</f>
        <v>",SubStage= "</v>
      </c>
      <c r="R259">
        <f>Match!I260</f>
        <v>0</v>
      </c>
      <c r="S259" t="str">
        <f t="shared" ref="S259:S309" si="85">S258</f>
        <v>",HTeam= "</v>
      </c>
      <c r="T259">
        <f>Match!J260</f>
        <v>0</v>
      </c>
      <c r="U259" t="str">
        <f t="shared" ref="U259:U309" si="86">U258</f>
        <v>",HGoal=</v>
      </c>
      <c r="V259">
        <f>Match!K260</f>
        <v>0</v>
      </c>
      <c r="W259" t="str">
        <f t="shared" ref="W259:W309" si="87">W258</f>
        <v>,GGoal=</v>
      </c>
      <c r="X259">
        <f>Match!L260</f>
        <v>0</v>
      </c>
      <c r="Y259" t="str">
        <f t="shared" ref="Y259:Y309" si="88">Y258</f>
        <v>,GTeam= "</v>
      </c>
      <c r="Z259">
        <f>Match!M260</f>
        <v>0</v>
      </c>
      <c r="AA259" t="str">
        <f t="shared" ref="AA259:AA309" si="89">AA258</f>
        <v>",WinNote="</v>
      </c>
      <c r="AB259" t="str">
        <f>IF(Match!N260="","",Match!N260)</f>
        <v/>
      </c>
      <c r="AC259" t="str">
        <f t="shared" ref="AC259:AC309" si="90">AC258</f>
        <v xml:space="preserve">",Stadium=" </v>
      </c>
      <c r="AD259" s="95">
        <f>Match!O260</f>
        <v>0</v>
      </c>
      <c r="AE259" t="str">
        <f t="shared" ref="AE259:AE309" si="91">AE258</f>
        <v>",Referee= "</v>
      </c>
      <c r="AF259" s="95" t="str">
        <f>IF(Match!P260="","",Match!P260)</f>
        <v/>
      </c>
      <c r="AG259" t="str">
        <f t="shared" ref="AG259:AG309" si="92">AG258</f>
        <v xml:space="preserve">",Visistors= </v>
      </c>
      <c r="AH259" s="95">
        <f>IF(Match!Q260="",0,Match!Q260)</f>
        <v>0</v>
      </c>
      <c r="AI259" t="str">
        <f t="shared" ref="AI259:AI309" si="93">AI258</f>
        <v>,Status= "</v>
      </c>
      <c r="AJ259" s="95">
        <f>Match!R260</f>
        <v>0</v>
      </c>
      <c r="AK259" t="str">
        <f t="shared" ref="AK259:AK309" si="94">AK258</f>
        <v>" },</v>
      </c>
    </row>
    <row r="260" spans="1:37" x14ac:dyDescent="0.25">
      <c r="A260" s="94" t="str">
        <f t="shared" si="76"/>
        <v>new Match { MatchId= "</v>
      </c>
      <c r="B260">
        <f>Match!A261</f>
        <v>0</v>
      </c>
      <c r="C260" s="94" t="str">
        <f t="shared" si="77"/>
        <v>",MatchNumber=</v>
      </c>
      <c r="D260">
        <f>Match!B261</f>
        <v>0</v>
      </c>
      <c r="E260" s="94" t="str">
        <f t="shared" si="78"/>
        <v>,DateMatch=DateTime.Parse("</v>
      </c>
      <c r="F260" s="85">
        <f>Match!C261</f>
        <v>0</v>
      </c>
      <c r="G260" s="92" t="str">
        <f t="shared" si="79"/>
        <v>"),TimeMatch=TimeSpan.Parse("</v>
      </c>
      <c r="H260" s="93">
        <f>Match!D261</f>
        <v>0</v>
      </c>
      <c r="I260" s="94" t="str">
        <f t="shared" si="80"/>
        <v>"),MatchYear=</v>
      </c>
      <c r="J260">
        <f>Match!E261</f>
        <v>0</v>
      </c>
      <c r="K260" s="94" t="str">
        <f t="shared" si="81"/>
        <v>, SeasonId= "</v>
      </c>
      <c r="L260">
        <f>Match!F261</f>
        <v>0</v>
      </c>
      <c r="M260" s="94" t="str">
        <f t="shared" si="82"/>
        <v>",Round= "</v>
      </c>
      <c r="N260">
        <f>Match!G261</f>
        <v>0</v>
      </c>
      <c r="O260" t="str">
        <f t="shared" si="83"/>
        <v>",Stage= "</v>
      </c>
      <c r="P260">
        <f>Match!H261</f>
        <v>0</v>
      </c>
      <c r="Q260" t="str">
        <f t="shared" si="84"/>
        <v>",SubStage= "</v>
      </c>
      <c r="R260">
        <f>Match!I261</f>
        <v>0</v>
      </c>
      <c r="S260" t="str">
        <f t="shared" si="85"/>
        <v>",HTeam= "</v>
      </c>
      <c r="T260">
        <f>Match!J261</f>
        <v>0</v>
      </c>
      <c r="U260" t="str">
        <f t="shared" si="86"/>
        <v>",HGoal=</v>
      </c>
      <c r="V260">
        <f>Match!K261</f>
        <v>0</v>
      </c>
      <c r="W260" t="str">
        <f t="shared" si="87"/>
        <v>,GGoal=</v>
      </c>
      <c r="X260">
        <f>Match!L261</f>
        <v>0</v>
      </c>
      <c r="Y260" t="str">
        <f t="shared" si="88"/>
        <v>,GTeam= "</v>
      </c>
      <c r="Z260">
        <f>Match!M261</f>
        <v>0</v>
      </c>
      <c r="AA260" t="str">
        <f t="shared" si="89"/>
        <v>",WinNote="</v>
      </c>
      <c r="AB260" t="str">
        <f>IF(Match!N261="","",Match!N261)</f>
        <v/>
      </c>
      <c r="AC260" t="str">
        <f t="shared" si="90"/>
        <v xml:space="preserve">",Stadium=" </v>
      </c>
      <c r="AD260" s="95">
        <f>Match!O261</f>
        <v>0</v>
      </c>
      <c r="AE260" t="str">
        <f t="shared" si="91"/>
        <v>",Referee= "</v>
      </c>
      <c r="AF260" s="95" t="str">
        <f>IF(Match!P261="","",Match!P261)</f>
        <v/>
      </c>
      <c r="AG260" t="str">
        <f t="shared" si="92"/>
        <v xml:space="preserve">",Visistors= </v>
      </c>
      <c r="AH260" s="95">
        <f>IF(Match!Q261="",0,Match!Q261)</f>
        <v>0</v>
      </c>
      <c r="AI260" t="str">
        <f t="shared" si="93"/>
        <v>,Status= "</v>
      </c>
      <c r="AJ260" s="95">
        <f>Match!R261</f>
        <v>0</v>
      </c>
      <c r="AK260" t="str">
        <f t="shared" si="94"/>
        <v>" },</v>
      </c>
    </row>
    <row r="261" spans="1:37" x14ac:dyDescent="0.25">
      <c r="A261" s="94" t="str">
        <f t="shared" si="76"/>
        <v>new Match { MatchId= "</v>
      </c>
      <c r="B261">
        <f>Match!A262</f>
        <v>0</v>
      </c>
      <c r="C261" s="94" t="str">
        <f t="shared" si="77"/>
        <v>",MatchNumber=</v>
      </c>
      <c r="D261">
        <f>Match!B262</f>
        <v>0</v>
      </c>
      <c r="E261" s="94" t="str">
        <f t="shared" si="78"/>
        <v>,DateMatch=DateTime.Parse("</v>
      </c>
      <c r="F261" s="85">
        <f>Match!C262</f>
        <v>0</v>
      </c>
      <c r="G261" s="92" t="str">
        <f t="shared" si="79"/>
        <v>"),TimeMatch=TimeSpan.Parse("</v>
      </c>
      <c r="H261" s="93">
        <f>Match!D262</f>
        <v>0</v>
      </c>
      <c r="I261" s="94" t="str">
        <f t="shared" si="80"/>
        <v>"),MatchYear=</v>
      </c>
      <c r="J261">
        <f>Match!E262</f>
        <v>0</v>
      </c>
      <c r="K261" s="94" t="str">
        <f t="shared" si="81"/>
        <v>, SeasonId= "</v>
      </c>
      <c r="L261">
        <f>Match!F262</f>
        <v>0</v>
      </c>
      <c r="M261" s="94" t="str">
        <f t="shared" si="82"/>
        <v>",Round= "</v>
      </c>
      <c r="N261">
        <f>Match!G262</f>
        <v>0</v>
      </c>
      <c r="O261" t="str">
        <f t="shared" si="83"/>
        <v>",Stage= "</v>
      </c>
      <c r="P261">
        <f>Match!H262</f>
        <v>0</v>
      </c>
      <c r="Q261" t="str">
        <f t="shared" si="84"/>
        <v>",SubStage= "</v>
      </c>
      <c r="R261">
        <f>Match!I262</f>
        <v>0</v>
      </c>
      <c r="S261" t="str">
        <f t="shared" si="85"/>
        <v>",HTeam= "</v>
      </c>
      <c r="T261">
        <f>Match!J262</f>
        <v>0</v>
      </c>
      <c r="U261" t="str">
        <f t="shared" si="86"/>
        <v>",HGoal=</v>
      </c>
      <c r="V261">
        <f>Match!K262</f>
        <v>0</v>
      </c>
      <c r="W261" t="str">
        <f t="shared" si="87"/>
        <v>,GGoal=</v>
      </c>
      <c r="X261">
        <f>Match!L262</f>
        <v>0</v>
      </c>
      <c r="Y261" t="str">
        <f t="shared" si="88"/>
        <v>,GTeam= "</v>
      </c>
      <c r="Z261">
        <f>Match!M262</f>
        <v>0</v>
      </c>
      <c r="AA261" t="str">
        <f t="shared" si="89"/>
        <v>",WinNote="</v>
      </c>
      <c r="AB261" t="str">
        <f>IF(Match!N262="","",Match!N262)</f>
        <v/>
      </c>
      <c r="AC261" t="str">
        <f t="shared" si="90"/>
        <v xml:space="preserve">",Stadium=" </v>
      </c>
      <c r="AD261" s="95">
        <f>Match!O262</f>
        <v>0</v>
      </c>
      <c r="AE261" t="str">
        <f t="shared" si="91"/>
        <v>",Referee= "</v>
      </c>
      <c r="AF261" s="95" t="str">
        <f>IF(Match!P262="","",Match!P262)</f>
        <v/>
      </c>
      <c r="AG261" t="str">
        <f t="shared" si="92"/>
        <v xml:space="preserve">",Visistors= </v>
      </c>
      <c r="AH261" s="95">
        <f>IF(Match!Q262="",0,Match!Q262)</f>
        <v>0</v>
      </c>
      <c r="AI261" t="str">
        <f t="shared" si="93"/>
        <v>,Status= "</v>
      </c>
      <c r="AJ261" s="95">
        <f>Match!R262</f>
        <v>0</v>
      </c>
      <c r="AK261" t="str">
        <f t="shared" si="94"/>
        <v>" },</v>
      </c>
    </row>
    <row r="262" spans="1:37" x14ac:dyDescent="0.25">
      <c r="A262" s="94" t="str">
        <f t="shared" si="76"/>
        <v>new Match { MatchId= "</v>
      </c>
      <c r="B262">
        <f>Match!A263</f>
        <v>0</v>
      </c>
      <c r="C262" s="94" t="str">
        <f t="shared" si="77"/>
        <v>",MatchNumber=</v>
      </c>
      <c r="D262">
        <f>Match!B263</f>
        <v>0</v>
      </c>
      <c r="E262" s="94" t="str">
        <f t="shared" si="78"/>
        <v>,DateMatch=DateTime.Parse("</v>
      </c>
      <c r="F262" s="85">
        <f>Match!C263</f>
        <v>0</v>
      </c>
      <c r="G262" s="92" t="str">
        <f t="shared" si="79"/>
        <v>"),TimeMatch=TimeSpan.Parse("</v>
      </c>
      <c r="H262" s="93">
        <f>Match!D263</f>
        <v>0</v>
      </c>
      <c r="I262" s="94" t="str">
        <f t="shared" si="80"/>
        <v>"),MatchYear=</v>
      </c>
      <c r="J262">
        <f>Match!E263</f>
        <v>0</v>
      </c>
      <c r="K262" s="94" t="str">
        <f t="shared" si="81"/>
        <v>, SeasonId= "</v>
      </c>
      <c r="L262">
        <f>Match!F263</f>
        <v>0</v>
      </c>
      <c r="M262" s="94" t="str">
        <f t="shared" si="82"/>
        <v>",Round= "</v>
      </c>
      <c r="N262">
        <f>Match!G263</f>
        <v>0</v>
      </c>
      <c r="O262" t="str">
        <f t="shared" si="83"/>
        <v>",Stage= "</v>
      </c>
      <c r="P262">
        <f>Match!H263</f>
        <v>0</v>
      </c>
      <c r="Q262" t="str">
        <f t="shared" si="84"/>
        <v>",SubStage= "</v>
      </c>
      <c r="R262">
        <f>Match!I263</f>
        <v>0</v>
      </c>
      <c r="S262" t="str">
        <f t="shared" si="85"/>
        <v>",HTeam= "</v>
      </c>
      <c r="T262">
        <f>Match!J263</f>
        <v>0</v>
      </c>
      <c r="U262" t="str">
        <f t="shared" si="86"/>
        <v>",HGoal=</v>
      </c>
      <c r="V262">
        <f>Match!K263</f>
        <v>0</v>
      </c>
      <c r="W262" t="str">
        <f t="shared" si="87"/>
        <v>,GGoal=</v>
      </c>
      <c r="X262">
        <f>Match!L263</f>
        <v>0</v>
      </c>
      <c r="Y262" t="str">
        <f t="shared" si="88"/>
        <v>,GTeam= "</v>
      </c>
      <c r="Z262">
        <f>Match!M263</f>
        <v>0</v>
      </c>
      <c r="AA262" t="str">
        <f t="shared" si="89"/>
        <v>",WinNote="</v>
      </c>
      <c r="AB262" t="str">
        <f>IF(Match!N263="","",Match!N263)</f>
        <v/>
      </c>
      <c r="AC262" t="str">
        <f t="shared" si="90"/>
        <v xml:space="preserve">",Stadium=" </v>
      </c>
      <c r="AD262" s="95">
        <f>Match!O263</f>
        <v>0</v>
      </c>
      <c r="AE262" t="str">
        <f t="shared" si="91"/>
        <v>",Referee= "</v>
      </c>
      <c r="AF262" s="95" t="str">
        <f>IF(Match!P263="","",Match!P263)</f>
        <v/>
      </c>
      <c r="AG262" t="str">
        <f t="shared" si="92"/>
        <v xml:space="preserve">",Visistors= </v>
      </c>
      <c r="AH262" s="95">
        <f>IF(Match!Q263="",0,Match!Q263)</f>
        <v>0</v>
      </c>
      <c r="AI262" t="str">
        <f t="shared" si="93"/>
        <v>,Status= "</v>
      </c>
      <c r="AJ262" s="95">
        <f>Match!R263</f>
        <v>0</v>
      </c>
      <c r="AK262" t="str">
        <f t="shared" si="94"/>
        <v>" },</v>
      </c>
    </row>
    <row r="263" spans="1:37" x14ac:dyDescent="0.25">
      <c r="A263" s="94" t="str">
        <f t="shared" si="76"/>
        <v>new Match { MatchId= "</v>
      </c>
      <c r="B263">
        <f>Match!A264</f>
        <v>0</v>
      </c>
      <c r="C263" s="94" t="str">
        <f t="shared" si="77"/>
        <v>",MatchNumber=</v>
      </c>
      <c r="D263">
        <f>Match!B264</f>
        <v>0</v>
      </c>
      <c r="E263" s="94" t="str">
        <f t="shared" si="78"/>
        <v>,DateMatch=DateTime.Parse("</v>
      </c>
      <c r="F263" s="85">
        <f>Match!C264</f>
        <v>0</v>
      </c>
      <c r="G263" s="92" t="str">
        <f t="shared" si="79"/>
        <v>"),TimeMatch=TimeSpan.Parse("</v>
      </c>
      <c r="H263" s="93">
        <f>Match!D264</f>
        <v>0</v>
      </c>
      <c r="I263" s="94" t="str">
        <f t="shared" si="80"/>
        <v>"),MatchYear=</v>
      </c>
      <c r="J263">
        <f>Match!E264</f>
        <v>0</v>
      </c>
      <c r="K263" s="94" t="str">
        <f t="shared" si="81"/>
        <v>, SeasonId= "</v>
      </c>
      <c r="L263">
        <f>Match!F264</f>
        <v>0</v>
      </c>
      <c r="M263" s="94" t="str">
        <f t="shared" si="82"/>
        <v>",Round= "</v>
      </c>
      <c r="N263">
        <f>Match!G264</f>
        <v>0</v>
      </c>
      <c r="O263" t="str">
        <f t="shared" si="83"/>
        <v>",Stage= "</v>
      </c>
      <c r="P263">
        <f>Match!H264</f>
        <v>0</v>
      </c>
      <c r="Q263" t="str">
        <f t="shared" si="84"/>
        <v>",SubStage= "</v>
      </c>
      <c r="R263">
        <f>Match!I264</f>
        <v>0</v>
      </c>
      <c r="S263" t="str">
        <f t="shared" si="85"/>
        <v>",HTeam= "</v>
      </c>
      <c r="T263">
        <f>Match!J264</f>
        <v>0</v>
      </c>
      <c r="U263" t="str">
        <f t="shared" si="86"/>
        <v>",HGoal=</v>
      </c>
      <c r="V263">
        <f>Match!K264</f>
        <v>0</v>
      </c>
      <c r="W263" t="str">
        <f t="shared" si="87"/>
        <v>,GGoal=</v>
      </c>
      <c r="X263">
        <f>Match!L264</f>
        <v>0</v>
      </c>
      <c r="Y263" t="str">
        <f t="shared" si="88"/>
        <v>,GTeam= "</v>
      </c>
      <c r="Z263">
        <f>Match!M264</f>
        <v>0</v>
      </c>
      <c r="AA263" t="str">
        <f t="shared" si="89"/>
        <v>",WinNote="</v>
      </c>
      <c r="AB263" t="str">
        <f>IF(Match!N264="","",Match!N264)</f>
        <v/>
      </c>
      <c r="AC263" t="str">
        <f t="shared" si="90"/>
        <v xml:space="preserve">",Stadium=" </v>
      </c>
      <c r="AD263" s="95">
        <f>Match!O264</f>
        <v>0</v>
      </c>
      <c r="AE263" t="str">
        <f t="shared" si="91"/>
        <v>",Referee= "</v>
      </c>
      <c r="AF263" s="95" t="str">
        <f>IF(Match!P264="","",Match!P264)</f>
        <v/>
      </c>
      <c r="AG263" t="str">
        <f t="shared" si="92"/>
        <v xml:space="preserve">",Visistors= </v>
      </c>
      <c r="AH263" s="95">
        <f>IF(Match!Q264="",0,Match!Q264)</f>
        <v>0</v>
      </c>
      <c r="AI263" t="str">
        <f t="shared" si="93"/>
        <v>,Status= "</v>
      </c>
      <c r="AJ263" s="95">
        <f>Match!R264</f>
        <v>0</v>
      </c>
      <c r="AK263" t="str">
        <f t="shared" si="94"/>
        <v>" },</v>
      </c>
    </row>
    <row r="264" spans="1:37" x14ac:dyDescent="0.25">
      <c r="A264" s="94" t="str">
        <f t="shared" si="76"/>
        <v>new Match { MatchId= "</v>
      </c>
      <c r="B264">
        <f>Match!A265</f>
        <v>0</v>
      </c>
      <c r="C264" s="94" t="str">
        <f t="shared" si="77"/>
        <v>",MatchNumber=</v>
      </c>
      <c r="D264">
        <f>Match!B265</f>
        <v>0</v>
      </c>
      <c r="E264" s="94" t="str">
        <f t="shared" si="78"/>
        <v>,DateMatch=DateTime.Parse("</v>
      </c>
      <c r="F264" s="85">
        <f>Match!C265</f>
        <v>0</v>
      </c>
      <c r="G264" s="92" t="str">
        <f t="shared" si="79"/>
        <v>"),TimeMatch=TimeSpan.Parse("</v>
      </c>
      <c r="H264" s="93">
        <f>Match!D265</f>
        <v>0</v>
      </c>
      <c r="I264" s="94" t="str">
        <f t="shared" si="80"/>
        <v>"),MatchYear=</v>
      </c>
      <c r="J264">
        <f>Match!E265</f>
        <v>0</v>
      </c>
      <c r="K264" s="94" t="str">
        <f t="shared" si="81"/>
        <v>, SeasonId= "</v>
      </c>
      <c r="L264">
        <f>Match!F265</f>
        <v>0</v>
      </c>
      <c r="M264" s="94" t="str">
        <f t="shared" si="82"/>
        <v>",Round= "</v>
      </c>
      <c r="N264">
        <f>Match!G265</f>
        <v>0</v>
      </c>
      <c r="O264" t="str">
        <f t="shared" si="83"/>
        <v>",Stage= "</v>
      </c>
      <c r="P264">
        <f>Match!H265</f>
        <v>0</v>
      </c>
      <c r="Q264" t="str">
        <f t="shared" si="84"/>
        <v>",SubStage= "</v>
      </c>
      <c r="R264">
        <f>Match!I265</f>
        <v>0</v>
      </c>
      <c r="S264" t="str">
        <f t="shared" si="85"/>
        <v>",HTeam= "</v>
      </c>
      <c r="T264">
        <f>Match!J265</f>
        <v>0</v>
      </c>
      <c r="U264" t="str">
        <f t="shared" si="86"/>
        <v>",HGoal=</v>
      </c>
      <c r="V264">
        <f>Match!K265</f>
        <v>0</v>
      </c>
      <c r="W264" t="str">
        <f t="shared" si="87"/>
        <v>,GGoal=</v>
      </c>
      <c r="X264">
        <f>Match!L265</f>
        <v>0</v>
      </c>
      <c r="Y264" t="str">
        <f t="shared" si="88"/>
        <v>,GTeam= "</v>
      </c>
      <c r="Z264">
        <f>Match!M265</f>
        <v>0</v>
      </c>
      <c r="AA264" t="str">
        <f t="shared" si="89"/>
        <v>",WinNote="</v>
      </c>
      <c r="AB264" t="str">
        <f>IF(Match!N265="","",Match!N265)</f>
        <v/>
      </c>
      <c r="AC264" t="str">
        <f t="shared" si="90"/>
        <v xml:space="preserve">",Stadium=" </v>
      </c>
      <c r="AD264" s="95">
        <f>Match!O265</f>
        <v>0</v>
      </c>
      <c r="AE264" t="str">
        <f t="shared" si="91"/>
        <v>",Referee= "</v>
      </c>
      <c r="AF264" s="95" t="str">
        <f>IF(Match!P265="","",Match!P265)</f>
        <v/>
      </c>
      <c r="AG264" t="str">
        <f t="shared" si="92"/>
        <v xml:space="preserve">",Visistors= </v>
      </c>
      <c r="AH264" s="95">
        <f>IF(Match!Q265="",0,Match!Q265)</f>
        <v>0</v>
      </c>
      <c r="AI264" t="str">
        <f t="shared" si="93"/>
        <v>,Status= "</v>
      </c>
      <c r="AJ264" s="95">
        <f>Match!R265</f>
        <v>0</v>
      </c>
      <c r="AK264" t="str">
        <f t="shared" si="94"/>
        <v>" },</v>
      </c>
    </row>
    <row r="265" spans="1:37" x14ac:dyDescent="0.25">
      <c r="A265" s="94" t="str">
        <f t="shared" si="76"/>
        <v>new Match { MatchId= "</v>
      </c>
      <c r="B265">
        <f>Match!A266</f>
        <v>0</v>
      </c>
      <c r="C265" s="94" t="str">
        <f t="shared" si="77"/>
        <v>",MatchNumber=</v>
      </c>
      <c r="D265">
        <f>Match!B266</f>
        <v>0</v>
      </c>
      <c r="E265" s="94" t="str">
        <f t="shared" si="78"/>
        <v>,DateMatch=DateTime.Parse("</v>
      </c>
      <c r="F265" s="85">
        <f>Match!C266</f>
        <v>0</v>
      </c>
      <c r="G265" s="92" t="str">
        <f t="shared" si="79"/>
        <v>"),TimeMatch=TimeSpan.Parse("</v>
      </c>
      <c r="H265" s="93">
        <f>Match!D266</f>
        <v>0</v>
      </c>
      <c r="I265" s="94" t="str">
        <f t="shared" si="80"/>
        <v>"),MatchYear=</v>
      </c>
      <c r="J265">
        <f>Match!E266</f>
        <v>0</v>
      </c>
      <c r="K265" s="94" t="str">
        <f t="shared" si="81"/>
        <v>, SeasonId= "</v>
      </c>
      <c r="L265">
        <f>Match!F266</f>
        <v>0</v>
      </c>
      <c r="M265" s="94" t="str">
        <f t="shared" si="82"/>
        <v>",Round= "</v>
      </c>
      <c r="N265">
        <f>Match!G266</f>
        <v>0</v>
      </c>
      <c r="O265" t="str">
        <f t="shared" si="83"/>
        <v>",Stage= "</v>
      </c>
      <c r="P265">
        <f>Match!H266</f>
        <v>0</v>
      </c>
      <c r="Q265" t="str">
        <f t="shared" si="84"/>
        <v>",SubStage= "</v>
      </c>
      <c r="R265">
        <f>Match!I266</f>
        <v>0</v>
      </c>
      <c r="S265" t="str">
        <f t="shared" si="85"/>
        <v>",HTeam= "</v>
      </c>
      <c r="T265">
        <f>Match!J266</f>
        <v>0</v>
      </c>
      <c r="U265" t="str">
        <f t="shared" si="86"/>
        <v>",HGoal=</v>
      </c>
      <c r="V265">
        <f>Match!K266</f>
        <v>0</v>
      </c>
      <c r="W265" t="str">
        <f t="shared" si="87"/>
        <v>,GGoal=</v>
      </c>
      <c r="X265">
        <f>Match!L266</f>
        <v>0</v>
      </c>
      <c r="Y265" t="str">
        <f t="shared" si="88"/>
        <v>,GTeam= "</v>
      </c>
      <c r="Z265">
        <f>Match!M266</f>
        <v>0</v>
      </c>
      <c r="AA265" t="str">
        <f t="shared" si="89"/>
        <v>",WinNote="</v>
      </c>
      <c r="AB265" t="str">
        <f>IF(Match!N266="","",Match!N266)</f>
        <v/>
      </c>
      <c r="AC265" t="str">
        <f t="shared" si="90"/>
        <v xml:space="preserve">",Stadium=" </v>
      </c>
      <c r="AD265" s="95">
        <f>Match!O266</f>
        <v>0</v>
      </c>
      <c r="AE265" t="str">
        <f t="shared" si="91"/>
        <v>",Referee= "</v>
      </c>
      <c r="AF265" s="95" t="str">
        <f>IF(Match!P266="","",Match!P266)</f>
        <v/>
      </c>
      <c r="AG265" t="str">
        <f t="shared" si="92"/>
        <v xml:space="preserve">",Visistors= </v>
      </c>
      <c r="AH265" s="95">
        <f>IF(Match!Q266="",0,Match!Q266)</f>
        <v>0</v>
      </c>
      <c r="AI265" t="str">
        <f t="shared" si="93"/>
        <v>,Status= "</v>
      </c>
      <c r="AJ265" s="95">
        <f>Match!R266</f>
        <v>0</v>
      </c>
      <c r="AK265" t="str">
        <f t="shared" si="94"/>
        <v>" },</v>
      </c>
    </row>
    <row r="266" spans="1:37" x14ac:dyDescent="0.25">
      <c r="A266" s="94" t="str">
        <f t="shared" si="76"/>
        <v>new Match { MatchId= "</v>
      </c>
      <c r="B266">
        <f>Match!A267</f>
        <v>0</v>
      </c>
      <c r="C266" s="94" t="str">
        <f t="shared" si="77"/>
        <v>",MatchNumber=</v>
      </c>
      <c r="D266">
        <f>Match!B267</f>
        <v>0</v>
      </c>
      <c r="E266" s="94" t="str">
        <f t="shared" si="78"/>
        <v>,DateMatch=DateTime.Parse("</v>
      </c>
      <c r="F266" s="85">
        <f>Match!C267</f>
        <v>0</v>
      </c>
      <c r="G266" s="92" t="str">
        <f t="shared" si="79"/>
        <v>"),TimeMatch=TimeSpan.Parse("</v>
      </c>
      <c r="H266" s="93">
        <f>Match!D267</f>
        <v>0</v>
      </c>
      <c r="I266" s="94" t="str">
        <f t="shared" si="80"/>
        <v>"),MatchYear=</v>
      </c>
      <c r="J266">
        <f>Match!E267</f>
        <v>0</v>
      </c>
      <c r="K266" s="94" t="str">
        <f t="shared" si="81"/>
        <v>, SeasonId= "</v>
      </c>
      <c r="L266">
        <f>Match!F267</f>
        <v>0</v>
      </c>
      <c r="M266" s="94" t="str">
        <f t="shared" si="82"/>
        <v>",Round= "</v>
      </c>
      <c r="N266">
        <f>Match!G267</f>
        <v>0</v>
      </c>
      <c r="O266" t="str">
        <f t="shared" si="83"/>
        <v>",Stage= "</v>
      </c>
      <c r="P266">
        <f>Match!H267</f>
        <v>0</v>
      </c>
      <c r="Q266" t="str">
        <f t="shared" si="84"/>
        <v>",SubStage= "</v>
      </c>
      <c r="R266">
        <f>Match!I267</f>
        <v>0</v>
      </c>
      <c r="S266" t="str">
        <f t="shared" si="85"/>
        <v>",HTeam= "</v>
      </c>
      <c r="T266">
        <f>Match!J267</f>
        <v>0</v>
      </c>
      <c r="U266" t="str">
        <f t="shared" si="86"/>
        <v>",HGoal=</v>
      </c>
      <c r="V266">
        <f>Match!K267</f>
        <v>0</v>
      </c>
      <c r="W266" t="str">
        <f t="shared" si="87"/>
        <v>,GGoal=</v>
      </c>
      <c r="X266">
        <f>Match!L267</f>
        <v>0</v>
      </c>
      <c r="Y266" t="str">
        <f t="shared" si="88"/>
        <v>,GTeam= "</v>
      </c>
      <c r="Z266">
        <f>Match!M267</f>
        <v>0</v>
      </c>
      <c r="AA266" t="str">
        <f t="shared" si="89"/>
        <v>",WinNote="</v>
      </c>
      <c r="AB266" t="str">
        <f>IF(Match!N267="","",Match!N267)</f>
        <v/>
      </c>
      <c r="AC266" t="str">
        <f t="shared" si="90"/>
        <v xml:space="preserve">",Stadium=" </v>
      </c>
      <c r="AD266" s="95">
        <f>Match!O267</f>
        <v>0</v>
      </c>
      <c r="AE266" t="str">
        <f t="shared" si="91"/>
        <v>",Referee= "</v>
      </c>
      <c r="AF266" s="95" t="str">
        <f>IF(Match!P267="","",Match!P267)</f>
        <v/>
      </c>
      <c r="AG266" t="str">
        <f t="shared" si="92"/>
        <v xml:space="preserve">",Visistors= </v>
      </c>
      <c r="AH266" s="95">
        <f>IF(Match!Q267="",0,Match!Q267)</f>
        <v>0</v>
      </c>
      <c r="AI266" t="str">
        <f t="shared" si="93"/>
        <v>,Status= "</v>
      </c>
      <c r="AJ266" s="95">
        <f>Match!R267</f>
        <v>0</v>
      </c>
      <c r="AK266" t="str">
        <f t="shared" si="94"/>
        <v>" },</v>
      </c>
    </row>
    <row r="267" spans="1:37" x14ac:dyDescent="0.25">
      <c r="A267" s="94" t="str">
        <f t="shared" si="76"/>
        <v>new Match { MatchId= "</v>
      </c>
      <c r="B267">
        <f>Match!A268</f>
        <v>0</v>
      </c>
      <c r="C267" s="94" t="str">
        <f t="shared" si="77"/>
        <v>",MatchNumber=</v>
      </c>
      <c r="D267">
        <f>Match!B268</f>
        <v>0</v>
      </c>
      <c r="E267" s="94" t="str">
        <f t="shared" si="78"/>
        <v>,DateMatch=DateTime.Parse("</v>
      </c>
      <c r="F267" s="85">
        <f>Match!C268</f>
        <v>0</v>
      </c>
      <c r="G267" s="92" t="str">
        <f t="shared" si="79"/>
        <v>"),TimeMatch=TimeSpan.Parse("</v>
      </c>
      <c r="H267" s="93">
        <f>Match!D268</f>
        <v>0</v>
      </c>
      <c r="I267" s="94" t="str">
        <f t="shared" si="80"/>
        <v>"),MatchYear=</v>
      </c>
      <c r="J267">
        <f>Match!E268</f>
        <v>0</v>
      </c>
      <c r="K267" s="94" t="str">
        <f t="shared" si="81"/>
        <v>, SeasonId= "</v>
      </c>
      <c r="L267">
        <f>Match!F268</f>
        <v>0</v>
      </c>
      <c r="M267" s="94" t="str">
        <f t="shared" si="82"/>
        <v>",Round= "</v>
      </c>
      <c r="N267">
        <f>Match!G268</f>
        <v>0</v>
      </c>
      <c r="O267" t="str">
        <f t="shared" si="83"/>
        <v>",Stage= "</v>
      </c>
      <c r="P267">
        <f>Match!H268</f>
        <v>0</v>
      </c>
      <c r="Q267" t="str">
        <f t="shared" si="84"/>
        <v>",SubStage= "</v>
      </c>
      <c r="R267">
        <f>Match!I268</f>
        <v>0</v>
      </c>
      <c r="S267" t="str">
        <f t="shared" si="85"/>
        <v>",HTeam= "</v>
      </c>
      <c r="T267">
        <f>Match!J268</f>
        <v>0</v>
      </c>
      <c r="U267" t="str">
        <f t="shared" si="86"/>
        <v>",HGoal=</v>
      </c>
      <c r="V267">
        <f>Match!K268</f>
        <v>0</v>
      </c>
      <c r="W267" t="str">
        <f t="shared" si="87"/>
        <v>,GGoal=</v>
      </c>
      <c r="X267">
        <f>Match!L268</f>
        <v>0</v>
      </c>
      <c r="Y267" t="str">
        <f t="shared" si="88"/>
        <v>,GTeam= "</v>
      </c>
      <c r="Z267">
        <f>Match!M268</f>
        <v>0</v>
      </c>
      <c r="AA267" t="str">
        <f t="shared" si="89"/>
        <v>",WinNote="</v>
      </c>
      <c r="AB267" t="str">
        <f>IF(Match!N268="","",Match!N268)</f>
        <v/>
      </c>
      <c r="AC267" t="str">
        <f t="shared" si="90"/>
        <v xml:space="preserve">",Stadium=" </v>
      </c>
      <c r="AD267" s="95">
        <f>Match!O268</f>
        <v>0</v>
      </c>
      <c r="AE267" t="str">
        <f t="shared" si="91"/>
        <v>",Referee= "</v>
      </c>
      <c r="AF267" s="95" t="str">
        <f>IF(Match!P268="","",Match!P268)</f>
        <v/>
      </c>
      <c r="AG267" t="str">
        <f t="shared" si="92"/>
        <v xml:space="preserve">",Visistors= </v>
      </c>
      <c r="AH267" s="95">
        <f>IF(Match!Q268="",0,Match!Q268)</f>
        <v>0</v>
      </c>
      <c r="AI267" t="str">
        <f t="shared" si="93"/>
        <v>,Status= "</v>
      </c>
      <c r="AJ267" s="95">
        <f>Match!R268</f>
        <v>0</v>
      </c>
      <c r="AK267" t="str">
        <f t="shared" si="94"/>
        <v>" },</v>
      </c>
    </row>
    <row r="268" spans="1:37" x14ac:dyDescent="0.25">
      <c r="A268" s="94" t="str">
        <f t="shared" si="76"/>
        <v>new Match { MatchId= "</v>
      </c>
      <c r="B268">
        <f>Match!A269</f>
        <v>0</v>
      </c>
      <c r="C268" s="94" t="str">
        <f t="shared" si="77"/>
        <v>",MatchNumber=</v>
      </c>
      <c r="D268">
        <f>Match!B269</f>
        <v>0</v>
      </c>
      <c r="E268" s="94" t="str">
        <f t="shared" si="78"/>
        <v>,DateMatch=DateTime.Parse("</v>
      </c>
      <c r="F268" s="85">
        <f>Match!C269</f>
        <v>0</v>
      </c>
      <c r="G268" s="92" t="str">
        <f t="shared" si="79"/>
        <v>"),TimeMatch=TimeSpan.Parse("</v>
      </c>
      <c r="H268" s="93">
        <f>Match!D269</f>
        <v>0</v>
      </c>
      <c r="I268" s="94" t="str">
        <f t="shared" si="80"/>
        <v>"),MatchYear=</v>
      </c>
      <c r="J268">
        <f>Match!E269</f>
        <v>0</v>
      </c>
      <c r="K268" s="94" t="str">
        <f t="shared" si="81"/>
        <v>, SeasonId= "</v>
      </c>
      <c r="L268">
        <f>Match!F269</f>
        <v>0</v>
      </c>
      <c r="M268" s="94" t="str">
        <f t="shared" si="82"/>
        <v>",Round= "</v>
      </c>
      <c r="N268">
        <f>Match!G269</f>
        <v>0</v>
      </c>
      <c r="O268" t="str">
        <f t="shared" si="83"/>
        <v>",Stage= "</v>
      </c>
      <c r="P268">
        <f>Match!H269</f>
        <v>0</v>
      </c>
      <c r="Q268" t="str">
        <f t="shared" si="84"/>
        <v>",SubStage= "</v>
      </c>
      <c r="R268">
        <f>Match!I269</f>
        <v>0</v>
      </c>
      <c r="S268" t="str">
        <f t="shared" si="85"/>
        <v>",HTeam= "</v>
      </c>
      <c r="T268">
        <f>Match!J269</f>
        <v>0</v>
      </c>
      <c r="U268" t="str">
        <f t="shared" si="86"/>
        <v>",HGoal=</v>
      </c>
      <c r="V268">
        <f>Match!K269</f>
        <v>0</v>
      </c>
      <c r="W268" t="str">
        <f t="shared" si="87"/>
        <v>,GGoal=</v>
      </c>
      <c r="X268">
        <f>Match!L269</f>
        <v>0</v>
      </c>
      <c r="Y268" t="str">
        <f t="shared" si="88"/>
        <v>,GTeam= "</v>
      </c>
      <c r="Z268">
        <f>Match!M269</f>
        <v>0</v>
      </c>
      <c r="AA268" t="str">
        <f t="shared" si="89"/>
        <v>",WinNote="</v>
      </c>
      <c r="AB268" t="str">
        <f>IF(Match!N269="","",Match!N269)</f>
        <v/>
      </c>
      <c r="AC268" t="str">
        <f t="shared" si="90"/>
        <v xml:space="preserve">",Stadium=" </v>
      </c>
      <c r="AD268" s="95">
        <f>Match!O269</f>
        <v>0</v>
      </c>
      <c r="AE268" t="str">
        <f t="shared" si="91"/>
        <v>",Referee= "</v>
      </c>
      <c r="AF268" s="95" t="str">
        <f>IF(Match!P269="","",Match!P269)</f>
        <v/>
      </c>
      <c r="AG268" t="str">
        <f t="shared" si="92"/>
        <v xml:space="preserve">",Visistors= </v>
      </c>
      <c r="AH268" s="95">
        <f>IF(Match!Q269="",0,Match!Q269)</f>
        <v>0</v>
      </c>
      <c r="AI268" t="str">
        <f t="shared" si="93"/>
        <v>,Status= "</v>
      </c>
      <c r="AJ268" s="95">
        <f>Match!R269</f>
        <v>0</v>
      </c>
      <c r="AK268" t="str">
        <f t="shared" si="94"/>
        <v>" },</v>
      </c>
    </row>
    <row r="269" spans="1:37" x14ac:dyDescent="0.25">
      <c r="A269" s="94" t="str">
        <f t="shared" si="76"/>
        <v>new Match { MatchId= "</v>
      </c>
      <c r="B269">
        <f>Match!A270</f>
        <v>0</v>
      </c>
      <c r="C269" s="94" t="str">
        <f t="shared" si="77"/>
        <v>",MatchNumber=</v>
      </c>
      <c r="D269">
        <f>Match!B270</f>
        <v>0</v>
      </c>
      <c r="E269" s="94" t="str">
        <f t="shared" si="78"/>
        <v>,DateMatch=DateTime.Parse("</v>
      </c>
      <c r="F269" s="85">
        <f>Match!C270</f>
        <v>0</v>
      </c>
      <c r="G269" s="92" t="str">
        <f t="shared" si="79"/>
        <v>"),TimeMatch=TimeSpan.Parse("</v>
      </c>
      <c r="H269" s="93">
        <f>Match!D270</f>
        <v>0</v>
      </c>
      <c r="I269" s="94" t="str">
        <f t="shared" si="80"/>
        <v>"),MatchYear=</v>
      </c>
      <c r="J269">
        <f>Match!E270</f>
        <v>0</v>
      </c>
      <c r="K269" s="94" t="str">
        <f t="shared" si="81"/>
        <v>, SeasonId= "</v>
      </c>
      <c r="L269">
        <f>Match!F270</f>
        <v>0</v>
      </c>
      <c r="M269" s="94" t="str">
        <f t="shared" si="82"/>
        <v>",Round= "</v>
      </c>
      <c r="N269">
        <f>Match!G270</f>
        <v>0</v>
      </c>
      <c r="O269" t="str">
        <f t="shared" si="83"/>
        <v>",Stage= "</v>
      </c>
      <c r="P269">
        <f>Match!H270</f>
        <v>0</v>
      </c>
      <c r="Q269" t="str">
        <f t="shared" si="84"/>
        <v>",SubStage= "</v>
      </c>
      <c r="R269">
        <f>Match!I270</f>
        <v>0</v>
      </c>
      <c r="S269" t="str">
        <f t="shared" si="85"/>
        <v>",HTeam= "</v>
      </c>
      <c r="T269">
        <f>Match!J270</f>
        <v>0</v>
      </c>
      <c r="U269" t="str">
        <f t="shared" si="86"/>
        <v>",HGoal=</v>
      </c>
      <c r="V269">
        <f>Match!K270</f>
        <v>0</v>
      </c>
      <c r="W269" t="str">
        <f t="shared" si="87"/>
        <v>,GGoal=</v>
      </c>
      <c r="X269">
        <f>Match!L270</f>
        <v>0</v>
      </c>
      <c r="Y269" t="str">
        <f t="shared" si="88"/>
        <v>,GTeam= "</v>
      </c>
      <c r="Z269">
        <f>Match!M270</f>
        <v>0</v>
      </c>
      <c r="AA269" t="str">
        <f t="shared" si="89"/>
        <v>",WinNote="</v>
      </c>
      <c r="AB269" t="str">
        <f>IF(Match!N270="","",Match!N270)</f>
        <v/>
      </c>
      <c r="AC269" t="str">
        <f t="shared" si="90"/>
        <v xml:space="preserve">",Stadium=" </v>
      </c>
      <c r="AD269" s="95">
        <f>Match!O270</f>
        <v>0</v>
      </c>
      <c r="AE269" t="str">
        <f t="shared" si="91"/>
        <v>",Referee= "</v>
      </c>
      <c r="AF269" s="95" t="str">
        <f>IF(Match!P270="","",Match!P270)</f>
        <v/>
      </c>
      <c r="AG269" t="str">
        <f t="shared" si="92"/>
        <v xml:space="preserve">",Visistors= </v>
      </c>
      <c r="AH269" s="95">
        <f>IF(Match!Q270="",0,Match!Q270)</f>
        <v>0</v>
      </c>
      <c r="AI269" t="str">
        <f t="shared" si="93"/>
        <v>,Status= "</v>
      </c>
      <c r="AJ269" s="95">
        <f>Match!R270</f>
        <v>0</v>
      </c>
      <c r="AK269" t="str">
        <f t="shared" si="94"/>
        <v>" },</v>
      </c>
    </row>
    <row r="270" spans="1:37" x14ac:dyDescent="0.25">
      <c r="A270" s="94" t="str">
        <f t="shared" si="76"/>
        <v>new Match { MatchId= "</v>
      </c>
      <c r="B270">
        <f>Match!A271</f>
        <v>0</v>
      </c>
      <c r="C270" s="94" t="str">
        <f t="shared" si="77"/>
        <v>",MatchNumber=</v>
      </c>
      <c r="D270">
        <f>Match!B271</f>
        <v>0</v>
      </c>
      <c r="E270" s="94" t="str">
        <f t="shared" si="78"/>
        <v>,DateMatch=DateTime.Parse("</v>
      </c>
      <c r="F270" s="85">
        <f>Match!C271</f>
        <v>0</v>
      </c>
      <c r="G270" s="92" t="str">
        <f t="shared" si="79"/>
        <v>"),TimeMatch=TimeSpan.Parse("</v>
      </c>
      <c r="H270" s="93">
        <f>Match!D271</f>
        <v>0</v>
      </c>
      <c r="I270" s="94" t="str">
        <f t="shared" si="80"/>
        <v>"),MatchYear=</v>
      </c>
      <c r="J270">
        <f>Match!E271</f>
        <v>0</v>
      </c>
      <c r="K270" s="94" t="str">
        <f t="shared" si="81"/>
        <v>, SeasonId= "</v>
      </c>
      <c r="L270">
        <f>Match!F271</f>
        <v>0</v>
      </c>
      <c r="M270" s="94" t="str">
        <f t="shared" si="82"/>
        <v>",Round= "</v>
      </c>
      <c r="N270">
        <f>Match!G271</f>
        <v>0</v>
      </c>
      <c r="O270" t="str">
        <f t="shared" si="83"/>
        <v>",Stage= "</v>
      </c>
      <c r="P270">
        <f>Match!H271</f>
        <v>0</v>
      </c>
      <c r="Q270" t="str">
        <f t="shared" si="84"/>
        <v>",SubStage= "</v>
      </c>
      <c r="R270">
        <f>Match!I271</f>
        <v>0</v>
      </c>
      <c r="S270" t="str">
        <f t="shared" si="85"/>
        <v>",HTeam= "</v>
      </c>
      <c r="T270">
        <f>Match!J271</f>
        <v>0</v>
      </c>
      <c r="U270" t="str">
        <f t="shared" si="86"/>
        <v>",HGoal=</v>
      </c>
      <c r="V270">
        <f>Match!K271</f>
        <v>0</v>
      </c>
      <c r="W270" t="str">
        <f t="shared" si="87"/>
        <v>,GGoal=</v>
      </c>
      <c r="X270">
        <f>Match!L271</f>
        <v>0</v>
      </c>
      <c r="Y270" t="str">
        <f t="shared" si="88"/>
        <v>,GTeam= "</v>
      </c>
      <c r="Z270">
        <f>Match!M271</f>
        <v>0</v>
      </c>
      <c r="AA270" t="str">
        <f t="shared" si="89"/>
        <v>",WinNote="</v>
      </c>
      <c r="AB270" t="str">
        <f>IF(Match!N271="","",Match!N271)</f>
        <v/>
      </c>
      <c r="AC270" t="str">
        <f t="shared" si="90"/>
        <v xml:space="preserve">",Stadium=" </v>
      </c>
      <c r="AD270" s="95">
        <f>Match!O271</f>
        <v>0</v>
      </c>
      <c r="AE270" t="str">
        <f t="shared" si="91"/>
        <v>",Referee= "</v>
      </c>
      <c r="AF270" s="95" t="str">
        <f>IF(Match!P271="","",Match!P271)</f>
        <v/>
      </c>
      <c r="AG270" t="str">
        <f t="shared" si="92"/>
        <v xml:space="preserve">",Visistors= </v>
      </c>
      <c r="AH270" s="95">
        <f>IF(Match!Q271="",0,Match!Q271)</f>
        <v>0</v>
      </c>
      <c r="AI270" t="str">
        <f t="shared" si="93"/>
        <v>,Status= "</v>
      </c>
      <c r="AJ270" s="95">
        <f>Match!R271</f>
        <v>0</v>
      </c>
      <c r="AK270" t="str">
        <f t="shared" si="94"/>
        <v>" },</v>
      </c>
    </row>
    <row r="271" spans="1:37" x14ac:dyDescent="0.25">
      <c r="A271" s="94" t="str">
        <f t="shared" si="76"/>
        <v>new Match { MatchId= "</v>
      </c>
      <c r="B271">
        <f>Match!A272</f>
        <v>0</v>
      </c>
      <c r="C271" s="94" t="str">
        <f t="shared" si="77"/>
        <v>",MatchNumber=</v>
      </c>
      <c r="D271">
        <f>Match!B272</f>
        <v>0</v>
      </c>
      <c r="E271" s="94" t="str">
        <f t="shared" si="78"/>
        <v>,DateMatch=DateTime.Parse("</v>
      </c>
      <c r="F271" s="85">
        <f>Match!C272</f>
        <v>0</v>
      </c>
      <c r="G271" s="92" t="str">
        <f t="shared" si="79"/>
        <v>"),TimeMatch=TimeSpan.Parse("</v>
      </c>
      <c r="H271" s="93">
        <f>Match!D272</f>
        <v>0</v>
      </c>
      <c r="I271" s="94" t="str">
        <f t="shared" si="80"/>
        <v>"),MatchYear=</v>
      </c>
      <c r="J271">
        <f>Match!E272</f>
        <v>0</v>
      </c>
      <c r="K271" s="94" t="str">
        <f t="shared" si="81"/>
        <v>, SeasonId= "</v>
      </c>
      <c r="L271">
        <f>Match!F272</f>
        <v>0</v>
      </c>
      <c r="M271" s="94" t="str">
        <f t="shared" si="82"/>
        <v>",Round= "</v>
      </c>
      <c r="N271">
        <f>Match!G272</f>
        <v>0</v>
      </c>
      <c r="O271" t="str">
        <f t="shared" si="83"/>
        <v>",Stage= "</v>
      </c>
      <c r="P271">
        <f>Match!H272</f>
        <v>0</v>
      </c>
      <c r="Q271" t="str">
        <f t="shared" si="84"/>
        <v>",SubStage= "</v>
      </c>
      <c r="R271">
        <f>Match!I272</f>
        <v>0</v>
      </c>
      <c r="S271" t="str">
        <f t="shared" si="85"/>
        <v>",HTeam= "</v>
      </c>
      <c r="T271">
        <f>Match!J272</f>
        <v>0</v>
      </c>
      <c r="U271" t="str">
        <f t="shared" si="86"/>
        <v>",HGoal=</v>
      </c>
      <c r="V271">
        <f>Match!K272</f>
        <v>0</v>
      </c>
      <c r="W271" t="str">
        <f t="shared" si="87"/>
        <v>,GGoal=</v>
      </c>
      <c r="X271">
        <f>Match!L272</f>
        <v>0</v>
      </c>
      <c r="Y271" t="str">
        <f t="shared" si="88"/>
        <v>,GTeam= "</v>
      </c>
      <c r="Z271">
        <f>Match!M272</f>
        <v>0</v>
      </c>
      <c r="AA271" t="str">
        <f t="shared" si="89"/>
        <v>",WinNote="</v>
      </c>
      <c r="AB271" t="str">
        <f>IF(Match!N272="","",Match!N272)</f>
        <v/>
      </c>
      <c r="AC271" t="str">
        <f t="shared" si="90"/>
        <v xml:space="preserve">",Stadium=" </v>
      </c>
      <c r="AD271" s="95">
        <f>Match!O272</f>
        <v>0</v>
      </c>
      <c r="AE271" t="str">
        <f t="shared" si="91"/>
        <v>",Referee= "</v>
      </c>
      <c r="AF271" s="95" t="str">
        <f>IF(Match!P272="","",Match!P272)</f>
        <v/>
      </c>
      <c r="AG271" t="str">
        <f t="shared" si="92"/>
        <v xml:space="preserve">",Visistors= </v>
      </c>
      <c r="AH271" s="95">
        <f>IF(Match!Q272="",0,Match!Q272)</f>
        <v>0</v>
      </c>
      <c r="AI271" t="str">
        <f t="shared" si="93"/>
        <v>,Status= "</v>
      </c>
      <c r="AJ271" s="95">
        <f>Match!R272</f>
        <v>0</v>
      </c>
      <c r="AK271" t="str">
        <f t="shared" si="94"/>
        <v>" },</v>
      </c>
    </row>
    <row r="272" spans="1:37" x14ac:dyDescent="0.25">
      <c r="A272" s="94" t="str">
        <f t="shared" si="76"/>
        <v>new Match { MatchId= "</v>
      </c>
      <c r="B272">
        <f>Match!A273</f>
        <v>0</v>
      </c>
      <c r="C272" s="94" t="str">
        <f t="shared" si="77"/>
        <v>",MatchNumber=</v>
      </c>
      <c r="D272">
        <f>Match!B273</f>
        <v>0</v>
      </c>
      <c r="E272" s="94" t="str">
        <f t="shared" si="78"/>
        <v>,DateMatch=DateTime.Parse("</v>
      </c>
      <c r="F272" s="85">
        <f>Match!C273</f>
        <v>0</v>
      </c>
      <c r="G272" s="92" t="str">
        <f t="shared" si="79"/>
        <v>"),TimeMatch=TimeSpan.Parse("</v>
      </c>
      <c r="H272" s="93">
        <f>Match!D273</f>
        <v>0</v>
      </c>
      <c r="I272" s="94" t="str">
        <f t="shared" si="80"/>
        <v>"),MatchYear=</v>
      </c>
      <c r="J272">
        <f>Match!E273</f>
        <v>0</v>
      </c>
      <c r="K272" s="94" t="str">
        <f t="shared" si="81"/>
        <v>, SeasonId= "</v>
      </c>
      <c r="L272">
        <f>Match!F273</f>
        <v>0</v>
      </c>
      <c r="M272" s="94" t="str">
        <f t="shared" si="82"/>
        <v>",Round= "</v>
      </c>
      <c r="N272">
        <f>Match!G273</f>
        <v>0</v>
      </c>
      <c r="O272" t="str">
        <f t="shared" si="83"/>
        <v>",Stage= "</v>
      </c>
      <c r="P272">
        <f>Match!H273</f>
        <v>0</v>
      </c>
      <c r="Q272" t="str">
        <f t="shared" si="84"/>
        <v>",SubStage= "</v>
      </c>
      <c r="R272">
        <f>Match!I273</f>
        <v>0</v>
      </c>
      <c r="S272" t="str">
        <f t="shared" si="85"/>
        <v>",HTeam= "</v>
      </c>
      <c r="T272">
        <f>Match!J273</f>
        <v>0</v>
      </c>
      <c r="U272" t="str">
        <f t="shared" si="86"/>
        <v>",HGoal=</v>
      </c>
      <c r="V272">
        <f>Match!K273</f>
        <v>0</v>
      </c>
      <c r="W272" t="str">
        <f t="shared" si="87"/>
        <v>,GGoal=</v>
      </c>
      <c r="X272">
        <f>Match!L273</f>
        <v>0</v>
      </c>
      <c r="Y272" t="str">
        <f t="shared" si="88"/>
        <v>,GTeam= "</v>
      </c>
      <c r="Z272">
        <f>Match!M273</f>
        <v>0</v>
      </c>
      <c r="AA272" t="str">
        <f t="shared" si="89"/>
        <v>",WinNote="</v>
      </c>
      <c r="AB272" t="str">
        <f>IF(Match!N273="","",Match!N273)</f>
        <v/>
      </c>
      <c r="AC272" t="str">
        <f t="shared" si="90"/>
        <v xml:space="preserve">",Stadium=" </v>
      </c>
      <c r="AD272" s="95">
        <f>Match!O273</f>
        <v>0</v>
      </c>
      <c r="AE272" t="str">
        <f t="shared" si="91"/>
        <v>",Referee= "</v>
      </c>
      <c r="AF272" s="95" t="str">
        <f>IF(Match!P273="","",Match!P273)</f>
        <v/>
      </c>
      <c r="AG272" t="str">
        <f t="shared" si="92"/>
        <v xml:space="preserve">",Visistors= </v>
      </c>
      <c r="AH272" s="95">
        <f>IF(Match!Q273="",0,Match!Q273)</f>
        <v>0</v>
      </c>
      <c r="AI272" t="str">
        <f t="shared" si="93"/>
        <v>,Status= "</v>
      </c>
      <c r="AJ272" s="95">
        <f>Match!R273</f>
        <v>0</v>
      </c>
      <c r="AK272" t="str">
        <f t="shared" si="94"/>
        <v>" },</v>
      </c>
    </row>
    <row r="273" spans="1:37" x14ac:dyDescent="0.25">
      <c r="A273" s="94" t="str">
        <f t="shared" si="76"/>
        <v>new Match { MatchId= "</v>
      </c>
      <c r="B273">
        <f>Match!A274</f>
        <v>0</v>
      </c>
      <c r="C273" s="94" t="str">
        <f t="shared" si="77"/>
        <v>",MatchNumber=</v>
      </c>
      <c r="D273">
        <f>Match!B274</f>
        <v>0</v>
      </c>
      <c r="E273" s="94" t="str">
        <f t="shared" si="78"/>
        <v>,DateMatch=DateTime.Parse("</v>
      </c>
      <c r="F273" s="85">
        <f>Match!C274</f>
        <v>0</v>
      </c>
      <c r="G273" s="92" t="str">
        <f t="shared" si="79"/>
        <v>"),TimeMatch=TimeSpan.Parse("</v>
      </c>
      <c r="H273" s="93">
        <f>Match!D274</f>
        <v>0</v>
      </c>
      <c r="I273" s="94" t="str">
        <f t="shared" si="80"/>
        <v>"),MatchYear=</v>
      </c>
      <c r="J273">
        <f>Match!E274</f>
        <v>0</v>
      </c>
      <c r="K273" s="94" t="str">
        <f t="shared" si="81"/>
        <v>, SeasonId= "</v>
      </c>
      <c r="L273">
        <f>Match!F274</f>
        <v>0</v>
      </c>
      <c r="M273" s="94" t="str">
        <f t="shared" si="82"/>
        <v>",Round= "</v>
      </c>
      <c r="N273">
        <f>Match!G274</f>
        <v>0</v>
      </c>
      <c r="O273" t="str">
        <f t="shared" si="83"/>
        <v>",Stage= "</v>
      </c>
      <c r="P273">
        <f>Match!H274</f>
        <v>0</v>
      </c>
      <c r="Q273" t="str">
        <f t="shared" si="84"/>
        <v>",SubStage= "</v>
      </c>
      <c r="R273">
        <f>Match!I274</f>
        <v>0</v>
      </c>
      <c r="S273" t="str">
        <f t="shared" si="85"/>
        <v>",HTeam= "</v>
      </c>
      <c r="T273">
        <f>Match!J274</f>
        <v>0</v>
      </c>
      <c r="U273" t="str">
        <f t="shared" si="86"/>
        <v>",HGoal=</v>
      </c>
      <c r="V273">
        <f>Match!K274</f>
        <v>0</v>
      </c>
      <c r="W273" t="str">
        <f t="shared" si="87"/>
        <v>,GGoal=</v>
      </c>
      <c r="X273">
        <f>Match!L274</f>
        <v>0</v>
      </c>
      <c r="Y273" t="str">
        <f t="shared" si="88"/>
        <v>,GTeam= "</v>
      </c>
      <c r="Z273">
        <f>Match!M274</f>
        <v>0</v>
      </c>
      <c r="AA273" t="str">
        <f t="shared" si="89"/>
        <v>",WinNote="</v>
      </c>
      <c r="AB273" t="str">
        <f>IF(Match!N274="","",Match!N274)</f>
        <v/>
      </c>
      <c r="AC273" t="str">
        <f t="shared" si="90"/>
        <v xml:space="preserve">",Stadium=" </v>
      </c>
      <c r="AD273" s="95">
        <f>Match!O274</f>
        <v>0</v>
      </c>
      <c r="AE273" t="str">
        <f t="shared" si="91"/>
        <v>",Referee= "</v>
      </c>
      <c r="AF273" s="95" t="str">
        <f>IF(Match!P274="","",Match!P274)</f>
        <v/>
      </c>
      <c r="AG273" t="str">
        <f t="shared" si="92"/>
        <v xml:space="preserve">",Visistors= </v>
      </c>
      <c r="AH273" s="95">
        <f>IF(Match!Q274="",0,Match!Q274)</f>
        <v>0</v>
      </c>
      <c r="AI273" t="str">
        <f t="shared" si="93"/>
        <v>,Status= "</v>
      </c>
      <c r="AJ273" s="95">
        <f>Match!R274</f>
        <v>0</v>
      </c>
      <c r="AK273" t="str">
        <f t="shared" si="94"/>
        <v>" },</v>
      </c>
    </row>
    <row r="274" spans="1:37" x14ac:dyDescent="0.25">
      <c r="A274" s="94" t="str">
        <f t="shared" si="76"/>
        <v>new Match { MatchId= "</v>
      </c>
      <c r="B274">
        <f>Match!A275</f>
        <v>0</v>
      </c>
      <c r="C274" s="94" t="str">
        <f t="shared" si="77"/>
        <v>",MatchNumber=</v>
      </c>
      <c r="D274">
        <f>Match!B275</f>
        <v>0</v>
      </c>
      <c r="E274" s="94" t="str">
        <f t="shared" si="78"/>
        <v>,DateMatch=DateTime.Parse("</v>
      </c>
      <c r="F274" s="85">
        <f>Match!C275</f>
        <v>0</v>
      </c>
      <c r="G274" s="92" t="str">
        <f t="shared" si="79"/>
        <v>"),TimeMatch=TimeSpan.Parse("</v>
      </c>
      <c r="H274" s="93">
        <f>Match!D275</f>
        <v>0</v>
      </c>
      <c r="I274" s="94" t="str">
        <f t="shared" si="80"/>
        <v>"),MatchYear=</v>
      </c>
      <c r="J274">
        <f>Match!E275</f>
        <v>0</v>
      </c>
      <c r="K274" s="94" t="str">
        <f t="shared" si="81"/>
        <v>, SeasonId= "</v>
      </c>
      <c r="L274">
        <f>Match!F275</f>
        <v>0</v>
      </c>
      <c r="M274" s="94" t="str">
        <f t="shared" si="82"/>
        <v>",Round= "</v>
      </c>
      <c r="N274">
        <f>Match!G275</f>
        <v>0</v>
      </c>
      <c r="O274" t="str">
        <f t="shared" si="83"/>
        <v>",Stage= "</v>
      </c>
      <c r="P274">
        <f>Match!H275</f>
        <v>0</v>
      </c>
      <c r="Q274" t="str">
        <f t="shared" si="84"/>
        <v>",SubStage= "</v>
      </c>
      <c r="R274">
        <f>Match!I275</f>
        <v>0</v>
      </c>
      <c r="S274" t="str">
        <f t="shared" si="85"/>
        <v>",HTeam= "</v>
      </c>
      <c r="T274">
        <f>Match!J275</f>
        <v>0</v>
      </c>
      <c r="U274" t="str">
        <f t="shared" si="86"/>
        <v>",HGoal=</v>
      </c>
      <c r="V274">
        <f>Match!K275</f>
        <v>0</v>
      </c>
      <c r="W274" t="str">
        <f t="shared" si="87"/>
        <v>,GGoal=</v>
      </c>
      <c r="X274">
        <f>Match!L275</f>
        <v>0</v>
      </c>
      <c r="Y274" t="str">
        <f t="shared" si="88"/>
        <v>,GTeam= "</v>
      </c>
      <c r="Z274">
        <f>Match!M275</f>
        <v>0</v>
      </c>
      <c r="AA274" t="str">
        <f t="shared" si="89"/>
        <v>",WinNote="</v>
      </c>
      <c r="AB274" t="str">
        <f>IF(Match!N275="","",Match!N275)</f>
        <v/>
      </c>
      <c r="AC274" t="str">
        <f t="shared" si="90"/>
        <v xml:space="preserve">",Stadium=" </v>
      </c>
      <c r="AD274" s="95">
        <f>Match!O275</f>
        <v>0</v>
      </c>
      <c r="AE274" t="str">
        <f t="shared" si="91"/>
        <v>",Referee= "</v>
      </c>
      <c r="AF274" s="95" t="str">
        <f>IF(Match!P275="","",Match!P275)</f>
        <v/>
      </c>
      <c r="AG274" t="str">
        <f t="shared" si="92"/>
        <v xml:space="preserve">",Visistors= </v>
      </c>
      <c r="AH274" s="95">
        <f>IF(Match!Q275="",0,Match!Q275)</f>
        <v>0</v>
      </c>
      <c r="AI274" t="str">
        <f t="shared" si="93"/>
        <v>,Status= "</v>
      </c>
      <c r="AJ274" s="95">
        <f>Match!R275</f>
        <v>0</v>
      </c>
      <c r="AK274" t="str">
        <f t="shared" si="94"/>
        <v>" },</v>
      </c>
    </row>
    <row r="275" spans="1:37" x14ac:dyDescent="0.25">
      <c r="A275" s="94" t="str">
        <f t="shared" si="76"/>
        <v>new Match { MatchId= "</v>
      </c>
      <c r="B275">
        <f>Match!A276</f>
        <v>0</v>
      </c>
      <c r="C275" s="94" t="str">
        <f t="shared" si="77"/>
        <v>",MatchNumber=</v>
      </c>
      <c r="D275">
        <f>Match!B276</f>
        <v>0</v>
      </c>
      <c r="E275" s="94" t="str">
        <f t="shared" si="78"/>
        <v>,DateMatch=DateTime.Parse("</v>
      </c>
      <c r="F275" s="85">
        <f>Match!C276</f>
        <v>0</v>
      </c>
      <c r="G275" s="92" t="str">
        <f t="shared" si="79"/>
        <v>"),TimeMatch=TimeSpan.Parse("</v>
      </c>
      <c r="H275" s="93">
        <f>Match!D276</f>
        <v>0</v>
      </c>
      <c r="I275" s="94" t="str">
        <f t="shared" si="80"/>
        <v>"),MatchYear=</v>
      </c>
      <c r="J275">
        <f>Match!E276</f>
        <v>0</v>
      </c>
      <c r="K275" s="94" t="str">
        <f t="shared" si="81"/>
        <v>, SeasonId= "</v>
      </c>
      <c r="L275">
        <f>Match!F276</f>
        <v>0</v>
      </c>
      <c r="M275" s="94" t="str">
        <f t="shared" si="82"/>
        <v>",Round= "</v>
      </c>
      <c r="N275">
        <f>Match!G276</f>
        <v>0</v>
      </c>
      <c r="O275" t="str">
        <f t="shared" si="83"/>
        <v>",Stage= "</v>
      </c>
      <c r="P275">
        <f>Match!H276</f>
        <v>0</v>
      </c>
      <c r="Q275" t="str">
        <f t="shared" si="84"/>
        <v>",SubStage= "</v>
      </c>
      <c r="R275">
        <f>Match!I276</f>
        <v>0</v>
      </c>
      <c r="S275" t="str">
        <f t="shared" si="85"/>
        <v>",HTeam= "</v>
      </c>
      <c r="T275">
        <f>Match!J276</f>
        <v>0</v>
      </c>
      <c r="U275" t="str">
        <f t="shared" si="86"/>
        <v>",HGoal=</v>
      </c>
      <c r="V275">
        <f>Match!K276</f>
        <v>0</v>
      </c>
      <c r="W275" t="str">
        <f t="shared" si="87"/>
        <v>,GGoal=</v>
      </c>
      <c r="X275">
        <f>Match!L276</f>
        <v>0</v>
      </c>
      <c r="Y275" t="str">
        <f t="shared" si="88"/>
        <v>,GTeam= "</v>
      </c>
      <c r="Z275">
        <f>Match!M276</f>
        <v>0</v>
      </c>
      <c r="AA275" t="str">
        <f t="shared" si="89"/>
        <v>",WinNote="</v>
      </c>
      <c r="AB275" t="str">
        <f>IF(Match!N276="","",Match!N276)</f>
        <v/>
      </c>
      <c r="AC275" t="str">
        <f t="shared" si="90"/>
        <v xml:space="preserve">",Stadium=" </v>
      </c>
      <c r="AD275" s="95">
        <f>Match!O276</f>
        <v>0</v>
      </c>
      <c r="AE275" t="str">
        <f t="shared" si="91"/>
        <v>",Referee= "</v>
      </c>
      <c r="AF275" s="95" t="str">
        <f>IF(Match!P276="","",Match!P276)</f>
        <v/>
      </c>
      <c r="AG275" t="str">
        <f t="shared" si="92"/>
        <v xml:space="preserve">",Visistors= </v>
      </c>
      <c r="AH275" s="95">
        <f>IF(Match!Q276="",0,Match!Q276)</f>
        <v>0</v>
      </c>
      <c r="AI275" t="str">
        <f t="shared" si="93"/>
        <v>,Status= "</v>
      </c>
      <c r="AJ275" s="95">
        <f>Match!R276</f>
        <v>0</v>
      </c>
      <c r="AK275" t="str">
        <f t="shared" si="94"/>
        <v>" },</v>
      </c>
    </row>
    <row r="276" spans="1:37" x14ac:dyDescent="0.25">
      <c r="A276" s="94" t="str">
        <f t="shared" si="76"/>
        <v>new Match { MatchId= "</v>
      </c>
      <c r="B276">
        <f>Match!A277</f>
        <v>0</v>
      </c>
      <c r="C276" s="94" t="str">
        <f t="shared" si="77"/>
        <v>",MatchNumber=</v>
      </c>
      <c r="D276">
        <f>Match!B277</f>
        <v>0</v>
      </c>
      <c r="E276" s="94" t="str">
        <f t="shared" si="78"/>
        <v>,DateMatch=DateTime.Parse("</v>
      </c>
      <c r="F276" s="85">
        <f>Match!C277</f>
        <v>0</v>
      </c>
      <c r="G276" s="92" t="str">
        <f t="shared" si="79"/>
        <v>"),TimeMatch=TimeSpan.Parse("</v>
      </c>
      <c r="H276" s="93">
        <f>Match!D277</f>
        <v>0</v>
      </c>
      <c r="I276" s="94" t="str">
        <f t="shared" si="80"/>
        <v>"),MatchYear=</v>
      </c>
      <c r="J276">
        <f>Match!E277</f>
        <v>0</v>
      </c>
      <c r="K276" s="94" t="str">
        <f t="shared" si="81"/>
        <v>, SeasonId= "</v>
      </c>
      <c r="L276">
        <f>Match!F277</f>
        <v>0</v>
      </c>
      <c r="M276" s="94" t="str">
        <f t="shared" si="82"/>
        <v>",Round= "</v>
      </c>
      <c r="N276">
        <f>Match!G277</f>
        <v>0</v>
      </c>
      <c r="O276" t="str">
        <f t="shared" si="83"/>
        <v>",Stage= "</v>
      </c>
      <c r="P276">
        <f>Match!H277</f>
        <v>0</v>
      </c>
      <c r="Q276" t="str">
        <f t="shared" si="84"/>
        <v>",SubStage= "</v>
      </c>
      <c r="R276">
        <f>Match!I277</f>
        <v>0</v>
      </c>
      <c r="S276" t="str">
        <f t="shared" si="85"/>
        <v>",HTeam= "</v>
      </c>
      <c r="T276">
        <f>Match!J277</f>
        <v>0</v>
      </c>
      <c r="U276" t="str">
        <f t="shared" si="86"/>
        <v>",HGoal=</v>
      </c>
      <c r="V276">
        <f>Match!K277</f>
        <v>0</v>
      </c>
      <c r="W276" t="str">
        <f t="shared" si="87"/>
        <v>,GGoal=</v>
      </c>
      <c r="X276">
        <f>Match!L277</f>
        <v>0</v>
      </c>
      <c r="Y276" t="str">
        <f t="shared" si="88"/>
        <v>,GTeam= "</v>
      </c>
      <c r="Z276">
        <f>Match!M277</f>
        <v>0</v>
      </c>
      <c r="AA276" t="str">
        <f t="shared" si="89"/>
        <v>",WinNote="</v>
      </c>
      <c r="AB276" t="str">
        <f>IF(Match!N277="","",Match!N277)</f>
        <v/>
      </c>
      <c r="AC276" t="str">
        <f t="shared" si="90"/>
        <v xml:space="preserve">",Stadium=" </v>
      </c>
      <c r="AD276" s="95">
        <f>Match!O277</f>
        <v>0</v>
      </c>
      <c r="AE276" t="str">
        <f t="shared" si="91"/>
        <v>",Referee= "</v>
      </c>
      <c r="AF276" s="95" t="str">
        <f>IF(Match!P277="","",Match!P277)</f>
        <v/>
      </c>
      <c r="AG276" t="str">
        <f t="shared" si="92"/>
        <v xml:space="preserve">",Visistors= </v>
      </c>
      <c r="AH276" s="95">
        <f>IF(Match!Q277="",0,Match!Q277)</f>
        <v>0</v>
      </c>
      <c r="AI276" t="str">
        <f t="shared" si="93"/>
        <v>,Status= "</v>
      </c>
      <c r="AJ276" s="95">
        <f>Match!R277</f>
        <v>0</v>
      </c>
      <c r="AK276" t="str">
        <f t="shared" si="94"/>
        <v>" },</v>
      </c>
    </row>
    <row r="277" spans="1:37" x14ac:dyDescent="0.25">
      <c r="A277" s="94" t="str">
        <f t="shared" si="76"/>
        <v>new Match { MatchId= "</v>
      </c>
      <c r="B277">
        <f>Match!A278</f>
        <v>0</v>
      </c>
      <c r="C277" s="94" t="str">
        <f t="shared" si="77"/>
        <v>",MatchNumber=</v>
      </c>
      <c r="D277">
        <f>Match!B278</f>
        <v>0</v>
      </c>
      <c r="E277" s="94" t="str">
        <f t="shared" si="78"/>
        <v>,DateMatch=DateTime.Parse("</v>
      </c>
      <c r="F277" s="85">
        <f>Match!C278</f>
        <v>0</v>
      </c>
      <c r="G277" s="92" t="str">
        <f t="shared" si="79"/>
        <v>"),TimeMatch=TimeSpan.Parse("</v>
      </c>
      <c r="H277" s="93">
        <f>Match!D278</f>
        <v>0</v>
      </c>
      <c r="I277" s="94" t="str">
        <f t="shared" si="80"/>
        <v>"),MatchYear=</v>
      </c>
      <c r="J277">
        <f>Match!E278</f>
        <v>0</v>
      </c>
      <c r="K277" s="94" t="str">
        <f t="shared" si="81"/>
        <v>, SeasonId= "</v>
      </c>
      <c r="L277">
        <f>Match!F278</f>
        <v>0</v>
      </c>
      <c r="M277" s="94" t="str">
        <f t="shared" si="82"/>
        <v>",Round= "</v>
      </c>
      <c r="N277">
        <f>Match!G278</f>
        <v>0</v>
      </c>
      <c r="O277" t="str">
        <f t="shared" si="83"/>
        <v>",Stage= "</v>
      </c>
      <c r="P277">
        <f>Match!H278</f>
        <v>0</v>
      </c>
      <c r="Q277" t="str">
        <f t="shared" si="84"/>
        <v>",SubStage= "</v>
      </c>
      <c r="R277">
        <f>Match!I278</f>
        <v>0</v>
      </c>
      <c r="S277" t="str">
        <f t="shared" si="85"/>
        <v>",HTeam= "</v>
      </c>
      <c r="T277">
        <f>Match!J278</f>
        <v>0</v>
      </c>
      <c r="U277" t="str">
        <f t="shared" si="86"/>
        <v>",HGoal=</v>
      </c>
      <c r="V277">
        <f>Match!K278</f>
        <v>0</v>
      </c>
      <c r="W277" t="str">
        <f t="shared" si="87"/>
        <v>,GGoal=</v>
      </c>
      <c r="X277">
        <f>Match!L278</f>
        <v>0</v>
      </c>
      <c r="Y277" t="str">
        <f t="shared" si="88"/>
        <v>,GTeam= "</v>
      </c>
      <c r="Z277">
        <f>Match!M278</f>
        <v>0</v>
      </c>
      <c r="AA277" t="str">
        <f t="shared" si="89"/>
        <v>",WinNote="</v>
      </c>
      <c r="AB277" t="str">
        <f>IF(Match!N278="","",Match!N278)</f>
        <v/>
      </c>
      <c r="AC277" t="str">
        <f t="shared" si="90"/>
        <v xml:space="preserve">",Stadium=" </v>
      </c>
      <c r="AD277" s="95">
        <f>Match!O278</f>
        <v>0</v>
      </c>
      <c r="AE277" t="str">
        <f t="shared" si="91"/>
        <v>",Referee= "</v>
      </c>
      <c r="AF277" s="95" t="str">
        <f>IF(Match!P278="","",Match!P278)</f>
        <v/>
      </c>
      <c r="AG277" t="str">
        <f t="shared" si="92"/>
        <v xml:space="preserve">",Visistors= </v>
      </c>
      <c r="AH277" s="95">
        <f>IF(Match!Q278="",0,Match!Q278)</f>
        <v>0</v>
      </c>
      <c r="AI277" t="str">
        <f t="shared" si="93"/>
        <v>,Status= "</v>
      </c>
      <c r="AJ277" s="95">
        <f>Match!R278</f>
        <v>0</v>
      </c>
      <c r="AK277" t="str">
        <f t="shared" si="94"/>
        <v>" },</v>
      </c>
    </row>
    <row r="278" spans="1:37" x14ac:dyDescent="0.25">
      <c r="A278" s="94" t="str">
        <f t="shared" si="76"/>
        <v>new Match { MatchId= "</v>
      </c>
      <c r="B278">
        <f>Match!A279</f>
        <v>0</v>
      </c>
      <c r="C278" s="94" t="str">
        <f t="shared" si="77"/>
        <v>",MatchNumber=</v>
      </c>
      <c r="D278">
        <f>Match!B279</f>
        <v>0</v>
      </c>
      <c r="E278" s="94" t="str">
        <f t="shared" si="78"/>
        <v>,DateMatch=DateTime.Parse("</v>
      </c>
      <c r="F278" s="85">
        <f>Match!C279</f>
        <v>0</v>
      </c>
      <c r="G278" s="92" t="str">
        <f t="shared" si="79"/>
        <v>"),TimeMatch=TimeSpan.Parse("</v>
      </c>
      <c r="H278" s="93">
        <f>Match!D279</f>
        <v>0</v>
      </c>
      <c r="I278" s="94" t="str">
        <f t="shared" si="80"/>
        <v>"),MatchYear=</v>
      </c>
      <c r="J278">
        <f>Match!E279</f>
        <v>0</v>
      </c>
      <c r="K278" s="94" t="str">
        <f t="shared" si="81"/>
        <v>, SeasonId= "</v>
      </c>
      <c r="L278">
        <f>Match!F279</f>
        <v>0</v>
      </c>
      <c r="M278" s="94" t="str">
        <f t="shared" si="82"/>
        <v>",Round= "</v>
      </c>
      <c r="N278">
        <f>Match!G279</f>
        <v>0</v>
      </c>
      <c r="O278" t="str">
        <f t="shared" si="83"/>
        <v>",Stage= "</v>
      </c>
      <c r="P278">
        <f>Match!H279</f>
        <v>0</v>
      </c>
      <c r="Q278" t="str">
        <f t="shared" si="84"/>
        <v>",SubStage= "</v>
      </c>
      <c r="R278">
        <f>Match!I279</f>
        <v>0</v>
      </c>
      <c r="S278" t="str">
        <f t="shared" si="85"/>
        <v>",HTeam= "</v>
      </c>
      <c r="T278">
        <f>Match!J279</f>
        <v>0</v>
      </c>
      <c r="U278" t="str">
        <f t="shared" si="86"/>
        <v>",HGoal=</v>
      </c>
      <c r="V278">
        <f>Match!K279</f>
        <v>0</v>
      </c>
      <c r="W278" t="str">
        <f t="shared" si="87"/>
        <v>,GGoal=</v>
      </c>
      <c r="X278">
        <f>Match!L279</f>
        <v>0</v>
      </c>
      <c r="Y278" t="str">
        <f t="shared" si="88"/>
        <v>,GTeam= "</v>
      </c>
      <c r="Z278">
        <f>Match!M279</f>
        <v>0</v>
      </c>
      <c r="AA278" t="str">
        <f t="shared" si="89"/>
        <v>",WinNote="</v>
      </c>
      <c r="AB278" t="str">
        <f>IF(Match!N279="","",Match!N279)</f>
        <v/>
      </c>
      <c r="AC278" t="str">
        <f t="shared" si="90"/>
        <v xml:space="preserve">",Stadium=" </v>
      </c>
      <c r="AD278" s="95">
        <f>Match!O279</f>
        <v>0</v>
      </c>
      <c r="AE278" t="str">
        <f t="shared" si="91"/>
        <v>",Referee= "</v>
      </c>
      <c r="AF278" s="95" t="str">
        <f>IF(Match!P279="","",Match!P279)</f>
        <v/>
      </c>
      <c r="AG278" t="str">
        <f t="shared" si="92"/>
        <v xml:space="preserve">",Visistors= </v>
      </c>
      <c r="AH278" s="95">
        <f>IF(Match!Q279="",0,Match!Q279)</f>
        <v>0</v>
      </c>
      <c r="AI278" t="str">
        <f t="shared" si="93"/>
        <v>,Status= "</v>
      </c>
      <c r="AJ278" s="95">
        <f>Match!R279</f>
        <v>0</v>
      </c>
      <c r="AK278" t="str">
        <f t="shared" si="94"/>
        <v>" },</v>
      </c>
    </row>
    <row r="279" spans="1:37" x14ac:dyDescent="0.25">
      <c r="A279" s="94" t="str">
        <f t="shared" si="76"/>
        <v>new Match { MatchId= "</v>
      </c>
      <c r="B279">
        <f>Match!A280</f>
        <v>0</v>
      </c>
      <c r="C279" s="94" t="str">
        <f t="shared" si="77"/>
        <v>",MatchNumber=</v>
      </c>
      <c r="D279">
        <f>Match!B280</f>
        <v>0</v>
      </c>
      <c r="E279" s="94" t="str">
        <f t="shared" si="78"/>
        <v>,DateMatch=DateTime.Parse("</v>
      </c>
      <c r="F279" s="85">
        <f>Match!C280</f>
        <v>0</v>
      </c>
      <c r="G279" s="92" t="str">
        <f t="shared" si="79"/>
        <v>"),TimeMatch=TimeSpan.Parse("</v>
      </c>
      <c r="H279" s="93">
        <f>Match!D280</f>
        <v>0</v>
      </c>
      <c r="I279" s="94" t="str">
        <f t="shared" si="80"/>
        <v>"),MatchYear=</v>
      </c>
      <c r="J279">
        <f>Match!E280</f>
        <v>0</v>
      </c>
      <c r="K279" s="94" t="str">
        <f t="shared" si="81"/>
        <v>, SeasonId= "</v>
      </c>
      <c r="L279">
        <f>Match!F280</f>
        <v>0</v>
      </c>
      <c r="M279" s="94" t="str">
        <f t="shared" si="82"/>
        <v>",Round= "</v>
      </c>
      <c r="N279">
        <f>Match!G280</f>
        <v>0</v>
      </c>
      <c r="O279" t="str">
        <f t="shared" si="83"/>
        <v>",Stage= "</v>
      </c>
      <c r="P279">
        <f>Match!H280</f>
        <v>0</v>
      </c>
      <c r="Q279" t="str">
        <f t="shared" si="84"/>
        <v>",SubStage= "</v>
      </c>
      <c r="R279">
        <f>Match!I280</f>
        <v>0</v>
      </c>
      <c r="S279" t="str">
        <f t="shared" si="85"/>
        <v>",HTeam= "</v>
      </c>
      <c r="T279">
        <f>Match!J280</f>
        <v>0</v>
      </c>
      <c r="U279" t="str">
        <f t="shared" si="86"/>
        <v>",HGoal=</v>
      </c>
      <c r="V279">
        <f>Match!K280</f>
        <v>0</v>
      </c>
      <c r="W279" t="str">
        <f t="shared" si="87"/>
        <v>,GGoal=</v>
      </c>
      <c r="X279">
        <f>Match!L280</f>
        <v>0</v>
      </c>
      <c r="Y279" t="str">
        <f t="shared" si="88"/>
        <v>,GTeam= "</v>
      </c>
      <c r="Z279">
        <f>Match!M280</f>
        <v>0</v>
      </c>
      <c r="AA279" t="str">
        <f t="shared" si="89"/>
        <v>",WinNote="</v>
      </c>
      <c r="AB279" t="str">
        <f>IF(Match!N280="","",Match!N280)</f>
        <v/>
      </c>
      <c r="AC279" t="str">
        <f t="shared" si="90"/>
        <v xml:space="preserve">",Stadium=" </v>
      </c>
      <c r="AD279" s="95">
        <f>Match!O280</f>
        <v>0</v>
      </c>
      <c r="AE279" t="str">
        <f t="shared" si="91"/>
        <v>",Referee= "</v>
      </c>
      <c r="AF279" s="95" t="str">
        <f>IF(Match!P280="","",Match!P280)</f>
        <v/>
      </c>
      <c r="AG279" t="str">
        <f t="shared" si="92"/>
        <v xml:space="preserve">",Visistors= </v>
      </c>
      <c r="AH279" s="95">
        <f>IF(Match!Q280="",0,Match!Q280)</f>
        <v>0</v>
      </c>
      <c r="AI279" t="str">
        <f t="shared" si="93"/>
        <v>,Status= "</v>
      </c>
      <c r="AJ279" s="95">
        <f>Match!R280</f>
        <v>0</v>
      </c>
      <c r="AK279" t="str">
        <f t="shared" si="94"/>
        <v>" },</v>
      </c>
    </row>
    <row r="280" spans="1:37" x14ac:dyDescent="0.25">
      <c r="A280" s="94" t="str">
        <f t="shared" si="76"/>
        <v>new Match { MatchId= "</v>
      </c>
      <c r="B280">
        <f>Match!A281</f>
        <v>0</v>
      </c>
      <c r="C280" s="94" t="str">
        <f t="shared" si="77"/>
        <v>",MatchNumber=</v>
      </c>
      <c r="D280">
        <f>Match!B281</f>
        <v>0</v>
      </c>
      <c r="E280" s="94" t="str">
        <f t="shared" si="78"/>
        <v>,DateMatch=DateTime.Parse("</v>
      </c>
      <c r="F280" s="85">
        <f>Match!C281</f>
        <v>0</v>
      </c>
      <c r="G280" s="92" t="str">
        <f t="shared" si="79"/>
        <v>"),TimeMatch=TimeSpan.Parse("</v>
      </c>
      <c r="H280" s="93">
        <f>Match!D281</f>
        <v>0</v>
      </c>
      <c r="I280" s="94" t="str">
        <f t="shared" si="80"/>
        <v>"),MatchYear=</v>
      </c>
      <c r="J280">
        <f>Match!E281</f>
        <v>0</v>
      </c>
      <c r="K280" s="94" t="str">
        <f t="shared" si="81"/>
        <v>, SeasonId= "</v>
      </c>
      <c r="L280">
        <f>Match!F281</f>
        <v>0</v>
      </c>
      <c r="M280" s="94" t="str">
        <f t="shared" si="82"/>
        <v>",Round= "</v>
      </c>
      <c r="N280">
        <f>Match!G281</f>
        <v>0</v>
      </c>
      <c r="O280" t="str">
        <f t="shared" si="83"/>
        <v>",Stage= "</v>
      </c>
      <c r="P280">
        <f>Match!H281</f>
        <v>0</v>
      </c>
      <c r="Q280" t="str">
        <f t="shared" si="84"/>
        <v>",SubStage= "</v>
      </c>
      <c r="R280">
        <f>Match!I281</f>
        <v>0</v>
      </c>
      <c r="S280" t="str">
        <f t="shared" si="85"/>
        <v>",HTeam= "</v>
      </c>
      <c r="T280">
        <f>Match!J281</f>
        <v>0</v>
      </c>
      <c r="U280" t="str">
        <f t="shared" si="86"/>
        <v>",HGoal=</v>
      </c>
      <c r="V280">
        <f>Match!K281</f>
        <v>0</v>
      </c>
      <c r="W280" t="str">
        <f t="shared" si="87"/>
        <v>,GGoal=</v>
      </c>
      <c r="X280">
        <f>Match!L281</f>
        <v>0</v>
      </c>
      <c r="Y280" t="str">
        <f t="shared" si="88"/>
        <v>,GTeam= "</v>
      </c>
      <c r="Z280">
        <f>Match!M281</f>
        <v>0</v>
      </c>
      <c r="AA280" t="str">
        <f t="shared" si="89"/>
        <v>",WinNote="</v>
      </c>
      <c r="AB280" t="str">
        <f>IF(Match!N281="","",Match!N281)</f>
        <v/>
      </c>
      <c r="AC280" t="str">
        <f t="shared" si="90"/>
        <v xml:space="preserve">",Stadium=" </v>
      </c>
      <c r="AD280" s="95">
        <f>Match!O281</f>
        <v>0</v>
      </c>
      <c r="AE280" t="str">
        <f t="shared" si="91"/>
        <v>",Referee= "</v>
      </c>
      <c r="AF280" s="95" t="str">
        <f>IF(Match!P281="","",Match!P281)</f>
        <v/>
      </c>
      <c r="AG280" t="str">
        <f t="shared" si="92"/>
        <v xml:space="preserve">",Visistors= </v>
      </c>
      <c r="AH280" s="95">
        <f>IF(Match!Q281="",0,Match!Q281)</f>
        <v>0</v>
      </c>
      <c r="AI280" t="str">
        <f t="shared" si="93"/>
        <v>,Status= "</v>
      </c>
      <c r="AJ280" s="95">
        <f>Match!R281</f>
        <v>0</v>
      </c>
      <c r="AK280" t="str">
        <f t="shared" si="94"/>
        <v>" },</v>
      </c>
    </row>
    <row r="281" spans="1:37" x14ac:dyDescent="0.25">
      <c r="A281" s="94" t="str">
        <f t="shared" si="76"/>
        <v>new Match { MatchId= "</v>
      </c>
      <c r="B281">
        <f>Match!A282</f>
        <v>0</v>
      </c>
      <c r="C281" s="94" t="str">
        <f t="shared" si="77"/>
        <v>",MatchNumber=</v>
      </c>
      <c r="D281">
        <f>Match!B282</f>
        <v>0</v>
      </c>
      <c r="E281" s="94" t="str">
        <f t="shared" si="78"/>
        <v>,DateMatch=DateTime.Parse("</v>
      </c>
      <c r="F281" s="85">
        <f>Match!C282</f>
        <v>0</v>
      </c>
      <c r="G281" s="92" t="str">
        <f t="shared" si="79"/>
        <v>"),TimeMatch=TimeSpan.Parse("</v>
      </c>
      <c r="H281" s="93">
        <f>Match!D282</f>
        <v>0</v>
      </c>
      <c r="I281" s="94" t="str">
        <f t="shared" si="80"/>
        <v>"),MatchYear=</v>
      </c>
      <c r="J281">
        <f>Match!E282</f>
        <v>0</v>
      </c>
      <c r="K281" s="94" t="str">
        <f t="shared" si="81"/>
        <v>, SeasonId= "</v>
      </c>
      <c r="L281">
        <f>Match!F282</f>
        <v>0</v>
      </c>
      <c r="M281" s="94" t="str">
        <f t="shared" si="82"/>
        <v>",Round= "</v>
      </c>
      <c r="N281">
        <f>Match!G282</f>
        <v>0</v>
      </c>
      <c r="O281" t="str">
        <f t="shared" si="83"/>
        <v>",Stage= "</v>
      </c>
      <c r="P281">
        <f>Match!H282</f>
        <v>0</v>
      </c>
      <c r="Q281" t="str">
        <f t="shared" si="84"/>
        <v>",SubStage= "</v>
      </c>
      <c r="R281">
        <f>Match!I282</f>
        <v>0</v>
      </c>
      <c r="S281" t="str">
        <f t="shared" si="85"/>
        <v>",HTeam= "</v>
      </c>
      <c r="T281">
        <f>Match!J282</f>
        <v>0</v>
      </c>
      <c r="U281" t="str">
        <f t="shared" si="86"/>
        <v>",HGoal=</v>
      </c>
      <c r="V281">
        <f>Match!K282</f>
        <v>0</v>
      </c>
      <c r="W281" t="str">
        <f t="shared" si="87"/>
        <v>,GGoal=</v>
      </c>
      <c r="X281">
        <f>Match!L282</f>
        <v>0</v>
      </c>
      <c r="Y281" t="str">
        <f t="shared" si="88"/>
        <v>,GTeam= "</v>
      </c>
      <c r="Z281">
        <f>Match!M282</f>
        <v>0</v>
      </c>
      <c r="AA281" t="str">
        <f t="shared" si="89"/>
        <v>",WinNote="</v>
      </c>
      <c r="AB281" t="str">
        <f>IF(Match!N282="","",Match!N282)</f>
        <v/>
      </c>
      <c r="AC281" t="str">
        <f t="shared" si="90"/>
        <v xml:space="preserve">",Stadium=" </v>
      </c>
      <c r="AD281" s="95">
        <f>Match!O282</f>
        <v>0</v>
      </c>
      <c r="AE281" t="str">
        <f t="shared" si="91"/>
        <v>",Referee= "</v>
      </c>
      <c r="AF281" s="95" t="str">
        <f>IF(Match!P282="","",Match!P282)</f>
        <v/>
      </c>
      <c r="AG281" t="str">
        <f t="shared" si="92"/>
        <v xml:space="preserve">",Visistors= </v>
      </c>
      <c r="AH281" s="95">
        <f>IF(Match!Q282="",0,Match!Q282)</f>
        <v>0</v>
      </c>
      <c r="AI281" t="str">
        <f t="shared" si="93"/>
        <v>,Status= "</v>
      </c>
      <c r="AJ281" s="95">
        <f>Match!R282</f>
        <v>0</v>
      </c>
      <c r="AK281" t="str">
        <f t="shared" si="94"/>
        <v>" },</v>
      </c>
    </row>
    <row r="282" spans="1:37" x14ac:dyDescent="0.25">
      <c r="A282" s="94" t="str">
        <f t="shared" si="76"/>
        <v>new Match { MatchId= "</v>
      </c>
      <c r="B282">
        <f>Match!A283</f>
        <v>0</v>
      </c>
      <c r="C282" s="94" t="str">
        <f t="shared" si="77"/>
        <v>",MatchNumber=</v>
      </c>
      <c r="D282">
        <f>Match!B283</f>
        <v>0</v>
      </c>
      <c r="E282" s="94" t="str">
        <f t="shared" si="78"/>
        <v>,DateMatch=DateTime.Parse("</v>
      </c>
      <c r="F282" s="85">
        <f>Match!C283</f>
        <v>0</v>
      </c>
      <c r="G282" s="92" t="str">
        <f t="shared" si="79"/>
        <v>"),TimeMatch=TimeSpan.Parse("</v>
      </c>
      <c r="H282" s="93">
        <f>Match!D283</f>
        <v>0</v>
      </c>
      <c r="I282" s="94" t="str">
        <f t="shared" si="80"/>
        <v>"),MatchYear=</v>
      </c>
      <c r="J282">
        <f>Match!E283</f>
        <v>0</v>
      </c>
      <c r="K282" s="94" t="str">
        <f t="shared" si="81"/>
        <v>, SeasonId= "</v>
      </c>
      <c r="L282">
        <f>Match!F283</f>
        <v>0</v>
      </c>
      <c r="M282" s="94" t="str">
        <f t="shared" si="82"/>
        <v>",Round= "</v>
      </c>
      <c r="N282">
        <f>Match!G283</f>
        <v>0</v>
      </c>
      <c r="O282" t="str">
        <f t="shared" si="83"/>
        <v>",Stage= "</v>
      </c>
      <c r="P282">
        <f>Match!H283</f>
        <v>0</v>
      </c>
      <c r="Q282" t="str">
        <f t="shared" si="84"/>
        <v>",SubStage= "</v>
      </c>
      <c r="R282">
        <f>Match!I283</f>
        <v>0</v>
      </c>
      <c r="S282" t="str">
        <f t="shared" si="85"/>
        <v>",HTeam= "</v>
      </c>
      <c r="T282">
        <f>Match!J283</f>
        <v>0</v>
      </c>
      <c r="U282" t="str">
        <f t="shared" si="86"/>
        <v>",HGoal=</v>
      </c>
      <c r="V282">
        <f>Match!K283</f>
        <v>0</v>
      </c>
      <c r="W282" t="str">
        <f t="shared" si="87"/>
        <v>,GGoal=</v>
      </c>
      <c r="X282">
        <f>Match!L283</f>
        <v>0</v>
      </c>
      <c r="Y282" t="str">
        <f t="shared" si="88"/>
        <v>,GTeam= "</v>
      </c>
      <c r="Z282">
        <f>Match!M283</f>
        <v>0</v>
      </c>
      <c r="AA282" t="str">
        <f t="shared" si="89"/>
        <v>",WinNote="</v>
      </c>
      <c r="AB282" t="str">
        <f>IF(Match!N283="","",Match!N283)</f>
        <v/>
      </c>
      <c r="AC282" t="str">
        <f t="shared" si="90"/>
        <v xml:space="preserve">",Stadium=" </v>
      </c>
      <c r="AD282" s="95">
        <f>Match!O283</f>
        <v>0</v>
      </c>
      <c r="AE282" t="str">
        <f t="shared" si="91"/>
        <v>",Referee= "</v>
      </c>
      <c r="AF282" s="95" t="str">
        <f>IF(Match!P283="","",Match!P283)</f>
        <v/>
      </c>
      <c r="AG282" t="str">
        <f t="shared" si="92"/>
        <v xml:space="preserve">",Visistors= </v>
      </c>
      <c r="AH282" s="95">
        <f>IF(Match!Q283="",0,Match!Q283)</f>
        <v>0</v>
      </c>
      <c r="AI282" t="str">
        <f t="shared" si="93"/>
        <v>,Status= "</v>
      </c>
      <c r="AJ282" s="95">
        <f>Match!R283</f>
        <v>0</v>
      </c>
      <c r="AK282" t="str">
        <f t="shared" si="94"/>
        <v>" },</v>
      </c>
    </row>
    <row r="283" spans="1:37" x14ac:dyDescent="0.25">
      <c r="A283" s="94" t="str">
        <f t="shared" si="76"/>
        <v>new Match { MatchId= "</v>
      </c>
      <c r="B283">
        <f>Match!A284</f>
        <v>0</v>
      </c>
      <c r="C283" s="94" t="str">
        <f t="shared" si="77"/>
        <v>",MatchNumber=</v>
      </c>
      <c r="D283">
        <f>Match!B284</f>
        <v>0</v>
      </c>
      <c r="E283" s="94" t="str">
        <f t="shared" si="78"/>
        <v>,DateMatch=DateTime.Parse("</v>
      </c>
      <c r="F283" s="85">
        <f>Match!C284</f>
        <v>0</v>
      </c>
      <c r="G283" s="92" t="str">
        <f t="shared" si="79"/>
        <v>"),TimeMatch=TimeSpan.Parse("</v>
      </c>
      <c r="H283" s="93">
        <f>Match!D284</f>
        <v>0</v>
      </c>
      <c r="I283" s="94" t="str">
        <f t="shared" si="80"/>
        <v>"),MatchYear=</v>
      </c>
      <c r="J283">
        <f>Match!E284</f>
        <v>0</v>
      </c>
      <c r="K283" s="94" t="str">
        <f t="shared" si="81"/>
        <v>, SeasonId= "</v>
      </c>
      <c r="L283">
        <f>Match!F284</f>
        <v>0</v>
      </c>
      <c r="M283" s="94" t="str">
        <f t="shared" si="82"/>
        <v>",Round= "</v>
      </c>
      <c r="N283">
        <f>Match!G284</f>
        <v>0</v>
      </c>
      <c r="O283" t="str">
        <f t="shared" si="83"/>
        <v>",Stage= "</v>
      </c>
      <c r="P283">
        <f>Match!H284</f>
        <v>0</v>
      </c>
      <c r="Q283" t="str">
        <f t="shared" si="84"/>
        <v>",SubStage= "</v>
      </c>
      <c r="R283">
        <f>Match!I284</f>
        <v>0</v>
      </c>
      <c r="S283" t="str">
        <f t="shared" si="85"/>
        <v>",HTeam= "</v>
      </c>
      <c r="T283">
        <f>Match!J284</f>
        <v>0</v>
      </c>
      <c r="U283" t="str">
        <f t="shared" si="86"/>
        <v>",HGoal=</v>
      </c>
      <c r="V283">
        <f>Match!K284</f>
        <v>0</v>
      </c>
      <c r="W283" t="str">
        <f t="shared" si="87"/>
        <v>,GGoal=</v>
      </c>
      <c r="X283">
        <f>Match!L284</f>
        <v>0</v>
      </c>
      <c r="Y283" t="str">
        <f t="shared" si="88"/>
        <v>,GTeam= "</v>
      </c>
      <c r="Z283">
        <f>Match!M284</f>
        <v>0</v>
      </c>
      <c r="AA283" t="str">
        <f t="shared" si="89"/>
        <v>",WinNote="</v>
      </c>
      <c r="AB283" t="str">
        <f>IF(Match!N284="","",Match!N284)</f>
        <v/>
      </c>
      <c r="AC283" t="str">
        <f t="shared" si="90"/>
        <v xml:space="preserve">",Stadium=" </v>
      </c>
      <c r="AD283" s="95">
        <f>Match!O284</f>
        <v>0</v>
      </c>
      <c r="AE283" t="str">
        <f t="shared" si="91"/>
        <v>",Referee= "</v>
      </c>
      <c r="AF283" s="95" t="str">
        <f>IF(Match!P284="","",Match!P284)</f>
        <v/>
      </c>
      <c r="AG283" t="str">
        <f t="shared" si="92"/>
        <v xml:space="preserve">",Visistors= </v>
      </c>
      <c r="AH283" s="95">
        <f>IF(Match!Q284="",0,Match!Q284)</f>
        <v>0</v>
      </c>
      <c r="AI283" t="str">
        <f t="shared" si="93"/>
        <v>,Status= "</v>
      </c>
      <c r="AJ283" s="95">
        <f>Match!R284</f>
        <v>0</v>
      </c>
      <c r="AK283" t="str">
        <f t="shared" si="94"/>
        <v>" },</v>
      </c>
    </row>
    <row r="284" spans="1:37" x14ac:dyDescent="0.25">
      <c r="A284" s="94" t="str">
        <f t="shared" si="76"/>
        <v>new Match { MatchId= "</v>
      </c>
      <c r="B284">
        <f>Match!A285</f>
        <v>0</v>
      </c>
      <c r="C284" s="94" t="str">
        <f t="shared" si="77"/>
        <v>",MatchNumber=</v>
      </c>
      <c r="D284">
        <f>Match!B285</f>
        <v>0</v>
      </c>
      <c r="E284" s="94" t="str">
        <f t="shared" si="78"/>
        <v>,DateMatch=DateTime.Parse("</v>
      </c>
      <c r="F284" s="85">
        <f>Match!C285</f>
        <v>0</v>
      </c>
      <c r="G284" s="92" t="str">
        <f t="shared" si="79"/>
        <v>"),TimeMatch=TimeSpan.Parse("</v>
      </c>
      <c r="H284" s="93">
        <f>Match!D285</f>
        <v>0</v>
      </c>
      <c r="I284" s="94" t="str">
        <f t="shared" si="80"/>
        <v>"),MatchYear=</v>
      </c>
      <c r="J284">
        <f>Match!E285</f>
        <v>0</v>
      </c>
      <c r="K284" s="94" t="str">
        <f t="shared" si="81"/>
        <v>, SeasonId= "</v>
      </c>
      <c r="L284">
        <f>Match!F285</f>
        <v>0</v>
      </c>
      <c r="M284" s="94" t="str">
        <f t="shared" si="82"/>
        <v>",Round= "</v>
      </c>
      <c r="N284">
        <f>Match!G285</f>
        <v>0</v>
      </c>
      <c r="O284" t="str">
        <f t="shared" si="83"/>
        <v>",Stage= "</v>
      </c>
      <c r="P284">
        <f>Match!H285</f>
        <v>0</v>
      </c>
      <c r="Q284" t="str">
        <f t="shared" si="84"/>
        <v>",SubStage= "</v>
      </c>
      <c r="R284">
        <f>Match!I285</f>
        <v>0</v>
      </c>
      <c r="S284" t="str">
        <f t="shared" si="85"/>
        <v>",HTeam= "</v>
      </c>
      <c r="T284">
        <f>Match!J285</f>
        <v>0</v>
      </c>
      <c r="U284" t="str">
        <f t="shared" si="86"/>
        <v>",HGoal=</v>
      </c>
      <c r="V284">
        <f>Match!K285</f>
        <v>0</v>
      </c>
      <c r="W284" t="str">
        <f t="shared" si="87"/>
        <v>,GGoal=</v>
      </c>
      <c r="X284">
        <f>Match!L285</f>
        <v>0</v>
      </c>
      <c r="Y284" t="str">
        <f t="shared" si="88"/>
        <v>,GTeam= "</v>
      </c>
      <c r="Z284">
        <f>Match!M285</f>
        <v>0</v>
      </c>
      <c r="AA284" t="str">
        <f t="shared" si="89"/>
        <v>",WinNote="</v>
      </c>
      <c r="AB284" t="str">
        <f>IF(Match!N285="","",Match!N285)</f>
        <v/>
      </c>
      <c r="AC284" t="str">
        <f t="shared" si="90"/>
        <v xml:space="preserve">",Stadium=" </v>
      </c>
      <c r="AD284" s="95">
        <f>Match!O285</f>
        <v>0</v>
      </c>
      <c r="AE284" t="str">
        <f t="shared" si="91"/>
        <v>",Referee= "</v>
      </c>
      <c r="AF284" s="95" t="str">
        <f>IF(Match!P285="","",Match!P285)</f>
        <v/>
      </c>
      <c r="AG284" t="str">
        <f t="shared" si="92"/>
        <v xml:space="preserve">",Visistors= </v>
      </c>
      <c r="AH284" s="95">
        <f>IF(Match!Q285="",0,Match!Q285)</f>
        <v>0</v>
      </c>
      <c r="AI284" t="str">
        <f t="shared" si="93"/>
        <v>,Status= "</v>
      </c>
      <c r="AJ284" s="95">
        <f>Match!R285</f>
        <v>0</v>
      </c>
      <c r="AK284" t="str">
        <f t="shared" si="94"/>
        <v>" },</v>
      </c>
    </row>
    <row r="285" spans="1:37" x14ac:dyDescent="0.25">
      <c r="A285" s="94" t="str">
        <f t="shared" si="76"/>
        <v>new Match { MatchId= "</v>
      </c>
      <c r="B285">
        <f>Match!A286</f>
        <v>0</v>
      </c>
      <c r="C285" s="94" t="str">
        <f t="shared" si="77"/>
        <v>",MatchNumber=</v>
      </c>
      <c r="D285">
        <f>Match!B286</f>
        <v>0</v>
      </c>
      <c r="E285" s="94" t="str">
        <f t="shared" si="78"/>
        <v>,DateMatch=DateTime.Parse("</v>
      </c>
      <c r="F285" s="85">
        <f>Match!C286</f>
        <v>0</v>
      </c>
      <c r="G285" s="92" t="str">
        <f t="shared" si="79"/>
        <v>"),TimeMatch=TimeSpan.Parse("</v>
      </c>
      <c r="H285" s="93">
        <f>Match!D286</f>
        <v>0</v>
      </c>
      <c r="I285" s="94" t="str">
        <f t="shared" si="80"/>
        <v>"),MatchYear=</v>
      </c>
      <c r="J285">
        <f>Match!E286</f>
        <v>0</v>
      </c>
      <c r="K285" s="94" t="str">
        <f t="shared" si="81"/>
        <v>, SeasonId= "</v>
      </c>
      <c r="L285">
        <f>Match!F286</f>
        <v>0</v>
      </c>
      <c r="M285" s="94" t="str">
        <f t="shared" si="82"/>
        <v>",Round= "</v>
      </c>
      <c r="N285">
        <f>Match!G286</f>
        <v>0</v>
      </c>
      <c r="O285" t="str">
        <f t="shared" si="83"/>
        <v>",Stage= "</v>
      </c>
      <c r="P285">
        <f>Match!H286</f>
        <v>0</v>
      </c>
      <c r="Q285" t="str">
        <f t="shared" si="84"/>
        <v>",SubStage= "</v>
      </c>
      <c r="R285">
        <f>Match!I286</f>
        <v>0</v>
      </c>
      <c r="S285" t="str">
        <f t="shared" si="85"/>
        <v>",HTeam= "</v>
      </c>
      <c r="T285">
        <f>Match!J286</f>
        <v>0</v>
      </c>
      <c r="U285" t="str">
        <f t="shared" si="86"/>
        <v>",HGoal=</v>
      </c>
      <c r="V285">
        <f>Match!K286</f>
        <v>0</v>
      </c>
      <c r="W285" t="str">
        <f t="shared" si="87"/>
        <v>,GGoal=</v>
      </c>
      <c r="X285">
        <f>Match!L286</f>
        <v>0</v>
      </c>
      <c r="Y285" t="str">
        <f t="shared" si="88"/>
        <v>,GTeam= "</v>
      </c>
      <c r="Z285">
        <f>Match!M286</f>
        <v>0</v>
      </c>
      <c r="AA285" t="str">
        <f t="shared" si="89"/>
        <v>",WinNote="</v>
      </c>
      <c r="AB285" t="str">
        <f>IF(Match!N286="","",Match!N286)</f>
        <v/>
      </c>
      <c r="AC285" t="str">
        <f t="shared" si="90"/>
        <v xml:space="preserve">",Stadium=" </v>
      </c>
      <c r="AD285" s="95">
        <f>Match!O286</f>
        <v>0</v>
      </c>
      <c r="AE285" t="str">
        <f t="shared" si="91"/>
        <v>",Referee= "</v>
      </c>
      <c r="AF285" s="95" t="str">
        <f>IF(Match!P286="","",Match!P286)</f>
        <v/>
      </c>
      <c r="AG285" t="str">
        <f t="shared" si="92"/>
        <v xml:space="preserve">",Visistors= </v>
      </c>
      <c r="AH285" s="95">
        <f>IF(Match!Q286="",0,Match!Q286)</f>
        <v>0</v>
      </c>
      <c r="AI285" t="str">
        <f t="shared" si="93"/>
        <v>,Status= "</v>
      </c>
      <c r="AJ285" s="95">
        <f>Match!R286</f>
        <v>0</v>
      </c>
      <c r="AK285" t="str">
        <f t="shared" si="94"/>
        <v>" },</v>
      </c>
    </row>
    <row r="286" spans="1:37" x14ac:dyDescent="0.25">
      <c r="A286" s="94" t="str">
        <f t="shared" si="76"/>
        <v>new Match { MatchId= "</v>
      </c>
      <c r="B286">
        <f>Match!A287</f>
        <v>0</v>
      </c>
      <c r="C286" s="94" t="str">
        <f t="shared" si="77"/>
        <v>",MatchNumber=</v>
      </c>
      <c r="D286">
        <f>Match!B287</f>
        <v>0</v>
      </c>
      <c r="E286" s="94" t="str">
        <f t="shared" si="78"/>
        <v>,DateMatch=DateTime.Parse("</v>
      </c>
      <c r="F286" s="85">
        <f>Match!C287</f>
        <v>0</v>
      </c>
      <c r="G286" s="92" t="str">
        <f t="shared" si="79"/>
        <v>"),TimeMatch=TimeSpan.Parse("</v>
      </c>
      <c r="H286" s="93">
        <f>Match!D287</f>
        <v>0</v>
      </c>
      <c r="I286" s="94" t="str">
        <f t="shared" si="80"/>
        <v>"),MatchYear=</v>
      </c>
      <c r="J286">
        <f>Match!E287</f>
        <v>0</v>
      </c>
      <c r="K286" s="94" t="str">
        <f t="shared" si="81"/>
        <v>, SeasonId= "</v>
      </c>
      <c r="L286">
        <f>Match!F287</f>
        <v>0</v>
      </c>
      <c r="M286" s="94" t="str">
        <f t="shared" si="82"/>
        <v>",Round= "</v>
      </c>
      <c r="N286">
        <f>Match!G287</f>
        <v>0</v>
      </c>
      <c r="O286" t="str">
        <f t="shared" si="83"/>
        <v>",Stage= "</v>
      </c>
      <c r="P286">
        <f>Match!H287</f>
        <v>0</v>
      </c>
      <c r="Q286" t="str">
        <f t="shared" si="84"/>
        <v>",SubStage= "</v>
      </c>
      <c r="R286">
        <f>Match!I287</f>
        <v>0</v>
      </c>
      <c r="S286" t="str">
        <f t="shared" si="85"/>
        <v>",HTeam= "</v>
      </c>
      <c r="T286">
        <f>Match!J287</f>
        <v>0</v>
      </c>
      <c r="U286" t="str">
        <f t="shared" si="86"/>
        <v>",HGoal=</v>
      </c>
      <c r="V286">
        <f>Match!K287</f>
        <v>0</v>
      </c>
      <c r="W286" t="str">
        <f t="shared" si="87"/>
        <v>,GGoal=</v>
      </c>
      <c r="X286">
        <f>Match!L287</f>
        <v>0</v>
      </c>
      <c r="Y286" t="str">
        <f t="shared" si="88"/>
        <v>,GTeam= "</v>
      </c>
      <c r="Z286">
        <f>Match!M287</f>
        <v>0</v>
      </c>
      <c r="AA286" t="str">
        <f t="shared" si="89"/>
        <v>",WinNote="</v>
      </c>
      <c r="AB286" t="str">
        <f>IF(Match!N287="","",Match!N287)</f>
        <v/>
      </c>
      <c r="AC286" t="str">
        <f t="shared" si="90"/>
        <v xml:space="preserve">",Stadium=" </v>
      </c>
      <c r="AD286" s="95">
        <f>Match!O287</f>
        <v>0</v>
      </c>
      <c r="AE286" t="str">
        <f t="shared" si="91"/>
        <v>",Referee= "</v>
      </c>
      <c r="AF286" s="95" t="str">
        <f>IF(Match!P287="","",Match!P287)</f>
        <v/>
      </c>
      <c r="AG286" t="str">
        <f t="shared" si="92"/>
        <v xml:space="preserve">",Visistors= </v>
      </c>
      <c r="AH286" s="95">
        <f>IF(Match!Q287="",0,Match!Q287)</f>
        <v>0</v>
      </c>
      <c r="AI286" t="str">
        <f t="shared" si="93"/>
        <v>,Status= "</v>
      </c>
      <c r="AJ286" s="95">
        <f>Match!R287</f>
        <v>0</v>
      </c>
      <c r="AK286" t="str">
        <f t="shared" si="94"/>
        <v>" },</v>
      </c>
    </row>
    <row r="287" spans="1:37" x14ac:dyDescent="0.25">
      <c r="A287" s="94" t="str">
        <f t="shared" si="76"/>
        <v>new Match { MatchId= "</v>
      </c>
      <c r="B287">
        <f>Match!A288</f>
        <v>0</v>
      </c>
      <c r="C287" s="94" t="str">
        <f t="shared" si="77"/>
        <v>",MatchNumber=</v>
      </c>
      <c r="D287">
        <f>Match!B288</f>
        <v>0</v>
      </c>
      <c r="E287" s="94" t="str">
        <f t="shared" si="78"/>
        <v>,DateMatch=DateTime.Parse("</v>
      </c>
      <c r="F287" s="85">
        <f>Match!C288</f>
        <v>0</v>
      </c>
      <c r="G287" s="92" t="str">
        <f t="shared" si="79"/>
        <v>"),TimeMatch=TimeSpan.Parse("</v>
      </c>
      <c r="H287" s="93">
        <f>Match!D288</f>
        <v>0</v>
      </c>
      <c r="I287" s="94" t="str">
        <f t="shared" si="80"/>
        <v>"),MatchYear=</v>
      </c>
      <c r="J287">
        <f>Match!E288</f>
        <v>0</v>
      </c>
      <c r="K287" s="94" t="str">
        <f t="shared" si="81"/>
        <v>, SeasonId= "</v>
      </c>
      <c r="L287">
        <f>Match!F288</f>
        <v>0</v>
      </c>
      <c r="M287" s="94" t="str">
        <f t="shared" si="82"/>
        <v>",Round= "</v>
      </c>
      <c r="N287">
        <f>Match!G288</f>
        <v>0</v>
      </c>
      <c r="O287" t="str">
        <f t="shared" si="83"/>
        <v>",Stage= "</v>
      </c>
      <c r="P287">
        <f>Match!H288</f>
        <v>0</v>
      </c>
      <c r="Q287" t="str">
        <f t="shared" si="84"/>
        <v>",SubStage= "</v>
      </c>
      <c r="R287">
        <f>Match!I288</f>
        <v>0</v>
      </c>
      <c r="S287" t="str">
        <f t="shared" si="85"/>
        <v>",HTeam= "</v>
      </c>
      <c r="T287">
        <f>Match!J288</f>
        <v>0</v>
      </c>
      <c r="U287" t="str">
        <f t="shared" si="86"/>
        <v>",HGoal=</v>
      </c>
      <c r="V287">
        <f>Match!K288</f>
        <v>0</v>
      </c>
      <c r="W287" t="str">
        <f t="shared" si="87"/>
        <v>,GGoal=</v>
      </c>
      <c r="X287">
        <f>Match!L288</f>
        <v>0</v>
      </c>
      <c r="Y287" t="str">
        <f t="shared" si="88"/>
        <v>,GTeam= "</v>
      </c>
      <c r="Z287">
        <f>Match!M288</f>
        <v>0</v>
      </c>
      <c r="AA287" t="str">
        <f t="shared" si="89"/>
        <v>",WinNote="</v>
      </c>
      <c r="AB287" t="str">
        <f>IF(Match!N288="","",Match!N288)</f>
        <v/>
      </c>
      <c r="AC287" t="str">
        <f t="shared" si="90"/>
        <v xml:space="preserve">",Stadium=" </v>
      </c>
      <c r="AD287" s="95">
        <f>Match!O288</f>
        <v>0</v>
      </c>
      <c r="AE287" t="str">
        <f t="shared" si="91"/>
        <v>",Referee= "</v>
      </c>
      <c r="AF287" s="95" t="str">
        <f>IF(Match!P288="","",Match!P288)</f>
        <v/>
      </c>
      <c r="AG287" t="str">
        <f t="shared" si="92"/>
        <v xml:space="preserve">",Visistors= </v>
      </c>
      <c r="AH287" s="95">
        <f>IF(Match!Q288="",0,Match!Q288)</f>
        <v>0</v>
      </c>
      <c r="AI287" t="str">
        <f t="shared" si="93"/>
        <v>,Status= "</v>
      </c>
      <c r="AJ287" s="95">
        <f>Match!R288</f>
        <v>0</v>
      </c>
      <c r="AK287" t="str">
        <f t="shared" si="94"/>
        <v>" },</v>
      </c>
    </row>
    <row r="288" spans="1:37" x14ac:dyDescent="0.25">
      <c r="A288" s="94" t="str">
        <f t="shared" si="76"/>
        <v>new Match { MatchId= "</v>
      </c>
      <c r="B288">
        <f>Match!A289</f>
        <v>0</v>
      </c>
      <c r="C288" s="94" t="str">
        <f t="shared" si="77"/>
        <v>",MatchNumber=</v>
      </c>
      <c r="D288">
        <f>Match!B289</f>
        <v>0</v>
      </c>
      <c r="E288" s="94" t="str">
        <f t="shared" si="78"/>
        <v>,DateMatch=DateTime.Parse("</v>
      </c>
      <c r="F288" s="85">
        <f>Match!C289</f>
        <v>0</v>
      </c>
      <c r="G288" s="92" t="str">
        <f t="shared" si="79"/>
        <v>"),TimeMatch=TimeSpan.Parse("</v>
      </c>
      <c r="H288" s="93">
        <f>Match!D289</f>
        <v>0</v>
      </c>
      <c r="I288" s="94" t="str">
        <f t="shared" si="80"/>
        <v>"),MatchYear=</v>
      </c>
      <c r="J288">
        <f>Match!E289</f>
        <v>0</v>
      </c>
      <c r="K288" s="94" t="str">
        <f t="shared" si="81"/>
        <v>, SeasonId= "</v>
      </c>
      <c r="L288">
        <f>Match!F289</f>
        <v>0</v>
      </c>
      <c r="M288" s="94" t="str">
        <f t="shared" si="82"/>
        <v>",Round= "</v>
      </c>
      <c r="N288">
        <f>Match!G289</f>
        <v>0</v>
      </c>
      <c r="O288" t="str">
        <f t="shared" si="83"/>
        <v>",Stage= "</v>
      </c>
      <c r="P288">
        <f>Match!H289</f>
        <v>0</v>
      </c>
      <c r="Q288" t="str">
        <f t="shared" si="84"/>
        <v>",SubStage= "</v>
      </c>
      <c r="R288">
        <f>Match!I289</f>
        <v>0</v>
      </c>
      <c r="S288" t="str">
        <f t="shared" si="85"/>
        <v>",HTeam= "</v>
      </c>
      <c r="T288">
        <f>Match!J289</f>
        <v>0</v>
      </c>
      <c r="U288" t="str">
        <f t="shared" si="86"/>
        <v>",HGoal=</v>
      </c>
      <c r="V288">
        <f>Match!K289</f>
        <v>0</v>
      </c>
      <c r="W288" t="str">
        <f t="shared" si="87"/>
        <v>,GGoal=</v>
      </c>
      <c r="X288">
        <f>Match!L289</f>
        <v>0</v>
      </c>
      <c r="Y288" t="str">
        <f t="shared" si="88"/>
        <v>,GTeam= "</v>
      </c>
      <c r="Z288">
        <f>Match!M289</f>
        <v>0</v>
      </c>
      <c r="AA288" t="str">
        <f t="shared" si="89"/>
        <v>",WinNote="</v>
      </c>
      <c r="AB288" t="str">
        <f>IF(Match!N289="","",Match!N289)</f>
        <v/>
      </c>
      <c r="AC288" t="str">
        <f t="shared" si="90"/>
        <v xml:space="preserve">",Stadium=" </v>
      </c>
      <c r="AD288" s="95">
        <f>Match!O289</f>
        <v>0</v>
      </c>
      <c r="AE288" t="str">
        <f t="shared" si="91"/>
        <v>",Referee= "</v>
      </c>
      <c r="AF288" s="95" t="str">
        <f>IF(Match!P289="","",Match!P289)</f>
        <v/>
      </c>
      <c r="AG288" t="str">
        <f t="shared" si="92"/>
        <v xml:space="preserve">",Visistors= </v>
      </c>
      <c r="AH288" s="95">
        <f>IF(Match!Q289="",0,Match!Q289)</f>
        <v>0</v>
      </c>
      <c r="AI288" t="str">
        <f t="shared" si="93"/>
        <v>,Status= "</v>
      </c>
      <c r="AJ288" s="95">
        <f>Match!R289</f>
        <v>0</v>
      </c>
      <c r="AK288" t="str">
        <f t="shared" si="94"/>
        <v>" },</v>
      </c>
    </row>
    <row r="289" spans="1:37" x14ac:dyDescent="0.25">
      <c r="A289" s="94" t="str">
        <f t="shared" si="76"/>
        <v>new Match { MatchId= "</v>
      </c>
      <c r="B289">
        <f>Match!A290</f>
        <v>0</v>
      </c>
      <c r="C289" s="94" t="str">
        <f t="shared" si="77"/>
        <v>",MatchNumber=</v>
      </c>
      <c r="D289">
        <f>Match!B290</f>
        <v>0</v>
      </c>
      <c r="E289" s="94" t="str">
        <f t="shared" si="78"/>
        <v>,DateMatch=DateTime.Parse("</v>
      </c>
      <c r="F289" s="85">
        <f>Match!C290</f>
        <v>0</v>
      </c>
      <c r="G289" s="92" t="str">
        <f t="shared" si="79"/>
        <v>"),TimeMatch=TimeSpan.Parse("</v>
      </c>
      <c r="H289" s="93">
        <f>Match!D290</f>
        <v>0</v>
      </c>
      <c r="I289" s="94" t="str">
        <f t="shared" si="80"/>
        <v>"),MatchYear=</v>
      </c>
      <c r="J289">
        <f>Match!E290</f>
        <v>0</v>
      </c>
      <c r="K289" s="94" t="str">
        <f t="shared" si="81"/>
        <v>, SeasonId= "</v>
      </c>
      <c r="L289">
        <f>Match!F290</f>
        <v>0</v>
      </c>
      <c r="M289" s="94" t="str">
        <f t="shared" si="82"/>
        <v>",Round= "</v>
      </c>
      <c r="N289">
        <f>Match!G290</f>
        <v>0</v>
      </c>
      <c r="O289" t="str">
        <f t="shared" si="83"/>
        <v>",Stage= "</v>
      </c>
      <c r="P289">
        <f>Match!H290</f>
        <v>0</v>
      </c>
      <c r="Q289" t="str">
        <f t="shared" si="84"/>
        <v>",SubStage= "</v>
      </c>
      <c r="R289">
        <f>Match!I290</f>
        <v>0</v>
      </c>
      <c r="S289" t="str">
        <f t="shared" si="85"/>
        <v>",HTeam= "</v>
      </c>
      <c r="T289">
        <f>Match!J290</f>
        <v>0</v>
      </c>
      <c r="U289" t="str">
        <f t="shared" si="86"/>
        <v>",HGoal=</v>
      </c>
      <c r="V289">
        <f>Match!K290</f>
        <v>0</v>
      </c>
      <c r="W289" t="str">
        <f t="shared" si="87"/>
        <v>,GGoal=</v>
      </c>
      <c r="X289">
        <f>Match!L290</f>
        <v>0</v>
      </c>
      <c r="Y289" t="str">
        <f t="shared" si="88"/>
        <v>,GTeam= "</v>
      </c>
      <c r="Z289">
        <f>Match!M290</f>
        <v>0</v>
      </c>
      <c r="AA289" t="str">
        <f t="shared" si="89"/>
        <v>",WinNote="</v>
      </c>
      <c r="AB289" t="str">
        <f>IF(Match!N290="","",Match!N290)</f>
        <v/>
      </c>
      <c r="AC289" t="str">
        <f t="shared" si="90"/>
        <v xml:space="preserve">",Stadium=" </v>
      </c>
      <c r="AD289" s="95">
        <f>Match!O290</f>
        <v>0</v>
      </c>
      <c r="AE289" t="str">
        <f t="shared" si="91"/>
        <v>",Referee= "</v>
      </c>
      <c r="AF289" s="95" t="str">
        <f>IF(Match!P290="","",Match!P290)</f>
        <v/>
      </c>
      <c r="AG289" t="str">
        <f t="shared" si="92"/>
        <v xml:space="preserve">",Visistors= </v>
      </c>
      <c r="AH289" s="95">
        <f>IF(Match!Q290="",0,Match!Q290)</f>
        <v>0</v>
      </c>
      <c r="AI289" t="str">
        <f t="shared" si="93"/>
        <v>,Status= "</v>
      </c>
      <c r="AJ289" s="95">
        <f>Match!R290</f>
        <v>0</v>
      </c>
      <c r="AK289" t="str">
        <f t="shared" si="94"/>
        <v>" },</v>
      </c>
    </row>
    <row r="290" spans="1:37" x14ac:dyDescent="0.25">
      <c r="A290" s="94" t="str">
        <f t="shared" si="76"/>
        <v>new Match { MatchId= "</v>
      </c>
      <c r="B290">
        <f>Match!A291</f>
        <v>0</v>
      </c>
      <c r="C290" s="94" t="str">
        <f t="shared" si="77"/>
        <v>",MatchNumber=</v>
      </c>
      <c r="D290">
        <f>Match!B291</f>
        <v>0</v>
      </c>
      <c r="E290" s="94" t="str">
        <f t="shared" si="78"/>
        <v>,DateMatch=DateTime.Parse("</v>
      </c>
      <c r="F290" s="85">
        <f>Match!C291</f>
        <v>0</v>
      </c>
      <c r="G290" s="92" t="str">
        <f t="shared" si="79"/>
        <v>"),TimeMatch=TimeSpan.Parse("</v>
      </c>
      <c r="H290" s="93">
        <f>Match!D291</f>
        <v>0</v>
      </c>
      <c r="I290" s="94" t="str">
        <f t="shared" si="80"/>
        <v>"),MatchYear=</v>
      </c>
      <c r="J290">
        <f>Match!E291</f>
        <v>0</v>
      </c>
      <c r="K290" s="94" t="str">
        <f t="shared" si="81"/>
        <v>, SeasonId= "</v>
      </c>
      <c r="L290">
        <f>Match!F291</f>
        <v>0</v>
      </c>
      <c r="M290" s="94" t="str">
        <f t="shared" si="82"/>
        <v>",Round= "</v>
      </c>
      <c r="N290">
        <f>Match!G291</f>
        <v>0</v>
      </c>
      <c r="O290" t="str">
        <f t="shared" si="83"/>
        <v>",Stage= "</v>
      </c>
      <c r="P290">
        <f>Match!H291</f>
        <v>0</v>
      </c>
      <c r="Q290" t="str">
        <f t="shared" si="84"/>
        <v>",SubStage= "</v>
      </c>
      <c r="R290">
        <f>Match!I291</f>
        <v>0</v>
      </c>
      <c r="S290" t="str">
        <f t="shared" si="85"/>
        <v>",HTeam= "</v>
      </c>
      <c r="T290">
        <f>Match!J291</f>
        <v>0</v>
      </c>
      <c r="U290" t="str">
        <f t="shared" si="86"/>
        <v>",HGoal=</v>
      </c>
      <c r="V290">
        <f>Match!K291</f>
        <v>0</v>
      </c>
      <c r="W290" t="str">
        <f t="shared" si="87"/>
        <v>,GGoal=</v>
      </c>
      <c r="X290">
        <f>Match!L291</f>
        <v>0</v>
      </c>
      <c r="Y290" t="str">
        <f t="shared" si="88"/>
        <v>,GTeam= "</v>
      </c>
      <c r="Z290">
        <f>Match!M291</f>
        <v>0</v>
      </c>
      <c r="AA290" t="str">
        <f t="shared" si="89"/>
        <v>",WinNote="</v>
      </c>
      <c r="AB290" t="str">
        <f>IF(Match!N291="","",Match!N291)</f>
        <v/>
      </c>
      <c r="AC290" t="str">
        <f t="shared" si="90"/>
        <v xml:space="preserve">",Stadium=" </v>
      </c>
      <c r="AD290" s="95">
        <f>Match!O291</f>
        <v>0</v>
      </c>
      <c r="AE290" t="str">
        <f t="shared" si="91"/>
        <v>",Referee= "</v>
      </c>
      <c r="AF290" s="95" t="str">
        <f>IF(Match!P291="","",Match!P291)</f>
        <v/>
      </c>
      <c r="AG290" t="str">
        <f t="shared" si="92"/>
        <v xml:space="preserve">",Visistors= </v>
      </c>
      <c r="AH290" s="95">
        <f>IF(Match!Q291="",0,Match!Q291)</f>
        <v>0</v>
      </c>
      <c r="AI290" t="str">
        <f t="shared" si="93"/>
        <v>,Status= "</v>
      </c>
      <c r="AJ290" s="95">
        <f>Match!R291</f>
        <v>0</v>
      </c>
      <c r="AK290" t="str">
        <f t="shared" si="94"/>
        <v>" },</v>
      </c>
    </row>
    <row r="291" spans="1:37" x14ac:dyDescent="0.25">
      <c r="A291" s="94" t="str">
        <f t="shared" si="76"/>
        <v>new Match { MatchId= "</v>
      </c>
      <c r="B291">
        <f>Match!A292</f>
        <v>0</v>
      </c>
      <c r="C291" s="94" t="str">
        <f t="shared" si="77"/>
        <v>",MatchNumber=</v>
      </c>
      <c r="D291">
        <f>Match!B292</f>
        <v>0</v>
      </c>
      <c r="E291" s="94" t="str">
        <f t="shared" si="78"/>
        <v>,DateMatch=DateTime.Parse("</v>
      </c>
      <c r="F291" s="85">
        <f>Match!C292</f>
        <v>0</v>
      </c>
      <c r="G291" s="92" t="str">
        <f t="shared" si="79"/>
        <v>"),TimeMatch=TimeSpan.Parse("</v>
      </c>
      <c r="H291" s="93">
        <f>Match!D292</f>
        <v>0</v>
      </c>
      <c r="I291" s="94" t="str">
        <f t="shared" si="80"/>
        <v>"),MatchYear=</v>
      </c>
      <c r="J291">
        <f>Match!E292</f>
        <v>0</v>
      </c>
      <c r="K291" s="94" t="str">
        <f t="shared" si="81"/>
        <v>, SeasonId= "</v>
      </c>
      <c r="L291">
        <f>Match!F292</f>
        <v>0</v>
      </c>
      <c r="M291" s="94" t="str">
        <f t="shared" si="82"/>
        <v>",Round= "</v>
      </c>
      <c r="N291">
        <f>Match!G292</f>
        <v>0</v>
      </c>
      <c r="O291" t="str">
        <f t="shared" si="83"/>
        <v>",Stage= "</v>
      </c>
      <c r="P291">
        <f>Match!H292</f>
        <v>0</v>
      </c>
      <c r="Q291" t="str">
        <f t="shared" si="84"/>
        <v>",SubStage= "</v>
      </c>
      <c r="R291">
        <f>Match!I292</f>
        <v>0</v>
      </c>
      <c r="S291" t="str">
        <f t="shared" si="85"/>
        <v>",HTeam= "</v>
      </c>
      <c r="T291">
        <f>Match!J292</f>
        <v>0</v>
      </c>
      <c r="U291" t="str">
        <f t="shared" si="86"/>
        <v>",HGoal=</v>
      </c>
      <c r="V291">
        <f>Match!K292</f>
        <v>0</v>
      </c>
      <c r="W291" t="str">
        <f t="shared" si="87"/>
        <v>,GGoal=</v>
      </c>
      <c r="X291">
        <f>Match!L292</f>
        <v>0</v>
      </c>
      <c r="Y291" t="str">
        <f t="shared" si="88"/>
        <v>,GTeam= "</v>
      </c>
      <c r="Z291">
        <f>Match!M292</f>
        <v>0</v>
      </c>
      <c r="AA291" t="str">
        <f t="shared" si="89"/>
        <v>",WinNote="</v>
      </c>
      <c r="AB291" t="str">
        <f>IF(Match!N292="","",Match!N292)</f>
        <v/>
      </c>
      <c r="AC291" t="str">
        <f t="shared" si="90"/>
        <v xml:space="preserve">",Stadium=" </v>
      </c>
      <c r="AD291" s="95">
        <f>Match!O292</f>
        <v>0</v>
      </c>
      <c r="AE291" t="str">
        <f t="shared" si="91"/>
        <v>",Referee= "</v>
      </c>
      <c r="AF291" s="95" t="str">
        <f>IF(Match!P292="","",Match!P292)</f>
        <v/>
      </c>
      <c r="AG291" t="str">
        <f t="shared" si="92"/>
        <v xml:space="preserve">",Visistors= </v>
      </c>
      <c r="AH291" s="95">
        <f>IF(Match!Q292="",0,Match!Q292)</f>
        <v>0</v>
      </c>
      <c r="AI291" t="str">
        <f t="shared" si="93"/>
        <v>,Status= "</v>
      </c>
      <c r="AJ291" s="95">
        <f>Match!R292</f>
        <v>0</v>
      </c>
      <c r="AK291" t="str">
        <f t="shared" si="94"/>
        <v>" },</v>
      </c>
    </row>
    <row r="292" spans="1:37" x14ac:dyDescent="0.25">
      <c r="A292" s="94" t="str">
        <f t="shared" si="76"/>
        <v>new Match { MatchId= "</v>
      </c>
      <c r="B292">
        <f>Match!A293</f>
        <v>0</v>
      </c>
      <c r="C292" s="94" t="str">
        <f t="shared" si="77"/>
        <v>",MatchNumber=</v>
      </c>
      <c r="D292">
        <f>Match!B293</f>
        <v>0</v>
      </c>
      <c r="E292" s="94" t="str">
        <f t="shared" si="78"/>
        <v>,DateMatch=DateTime.Parse("</v>
      </c>
      <c r="F292" s="85">
        <f>Match!C293</f>
        <v>0</v>
      </c>
      <c r="G292" s="92" t="str">
        <f t="shared" si="79"/>
        <v>"),TimeMatch=TimeSpan.Parse("</v>
      </c>
      <c r="H292" s="93">
        <f>Match!D293</f>
        <v>0</v>
      </c>
      <c r="I292" s="94" t="str">
        <f t="shared" si="80"/>
        <v>"),MatchYear=</v>
      </c>
      <c r="J292">
        <f>Match!E293</f>
        <v>0</v>
      </c>
      <c r="K292" s="94" t="str">
        <f t="shared" si="81"/>
        <v>, SeasonId= "</v>
      </c>
      <c r="L292">
        <f>Match!F293</f>
        <v>0</v>
      </c>
      <c r="M292" s="94" t="str">
        <f t="shared" si="82"/>
        <v>",Round= "</v>
      </c>
      <c r="N292">
        <f>Match!G293</f>
        <v>0</v>
      </c>
      <c r="O292" t="str">
        <f t="shared" si="83"/>
        <v>",Stage= "</v>
      </c>
      <c r="P292">
        <f>Match!H293</f>
        <v>0</v>
      </c>
      <c r="Q292" t="str">
        <f t="shared" si="84"/>
        <v>",SubStage= "</v>
      </c>
      <c r="R292">
        <f>Match!I293</f>
        <v>0</v>
      </c>
      <c r="S292" t="str">
        <f t="shared" si="85"/>
        <v>",HTeam= "</v>
      </c>
      <c r="T292">
        <f>Match!J293</f>
        <v>0</v>
      </c>
      <c r="U292" t="str">
        <f t="shared" si="86"/>
        <v>",HGoal=</v>
      </c>
      <c r="V292">
        <f>Match!K293</f>
        <v>0</v>
      </c>
      <c r="W292" t="str">
        <f t="shared" si="87"/>
        <v>,GGoal=</v>
      </c>
      <c r="X292">
        <f>Match!L293</f>
        <v>0</v>
      </c>
      <c r="Y292" t="str">
        <f t="shared" si="88"/>
        <v>,GTeam= "</v>
      </c>
      <c r="Z292">
        <f>Match!M293</f>
        <v>0</v>
      </c>
      <c r="AA292" t="str">
        <f t="shared" si="89"/>
        <v>",WinNote="</v>
      </c>
      <c r="AB292" t="str">
        <f>IF(Match!N293="","",Match!N293)</f>
        <v/>
      </c>
      <c r="AC292" t="str">
        <f t="shared" si="90"/>
        <v xml:space="preserve">",Stadium=" </v>
      </c>
      <c r="AD292" s="95">
        <f>Match!O293</f>
        <v>0</v>
      </c>
      <c r="AE292" t="str">
        <f t="shared" si="91"/>
        <v>",Referee= "</v>
      </c>
      <c r="AF292" s="95" t="str">
        <f>IF(Match!P293="","",Match!P293)</f>
        <v/>
      </c>
      <c r="AG292" t="str">
        <f t="shared" si="92"/>
        <v xml:space="preserve">",Visistors= </v>
      </c>
      <c r="AH292" s="95">
        <f>IF(Match!Q293="",0,Match!Q293)</f>
        <v>0</v>
      </c>
      <c r="AI292" t="str">
        <f t="shared" si="93"/>
        <v>,Status= "</v>
      </c>
      <c r="AJ292" s="95">
        <f>Match!R293</f>
        <v>0</v>
      </c>
      <c r="AK292" t="str">
        <f t="shared" si="94"/>
        <v>" },</v>
      </c>
    </row>
    <row r="293" spans="1:37" x14ac:dyDescent="0.25">
      <c r="A293" s="94" t="str">
        <f t="shared" si="76"/>
        <v>new Match { MatchId= "</v>
      </c>
      <c r="B293">
        <f>Match!A294</f>
        <v>0</v>
      </c>
      <c r="C293" s="94" t="str">
        <f t="shared" si="77"/>
        <v>",MatchNumber=</v>
      </c>
      <c r="D293">
        <f>Match!B294</f>
        <v>0</v>
      </c>
      <c r="E293" s="94" t="str">
        <f t="shared" si="78"/>
        <v>,DateMatch=DateTime.Parse("</v>
      </c>
      <c r="F293" s="85">
        <f>Match!C294</f>
        <v>0</v>
      </c>
      <c r="G293" s="92" t="str">
        <f t="shared" si="79"/>
        <v>"),TimeMatch=TimeSpan.Parse("</v>
      </c>
      <c r="H293" s="93">
        <f>Match!D294</f>
        <v>0</v>
      </c>
      <c r="I293" s="94" t="str">
        <f t="shared" si="80"/>
        <v>"),MatchYear=</v>
      </c>
      <c r="J293">
        <f>Match!E294</f>
        <v>0</v>
      </c>
      <c r="K293" s="94" t="str">
        <f t="shared" si="81"/>
        <v>, SeasonId= "</v>
      </c>
      <c r="L293">
        <f>Match!F294</f>
        <v>0</v>
      </c>
      <c r="M293" s="94" t="str">
        <f t="shared" si="82"/>
        <v>",Round= "</v>
      </c>
      <c r="N293">
        <f>Match!G294</f>
        <v>0</v>
      </c>
      <c r="O293" t="str">
        <f t="shared" si="83"/>
        <v>",Stage= "</v>
      </c>
      <c r="P293">
        <f>Match!H294</f>
        <v>0</v>
      </c>
      <c r="Q293" t="str">
        <f t="shared" si="84"/>
        <v>",SubStage= "</v>
      </c>
      <c r="R293">
        <f>Match!I294</f>
        <v>0</v>
      </c>
      <c r="S293" t="str">
        <f t="shared" si="85"/>
        <v>",HTeam= "</v>
      </c>
      <c r="T293">
        <f>Match!J294</f>
        <v>0</v>
      </c>
      <c r="U293" t="str">
        <f t="shared" si="86"/>
        <v>",HGoal=</v>
      </c>
      <c r="V293">
        <f>Match!K294</f>
        <v>0</v>
      </c>
      <c r="W293" t="str">
        <f t="shared" si="87"/>
        <v>,GGoal=</v>
      </c>
      <c r="X293">
        <f>Match!L294</f>
        <v>0</v>
      </c>
      <c r="Y293" t="str">
        <f t="shared" si="88"/>
        <v>,GTeam= "</v>
      </c>
      <c r="Z293">
        <f>Match!M294</f>
        <v>0</v>
      </c>
      <c r="AA293" t="str">
        <f t="shared" si="89"/>
        <v>",WinNote="</v>
      </c>
      <c r="AB293" t="str">
        <f>IF(Match!N294="","",Match!N294)</f>
        <v/>
      </c>
      <c r="AC293" t="str">
        <f t="shared" si="90"/>
        <v xml:space="preserve">",Stadium=" </v>
      </c>
      <c r="AD293" s="95">
        <f>Match!O294</f>
        <v>0</v>
      </c>
      <c r="AE293" t="str">
        <f t="shared" si="91"/>
        <v>",Referee= "</v>
      </c>
      <c r="AF293" s="95" t="str">
        <f>IF(Match!P294="","",Match!P294)</f>
        <v/>
      </c>
      <c r="AG293" t="str">
        <f t="shared" si="92"/>
        <v xml:space="preserve">",Visistors= </v>
      </c>
      <c r="AH293" s="95">
        <f>IF(Match!Q294="",0,Match!Q294)</f>
        <v>0</v>
      </c>
      <c r="AI293" t="str">
        <f t="shared" si="93"/>
        <v>,Status= "</v>
      </c>
      <c r="AJ293" s="95">
        <f>Match!R294</f>
        <v>0</v>
      </c>
      <c r="AK293" t="str">
        <f t="shared" si="94"/>
        <v>" },</v>
      </c>
    </row>
    <row r="294" spans="1:37" x14ac:dyDescent="0.25">
      <c r="A294" s="94" t="str">
        <f t="shared" si="76"/>
        <v>new Match { MatchId= "</v>
      </c>
      <c r="B294">
        <f>Match!A295</f>
        <v>0</v>
      </c>
      <c r="C294" s="94" t="str">
        <f t="shared" si="77"/>
        <v>",MatchNumber=</v>
      </c>
      <c r="D294">
        <f>Match!B295</f>
        <v>0</v>
      </c>
      <c r="E294" s="94" t="str">
        <f t="shared" si="78"/>
        <v>,DateMatch=DateTime.Parse("</v>
      </c>
      <c r="F294" s="85">
        <f>Match!C295</f>
        <v>0</v>
      </c>
      <c r="G294" s="92" t="str">
        <f t="shared" si="79"/>
        <v>"),TimeMatch=TimeSpan.Parse("</v>
      </c>
      <c r="H294" s="93">
        <f>Match!D295</f>
        <v>0</v>
      </c>
      <c r="I294" s="94" t="str">
        <f t="shared" si="80"/>
        <v>"),MatchYear=</v>
      </c>
      <c r="J294">
        <f>Match!E295</f>
        <v>0</v>
      </c>
      <c r="K294" s="94" t="str">
        <f t="shared" si="81"/>
        <v>, SeasonId= "</v>
      </c>
      <c r="L294">
        <f>Match!F295</f>
        <v>0</v>
      </c>
      <c r="M294" s="94" t="str">
        <f t="shared" si="82"/>
        <v>",Round= "</v>
      </c>
      <c r="N294">
        <f>Match!G295</f>
        <v>0</v>
      </c>
      <c r="O294" t="str">
        <f t="shared" si="83"/>
        <v>",Stage= "</v>
      </c>
      <c r="P294">
        <f>Match!H295</f>
        <v>0</v>
      </c>
      <c r="Q294" t="str">
        <f t="shared" si="84"/>
        <v>",SubStage= "</v>
      </c>
      <c r="R294">
        <f>Match!I295</f>
        <v>0</v>
      </c>
      <c r="S294" t="str">
        <f t="shared" si="85"/>
        <v>",HTeam= "</v>
      </c>
      <c r="T294">
        <f>Match!J295</f>
        <v>0</v>
      </c>
      <c r="U294" t="str">
        <f t="shared" si="86"/>
        <v>",HGoal=</v>
      </c>
      <c r="V294">
        <f>Match!K295</f>
        <v>0</v>
      </c>
      <c r="W294" t="str">
        <f t="shared" si="87"/>
        <v>,GGoal=</v>
      </c>
      <c r="X294">
        <f>Match!L295</f>
        <v>0</v>
      </c>
      <c r="Y294" t="str">
        <f t="shared" si="88"/>
        <v>,GTeam= "</v>
      </c>
      <c r="Z294">
        <f>Match!M295</f>
        <v>0</v>
      </c>
      <c r="AA294" t="str">
        <f t="shared" si="89"/>
        <v>",WinNote="</v>
      </c>
      <c r="AB294" t="str">
        <f>IF(Match!N295="","",Match!N295)</f>
        <v/>
      </c>
      <c r="AC294" t="str">
        <f t="shared" si="90"/>
        <v xml:space="preserve">",Stadium=" </v>
      </c>
      <c r="AD294" s="95">
        <f>Match!O295</f>
        <v>0</v>
      </c>
      <c r="AE294" t="str">
        <f t="shared" si="91"/>
        <v>",Referee= "</v>
      </c>
      <c r="AF294" s="95" t="str">
        <f>IF(Match!P295="","",Match!P295)</f>
        <v/>
      </c>
      <c r="AG294" t="str">
        <f t="shared" si="92"/>
        <v xml:space="preserve">",Visistors= </v>
      </c>
      <c r="AH294" s="95">
        <f>IF(Match!Q295="",0,Match!Q295)</f>
        <v>0</v>
      </c>
      <c r="AI294" t="str">
        <f t="shared" si="93"/>
        <v>,Status= "</v>
      </c>
      <c r="AJ294" s="95">
        <f>Match!R295</f>
        <v>0</v>
      </c>
      <c r="AK294" t="str">
        <f t="shared" si="94"/>
        <v>" },</v>
      </c>
    </row>
    <row r="295" spans="1:37" x14ac:dyDescent="0.25">
      <c r="A295" s="94" t="str">
        <f t="shared" si="76"/>
        <v>new Match { MatchId= "</v>
      </c>
      <c r="B295">
        <f>Match!A296</f>
        <v>0</v>
      </c>
      <c r="C295" s="94" t="str">
        <f t="shared" si="77"/>
        <v>",MatchNumber=</v>
      </c>
      <c r="D295">
        <f>Match!B296</f>
        <v>0</v>
      </c>
      <c r="E295" s="94" t="str">
        <f t="shared" si="78"/>
        <v>,DateMatch=DateTime.Parse("</v>
      </c>
      <c r="F295" s="85">
        <f>Match!C296</f>
        <v>0</v>
      </c>
      <c r="G295" s="92" t="str">
        <f t="shared" si="79"/>
        <v>"),TimeMatch=TimeSpan.Parse("</v>
      </c>
      <c r="H295" s="93">
        <f>Match!D296</f>
        <v>0</v>
      </c>
      <c r="I295" s="94" t="str">
        <f t="shared" si="80"/>
        <v>"),MatchYear=</v>
      </c>
      <c r="J295">
        <f>Match!E296</f>
        <v>0</v>
      </c>
      <c r="K295" s="94" t="str">
        <f t="shared" si="81"/>
        <v>, SeasonId= "</v>
      </c>
      <c r="L295">
        <f>Match!F296</f>
        <v>0</v>
      </c>
      <c r="M295" s="94" t="str">
        <f t="shared" si="82"/>
        <v>",Round= "</v>
      </c>
      <c r="N295">
        <f>Match!G296</f>
        <v>0</v>
      </c>
      <c r="O295" t="str">
        <f t="shared" si="83"/>
        <v>",Stage= "</v>
      </c>
      <c r="P295">
        <f>Match!H296</f>
        <v>0</v>
      </c>
      <c r="Q295" t="str">
        <f t="shared" si="84"/>
        <v>",SubStage= "</v>
      </c>
      <c r="R295">
        <f>Match!I296</f>
        <v>0</v>
      </c>
      <c r="S295" t="str">
        <f t="shared" si="85"/>
        <v>",HTeam= "</v>
      </c>
      <c r="T295">
        <f>Match!J296</f>
        <v>0</v>
      </c>
      <c r="U295" t="str">
        <f t="shared" si="86"/>
        <v>",HGoal=</v>
      </c>
      <c r="V295">
        <f>Match!K296</f>
        <v>0</v>
      </c>
      <c r="W295" t="str">
        <f t="shared" si="87"/>
        <v>,GGoal=</v>
      </c>
      <c r="X295">
        <f>Match!L296</f>
        <v>0</v>
      </c>
      <c r="Y295" t="str">
        <f t="shared" si="88"/>
        <v>,GTeam= "</v>
      </c>
      <c r="Z295">
        <f>Match!M296</f>
        <v>0</v>
      </c>
      <c r="AA295" t="str">
        <f t="shared" si="89"/>
        <v>",WinNote="</v>
      </c>
      <c r="AB295" t="str">
        <f>IF(Match!N296="","",Match!N296)</f>
        <v/>
      </c>
      <c r="AC295" t="str">
        <f t="shared" si="90"/>
        <v xml:space="preserve">",Stadium=" </v>
      </c>
      <c r="AD295" s="95">
        <f>Match!O296</f>
        <v>0</v>
      </c>
      <c r="AE295" t="str">
        <f t="shared" si="91"/>
        <v>",Referee= "</v>
      </c>
      <c r="AF295" s="95" t="str">
        <f>IF(Match!P296="","",Match!P296)</f>
        <v/>
      </c>
      <c r="AG295" t="str">
        <f t="shared" si="92"/>
        <v xml:space="preserve">",Visistors= </v>
      </c>
      <c r="AH295" s="95">
        <f>IF(Match!Q296="",0,Match!Q296)</f>
        <v>0</v>
      </c>
      <c r="AI295" t="str">
        <f t="shared" si="93"/>
        <v>,Status= "</v>
      </c>
      <c r="AJ295" s="95">
        <f>Match!R296</f>
        <v>0</v>
      </c>
      <c r="AK295" t="str">
        <f t="shared" si="94"/>
        <v>" },</v>
      </c>
    </row>
    <row r="296" spans="1:37" x14ac:dyDescent="0.25">
      <c r="A296" s="94" t="str">
        <f t="shared" si="76"/>
        <v>new Match { MatchId= "</v>
      </c>
      <c r="B296">
        <f>Match!A297</f>
        <v>0</v>
      </c>
      <c r="C296" s="94" t="str">
        <f t="shared" si="77"/>
        <v>",MatchNumber=</v>
      </c>
      <c r="D296">
        <f>Match!B297</f>
        <v>0</v>
      </c>
      <c r="E296" s="94" t="str">
        <f t="shared" si="78"/>
        <v>,DateMatch=DateTime.Parse("</v>
      </c>
      <c r="F296" s="85">
        <f>Match!C297</f>
        <v>0</v>
      </c>
      <c r="G296" s="92" t="str">
        <f t="shared" si="79"/>
        <v>"),TimeMatch=TimeSpan.Parse("</v>
      </c>
      <c r="H296" s="93">
        <f>Match!D297</f>
        <v>0</v>
      </c>
      <c r="I296" s="94" t="str">
        <f t="shared" si="80"/>
        <v>"),MatchYear=</v>
      </c>
      <c r="J296">
        <f>Match!E297</f>
        <v>0</v>
      </c>
      <c r="K296" s="94" t="str">
        <f t="shared" si="81"/>
        <v>, SeasonId= "</v>
      </c>
      <c r="L296">
        <f>Match!F297</f>
        <v>0</v>
      </c>
      <c r="M296" s="94" t="str">
        <f t="shared" si="82"/>
        <v>",Round= "</v>
      </c>
      <c r="N296">
        <f>Match!G297</f>
        <v>0</v>
      </c>
      <c r="O296" t="str">
        <f t="shared" si="83"/>
        <v>",Stage= "</v>
      </c>
      <c r="P296">
        <f>Match!H297</f>
        <v>0</v>
      </c>
      <c r="Q296" t="str">
        <f t="shared" si="84"/>
        <v>",SubStage= "</v>
      </c>
      <c r="R296">
        <f>Match!I297</f>
        <v>0</v>
      </c>
      <c r="S296" t="str">
        <f t="shared" si="85"/>
        <v>",HTeam= "</v>
      </c>
      <c r="T296">
        <f>Match!J297</f>
        <v>0</v>
      </c>
      <c r="U296" t="str">
        <f t="shared" si="86"/>
        <v>",HGoal=</v>
      </c>
      <c r="V296">
        <f>Match!K297</f>
        <v>0</v>
      </c>
      <c r="W296" t="str">
        <f t="shared" si="87"/>
        <v>,GGoal=</v>
      </c>
      <c r="X296">
        <f>Match!L297</f>
        <v>0</v>
      </c>
      <c r="Y296" t="str">
        <f t="shared" si="88"/>
        <v>,GTeam= "</v>
      </c>
      <c r="Z296">
        <f>Match!M297</f>
        <v>0</v>
      </c>
      <c r="AA296" t="str">
        <f t="shared" si="89"/>
        <v>",WinNote="</v>
      </c>
      <c r="AB296" t="str">
        <f>IF(Match!N297="","",Match!N297)</f>
        <v/>
      </c>
      <c r="AC296" t="str">
        <f t="shared" si="90"/>
        <v xml:space="preserve">",Stadium=" </v>
      </c>
      <c r="AD296" s="95">
        <f>Match!O297</f>
        <v>0</v>
      </c>
      <c r="AE296" t="str">
        <f t="shared" si="91"/>
        <v>",Referee= "</v>
      </c>
      <c r="AF296" s="95" t="str">
        <f>IF(Match!P297="","",Match!P297)</f>
        <v/>
      </c>
      <c r="AG296" t="str">
        <f t="shared" si="92"/>
        <v xml:space="preserve">",Visistors= </v>
      </c>
      <c r="AH296" s="95">
        <f>IF(Match!Q297="",0,Match!Q297)</f>
        <v>0</v>
      </c>
      <c r="AI296" t="str">
        <f t="shared" si="93"/>
        <v>,Status= "</v>
      </c>
      <c r="AJ296" s="95">
        <f>Match!R297</f>
        <v>0</v>
      </c>
      <c r="AK296" t="str">
        <f t="shared" si="94"/>
        <v>" },</v>
      </c>
    </row>
    <row r="297" spans="1:37" x14ac:dyDescent="0.25">
      <c r="A297" s="94" t="str">
        <f t="shared" si="76"/>
        <v>new Match { MatchId= "</v>
      </c>
      <c r="B297">
        <f>Match!A298</f>
        <v>0</v>
      </c>
      <c r="C297" s="94" t="str">
        <f t="shared" si="77"/>
        <v>",MatchNumber=</v>
      </c>
      <c r="D297">
        <f>Match!B298</f>
        <v>0</v>
      </c>
      <c r="E297" s="94" t="str">
        <f t="shared" si="78"/>
        <v>,DateMatch=DateTime.Parse("</v>
      </c>
      <c r="F297" s="85">
        <f>Match!C298</f>
        <v>0</v>
      </c>
      <c r="G297" s="92" t="str">
        <f t="shared" si="79"/>
        <v>"),TimeMatch=TimeSpan.Parse("</v>
      </c>
      <c r="H297" s="93">
        <f>Match!D298</f>
        <v>0</v>
      </c>
      <c r="I297" s="94" t="str">
        <f t="shared" si="80"/>
        <v>"),MatchYear=</v>
      </c>
      <c r="J297">
        <f>Match!E298</f>
        <v>0</v>
      </c>
      <c r="K297" s="94" t="str">
        <f t="shared" si="81"/>
        <v>, SeasonId= "</v>
      </c>
      <c r="L297">
        <f>Match!F298</f>
        <v>0</v>
      </c>
      <c r="M297" s="94" t="str">
        <f t="shared" si="82"/>
        <v>",Round= "</v>
      </c>
      <c r="N297">
        <f>Match!G298</f>
        <v>0</v>
      </c>
      <c r="O297" t="str">
        <f t="shared" si="83"/>
        <v>",Stage= "</v>
      </c>
      <c r="P297">
        <f>Match!H298</f>
        <v>0</v>
      </c>
      <c r="Q297" t="str">
        <f t="shared" si="84"/>
        <v>",SubStage= "</v>
      </c>
      <c r="R297">
        <f>Match!I298</f>
        <v>0</v>
      </c>
      <c r="S297" t="str">
        <f t="shared" si="85"/>
        <v>",HTeam= "</v>
      </c>
      <c r="T297">
        <f>Match!J298</f>
        <v>0</v>
      </c>
      <c r="U297" t="str">
        <f t="shared" si="86"/>
        <v>",HGoal=</v>
      </c>
      <c r="V297">
        <f>Match!K298</f>
        <v>0</v>
      </c>
      <c r="W297" t="str">
        <f t="shared" si="87"/>
        <v>,GGoal=</v>
      </c>
      <c r="X297">
        <f>Match!L298</f>
        <v>0</v>
      </c>
      <c r="Y297" t="str">
        <f t="shared" si="88"/>
        <v>,GTeam= "</v>
      </c>
      <c r="Z297">
        <f>Match!M298</f>
        <v>0</v>
      </c>
      <c r="AA297" t="str">
        <f t="shared" si="89"/>
        <v>",WinNote="</v>
      </c>
      <c r="AB297" t="str">
        <f>IF(Match!N298="","",Match!N298)</f>
        <v/>
      </c>
      <c r="AC297" t="str">
        <f t="shared" si="90"/>
        <v xml:space="preserve">",Stadium=" </v>
      </c>
      <c r="AD297" s="95">
        <f>Match!O298</f>
        <v>0</v>
      </c>
      <c r="AE297" t="str">
        <f t="shared" si="91"/>
        <v>",Referee= "</v>
      </c>
      <c r="AF297" s="95" t="str">
        <f>IF(Match!P298="","",Match!P298)</f>
        <v/>
      </c>
      <c r="AG297" t="str">
        <f t="shared" si="92"/>
        <v xml:space="preserve">",Visistors= </v>
      </c>
      <c r="AH297" s="95">
        <f>IF(Match!Q298="",0,Match!Q298)</f>
        <v>0</v>
      </c>
      <c r="AI297" t="str">
        <f t="shared" si="93"/>
        <v>,Status= "</v>
      </c>
      <c r="AJ297" s="95">
        <f>Match!R298</f>
        <v>0</v>
      </c>
      <c r="AK297" t="str">
        <f t="shared" si="94"/>
        <v>" },</v>
      </c>
    </row>
    <row r="298" spans="1:37" x14ac:dyDescent="0.25">
      <c r="A298" s="94" t="str">
        <f t="shared" si="76"/>
        <v>new Match { MatchId= "</v>
      </c>
      <c r="B298">
        <f>Match!A299</f>
        <v>0</v>
      </c>
      <c r="C298" s="94" t="str">
        <f t="shared" si="77"/>
        <v>",MatchNumber=</v>
      </c>
      <c r="D298">
        <f>Match!B299</f>
        <v>0</v>
      </c>
      <c r="E298" s="94" t="str">
        <f t="shared" si="78"/>
        <v>,DateMatch=DateTime.Parse("</v>
      </c>
      <c r="F298" s="85">
        <f>Match!C299</f>
        <v>0</v>
      </c>
      <c r="G298" s="92" t="str">
        <f t="shared" si="79"/>
        <v>"),TimeMatch=TimeSpan.Parse("</v>
      </c>
      <c r="H298" s="93">
        <f>Match!D299</f>
        <v>0</v>
      </c>
      <c r="I298" s="94" t="str">
        <f t="shared" si="80"/>
        <v>"),MatchYear=</v>
      </c>
      <c r="J298">
        <f>Match!E299</f>
        <v>0</v>
      </c>
      <c r="K298" s="94" t="str">
        <f t="shared" si="81"/>
        <v>, SeasonId= "</v>
      </c>
      <c r="L298">
        <f>Match!F299</f>
        <v>0</v>
      </c>
      <c r="M298" s="94" t="str">
        <f t="shared" si="82"/>
        <v>",Round= "</v>
      </c>
      <c r="N298">
        <f>Match!G299</f>
        <v>0</v>
      </c>
      <c r="O298" t="str">
        <f t="shared" si="83"/>
        <v>",Stage= "</v>
      </c>
      <c r="P298">
        <f>Match!H299</f>
        <v>0</v>
      </c>
      <c r="Q298" t="str">
        <f t="shared" si="84"/>
        <v>",SubStage= "</v>
      </c>
      <c r="R298">
        <f>Match!I299</f>
        <v>0</v>
      </c>
      <c r="S298" t="str">
        <f t="shared" si="85"/>
        <v>",HTeam= "</v>
      </c>
      <c r="T298">
        <f>Match!J299</f>
        <v>0</v>
      </c>
      <c r="U298" t="str">
        <f t="shared" si="86"/>
        <v>",HGoal=</v>
      </c>
      <c r="V298">
        <f>Match!K299</f>
        <v>0</v>
      </c>
      <c r="W298" t="str">
        <f t="shared" si="87"/>
        <v>,GGoal=</v>
      </c>
      <c r="X298">
        <f>Match!L299</f>
        <v>0</v>
      </c>
      <c r="Y298" t="str">
        <f t="shared" si="88"/>
        <v>,GTeam= "</v>
      </c>
      <c r="Z298">
        <f>Match!M299</f>
        <v>0</v>
      </c>
      <c r="AA298" t="str">
        <f t="shared" si="89"/>
        <v>",WinNote="</v>
      </c>
      <c r="AB298" t="str">
        <f>IF(Match!N299="","",Match!N299)</f>
        <v/>
      </c>
      <c r="AC298" t="str">
        <f t="shared" si="90"/>
        <v xml:space="preserve">",Stadium=" </v>
      </c>
      <c r="AD298" s="95">
        <f>Match!O299</f>
        <v>0</v>
      </c>
      <c r="AE298" t="str">
        <f t="shared" si="91"/>
        <v>",Referee= "</v>
      </c>
      <c r="AF298" s="95" t="str">
        <f>IF(Match!P299="","",Match!P299)</f>
        <v/>
      </c>
      <c r="AG298" t="str">
        <f t="shared" si="92"/>
        <v xml:space="preserve">",Visistors= </v>
      </c>
      <c r="AH298" s="95">
        <f>IF(Match!Q299="",0,Match!Q299)</f>
        <v>0</v>
      </c>
      <c r="AI298" t="str">
        <f t="shared" si="93"/>
        <v>,Status= "</v>
      </c>
      <c r="AJ298" s="95">
        <f>Match!R299</f>
        <v>0</v>
      </c>
      <c r="AK298" t="str">
        <f t="shared" si="94"/>
        <v>" },</v>
      </c>
    </row>
    <row r="299" spans="1:37" x14ac:dyDescent="0.25">
      <c r="A299" s="94" t="str">
        <f t="shared" si="76"/>
        <v>new Match { MatchId= "</v>
      </c>
      <c r="B299">
        <f>Match!A300</f>
        <v>0</v>
      </c>
      <c r="C299" s="94" t="str">
        <f t="shared" si="77"/>
        <v>",MatchNumber=</v>
      </c>
      <c r="D299">
        <f>Match!B300</f>
        <v>0</v>
      </c>
      <c r="E299" s="94" t="str">
        <f t="shared" si="78"/>
        <v>,DateMatch=DateTime.Parse("</v>
      </c>
      <c r="F299" s="85">
        <f>Match!C300</f>
        <v>0</v>
      </c>
      <c r="G299" s="92" t="str">
        <f t="shared" si="79"/>
        <v>"),TimeMatch=TimeSpan.Parse("</v>
      </c>
      <c r="H299" s="93">
        <f>Match!D300</f>
        <v>0</v>
      </c>
      <c r="I299" s="94" t="str">
        <f t="shared" si="80"/>
        <v>"),MatchYear=</v>
      </c>
      <c r="J299">
        <f>Match!E300</f>
        <v>0</v>
      </c>
      <c r="K299" s="94" t="str">
        <f t="shared" si="81"/>
        <v>, SeasonId= "</v>
      </c>
      <c r="L299">
        <f>Match!F300</f>
        <v>0</v>
      </c>
      <c r="M299" s="94" t="str">
        <f t="shared" si="82"/>
        <v>",Round= "</v>
      </c>
      <c r="N299">
        <f>Match!G300</f>
        <v>0</v>
      </c>
      <c r="O299" t="str">
        <f t="shared" si="83"/>
        <v>",Stage= "</v>
      </c>
      <c r="P299">
        <f>Match!H300</f>
        <v>0</v>
      </c>
      <c r="Q299" t="str">
        <f t="shared" si="84"/>
        <v>",SubStage= "</v>
      </c>
      <c r="R299">
        <f>Match!I300</f>
        <v>0</v>
      </c>
      <c r="S299" t="str">
        <f t="shared" si="85"/>
        <v>",HTeam= "</v>
      </c>
      <c r="T299">
        <f>Match!J300</f>
        <v>0</v>
      </c>
      <c r="U299" t="str">
        <f t="shared" si="86"/>
        <v>",HGoal=</v>
      </c>
      <c r="V299">
        <f>Match!K300</f>
        <v>0</v>
      </c>
      <c r="W299" t="str">
        <f t="shared" si="87"/>
        <v>,GGoal=</v>
      </c>
      <c r="X299">
        <f>Match!L300</f>
        <v>0</v>
      </c>
      <c r="Y299" t="str">
        <f t="shared" si="88"/>
        <v>,GTeam= "</v>
      </c>
      <c r="Z299">
        <f>Match!M300</f>
        <v>0</v>
      </c>
      <c r="AA299" t="str">
        <f t="shared" si="89"/>
        <v>",WinNote="</v>
      </c>
      <c r="AB299" t="str">
        <f>IF(Match!N300="","",Match!N300)</f>
        <v/>
      </c>
      <c r="AC299" t="str">
        <f t="shared" si="90"/>
        <v xml:space="preserve">",Stadium=" </v>
      </c>
      <c r="AD299" s="95">
        <f>Match!O300</f>
        <v>0</v>
      </c>
      <c r="AE299" t="str">
        <f t="shared" si="91"/>
        <v>",Referee= "</v>
      </c>
      <c r="AF299" s="95" t="str">
        <f>IF(Match!P300="","",Match!P300)</f>
        <v/>
      </c>
      <c r="AG299" t="str">
        <f t="shared" si="92"/>
        <v xml:space="preserve">",Visistors= </v>
      </c>
      <c r="AH299" s="95">
        <f>IF(Match!Q300="",0,Match!Q300)</f>
        <v>0</v>
      </c>
      <c r="AI299" t="str">
        <f t="shared" si="93"/>
        <v>,Status= "</v>
      </c>
      <c r="AJ299" s="95">
        <f>Match!R300</f>
        <v>0</v>
      </c>
      <c r="AK299" t="str">
        <f t="shared" si="94"/>
        <v>" },</v>
      </c>
    </row>
    <row r="300" spans="1:37" x14ac:dyDescent="0.25">
      <c r="A300" s="94" t="str">
        <f t="shared" si="76"/>
        <v>new Match { MatchId= "</v>
      </c>
      <c r="B300">
        <f>Match!A301</f>
        <v>0</v>
      </c>
      <c r="C300" s="94" t="str">
        <f t="shared" si="77"/>
        <v>",MatchNumber=</v>
      </c>
      <c r="D300">
        <f>Match!B301</f>
        <v>0</v>
      </c>
      <c r="E300" s="94" t="str">
        <f t="shared" si="78"/>
        <v>,DateMatch=DateTime.Parse("</v>
      </c>
      <c r="F300" s="85">
        <f>Match!C301</f>
        <v>0</v>
      </c>
      <c r="G300" s="92" t="str">
        <f t="shared" si="79"/>
        <v>"),TimeMatch=TimeSpan.Parse("</v>
      </c>
      <c r="H300" s="93">
        <f>Match!D301</f>
        <v>0</v>
      </c>
      <c r="I300" s="94" t="str">
        <f t="shared" si="80"/>
        <v>"),MatchYear=</v>
      </c>
      <c r="J300">
        <f>Match!E301</f>
        <v>0</v>
      </c>
      <c r="K300" s="94" t="str">
        <f t="shared" si="81"/>
        <v>, SeasonId= "</v>
      </c>
      <c r="L300">
        <f>Match!F301</f>
        <v>0</v>
      </c>
      <c r="M300" s="94" t="str">
        <f t="shared" si="82"/>
        <v>",Round= "</v>
      </c>
      <c r="N300">
        <f>Match!G301</f>
        <v>0</v>
      </c>
      <c r="O300" t="str">
        <f t="shared" si="83"/>
        <v>",Stage= "</v>
      </c>
      <c r="P300">
        <f>Match!H301</f>
        <v>0</v>
      </c>
      <c r="Q300" t="str">
        <f t="shared" si="84"/>
        <v>",SubStage= "</v>
      </c>
      <c r="R300">
        <f>Match!I301</f>
        <v>0</v>
      </c>
      <c r="S300" t="str">
        <f t="shared" si="85"/>
        <v>",HTeam= "</v>
      </c>
      <c r="T300">
        <f>Match!J301</f>
        <v>0</v>
      </c>
      <c r="U300" t="str">
        <f t="shared" si="86"/>
        <v>",HGoal=</v>
      </c>
      <c r="V300">
        <f>Match!K301</f>
        <v>0</v>
      </c>
      <c r="W300" t="str">
        <f t="shared" si="87"/>
        <v>,GGoal=</v>
      </c>
      <c r="X300">
        <f>Match!L301</f>
        <v>0</v>
      </c>
      <c r="Y300" t="str">
        <f t="shared" si="88"/>
        <v>,GTeam= "</v>
      </c>
      <c r="Z300">
        <f>Match!M301</f>
        <v>0</v>
      </c>
      <c r="AA300" t="str">
        <f t="shared" si="89"/>
        <v>",WinNote="</v>
      </c>
      <c r="AB300" t="str">
        <f>IF(Match!N301="","",Match!N301)</f>
        <v/>
      </c>
      <c r="AC300" t="str">
        <f t="shared" si="90"/>
        <v xml:space="preserve">",Stadium=" </v>
      </c>
      <c r="AD300" s="95">
        <f>Match!O301</f>
        <v>0</v>
      </c>
      <c r="AE300" t="str">
        <f t="shared" si="91"/>
        <v>",Referee= "</v>
      </c>
      <c r="AF300" s="95" t="str">
        <f>IF(Match!P301="","",Match!P301)</f>
        <v/>
      </c>
      <c r="AG300" t="str">
        <f t="shared" si="92"/>
        <v xml:space="preserve">",Visistors= </v>
      </c>
      <c r="AH300" s="95">
        <f>IF(Match!Q301="",0,Match!Q301)</f>
        <v>0</v>
      </c>
      <c r="AI300" t="str">
        <f t="shared" si="93"/>
        <v>,Status= "</v>
      </c>
      <c r="AJ300" s="95">
        <f>Match!R301</f>
        <v>0</v>
      </c>
      <c r="AK300" t="str">
        <f t="shared" si="94"/>
        <v>" },</v>
      </c>
    </row>
    <row r="301" spans="1:37" x14ac:dyDescent="0.25">
      <c r="A301" s="94" t="str">
        <f t="shared" si="76"/>
        <v>new Match { MatchId= "</v>
      </c>
      <c r="B301">
        <f>Match!A302</f>
        <v>0</v>
      </c>
      <c r="C301" s="94" t="str">
        <f t="shared" si="77"/>
        <v>",MatchNumber=</v>
      </c>
      <c r="D301">
        <f>Match!B302</f>
        <v>0</v>
      </c>
      <c r="E301" s="94" t="str">
        <f t="shared" si="78"/>
        <v>,DateMatch=DateTime.Parse("</v>
      </c>
      <c r="F301" s="85">
        <f>Match!C302</f>
        <v>0</v>
      </c>
      <c r="G301" s="92" t="str">
        <f t="shared" si="79"/>
        <v>"),TimeMatch=TimeSpan.Parse("</v>
      </c>
      <c r="H301" s="93">
        <f>Match!D302</f>
        <v>0</v>
      </c>
      <c r="I301" s="94" t="str">
        <f t="shared" si="80"/>
        <v>"),MatchYear=</v>
      </c>
      <c r="J301">
        <f>Match!E302</f>
        <v>0</v>
      </c>
      <c r="K301" s="94" t="str">
        <f t="shared" si="81"/>
        <v>, SeasonId= "</v>
      </c>
      <c r="L301">
        <f>Match!F302</f>
        <v>0</v>
      </c>
      <c r="M301" s="94" t="str">
        <f t="shared" si="82"/>
        <v>",Round= "</v>
      </c>
      <c r="N301">
        <f>Match!G302</f>
        <v>0</v>
      </c>
      <c r="O301" t="str">
        <f t="shared" si="83"/>
        <v>",Stage= "</v>
      </c>
      <c r="P301">
        <f>Match!H302</f>
        <v>0</v>
      </c>
      <c r="Q301" t="str">
        <f t="shared" si="84"/>
        <v>",SubStage= "</v>
      </c>
      <c r="R301">
        <f>Match!I302</f>
        <v>0</v>
      </c>
      <c r="S301" t="str">
        <f t="shared" si="85"/>
        <v>",HTeam= "</v>
      </c>
      <c r="T301">
        <f>Match!J302</f>
        <v>0</v>
      </c>
      <c r="U301" t="str">
        <f t="shared" si="86"/>
        <v>",HGoal=</v>
      </c>
      <c r="V301">
        <f>Match!K302</f>
        <v>0</v>
      </c>
      <c r="W301" t="str">
        <f t="shared" si="87"/>
        <v>,GGoal=</v>
      </c>
      <c r="X301">
        <f>Match!L302</f>
        <v>0</v>
      </c>
      <c r="Y301" t="str">
        <f t="shared" si="88"/>
        <v>,GTeam= "</v>
      </c>
      <c r="Z301">
        <f>Match!M302</f>
        <v>0</v>
      </c>
      <c r="AA301" t="str">
        <f t="shared" si="89"/>
        <v>",WinNote="</v>
      </c>
      <c r="AB301" t="str">
        <f>IF(Match!N302="","",Match!N302)</f>
        <v/>
      </c>
      <c r="AC301" t="str">
        <f t="shared" si="90"/>
        <v xml:space="preserve">",Stadium=" </v>
      </c>
      <c r="AD301" s="95">
        <f>Match!O302</f>
        <v>0</v>
      </c>
      <c r="AE301" t="str">
        <f t="shared" si="91"/>
        <v>",Referee= "</v>
      </c>
      <c r="AF301" s="95" t="str">
        <f>IF(Match!P302="","",Match!P302)</f>
        <v/>
      </c>
      <c r="AG301" t="str">
        <f t="shared" si="92"/>
        <v xml:space="preserve">",Visistors= </v>
      </c>
      <c r="AH301" s="95">
        <f>IF(Match!Q302="",0,Match!Q302)</f>
        <v>0</v>
      </c>
      <c r="AI301" t="str">
        <f t="shared" si="93"/>
        <v>,Status= "</v>
      </c>
      <c r="AJ301" s="95">
        <f>Match!R302</f>
        <v>0</v>
      </c>
      <c r="AK301" t="str">
        <f t="shared" si="94"/>
        <v>" },</v>
      </c>
    </row>
    <row r="302" spans="1:37" x14ac:dyDescent="0.25">
      <c r="A302" s="94" t="str">
        <f t="shared" si="76"/>
        <v>new Match { MatchId= "</v>
      </c>
      <c r="B302">
        <f>Match!A303</f>
        <v>0</v>
      </c>
      <c r="C302" s="94" t="str">
        <f t="shared" si="77"/>
        <v>",MatchNumber=</v>
      </c>
      <c r="D302">
        <f>Match!B303</f>
        <v>0</v>
      </c>
      <c r="E302" s="94" t="str">
        <f t="shared" si="78"/>
        <v>,DateMatch=DateTime.Parse("</v>
      </c>
      <c r="F302" s="85">
        <f>Match!C303</f>
        <v>0</v>
      </c>
      <c r="G302" s="92" t="str">
        <f t="shared" si="79"/>
        <v>"),TimeMatch=TimeSpan.Parse("</v>
      </c>
      <c r="H302" s="93">
        <f>Match!D303</f>
        <v>0</v>
      </c>
      <c r="I302" s="94" t="str">
        <f t="shared" si="80"/>
        <v>"),MatchYear=</v>
      </c>
      <c r="J302">
        <f>Match!E303</f>
        <v>0</v>
      </c>
      <c r="K302" s="94" t="str">
        <f t="shared" si="81"/>
        <v>, SeasonId= "</v>
      </c>
      <c r="L302">
        <f>Match!F303</f>
        <v>0</v>
      </c>
      <c r="M302" s="94" t="str">
        <f t="shared" si="82"/>
        <v>",Round= "</v>
      </c>
      <c r="N302">
        <f>Match!G303</f>
        <v>0</v>
      </c>
      <c r="O302" t="str">
        <f t="shared" si="83"/>
        <v>",Stage= "</v>
      </c>
      <c r="P302">
        <f>Match!H303</f>
        <v>0</v>
      </c>
      <c r="Q302" t="str">
        <f t="shared" si="84"/>
        <v>",SubStage= "</v>
      </c>
      <c r="R302">
        <f>Match!I303</f>
        <v>0</v>
      </c>
      <c r="S302" t="str">
        <f t="shared" si="85"/>
        <v>",HTeam= "</v>
      </c>
      <c r="T302">
        <f>Match!J303</f>
        <v>0</v>
      </c>
      <c r="U302" t="str">
        <f t="shared" si="86"/>
        <v>",HGoal=</v>
      </c>
      <c r="V302">
        <f>Match!K303</f>
        <v>0</v>
      </c>
      <c r="W302" t="str">
        <f t="shared" si="87"/>
        <v>,GGoal=</v>
      </c>
      <c r="X302">
        <f>Match!L303</f>
        <v>0</v>
      </c>
      <c r="Y302" t="str">
        <f t="shared" si="88"/>
        <v>,GTeam= "</v>
      </c>
      <c r="Z302">
        <f>Match!M303</f>
        <v>0</v>
      </c>
      <c r="AA302" t="str">
        <f t="shared" si="89"/>
        <v>",WinNote="</v>
      </c>
      <c r="AB302" t="str">
        <f>IF(Match!N303="","",Match!N303)</f>
        <v/>
      </c>
      <c r="AC302" t="str">
        <f t="shared" si="90"/>
        <v xml:space="preserve">",Stadium=" </v>
      </c>
      <c r="AD302" s="95">
        <f>Match!O303</f>
        <v>0</v>
      </c>
      <c r="AE302" t="str">
        <f t="shared" si="91"/>
        <v>",Referee= "</v>
      </c>
      <c r="AF302" s="95" t="str">
        <f>IF(Match!P303="","",Match!P303)</f>
        <v/>
      </c>
      <c r="AG302" t="str">
        <f t="shared" si="92"/>
        <v xml:space="preserve">",Visistors= </v>
      </c>
      <c r="AH302" s="95">
        <f>IF(Match!Q303="",0,Match!Q303)</f>
        <v>0</v>
      </c>
      <c r="AI302" t="str">
        <f t="shared" si="93"/>
        <v>,Status= "</v>
      </c>
      <c r="AJ302" s="95">
        <f>Match!R303</f>
        <v>0</v>
      </c>
      <c r="AK302" t="str">
        <f t="shared" si="94"/>
        <v>" },</v>
      </c>
    </row>
    <row r="303" spans="1:37" x14ac:dyDescent="0.25">
      <c r="A303" s="94" t="str">
        <f t="shared" si="76"/>
        <v>new Match { MatchId= "</v>
      </c>
      <c r="B303">
        <f>Match!A304</f>
        <v>0</v>
      </c>
      <c r="C303" s="94" t="str">
        <f t="shared" si="77"/>
        <v>",MatchNumber=</v>
      </c>
      <c r="D303">
        <f>Match!B304</f>
        <v>0</v>
      </c>
      <c r="E303" s="94" t="str">
        <f t="shared" si="78"/>
        <v>,DateMatch=DateTime.Parse("</v>
      </c>
      <c r="F303" s="85">
        <f>Match!C304</f>
        <v>0</v>
      </c>
      <c r="G303" s="92" t="str">
        <f t="shared" si="79"/>
        <v>"),TimeMatch=TimeSpan.Parse("</v>
      </c>
      <c r="H303" s="93">
        <f>Match!D304</f>
        <v>0</v>
      </c>
      <c r="I303" s="94" t="str">
        <f t="shared" si="80"/>
        <v>"),MatchYear=</v>
      </c>
      <c r="J303">
        <f>Match!E304</f>
        <v>0</v>
      </c>
      <c r="K303" s="94" t="str">
        <f t="shared" si="81"/>
        <v>, SeasonId= "</v>
      </c>
      <c r="L303">
        <f>Match!F304</f>
        <v>0</v>
      </c>
      <c r="M303" s="94" t="str">
        <f t="shared" si="82"/>
        <v>",Round= "</v>
      </c>
      <c r="N303">
        <f>Match!G304</f>
        <v>0</v>
      </c>
      <c r="O303" t="str">
        <f t="shared" si="83"/>
        <v>",Stage= "</v>
      </c>
      <c r="P303">
        <f>Match!H304</f>
        <v>0</v>
      </c>
      <c r="Q303" t="str">
        <f t="shared" si="84"/>
        <v>",SubStage= "</v>
      </c>
      <c r="R303">
        <f>Match!I304</f>
        <v>0</v>
      </c>
      <c r="S303" t="str">
        <f t="shared" si="85"/>
        <v>",HTeam= "</v>
      </c>
      <c r="T303">
        <f>Match!J304</f>
        <v>0</v>
      </c>
      <c r="U303" t="str">
        <f t="shared" si="86"/>
        <v>",HGoal=</v>
      </c>
      <c r="V303">
        <f>Match!K304</f>
        <v>0</v>
      </c>
      <c r="W303" t="str">
        <f t="shared" si="87"/>
        <v>,GGoal=</v>
      </c>
      <c r="X303">
        <f>Match!L304</f>
        <v>0</v>
      </c>
      <c r="Y303" t="str">
        <f t="shared" si="88"/>
        <v>,GTeam= "</v>
      </c>
      <c r="Z303">
        <f>Match!M304</f>
        <v>0</v>
      </c>
      <c r="AA303" t="str">
        <f t="shared" si="89"/>
        <v>",WinNote="</v>
      </c>
      <c r="AB303" t="str">
        <f>IF(Match!N304="","",Match!N304)</f>
        <v/>
      </c>
      <c r="AC303" t="str">
        <f t="shared" si="90"/>
        <v xml:space="preserve">",Stadium=" </v>
      </c>
      <c r="AD303" s="95">
        <f>Match!O304</f>
        <v>0</v>
      </c>
      <c r="AE303" t="str">
        <f t="shared" si="91"/>
        <v>",Referee= "</v>
      </c>
      <c r="AF303" s="95" t="str">
        <f>IF(Match!P304="","",Match!P304)</f>
        <v/>
      </c>
      <c r="AG303" t="str">
        <f t="shared" si="92"/>
        <v xml:space="preserve">",Visistors= </v>
      </c>
      <c r="AH303" s="95">
        <f>IF(Match!Q304="",0,Match!Q304)</f>
        <v>0</v>
      </c>
      <c r="AI303" t="str">
        <f t="shared" si="93"/>
        <v>,Status= "</v>
      </c>
      <c r="AJ303" s="95">
        <f>Match!R304</f>
        <v>0</v>
      </c>
      <c r="AK303" t="str">
        <f t="shared" si="94"/>
        <v>" },</v>
      </c>
    </row>
    <row r="304" spans="1:37" x14ac:dyDescent="0.25">
      <c r="A304" s="94" t="str">
        <f t="shared" si="76"/>
        <v>new Match { MatchId= "</v>
      </c>
      <c r="B304">
        <f>Match!A305</f>
        <v>0</v>
      </c>
      <c r="C304" s="94" t="str">
        <f t="shared" si="77"/>
        <v>",MatchNumber=</v>
      </c>
      <c r="D304">
        <f>Match!B305</f>
        <v>0</v>
      </c>
      <c r="E304" s="94" t="str">
        <f t="shared" si="78"/>
        <v>,DateMatch=DateTime.Parse("</v>
      </c>
      <c r="F304" s="85">
        <f>Match!C305</f>
        <v>0</v>
      </c>
      <c r="G304" s="92" t="str">
        <f t="shared" si="79"/>
        <v>"),TimeMatch=TimeSpan.Parse("</v>
      </c>
      <c r="H304" s="93">
        <f>Match!D305</f>
        <v>0</v>
      </c>
      <c r="I304" s="94" t="str">
        <f t="shared" si="80"/>
        <v>"),MatchYear=</v>
      </c>
      <c r="J304">
        <f>Match!E305</f>
        <v>0</v>
      </c>
      <c r="K304" s="94" t="str">
        <f t="shared" si="81"/>
        <v>, SeasonId= "</v>
      </c>
      <c r="L304">
        <f>Match!F305</f>
        <v>0</v>
      </c>
      <c r="M304" s="94" t="str">
        <f t="shared" si="82"/>
        <v>",Round= "</v>
      </c>
      <c r="N304">
        <f>Match!G305</f>
        <v>0</v>
      </c>
      <c r="O304" t="str">
        <f t="shared" si="83"/>
        <v>",Stage= "</v>
      </c>
      <c r="P304">
        <f>Match!H305</f>
        <v>0</v>
      </c>
      <c r="Q304" t="str">
        <f t="shared" si="84"/>
        <v>",SubStage= "</v>
      </c>
      <c r="R304">
        <f>Match!I305</f>
        <v>0</v>
      </c>
      <c r="S304" t="str">
        <f t="shared" si="85"/>
        <v>",HTeam= "</v>
      </c>
      <c r="T304">
        <f>Match!J305</f>
        <v>0</v>
      </c>
      <c r="U304" t="str">
        <f t="shared" si="86"/>
        <v>",HGoal=</v>
      </c>
      <c r="V304">
        <f>Match!K305</f>
        <v>0</v>
      </c>
      <c r="W304" t="str">
        <f t="shared" si="87"/>
        <v>,GGoal=</v>
      </c>
      <c r="X304">
        <f>Match!L305</f>
        <v>0</v>
      </c>
      <c r="Y304" t="str">
        <f t="shared" si="88"/>
        <v>,GTeam= "</v>
      </c>
      <c r="Z304">
        <f>Match!M305</f>
        <v>0</v>
      </c>
      <c r="AA304" t="str">
        <f t="shared" si="89"/>
        <v>",WinNote="</v>
      </c>
      <c r="AB304" t="str">
        <f>IF(Match!N305="","",Match!N305)</f>
        <v/>
      </c>
      <c r="AC304" t="str">
        <f t="shared" si="90"/>
        <v xml:space="preserve">",Stadium=" </v>
      </c>
      <c r="AD304" s="95">
        <f>Match!O305</f>
        <v>0</v>
      </c>
      <c r="AE304" t="str">
        <f t="shared" si="91"/>
        <v>",Referee= "</v>
      </c>
      <c r="AF304" s="95" t="str">
        <f>IF(Match!P305="","",Match!P305)</f>
        <v/>
      </c>
      <c r="AG304" t="str">
        <f t="shared" si="92"/>
        <v xml:space="preserve">",Visistors= </v>
      </c>
      <c r="AH304" s="95">
        <f>IF(Match!Q305="",0,Match!Q305)</f>
        <v>0</v>
      </c>
      <c r="AI304" t="str">
        <f t="shared" si="93"/>
        <v>,Status= "</v>
      </c>
      <c r="AJ304" s="95">
        <f>Match!R305</f>
        <v>0</v>
      </c>
      <c r="AK304" t="str">
        <f t="shared" si="94"/>
        <v>" },</v>
      </c>
    </row>
    <row r="305" spans="1:37" x14ac:dyDescent="0.25">
      <c r="A305" s="94" t="str">
        <f t="shared" si="76"/>
        <v>new Match { MatchId= "</v>
      </c>
      <c r="B305">
        <f>Match!A306</f>
        <v>0</v>
      </c>
      <c r="C305" s="94" t="str">
        <f t="shared" si="77"/>
        <v>",MatchNumber=</v>
      </c>
      <c r="D305">
        <f>Match!B306</f>
        <v>0</v>
      </c>
      <c r="E305" s="94" t="str">
        <f t="shared" si="78"/>
        <v>,DateMatch=DateTime.Parse("</v>
      </c>
      <c r="F305" s="85">
        <f>Match!C306</f>
        <v>0</v>
      </c>
      <c r="G305" s="92" t="str">
        <f t="shared" si="79"/>
        <v>"),TimeMatch=TimeSpan.Parse("</v>
      </c>
      <c r="H305" s="93">
        <f>Match!D306</f>
        <v>0</v>
      </c>
      <c r="I305" s="94" t="str">
        <f t="shared" si="80"/>
        <v>"),MatchYear=</v>
      </c>
      <c r="J305">
        <f>Match!E306</f>
        <v>0</v>
      </c>
      <c r="K305" s="94" t="str">
        <f t="shared" si="81"/>
        <v>, SeasonId= "</v>
      </c>
      <c r="L305">
        <f>Match!F306</f>
        <v>0</v>
      </c>
      <c r="M305" s="94" t="str">
        <f t="shared" si="82"/>
        <v>",Round= "</v>
      </c>
      <c r="N305">
        <f>Match!G306</f>
        <v>0</v>
      </c>
      <c r="O305" t="str">
        <f t="shared" si="83"/>
        <v>",Stage= "</v>
      </c>
      <c r="P305">
        <f>Match!H306</f>
        <v>0</v>
      </c>
      <c r="Q305" t="str">
        <f t="shared" si="84"/>
        <v>",SubStage= "</v>
      </c>
      <c r="R305">
        <f>Match!I306</f>
        <v>0</v>
      </c>
      <c r="S305" t="str">
        <f t="shared" si="85"/>
        <v>",HTeam= "</v>
      </c>
      <c r="T305">
        <f>Match!J306</f>
        <v>0</v>
      </c>
      <c r="U305" t="str">
        <f t="shared" si="86"/>
        <v>",HGoal=</v>
      </c>
      <c r="V305">
        <f>Match!K306</f>
        <v>0</v>
      </c>
      <c r="W305" t="str">
        <f t="shared" si="87"/>
        <v>,GGoal=</v>
      </c>
      <c r="X305">
        <f>Match!L306</f>
        <v>0</v>
      </c>
      <c r="Y305" t="str">
        <f t="shared" si="88"/>
        <v>,GTeam= "</v>
      </c>
      <c r="Z305">
        <f>Match!M306</f>
        <v>0</v>
      </c>
      <c r="AA305" t="str">
        <f t="shared" si="89"/>
        <v>",WinNote="</v>
      </c>
      <c r="AB305" t="str">
        <f>IF(Match!N306="","",Match!N306)</f>
        <v/>
      </c>
      <c r="AC305" t="str">
        <f t="shared" si="90"/>
        <v xml:space="preserve">",Stadium=" </v>
      </c>
      <c r="AD305" s="95">
        <f>Match!O306</f>
        <v>0</v>
      </c>
      <c r="AE305" t="str">
        <f t="shared" si="91"/>
        <v>",Referee= "</v>
      </c>
      <c r="AF305" s="95" t="str">
        <f>IF(Match!P306="","",Match!P306)</f>
        <v/>
      </c>
      <c r="AG305" t="str">
        <f t="shared" si="92"/>
        <v xml:space="preserve">",Visistors= </v>
      </c>
      <c r="AH305" s="95">
        <f>IF(Match!Q306="",0,Match!Q306)</f>
        <v>0</v>
      </c>
      <c r="AI305" t="str">
        <f t="shared" si="93"/>
        <v>,Status= "</v>
      </c>
      <c r="AJ305" s="95">
        <f>Match!R306</f>
        <v>0</v>
      </c>
      <c r="AK305" t="str">
        <f t="shared" si="94"/>
        <v>" },</v>
      </c>
    </row>
    <row r="306" spans="1:37" x14ac:dyDescent="0.25">
      <c r="A306" s="94" t="str">
        <f t="shared" si="76"/>
        <v>new Match { MatchId= "</v>
      </c>
      <c r="B306">
        <f>Match!A307</f>
        <v>0</v>
      </c>
      <c r="C306" s="94" t="str">
        <f t="shared" si="77"/>
        <v>",MatchNumber=</v>
      </c>
      <c r="D306">
        <f>Match!B307</f>
        <v>0</v>
      </c>
      <c r="E306" s="94" t="str">
        <f t="shared" si="78"/>
        <v>,DateMatch=DateTime.Parse("</v>
      </c>
      <c r="F306" s="85">
        <f>Match!C307</f>
        <v>0</v>
      </c>
      <c r="G306" s="92" t="str">
        <f t="shared" si="79"/>
        <v>"),TimeMatch=TimeSpan.Parse("</v>
      </c>
      <c r="H306" s="93">
        <f>Match!D307</f>
        <v>0</v>
      </c>
      <c r="I306" s="94" t="str">
        <f t="shared" si="80"/>
        <v>"),MatchYear=</v>
      </c>
      <c r="J306">
        <f>Match!E307</f>
        <v>0</v>
      </c>
      <c r="K306" s="94" t="str">
        <f t="shared" si="81"/>
        <v>, SeasonId= "</v>
      </c>
      <c r="L306">
        <f>Match!F307</f>
        <v>0</v>
      </c>
      <c r="M306" s="94" t="str">
        <f t="shared" si="82"/>
        <v>",Round= "</v>
      </c>
      <c r="N306">
        <f>Match!G307</f>
        <v>0</v>
      </c>
      <c r="O306" t="str">
        <f t="shared" si="83"/>
        <v>",Stage= "</v>
      </c>
      <c r="P306">
        <f>Match!H307</f>
        <v>0</v>
      </c>
      <c r="Q306" t="str">
        <f t="shared" si="84"/>
        <v>",SubStage= "</v>
      </c>
      <c r="R306">
        <f>Match!I307</f>
        <v>0</v>
      </c>
      <c r="S306" t="str">
        <f t="shared" si="85"/>
        <v>",HTeam= "</v>
      </c>
      <c r="T306">
        <f>Match!J307</f>
        <v>0</v>
      </c>
      <c r="U306" t="str">
        <f t="shared" si="86"/>
        <v>",HGoal=</v>
      </c>
      <c r="V306">
        <f>Match!K307</f>
        <v>0</v>
      </c>
      <c r="W306" t="str">
        <f t="shared" si="87"/>
        <v>,GGoal=</v>
      </c>
      <c r="X306">
        <f>Match!L307</f>
        <v>0</v>
      </c>
      <c r="Y306" t="str">
        <f t="shared" si="88"/>
        <v>,GTeam= "</v>
      </c>
      <c r="Z306">
        <f>Match!M307</f>
        <v>0</v>
      </c>
      <c r="AA306" t="str">
        <f t="shared" si="89"/>
        <v>",WinNote="</v>
      </c>
      <c r="AB306" t="str">
        <f>IF(Match!N307="","",Match!N307)</f>
        <v/>
      </c>
      <c r="AC306" t="str">
        <f t="shared" si="90"/>
        <v xml:space="preserve">",Stadium=" </v>
      </c>
      <c r="AD306" s="95">
        <f>Match!O307</f>
        <v>0</v>
      </c>
      <c r="AE306" t="str">
        <f t="shared" si="91"/>
        <v>",Referee= "</v>
      </c>
      <c r="AF306" s="95" t="str">
        <f>IF(Match!P307="","",Match!P307)</f>
        <v/>
      </c>
      <c r="AG306" t="str">
        <f t="shared" si="92"/>
        <v xml:space="preserve">",Visistors= </v>
      </c>
      <c r="AH306" s="95">
        <f>IF(Match!Q307="",0,Match!Q307)</f>
        <v>0</v>
      </c>
      <c r="AI306" t="str">
        <f t="shared" si="93"/>
        <v>,Status= "</v>
      </c>
      <c r="AJ306" s="95">
        <f>Match!R307</f>
        <v>0</v>
      </c>
      <c r="AK306" t="str">
        <f t="shared" si="94"/>
        <v>" },</v>
      </c>
    </row>
    <row r="307" spans="1:37" x14ac:dyDescent="0.25">
      <c r="A307" s="94" t="str">
        <f t="shared" si="76"/>
        <v>new Match { MatchId= "</v>
      </c>
      <c r="B307">
        <f>Match!A308</f>
        <v>0</v>
      </c>
      <c r="C307" s="94" t="str">
        <f t="shared" si="77"/>
        <v>",MatchNumber=</v>
      </c>
      <c r="D307">
        <f>Match!B308</f>
        <v>0</v>
      </c>
      <c r="E307" s="94" t="str">
        <f t="shared" si="78"/>
        <v>,DateMatch=DateTime.Parse("</v>
      </c>
      <c r="F307" s="85">
        <f>Match!C308</f>
        <v>0</v>
      </c>
      <c r="G307" s="92" t="str">
        <f t="shared" si="79"/>
        <v>"),TimeMatch=TimeSpan.Parse("</v>
      </c>
      <c r="H307" s="93">
        <f>Match!D308</f>
        <v>0</v>
      </c>
      <c r="I307" s="94" t="str">
        <f t="shared" si="80"/>
        <v>"),MatchYear=</v>
      </c>
      <c r="J307">
        <f>Match!E308</f>
        <v>0</v>
      </c>
      <c r="K307" s="94" t="str">
        <f t="shared" si="81"/>
        <v>, SeasonId= "</v>
      </c>
      <c r="L307">
        <f>Match!F308</f>
        <v>0</v>
      </c>
      <c r="M307" s="94" t="str">
        <f t="shared" si="82"/>
        <v>",Round= "</v>
      </c>
      <c r="N307">
        <f>Match!G308</f>
        <v>0</v>
      </c>
      <c r="O307" t="str">
        <f t="shared" si="83"/>
        <v>",Stage= "</v>
      </c>
      <c r="P307">
        <f>Match!H308</f>
        <v>0</v>
      </c>
      <c r="Q307" t="str">
        <f t="shared" si="84"/>
        <v>",SubStage= "</v>
      </c>
      <c r="R307">
        <f>Match!I308</f>
        <v>0</v>
      </c>
      <c r="S307" t="str">
        <f t="shared" si="85"/>
        <v>",HTeam= "</v>
      </c>
      <c r="T307">
        <f>Match!J308</f>
        <v>0</v>
      </c>
      <c r="U307" t="str">
        <f t="shared" si="86"/>
        <v>",HGoal=</v>
      </c>
      <c r="V307">
        <f>Match!K308</f>
        <v>0</v>
      </c>
      <c r="W307" t="str">
        <f t="shared" si="87"/>
        <v>,GGoal=</v>
      </c>
      <c r="X307">
        <f>Match!L308</f>
        <v>0</v>
      </c>
      <c r="Y307" t="str">
        <f t="shared" si="88"/>
        <v>,GTeam= "</v>
      </c>
      <c r="Z307">
        <f>Match!M308</f>
        <v>0</v>
      </c>
      <c r="AA307" t="str">
        <f t="shared" si="89"/>
        <v>",WinNote="</v>
      </c>
      <c r="AB307" t="str">
        <f>IF(Match!N308="","",Match!N308)</f>
        <v/>
      </c>
      <c r="AC307" t="str">
        <f t="shared" si="90"/>
        <v xml:space="preserve">",Stadium=" </v>
      </c>
      <c r="AD307" s="95">
        <f>Match!O308</f>
        <v>0</v>
      </c>
      <c r="AE307" t="str">
        <f t="shared" si="91"/>
        <v>",Referee= "</v>
      </c>
      <c r="AF307" s="95" t="str">
        <f>IF(Match!P308="","",Match!P308)</f>
        <v/>
      </c>
      <c r="AG307" t="str">
        <f t="shared" si="92"/>
        <v xml:space="preserve">",Visistors= </v>
      </c>
      <c r="AH307" s="95">
        <f>IF(Match!Q308="",0,Match!Q308)</f>
        <v>0</v>
      </c>
      <c r="AI307" t="str">
        <f t="shared" si="93"/>
        <v>,Status= "</v>
      </c>
      <c r="AJ307" s="95">
        <f>Match!R308</f>
        <v>0</v>
      </c>
      <c r="AK307" t="str">
        <f t="shared" si="94"/>
        <v>" },</v>
      </c>
    </row>
    <row r="308" spans="1:37" x14ac:dyDescent="0.25">
      <c r="A308" s="94" t="str">
        <f t="shared" si="76"/>
        <v>new Match { MatchId= "</v>
      </c>
      <c r="B308">
        <f>Match!A309</f>
        <v>0</v>
      </c>
      <c r="C308" s="94" t="str">
        <f t="shared" si="77"/>
        <v>",MatchNumber=</v>
      </c>
      <c r="D308">
        <f>Match!B309</f>
        <v>0</v>
      </c>
      <c r="E308" s="94" t="str">
        <f t="shared" si="78"/>
        <v>,DateMatch=DateTime.Parse("</v>
      </c>
      <c r="F308" s="85">
        <f>Match!C309</f>
        <v>0</v>
      </c>
      <c r="G308" s="92" t="str">
        <f t="shared" si="79"/>
        <v>"),TimeMatch=TimeSpan.Parse("</v>
      </c>
      <c r="H308" s="93">
        <f>Match!D309</f>
        <v>0</v>
      </c>
      <c r="I308" s="94" t="str">
        <f t="shared" si="80"/>
        <v>"),MatchYear=</v>
      </c>
      <c r="J308">
        <f>Match!E309</f>
        <v>0</v>
      </c>
      <c r="K308" s="94" t="str">
        <f t="shared" si="81"/>
        <v>, SeasonId= "</v>
      </c>
      <c r="L308">
        <f>Match!F309</f>
        <v>0</v>
      </c>
      <c r="M308" s="94" t="str">
        <f t="shared" si="82"/>
        <v>",Round= "</v>
      </c>
      <c r="N308">
        <f>Match!G309</f>
        <v>0</v>
      </c>
      <c r="O308" t="str">
        <f t="shared" si="83"/>
        <v>",Stage= "</v>
      </c>
      <c r="P308">
        <f>Match!H309</f>
        <v>0</v>
      </c>
      <c r="Q308" t="str">
        <f t="shared" si="84"/>
        <v>",SubStage= "</v>
      </c>
      <c r="R308">
        <f>Match!I309</f>
        <v>0</v>
      </c>
      <c r="S308" t="str">
        <f t="shared" si="85"/>
        <v>",HTeam= "</v>
      </c>
      <c r="T308">
        <f>Match!J309</f>
        <v>0</v>
      </c>
      <c r="U308" t="str">
        <f t="shared" si="86"/>
        <v>",HGoal=</v>
      </c>
      <c r="V308">
        <f>Match!K309</f>
        <v>0</v>
      </c>
      <c r="W308" t="str">
        <f t="shared" si="87"/>
        <v>,GGoal=</v>
      </c>
      <c r="X308">
        <f>Match!L309</f>
        <v>0</v>
      </c>
      <c r="Y308" t="str">
        <f t="shared" si="88"/>
        <v>,GTeam= "</v>
      </c>
      <c r="Z308">
        <f>Match!M309</f>
        <v>0</v>
      </c>
      <c r="AA308" t="str">
        <f t="shared" si="89"/>
        <v>",WinNote="</v>
      </c>
      <c r="AB308" t="str">
        <f>IF(Match!N309="","",Match!N309)</f>
        <v/>
      </c>
      <c r="AC308" t="str">
        <f t="shared" si="90"/>
        <v xml:space="preserve">",Stadium=" </v>
      </c>
      <c r="AD308" s="95">
        <f>Match!O309</f>
        <v>0</v>
      </c>
      <c r="AE308" t="str">
        <f t="shared" si="91"/>
        <v>",Referee= "</v>
      </c>
      <c r="AF308" s="95" t="str">
        <f>IF(Match!P309="","",Match!P309)</f>
        <v/>
      </c>
      <c r="AG308" t="str">
        <f t="shared" si="92"/>
        <v xml:space="preserve">",Visistors= </v>
      </c>
      <c r="AH308" s="95">
        <f>IF(Match!Q309="",0,Match!Q309)</f>
        <v>0</v>
      </c>
      <c r="AI308" t="str">
        <f t="shared" si="93"/>
        <v>,Status= "</v>
      </c>
      <c r="AJ308" s="95">
        <f>Match!R309</f>
        <v>0</v>
      </c>
      <c r="AK308" t="str">
        <f t="shared" si="94"/>
        <v>" },</v>
      </c>
    </row>
    <row r="309" spans="1:37" x14ac:dyDescent="0.25">
      <c r="A309" s="94" t="str">
        <f t="shared" si="76"/>
        <v>new Match { MatchId= "</v>
      </c>
      <c r="B309">
        <f>Match!A310</f>
        <v>0</v>
      </c>
      <c r="C309" s="94" t="str">
        <f t="shared" si="77"/>
        <v>",MatchNumber=</v>
      </c>
      <c r="D309">
        <f>Match!B310</f>
        <v>0</v>
      </c>
      <c r="E309" s="94" t="str">
        <f t="shared" si="78"/>
        <v>,DateMatch=DateTime.Parse("</v>
      </c>
      <c r="F309" s="85">
        <f>Match!C310</f>
        <v>0</v>
      </c>
      <c r="G309" s="92" t="str">
        <f t="shared" si="79"/>
        <v>"),TimeMatch=TimeSpan.Parse("</v>
      </c>
      <c r="H309" s="93">
        <f>Match!D310</f>
        <v>0</v>
      </c>
      <c r="I309" s="94" t="str">
        <f t="shared" si="80"/>
        <v>"),MatchYear=</v>
      </c>
      <c r="J309">
        <f>Match!E310</f>
        <v>0</v>
      </c>
      <c r="K309" s="94" t="str">
        <f t="shared" si="81"/>
        <v>, SeasonId= "</v>
      </c>
      <c r="L309">
        <f>Match!F310</f>
        <v>0</v>
      </c>
      <c r="M309" s="94" t="str">
        <f t="shared" si="82"/>
        <v>",Round= "</v>
      </c>
      <c r="N309">
        <f>Match!G310</f>
        <v>0</v>
      </c>
      <c r="O309" t="str">
        <f t="shared" si="83"/>
        <v>",Stage= "</v>
      </c>
      <c r="P309">
        <f>Match!H310</f>
        <v>0</v>
      </c>
      <c r="Q309" t="str">
        <f t="shared" si="84"/>
        <v>",SubStage= "</v>
      </c>
      <c r="R309">
        <f>Match!I310</f>
        <v>0</v>
      </c>
      <c r="S309" t="str">
        <f t="shared" si="85"/>
        <v>",HTeam= "</v>
      </c>
      <c r="T309">
        <f>Match!J310</f>
        <v>0</v>
      </c>
      <c r="U309" t="str">
        <f t="shared" si="86"/>
        <v>",HGoal=</v>
      </c>
      <c r="V309">
        <f>Match!K310</f>
        <v>0</v>
      </c>
      <c r="W309" t="str">
        <f t="shared" si="87"/>
        <v>,GGoal=</v>
      </c>
      <c r="X309">
        <f>Match!L310</f>
        <v>0</v>
      </c>
      <c r="Y309" t="str">
        <f t="shared" si="88"/>
        <v>,GTeam= "</v>
      </c>
      <c r="Z309">
        <f>Match!M310</f>
        <v>0</v>
      </c>
      <c r="AA309" t="str">
        <f t="shared" si="89"/>
        <v>",WinNote="</v>
      </c>
      <c r="AB309" t="str">
        <f>IF(Match!N310="","",Match!N310)</f>
        <v/>
      </c>
      <c r="AC309" t="str">
        <f t="shared" si="90"/>
        <v xml:space="preserve">",Stadium=" </v>
      </c>
      <c r="AD309" s="95">
        <f>Match!O310</f>
        <v>0</v>
      </c>
      <c r="AE309" t="str">
        <f t="shared" si="91"/>
        <v>",Referee= "</v>
      </c>
      <c r="AF309" s="95" t="str">
        <f>IF(Match!P310="","",Match!P310)</f>
        <v/>
      </c>
      <c r="AG309" t="str">
        <f t="shared" si="92"/>
        <v xml:space="preserve">",Visistors= </v>
      </c>
      <c r="AH309" s="95">
        <f>IF(Match!Q310="",0,Match!Q310)</f>
        <v>0</v>
      </c>
      <c r="AI309" t="str">
        <f t="shared" si="93"/>
        <v>,Status= "</v>
      </c>
      <c r="AJ309" s="95">
        <f>Match!R310</f>
        <v>0</v>
      </c>
      <c r="AK309" t="str">
        <f t="shared" si="94"/>
        <v>" },</v>
      </c>
    </row>
    <row r="310" spans="1:37" x14ac:dyDescent="0.25">
      <c r="A310" s="94" t="str">
        <f t="shared" si="76"/>
        <v>new Match { MatchId= "</v>
      </c>
      <c r="B310">
        <f>Match!A311</f>
        <v>0</v>
      </c>
      <c r="C310" s="94" t="str">
        <f t="shared" si="77"/>
        <v>",MatchNumber=</v>
      </c>
      <c r="D310">
        <f>Match!B311</f>
        <v>0</v>
      </c>
      <c r="E310" s="94" t="str">
        <f t="shared" si="78"/>
        <v>,DateMatch=DateTime.Parse("</v>
      </c>
      <c r="F310" s="85">
        <f>Match!C311</f>
        <v>0</v>
      </c>
      <c r="G310" s="92" t="str">
        <f t="shared" si="79"/>
        <v>"),TimeMatch=TimeSpan.Parse("</v>
      </c>
      <c r="H310" s="93">
        <f>Match!D311</f>
        <v>0</v>
      </c>
      <c r="I310" s="94" t="str">
        <f t="shared" si="80"/>
        <v>"),MatchYear=</v>
      </c>
      <c r="J310">
        <f>Match!E311</f>
        <v>0</v>
      </c>
      <c r="K310" s="94" t="str">
        <f t="shared" ref="K259:K322" si="95">K309</f>
        <v>, SeasonId= "</v>
      </c>
      <c r="L310">
        <f>Match!F311</f>
        <v>0</v>
      </c>
      <c r="M310" s="94" t="str">
        <f t="shared" ref="M259:M322" si="96">M309</f>
        <v>",Round= "</v>
      </c>
      <c r="N310">
        <f>Match!G308</f>
        <v>0</v>
      </c>
      <c r="O310" t="str">
        <f t="shared" ref="O259:O322" si="97">O309</f>
        <v>",Stage= "</v>
      </c>
      <c r="P310">
        <f>Match!H308</f>
        <v>0</v>
      </c>
      <c r="Q310" t="str">
        <f t="shared" ref="Q259:Q322" si="98">Q309</f>
        <v>",SubStage= "</v>
      </c>
      <c r="R310">
        <f>Match!I308</f>
        <v>0</v>
      </c>
      <c r="S310" t="str">
        <f t="shared" ref="S259:S322" si="99">S309</f>
        <v>",HTeam= "</v>
      </c>
      <c r="T310">
        <f>Match!J308</f>
        <v>0</v>
      </c>
      <c r="U310" t="str">
        <f t="shared" ref="U259:U322" si="100">U309</f>
        <v>",HGoal=</v>
      </c>
      <c r="V310">
        <f>Match!K308</f>
        <v>0</v>
      </c>
      <c r="W310" t="str">
        <f t="shared" ref="W259:W322" si="101">W309</f>
        <v>,GGoal=</v>
      </c>
      <c r="X310">
        <f>Match!L308</f>
        <v>0</v>
      </c>
      <c r="Y310" t="str">
        <f t="shared" ref="Y259:Y322" si="102">Y309</f>
        <v>,GTeam= "</v>
      </c>
      <c r="Z310">
        <f>Match!M308</f>
        <v>0</v>
      </c>
      <c r="AA310" t="str">
        <f t="shared" ref="AA259:AA322" si="103">AA309</f>
        <v>",WinNote="</v>
      </c>
      <c r="AB310" t="str">
        <f>IF(Match!N308="","",Match!N308)</f>
        <v/>
      </c>
      <c r="AC310" t="str">
        <f t="shared" ref="AC259:AC322" si="104">AC309</f>
        <v xml:space="preserve">",Stadium=" </v>
      </c>
      <c r="AD310" s="95">
        <f>Match!O308</f>
        <v>0</v>
      </c>
      <c r="AE310" t="str">
        <f t="shared" ref="AE259:AE322" si="105">AE309</f>
        <v>",Referee= "</v>
      </c>
      <c r="AF310" s="95" t="str">
        <f>IF(Match!P308="","",Match!P308)</f>
        <v/>
      </c>
      <c r="AG310" t="str">
        <f t="shared" ref="AG259:AG322" si="106">AG309</f>
        <v xml:space="preserve">",Visistors= </v>
      </c>
      <c r="AH310" s="95">
        <f>IF(Match!Q311="",0,Match!Q311)</f>
        <v>0</v>
      </c>
      <c r="AI310" t="str">
        <f t="shared" ref="AI259:AI322" si="107">AI309</f>
        <v>,Status= "</v>
      </c>
      <c r="AJ310" s="95">
        <f>Match!R308</f>
        <v>0</v>
      </c>
      <c r="AK310" t="str">
        <f t="shared" ref="AK259:AK322" si="108">AK309</f>
        <v>" },</v>
      </c>
    </row>
    <row r="311" spans="1:37" x14ac:dyDescent="0.25">
      <c r="A311" s="94" t="str">
        <f t="shared" si="76"/>
        <v>new Match { MatchId= "</v>
      </c>
      <c r="B311">
        <f>Match!A312</f>
        <v>0</v>
      </c>
      <c r="C311" s="94" t="str">
        <f t="shared" si="77"/>
        <v>",MatchNumber=</v>
      </c>
      <c r="D311">
        <f>Match!B312</f>
        <v>0</v>
      </c>
      <c r="E311" s="94" t="str">
        <f t="shared" si="78"/>
        <v>,DateMatch=DateTime.Parse("</v>
      </c>
      <c r="F311" s="85">
        <f>Match!C312</f>
        <v>0</v>
      </c>
      <c r="G311" s="92" t="str">
        <f t="shared" si="79"/>
        <v>"),TimeMatch=TimeSpan.Parse("</v>
      </c>
      <c r="H311" s="93">
        <f>Match!D312</f>
        <v>0</v>
      </c>
      <c r="I311" s="94" t="str">
        <f t="shared" si="80"/>
        <v>"),MatchYear=</v>
      </c>
      <c r="J311">
        <f>Match!E312</f>
        <v>0</v>
      </c>
      <c r="K311" s="94" t="str">
        <f t="shared" si="95"/>
        <v>, SeasonId= "</v>
      </c>
      <c r="L311">
        <f>Match!F312</f>
        <v>0</v>
      </c>
      <c r="M311" s="94" t="str">
        <f t="shared" si="96"/>
        <v>",Round= "</v>
      </c>
      <c r="N311">
        <f>Match!G309</f>
        <v>0</v>
      </c>
      <c r="O311" t="str">
        <f t="shared" si="97"/>
        <v>",Stage= "</v>
      </c>
      <c r="P311">
        <f>Match!H309</f>
        <v>0</v>
      </c>
      <c r="Q311" t="str">
        <f t="shared" si="98"/>
        <v>",SubStage= "</v>
      </c>
      <c r="R311">
        <f>Match!I309</f>
        <v>0</v>
      </c>
      <c r="S311" t="str">
        <f t="shared" si="99"/>
        <v>",HTeam= "</v>
      </c>
      <c r="T311">
        <f>Match!J309</f>
        <v>0</v>
      </c>
      <c r="U311" t="str">
        <f t="shared" si="100"/>
        <v>",HGoal=</v>
      </c>
      <c r="V311">
        <f>Match!K309</f>
        <v>0</v>
      </c>
      <c r="W311" t="str">
        <f t="shared" si="101"/>
        <v>,GGoal=</v>
      </c>
      <c r="X311">
        <f>Match!L309</f>
        <v>0</v>
      </c>
      <c r="Y311" t="str">
        <f t="shared" si="102"/>
        <v>,GTeam= "</v>
      </c>
      <c r="Z311">
        <f>Match!M309</f>
        <v>0</v>
      </c>
      <c r="AA311" t="str">
        <f t="shared" si="103"/>
        <v>",WinNote="</v>
      </c>
      <c r="AB311" t="str">
        <f>IF(Match!N309="","",Match!N309)</f>
        <v/>
      </c>
      <c r="AC311" t="str">
        <f t="shared" si="104"/>
        <v xml:space="preserve">",Stadium=" </v>
      </c>
      <c r="AD311" s="95">
        <f>Match!O309</f>
        <v>0</v>
      </c>
      <c r="AE311" t="str">
        <f t="shared" si="105"/>
        <v>",Referee= "</v>
      </c>
      <c r="AF311" s="95" t="str">
        <f>IF(Match!P309="","",Match!P309)</f>
        <v/>
      </c>
      <c r="AG311" t="str">
        <f t="shared" si="106"/>
        <v xml:space="preserve">",Visistors= </v>
      </c>
      <c r="AH311" s="95">
        <f>IF(Match!Q312="",0,Match!Q312)</f>
        <v>0</v>
      </c>
      <c r="AI311" t="str">
        <f t="shared" si="107"/>
        <v>,Status= "</v>
      </c>
      <c r="AJ311" s="95">
        <f>Match!R309</f>
        <v>0</v>
      </c>
      <c r="AK311" t="str">
        <f t="shared" si="108"/>
        <v>" },</v>
      </c>
    </row>
    <row r="312" spans="1:37" x14ac:dyDescent="0.25">
      <c r="A312" s="94" t="str">
        <f t="shared" si="76"/>
        <v>new Match { MatchId= "</v>
      </c>
      <c r="B312">
        <f>Match!A313</f>
        <v>0</v>
      </c>
      <c r="C312" s="94" t="str">
        <f t="shared" si="77"/>
        <v>",MatchNumber=</v>
      </c>
      <c r="D312">
        <f>Match!B313</f>
        <v>0</v>
      </c>
      <c r="E312" s="94" t="str">
        <f t="shared" si="78"/>
        <v>,DateMatch=DateTime.Parse("</v>
      </c>
      <c r="F312" s="85">
        <f>Match!C313</f>
        <v>0</v>
      </c>
      <c r="G312" s="92" t="str">
        <f t="shared" si="79"/>
        <v>"),TimeMatch=TimeSpan.Parse("</v>
      </c>
      <c r="H312" s="93">
        <f>Match!D313</f>
        <v>0</v>
      </c>
      <c r="I312" s="94" t="str">
        <f t="shared" si="80"/>
        <v>"),MatchYear=</v>
      </c>
      <c r="J312">
        <f>Match!E313</f>
        <v>0</v>
      </c>
      <c r="K312" s="94" t="str">
        <f t="shared" si="95"/>
        <v>, SeasonId= "</v>
      </c>
      <c r="L312">
        <f>Match!F313</f>
        <v>0</v>
      </c>
      <c r="M312" s="94" t="str">
        <f t="shared" si="96"/>
        <v>",Round= "</v>
      </c>
      <c r="N312">
        <f>Match!G310</f>
        <v>0</v>
      </c>
      <c r="O312" t="str">
        <f t="shared" si="97"/>
        <v>",Stage= "</v>
      </c>
      <c r="P312">
        <f>Match!H310</f>
        <v>0</v>
      </c>
      <c r="Q312" t="str">
        <f t="shared" si="98"/>
        <v>",SubStage= "</v>
      </c>
      <c r="R312">
        <f>Match!I310</f>
        <v>0</v>
      </c>
      <c r="S312" t="str">
        <f t="shared" si="99"/>
        <v>",HTeam= "</v>
      </c>
      <c r="T312">
        <f>Match!J310</f>
        <v>0</v>
      </c>
      <c r="U312" t="str">
        <f t="shared" si="100"/>
        <v>",HGoal=</v>
      </c>
      <c r="V312">
        <f>Match!K310</f>
        <v>0</v>
      </c>
      <c r="W312" t="str">
        <f t="shared" si="101"/>
        <v>,GGoal=</v>
      </c>
      <c r="X312">
        <f>Match!L310</f>
        <v>0</v>
      </c>
      <c r="Y312" t="str">
        <f t="shared" si="102"/>
        <v>,GTeam= "</v>
      </c>
      <c r="Z312">
        <f>Match!M310</f>
        <v>0</v>
      </c>
      <c r="AA312" t="str">
        <f t="shared" si="103"/>
        <v>",WinNote="</v>
      </c>
      <c r="AB312" t="str">
        <f>IF(Match!N310="","",Match!N310)</f>
        <v/>
      </c>
      <c r="AC312" t="str">
        <f t="shared" si="104"/>
        <v xml:space="preserve">",Stadium=" </v>
      </c>
      <c r="AD312" s="95">
        <f>Match!O310</f>
        <v>0</v>
      </c>
      <c r="AE312" t="str">
        <f t="shared" si="105"/>
        <v>",Referee= "</v>
      </c>
      <c r="AF312" s="95" t="str">
        <f>IF(Match!P310="","",Match!P310)</f>
        <v/>
      </c>
      <c r="AG312" t="str">
        <f t="shared" si="106"/>
        <v xml:space="preserve">",Visistors= </v>
      </c>
      <c r="AH312" s="95">
        <f>IF(Match!Q313="",0,Match!Q313)</f>
        <v>0</v>
      </c>
      <c r="AI312" t="str">
        <f t="shared" si="107"/>
        <v>,Status= "</v>
      </c>
      <c r="AJ312" s="95">
        <f>Match!R310</f>
        <v>0</v>
      </c>
      <c r="AK312" t="str">
        <f t="shared" si="108"/>
        <v>" },</v>
      </c>
    </row>
    <row r="313" spans="1:37" x14ac:dyDescent="0.25">
      <c r="A313" s="94" t="str">
        <f t="shared" si="76"/>
        <v>new Match { MatchId= "</v>
      </c>
      <c r="B313">
        <f>Match!A314</f>
        <v>0</v>
      </c>
      <c r="C313" s="94" t="str">
        <f t="shared" si="77"/>
        <v>",MatchNumber=</v>
      </c>
      <c r="D313">
        <f>Match!B314</f>
        <v>0</v>
      </c>
      <c r="E313" s="94" t="str">
        <f t="shared" si="78"/>
        <v>,DateMatch=DateTime.Parse("</v>
      </c>
      <c r="F313" s="85">
        <f>Match!C314</f>
        <v>0</v>
      </c>
      <c r="G313" s="92" t="str">
        <f t="shared" si="79"/>
        <v>"),TimeMatch=TimeSpan.Parse("</v>
      </c>
      <c r="H313" s="93">
        <f>Match!D314</f>
        <v>0</v>
      </c>
      <c r="I313" s="94" t="str">
        <f t="shared" si="80"/>
        <v>"),MatchYear=</v>
      </c>
      <c r="J313">
        <f>Match!E314</f>
        <v>0</v>
      </c>
      <c r="K313" s="94" t="str">
        <f t="shared" si="95"/>
        <v>, SeasonId= "</v>
      </c>
      <c r="L313">
        <f>Match!F314</f>
        <v>0</v>
      </c>
      <c r="M313" s="94" t="str">
        <f t="shared" si="96"/>
        <v>",Round= "</v>
      </c>
      <c r="N313">
        <f>Match!G311</f>
        <v>0</v>
      </c>
      <c r="O313" t="str">
        <f t="shared" si="97"/>
        <v>",Stage= "</v>
      </c>
      <c r="P313">
        <f>Match!H311</f>
        <v>0</v>
      </c>
      <c r="Q313" t="str">
        <f t="shared" si="98"/>
        <v>",SubStage= "</v>
      </c>
      <c r="R313">
        <f>Match!I311</f>
        <v>0</v>
      </c>
      <c r="S313" t="str">
        <f t="shared" si="99"/>
        <v>",HTeam= "</v>
      </c>
      <c r="T313">
        <f>Match!J311</f>
        <v>0</v>
      </c>
      <c r="U313" t="str">
        <f t="shared" si="100"/>
        <v>",HGoal=</v>
      </c>
      <c r="V313">
        <f>Match!K311</f>
        <v>0</v>
      </c>
      <c r="W313" t="str">
        <f t="shared" si="101"/>
        <v>,GGoal=</v>
      </c>
      <c r="X313">
        <f>Match!L311</f>
        <v>0</v>
      </c>
      <c r="Y313" t="str">
        <f t="shared" si="102"/>
        <v>,GTeam= "</v>
      </c>
      <c r="Z313">
        <f>Match!M311</f>
        <v>0</v>
      </c>
      <c r="AA313" t="str">
        <f t="shared" si="103"/>
        <v>",WinNote="</v>
      </c>
      <c r="AB313" t="str">
        <f>IF(Match!N311="","",Match!N311)</f>
        <v/>
      </c>
      <c r="AC313" t="str">
        <f t="shared" si="104"/>
        <v xml:space="preserve">",Stadium=" </v>
      </c>
      <c r="AD313" s="95">
        <f>Match!O311</f>
        <v>0</v>
      </c>
      <c r="AE313" t="str">
        <f t="shared" si="105"/>
        <v>",Referee= "</v>
      </c>
      <c r="AF313" s="95" t="str">
        <f>IF(Match!P311="","",Match!P311)</f>
        <v/>
      </c>
      <c r="AG313" t="str">
        <f t="shared" si="106"/>
        <v xml:space="preserve">",Visistors= </v>
      </c>
      <c r="AH313" s="95">
        <f>IF(Match!Q314="",0,Match!Q314)</f>
        <v>0</v>
      </c>
      <c r="AI313" t="str">
        <f t="shared" si="107"/>
        <v>,Status= "</v>
      </c>
      <c r="AJ313" s="95">
        <f>Match!R311</f>
        <v>0</v>
      </c>
      <c r="AK313" t="str">
        <f t="shared" si="108"/>
        <v>" },</v>
      </c>
    </row>
    <row r="314" spans="1:37" x14ac:dyDescent="0.25">
      <c r="A314" s="94" t="str">
        <f t="shared" si="76"/>
        <v>new Match { MatchId= "</v>
      </c>
      <c r="B314">
        <f>Match!A315</f>
        <v>0</v>
      </c>
      <c r="C314" s="94" t="str">
        <f t="shared" si="77"/>
        <v>",MatchNumber=</v>
      </c>
      <c r="D314">
        <f>Match!B315</f>
        <v>0</v>
      </c>
      <c r="E314" s="94" t="str">
        <f t="shared" si="78"/>
        <v>,DateMatch=DateTime.Parse("</v>
      </c>
      <c r="F314" s="85">
        <f>Match!C315</f>
        <v>0</v>
      </c>
      <c r="G314" s="92" t="str">
        <f t="shared" si="79"/>
        <v>"),TimeMatch=TimeSpan.Parse("</v>
      </c>
      <c r="H314" s="93">
        <f>Match!D315</f>
        <v>0</v>
      </c>
      <c r="I314" s="94" t="str">
        <f t="shared" si="80"/>
        <v>"),MatchYear=</v>
      </c>
      <c r="J314">
        <f>Match!E315</f>
        <v>0</v>
      </c>
      <c r="K314" s="94" t="str">
        <f t="shared" si="95"/>
        <v>, SeasonId= "</v>
      </c>
      <c r="L314">
        <f>Match!F315</f>
        <v>0</v>
      </c>
      <c r="M314" s="94" t="str">
        <f t="shared" si="96"/>
        <v>",Round= "</v>
      </c>
      <c r="N314">
        <f>Match!G312</f>
        <v>0</v>
      </c>
      <c r="O314" t="str">
        <f t="shared" si="97"/>
        <v>",Stage= "</v>
      </c>
      <c r="P314">
        <f>Match!H312</f>
        <v>0</v>
      </c>
      <c r="Q314" t="str">
        <f t="shared" si="98"/>
        <v>",SubStage= "</v>
      </c>
      <c r="R314">
        <f>Match!I312</f>
        <v>0</v>
      </c>
      <c r="S314" t="str">
        <f t="shared" si="99"/>
        <v>",HTeam= "</v>
      </c>
      <c r="T314">
        <f>Match!J312</f>
        <v>0</v>
      </c>
      <c r="U314" t="str">
        <f t="shared" si="100"/>
        <v>",HGoal=</v>
      </c>
      <c r="V314">
        <f>Match!K312</f>
        <v>0</v>
      </c>
      <c r="W314" t="str">
        <f t="shared" si="101"/>
        <v>,GGoal=</v>
      </c>
      <c r="X314">
        <f>Match!L312</f>
        <v>0</v>
      </c>
      <c r="Y314" t="str">
        <f t="shared" si="102"/>
        <v>,GTeam= "</v>
      </c>
      <c r="Z314">
        <f>Match!M312</f>
        <v>0</v>
      </c>
      <c r="AA314" t="str">
        <f t="shared" si="103"/>
        <v>",WinNote="</v>
      </c>
      <c r="AB314" t="str">
        <f>IF(Match!N312="","",Match!N312)</f>
        <v/>
      </c>
      <c r="AC314" t="str">
        <f t="shared" si="104"/>
        <v xml:space="preserve">",Stadium=" </v>
      </c>
      <c r="AD314" s="95">
        <f>Match!O312</f>
        <v>0</v>
      </c>
      <c r="AE314" t="str">
        <f t="shared" si="105"/>
        <v>",Referee= "</v>
      </c>
      <c r="AF314" s="95" t="str">
        <f>IF(Match!P312="","",Match!P312)</f>
        <v/>
      </c>
      <c r="AG314" t="str">
        <f t="shared" si="106"/>
        <v xml:space="preserve">",Visistors= </v>
      </c>
      <c r="AH314" s="95">
        <f>IF(Match!Q315="",0,Match!Q315)</f>
        <v>0</v>
      </c>
      <c r="AI314" t="str">
        <f t="shared" si="107"/>
        <v>,Status= "</v>
      </c>
      <c r="AJ314" s="95">
        <f>Match!R312</f>
        <v>0</v>
      </c>
      <c r="AK314" t="str">
        <f t="shared" si="108"/>
        <v>" },</v>
      </c>
    </row>
    <row r="315" spans="1:37" x14ac:dyDescent="0.25">
      <c r="A315" s="94" t="str">
        <f t="shared" si="76"/>
        <v>new Match { MatchId= "</v>
      </c>
      <c r="B315">
        <f>Match!A316</f>
        <v>0</v>
      </c>
      <c r="C315" s="94" t="str">
        <f t="shared" si="77"/>
        <v>",MatchNumber=</v>
      </c>
      <c r="D315">
        <f>Match!B316</f>
        <v>0</v>
      </c>
      <c r="E315" s="94" t="str">
        <f t="shared" si="78"/>
        <v>,DateMatch=DateTime.Parse("</v>
      </c>
      <c r="F315" s="85">
        <f>Match!C316</f>
        <v>0</v>
      </c>
      <c r="G315" s="92" t="str">
        <f t="shared" si="79"/>
        <v>"),TimeMatch=TimeSpan.Parse("</v>
      </c>
      <c r="H315" s="93">
        <f>Match!D316</f>
        <v>0</v>
      </c>
      <c r="I315" s="94" t="str">
        <f t="shared" si="80"/>
        <v>"),MatchYear=</v>
      </c>
      <c r="J315">
        <f>Match!E316</f>
        <v>0</v>
      </c>
      <c r="K315" s="94" t="str">
        <f t="shared" si="95"/>
        <v>, SeasonId= "</v>
      </c>
      <c r="L315">
        <f>Match!F316</f>
        <v>0</v>
      </c>
      <c r="M315" s="94" t="str">
        <f t="shared" si="96"/>
        <v>",Round= "</v>
      </c>
      <c r="N315">
        <f>Match!G313</f>
        <v>0</v>
      </c>
      <c r="O315" t="str">
        <f t="shared" si="97"/>
        <v>",Stage= "</v>
      </c>
      <c r="P315">
        <f>Match!H313</f>
        <v>0</v>
      </c>
      <c r="Q315" t="str">
        <f t="shared" si="98"/>
        <v>",SubStage= "</v>
      </c>
      <c r="R315">
        <f>Match!I313</f>
        <v>0</v>
      </c>
      <c r="S315" t="str">
        <f t="shared" si="99"/>
        <v>",HTeam= "</v>
      </c>
      <c r="T315">
        <f>Match!J313</f>
        <v>0</v>
      </c>
      <c r="U315" t="str">
        <f t="shared" si="100"/>
        <v>",HGoal=</v>
      </c>
      <c r="V315">
        <f>Match!K313</f>
        <v>0</v>
      </c>
      <c r="W315" t="str">
        <f t="shared" si="101"/>
        <v>,GGoal=</v>
      </c>
      <c r="X315">
        <f>Match!L313</f>
        <v>0</v>
      </c>
      <c r="Y315" t="str">
        <f t="shared" si="102"/>
        <v>,GTeam= "</v>
      </c>
      <c r="Z315">
        <f>Match!M313</f>
        <v>0</v>
      </c>
      <c r="AA315" t="str">
        <f t="shared" si="103"/>
        <v>",WinNote="</v>
      </c>
      <c r="AB315" t="str">
        <f>IF(Match!N313="","",Match!N313)</f>
        <v/>
      </c>
      <c r="AC315" t="str">
        <f t="shared" si="104"/>
        <v xml:space="preserve">",Stadium=" </v>
      </c>
      <c r="AD315" s="95">
        <f>Match!O313</f>
        <v>0</v>
      </c>
      <c r="AE315" t="str">
        <f t="shared" si="105"/>
        <v>",Referee= "</v>
      </c>
      <c r="AF315" s="95" t="str">
        <f>IF(Match!P313="","",Match!P313)</f>
        <v/>
      </c>
      <c r="AG315" t="str">
        <f t="shared" si="106"/>
        <v xml:space="preserve">",Visistors= </v>
      </c>
      <c r="AH315" s="95">
        <f>IF(Match!Q316="",0,Match!Q316)</f>
        <v>0</v>
      </c>
      <c r="AI315" t="str">
        <f t="shared" si="107"/>
        <v>,Status= "</v>
      </c>
      <c r="AJ315" s="95">
        <f>Match!R313</f>
        <v>0</v>
      </c>
      <c r="AK315" t="str">
        <f t="shared" si="108"/>
        <v>" },</v>
      </c>
    </row>
    <row r="316" spans="1:37" x14ac:dyDescent="0.25">
      <c r="A316" s="94" t="str">
        <f t="shared" si="76"/>
        <v>new Match { MatchId= "</v>
      </c>
      <c r="B316">
        <f>Match!A317</f>
        <v>0</v>
      </c>
      <c r="C316" s="94" t="str">
        <f t="shared" si="77"/>
        <v>",MatchNumber=</v>
      </c>
      <c r="D316">
        <f>Match!B317</f>
        <v>0</v>
      </c>
      <c r="E316" s="94" t="str">
        <f t="shared" si="78"/>
        <v>,DateMatch=DateTime.Parse("</v>
      </c>
      <c r="F316" s="85">
        <f>Match!C317</f>
        <v>0</v>
      </c>
      <c r="G316" s="92" t="str">
        <f t="shared" si="79"/>
        <v>"),TimeMatch=TimeSpan.Parse("</v>
      </c>
      <c r="H316" s="93">
        <f>Match!D317</f>
        <v>0</v>
      </c>
      <c r="I316" s="94" t="str">
        <f t="shared" si="80"/>
        <v>"),MatchYear=</v>
      </c>
      <c r="J316">
        <f>Match!E317</f>
        <v>0</v>
      </c>
      <c r="K316" s="94" t="str">
        <f t="shared" si="95"/>
        <v>, SeasonId= "</v>
      </c>
      <c r="L316">
        <f>Match!F317</f>
        <v>0</v>
      </c>
      <c r="M316" s="94" t="str">
        <f t="shared" si="96"/>
        <v>",Round= "</v>
      </c>
      <c r="N316">
        <f>Match!G314</f>
        <v>0</v>
      </c>
      <c r="O316" t="str">
        <f t="shared" si="97"/>
        <v>",Stage= "</v>
      </c>
      <c r="P316">
        <f>Match!H314</f>
        <v>0</v>
      </c>
      <c r="Q316" t="str">
        <f t="shared" si="98"/>
        <v>",SubStage= "</v>
      </c>
      <c r="R316">
        <f>Match!I314</f>
        <v>0</v>
      </c>
      <c r="S316" t="str">
        <f t="shared" si="99"/>
        <v>",HTeam= "</v>
      </c>
      <c r="T316">
        <f>Match!J314</f>
        <v>0</v>
      </c>
      <c r="U316" t="str">
        <f t="shared" si="100"/>
        <v>",HGoal=</v>
      </c>
      <c r="V316">
        <f>Match!K314</f>
        <v>0</v>
      </c>
      <c r="W316" t="str">
        <f t="shared" si="101"/>
        <v>,GGoal=</v>
      </c>
      <c r="X316">
        <f>Match!L314</f>
        <v>0</v>
      </c>
      <c r="Y316" t="str">
        <f t="shared" si="102"/>
        <v>,GTeam= "</v>
      </c>
      <c r="Z316">
        <f>Match!M314</f>
        <v>0</v>
      </c>
      <c r="AA316" t="str">
        <f t="shared" si="103"/>
        <v>",WinNote="</v>
      </c>
      <c r="AB316" t="str">
        <f>IF(Match!N314="","",Match!N314)</f>
        <v/>
      </c>
      <c r="AC316" t="str">
        <f t="shared" si="104"/>
        <v xml:space="preserve">",Stadium=" </v>
      </c>
      <c r="AD316" s="95">
        <f>Match!O314</f>
        <v>0</v>
      </c>
      <c r="AE316" t="str">
        <f t="shared" si="105"/>
        <v>",Referee= "</v>
      </c>
      <c r="AF316" s="95" t="str">
        <f>IF(Match!P314="","",Match!P314)</f>
        <v/>
      </c>
      <c r="AG316" t="str">
        <f t="shared" si="106"/>
        <v xml:space="preserve">",Visistors= </v>
      </c>
      <c r="AH316" s="95">
        <f>IF(Match!Q317="",0,Match!Q317)</f>
        <v>0</v>
      </c>
      <c r="AI316" t="str">
        <f t="shared" si="107"/>
        <v>,Status= "</v>
      </c>
      <c r="AJ316" s="95">
        <f>Match!R314</f>
        <v>0</v>
      </c>
      <c r="AK316" t="str">
        <f t="shared" si="108"/>
        <v>" },</v>
      </c>
    </row>
    <row r="317" spans="1:37" x14ac:dyDescent="0.25">
      <c r="A317" s="94" t="str">
        <f t="shared" si="76"/>
        <v>new Match { MatchId= "</v>
      </c>
      <c r="B317">
        <f>Match!A318</f>
        <v>0</v>
      </c>
      <c r="C317" s="94" t="str">
        <f t="shared" si="77"/>
        <v>",MatchNumber=</v>
      </c>
      <c r="D317">
        <f>Match!B318</f>
        <v>0</v>
      </c>
      <c r="E317" s="94" t="str">
        <f t="shared" si="78"/>
        <v>,DateMatch=DateTime.Parse("</v>
      </c>
      <c r="F317" s="85">
        <f>Match!C318</f>
        <v>0</v>
      </c>
      <c r="G317" s="92" t="str">
        <f t="shared" si="79"/>
        <v>"),TimeMatch=TimeSpan.Parse("</v>
      </c>
      <c r="H317" s="93">
        <f>Match!D318</f>
        <v>0</v>
      </c>
      <c r="I317" s="94" t="str">
        <f t="shared" si="80"/>
        <v>"),MatchYear=</v>
      </c>
      <c r="J317">
        <f>Match!E318</f>
        <v>0</v>
      </c>
      <c r="K317" s="94" t="str">
        <f t="shared" si="95"/>
        <v>, SeasonId= "</v>
      </c>
      <c r="L317">
        <f>Match!F318</f>
        <v>0</v>
      </c>
      <c r="M317" s="94" t="str">
        <f t="shared" si="96"/>
        <v>",Round= "</v>
      </c>
      <c r="N317">
        <f>Match!G315</f>
        <v>0</v>
      </c>
      <c r="O317" t="str">
        <f t="shared" si="97"/>
        <v>",Stage= "</v>
      </c>
      <c r="P317">
        <f>Match!H315</f>
        <v>0</v>
      </c>
      <c r="Q317" t="str">
        <f t="shared" si="98"/>
        <v>",SubStage= "</v>
      </c>
      <c r="R317">
        <f>Match!I315</f>
        <v>0</v>
      </c>
      <c r="S317" t="str">
        <f t="shared" si="99"/>
        <v>",HTeam= "</v>
      </c>
      <c r="T317">
        <f>Match!J315</f>
        <v>0</v>
      </c>
      <c r="U317" t="str">
        <f t="shared" si="100"/>
        <v>",HGoal=</v>
      </c>
      <c r="V317">
        <f>Match!K315</f>
        <v>0</v>
      </c>
      <c r="W317" t="str">
        <f t="shared" si="101"/>
        <v>,GGoal=</v>
      </c>
      <c r="X317">
        <f>Match!L315</f>
        <v>0</v>
      </c>
      <c r="Y317" t="str">
        <f t="shared" si="102"/>
        <v>,GTeam= "</v>
      </c>
      <c r="Z317">
        <f>Match!M315</f>
        <v>0</v>
      </c>
      <c r="AA317" t="str">
        <f t="shared" si="103"/>
        <v>",WinNote="</v>
      </c>
      <c r="AB317" t="str">
        <f>IF(Match!N315="","",Match!N315)</f>
        <v/>
      </c>
      <c r="AC317" t="str">
        <f t="shared" si="104"/>
        <v xml:space="preserve">",Stadium=" </v>
      </c>
      <c r="AD317" s="95">
        <f>Match!O315</f>
        <v>0</v>
      </c>
      <c r="AE317" t="str">
        <f t="shared" si="105"/>
        <v>",Referee= "</v>
      </c>
      <c r="AF317" s="95" t="str">
        <f>IF(Match!P315="","",Match!P315)</f>
        <v/>
      </c>
      <c r="AG317" t="str">
        <f t="shared" si="106"/>
        <v xml:space="preserve">",Visistors= </v>
      </c>
      <c r="AH317" s="95">
        <f>IF(Match!Q318="",0,Match!Q318)</f>
        <v>0</v>
      </c>
      <c r="AI317" t="str">
        <f t="shared" si="107"/>
        <v>,Status= "</v>
      </c>
      <c r="AJ317" s="95">
        <f>Match!R315</f>
        <v>0</v>
      </c>
      <c r="AK317" t="str">
        <f t="shared" si="108"/>
        <v>" },</v>
      </c>
    </row>
    <row r="318" spans="1:37" x14ac:dyDescent="0.25">
      <c r="A318" s="94" t="str">
        <f t="shared" si="76"/>
        <v>new Match { MatchId= "</v>
      </c>
      <c r="B318">
        <f>Match!A319</f>
        <v>0</v>
      </c>
      <c r="C318" s="94" t="str">
        <f t="shared" si="77"/>
        <v>",MatchNumber=</v>
      </c>
      <c r="D318">
        <f>Match!B319</f>
        <v>0</v>
      </c>
      <c r="E318" s="94" t="str">
        <f t="shared" si="78"/>
        <v>,DateMatch=DateTime.Parse("</v>
      </c>
      <c r="F318" s="85">
        <f>Match!C319</f>
        <v>0</v>
      </c>
      <c r="G318" s="92" t="str">
        <f t="shared" si="79"/>
        <v>"),TimeMatch=TimeSpan.Parse("</v>
      </c>
      <c r="H318" s="93">
        <f>Match!D319</f>
        <v>0</v>
      </c>
      <c r="I318" s="94" t="str">
        <f t="shared" si="80"/>
        <v>"),MatchYear=</v>
      </c>
      <c r="J318">
        <f>Match!E319</f>
        <v>0</v>
      </c>
      <c r="K318" s="94" t="str">
        <f t="shared" si="95"/>
        <v>, SeasonId= "</v>
      </c>
      <c r="L318">
        <f>Match!F319</f>
        <v>0</v>
      </c>
      <c r="M318" s="94" t="str">
        <f t="shared" si="96"/>
        <v>",Round= "</v>
      </c>
      <c r="N318">
        <f>Match!G316</f>
        <v>0</v>
      </c>
      <c r="O318" t="str">
        <f t="shared" si="97"/>
        <v>",Stage= "</v>
      </c>
      <c r="P318">
        <f>Match!H316</f>
        <v>0</v>
      </c>
      <c r="Q318" t="str">
        <f t="shared" si="98"/>
        <v>",SubStage= "</v>
      </c>
      <c r="R318">
        <f>Match!I316</f>
        <v>0</v>
      </c>
      <c r="S318" t="str">
        <f t="shared" si="99"/>
        <v>",HTeam= "</v>
      </c>
      <c r="T318">
        <f>Match!J316</f>
        <v>0</v>
      </c>
      <c r="U318" t="str">
        <f t="shared" si="100"/>
        <v>",HGoal=</v>
      </c>
      <c r="V318">
        <f>Match!K316</f>
        <v>0</v>
      </c>
      <c r="W318" t="str">
        <f t="shared" si="101"/>
        <v>,GGoal=</v>
      </c>
      <c r="X318">
        <f>Match!L316</f>
        <v>0</v>
      </c>
      <c r="Y318" t="str">
        <f t="shared" si="102"/>
        <v>,GTeam= "</v>
      </c>
      <c r="Z318">
        <f>Match!M316</f>
        <v>0</v>
      </c>
      <c r="AA318" t="str">
        <f t="shared" si="103"/>
        <v>",WinNote="</v>
      </c>
      <c r="AB318" t="str">
        <f>IF(Match!N316="","",Match!N316)</f>
        <v/>
      </c>
      <c r="AC318" t="str">
        <f t="shared" si="104"/>
        <v xml:space="preserve">",Stadium=" </v>
      </c>
      <c r="AD318" s="95">
        <f>Match!O316</f>
        <v>0</v>
      </c>
      <c r="AE318" t="str">
        <f t="shared" si="105"/>
        <v>",Referee= "</v>
      </c>
      <c r="AF318" s="95" t="str">
        <f>IF(Match!P316="","",Match!P316)</f>
        <v/>
      </c>
      <c r="AG318" t="str">
        <f t="shared" si="106"/>
        <v xml:space="preserve">",Visistors= </v>
      </c>
      <c r="AH318" s="95">
        <f>IF(Match!Q319="",0,Match!Q319)</f>
        <v>0</v>
      </c>
      <c r="AI318" t="str">
        <f t="shared" si="107"/>
        <v>,Status= "</v>
      </c>
      <c r="AJ318" s="95">
        <f>Match!R316</f>
        <v>0</v>
      </c>
      <c r="AK318" t="str">
        <f t="shared" si="108"/>
        <v>" },</v>
      </c>
    </row>
    <row r="319" spans="1:37" x14ac:dyDescent="0.25">
      <c r="A319" s="94" t="str">
        <f t="shared" si="76"/>
        <v>new Match { MatchId= "</v>
      </c>
      <c r="B319">
        <f>Match!A320</f>
        <v>0</v>
      </c>
      <c r="C319" s="94" t="str">
        <f t="shared" si="77"/>
        <v>",MatchNumber=</v>
      </c>
      <c r="D319">
        <f>Match!B320</f>
        <v>0</v>
      </c>
      <c r="E319" s="94" t="str">
        <f t="shared" si="78"/>
        <v>,DateMatch=DateTime.Parse("</v>
      </c>
      <c r="F319" s="85">
        <f>Match!C320</f>
        <v>0</v>
      </c>
      <c r="G319" s="92" t="str">
        <f t="shared" si="79"/>
        <v>"),TimeMatch=TimeSpan.Parse("</v>
      </c>
      <c r="H319" s="93">
        <f>Match!D320</f>
        <v>0</v>
      </c>
      <c r="I319" s="94" t="str">
        <f t="shared" si="80"/>
        <v>"),MatchYear=</v>
      </c>
      <c r="J319">
        <f>Match!E320</f>
        <v>0</v>
      </c>
      <c r="K319" s="94" t="str">
        <f t="shared" si="95"/>
        <v>, SeasonId= "</v>
      </c>
      <c r="L319">
        <f>Match!F320</f>
        <v>0</v>
      </c>
      <c r="M319" s="94" t="str">
        <f t="shared" si="96"/>
        <v>",Round= "</v>
      </c>
      <c r="N319">
        <f>Match!G317</f>
        <v>0</v>
      </c>
      <c r="O319" t="str">
        <f t="shared" si="97"/>
        <v>",Stage= "</v>
      </c>
      <c r="P319">
        <f>Match!H317</f>
        <v>0</v>
      </c>
      <c r="Q319" t="str">
        <f t="shared" si="98"/>
        <v>",SubStage= "</v>
      </c>
      <c r="R319">
        <f>Match!I317</f>
        <v>0</v>
      </c>
      <c r="S319" t="str">
        <f t="shared" si="99"/>
        <v>",HTeam= "</v>
      </c>
      <c r="T319">
        <f>Match!J317</f>
        <v>0</v>
      </c>
      <c r="U319" t="str">
        <f t="shared" si="100"/>
        <v>",HGoal=</v>
      </c>
      <c r="V319">
        <f>Match!K317</f>
        <v>0</v>
      </c>
      <c r="W319" t="str">
        <f t="shared" si="101"/>
        <v>,GGoal=</v>
      </c>
      <c r="X319">
        <f>Match!L317</f>
        <v>0</v>
      </c>
      <c r="Y319" t="str">
        <f t="shared" si="102"/>
        <v>,GTeam= "</v>
      </c>
      <c r="Z319">
        <f>Match!M317</f>
        <v>0</v>
      </c>
      <c r="AA319" t="str">
        <f t="shared" si="103"/>
        <v>",WinNote="</v>
      </c>
      <c r="AB319" t="str">
        <f>IF(Match!N317="","",Match!N317)</f>
        <v/>
      </c>
      <c r="AC319" t="str">
        <f t="shared" si="104"/>
        <v xml:space="preserve">",Stadium=" </v>
      </c>
      <c r="AD319" s="95">
        <f>Match!O317</f>
        <v>0</v>
      </c>
      <c r="AE319" t="str">
        <f t="shared" si="105"/>
        <v>",Referee= "</v>
      </c>
      <c r="AF319" s="95" t="str">
        <f>IF(Match!P317="","",Match!P317)</f>
        <v/>
      </c>
      <c r="AG319" t="str">
        <f t="shared" si="106"/>
        <v xml:space="preserve">",Visistors= </v>
      </c>
      <c r="AH319" s="95">
        <f>IF(Match!Q320="",0,Match!Q320)</f>
        <v>0</v>
      </c>
      <c r="AI319" t="str">
        <f t="shared" si="107"/>
        <v>,Status= "</v>
      </c>
      <c r="AJ319" s="95">
        <f>Match!R317</f>
        <v>0</v>
      </c>
      <c r="AK319" t="str">
        <f t="shared" si="108"/>
        <v>" },</v>
      </c>
    </row>
    <row r="320" spans="1:37" x14ac:dyDescent="0.25">
      <c r="A320" s="94" t="str">
        <f t="shared" si="76"/>
        <v>new Match { MatchId= "</v>
      </c>
      <c r="B320">
        <f>Match!A321</f>
        <v>0</v>
      </c>
      <c r="C320" s="94" t="str">
        <f t="shared" si="77"/>
        <v>",MatchNumber=</v>
      </c>
      <c r="D320">
        <f>Match!B321</f>
        <v>0</v>
      </c>
      <c r="E320" s="94" t="str">
        <f t="shared" si="78"/>
        <v>,DateMatch=DateTime.Parse("</v>
      </c>
      <c r="F320" s="85">
        <f>Match!C321</f>
        <v>0</v>
      </c>
      <c r="G320" s="92" t="str">
        <f t="shared" si="79"/>
        <v>"),TimeMatch=TimeSpan.Parse("</v>
      </c>
      <c r="H320" s="93">
        <f>Match!D321</f>
        <v>0</v>
      </c>
      <c r="I320" s="94" t="str">
        <f t="shared" si="80"/>
        <v>"),MatchYear=</v>
      </c>
      <c r="J320">
        <f>Match!E321</f>
        <v>0</v>
      </c>
      <c r="K320" s="94" t="str">
        <f t="shared" si="95"/>
        <v>, SeasonId= "</v>
      </c>
      <c r="L320">
        <f>Match!F321</f>
        <v>0</v>
      </c>
      <c r="M320" s="94" t="str">
        <f t="shared" si="96"/>
        <v>",Round= "</v>
      </c>
      <c r="N320">
        <f>Match!G318</f>
        <v>0</v>
      </c>
      <c r="O320" t="str">
        <f t="shared" si="97"/>
        <v>",Stage= "</v>
      </c>
      <c r="P320">
        <f>Match!H318</f>
        <v>0</v>
      </c>
      <c r="Q320" t="str">
        <f t="shared" si="98"/>
        <v>",SubStage= "</v>
      </c>
      <c r="R320">
        <f>Match!I318</f>
        <v>0</v>
      </c>
      <c r="S320" t="str">
        <f t="shared" si="99"/>
        <v>",HTeam= "</v>
      </c>
      <c r="T320">
        <f>Match!J318</f>
        <v>0</v>
      </c>
      <c r="U320" t="str">
        <f t="shared" si="100"/>
        <v>",HGoal=</v>
      </c>
      <c r="V320">
        <f>Match!K318</f>
        <v>0</v>
      </c>
      <c r="W320" t="str">
        <f t="shared" si="101"/>
        <v>,GGoal=</v>
      </c>
      <c r="X320">
        <f>Match!L318</f>
        <v>0</v>
      </c>
      <c r="Y320" t="str">
        <f t="shared" si="102"/>
        <v>,GTeam= "</v>
      </c>
      <c r="Z320">
        <f>Match!M318</f>
        <v>0</v>
      </c>
      <c r="AA320" t="str">
        <f t="shared" si="103"/>
        <v>",WinNote="</v>
      </c>
      <c r="AB320" t="str">
        <f>IF(Match!N318="","",Match!N318)</f>
        <v/>
      </c>
      <c r="AC320" t="str">
        <f t="shared" si="104"/>
        <v xml:space="preserve">",Stadium=" </v>
      </c>
      <c r="AD320" s="95">
        <f>Match!O318</f>
        <v>0</v>
      </c>
      <c r="AE320" t="str">
        <f t="shared" si="105"/>
        <v>",Referee= "</v>
      </c>
      <c r="AF320" s="95" t="str">
        <f>IF(Match!P318="","",Match!P318)</f>
        <v/>
      </c>
      <c r="AG320" t="str">
        <f t="shared" si="106"/>
        <v xml:space="preserve">",Visistors= </v>
      </c>
      <c r="AH320" s="95">
        <f>IF(Match!Q321="",0,Match!Q321)</f>
        <v>0</v>
      </c>
      <c r="AI320" t="str">
        <f t="shared" si="107"/>
        <v>,Status= "</v>
      </c>
      <c r="AJ320" s="95">
        <f>Match!R318</f>
        <v>0</v>
      </c>
      <c r="AK320" t="str">
        <f t="shared" si="108"/>
        <v>" },</v>
      </c>
    </row>
    <row r="321" spans="1:37" x14ac:dyDescent="0.25">
      <c r="A321" s="94" t="str">
        <f t="shared" si="76"/>
        <v>new Match { MatchId= "</v>
      </c>
      <c r="B321">
        <f>Match!A322</f>
        <v>0</v>
      </c>
      <c r="C321" s="94" t="str">
        <f t="shared" si="77"/>
        <v>",MatchNumber=</v>
      </c>
      <c r="D321">
        <f>Match!B322</f>
        <v>0</v>
      </c>
      <c r="E321" s="94" t="str">
        <f t="shared" si="78"/>
        <v>,DateMatch=DateTime.Parse("</v>
      </c>
      <c r="F321" s="85">
        <f>Match!C322</f>
        <v>0</v>
      </c>
      <c r="G321" s="92" t="str">
        <f t="shared" si="79"/>
        <v>"),TimeMatch=TimeSpan.Parse("</v>
      </c>
      <c r="H321" s="93">
        <f>Match!D322</f>
        <v>0</v>
      </c>
      <c r="I321" s="94" t="str">
        <f t="shared" si="80"/>
        <v>"),MatchYear=</v>
      </c>
      <c r="J321">
        <f>Match!E322</f>
        <v>0</v>
      </c>
      <c r="K321" s="94" t="str">
        <f t="shared" si="95"/>
        <v>, SeasonId= "</v>
      </c>
      <c r="L321">
        <f>Match!F322</f>
        <v>0</v>
      </c>
      <c r="M321" s="94" t="str">
        <f t="shared" si="96"/>
        <v>",Round= "</v>
      </c>
      <c r="N321">
        <f>Match!G319</f>
        <v>0</v>
      </c>
      <c r="O321" t="str">
        <f t="shared" si="97"/>
        <v>",Stage= "</v>
      </c>
      <c r="P321">
        <f>Match!H319</f>
        <v>0</v>
      </c>
      <c r="Q321" t="str">
        <f t="shared" si="98"/>
        <v>",SubStage= "</v>
      </c>
      <c r="R321">
        <f>Match!I319</f>
        <v>0</v>
      </c>
      <c r="S321" t="str">
        <f t="shared" si="99"/>
        <v>",HTeam= "</v>
      </c>
      <c r="T321">
        <f>Match!J319</f>
        <v>0</v>
      </c>
      <c r="U321" t="str">
        <f t="shared" si="100"/>
        <v>",HGoal=</v>
      </c>
      <c r="V321">
        <f>Match!K319</f>
        <v>0</v>
      </c>
      <c r="W321" t="str">
        <f t="shared" si="101"/>
        <v>,GGoal=</v>
      </c>
      <c r="X321">
        <f>Match!L319</f>
        <v>0</v>
      </c>
      <c r="Y321" t="str">
        <f t="shared" si="102"/>
        <v>,GTeam= "</v>
      </c>
      <c r="Z321">
        <f>Match!M319</f>
        <v>0</v>
      </c>
      <c r="AA321" t="str">
        <f t="shared" si="103"/>
        <v>",WinNote="</v>
      </c>
      <c r="AB321" t="str">
        <f>IF(Match!N319="","",Match!N319)</f>
        <v/>
      </c>
      <c r="AC321" t="str">
        <f t="shared" si="104"/>
        <v xml:space="preserve">",Stadium=" </v>
      </c>
      <c r="AD321" s="95">
        <f>Match!O319</f>
        <v>0</v>
      </c>
      <c r="AE321" t="str">
        <f t="shared" si="105"/>
        <v>",Referee= "</v>
      </c>
      <c r="AF321" s="95" t="str">
        <f>IF(Match!P319="","",Match!P319)</f>
        <v/>
      </c>
      <c r="AG321" t="str">
        <f t="shared" si="106"/>
        <v xml:space="preserve">",Visistors= </v>
      </c>
      <c r="AH321" s="95">
        <f>IF(Match!Q322="",0,Match!Q322)</f>
        <v>0</v>
      </c>
      <c r="AI321" t="str">
        <f t="shared" si="107"/>
        <v>,Status= "</v>
      </c>
      <c r="AJ321" s="95">
        <f>Match!R319</f>
        <v>0</v>
      </c>
      <c r="AK321" t="str">
        <f t="shared" si="108"/>
        <v>" },</v>
      </c>
    </row>
    <row r="322" spans="1:37" x14ac:dyDescent="0.25">
      <c r="A322" s="94" t="str">
        <f t="shared" si="76"/>
        <v>new Match { MatchId= "</v>
      </c>
      <c r="B322">
        <f>Match!A323</f>
        <v>0</v>
      </c>
      <c r="C322" s="94" t="str">
        <f t="shared" si="77"/>
        <v>",MatchNumber=</v>
      </c>
      <c r="D322">
        <f>Match!B323</f>
        <v>0</v>
      </c>
      <c r="E322" s="94" t="str">
        <f t="shared" si="78"/>
        <v>,DateMatch=DateTime.Parse("</v>
      </c>
      <c r="F322" s="85">
        <f>Match!C323</f>
        <v>0</v>
      </c>
      <c r="G322" s="92" t="str">
        <f t="shared" si="79"/>
        <v>"),TimeMatch=TimeSpan.Parse("</v>
      </c>
      <c r="H322" s="93">
        <f>Match!D323</f>
        <v>0</v>
      </c>
      <c r="I322" s="94" t="str">
        <f t="shared" si="80"/>
        <v>"),MatchYear=</v>
      </c>
      <c r="J322">
        <f>Match!E323</f>
        <v>0</v>
      </c>
      <c r="K322" s="94" t="str">
        <f t="shared" si="95"/>
        <v>, SeasonId= "</v>
      </c>
      <c r="L322">
        <f>Match!F323</f>
        <v>0</v>
      </c>
      <c r="M322" s="94" t="str">
        <f t="shared" si="96"/>
        <v>",Round= "</v>
      </c>
      <c r="N322">
        <f>Match!G320</f>
        <v>0</v>
      </c>
      <c r="O322" t="str">
        <f t="shared" si="97"/>
        <v>",Stage= "</v>
      </c>
      <c r="P322">
        <f>Match!H320</f>
        <v>0</v>
      </c>
      <c r="Q322" t="str">
        <f t="shared" si="98"/>
        <v>",SubStage= "</v>
      </c>
      <c r="R322">
        <f>Match!I320</f>
        <v>0</v>
      </c>
      <c r="S322" t="str">
        <f t="shared" si="99"/>
        <v>",HTeam= "</v>
      </c>
      <c r="T322">
        <f>Match!J320</f>
        <v>0</v>
      </c>
      <c r="U322" t="str">
        <f t="shared" si="100"/>
        <v>",HGoal=</v>
      </c>
      <c r="V322">
        <f>Match!K320</f>
        <v>0</v>
      </c>
      <c r="W322" t="str">
        <f t="shared" si="101"/>
        <v>,GGoal=</v>
      </c>
      <c r="X322">
        <f>Match!L320</f>
        <v>0</v>
      </c>
      <c r="Y322" t="str">
        <f t="shared" si="102"/>
        <v>,GTeam= "</v>
      </c>
      <c r="Z322">
        <f>Match!M320</f>
        <v>0</v>
      </c>
      <c r="AA322" t="str">
        <f t="shared" si="103"/>
        <v>",WinNote="</v>
      </c>
      <c r="AB322" t="str">
        <f>IF(Match!N320="","",Match!N320)</f>
        <v/>
      </c>
      <c r="AC322" t="str">
        <f t="shared" si="104"/>
        <v xml:space="preserve">",Stadium=" </v>
      </c>
      <c r="AD322" s="95">
        <f>Match!O320</f>
        <v>0</v>
      </c>
      <c r="AE322" t="str">
        <f t="shared" si="105"/>
        <v>",Referee= "</v>
      </c>
      <c r="AF322" s="95" t="str">
        <f>IF(Match!P320="","",Match!P320)</f>
        <v/>
      </c>
      <c r="AG322" t="str">
        <f t="shared" si="106"/>
        <v xml:space="preserve">",Visistors= </v>
      </c>
      <c r="AH322" s="95">
        <f>IF(Match!Q323="",0,Match!Q323)</f>
        <v>0</v>
      </c>
      <c r="AI322" t="str">
        <f t="shared" si="107"/>
        <v>,Status= "</v>
      </c>
      <c r="AJ322" s="95">
        <f>Match!R320</f>
        <v>0</v>
      </c>
      <c r="AK322" t="str">
        <f t="shared" si="108"/>
        <v>" },</v>
      </c>
    </row>
    <row r="323" spans="1:37" x14ac:dyDescent="0.25">
      <c r="A323" s="94" t="str">
        <f t="shared" ref="A323:A331" si="109">A322</f>
        <v>new Match { MatchId= "</v>
      </c>
      <c r="B323">
        <f>Match!A324</f>
        <v>0</v>
      </c>
      <c r="C323" s="94" t="str">
        <f t="shared" ref="C323:C331" si="110">C322</f>
        <v>",MatchNumber=</v>
      </c>
      <c r="D323">
        <f>Match!B324</f>
        <v>0</v>
      </c>
      <c r="E323" s="94" t="str">
        <f t="shared" ref="E323:E331" si="111">E322</f>
        <v>,DateMatch=DateTime.Parse("</v>
      </c>
      <c r="F323" s="85">
        <f>Match!C324</f>
        <v>0</v>
      </c>
      <c r="G323" s="92" t="str">
        <f t="shared" ref="G323:G331" si="112">G322</f>
        <v>"),TimeMatch=TimeSpan.Parse("</v>
      </c>
      <c r="H323" s="93">
        <f>Match!D324</f>
        <v>0</v>
      </c>
      <c r="I323" s="94" t="str">
        <f t="shared" ref="I323:I331" si="113">I322</f>
        <v>"),MatchYear=</v>
      </c>
      <c r="J323">
        <f>Match!E324</f>
        <v>0</v>
      </c>
      <c r="K323" s="94" t="str">
        <f t="shared" ref="K323:K331" si="114">K322</f>
        <v>, SeasonId= "</v>
      </c>
      <c r="L323">
        <f>Match!F324</f>
        <v>0</v>
      </c>
      <c r="M323" s="94" t="str">
        <f t="shared" ref="M323:M331" si="115">M322</f>
        <v>",Round= "</v>
      </c>
      <c r="N323">
        <f>Match!G321</f>
        <v>0</v>
      </c>
      <c r="O323" t="str">
        <f t="shared" ref="O323:O331" si="116">O322</f>
        <v>",Stage= "</v>
      </c>
      <c r="P323">
        <f>Match!H321</f>
        <v>0</v>
      </c>
      <c r="Q323" t="str">
        <f t="shared" ref="Q323:Q331" si="117">Q322</f>
        <v>",SubStage= "</v>
      </c>
      <c r="R323">
        <f>Match!I321</f>
        <v>0</v>
      </c>
      <c r="S323" t="str">
        <f t="shared" ref="S323:S331" si="118">S322</f>
        <v>",HTeam= "</v>
      </c>
      <c r="T323">
        <f>Match!J321</f>
        <v>0</v>
      </c>
      <c r="U323" t="str">
        <f t="shared" ref="U323:U331" si="119">U322</f>
        <v>",HGoal=</v>
      </c>
      <c r="V323">
        <f>Match!K321</f>
        <v>0</v>
      </c>
      <c r="W323" t="str">
        <f t="shared" ref="W323:W331" si="120">W322</f>
        <v>,GGoal=</v>
      </c>
      <c r="X323">
        <f>Match!L321</f>
        <v>0</v>
      </c>
      <c r="Y323" t="str">
        <f t="shared" ref="Y323:Y331" si="121">Y322</f>
        <v>,GTeam= "</v>
      </c>
      <c r="Z323">
        <f>Match!M321</f>
        <v>0</v>
      </c>
      <c r="AA323" t="str">
        <f t="shared" ref="AA323:AA331" si="122">AA322</f>
        <v>",WinNote="</v>
      </c>
      <c r="AB323" t="str">
        <f>IF(Match!N321="","",Match!N321)</f>
        <v/>
      </c>
      <c r="AC323" t="str">
        <f t="shared" ref="AC323:AC331" si="123">AC322</f>
        <v xml:space="preserve">",Stadium=" </v>
      </c>
      <c r="AD323" s="95">
        <f>Match!O321</f>
        <v>0</v>
      </c>
      <c r="AE323" t="str">
        <f t="shared" ref="AE323:AE331" si="124">AE322</f>
        <v>",Referee= "</v>
      </c>
      <c r="AF323" s="95" t="str">
        <f>IF(Match!P321="","",Match!P321)</f>
        <v/>
      </c>
      <c r="AG323" t="str">
        <f t="shared" ref="AG323:AG331" si="125">AG322</f>
        <v xml:space="preserve">",Visistors= </v>
      </c>
      <c r="AH323" s="95">
        <f>IF(Match!Q324="",0,Match!Q324)</f>
        <v>0</v>
      </c>
      <c r="AI323" t="str">
        <f t="shared" ref="AI323:AI331" si="126">AI322</f>
        <v>,Status= "</v>
      </c>
      <c r="AJ323" s="95">
        <f>Match!R321</f>
        <v>0</v>
      </c>
      <c r="AK323" t="str">
        <f t="shared" ref="AK323:AK331" si="127">AK322</f>
        <v>" },</v>
      </c>
    </row>
    <row r="324" spans="1:37" x14ac:dyDescent="0.25">
      <c r="A324" s="94" t="str">
        <f t="shared" si="109"/>
        <v>new Match { MatchId= "</v>
      </c>
      <c r="B324">
        <f>Match!A325</f>
        <v>0</v>
      </c>
      <c r="C324" s="94" t="str">
        <f t="shared" si="110"/>
        <v>",MatchNumber=</v>
      </c>
      <c r="D324">
        <f>Match!B325</f>
        <v>0</v>
      </c>
      <c r="E324" s="94" t="str">
        <f t="shared" si="111"/>
        <v>,DateMatch=DateTime.Parse("</v>
      </c>
      <c r="F324" s="85">
        <f>Match!C325</f>
        <v>0</v>
      </c>
      <c r="G324" s="92" t="str">
        <f t="shared" si="112"/>
        <v>"),TimeMatch=TimeSpan.Parse("</v>
      </c>
      <c r="H324" s="93">
        <f>Match!D325</f>
        <v>0</v>
      </c>
      <c r="I324" s="94" t="str">
        <f t="shared" si="113"/>
        <v>"),MatchYear=</v>
      </c>
      <c r="J324">
        <f>Match!E325</f>
        <v>0</v>
      </c>
      <c r="K324" s="94" t="str">
        <f t="shared" si="114"/>
        <v>, SeasonId= "</v>
      </c>
      <c r="L324">
        <f>Match!F325</f>
        <v>0</v>
      </c>
      <c r="M324" s="94" t="str">
        <f t="shared" si="115"/>
        <v>",Round= "</v>
      </c>
      <c r="N324">
        <f>Match!G322</f>
        <v>0</v>
      </c>
      <c r="O324" t="str">
        <f t="shared" si="116"/>
        <v>",Stage= "</v>
      </c>
      <c r="P324">
        <f>Match!H322</f>
        <v>0</v>
      </c>
      <c r="Q324" t="str">
        <f t="shared" si="117"/>
        <v>",SubStage= "</v>
      </c>
      <c r="R324">
        <f>Match!I322</f>
        <v>0</v>
      </c>
      <c r="S324" t="str">
        <f t="shared" si="118"/>
        <v>",HTeam= "</v>
      </c>
      <c r="T324">
        <f>Match!J322</f>
        <v>0</v>
      </c>
      <c r="U324" t="str">
        <f t="shared" si="119"/>
        <v>",HGoal=</v>
      </c>
      <c r="V324">
        <f>Match!K322</f>
        <v>0</v>
      </c>
      <c r="W324" t="str">
        <f t="shared" si="120"/>
        <v>,GGoal=</v>
      </c>
      <c r="X324">
        <f>Match!L322</f>
        <v>0</v>
      </c>
      <c r="Y324" t="str">
        <f t="shared" si="121"/>
        <v>,GTeam= "</v>
      </c>
      <c r="Z324">
        <f>Match!M322</f>
        <v>0</v>
      </c>
      <c r="AA324" t="str">
        <f t="shared" si="122"/>
        <v>",WinNote="</v>
      </c>
      <c r="AB324" t="str">
        <f>IF(Match!N322="","",Match!N322)</f>
        <v/>
      </c>
      <c r="AC324" t="str">
        <f t="shared" si="123"/>
        <v xml:space="preserve">",Stadium=" </v>
      </c>
      <c r="AD324" s="95">
        <f>Match!O322</f>
        <v>0</v>
      </c>
      <c r="AE324" t="str">
        <f t="shared" si="124"/>
        <v>",Referee= "</v>
      </c>
      <c r="AF324" s="95" t="str">
        <f>IF(Match!P322="","",Match!P322)</f>
        <v/>
      </c>
      <c r="AG324" t="str">
        <f t="shared" si="125"/>
        <v xml:space="preserve">",Visistors= </v>
      </c>
      <c r="AH324" s="95">
        <f>IF(Match!Q325="",0,Match!Q325)</f>
        <v>0</v>
      </c>
      <c r="AI324" t="str">
        <f t="shared" si="126"/>
        <v>,Status= "</v>
      </c>
      <c r="AJ324" s="95">
        <f>Match!R322</f>
        <v>0</v>
      </c>
      <c r="AK324" t="str">
        <f t="shared" si="127"/>
        <v>" },</v>
      </c>
    </row>
    <row r="325" spans="1:37" x14ac:dyDescent="0.25">
      <c r="A325" s="94" t="str">
        <f t="shared" si="109"/>
        <v>new Match { MatchId= "</v>
      </c>
      <c r="B325">
        <f>Match!A326</f>
        <v>0</v>
      </c>
      <c r="C325" s="94" t="str">
        <f t="shared" si="110"/>
        <v>",MatchNumber=</v>
      </c>
      <c r="D325">
        <f>Match!B326</f>
        <v>0</v>
      </c>
      <c r="E325" s="94" t="str">
        <f t="shared" si="111"/>
        <v>,DateMatch=DateTime.Parse("</v>
      </c>
      <c r="F325" s="85">
        <f>Match!C326</f>
        <v>0</v>
      </c>
      <c r="G325" s="92" t="str">
        <f t="shared" si="112"/>
        <v>"),TimeMatch=TimeSpan.Parse("</v>
      </c>
      <c r="H325" s="93">
        <f>Match!D326</f>
        <v>0</v>
      </c>
      <c r="I325" s="94" t="str">
        <f t="shared" si="113"/>
        <v>"),MatchYear=</v>
      </c>
      <c r="J325">
        <f>Match!E326</f>
        <v>0</v>
      </c>
      <c r="K325" s="94" t="str">
        <f t="shared" si="114"/>
        <v>, SeasonId= "</v>
      </c>
      <c r="L325">
        <f>Match!F326</f>
        <v>0</v>
      </c>
      <c r="M325" s="94" t="str">
        <f t="shared" si="115"/>
        <v>",Round= "</v>
      </c>
      <c r="N325">
        <f>Match!G323</f>
        <v>0</v>
      </c>
      <c r="O325" t="str">
        <f t="shared" si="116"/>
        <v>",Stage= "</v>
      </c>
      <c r="P325">
        <f>Match!H323</f>
        <v>0</v>
      </c>
      <c r="Q325" t="str">
        <f t="shared" si="117"/>
        <v>",SubStage= "</v>
      </c>
      <c r="R325">
        <f>Match!I323</f>
        <v>0</v>
      </c>
      <c r="S325" t="str">
        <f t="shared" si="118"/>
        <v>",HTeam= "</v>
      </c>
      <c r="T325">
        <f>Match!J323</f>
        <v>0</v>
      </c>
      <c r="U325" t="str">
        <f t="shared" si="119"/>
        <v>",HGoal=</v>
      </c>
      <c r="V325">
        <f>Match!K323</f>
        <v>0</v>
      </c>
      <c r="W325" t="str">
        <f t="shared" si="120"/>
        <v>,GGoal=</v>
      </c>
      <c r="X325">
        <f>Match!L323</f>
        <v>0</v>
      </c>
      <c r="Y325" t="str">
        <f t="shared" si="121"/>
        <v>,GTeam= "</v>
      </c>
      <c r="Z325">
        <f>Match!M323</f>
        <v>0</v>
      </c>
      <c r="AA325" t="str">
        <f t="shared" si="122"/>
        <v>",WinNote="</v>
      </c>
      <c r="AB325" t="str">
        <f>IF(Match!N323="","",Match!N323)</f>
        <v/>
      </c>
      <c r="AC325" t="str">
        <f t="shared" si="123"/>
        <v xml:space="preserve">",Stadium=" </v>
      </c>
      <c r="AD325" s="95">
        <f>Match!O323</f>
        <v>0</v>
      </c>
      <c r="AE325" t="str">
        <f t="shared" si="124"/>
        <v>",Referee= "</v>
      </c>
      <c r="AF325" s="95" t="str">
        <f>IF(Match!P323="","",Match!P323)</f>
        <v/>
      </c>
      <c r="AG325" t="str">
        <f t="shared" si="125"/>
        <v xml:space="preserve">",Visistors= </v>
      </c>
      <c r="AH325" s="95">
        <f>IF(Match!Q326="",0,Match!Q326)</f>
        <v>0</v>
      </c>
      <c r="AI325" t="str">
        <f t="shared" si="126"/>
        <v>,Status= "</v>
      </c>
      <c r="AJ325" s="95">
        <f>Match!R323</f>
        <v>0</v>
      </c>
      <c r="AK325" t="str">
        <f t="shared" si="127"/>
        <v>" },</v>
      </c>
    </row>
    <row r="326" spans="1:37" x14ac:dyDescent="0.25">
      <c r="A326" s="94" t="str">
        <f t="shared" si="109"/>
        <v>new Match { MatchId= "</v>
      </c>
      <c r="B326">
        <f>Match!A327</f>
        <v>0</v>
      </c>
      <c r="C326" s="94" t="str">
        <f t="shared" si="110"/>
        <v>",MatchNumber=</v>
      </c>
      <c r="D326">
        <f>Match!B327</f>
        <v>0</v>
      </c>
      <c r="E326" s="94" t="str">
        <f t="shared" si="111"/>
        <v>,DateMatch=DateTime.Parse("</v>
      </c>
      <c r="F326" s="85">
        <f>Match!C327</f>
        <v>0</v>
      </c>
      <c r="G326" s="92" t="str">
        <f t="shared" si="112"/>
        <v>"),TimeMatch=TimeSpan.Parse("</v>
      </c>
      <c r="H326" s="93">
        <f>Match!D327</f>
        <v>0</v>
      </c>
      <c r="I326" s="94" t="str">
        <f t="shared" si="113"/>
        <v>"),MatchYear=</v>
      </c>
      <c r="J326">
        <f>Match!E327</f>
        <v>0</v>
      </c>
      <c r="K326" s="94" t="str">
        <f t="shared" si="114"/>
        <v>, SeasonId= "</v>
      </c>
      <c r="L326">
        <f>Match!F327</f>
        <v>0</v>
      </c>
      <c r="M326" s="94" t="str">
        <f t="shared" si="115"/>
        <v>",Round= "</v>
      </c>
      <c r="N326">
        <f>Match!G324</f>
        <v>0</v>
      </c>
      <c r="O326" t="str">
        <f t="shared" si="116"/>
        <v>",Stage= "</v>
      </c>
      <c r="P326">
        <f>Match!H324</f>
        <v>0</v>
      </c>
      <c r="Q326" t="str">
        <f t="shared" si="117"/>
        <v>",SubStage= "</v>
      </c>
      <c r="R326">
        <f>Match!I324</f>
        <v>0</v>
      </c>
      <c r="S326" t="str">
        <f t="shared" si="118"/>
        <v>",HTeam= "</v>
      </c>
      <c r="T326">
        <f>Match!J324</f>
        <v>0</v>
      </c>
      <c r="U326" t="str">
        <f t="shared" si="119"/>
        <v>",HGoal=</v>
      </c>
      <c r="V326">
        <f>Match!K324</f>
        <v>0</v>
      </c>
      <c r="W326" t="str">
        <f t="shared" si="120"/>
        <v>,GGoal=</v>
      </c>
      <c r="X326">
        <f>Match!L324</f>
        <v>0</v>
      </c>
      <c r="Y326" t="str">
        <f t="shared" si="121"/>
        <v>,GTeam= "</v>
      </c>
      <c r="Z326">
        <f>Match!M324</f>
        <v>0</v>
      </c>
      <c r="AA326" t="str">
        <f t="shared" si="122"/>
        <v>",WinNote="</v>
      </c>
      <c r="AB326" t="str">
        <f>IF(Match!N324="","",Match!N324)</f>
        <v/>
      </c>
      <c r="AC326" t="str">
        <f t="shared" si="123"/>
        <v xml:space="preserve">",Stadium=" </v>
      </c>
      <c r="AD326" s="95">
        <f>Match!O324</f>
        <v>0</v>
      </c>
      <c r="AE326" t="str">
        <f t="shared" si="124"/>
        <v>",Referee= "</v>
      </c>
      <c r="AF326" s="95" t="str">
        <f>IF(Match!P324="","",Match!P324)</f>
        <v/>
      </c>
      <c r="AG326" t="str">
        <f t="shared" si="125"/>
        <v xml:space="preserve">",Visistors= </v>
      </c>
      <c r="AH326" s="95">
        <f>IF(Match!Q327="",0,Match!Q327)</f>
        <v>0</v>
      </c>
      <c r="AI326" t="str">
        <f t="shared" si="126"/>
        <v>,Status= "</v>
      </c>
      <c r="AJ326" s="95">
        <f>Match!R324</f>
        <v>0</v>
      </c>
      <c r="AK326" t="str">
        <f t="shared" si="127"/>
        <v>" },</v>
      </c>
    </row>
    <row r="327" spans="1:37" x14ac:dyDescent="0.25">
      <c r="A327" s="94" t="str">
        <f t="shared" si="109"/>
        <v>new Match { MatchId= "</v>
      </c>
      <c r="B327">
        <f>Match!A328</f>
        <v>0</v>
      </c>
      <c r="C327" s="94" t="str">
        <f t="shared" si="110"/>
        <v>",MatchNumber=</v>
      </c>
      <c r="D327">
        <f>Match!B328</f>
        <v>0</v>
      </c>
      <c r="E327" s="94" t="str">
        <f t="shared" si="111"/>
        <v>,DateMatch=DateTime.Parse("</v>
      </c>
      <c r="F327" s="85">
        <f>Match!C328</f>
        <v>0</v>
      </c>
      <c r="G327" s="92" t="str">
        <f t="shared" si="112"/>
        <v>"),TimeMatch=TimeSpan.Parse("</v>
      </c>
      <c r="H327" s="93">
        <f>Match!D328</f>
        <v>0</v>
      </c>
      <c r="I327" s="94" t="str">
        <f t="shared" si="113"/>
        <v>"),MatchYear=</v>
      </c>
      <c r="J327">
        <f>Match!E328</f>
        <v>0</v>
      </c>
      <c r="K327" s="94" t="str">
        <f t="shared" si="114"/>
        <v>, SeasonId= "</v>
      </c>
      <c r="L327">
        <f>Match!F328</f>
        <v>0</v>
      </c>
      <c r="M327" s="94" t="str">
        <f t="shared" si="115"/>
        <v>",Round= "</v>
      </c>
      <c r="N327">
        <f>Match!G325</f>
        <v>0</v>
      </c>
      <c r="O327" t="str">
        <f t="shared" si="116"/>
        <v>",Stage= "</v>
      </c>
      <c r="P327">
        <f>Match!H325</f>
        <v>0</v>
      </c>
      <c r="Q327" t="str">
        <f t="shared" si="117"/>
        <v>",SubStage= "</v>
      </c>
      <c r="R327">
        <f>Match!I325</f>
        <v>0</v>
      </c>
      <c r="S327" t="str">
        <f t="shared" si="118"/>
        <v>",HTeam= "</v>
      </c>
      <c r="T327">
        <f>Match!J325</f>
        <v>0</v>
      </c>
      <c r="U327" t="str">
        <f t="shared" si="119"/>
        <v>",HGoal=</v>
      </c>
      <c r="V327">
        <f>Match!K325</f>
        <v>0</v>
      </c>
      <c r="W327" t="str">
        <f t="shared" si="120"/>
        <v>,GGoal=</v>
      </c>
      <c r="X327">
        <f>Match!L325</f>
        <v>0</v>
      </c>
      <c r="Y327" t="str">
        <f t="shared" si="121"/>
        <v>,GTeam= "</v>
      </c>
      <c r="Z327">
        <f>Match!M325</f>
        <v>0</v>
      </c>
      <c r="AA327" t="str">
        <f t="shared" si="122"/>
        <v>",WinNote="</v>
      </c>
      <c r="AB327" t="str">
        <f>IF(Match!N325="","",Match!N325)</f>
        <v/>
      </c>
      <c r="AC327" t="str">
        <f t="shared" si="123"/>
        <v xml:space="preserve">",Stadium=" </v>
      </c>
      <c r="AD327" s="95">
        <f>Match!O325</f>
        <v>0</v>
      </c>
      <c r="AE327" t="str">
        <f t="shared" si="124"/>
        <v>",Referee= "</v>
      </c>
      <c r="AF327" s="95" t="str">
        <f>IF(Match!P325="","",Match!P325)</f>
        <v/>
      </c>
      <c r="AG327" t="str">
        <f t="shared" si="125"/>
        <v xml:space="preserve">",Visistors= </v>
      </c>
      <c r="AH327" s="95">
        <f>IF(Match!Q328="",0,Match!Q328)</f>
        <v>0</v>
      </c>
      <c r="AI327" t="str">
        <f t="shared" si="126"/>
        <v>,Status= "</v>
      </c>
      <c r="AJ327" s="95">
        <f>Match!R325</f>
        <v>0</v>
      </c>
      <c r="AK327" t="str">
        <f t="shared" si="127"/>
        <v>" },</v>
      </c>
    </row>
    <row r="328" spans="1:37" x14ac:dyDescent="0.25">
      <c r="A328" s="94" t="str">
        <f t="shared" si="109"/>
        <v>new Match { MatchId= "</v>
      </c>
      <c r="B328">
        <f>Match!A329</f>
        <v>0</v>
      </c>
      <c r="C328" s="94" t="str">
        <f t="shared" si="110"/>
        <v>",MatchNumber=</v>
      </c>
      <c r="D328">
        <f>Match!B329</f>
        <v>0</v>
      </c>
      <c r="E328" s="94" t="str">
        <f t="shared" si="111"/>
        <v>,DateMatch=DateTime.Parse("</v>
      </c>
      <c r="F328" s="85">
        <f>Match!C329</f>
        <v>0</v>
      </c>
      <c r="G328" s="92" t="str">
        <f t="shared" si="112"/>
        <v>"),TimeMatch=TimeSpan.Parse("</v>
      </c>
      <c r="H328" s="93">
        <f>Match!D329</f>
        <v>0</v>
      </c>
      <c r="I328" s="94" t="str">
        <f t="shared" si="113"/>
        <v>"),MatchYear=</v>
      </c>
      <c r="J328">
        <f>Match!E329</f>
        <v>0</v>
      </c>
      <c r="K328" s="94" t="str">
        <f t="shared" si="114"/>
        <v>, SeasonId= "</v>
      </c>
      <c r="L328">
        <f>Match!F329</f>
        <v>0</v>
      </c>
      <c r="M328" s="94" t="str">
        <f t="shared" si="115"/>
        <v>",Round= "</v>
      </c>
      <c r="N328">
        <f>Match!G326</f>
        <v>0</v>
      </c>
      <c r="O328" t="str">
        <f t="shared" si="116"/>
        <v>",Stage= "</v>
      </c>
      <c r="P328">
        <f>Match!H326</f>
        <v>0</v>
      </c>
      <c r="Q328" t="str">
        <f t="shared" si="117"/>
        <v>",SubStage= "</v>
      </c>
      <c r="R328">
        <f>Match!I326</f>
        <v>0</v>
      </c>
      <c r="S328" t="str">
        <f t="shared" si="118"/>
        <v>",HTeam= "</v>
      </c>
      <c r="T328">
        <f>Match!J326</f>
        <v>0</v>
      </c>
      <c r="U328" t="str">
        <f t="shared" si="119"/>
        <v>",HGoal=</v>
      </c>
      <c r="V328">
        <f>Match!K326</f>
        <v>0</v>
      </c>
      <c r="W328" t="str">
        <f t="shared" si="120"/>
        <v>,GGoal=</v>
      </c>
      <c r="X328">
        <f>Match!L326</f>
        <v>0</v>
      </c>
      <c r="Y328" t="str">
        <f t="shared" si="121"/>
        <v>,GTeam= "</v>
      </c>
      <c r="Z328">
        <f>Match!M326</f>
        <v>0</v>
      </c>
      <c r="AA328" t="str">
        <f t="shared" si="122"/>
        <v>",WinNote="</v>
      </c>
      <c r="AB328" t="str">
        <f>IF(Match!N326="","",Match!N326)</f>
        <v/>
      </c>
      <c r="AC328" t="str">
        <f t="shared" si="123"/>
        <v xml:space="preserve">",Stadium=" </v>
      </c>
      <c r="AD328" s="95">
        <f>Match!O326</f>
        <v>0</v>
      </c>
      <c r="AE328" t="str">
        <f t="shared" si="124"/>
        <v>",Referee= "</v>
      </c>
      <c r="AF328" s="95" t="str">
        <f>IF(Match!P326="","",Match!P326)</f>
        <v/>
      </c>
      <c r="AG328" t="str">
        <f t="shared" si="125"/>
        <v xml:space="preserve">",Visistors= </v>
      </c>
      <c r="AH328" s="95">
        <f>IF(Match!Q329="",0,Match!Q329)</f>
        <v>0</v>
      </c>
      <c r="AI328" t="str">
        <f t="shared" si="126"/>
        <v>,Status= "</v>
      </c>
      <c r="AJ328" s="95">
        <f>Match!R326</f>
        <v>0</v>
      </c>
      <c r="AK328" t="str">
        <f t="shared" si="127"/>
        <v>" },</v>
      </c>
    </row>
    <row r="329" spans="1:37" x14ac:dyDescent="0.25">
      <c r="A329" s="94" t="str">
        <f t="shared" si="109"/>
        <v>new Match { MatchId= "</v>
      </c>
      <c r="B329">
        <f>Match!A330</f>
        <v>0</v>
      </c>
      <c r="C329" s="94" t="str">
        <f t="shared" si="110"/>
        <v>",MatchNumber=</v>
      </c>
      <c r="D329">
        <f>Match!B330</f>
        <v>0</v>
      </c>
      <c r="E329" s="94" t="str">
        <f t="shared" si="111"/>
        <v>,DateMatch=DateTime.Parse("</v>
      </c>
      <c r="F329" s="85">
        <f>Match!C330</f>
        <v>0</v>
      </c>
      <c r="G329" s="92" t="str">
        <f t="shared" si="112"/>
        <v>"),TimeMatch=TimeSpan.Parse("</v>
      </c>
      <c r="H329" s="93">
        <f>Match!D330</f>
        <v>0</v>
      </c>
      <c r="I329" s="94" t="str">
        <f t="shared" si="113"/>
        <v>"),MatchYear=</v>
      </c>
      <c r="J329">
        <f>Match!E330</f>
        <v>0</v>
      </c>
      <c r="K329" s="94" t="str">
        <f t="shared" si="114"/>
        <v>, SeasonId= "</v>
      </c>
      <c r="L329">
        <f>Match!F330</f>
        <v>0</v>
      </c>
      <c r="M329" s="94" t="str">
        <f t="shared" si="115"/>
        <v>",Round= "</v>
      </c>
      <c r="N329">
        <f>Match!G327</f>
        <v>0</v>
      </c>
      <c r="O329" t="str">
        <f t="shared" si="116"/>
        <v>",Stage= "</v>
      </c>
      <c r="P329">
        <f>Match!H327</f>
        <v>0</v>
      </c>
      <c r="Q329" t="str">
        <f t="shared" si="117"/>
        <v>",SubStage= "</v>
      </c>
      <c r="R329">
        <f>Match!I327</f>
        <v>0</v>
      </c>
      <c r="S329" t="str">
        <f t="shared" si="118"/>
        <v>",HTeam= "</v>
      </c>
      <c r="T329">
        <f>Match!J327</f>
        <v>0</v>
      </c>
      <c r="U329" t="str">
        <f t="shared" si="119"/>
        <v>",HGoal=</v>
      </c>
      <c r="V329">
        <f>Match!K327</f>
        <v>0</v>
      </c>
      <c r="W329" t="str">
        <f t="shared" si="120"/>
        <v>,GGoal=</v>
      </c>
      <c r="X329">
        <f>Match!L327</f>
        <v>0</v>
      </c>
      <c r="Y329" t="str">
        <f t="shared" si="121"/>
        <v>,GTeam= "</v>
      </c>
      <c r="Z329">
        <f>Match!M327</f>
        <v>0</v>
      </c>
      <c r="AA329" t="str">
        <f t="shared" si="122"/>
        <v>",WinNote="</v>
      </c>
      <c r="AB329" t="str">
        <f>IF(Match!N327="","",Match!N327)</f>
        <v/>
      </c>
      <c r="AC329" t="str">
        <f t="shared" si="123"/>
        <v xml:space="preserve">",Stadium=" </v>
      </c>
      <c r="AD329" s="95">
        <f>Match!O327</f>
        <v>0</v>
      </c>
      <c r="AE329" t="str">
        <f t="shared" si="124"/>
        <v>",Referee= "</v>
      </c>
      <c r="AF329" s="95" t="str">
        <f>IF(Match!P327="","",Match!P327)</f>
        <v/>
      </c>
      <c r="AG329" t="str">
        <f t="shared" si="125"/>
        <v xml:space="preserve">",Visistors= </v>
      </c>
      <c r="AH329" s="95">
        <f>IF(Match!Q330="",0,Match!Q330)</f>
        <v>0</v>
      </c>
      <c r="AI329" t="str">
        <f t="shared" si="126"/>
        <v>,Status= "</v>
      </c>
      <c r="AJ329" s="95">
        <f>Match!R327</f>
        <v>0</v>
      </c>
      <c r="AK329" t="str">
        <f t="shared" si="127"/>
        <v>" },</v>
      </c>
    </row>
    <row r="330" spans="1:37" x14ac:dyDescent="0.25">
      <c r="A330" s="94" t="str">
        <f t="shared" si="109"/>
        <v>new Match { MatchId= "</v>
      </c>
      <c r="B330">
        <f>Match!A331</f>
        <v>0</v>
      </c>
      <c r="C330" s="94" t="str">
        <f t="shared" si="110"/>
        <v>",MatchNumber=</v>
      </c>
      <c r="D330">
        <f>Match!B331</f>
        <v>0</v>
      </c>
      <c r="E330" s="94" t="str">
        <f t="shared" si="111"/>
        <v>,DateMatch=DateTime.Parse("</v>
      </c>
      <c r="F330" s="85">
        <f>Match!C331</f>
        <v>0</v>
      </c>
      <c r="G330" s="92" t="str">
        <f t="shared" si="112"/>
        <v>"),TimeMatch=TimeSpan.Parse("</v>
      </c>
      <c r="H330" s="93">
        <f>Match!D331</f>
        <v>0</v>
      </c>
      <c r="I330" s="94" t="str">
        <f t="shared" si="113"/>
        <v>"),MatchYear=</v>
      </c>
      <c r="J330">
        <f>Match!E331</f>
        <v>0</v>
      </c>
      <c r="K330" s="94" t="str">
        <f t="shared" si="114"/>
        <v>, SeasonId= "</v>
      </c>
      <c r="L330">
        <f>Match!F331</f>
        <v>0</v>
      </c>
      <c r="M330" s="94" t="str">
        <f t="shared" si="115"/>
        <v>",Round= "</v>
      </c>
      <c r="N330">
        <f>Match!G328</f>
        <v>0</v>
      </c>
      <c r="O330" t="str">
        <f t="shared" si="116"/>
        <v>",Stage= "</v>
      </c>
      <c r="P330">
        <f>Match!H328</f>
        <v>0</v>
      </c>
      <c r="Q330" t="str">
        <f t="shared" si="117"/>
        <v>",SubStage= "</v>
      </c>
      <c r="R330">
        <f>Match!I328</f>
        <v>0</v>
      </c>
      <c r="S330" t="str">
        <f t="shared" si="118"/>
        <v>",HTeam= "</v>
      </c>
      <c r="T330">
        <f>Match!J328</f>
        <v>0</v>
      </c>
      <c r="U330" t="str">
        <f t="shared" si="119"/>
        <v>",HGoal=</v>
      </c>
      <c r="V330">
        <f>Match!K328</f>
        <v>0</v>
      </c>
      <c r="W330" t="str">
        <f t="shared" si="120"/>
        <v>,GGoal=</v>
      </c>
      <c r="X330">
        <f>Match!L328</f>
        <v>0</v>
      </c>
      <c r="Y330" t="str">
        <f t="shared" si="121"/>
        <v>,GTeam= "</v>
      </c>
      <c r="Z330">
        <f>Match!M328</f>
        <v>0</v>
      </c>
      <c r="AA330" t="str">
        <f t="shared" si="122"/>
        <v>",WinNote="</v>
      </c>
      <c r="AB330" t="str">
        <f>IF(Match!N328="","",Match!N328)</f>
        <v/>
      </c>
      <c r="AC330" t="str">
        <f t="shared" si="123"/>
        <v xml:space="preserve">",Stadium=" </v>
      </c>
      <c r="AD330" s="95">
        <f>Match!O328</f>
        <v>0</v>
      </c>
      <c r="AE330" t="str">
        <f t="shared" si="124"/>
        <v>",Referee= "</v>
      </c>
      <c r="AF330" s="95" t="str">
        <f>IF(Match!P328="","",Match!P328)</f>
        <v/>
      </c>
      <c r="AG330" t="str">
        <f t="shared" si="125"/>
        <v xml:space="preserve">",Visistors= </v>
      </c>
      <c r="AH330" s="95">
        <f>IF(Match!Q331="",0,Match!Q331)</f>
        <v>0</v>
      </c>
      <c r="AI330" t="str">
        <f t="shared" si="126"/>
        <v>,Status= "</v>
      </c>
      <c r="AJ330" s="95">
        <f>Match!R328</f>
        <v>0</v>
      </c>
      <c r="AK330" t="str">
        <f t="shared" si="127"/>
        <v>" },</v>
      </c>
    </row>
    <row r="331" spans="1:37" x14ac:dyDescent="0.25">
      <c r="A331" s="94" t="str">
        <f t="shared" si="109"/>
        <v>new Match { MatchId= "</v>
      </c>
      <c r="B331">
        <f>Match!A332</f>
        <v>0</v>
      </c>
      <c r="C331" s="94" t="str">
        <f t="shared" si="110"/>
        <v>",MatchNumber=</v>
      </c>
      <c r="D331">
        <f>Match!B332</f>
        <v>0</v>
      </c>
      <c r="E331" s="94" t="str">
        <f t="shared" si="111"/>
        <v>,DateMatch=DateTime.Parse("</v>
      </c>
      <c r="F331" s="85">
        <f>Match!C332</f>
        <v>0</v>
      </c>
      <c r="G331" s="92" t="str">
        <f t="shared" si="112"/>
        <v>"),TimeMatch=TimeSpan.Parse("</v>
      </c>
      <c r="H331" s="93">
        <f>Match!D332</f>
        <v>0</v>
      </c>
      <c r="I331" s="94" t="str">
        <f t="shared" si="113"/>
        <v>"),MatchYear=</v>
      </c>
      <c r="J331">
        <f>Match!E332</f>
        <v>0</v>
      </c>
      <c r="K331" s="94" t="str">
        <f t="shared" si="114"/>
        <v>, SeasonId= "</v>
      </c>
      <c r="L331">
        <f>Match!F332</f>
        <v>0</v>
      </c>
      <c r="M331" s="94" t="str">
        <f t="shared" si="115"/>
        <v>",Round= "</v>
      </c>
      <c r="N331">
        <f>Match!G329</f>
        <v>0</v>
      </c>
      <c r="O331" t="str">
        <f t="shared" si="116"/>
        <v>",Stage= "</v>
      </c>
      <c r="P331">
        <f>Match!H329</f>
        <v>0</v>
      </c>
      <c r="Q331" t="str">
        <f t="shared" si="117"/>
        <v>",SubStage= "</v>
      </c>
      <c r="R331">
        <f>Match!I329</f>
        <v>0</v>
      </c>
      <c r="S331" t="str">
        <f t="shared" si="118"/>
        <v>",HTeam= "</v>
      </c>
      <c r="T331">
        <f>Match!J329</f>
        <v>0</v>
      </c>
      <c r="U331" t="str">
        <f t="shared" si="119"/>
        <v>",HGoal=</v>
      </c>
      <c r="V331">
        <f>Match!K329</f>
        <v>0</v>
      </c>
      <c r="W331" t="str">
        <f t="shared" si="120"/>
        <v>,GGoal=</v>
      </c>
      <c r="X331">
        <f>Match!L329</f>
        <v>0</v>
      </c>
      <c r="Y331" t="str">
        <f t="shared" si="121"/>
        <v>,GTeam= "</v>
      </c>
      <c r="Z331">
        <f>Match!M329</f>
        <v>0</v>
      </c>
      <c r="AA331" t="str">
        <f t="shared" si="122"/>
        <v>",WinNote="</v>
      </c>
      <c r="AB331" t="str">
        <f>IF(Match!N329="","",Match!N329)</f>
        <v/>
      </c>
      <c r="AC331" t="str">
        <f t="shared" si="123"/>
        <v xml:space="preserve">",Stadium=" </v>
      </c>
      <c r="AD331" s="95">
        <f>Match!O329</f>
        <v>0</v>
      </c>
      <c r="AE331" t="str">
        <f t="shared" si="124"/>
        <v>",Referee= "</v>
      </c>
      <c r="AF331" s="95" t="str">
        <f>IF(Match!P329="","",Match!P329)</f>
        <v/>
      </c>
      <c r="AG331" t="str">
        <f t="shared" si="125"/>
        <v xml:space="preserve">",Visistors= </v>
      </c>
      <c r="AH331" s="95">
        <f>IF(Match!Q332="",0,Match!Q332)</f>
        <v>0</v>
      </c>
      <c r="AI331" t="str">
        <f t="shared" si="126"/>
        <v>,Status= "</v>
      </c>
      <c r="AJ331" s="95">
        <f>Match!R329</f>
        <v>0</v>
      </c>
      <c r="AK331" t="str">
        <f t="shared" si="127"/>
        <v>" },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Match</vt:lpstr>
      <vt:lpstr>SeedSeason</vt:lpstr>
      <vt:lpstr>SeedMatch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2021-10-20T05:02:48Z</dcterms:created>
  <dcterms:modified xsi:type="dcterms:W3CDTF">2021-10-20T09:18:08Z</dcterms:modified>
</cp:coreProperties>
</file>