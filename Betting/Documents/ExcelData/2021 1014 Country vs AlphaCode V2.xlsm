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Code learning\Anhnt-CleanArchitecture\Betting\Documents\ExcelData\"/>
    </mc:Choice>
  </mc:AlternateContent>
  <xr:revisionPtr revIDLastSave="0" documentId="13_ncr:1_{89AAF96C-A309-4DA0-9423-774F6EF41E94}" xr6:coauthVersionLast="45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Country" sheetId="1" r:id="rId1"/>
    <sheet name="Codematchs" sheetId="3" r:id="rId2"/>
    <sheet name="Matchs" sheetId="6" r:id="rId3"/>
    <sheet name="SeedMatches" sheetId="8" r:id="rId4"/>
    <sheet name="Stages" sheetId="5" r:id="rId5"/>
    <sheet name="FifaCountryCode" sheetId="4" r:id="rId6"/>
    <sheet name="Teams" sheetId="7" r:id="rId7"/>
  </sheets>
  <definedNames>
    <definedName name="_xlnm._FilterDatabase" localSheetId="0" hidden="1">Country!$A$1:$D$1</definedName>
    <definedName name="_xlnm._FilterDatabase" localSheetId="5" hidden="1">FifaCountryCode!$A$1:$I$1</definedName>
    <definedName name="_xlnm._FilterDatabase" localSheetId="2" hidden="1">Matchs!$A$1:$X$901</definedName>
    <definedName name="_xlnm._FilterDatabase" localSheetId="6" hidden="1">Teams!$A$1:$K$1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8" l="1"/>
  <c r="AJ2" i="8"/>
  <c r="AJ3" i="8"/>
  <c r="AJ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J89" i="8"/>
  <c r="AJ90" i="8"/>
  <c r="AJ91" i="8"/>
  <c r="AJ92" i="8"/>
  <c r="AJ93" i="8"/>
  <c r="AJ94" i="8"/>
  <c r="AJ95" i="8"/>
  <c r="AJ96" i="8"/>
  <c r="AJ97" i="8"/>
  <c r="AJ98" i="8"/>
  <c r="AJ99" i="8"/>
  <c r="AJ100" i="8"/>
  <c r="AJ101" i="8"/>
  <c r="AJ102" i="8"/>
  <c r="AJ103" i="8"/>
  <c r="AJ104" i="8"/>
  <c r="AJ105" i="8"/>
  <c r="AJ106" i="8"/>
  <c r="AJ107" i="8"/>
  <c r="AJ108" i="8"/>
  <c r="AJ109" i="8"/>
  <c r="AJ110" i="8"/>
  <c r="AJ111" i="8"/>
  <c r="AJ112" i="8"/>
  <c r="AJ113" i="8"/>
  <c r="AJ114" i="8"/>
  <c r="AJ115" i="8"/>
  <c r="AJ116" i="8"/>
  <c r="AJ117" i="8"/>
  <c r="AJ118" i="8"/>
  <c r="AJ119" i="8"/>
  <c r="AJ120" i="8"/>
  <c r="AJ121" i="8"/>
  <c r="AJ122" i="8"/>
  <c r="AJ123" i="8"/>
  <c r="AJ124" i="8"/>
  <c r="AJ125" i="8"/>
  <c r="AJ126" i="8"/>
  <c r="AJ127" i="8"/>
  <c r="AJ128" i="8"/>
  <c r="AJ129" i="8"/>
  <c r="AJ130" i="8"/>
  <c r="AJ131" i="8"/>
  <c r="AJ132" i="8"/>
  <c r="AJ133" i="8"/>
  <c r="AJ134" i="8"/>
  <c r="AJ135" i="8"/>
  <c r="AJ136" i="8"/>
  <c r="AJ137" i="8"/>
  <c r="AJ138" i="8"/>
  <c r="AJ139" i="8"/>
  <c r="AJ140" i="8"/>
  <c r="AJ141" i="8"/>
  <c r="AJ142" i="8"/>
  <c r="AJ143" i="8"/>
  <c r="AJ144" i="8"/>
  <c r="AJ145" i="8"/>
  <c r="AJ146" i="8"/>
  <c r="AJ147" i="8"/>
  <c r="AJ148" i="8"/>
  <c r="AJ149" i="8"/>
  <c r="AJ150" i="8"/>
  <c r="AJ151" i="8"/>
  <c r="AJ152" i="8"/>
  <c r="AJ153" i="8"/>
  <c r="AJ154" i="8"/>
  <c r="AJ155" i="8"/>
  <c r="AJ156" i="8"/>
  <c r="AJ157" i="8"/>
  <c r="AJ158" i="8"/>
  <c r="AJ159" i="8"/>
  <c r="AJ160" i="8"/>
  <c r="AJ161" i="8"/>
  <c r="AJ162" i="8"/>
  <c r="AJ163" i="8"/>
  <c r="AJ164" i="8"/>
  <c r="AJ165" i="8"/>
  <c r="AJ166" i="8"/>
  <c r="AJ167" i="8"/>
  <c r="AJ168" i="8"/>
  <c r="AJ169" i="8"/>
  <c r="AJ170" i="8"/>
  <c r="AJ171" i="8"/>
  <c r="AJ172" i="8"/>
  <c r="AJ173" i="8"/>
  <c r="AJ174" i="8"/>
  <c r="AJ175" i="8"/>
  <c r="AJ176" i="8"/>
  <c r="AJ177" i="8"/>
  <c r="AJ178" i="8"/>
  <c r="AJ179" i="8"/>
  <c r="AJ180" i="8"/>
  <c r="AJ181" i="8"/>
  <c r="AJ182" i="8"/>
  <c r="AJ183" i="8"/>
  <c r="AJ184" i="8"/>
  <c r="AJ185" i="8"/>
  <c r="AJ186" i="8"/>
  <c r="AJ187" i="8"/>
  <c r="AJ188" i="8"/>
  <c r="AJ189" i="8"/>
  <c r="AJ190" i="8"/>
  <c r="AJ191" i="8"/>
  <c r="AJ192" i="8"/>
  <c r="AJ193" i="8"/>
  <c r="AJ194" i="8"/>
  <c r="AJ195" i="8"/>
  <c r="AJ196" i="8"/>
  <c r="AJ197" i="8"/>
  <c r="AJ198" i="8"/>
  <c r="AJ199" i="8"/>
  <c r="AJ200" i="8"/>
  <c r="AJ201" i="8"/>
  <c r="AJ202" i="8"/>
  <c r="AJ203" i="8"/>
  <c r="AJ204" i="8"/>
  <c r="AJ205" i="8"/>
  <c r="AJ206" i="8"/>
  <c r="AJ207" i="8"/>
  <c r="AJ208" i="8"/>
  <c r="AJ209" i="8"/>
  <c r="AJ210" i="8"/>
  <c r="AJ211" i="8"/>
  <c r="AJ212" i="8"/>
  <c r="AJ213" i="8"/>
  <c r="AJ214" i="8"/>
  <c r="AJ215" i="8"/>
  <c r="AJ216" i="8"/>
  <c r="AJ217" i="8"/>
  <c r="AJ218" i="8"/>
  <c r="AJ219" i="8"/>
  <c r="AJ220" i="8"/>
  <c r="AJ221" i="8"/>
  <c r="AJ222" i="8"/>
  <c r="AJ223" i="8"/>
  <c r="AJ224" i="8"/>
  <c r="AJ225" i="8"/>
  <c r="AJ226" i="8"/>
  <c r="AJ227" i="8"/>
  <c r="AJ228" i="8"/>
  <c r="AJ229" i="8"/>
  <c r="AJ230" i="8"/>
  <c r="AJ231" i="8"/>
  <c r="AJ232" i="8"/>
  <c r="AJ233" i="8"/>
  <c r="AJ234" i="8"/>
  <c r="AJ235" i="8"/>
  <c r="AJ236" i="8"/>
  <c r="AJ237" i="8"/>
  <c r="AJ238" i="8"/>
  <c r="AJ239" i="8"/>
  <c r="AJ240" i="8"/>
  <c r="AJ241" i="8"/>
  <c r="AJ242" i="8"/>
  <c r="AJ243" i="8"/>
  <c r="AJ244" i="8"/>
  <c r="AJ245" i="8"/>
  <c r="AJ246" i="8"/>
  <c r="AJ247" i="8"/>
  <c r="AJ248" i="8"/>
  <c r="AJ249" i="8"/>
  <c r="AJ250" i="8"/>
  <c r="AJ251" i="8"/>
  <c r="AJ252" i="8"/>
  <c r="AJ253" i="8"/>
  <c r="AJ254" i="8"/>
  <c r="AJ255" i="8"/>
  <c r="AJ256" i="8"/>
  <c r="AJ257" i="8"/>
  <c r="AJ258" i="8"/>
  <c r="AJ259" i="8"/>
  <c r="AJ260" i="8"/>
  <c r="AJ261" i="8"/>
  <c r="AJ262" i="8"/>
  <c r="AJ263" i="8"/>
  <c r="AJ264" i="8"/>
  <c r="AJ265" i="8"/>
  <c r="AJ266" i="8"/>
  <c r="AJ267" i="8"/>
  <c r="AJ268" i="8"/>
  <c r="AJ269" i="8"/>
  <c r="AJ270" i="8"/>
  <c r="AJ271" i="8"/>
  <c r="AJ272" i="8"/>
  <c r="AJ273" i="8"/>
  <c r="AJ274" i="8"/>
  <c r="AJ275" i="8"/>
  <c r="AJ276" i="8"/>
  <c r="AJ277" i="8"/>
  <c r="AJ278" i="8"/>
  <c r="AJ279" i="8"/>
  <c r="AJ280" i="8"/>
  <c r="AJ281" i="8"/>
  <c r="AJ282" i="8"/>
  <c r="AJ283" i="8"/>
  <c r="AJ284" i="8"/>
  <c r="AJ285" i="8"/>
  <c r="AJ286" i="8"/>
  <c r="AJ287" i="8"/>
  <c r="AJ288" i="8"/>
  <c r="AJ289" i="8"/>
  <c r="AJ290" i="8"/>
  <c r="AJ291" i="8"/>
  <c r="AJ292" i="8"/>
  <c r="AJ293" i="8"/>
  <c r="AJ294" i="8"/>
  <c r="AJ295" i="8"/>
  <c r="AJ296" i="8"/>
  <c r="AJ297" i="8"/>
  <c r="AJ298" i="8"/>
  <c r="AJ299" i="8"/>
  <c r="AJ300" i="8"/>
  <c r="AJ301" i="8"/>
  <c r="AJ302" i="8"/>
  <c r="AJ303" i="8"/>
  <c r="AJ304" i="8"/>
  <c r="AJ305" i="8"/>
  <c r="AJ306" i="8"/>
  <c r="AJ307" i="8"/>
  <c r="AJ308" i="8"/>
  <c r="AJ309" i="8"/>
  <c r="AJ310" i="8"/>
  <c r="AJ311" i="8"/>
  <c r="AJ312" i="8"/>
  <c r="AJ313" i="8"/>
  <c r="AJ314" i="8"/>
  <c r="AJ315" i="8"/>
  <c r="AJ316" i="8"/>
  <c r="AJ317" i="8"/>
  <c r="AJ318" i="8"/>
  <c r="AJ319" i="8"/>
  <c r="AJ320" i="8"/>
  <c r="AJ321" i="8"/>
  <c r="AJ322" i="8"/>
  <c r="AJ323" i="8"/>
  <c r="AJ324" i="8"/>
  <c r="AJ325" i="8"/>
  <c r="AJ326" i="8"/>
  <c r="AJ327" i="8"/>
  <c r="AJ328" i="8"/>
  <c r="AJ329" i="8"/>
  <c r="AJ330" i="8"/>
  <c r="AJ331" i="8"/>
  <c r="AJ332" i="8"/>
  <c r="AJ333" i="8"/>
  <c r="AJ334" i="8"/>
  <c r="AJ335" i="8"/>
  <c r="AJ336" i="8"/>
  <c r="AJ337" i="8"/>
  <c r="AJ338" i="8"/>
  <c r="AJ339" i="8"/>
  <c r="AJ340" i="8"/>
  <c r="AJ341" i="8"/>
  <c r="AJ342" i="8"/>
  <c r="AJ343" i="8"/>
  <c r="AJ344" i="8"/>
  <c r="AJ345" i="8"/>
  <c r="AJ346" i="8"/>
  <c r="AJ347" i="8"/>
  <c r="AJ348" i="8"/>
  <c r="AJ349" i="8"/>
  <c r="AJ350" i="8"/>
  <c r="AJ351" i="8"/>
  <c r="AJ352" i="8"/>
  <c r="AJ353" i="8"/>
  <c r="AJ354" i="8"/>
  <c r="AJ355" i="8"/>
  <c r="AJ356" i="8"/>
  <c r="AJ357" i="8"/>
  <c r="AJ358" i="8"/>
  <c r="AJ359" i="8"/>
  <c r="AJ360" i="8"/>
  <c r="AJ361" i="8"/>
  <c r="AJ362" i="8"/>
  <c r="AJ363" i="8"/>
  <c r="AJ364" i="8"/>
  <c r="AJ365" i="8"/>
  <c r="AJ366" i="8"/>
  <c r="AJ367" i="8"/>
  <c r="AJ368" i="8"/>
  <c r="AJ369" i="8"/>
  <c r="AJ370" i="8"/>
  <c r="AJ371" i="8"/>
  <c r="AJ372" i="8"/>
  <c r="AJ373" i="8"/>
  <c r="AJ374" i="8"/>
  <c r="AJ375" i="8"/>
  <c r="AJ376" i="8"/>
  <c r="AJ377" i="8"/>
  <c r="AJ378" i="8"/>
  <c r="AJ379" i="8"/>
  <c r="AJ380" i="8"/>
  <c r="AJ381" i="8"/>
  <c r="AJ382" i="8"/>
  <c r="AJ383" i="8"/>
  <c r="AJ384" i="8"/>
  <c r="AJ385" i="8"/>
  <c r="AJ386" i="8"/>
  <c r="AJ387" i="8"/>
  <c r="AJ388" i="8"/>
  <c r="AJ389" i="8"/>
  <c r="AJ390" i="8"/>
  <c r="AJ391" i="8"/>
  <c r="AJ392" i="8"/>
  <c r="AJ393" i="8"/>
  <c r="AJ394" i="8"/>
  <c r="AJ395" i="8"/>
  <c r="AJ396" i="8"/>
  <c r="AJ397" i="8"/>
  <c r="AJ398" i="8"/>
  <c r="AJ399" i="8"/>
  <c r="AJ400" i="8"/>
  <c r="AJ401" i="8"/>
  <c r="AJ402" i="8"/>
  <c r="AJ403" i="8"/>
  <c r="AJ404" i="8"/>
  <c r="AJ405" i="8"/>
  <c r="AJ406" i="8"/>
  <c r="AJ407" i="8"/>
  <c r="AJ408" i="8"/>
  <c r="AJ409" i="8"/>
  <c r="AJ410" i="8"/>
  <c r="AJ411" i="8"/>
  <c r="AJ412" i="8"/>
  <c r="AJ413" i="8"/>
  <c r="AJ414" i="8"/>
  <c r="AJ415" i="8"/>
  <c r="AJ416" i="8"/>
  <c r="AJ417" i="8"/>
  <c r="AJ418" i="8"/>
  <c r="AJ419" i="8"/>
  <c r="AJ420" i="8"/>
  <c r="AJ421" i="8"/>
  <c r="AJ422" i="8"/>
  <c r="AJ423" i="8"/>
  <c r="AJ424" i="8"/>
  <c r="AJ425" i="8"/>
  <c r="AJ426" i="8"/>
  <c r="AJ427" i="8"/>
  <c r="AJ428" i="8"/>
  <c r="AJ429" i="8"/>
  <c r="AJ430" i="8"/>
  <c r="AJ431" i="8"/>
  <c r="AJ432" i="8"/>
  <c r="AJ433" i="8"/>
  <c r="AJ434" i="8"/>
  <c r="AJ435" i="8"/>
  <c r="AJ436" i="8"/>
  <c r="AJ437" i="8"/>
  <c r="AJ438" i="8"/>
  <c r="AJ439" i="8"/>
  <c r="AJ440" i="8"/>
  <c r="AJ441" i="8"/>
  <c r="AJ442" i="8"/>
  <c r="AJ443" i="8"/>
  <c r="AJ444" i="8"/>
  <c r="AJ445" i="8"/>
  <c r="AJ446" i="8"/>
  <c r="AJ447" i="8"/>
  <c r="AJ448" i="8"/>
  <c r="AJ449" i="8"/>
  <c r="AJ450" i="8"/>
  <c r="AJ451" i="8"/>
  <c r="AJ452" i="8"/>
  <c r="AJ453" i="8"/>
  <c r="AJ454" i="8"/>
  <c r="AJ455" i="8"/>
  <c r="AJ456" i="8"/>
  <c r="AJ457" i="8"/>
  <c r="AJ458" i="8"/>
  <c r="AJ459" i="8"/>
  <c r="AJ460" i="8"/>
  <c r="AJ461" i="8"/>
  <c r="AJ462" i="8"/>
  <c r="AJ463" i="8"/>
  <c r="AJ464" i="8"/>
  <c r="AJ465" i="8"/>
  <c r="AJ466" i="8"/>
  <c r="AJ467" i="8"/>
  <c r="AJ468" i="8"/>
  <c r="AJ469" i="8"/>
  <c r="AJ470" i="8"/>
  <c r="AJ471" i="8"/>
  <c r="AJ472" i="8"/>
  <c r="AJ473" i="8"/>
  <c r="AJ474" i="8"/>
  <c r="AJ475" i="8"/>
  <c r="AJ476" i="8"/>
  <c r="AJ477" i="8"/>
  <c r="AJ478" i="8"/>
  <c r="AJ479" i="8"/>
  <c r="AJ480" i="8"/>
  <c r="AJ481" i="8"/>
  <c r="AJ482" i="8"/>
  <c r="AJ483" i="8"/>
  <c r="AJ484" i="8"/>
  <c r="AJ485" i="8"/>
  <c r="AJ486" i="8"/>
  <c r="AJ487" i="8"/>
  <c r="AJ488" i="8"/>
  <c r="AJ489" i="8"/>
  <c r="AJ490" i="8"/>
  <c r="AJ491" i="8"/>
  <c r="AJ492" i="8"/>
  <c r="AJ493" i="8"/>
  <c r="AJ494" i="8"/>
  <c r="AJ495" i="8"/>
  <c r="AJ496" i="8"/>
  <c r="AJ497" i="8"/>
  <c r="AJ498" i="8"/>
  <c r="AJ499" i="8"/>
  <c r="AJ500" i="8"/>
  <c r="AJ501" i="8"/>
  <c r="AJ502" i="8"/>
  <c r="AJ503" i="8"/>
  <c r="AJ504" i="8"/>
  <c r="AJ505" i="8"/>
  <c r="AJ506" i="8"/>
  <c r="AJ507" i="8"/>
  <c r="AJ508" i="8"/>
  <c r="AJ509" i="8"/>
  <c r="AJ510" i="8"/>
  <c r="AJ511" i="8"/>
  <c r="AJ512" i="8"/>
  <c r="AJ513" i="8"/>
  <c r="AJ514" i="8"/>
  <c r="AJ515" i="8"/>
  <c r="AJ516" i="8"/>
  <c r="AJ517" i="8"/>
  <c r="AJ518" i="8"/>
  <c r="AJ519" i="8"/>
  <c r="AJ520" i="8"/>
  <c r="AJ521" i="8"/>
  <c r="AJ522" i="8"/>
  <c r="AJ523" i="8"/>
  <c r="AJ524" i="8"/>
  <c r="AJ525" i="8"/>
  <c r="AJ526" i="8"/>
  <c r="AJ527" i="8"/>
  <c r="AJ528" i="8"/>
  <c r="AJ529" i="8"/>
  <c r="AJ530" i="8"/>
  <c r="AJ531" i="8"/>
  <c r="AJ532" i="8"/>
  <c r="AJ533" i="8"/>
  <c r="AJ534" i="8"/>
  <c r="AJ535" i="8"/>
  <c r="AJ536" i="8"/>
  <c r="AJ537" i="8"/>
  <c r="AJ538" i="8"/>
  <c r="AJ539" i="8"/>
  <c r="AJ540" i="8"/>
  <c r="AJ541" i="8"/>
  <c r="AJ542" i="8"/>
  <c r="AJ543" i="8"/>
  <c r="AJ544" i="8"/>
  <c r="AJ545" i="8"/>
  <c r="AJ546" i="8"/>
  <c r="AJ547" i="8"/>
  <c r="AJ548" i="8"/>
  <c r="AJ549" i="8"/>
  <c r="AJ550" i="8"/>
  <c r="AJ551" i="8"/>
  <c r="AJ552" i="8"/>
  <c r="AJ553" i="8"/>
  <c r="AJ554" i="8"/>
  <c r="AJ555" i="8"/>
  <c r="AJ556" i="8"/>
  <c r="AJ557" i="8"/>
  <c r="AJ558" i="8"/>
  <c r="AJ559" i="8"/>
  <c r="AJ560" i="8"/>
  <c r="AJ561" i="8"/>
  <c r="AJ562" i="8"/>
  <c r="AJ563" i="8"/>
  <c r="AJ564" i="8"/>
  <c r="AJ565" i="8"/>
  <c r="AJ566" i="8"/>
  <c r="AJ567" i="8"/>
  <c r="AJ568" i="8"/>
  <c r="AJ569" i="8"/>
  <c r="AJ570" i="8"/>
  <c r="AJ571" i="8"/>
  <c r="AJ572" i="8"/>
  <c r="AJ573" i="8"/>
  <c r="AJ574" i="8"/>
  <c r="AJ575" i="8"/>
  <c r="AJ576" i="8"/>
  <c r="AJ577" i="8"/>
  <c r="AJ578" i="8"/>
  <c r="AJ579" i="8"/>
  <c r="AJ580" i="8"/>
  <c r="AJ581" i="8"/>
  <c r="AJ582" i="8"/>
  <c r="AJ583" i="8"/>
  <c r="AJ584" i="8"/>
  <c r="AJ585" i="8"/>
  <c r="AJ586" i="8"/>
  <c r="AJ587" i="8"/>
  <c r="AJ588" i="8"/>
  <c r="AJ589" i="8"/>
  <c r="AJ590" i="8"/>
  <c r="AJ591" i="8"/>
  <c r="AJ592" i="8"/>
  <c r="AJ593" i="8"/>
  <c r="AJ594" i="8"/>
  <c r="AJ595" i="8"/>
  <c r="AJ596" i="8"/>
  <c r="AJ597" i="8"/>
  <c r="AJ598" i="8"/>
  <c r="AJ599" i="8"/>
  <c r="AJ600" i="8"/>
  <c r="AJ601" i="8"/>
  <c r="AJ602" i="8"/>
  <c r="AJ603" i="8"/>
  <c r="AJ604" i="8"/>
  <c r="AJ605" i="8"/>
  <c r="AJ606" i="8"/>
  <c r="AJ607" i="8"/>
  <c r="AJ608" i="8"/>
  <c r="AJ609" i="8"/>
  <c r="AJ610" i="8"/>
  <c r="AJ611" i="8"/>
  <c r="AJ612" i="8"/>
  <c r="AJ613" i="8"/>
  <c r="AJ614" i="8"/>
  <c r="AJ615" i="8"/>
  <c r="AJ616" i="8"/>
  <c r="AJ617" i="8"/>
  <c r="AJ618" i="8"/>
  <c r="AJ619" i="8"/>
  <c r="AJ620" i="8"/>
  <c r="AJ621" i="8"/>
  <c r="AJ622" i="8"/>
  <c r="AJ623" i="8"/>
  <c r="AJ624" i="8"/>
  <c r="AJ625" i="8"/>
  <c r="AJ626" i="8"/>
  <c r="AJ627" i="8"/>
  <c r="AJ628" i="8"/>
  <c r="AJ629" i="8"/>
  <c r="AJ630" i="8"/>
  <c r="AJ631" i="8"/>
  <c r="AJ632" i="8"/>
  <c r="AJ633" i="8"/>
  <c r="AJ634" i="8"/>
  <c r="AJ635" i="8"/>
  <c r="AJ636" i="8"/>
  <c r="AJ637" i="8"/>
  <c r="AJ638" i="8"/>
  <c r="AJ639" i="8"/>
  <c r="AJ640" i="8"/>
  <c r="AJ641" i="8"/>
  <c r="AJ642" i="8"/>
  <c r="AJ643" i="8"/>
  <c r="AJ644" i="8"/>
  <c r="AJ645" i="8"/>
  <c r="AJ646" i="8"/>
  <c r="AJ647" i="8"/>
  <c r="AJ648" i="8"/>
  <c r="AJ649" i="8"/>
  <c r="AJ650" i="8"/>
  <c r="AJ651" i="8"/>
  <c r="AJ652" i="8"/>
  <c r="AJ653" i="8"/>
  <c r="AJ654" i="8"/>
  <c r="AJ655" i="8"/>
  <c r="AJ656" i="8"/>
  <c r="AJ657" i="8"/>
  <c r="AJ658" i="8"/>
  <c r="AJ659" i="8"/>
  <c r="AJ660" i="8"/>
  <c r="AJ661" i="8"/>
  <c r="AJ662" i="8"/>
  <c r="AJ663" i="8"/>
  <c r="AJ664" i="8"/>
  <c r="AJ665" i="8"/>
  <c r="AJ666" i="8"/>
  <c r="AJ667" i="8"/>
  <c r="AJ668" i="8"/>
  <c r="AJ669" i="8"/>
  <c r="AJ670" i="8"/>
  <c r="AJ671" i="8"/>
  <c r="AJ672" i="8"/>
  <c r="AJ673" i="8"/>
  <c r="AJ674" i="8"/>
  <c r="AJ675" i="8"/>
  <c r="AJ676" i="8"/>
  <c r="AJ677" i="8"/>
  <c r="AJ678" i="8"/>
  <c r="AJ679" i="8"/>
  <c r="AJ680" i="8"/>
  <c r="AJ681" i="8"/>
  <c r="AJ682" i="8"/>
  <c r="AJ683" i="8"/>
  <c r="AJ684" i="8"/>
  <c r="AJ685" i="8"/>
  <c r="AJ686" i="8"/>
  <c r="AJ687" i="8"/>
  <c r="AJ688" i="8"/>
  <c r="AJ689" i="8"/>
  <c r="AJ690" i="8"/>
  <c r="AJ691" i="8"/>
  <c r="AJ692" i="8"/>
  <c r="AJ693" i="8"/>
  <c r="AJ694" i="8"/>
  <c r="AJ695" i="8"/>
  <c r="AJ696" i="8"/>
  <c r="AJ697" i="8"/>
  <c r="AJ698" i="8"/>
  <c r="AJ699" i="8"/>
  <c r="AJ700" i="8"/>
  <c r="AJ701" i="8"/>
  <c r="AJ702" i="8"/>
  <c r="AJ703" i="8"/>
  <c r="AJ704" i="8"/>
  <c r="AJ705" i="8"/>
  <c r="AJ706" i="8"/>
  <c r="AJ707" i="8"/>
  <c r="AJ708" i="8"/>
  <c r="AJ709" i="8"/>
  <c r="AJ710" i="8"/>
  <c r="AJ711" i="8"/>
  <c r="AJ712" i="8"/>
  <c r="AJ713" i="8"/>
  <c r="AJ714" i="8"/>
  <c r="AJ715" i="8"/>
  <c r="AJ716" i="8"/>
  <c r="AJ717" i="8"/>
  <c r="AJ718" i="8"/>
  <c r="AJ719" i="8"/>
  <c r="AJ720" i="8"/>
  <c r="AJ721" i="8"/>
  <c r="AJ722" i="8"/>
  <c r="AJ723" i="8"/>
  <c r="AJ724" i="8"/>
  <c r="AJ725" i="8"/>
  <c r="AJ726" i="8"/>
  <c r="AJ727" i="8"/>
  <c r="AJ728" i="8"/>
  <c r="AJ729" i="8"/>
  <c r="AJ730" i="8"/>
  <c r="AJ731" i="8"/>
  <c r="AJ732" i="8"/>
  <c r="AJ733" i="8"/>
  <c r="AJ734" i="8"/>
  <c r="AJ735" i="8"/>
  <c r="AJ736" i="8"/>
  <c r="AJ737" i="8"/>
  <c r="AJ738" i="8"/>
  <c r="AJ739" i="8"/>
  <c r="AJ740" i="8"/>
  <c r="AJ741" i="8"/>
  <c r="AJ742" i="8"/>
  <c r="AJ743" i="8"/>
  <c r="AJ744" i="8"/>
  <c r="AJ745" i="8"/>
  <c r="AJ746" i="8"/>
  <c r="AJ747" i="8"/>
  <c r="AJ748" i="8"/>
  <c r="AJ749" i="8"/>
  <c r="AJ750" i="8"/>
  <c r="AJ751" i="8"/>
  <c r="AJ752" i="8"/>
  <c r="AJ753" i="8"/>
  <c r="AJ754" i="8"/>
  <c r="AJ755" i="8"/>
  <c r="AJ756" i="8"/>
  <c r="AJ757" i="8"/>
  <c r="AJ758" i="8"/>
  <c r="AJ759" i="8"/>
  <c r="AJ760" i="8"/>
  <c r="AJ761" i="8"/>
  <c r="AJ762" i="8"/>
  <c r="AJ763" i="8"/>
  <c r="AJ764" i="8"/>
  <c r="AJ765" i="8"/>
  <c r="AJ766" i="8"/>
  <c r="AJ767" i="8"/>
  <c r="AJ768" i="8"/>
  <c r="AJ769" i="8"/>
  <c r="AJ770" i="8"/>
  <c r="AJ771" i="8"/>
  <c r="AJ772" i="8"/>
  <c r="AJ773" i="8"/>
  <c r="AJ774" i="8"/>
  <c r="AJ775" i="8"/>
  <c r="AJ776" i="8"/>
  <c r="AJ777" i="8"/>
  <c r="AJ778" i="8"/>
  <c r="AJ779" i="8"/>
  <c r="AJ780" i="8"/>
  <c r="AJ781" i="8"/>
  <c r="AJ782" i="8"/>
  <c r="AJ783" i="8"/>
  <c r="AJ784" i="8"/>
  <c r="AJ785" i="8"/>
  <c r="AJ786" i="8"/>
  <c r="AJ787" i="8"/>
  <c r="AJ788" i="8"/>
  <c r="AJ789" i="8"/>
  <c r="AJ790" i="8"/>
  <c r="AJ791" i="8"/>
  <c r="AJ792" i="8"/>
  <c r="AJ793" i="8"/>
  <c r="AJ794" i="8"/>
  <c r="AJ795" i="8"/>
  <c r="AJ796" i="8"/>
  <c r="AJ797" i="8"/>
  <c r="AJ798" i="8"/>
  <c r="AJ799" i="8"/>
  <c r="AJ800" i="8"/>
  <c r="AJ801" i="8"/>
  <c r="AJ802" i="8"/>
  <c r="AJ803" i="8"/>
  <c r="AJ804" i="8"/>
  <c r="AJ805" i="8"/>
  <c r="AJ806" i="8"/>
  <c r="AJ807" i="8"/>
  <c r="AJ808" i="8"/>
  <c r="AJ809" i="8"/>
  <c r="AJ810" i="8"/>
  <c r="AJ811" i="8"/>
  <c r="AJ812" i="8"/>
  <c r="AJ813" i="8"/>
  <c r="AJ814" i="8"/>
  <c r="AJ815" i="8"/>
  <c r="AJ816" i="8"/>
  <c r="AJ817" i="8"/>
  <c r="AJ818" i="8"/>
  <c r="AJ819" i="8"/>
  <c r="AJ820" i="8"/>
  <c r="AJ821" i="8"/>
  <c r="AJ822" i="8"/>
  <c r="AJ823" i="8"/>
  <c r="AJ824" i="8"/>
  <c r="AJ825" i="8"/>
  <c r="AJ826" i="8"/>
  <c r="AJ827" i="8"/>
  <c r="AJ828" i="8"/>
  <c r="AJ829" i="8"/>
  <c r="AJ830" i="8"/>
  <c r="AJ831" i="8"/>
  <c r="AJ832" i="8"/>
  <c r="AJ833" i="8"/>
  <c r="AJ834" i="8"/>
  <c r="AJ835" i="8"/>
  <c r="AJ836" i="8"/>
  <c r="AJ837" i="8"/>
  <c r="AJ838" i="8"/>
  <c r="AJ839" i="8"/>
  <c r="AJ840" i="8"/>
  <c r="AJ841" i="8"/>
  <c r="AJ842" i="8"/>
  <c r="AJ843" i="8"/>
  <c r="AJ844" i="8"/>
  <c r="AJ845" i="8"/>
  <c r="AJ846" i="8"/>
  <c r="AJ847" i="8"/>
  <c r="AJ848" i="8"/>
  <c r="AJ849" i="8"/>
  <c r="AJ850" i="8"/>
  <c r="AJ851" i="8"/>
  <c r="AJ852" i="8"/>
  <c r="AJ853" i="8"/>
  <c r="AJ854" i="8"/>
  <c r="AJ855" i="8"/>
  <c r="AJ856" i="8"/>
  <c r="AJ857" i="8"/>
  <c r="AJ858" i="8"/>
  <c r="AJ859" i="8"/>
  <c r="AJ860" i="8"/>
  <c r="AJ861" i="8"/>
  <c r="AJ862" i="8"/>
  <c r="AJ863" i="8"/>
  <c r="AJ864" i="8"/>
  <c r="AJ865" i="8"/>
  <c r="AJ866" i="8"/>
  <c r="AJ867" i="8"/>
  <c r="AJ868" i="8"/>
  <c r="AJ869" i="8"/>
  <c r="AJ870" i="8"/>
  <c r="AJ871" i="8"/>
  <c r="AJ872" i="8"/>
  <c r="AJ873" i="8"/>
  <c r="AJ874" i="8"/>
  <c r="AJ875" i="8"/>
  <c r="AJ876" i="8"/>
  <c r="AJ877" i="8"/>
  <c r="AJ878" i="8"/>
  <c r="AJ879" i="8"/>
  <c r="AJ880" i="8"/>
  <c r="AJ881" i="8"/>
  <c r="AJ882" i="8"/>
  <c r="AJ883" i="8"/>
  <c r="AJ884" i="8"/>
  <c r="AJ885" i="8"/>
  <c r="AJ886" i="8"/>
  <c r="AJ887" i="8"/>
  <c r="AJ888" i="8"/>
  <c r="AJ889" i="8"/>
  <c r="AJ890" i="8"/>
  <c r="AJ891" i="8"/>
  <c r="AJ892" i="8"/>
  <c r="AJ893" i="8"/>
  <c r="AJ894" i="8"/>
  <c r="AJ895" i="8"/>
  <c r="AJ896" i="8"/>
  <c r="AJ897" i="8"/>
  <c r="AJ898" i="8"/>
  <c r="AJ899" i="8"/>
  <c r="AJ900" i="8"/>
  <c r="AJ901" i="8"/>
  <c r="AJ902" i="8"/>
  <c r="AJ903" i="8"/>
  <c r="AJ904" i="8"/>
  <c r="AJ905" i="8"/>
  <c r="AJ906" i="8"/>
  <c r="AJ907" i="8"/>
  <c r="AJ908" i="8"/>
  <c r="AJ909" i="8"/>
  <c r="AJ910" i="8"/>
  <c r="AJ911" i="8"/>
  <c r="AJ912" i="8"/>
  <c r="AJ913" i="8"/>
  <c r="AJ914" i="8"/>
  <c r="AJ915" i="8"/>
  <c r="AJ916" i="8"/>
  <c r="AJ917" i="8"/>
  <c r="AJ918" i="8"/>
  <c r="AJ919" i="8"/>
  <c r="AJ920" i="8"/>
  <c r="AJ921" i="8"/>
  <c r="AJ922" i="8"/>
  <c r="AJ923" i="8"/>
  <c r="AJ924" i="8"/>
  <c r="AJ925" i="8"/>
  <c r="AJ926" i="8"/>
  <c r="AJ927" i="8"/>
  <c r="AJ928" i="8"/>
  <c r="AJ929" i="8"/>
  <c r="AJ930" i="8"/>
  <c r="AJ931" i="8"/>
  <c r="AJ932" i="8"/>
  <c r="AJ933" i="8"/>
  <c r="AJ934" i="8"/>
  <c r="AJ935" i="8"/>
  <c r="AJ936" i="8"/>
  <c r="AJ937" i="8"/>
  <c r="AJ938" i="8"/>
  <c r="AJ939" i="8"/>
  <c r="AJ940" i="8"/>
  <c r="AJ941" i="8"/>
  <c r="AJ942" i="8"/>
  <c r="AJ943" i="8"/>
  <c r="AJ944" i="8"/>
  <c r="AJ945" i="8"/>
  <c r="AJ946" i="8"/>
  <c r="AJ947" i="8"/>
  <c r="AJ948" i="8"/>
  <c r="AJ949" i="8"/>
  <c r="AJ950" i="8"/>
  <c r="AJ951" i="8"/>
  <c r="AJ952" i="8"/>
  <c r="AJ953" i="8"/>
  <c r="AJ954" i="8"/>
  <c r="AJ955" i="8"/>
  <c r="AJ956" i="8"/>
  <c r="AJ957" i="8"/>
  <c r="AJ958" i="8"/>
  <c r="AJ959" i="8"/>
  <c r="AJ960" i="8"/>
  <c r="AJ961" i="8"/>
  <c r="AJ962" i="8"/>
  <c r="AJ963" i="8"/>
  <c r="AJ964" i="8"/>
  <c r="AJ965" i="8"/>
  <c r="AJ966" i="8"/>
  <c r="AJ967" i="8"/>
  <c r="AJ968" i="8"/>
  <c r="AJ969" i="8"/>
  <c r="AJ970" i="8"/>
  <c r="AJ971" i="8"/>
  <c r="AJ972" i="8"/>
  <c r="AJ973" i="8"/>
  <c r="AJ974" i="8"/>
  <c r="AJ975" i="8"/>
  <c r="AJ976" i="8"/>
  <c r="AJ977" i="8"/>
  <c r="AJ978" i="8"/>
  <c r="AJ979" i="8"/>
  <c r="AJ980" i="8"/>
  <c r="AJ981" i="8"/>
  <c r="AJ982" i="8"/>
  <c r="AJ983" i="8"/>
  <c r="AJ984" i="8"/>
  <c r="AJ985" i="8"/>
  <c r="AJ986" i="8"/>
  <c r="AJ987" i="8"/>
  <c r="AJ988" i="8"/>
  <c r="AJ989" i="8"/>
  <c r="AJ990" i="8"/>
  <c r="AJ991" i="8"/>
  <c r="AJ992" i="8"/>
  <c r="AJ993" i="8"/>
  <c r="AJ994" i="8"/>
  <c r="AJ995" i="8"/>
  <c r="AJ996" i="8"/>
  <c r="AJ997" i="8"/>
  <c r="AJ998" i="8"/>
  <c r="AJ999" i="8"/>
  <c r="AJ1000" i="8"/>
  <c r="AJ1001" i="8"/>
  <c r="AJ1002" i="8"/>
  <c r="AJ1003" i="8"/>
  <c r="AJ1004" i="8"/>
  <c r="AJ1005" i="8"/>
  <c r="AJ1006" i="8"/>
  <c r="AJ1007" i="8"/>
  <c r="AJ1008" i="8"/>
  <c r="AJ1009" i="8"/>
  <c r="AJ1010" i="8"/>
  <c r="AJ1011" i="8"/>
  <c r="AJ1012" i="8"/>
  <c r="AJ1013" i="8"/>
  <c r="AJ1014" i="8"/>
  <c r="AJ1015" i="8"/>
  <c r="AJ1016" i="8"/>
  <c r="AJ1017" i="8"/>
  <c r="AJ1018" i="8"/>
  <c r="AJ1019" i="8"/>
  <c r="AJ1020" i="8"/>
  <c r="AJ1021" i="8"/>
  <c r="AJ1022" i="8"/>
  <c r="AJ1023" i="8"/>
  <c r="AJ1024" i="8"/>
  <c r="AJ1025" i="8"/>
  <c r="AJ1026" i="8"/>
  <c r="AJ1027" i="8"/>
  <c r="AJ1028" i="8"/>
  <c r="AJ1029" i="8"/>
  <c r="AJ1030" i="8"/>
  <c r="AJ1031" i="8"/>
  <c r="AJ1032" i="8"/>
  <c r="AJ1033" i="8"/>
  <c r="AJ1034" i="8"/>
  <c r="AJ1035" i="8"/>
  <c r="AJ1036" i="8"/>
  <c r="AJ1037" i="8"/>
  <c r="AJ1038" i="8"/>
  <c r="AJ1039" i="8"/>
  <c r="AJ1040" i="8"/>
  <c r="AJ1041" i="8"/>
  <c r="AJ1042" i="8"/>
  <c r="AJ1043" i="8"/>
  <c r="AJ1044" i="8"/>
  <c r="AJ1045" i="8"/>
  <c r="AJ1046" i="8"/>
  <c r="AJ1047" i="8"/>
  <c r="AJ1048" i="8"/>
  <c r="AJ1049" i="8"/>
  <c r="AJ1050" i="8"/>
  <c r="AJ1051" i="8"/>
  <c r="AJ1052" i="8"/>
  <c r="AJ1053" i="8"/>
  <c r="AJ1054" i="8"/>
  <c r="AJ1055" i="8"/>
  <c r="AJ1056" i="8"/>
  <c r="AJ1057" i="8"/>
  <c r="AJ1058" i="8"/>
  <c r="AJ1059" i="8"/>
  <c r="AJ1060" i="8"/>
  <c r="AJ1" i="8"/>
  <c r="AI3" i="8"/>
  <c r="AI4" i="8" s="1"/>
  <c r="AI5" i="8" s="1"/>
  <c r="AI6" i="8" s="1"/>
  <c r="AI7" i="8" s="1"/>
  <c r="AI8" i="8" s="1"/>
  <c r="AI9" i="8" s="1"/>
  <c r="AI10" i="8" s="1"/>
  <c r="AI11" i="8" s="1"/>
  <c r="AI12" i="8" s="1"/>
  <c r="AI13" i="8" s="1"/>
  <c r="AI14" i="8" s="1"/>
  <c r="AI15" i="8" s="1"/>
  <c r="AI16" i="8" s="1"/>
  <c r="AI17" i="8" s="1"/>
  <c r="AI18" i="8" s="1"/>
  <c r="AI19" i="8" s="1"/>
  <c r="AI20" i="8" s="1"/>
  <c r="AI21" i="8" s="1"/>
  <c r="AI22" i="8" s="1"/>
  <c r="AI23" i="8" s="1"/>
  <c r="AI24" i="8" s="1"/>
  <c r="AI25" i="8" s="1"/>
  <c r="AI26" i="8" s="1"/>
  <c r="AI27" i="8" s="1"/>
  <c r="AI28" i="8" s="1"/>
  <c r="AI29" i="8" s="1"/>
  <c r="AI30" i="8" s="1"/>
  <c r="AI31" i="8" s="1"/>
  <c r="AI32" i="8" s="1"/>
  <c r="AI33" i="8" s="1"/>
  <c r="AI34" i="8" s="1"/>
  <c r="AI35" i="8" s="1"/>
  <c r="AI36" i="8" s="1"/>
  <c r="AI37" i="8" s="1"/>
  <c r="AI38" i="8" s="1"/>
  <c r="AI39" i="8" s="1"/>
  <c r="AI40" i="8" s="1"/>
  <c r="AI41" i="8" s="1"/>
  <c r="AI42" i="8" s="1"/>
  <c r="AI43" i="8" s="1"/>
  <c r="AI44" i="8" s="1"/>
  <c r="AI45" i="8" s="1"/>
  <c r="AI46" i="8" s="1"/>
  <c r="AI47" i="8" s="1"/>
  <c r="AI48" i="8" s="1"/>
  <c r="AI49" i="8" s="1"/>
  <c r="AI50" i="8" s="1"/>
  <c r="AI51" i="8" s="1"/>
  <c r="AI52" i="8" s="1"/>
  <c r="AI53" i="8" s="1"/>
  <c r="AI54" i="8" s="1"/>
  <c r="AI55" i="8" s="1"/>
  <c r="AI56" i="8" s="1"/>
  <c r="AI57" i="8" s="1"/>
  <c r="AI58" i="8" s="1"/>
  <c r="AI59" i="8" s="1"/>
  <c r="AI60" i="8" s="1"/>
  <c r="AI61" i="8" s="1"/>
  <c r="AI62" i="8" s="1"/>
  <c r="AI63" i="8" s="1"/>
  <c r="AI64" i="8" s="1"/>
  <c r="AI65" i="8" s="1"/>
  <c r="AI66" i="8" s="1"/>
  <c r="AI67" i="8" s="1"/>
  <c r="AI68" i="8" s="1"/>
  <c r="AI69" i="8" s="1"/>
  <c r="AI70" i="8" s="1"/>
  <c r="AI71" i="8" s="1"/>
  <c r="AI72" i="8" s="1"/>
  <c r="AI73" i="8" s="1"/>
  <c r="AI74" i="8" s="1"/>
  <c r="AI75" i="8" s="1"/>
  <c r="AI76" i="8" s="1"/>
  <c r="AI77" i="8" s="1"/>
  <c r="AI78" i="8" s="1"/>
  <c r="AI79" i="8" s="1"/>
  <c r="AI80" i="8" s="1"/>
  <c r="AI81" i="8" s="1"/>
  <c r="AI82" i="8" s="1"/>
  <c r="AI83" i="8" s="1"/>
  <c r="AI84" i="8" s="1"/>
  <c r="AI85" i="8" s="1"/>
  <c r="AI86" i="8" s="1"/>
  <c r="AI87" i="8" s="1"/>
  <c r="AI88" i="8" s="1"/>
  <c r="AI89" i="8" s="1"/>
  <c r="AI90" i="8" s="1"/>
  <c r="AI91" i="8" s="1"/>
  <c r="AI92" i="8" s="1"/>
  <c r="AI93" i="8" s="1"/>
  <c r="AI94" i="8" s="1"/>
  <c r="AI95" i="8" s="1"/>
  <c r="AI96" i="8" s="1"/>
  <c r="AI97" i="8" s="1"/>
  <c r="AI98" i="8" s="1"/>
  <c r="AI99" i="8" s="1"/>
  <c r="AI100" i="8" s="1"/>
  <c r="AI101" i="8" s="1"/>
  <c r="AI102" i="8" s="1"/>
  <c r="AI103" i="8" s="1"/>
  <c r="AI104" i="8" s="1"/>
  <c r="AI105" i="8" s="1"/>
  <c r="AI106" i="8" s="1"/>
  <c r="AI107" i="8" s="1"/>
  <c r="AI108" i="8" s="1"/>
  <c r="AI109" i="8" s="1"/>
  <c r="AI110" i="8" s="1"/>
  <c r="AI111" i="8" s="1"/>
  <c r="AI112" i="8" s="1"/>
  <c r="AI113" i="8" s="1"/>
  <c r="AI114" i="8" s="1"/>
  <c r="AI115" i="8" s="1"/>
  <c r="AI116" i="8" s="1"/>
  <c r="AI117" i="8" s="1"/>
  <c r="AI118" i="8" s="1"/>
  <c r="AI119" i="8" s="1"/>
  <c r="AI120" i="8" s="1"/>
  <c r="AI121" i="8" s="1"/>
  <c r="AI122" i="8" s="1"/>
  <c r="AI123" i="8" s="1"/>
  <c r="AI124" i="8" s="1"/>
  <c r="AI125" i="8" s="1"/>
  <c r="AI126" i="8" s="1"/>
  <c r="AI127" i="8" s="1"/>
  <c r="AI128" i="8" s="1"/>
  <c r="AI129" i="8" s="1"/>
  <c r="AI130" i="8" s="1"/>
  <c r="AI131" i="8" s="1"/>
  <c r="AI132" i="8" s="1"/>
  <c r="AI133" i="8" s="1"/>
  <c r="AI134" i="8" s="1"/>
  <c r="AI135" i="8" s="1"/>
  <c r="AI136" i="8" s="1"/>
  <c r="AI137" i="8" s="1"/>
  <c r="AI138" i="8" s="1"/>
  <c r="AI139" i="8" s="1"/>
  <c r="AI140" i="8" s="1"/>
  <c r="AI141" i="8" s="1"/>
  <c r="AI142" i="8" s="1"/>
  <c r="AI143" i="8" s="1"/>
  <c r="AI144" i="8" s="1"/>
  <c r="AI145" i="8" s="1"/>
  <c r="AI146" i="8" s="1"/>
  <c r="AI147" i="8" s="1"/>
  <c r="AI148" i="8" s="1"/>
  <c r="AI149" i="8" s="1"/>
  <c r="AI150" i="8" s="1"/>
  <c r="AI151" i="8" s="1"/>
  <c r="AI152" i="8" s="1"/>
  <c r="AI153" i="8" s="1"/>
  <c r="AI154" i="8" s="1"/>
  <c r="AI155" i="8" s="1"/>
  <c r="AI156" i="8" s="1"/>
  <c r="AI157" i="8" s="1"/>
  <c r="AI158" i="8" s="1"/>
  <c r="AI159" i="8" s="1"/>
  <c r="AI160" i="8" s="1"/>
  <c r="AI161" i="8" s="1"/>
  <c r="AI162" i="8" s="1"/>
  <c r="AI163" i="8" s="1"/>
  <c r="AI164" i="8" s="1"/>
  <c r="AI165" i="8" s="1"/>
  <c r="AI166" i="8" s="1"/>
  <c r="AI167" i="8" s="1"/>
  <c r="AI168" i="8" s="1"/>
  <c r="AI169" i="8" s="1"/>
  <c r="AI170" i="8" s="1"/>
  <c r="AI171" i="8" s="1"/>
  <c r="AI172" i="8" s="1"/>
  <c r="AI173" i="8" s="1"/>
  <c r="AI174" i="8" s="1"/>
  <c r="AI175" i="8" s="1"/>
  <c r="AI176" i="8" s="1"/>
  <c r="AI177" i="8" s="1"/>
  <c r="AI178" i="8" s="1"/>
  <c r="AI179" i="8" s="1"/>
  <c r="AI180" i="8" s="1"/>
  <c r="AI181" i="8" s="1"/>
  <c r="AI182" i="8" s="1"/>
  <c r="AI183" i="8" s="1"/>
  <c r="AI184" i="8" s="1"/>
  <c r="AI185" i="8" s="1"/>
  <c r="AI186" i="8" s="1"/>
  <c r="AI187" i="8" s="1"/>
  <c r="AI188" i="8" s="1"/>
  <c r="AI189" i="8" s="1"/>
  <c r="AI190" i="8" s="1"/>
  <c r="AI191" i="8" s="1"/>
  <c r="AI192" i="8" s="1"/>
  <c r="AI193" i="8" s="1"/>
  <c r="AI194" i="8" s="1"/>
  <c r="AI195" i="8" s="1"/>
  <c r="AI196" i="8" s="1"/>
  <c r="AI197" i="8" s="1"/>
  <c r="AI198" i="8" s="1"/>
  <c r="AI199" i="8" s="1"/>
  <c r="AI200" i="8" s="1"/>
  <c r="AI201" i="8" s="1"/>
  <c r="AI202" i="8" s="1"/>
  <c r="AI203" i="8" s="1"/>
  <c r="AI204" i="8" s="1"/>
  <c r="AI205" i="8" s="1"/>
  <c r="AI206" i="8" s="1"/>
  <c r="AI207" i="8" s="1"/>
  <c r="AI208" i="8" s="1"/>
  <c r="AI209" i="8" s="1"/>
  <c r="AI210" i="8" s="1"/>
  <c r="AI211" i="8" s="1"/>
  <c r="AI212" i="8" s="1"/>
  <c r="AI213" i="8" s="1"/>
  <c r="AI214" i="8" s="1"/>
  <c r="AI215" i="8" s="1"/>
  <c r="AI216" i="8" s="1"/>
  <c r="AI217" i="8" s="1"/>
  <c r="AI218" i="8" s="1"/>
  <c r="AI219" i="8" s="1"/>
  <c r="AI220" i="8" s="1"/>
  <c r="AI221" i="8" s="1"/>
  <c r="AI222" i="8" s="1"/>
  <c r="AI223" i="8" s="1"/>
  <c r="AI224" i="8" s="1"/>
  <c r="AI225" i="8" s="1"/>
  <c r="AI226" i="8" s="1"/>
  <c r="AI227" i="8" s="1"/>
  <c r="AI228" i="8" s="1"/>
  <c r="AI229" i="8" s="1"/>
  <c r="AI230" i="8" s="1"/>
  <c r="AI231" i="8" s="1"/>
  <c r="AI232" i="8" s="1"/>
  <c r="AI233" i="8" s="1"/>
  <c r="AI234" i="8" s="1"/>
  <c r="AI235" i="8" s="1"/>
  <c r="AI236" i="8" s="1"/>
  <c r="AI237" i="8" s="1"/>
  <c r="AI238" i="8" s="1"/>
  <c r="AI239" i="8" s="1"/>
  <c r="AI240" i="8" s="1"/>
  <c r="AI241" i="8" s="1"/>
  <c r="AI242" i="8" s="1"/>
  <c r="AI243" i="8" s="1"/>
  <c r="AI244" i="8" s="1"/>
  <c r="AI245" i="8" s="1"/>
  <c r="AI246" i="8" s="1"/>
  <c r="AI247" i="8" s="1"/>
  <c r="AI248" i="8" s="1"/>
  <c r="AI249" i="8" s="1"/>
  <c r="AI250" i="8" s="1"/>
  <c r="AI251" i="8" s="1"/>
  <c r="AI252" i="8" s="1"/>
  <c r="AI253" i="8" s="1"/>
  <c r="AI254" i="8" s="1"/>
  <c r="AI255" i="8" s="1"/>
  <c r="AI256" i="8" s="1"/>
  <c r="AI257" i="8" s="1"/>
  <c r="AI258" i="8" s="1"/>
  <c r="AI259" i="8" s="1"/>
  <c r="AI260" i="8" s="1"/>
  <c r="AI261" i="8" s="1"/>
  <c r="AI262" i="8" s="1"/>
  <c r="AI263" i="8" s="1"/>
  <c r="AI264" i="8" s="1"/>
  <c r="AI265" i="8" s="1"/>
  <c r="AI266" i="8" s="1"/>
  <c r="AI267" i="8" s="1"/>
  <c r="AI268" i="8" s="1"/>
  <c r="AI269" i="8" s="1"/>
  <c r="AI270" i="8" s="1"/>
  <c r="AI271" i="8" s="1"/>
  <c r="AI272" i="8" s="1"/>
  <c r="AI273" i="8" s="1"/>
  <c r="AI274" i="8" s="1"/>
  <c r="AI275" i="8" s="1"/>
  <c r="AI276" i="8" s="1"/>
  <c r="AI277" i="8" s="1"/>
  <c r="AI278" i="8" s="1"/>
  <c r="AI279" i="8" s="1"/>
  <c r="AI280" i="8" s="1"/>
  <c r="AI281" i="8" s="1"/>
  <c r="AI282" i="8" s="1"/>
  <c r="AI283" i="8" s="1"/>
  <c r="AI284" i="8" s="1"/>
  <c r="AI285" i="8" s="1"/>
  <c r="AI286" i="8" s="1"/>
  <c r="AI287" i="8" s="1"/>
  <c r="AI288" i="8" s="1"/>
  <c r="AI289" i="8" s="1"/>
  <c r="AI290" i="8" s="1"/>
  <c r="AI291" i="8" s="1"/>
  <c r="AI292" i="8" s="1"/>
  <c r="AI293" i="8" s="1"/>
  <c r="AI294" i="8" s="1"/>
  <c r="AI295" i="8" s="1"/>
  <c r="AI296" i="8" s="1"/>
  <c r="AI297" i="8" s="1"/>
  <c r="AI298" i="8" s="1"/>
  <c r="AI299" i="8" s="1"/>
  <c r="AI300" i="8" s="1"/>
  <c r="AI301" i="8" s="1"/>
  <c r="AI302" i="8" s="1"/>
  <c r="AI303" i="8" s="1"/>
  <c r="AI304" i="8" s="1"/>
  <c r="AI305" i="8" s="1"/>
  <c r="AI306" i="8" s="1"/>
  <c r="AI307" i="8" s="1"/>
  <c r="AI308" i="8" s="1"/>
  <c r="AI309" i="8" s="1"/>
  <c r="AI310" i="8" s="1"/>
  <c r="AI311" i="8" s="1"/>
  <c r="AI312" i="8" s="1"/>
  <c r="AI313" i="8" s="1"/>
  <c r="AI314" i="8" s="1"/>
  <c r="AI315" i="8" s="1"/>
  <c r="AI316" i="8" s="1"/>
  <c r="AI317" i="8" s="1"/>
  <c r="AI318" i="8" s="1"/>
  <c r="AI319" i="8" s="1"/>
  <c r="AI320" i="8" s="1"/>
  <c r="AI321" i="8" s="1"/>
  <c r="AI322" i="8" s="1"/>
  <c r="AI323" i="8" s="1"/>
  <c r="AI324" i="8" s="1"/>
  <c r="AI325" i="8" s="1"/>
  <c r="AI326" i="8" s="1"/>
  <c r="AI327" i="8" s="1"/>
  <c r="AI328" i="8" s="1"/>
  <c r="AI329" i="8" s="1"/>
  <c r="AI330" i="8" s="1"/>
  <c r="AI331" i="8" s="1"/>
  <c r="AI332" i="8" s="1"/>
  <c r="AI333" i="8" s="1"/>
  <c r="AI334" i="8" s="1"/>
  <c r="AI335" i="8" s="1"/>
  <c r="AI336" i="8" s="1"/>
  <c r="AI337" i="8" s="1"/>
  <c r="AI338" i="8" s="1"/>
  <c r="AI339" i="8" s="1"/>
  <c r="AI340" i="8" s="1"/>
  <c r="AI341" i="8" s="1"/>
  <c r="AI342" i="8" s="1"/>
  <c r="AI343" i="8" s="1"/>
  <c r="AI344" i="8" s="1"/>
  <c r="AI345" i="8" s="1"/>
  <c r="AI346" i="8" s="1"/>
  <c r="AI347" i="8" s="1"/>
  <c r="AI348" i="8" s="1"/>
  <c r="AI349" i="8" s="1"/>
  <c r="AI350" i="8" s="1"/>
  <c r="AI351" i="8" s="1"/>
  <c r="AI352" i="8" s="1"/>
  <c r="AI353" i="8" s="1"/>
  <c r="AI354" i="8" s="1"/>
  <c r="AI355" i="8" s="1"/>
  <c r="AI356" i="8" s="1"/>
  <c r="AI357" i="8" s="1"/>
  <c r="AI358" i="8" s="1"/>
  <c r="AI359" i="8" s="1"/>
  <c r="AI360" i="8" s="1"/>
  <c r="AI361" i="8" s="1"/>
  <c r="AI362" i="8" s="1"/>
  <c r="AI363" i="8" s="1"/>
  <c r="AI364" i="8" s="1"/>
  <c r="AI365" i="8" s="1"/>
  <c r="AI366" i="8" s="1"/>
  <c r="AI367" i="8" s="1"/>
  <c r="AI368" i="8" s="1"/>
  <c r="AI369" i="8" s="1"/>
  <c r="AI370" i="8" s="1"/>
  <c r="AI371" i="8" s="1"/>
  <c r="AI372" i="8" s="1"/>
  <c r="AI373" i="8" s="1"/>
  <c r="AI374" i="8" s="1"/>
  <c r="AI375" i="8" s="1"/>
  <c r="AI376" i="8" s="1"/>
  <c r="AI377" i="8" s="1"/>
  <c r="AI378" i="8" s="1"/>
  <c r="AI379" i="8" s="1"/>
  <c r="AI380" i="8" s="1"/>
  <c r="AI381" i="8" s="1"/>
  <c r="AI382" i="8" s="1"/>
  <c r="AI383" i="8" s="1"/>
  <c r="AI384" i="8" s="1"/>
  <c r="AI385" i="8" s="1"/>
  <c r="AI386" i="8" s="1"/>
  <c r="AI387" i="8" s="1"/>
  <c r="AI388" i="8" s="1"/>
  <c r="AI389" i="8" s="1"/>
  <c r="AI390" i="8" s="1"/>
  <c r="AI391" i="8" s="1"/>
  <c r="AI392" i="8" s="1"/>
  <c r="AI393" i="8" s="1"/>
  <c r="AI394" i="8" s="1"/>
  <c r="AI395" i="8" s="1"/>
  <c r="AI396" i="8" s="1"/>
  <c r="AI397" i="8" s="1"/>
  <c r="AI398" i="8" s="1"/>
  <c r="AI399" i="8" s="1"/>
  <c r="AI400" i="8" s="1"/>
  <c r="AI401" i="8" s="1"/>
  <c r="AI402" i="8" s="1"/>
  <c r="AI403" i="8" s="1"/>
  <c r="AI404" i="8" s="1"/>
  <c r="AI405" i="8" s="1"/>
  <c r="AI406" i="8" s="1"/>
  <c r="AI407" i="8" s="1"/>
  <c r="AI408" i="8" s="1"/>
  <c r="AI409" i="8" s="1"/>
  <c r="AI410" i="8" s="1"/>
  <c r="AI411" i="8" s="1"/>
  <c r="AI412" i="8" s="1"/>
  <c r="AI413" i="8" s="1"/>
  <c r="AI414" i="8" s="1"/>
  <c r="AI415" i="8" s="1"/>
  <c r="AI416" i="8" s="1"/>
  <c r="AI417" i="8" s="1"/>
  <c r="AI418" i="8" s="1"/>
  <c r="AI419" i="8" s="1"/>
  <c r="AI420" i="8" s="1"/>
  <c r="AI421" i="8" s="1"/>
  <c r="AI422" i="8" s="1"/>
  <c r="AI423" i="8" s="1"/>
  <c r="AI424" i="8" s="1"/>
  <c r="AI425" i="8" s="1"/>
  <c r="AI426" i="8" s="1"/>
  <c r="AI427" i="8" s="1"/>
  <c r="AI428" i="8" s="1"/>
  <c r="AI429" i="8" s="1"/>
  <c r="AI430" i="8" s="1"/>
  <c r="AI431" i="8" s="1"/>
  <c r="AI432" i="8" s="1"/>
  <c r="AI433" i="8" s="1"/>
  <c r="AI434" i="8" s="1"/>
  <c r="AI435" i="8" s="1"/>
  <c r="AI436" i="8" s="1"/>
  <c r="AI437" i="8" s="1"/>
  <c r="AI438" i="8" s="1"/>
  <c r="AI439" i="8" s="1"/>
  <c r="AI440" i="8" s="1"/>
  <c r="AI441" i="8" s="1"/>
  <c r="AI442" i="8" s="1"/>
  <c r="AI443" i="8" s="1"/>
  <c r="AI444" i="8" s="1"/>
  <c r="AI445" i="8" s="1"/>
  <c r="AI446" i="8" s="1"/>
  <c r="AI447" i="8" s="1"/>
  <c r="AI448" i="8" s="1"/>
  <c r="AI449" i="8" s="1"/>
  <c r="AI450" i="8" s="1"/>
  <c r="AI451" i="8" s="1"/>
  <c r="AI452" i="8" s="1"/>
  <c r="AI453" i="8" s="1"/>
  <c r="AI454" i="8" s="1"/>
  <c r="AI455" i="8" s="1"/>
  <c r="AI456" i="8" s="1"/>
  <c r="AI457" i="8" s="1"/>
  <c r="AI458" i="8" s="1"/>
  <c r="AI459" i="8" s="1"/>
  <c r="AI460" i="8" s="1"/>
  <c r="AI461" i="8" s="1"/>
  <c r="AI462" i="8" s="1"/>
  <c r="AI463" i="8" s="1"/>
  <c r="AI464" i="8" s="1"/>
  <c r="AI465" i="8" s="1"/>
  <c r="AI466" i="8" s="1"/>
  <c r="AI467" i="8" s="1"/>
  <c r="AI468" i="8" s="1"/>
  <c r="AI469" i="8" s="1"/>
  <c r="AI470" i="8" s="1"/>
  <c r="AI471" i="8" s="1"/>
  <c r="AI472" i="8" s="1"/>
  <c r="AI473" i="8" s="1"/>
  <c r="AI474" i="8" s="1"/>
  <c r="AI475" i="8" s="1"/>
  <c r="AI476" i="8" s="1"/>
  <c r="AI477" i="8" s="1"/>
  <c r="AI478" i="8" s="1"/>
  <c r="AI479" i="8" s="1"/>
  <c r="AI480" i="8" s="1"/>
  <c r="AI481" i="8" s="1"/>
  <c r="AI482" i="8" s="1"/>
  <c r="AI483" i="8" s="1"/>
  <c r="AI484" i="8" s="1"/>
  <c r="AI485" i="8" s="1"/>
  <c r="AI486" i="8" s="1"/>
  <c r="AI487" i="8" s="1"/>
  <c r="AI488" i="8" s="1"/>
  <c r="AI489" i="8" s="1"/>
  <c r="AI490" i="8" s="1"/>
  <c r="AI491" i="8" s="1"/>
  <c r="AI492" i="8" s="1"/>
  <c r="AI493" i="8" s="1"/>
  <c r="AI494" i="8" s="1"/>
  <c r="AI495" i="8" s="1"/>
  <c r="AI496" i="8" s="1"/>
  <c r="AI497" i="8" s="1"/>
  <c r="AI498" i="8" s="1"/>
  <c r="AI499" i="8" s="1"/>
  <c r="AI500" i="8" s="1"/>
  <c r="AI501" i="8" s="1"/>
  <c r="AI502" i="8" s="1"/>
  <c r="AI503" i="8" s="1"/>
  <c r="AI504" i="8" s="1"/>
  <c r="AI505" i="8" s="1"/>
  <c r="AI506" i="8" s="1"/>
  <c r="AI507" i="8" s="1"/>
  <c r="AI508" i="8" s="1"/>
  <c r="AI509" i="8" s="1"/>
  <c r="AI510" i="8" s="1"/>
  <c r="AI511" i="8" s="1"/>
  <c r="AI512" i="8" s="1"/>
  <c r="AI513" i="8" s="1"/>
  <c r="AI514" i="8" s="1"/>
  <c r="AI515" i="8" s="1"/>
  <c r="AI516" i="8" s="1"/>
  <c r="AI517" i="8" s="1"/>
  <c r="AI518" i="8" s="1"/>
  <c r="AI519" i="8" s="1"/>
  <c r="AI520" i="8" s="1"/>
  <c r="AI521" i="8" s="1"/>
  <c r="AI522" i="8" s="1"/>
  <c r="AI523" i="8" s="1"/>
  <c r="AI524" i="8" s="1"/>
  <c r="AI525" i="8" s="1"/>
  <c r="AI526" i="8" s="1"/>
  <c r="AI527" i="8" s="1"/>
  <c r="AI528" i="8" s="1"/>
  <c r="AI529" i="8" s="1"/>
  <c r="AI530" i="8" s="1"/>
  <c r="AI531" i="8" s="1"/>
  <c r="AI532" i="8" s="1"/>
  <c r="AI533" i="8" s="1"/>
  <c r="AI534" i="8" s="1"/>
  <c r="AI535" i="8" s="1"/>
  <c r="AI536" i="8" s="1"/>
  <c r="AI537" i="8" s="1"/>
  <c r="AI538" i="8" s="1"/>
  <c r="AI539" i="8" s="1"/>
  <c r="AI540" i="8" s="1"/>
  <c r="AI541" i="8" s="1"/>
  <c r="AI542" i="8" s="1"/>
  <c r="AI543" i="8" s="1"/>
  <c r="AI544" i="8" s="1"/>
  <c r="AI545" i="8" s="1"/>
  <c r="AI546" i="8" s="1"/>
  <c r="AI547" i="8" s="1"/>
  <c r="AI548" i="8" s="1"/>
  <c r="AI549" i="8" s="1"/>
  <c r="AI550" i="8" s="1"/>
  <c r="AI551" i="8" s="1"/>
  <c r="AI552" i="8" s="1"/>
  <c r="AI553" i="8" s="1"/>
  <c r="AI554" i="8" s="1"/>
  <c r="AI555" i="8" s="1"/>
  <c r="AI556" i="8" s="1"/>
  <c r="AI557" i="8" s="1"/>
  <c r="AI558" i="8" s="1"/>
  <c r="AI559" i="8" s="1"/>
  <c r="AI560" i="8" s="1"/>
  <c r="AI561" i="8" s="1"/>
  <c r="AI562" i="8" s="1"/>
  <c r="AI563" i="8" s="1"/>
  <c r="AI564" i="8" s="1"/>
  <c r="AI565" i="8" s="1"/>
  <c r="AI566" i="8" s="1"/>
  <c r="AI567" i="8" s="1"/>
  <c r="AI568" i="8" s="1"/>
  <c r="AI569" i="8" s="1"/>
  <c r="AI570" i="8" s="1"/>
  <c r="AI571" i="8" s="1"/>
  <c r="AI572" i="8" s="1"/>
  <c r="AI573" i="8" s="1"/>
  <c r="AI574" i="8" s="1"/>
  <c r="AI575" i="8" s="1"/>
  <c r="AI576" i="8" s="1"/>
  <c r="AI577" i="8" s="1"/>
  <c r="AI578" i="8" s="1"/>
  <c r="AI579" i="8" s="1"/>
  <c r="AI580" i="8" s="1"/>
  <c r="AI581" i="8" s="1"/>
  <c r="AI582" i="8" s="1"/>
  <c r="AI583" i="8" s="1"/>
  <c r="AI584" i="8" s="1"/>
  <c r="AI585" i="8" s="1"/>
  <c r="AI586" i="8" s="1"/>
  <c r="AI587" i="8" s="1"/>
  <c r="AI588" i="8" s="1"/>
  <c r="AI589" i="8" s="1"/>
  <c r="AI590" i="8" s="1"/>
  <c r="AI591" i="8" s="1"/>
  <c r="AI592" i="8" s="1"/>
  <c r="AI593" i="8" s="1"/>
  <c r="AI594" i="8" s="1"/>
  <c r="AI595" i="8" s="1"/>
  <c r="AI596" i="8" s="1"/>
  <c r="AI597" i="8" s="1"/>
  <c r="AI598" i="8" s="1"/>
  <c r="AI599" i="8" s="1"/>
  <c r="AI600" i="8" s="1"/>
  <c r="AI601" i="8" s="1"/>
  <c r="AI602" i="8" s="1"/>
  <c r="AI603" i="8" s="1"/>
  <c r="AI604" i="8" s="1"/>
  <c r="AI605" i="8" s="1"/>
  <c r="AI606" i="8" s="1"/>
  <c r="AI607" i="8" s="1"/>
  <c r="AI608" i="8" s="1"/>
  <c r="AI609" i="8" s="1"/>
  <c r="AI610" i="8" s="1"/>
  <c r="AI611" i="8" s="1"/>
  <c r="AI612" i="8" s="1"/>
  <c r="AI613" i="8" s="1"/>
  <c r="AI614" i="8" s="1"/>
  <c r="AI615" i="8" s="1"/>
  <c r="AI616" i="8" s="1"/>
  <c r="AI617" i="8" s="1"/>
  <c r="AI618" i="8" s="1"/>
  <c r="AI619" i="8" s="1"/>
  <c r="AI620" i="8" s="1"/>
  <c r="AI621" i="8" s="1"/>
  <c r="AI622" i="8" s="1"/>
  <c r="AI623" i="8" s="1"/>
  <c r="AI624" i="8" s="1"/>
  <c r="AI625" i="8" s="1"/>
  <c r="AI626" i="8" s="1"/>
  <c r="AI627" i="8" s="1"/>
  <c r="AI628" i="8" s="1"/>
  <c r="AI629" i="8" s="1"/>
  <c r="AI630" i="8" s="1"/>
  <c r="AI631" i="8" s="1"/>
  <c r="AI632" i="8" s="1"/>
  <c r="AI633" i="8" s="1"/>
  <c r="AI634" i="8" s="1"/>
  <c r="AI635" i="8" s="1"/>
  <c r="AI636" i="8" s="1"/>
  <c r="AI637" i="8" s="1"/>
  <c r="AI638" i="8" s="1"/>
  <c r="AI639" i="8" s="1"/>
  <c r="AI640" i="8" s="1"/>
  <c r="AI641" i="8" s="1"/>
  <c r="AI642" i="8" s="1"/>
  <c r="AI643" i="8" s="1"/>
  <c r="AI644" i="8" s="1"/>
  <c r="AI645" i="8" s="1"/>
  <c r="AI646" i="8" s="1"/>
  <c r="AI647" i="8" s="1"/>
  <c r="AI648" i="8" s="1"/>
  <c r="AI649" i="8" s="1"/>
  <c r="AI650" i="8" s="1"/>
  <c r="AI651" i="8" s="1"/>
  <c r="AI652" i="8" s="1"/>
  <c r="AI653" i="8" s="1"/>
  <c r="AI654" i="8" s="1"/>
  <c r="AI655" i="8" s="1"/>
  <c r="AI656" i="8" s="1"/>
  <c r="AI657" i="8" s="1"/>
  <c r="AI658" i="8" s="1"/>
  <c r="AI659" i="8" s="1"/>
  <c r="AI660" i="8" s="1"/>
  <c r="AI661" i="8" s="1"/>
  <c r="AI662" i="8" s="1"/>
  <c r="AI663" i="8" s="1"/>
  <c r="AI664" i="8" s="1"/>
  <c r="AI665" i="8" s="1"/>
  <c r="AI666" i="8" s="1"/>
  <c r="AI667" i="8" s="1"/>
  <c r="AI668" i="8" s="1"/>
  <c r="AI669" i="8" s="1"/>
  <c r="AI670" i="8" s="1"/>
  <c r="AI671" i="8" s="1"/>
  <c r="AI672" i="8" s="1"/>
  <c r="AI673" i="8" s="1"/>
  <c r="AI674" i="8" s="1"/>
  <c r="AI675" i="8" s="1"/>
  <c r="AI676" i="8" s="1"/>
  <c r="AI677" i="8" s="1"/>
  <c r="AI678" i="8" s="1"/>
  <c r="AI679" i="8" s="1"/>
  <c r="AI680" i="8" s="1"/>
  <c r="AI681" i="8" s="1"/>
  <c r="AI682" i="8" s="1"/>
  <c r="AI683" i="8" s="1"/>
  <c r="AI684" i="8" s="1"/>
  <c r="AI685" i="8" s="1"/>
  <c r="AI686" i="8" s="1"/>
  <c r="AI687" i="8" s="1"/>
  <c r="AI688" i="8" s="1"/>
  <c r="AI689" i="8" s="1"/>
  <c r="AI690" i="8" s="1"/>
  <c r="AI691" i="8" s="1"/>
  <c r="AI692" i="8" s="1"/>
  <c r="AI693" i="8" s="1"/>
  <c r="AI694" i="8" s="1"/>
  <c r="AI695" i="8" s="1"/>
  <c r="AI696" i="8" s="1"/>
  <c r="AI697" i="8" s="1"/>
  <c r="AI698" i="8" s="1"/>
  <c r="AI699" i="8" s="1"/>
  <c r="AI700" i="8" s="1"/>
  <c r="AI701" i="8" s="1"/>
  <c r="AI702" i="8" s="1"/>
  <c r="AI703" i="8" s="1"/>
  <c r="AI704" i="8" s="1"/>
  <c r="AI705" i="8" s="1"/>
  <c r="AI706" i="8" s="1"/>
  <c r="AI707" i="8" s="1"/>
  <c r="AI708" i="8" s="1"/>
  <c r="AI709" i="8" s="1"/>
  <c r="AI710" i="8" s="1"/>
  <c r="AI711" i="8" s="1"/>
  <c r="AI712" i="8" s="1"/>
  <c r="AI713" i="8" s="1"/>
  <c r="AI714" i="8" s="1"/>
  <c r="AI715" i="8" s="1"/>
  <c r="AI716" i="8" s="1"/>
  <c r="AI717" i="8" s="1"/>
  <c r="AI718" i="8" s="1"/>
  <c r="AI719" i="8" s="1"/>
  <c r="AI720" i="8" s="1"/>
  <c r="AI721" i="8" s="1"/>
  <c r="AI722" i="8" s="1"/>
  <c r="AI723" i="8" s="1"/>
  <c r="AI724" i="8" s="1"/>
  <c r="AI725" i="8" s="1"/>
  <c r="AI726" i="8" s="1"/>
  <c r="AI727" i="8" s="1"/>
  <c r="AI728" i="8" s="1"/>
  <c r="AI729" i="8" s="1"/>
  <c r="AI730" i="8" s="1"/>
  <c r="AI731" i="8" s="1"/>
  <c r="AI732" i="8" s="1"/>
  <c r="AI733" i="8" s="1"/>
  <c r="AI734" i="8" s="1"/>
  <c r="AI735" i="8" s="1"/>
  <c r="AI736" i="8" s="1"/>
  <c r="AI737" i="8" s="1"/>
  <c r="AI738" i="8" s="1"/>
  <c r="AI739" i="8" s="1"/>
  <c r="AI740" i="8" s="1"/>
  <c r="AI741" i="8" s="1"/>
  <c r="AI742" i="8" s="1"/>
  <c r="AI743" i="8" s="1"/>
  <c r="AI744" i="8" s="1"/>
  <c r="AI745" i="8" s="1"/>
  <c r="AI746" i="8" s="1"/>
  <c r="AI747" i="8" s="1"/>
  <c r="AI748" i="8" s="1"/>
  <c r="AI749" i="8" s="1"/>
  <c r="AI750" i="8" s="1"/>
  <c r="AI751" i="8" s="1"/>
  <c r="AI752" i="8" s="1"/>
  <c r="AI753" i="8" s="1"/>
  <c r="AI754" i="8" s="1"/>
  <c r="AI755" i="8" s="1"/>
  <c r="AI756" i="8" s="1"/>
  <c r="AI757" i="8" s="1"/>
  <c r="AI758" i="8" s="1"/>
  <c r="AI759" i="8" s="1"/>
  <c r="AI760" i="8" s="1"/>
  <c r="AI761" i="8" s="1"/>
  <c r="AI762" i="8" s="1"/>
  <c r="AI763" i="8" s="1"/>
  <c r="AI764" i="8" s="1"/>
  <c r="AI765" i="8" s="1"/>
  <c r="AI766" i="8" s="1"/>
  <c r="AI767" i="8" s="1"/>
  <c r="AI768" i="8" s="1"/>
  <c r="AI769" i="8" s="1"/>
  <c r="AI770" i="8" s="1"/>
  <c r="AI771" i="8" s="1"/>
  <c r="AI772" i="8" s="1"/>
  <c r="AI773" i="8" s="1"/>
  <c r="AI774" i="8" s="1"/>
  <c r="AI775" i="8" s="1"/>
  <c r="AI776" i="8" s="1"/>
  <c r="AI777" i="8" s="1"/>
  <c r="AI778" i="8" s="1"/>
  <c r="AI779" i="8" s="1"/>
  <c r="AI780" i="8" s="1"/>
  <c r="AI781" i="8" s="1"/>
  <c r="AI782" i="8" s="1"/>
  <c r="AI783" i="8" s="1"/>
  <c r="AI784" i="8" s="1"/>
  <c r="AI785" i="8" s="1"/>
  <c r="AI786" i="8" s="1"/>
  <c r="AI787" i="8" s="1"/>
  <c r="AI788" i="8" s="1"/>
  <c r="AI789" i="8" s="1"/>
  <c r="AI790" i="8" s="1"/>
  <c r="AI791" i="8" s="1"/>
  <c r="AI792" i="8" s="1"/>
  <c r="AI793" i="8" s="1"/>
  <c r="AI794" i="8" s="1"/>
  <c r="AI795" i="8" s="1"/>
  <c r="AI796" i="8" s="1"/>
  <c r="AI797" i="8" s="1"/>
  <c r="AI798" i="8" s="1"/>
  <c r="AI799" i="8" s="1"/>
  <c r="AI800" i="8" s="1"/>
  <c r="AI801" i="8" s="1"/>
  <c r="AI802" i="8" s="1"/>
  <c r="AI803" i="8" s="1"/>
  <c r="AI804" i="8" s="1"/>
  <c r="AI805" i="8" s="1"/>
  <c r="AI806" i="8" s="1"/>
  <c r="AI807" i="8" s="1"/>
  <c r="AI808" i="8" s="1"/>
  <c r="AI809" i="8" s="1"/>
  <c r="AI810" i="8" s="1"/>
  <c r="AI811" i="8" s="1"/>
  <c r="AI812" i="8" s="1"/>
  <c r="AI813" i="8" s="1"/>
  <c r="AI814" i="8" s="1"/>
  <c r="AI815" i="8" s="1"/>
  <c r="AI816" i="8" s="1"/>
  <c r="AI817" i="8" s="1"/>
  <c r="AI818" i="8" s="1"/>
  <c r="AI819" i="8" s="1"/>
  <c r="AI820" i="8" s="1"/>
  <c r="AI821" i="8" s="1"/>
  <c r="AI822" i="8" s="1"/>
  <c r="AI823" i="8" s="1"/>
  <c r="AI824" i="8" s="1"/>
  <c r="AI825" i="8" s="1"/>
  <c r="AI826" i="8" s="1"/>
  <c r="AI827" i="8" s="1"/>
  <c r="AI828" i="8" s="1"/>
  <c r="AI829" i="8" s="1"/>
  <c r="AI830" i="8" s="1"/>
  <c r="AI831" i="8" s="1"/>
  <c r="AI832" i="8" s="1"/>
  <c r="AI833" i="8" s="1"/>
  <c r="AI834" i="8" s="1"/>
  <c r="AI835" i="8" s="1"/>
  <c r="AI836" i="8" s="1"/>
  <c r="AI837" i="8" s="1"/>
  <c r="AI838" i="8" s="1"/>
  <c r="AI839" i="8" s="1"/>
  <c r="AI840" i="8" s="1"/>
  <c r="AI841" i="8" s="1"/>
  <c r="AI842" i="8" s="1"/>
  <c r="AI843" i="8" s="1"/>
  <c r="AI844" i="8" s="1"/>
  <c r="AI845" i="8" s="1"/>
  <c r="AI846" i="8" s="1"/>
  <c r="AI847" i="8" s="1"/>
  <c r="AI848" i="8" s="1"/>
  <c r="AI849" i="8" s="1"/>
  <c r="AI850" i="8" s="1"/>
  <c r="AI851" i="8" s="1"/>
  <c r="AI852" i="8" s="1"/>
  <c r="AI853" i="8" s="1"/>
  <c r="AI854" i="8" s="1"/>
  <c r="AI855" i="8" s="1"/>
  <c r="AI856" i="8" s="1"/>
  <c r="AI857" i="8" s="1"/>
  <c r="AI858" i="8" s="1"/>
  <c r="AI859" i="8" s="1"/>
  <c r="AI860" i="8" s="1"/>
  <c r="AI861" i="8" s="1"/>
  <c r="AI862" i="8" s="1"/>
  <c r="AI863" i="8" s="1"/>
  <c r="AI864" i="8" s="1"/>
  <c r="AI865" i="8" s="1"/>
  <c r="AI866" i="8" s="1"/>
  <c r="AI867" i="8" s="1"/>
  <c r="AI868" i="8" s="1"/>
  <c r="AI869" i="8" s="1"/>
  <c r="AI870" i="8" s="1"/>
  <c r="AI871" i="8" s="1"/>
  <c r="AI872" i="8" s="1"/>
  <c r="AI873" i="8" s="1"/>
  <c r="AI874" i="8" s="1"/>
  <c r="AI875" i="8" s="1"/>
  <c r="AI876" i="8" s="1"/>
  <c r="AI877" i="8" s="1"/>
  <c r="AI878" i="8" s="1"/>
  <c r="AI879" i="8" s="1"/>
  <c r="AI880" i="8" s="1"/>
  <c r="AI881" i="8" s="1"/>
  <c r="AI882" i="8" s="1"/>
  <c r="AI883" i="8" s="1"/>
  <c r="AI884" i="8" s="1"/>
  <c r="AI885" i="8" s="1"/>
  <c r="AI886" i="8" s="1"/>
  <c r="AI887" i="8" s="1"/>
  <c r="AI888" i="8" s="1"/>
  <c r="AI889" i="8" s="1"/>
  <c r="AI890" i="8" s="1"/>
  <c r="AI891" i="8" s="1"/>
  <c r="AI892" i="8" s="1"/>
  <c r="AI893" i="8" s="1"/>
  <c r="AI894" i="8" s="1"/>
  <c r="AI895" i="8" s="1"/>
  <c r="AI896" i="8" s="1"/>
  <c r="AI897" i="8" s="1"/>
  <c r="AI898" i="8" s="1"/>
  <c r="AI899" i="8" s="1"/>
  <c r="AI900" i="8" s="1"/>
  <c r="AI901" i="8" s="1"/>
  <c r="AI902" i="8" s="1"/>
  <c r="AI903" i="8" s="1"/>
  <c r="AI904" i="8" s="1"/>
  <c r="AI905" i="8" s="1"/>
  <c r="AI906" i="8" s="1"/>
  <c r="AI907" i="8" s="1"/>
  <c r="AI908" i="8" s="1"/>
  <c r="AI909" i="8" s="1"/>
  <c r="AI910" i="8" s="1"/>
  <c r="AI911" i="8" s="1"/>
  <c r="AI912" i="8" s="1"/>
  <c r="AI913" i="8" s="1"/>
  <c r="AI914" i="8" s="1"/>
  <c r="AI915" i="8" s="1"/>
  <c r="AI916" i="8" s="1"/>
  <c r="AI917" i="8" s="1"/>
  <c r="AI918" i="8" s="1"/>
  <c r="AI919" i="8" s="1"/>
  <c r="AI920" i="8" s="1"/>
  <c r="AI921" i="8" s="1"/>
  <c r="AI922" i="8" s="1"/>
  <c r="AI923" i="8" s="1"/>
  <c r="AI924" i="8" s="1"/>
  <c r="AI925" i="8" s="1"/>
  <c r="AI926" i="8" s="1"/>
  <c r="AI927" i="8" s="1"/>
  <c r="AI928" i="8" s="1"/>
  <c r="AI929" i="8" s="1"/>
  <c r="AI930" i="8" s="1"/>
  <c r="AI931" i="8" s="1"/>
  <c r="AI932" i="8" s="1"/>
  <c r="AI933" i="8" s="1"/>
  <c r="AI934" i="8" s="1"/>
  <c r="AI935" i="8" s="1"/>
  <c r="AI936" i="8" s="1"/>
  <c r="AI937" i="8" s="1"/>
  <c r="AI938" i="8" s="1"/>
  <c r="AI939" i="8" s="1"/>
  <c r="AI940" i="8" s="1"/>
  <c r="AI941" i="8" s="1"/>
  <c r="AI942" i="8" s="1"/>
  <c r="AI943" i="8" s="1"/>
  <c r="AI944" i="8" s="1"/>
  <c r="AI945" i="8" s="1"/>
  <c r="AI946" i="8" s="1"/>
  <c r="AI947" i="8" s="1"/>
  <c r="AI948" i="8" s="1"/>
  <c r="AI949" i="8" s="1"/>
  <c r="AI950" i="8" s="1"/>
  <c r="AI951" i="8" s="1"/>
  <c r="AI952" i="8" s="1"/>
  <c r="AI953" i="8" s="1"/>
  <c r="AI954" i="8" s="1"/>
  <c r="AI955" i="8" s="1"/>
  <c r="AI956" i="8" s="1"/>
  <c r="AI957" i="8" s="1"/>
  <c r="AI958" i="8" s="1"/>
  <c r="AI959" i="8" s="1"/>
  <c r="AI960" i="8" s="1"/>
  <c r="AI961" i="8" s="1"/>
  <c r="AI962" i="8" s="1"/>
  <c r="AI963" i="8" s="1"/>
  <c r="AI964" i="8" s="1"/>
  <c r="AI965" i="8" s="1"/>
  <c r="AI966" i="8" s="1"/>
  <c r="AI967" i="8" s="1"/>
  <c r="AI968" i="8" s="1"/>
  <c r="AI969" i="8" s="1"/>
  <c r="AI970" i="8" s="1"/>
  <c r="AI971" i="8" s="1"/>
  <c r="AI972" i="8" s="1"/>
  <c r="AI973" i="8" s="1"/>
  <c r="AI974" i="8" s="1"/>
  <c r="AI975" i="8" s="1"/>
  <c r="AI976" i="8" s="1"/>
  <c r="AI977" i="8" s="1"/>
  <c r="AI978" i="8" s="1"/>
  <c r="AI979" i="8" s="1"/>
  <c r="AI980" i="8" s="1"/>
  <c r="AI981" i="8" s="1"/>
  <c r="AI982" i="8" s="1"/>
  <c r="AI983" i="8" s="1"/>
  <c r="AI984" i="8" s="1"/>
  <c r="AI985" i="8" s="1"/>
  <c r="AI986" i="8" s="1"/>
  <c r="AI987" i="8" s="1"/>
  <c r="AI988" i="8" s="1"/>
  <c r="AI989" i="8" s="1"/>
  <c r="AI990" i="8" s="1"/>
  <c r="AI991" i="8" s="1"/>
  <c r="AI992" i="8" s="1"/>
  <c r="AI993" i="8" s="1"/>
  <c r="AI994" i="8" s="1"/>
  <c r="AI995" i="8" s="1"/>
  <c r="AI996" i="8" s="1"/>
  <c r="AI997" i="8" s="1"/>
  <c r="AI998" i="8" s="1"/>
  <c r="AI999" i="8" s="1"/>
  <c r="AI1000" i="8" s="1"/>
  <c r="AI1001" i="8" s="1"/>
  <c r="AI1002" i="8" s="1"/>
  <c r="AI1003" i="8" s="1"/>
  <c r="AI1004" i="8" s="1"/>
  <c r="AI1005" i="8" s="1"/>
  <c r="AI1006" i="8" s="1"/>
  <c r="AI1007" i="8" s="1"/>
  <c r="AI1008" i="8" s="1"/>
  <c r="AI1009" i="8" s="1"/>
  <c r="AI1010" i="8" s="1"/>
  <c r="AI1011" i="8" s="1"/>
  <c r="AI1012" i="8" s="1"/>
  <c r="AI1013" i="8" s="1"/>
  <c r="AI1014" i="8" s="1"/>
  <c r="AI1015" i="8" s="1"/>
  <c r="AI1016" i="8" s="1"/>
  <c r="AI1017" i="8" s="1"/>
  <c r="AI1018" i="8" s="1"/>
  <c r="AI1019" i="8" s="1"/>
  <c r="AI1020" i="8" s="1"/>
  <c r="AI1021" i="8" s="1"/>
  <c r="AI1022" i="8" s="1"/>
  <c r="AI1023" i="8" s="1"/>
  <c r="AI1024" i="8" s="1"/>
  <c r="AI1025" i="8" s="1"/>
  <c r="AI1026" i="8" s="1"/>
  <c r="AI1027" i="8" s="1"/>
  <c r="AI1028" i="8" s="1"/>
  <c r="AI1029" i="8" s="1"/>
  <c r="AI1030" i="8" s="1"/>
  <c r="AI1031" i="8" s="1"/>
  <c r="AI1032" i="8" s="1"/>
  <c r="AI1033" i="8" s="1"/>
  <c r="AI1034" i="8" s="1"/>
  <c r="AI1035" i="8" s="1"/>
  <c r="AI1036" i="8" s="1"/>
  <c r="AI1037" i="8" s="1"/>
  <c r="AI1038" i="8" s="1"/>
  <c r="AI1039" i="8" s="1"/>
  <c r="AI1040" i="8" s="1"/>
  <c r="AI1041" i="8" s="1"/>
  <c r="AI1042" i="8" s="1"/>
  <c r="AI1043" i="8" s="1"/>
  <c r="AI1044" i="8" s="1"/>
  <c r="AI1045" i="8" s="1"/>
  <c r="AI1046" i="8" s="1"/>
  <c r="AI1047" i="8" s="1"/>
  <c r="AI1048" i="8" s="1"/>
  <c r="AI1049" i="8" s="1"/>
  <c r="AI1050" i="8" s="1"/>
  <c r="AI1051" i="8" s="1"/>
  <c r="AI1052" i="8" s="1"/>
  <c r="AI1053" i="8" s="1"/>
  <c r="AI1054" i="8" s="1"/>
  <c r="AI1055" i="8" s="1"/>
  <c r="AI1056" i="8" s="1"/>
  <c r="AI1057" i="8" s="1"/>
  <c r="AI1058" i="8" s="1"/>
  <c r="AI1059" i="8" s="1"/>
  <c r="AI1060" i="8" s="1"/>
  <c r="AI2" i="8"/>
  <c r="AH2" i="8"/>
  <c r="AH3" i="8"/>
  <c r="AH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24" i="8"/>
  <c r="AH25" i="8"/>
  <c r="AH26" i="8"/>
  <c r="AH27" i="8"/>
  <c r="AH28" i="8"/>
  <c r="AH29" i="8"/>
  <c r="AH30" i="8"/>
  <c r="AH31" i="8"/>
  <c r="AH32" i="8"/>
  <c r="AH33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3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H103" i="8"/>
  <c r="AH104" i="8"/>
  <c r="AH105" i="8"/>
  <c r="AH106" i="8"/>
  <c r="AH107" i="8"/>
  <c r="AH108" i="8"/>
  <c r="AH109" i="8"/>
  <c r="AH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H127" i="8"/>
  <c r="AH128" i="8"/>
  <c r="AH129" i="8"/>
  <c r="AH130" i="8"/>
  <c r="AH131" i="8"/>
  <c r="AH132" i="8"/>
  <c r="AH133" i="8"/>
  <c r="AH134" i="8"/>
  <c r="AH135" i="8"/>
  <c r="AH136" i="8"/>
  <c r="AH137" i="8"/>
  <c r="AH138" i="8"/>
  <c r="AH139" i="8"/>
  <c r="AH140" i="8"/>
  <c r="AH141" i="8"/>
  <c r="AH142" i="8"/>
  <c r="AH143" i="8"/>
  <c r="AH144" i="8"/>
  <c r="AH145" i="8"/>
  <c r="AH146" i="8"/>
  <c r="AH147" i="8"/>
  <c r="AH148" i="8"/>
  <c r="AH149" i="8"/>
  <c r="AH150" i="8"/>
  <c r="AH151" i="8"/>
  <c r="AH152" i="8"/>
  <c r="AH153" i="8"/>
  <c r="AH154" i="8"/>
  <c r="AH155" i="8"/>
  <c r="AH156" i="8"/>
  <c r="AH157" i="8"/>
  <c r="AH158" i="8"/>
  <c r="AH159" i="8"/>
  <c r="AH160" i="8"/>
  <c r="AH161" i="8"/>
  <c r="AH162" i="8"/>
  <c r="AH163" i="8"/>
  <c r="AH164" i="8"/>
  <c r="AH165" i="8"/>
  <c r="AH166" i="8"/>
  <c r="AH167" i="8"/>
  <c r="AH168" i="8"/>
  <c r="AH169" i="8"/>
  <c r="AH170" i="8"/>
  <c r="AH171" i="8"/>
  <c r="AH172" i="8"/>
  <c r="AH173" i="8"/>
  <c r="AH174" i="8"/>
  <c r="AH175" i="8"/>
  <c r="AH176" i="8"/>
  <c r="AH177" i="8"/>
  <c r="AH178" i="8"/>
  <c r="AH179" i="8"/>
  <c r="AH180" i="8"/>
  <c r="AH181" i="8"/>
  <c r="AH182" i="8"/>
  <c r="AH183" i="8"/>
  <c r="AH184" i="8"/>
  <c r="AH185" i="8"/>
  <c r="AH186" i="8"/>
  <c r="AH187" i="8"/>
  <c r="AH188" i="8"/>
  <c r="AH189" i="8"/>
  <c r="AH190" i="8"/>
  <c r="AH191" i="8"/>
  <c r="AH192" i="8"/>
  <c r="AH193" i="8"/>
  <c r="AH194" i="8"/>
  <c r="AH195" i="8"/>
  <c r="AH196" i="8"/>
  <c r="AH197" i="8"/>
  <c r="AH198" i="8"/>
  <c r="AH199" i="8"/>
  <c r="AH200" i="8"/>
  <c r="AH201" i="8"/>
  <c r="AH202" i="8"/>
  <c r="AH203" i="8"/>
  <c r="AH204" i="8"/>
  <c r="AH205" i="8"/>
  <c r="AH206" i="8"/>
  <c r="AH207" i="8"/>
  <c r="AH208" i="8"/>
  <c r="AH209" i="8"/>
  <c r="AH210" i="8"/>
  <c r="AH211" i="8"/>
  <c r="AH212" i="8"/>
  <c r="AH213" i="8"/>
  <c r="AH214" i="8"/>
  <c r="AH215" i="8"/>
  <c r="AH216" i="8"/>
  <c r="AH217" i="8"/>
  <c r="AH218" i="8"/>
  <c r="AH219" i="8"/>
  <c r="AH220" i="8"/>
  <c r="AH221" i="8"/>
  <c r="AH222" i="8"/>
  <c r="AH223" i="8"/>
  <c r="AH224" i="8"/>
  <c r="AH225" i="8"/>
  <c r="AH226" i="8"/>
  <c r="AH227" i="8"/>
  <c r="AH228" i="8"/>
  <c r="AH229" i="8"/>
  <c r="AH230" i="8"/>
  <c r="AH231" i="8"/>
  <c r="AH232" i="8"/>
  <c r="AH233" i="8"/>
  <c r="AH234" i="8"/>
  <c r="AH235" i="8"/>
  <c r="AH236" i="8"/>
  <c r="AH237" i="8"/>
  <c r="AH238" i="8"/>
  <c r="AH239" i="8"/>
  <c r="AH240" i="8"/>
  <c r="AH241" i="8"/>
  <c r="AH242" i="8"/>
  <c r="AH243" i="8"/>
  <c r="AH244" i="8"/>
  <c r="AH245" i="8"/>
  <c r="AH246" i="8"/>
  <c r="AH247" i="8"/>
  <c r="AH248" i="8"/>
  <c r="AH249" i="8"/>
  <c r="AH250" i="8"/>
  <c r="AH251" i="8"/>
  <c r="AH252" i="8"/>
  <c r="AH253" i="8"/>
  <c r="AH254" i="8"/>
  <c r="AH255" i="8"/>
  <c r="AH256" i="8"/>
  <c r="AH257" i="8"/>
  <c r="AH258" i="8"/>
  <c r="AH259" i="8"/>
  <c r="AH260" i="8"/>
  <c r="AH261" i="8"/>
  <c r="AH262" i="8"/>
  <c r="AH263" i="8"/>
  <c r="AH264" i="8"/>
  <c r="AH265" i="8"/>
  <c r="AH266" i="8"/>
  <c r="AH267" i="8"/>
  <c r="AH268" i="8"/>
  <c r="AH269" i="8"/>
  <c r="AH270" i="8"/>
  <c r="AH271" i="8"/>
  <c r="AH272" i="8"/>
  <c r="AH273" i="8"/>
  <c r="AH274" i="8"/>
  <c r="AH275" i="8"/>
  <c r="AH276" i="8"/>
  <c r="AH277" i="8"/>
  <c r="AH278" i="8"/>
  <c r="AH279" i="8"/>
  <c r="AH280" i="8"/>
  <c r="AH281" i="8"/>
  <c r="AH282" i="8"/>
  <c r="AH283" i="8"/>
  <c r="AH284" i="8"/>
  <c r="AH285" i="8"/>
  <c r="AH286" i="8"/>
  <c r="AH287" i="8"/>
  <c r="AH288" i="8"/>
  <c r="AH289" i="8"/>
  <c r="AH290" i="8"/>
  <c r="AH291" i="8"/>
  <c r="AH292" i="8"/>
  <c r="AH293" i="8"/>
  <c r="AH294" i="8"/>
  <c r="AH295" i="8"/>
  <c r="AH296" i="8"/>
  <c r="AH297" i="8"/>
  <c r="AH298" i="8"/>
  <c r="AH299" i="8"/>
  <c r="AH300" i="8"/>
  <c r="AH301" i="8"/>
  <c r="AH302" i="8"/>
  <c r="AH303" i="8"/>
  <c r="AH304" i="8"/>
  <c r="AH305" i="8"/>
  <c r="AH306" i="8"/>
  <c r="AH307" i="8"/>
  <c r="AH308" i="8"/>
  <c r="AH309" i="8"/>
  <c r="AH310" i="8"/>
  <c r="AH311" i="8"/>
  <c r="AH312" i="8"/>
  <c r="AH313" i="8"/>
  <c r="AH314" i="8"/>
  <c r="AH315" i="8"/>
  <c r="AH316" i="8"/>
  <c r="AH317" i="8"/>
  <c r="AH318" i="8"/>
  <c r="AH319" i="8"/>
  <c r="AH320" i="8"/>
  <c r="AH321" i="8"/>
  <c r="AH322" i="8"/>
  <c r="AH323" i="8"/>
  <c r="AH324" i="8"/>
  <c r="AH325" i="8"/>
  <c r="AH326" i="8"/>
  <c r="AH327" i="8"/>
  <c r="AH328" i="8"/>
  <c r="AH329" i="8"/>
  <c r="AH330" i="8"/>
  <c r="AH331" i="8"/>
  <c r="AH332" i="8"/>
  <c r="AH333" i="8"/>
  <c r="AH334" i="8"/>
  <c r="AH335" i="8"/>
  <c r="AH336" i="8"/>
  <c r="AH337" i="8"/>
  <c r="AH338" i="8"/>
  <c r="AH339" i="8"/>
  <c r="AH340" i="8"/>
  <c r="AH341" i="8"/>
  <c r="AH342" i="8"/>
  <c r="AH343" i="8"/>
  <c r="AH344" i="8"/>
  <c r="AH345" i="8"/>
  <c r="AH346" i="8"/>
  <c r="AH347" i="8"/>
  <c r="AH348" i="8"/>
  <c r="AH349" i="8"/>
  <c r="AH350" i="8"/>
  <c r="AH351" i="8"/>
  <c r="AH352" i="8"/>
  <c r="AH353" i="8"/>
  <c r="AH354" i="8"/>
  <c r="AH355" i="8"/>
  <c r="AH356" i="8"/>
  <c r="AH357" i="8"/>
  <c r="AH358" i="8"/>
  <c r="AH359" i="8"/>
  <c r="AH360" i="8"/>
  <c r="AH361" i="8"/>
  <c r="AH362" i="8"/>
  <c r="AH363" i="8"/>
  <c r="AH364" i="8"/>
  <c r="AH365" i="8"/>
  <c r="AH366" i="8"/>
  <c r="AH367" i="8"/>
  <c r="AH368" i="8"/>
  <c r="AH369" i="8"/>
  <c r="AH370" i="8"/>
  <c r="AH371" i="8"/>
  <c r="AH372" i="8"/>
  <c r="AH373" i="8"/>
  <c r="AH374" i="8"/>
  <c r="AH375" i="8"/>
  <c r="AH376" i="8"/>
  <c r="AH377" i="8"/>
  <c r="AH378" i="8"/>
  <c r="AH379" i="8"/>
  <c r="AH380" i="8"/>
  <c r="AH381" i="8"/>
  <c r="AH382" i="8"/>
  <c r="AH383" i="8"/>
  <c r="AH384" i="8"/>
  <c r="AH385" i="8"/>
  <c r="AH386" i="8"/>
  <c r="AH387" i="8"/>
  <c r="AH388" i="8"/>
  <c r="AH389" i="8"/>
  <c r="AH390" i="8"/>
  <c r="AH391" i="8"/>
  <c r="AH392" i="8"/>
  <c r="AH393" i="8"/>
  <c r="AH394" i="8"/>
  <c r="AH395" i="8"/>
  <c r="AH396" i="8"/>
  <c r="AH397" i="8"/>
  <c r="AH398" i="8"/>
  <c r="AH399" i="8"/>
  <c r="AH400" i="8"/>
  <c r="AH401" i="8"/>
  <c r="AH402" i="8"/>
  <c r="AH403" i="8"/>
  <c r="AH404" i="8"/>
  <c r="AH405" i="8"/>
  <c r="AH406" i="8"/>
  <c r="AH407" i="8"/>
  <c r="AH408" i="8"/>
  <c r="AH409" i="8"/>
  <c r="AH410" i="8"/>
  <c r="AH411" i="8"/>
  <c r="AH412" i="8"/>
  <c r="AH413" i="8"/>
  <c r="AH414" i="8"/>
  <c r="AH415" i="8"/>
  <c r="AH416" i="8"/>
  <c r="AH417" i="8"/>
  <c r="AH418" i="8"/>
  <c r="AH419" i="8"/>
  <c r="AH420" i="8"/>
  <c r="AH421" i="8"/>
  <c r="AH422" i="8"/>
  <c r="AH423" i="8"/>
  <c r="AH424" i="8"/>
  <c r="AH425" i="8"/>
  <c r="AH426" i="8"/>
  <c r="AH427" i="8"/>
  <c r="AH428" i="8"/>
  <c r="AH429" i="8"/>
  <c r="AH430" i="8"/>
  <c r="AH431" i="8"/>
  <c r="AH432" i="8"/>
  <c r="AH433" i="8"/>
  <c r="AH434" i="8"/>
  <c r="AH435" i="8"/>
  <c r="AH436" i="8"/>
  <c r="AH437" i="8"/>
  <c r="AH438" i="8"/>
  <c r="AH439" i="8"/>
  <c r="AH440" i="8"/>
  <c r="AH441" i="8"/>
  <c r="AH442" i="8"/>
  <c r="AH443" i="8"/>
  <c r="AH444" i="8"/>
  <c r="AH445" i="8"/>
  <c r="AH446" i="8"/>
  <c r="AH447" i="8"/>
  <c r="AH448" i="8"/>
  <c r="AH449" i="8"/>
  <c r="AH450" i="8"/>
  <c r="AH451" i="8"/>
  <c r="AH452" i="8"/>
  <c r="AH453" i="8"/>
  <c r="AH454" i="8"/>
  <c r="AH455" i="8"/>
  <c r="AH456" i="8"/>
  <c r="AH457" i="8"/>
  <c r="AH458" i="8"/>
  <c r="AH459" i="8"/>
  <c r="AH460" i="8"/>
  <c r="AH461" i="8"/>
  <c r="AH462" i="8"/>
  <c r="AH463" i="8"/>
  <c r="AH464" i="8"/>
  <c r="AH465" i="8"/>
  <c r="AH466" i="8"/>
  <c r="AH467" i="8"/>
  <c r="AH468" i="8"/>
  <c r="AH469" i="8"/>
  <c r="AH470" i="8"/>
  <c r="AH471" i="8"/>
  <c r="AH472" i="8"/>
  <c r="AH473" i="8"/>
  <c r="AH474" i="8"/>
  <c r="AH475" i="8"/>
  <c r="AH476" i="8"/>
  <c r="AH477" i="8"/>
  <c r="AH478" i="8"/>
  <c r="AH479" i="8"/>
  <c r="AH480" i="8"/>
  <c r="AH481" i="8"/>
  <c r="AH482" i="8"/>
  <c r="AH483" i="8"/>
  <c r="AH484" i="8"/>
  <c r="AH485" i="8"/>
  <c r="AH486" i="8"/>
  <c r="AH487" i="8"/>
  <c r="AH488" i="8"/>
  <c r="AH489" i="8"/>
  <c r="AH490" i="8"/>
  <c r="AH491" i="8"/>
  <c r="AH492" i="8"/>
  <c r="AH493" i="8"/>
  <c r="AH494" i="8"/>
  <c r="AH495" i="8"/>
  <c r="AH496" i="8"/>
  <c r="AH497" i="8"/>
  <c r="AH498" i="8"/>
  <c r="AH499" i="8"/>
  <c r="AH500" i="8"/>
  <c r="AH501" i="8"/>
  <c r="AH502" i="8"/>
  <c r="AH503" i="8"/>
  <c r="AH504" i="8"/>
  <c r="AH505" i="8"/>
  <c r="AH506" i="8"/>
  <c r="AH507" i="8"/>
  <c r="AH508" i="8"/>
  <c r="AH509" i="8"/>
  <c r="AH510" i="8"/>
  <c r="AH511" i="8"/>
  <c r="AH512" i="8"/>
  <c r="AH513" i="8"/>
  <c r="AH514" i="8"/>
  <c r="AH515" i="8"/>
  <c r="AH516" i="8"/>
  <c r="AH517" i="8"/>
  <c r="AH518" i="8"/>
  <c r="AH519" i="8"/>
  <c r="AH520" i="8"/>
  <c r="AH521" i="8"/>
  <c r="AH522" i="8"/>
  <c r="AH523" i="8"/>
  <c r="AH524" i="8"/>
  <c r="AH525" i="8"/>
  <c r="AH526" i="8"/>
  <c r="AH527" i="8"/>
  <c r="AH528" i="8"/>
  <c r="AH529" i="8"/>
  <c r="AH530" i="8"/>
  <c r="AH531" i="8"/>
  <c r="AH532" i="8"/>
  <c r="AH533" i="8"/>
  <c r="AH534" i="8"/>
  <c r="AH535" i="8"/>
  <c r="AH536" i="8"/>
  <c r="AH537" i="8"/>
  <c r="AH538" i="8"/>
  <c r="AH539" i="8"/>
  <c r="AH540" i="8"/>
  <c r="AH541" i="8"/>
  <c r="AH542" i="8"/>
  <c r="AH543" i="8"/>
  <c r="AH544" i="8"/>
  <c r="AH545" i="8"/>
  <c r="AH546" i="8"/>
  <c r="AH547" i="8"/>
  <c r="AH548" i="8"/>
  <c r="AH549" i="8"/>
  <c r="AH550" i="8"/>
  <c r="AH551" i="8"/>
  <c r="AH552" i="8"/>
  <c r="AH553" i="8"/>
  <c r="AH554" i="8"/>
  <c r="AH555" i="8"/>
  <c r="AH556" i="8"/>
  <c r="AH557" i="8"/>
  <c r="AH558" i="8"/>
  <c r="AH559" i="8"/>
  <c r="AH560" i="8"/>
  <c r="AH561" i="8"/>
  <c r="AH562" i="8"/>
  <c r="AH563" i="8"/>
  <c r="AH564" i="8"/>
  <c r="AH565" i="8"/>
  <c r="AH566" i="8"/>
  <c r="AH567" i="8"/>
  <c r="AH568" i="8"/>
  <c r="AH569" i="8"/>
  <c r="AH570" i="8"/>
  <c r="AH571" i="8"/>
  <c r="AH572" i="8"/>
  <c r="AH573" i="8"/>
  <c r="AH574" i="8"/>
  <c r="AH575" i="8"/>
  <c r="AH576" i="8"/>
  <c r="AH577" i="8"/>
  <c r="AH578" i="8"/>
  <c r="AH579" i="8"/>
  <c r="AH580" i="8"/>
  <c r="AH581" i="8"/>
  <c r="AH582" i="8"/>
  <c r="AH583" i="8"/>
  <c r="AH584" i="8"/>
  <c r="AH585" i="8"/>
  <c r="AH586" i="8"/>
  <c r="AH587" i="8"/>
  <c r="AH588" i="8"/>
  <c r="AH589" i="8"/>
  <c r="AH590" i="8"/>
  <c r="AH591" i="8"/>
  <c r="AH592" i="8"/>
  <c r="AH593" i="8"/>
  <c r="AH594" i="8"/>
  <c r="AH595" i="8"/>
  <c r="AH596" i="8"/>
  <c r="AH597" i="8"/>
  <c r="AH598" i="8"/>
  <c r="AH599" i="8"/>
  <c r="AH600" i="8"/>
  <c r="AH601" i="8"/>
  <c r="AH602" i="8"/>
  <c r="AH603" i="8"/>
  <c r="AH604" i="8"/>
  <c r="AH605" i="8"/>
  <c r="AH606" i="8"/>
  <c r="AH607" i="8"/>
  <c r="AH608" i="8"/>
  <c r="AH609" i="8"/>
  <c r="AH610" i="8"/>
  <c r="AH611" i="8"/>
  <c r="AH612" i="8"/>
  <c r="AH613" i="8"/>
  <c r="AH614" i="8"/>
  <c r="AH615" i="8"/>
  <c r="AH616" i="8"/>
  <c r="AH617" i="8"/>
  <c r="AH618" i="8"/>
  <c r="AH619" i="8"/>
  <c r="AH620" i="8"/>
  <c r="AH621" i="8"/>
  <c r="AH622" i="8"/>
  <c r="AH623" i="8"/>
  <c r="AH624" i="8"/>
  <c r="AH625" i="8"/>
  <c r="AH626" i="8"/>
  <c r="AH627" i="8"/>
  <c r="AH628" i="8"/>
  <c r="AH629" i="8"/>
  <c r="AH630" i="8"/>
  <c r="AH631" i="8"/>
  <c r="AH632" i="8"/>
  <c r="AH633" i="8"/>
  <c r="AH634" i="8"/>
  <c r="AH635" i="8"/>
  <c r="AH636" i="8"/>
  <c r="AH637" i="8"/>
  <c r="AH638" i="8"/>
  <c r="AH639" i="8"/>
  <c r="AH640" i="8"/>
  <c r="AH641" i="8"/>
  <c r="AH642" i="8"/>
  <c r="AH643" i="8"/>
  <c r="AH644" i="8"/>
  <c r="AH645" i="8"/>
  <c r="AH646" i="8"/>
  <c r="AH647" i="8"/>
  <c r="AH648" i="8"/>
  <c r="AH649" i="8"/>
  <c r="AH650" i="8"/>
  <c r="AH651" i="8"/>
  <c r="AH652" i="8"/>
  <c r="AH653" i="8"/>
  <c r="AH654" i="8"/>
  <c r="AH655" i="8"/>
  <c r="AH656" i="8"/>
  <c r="AH657" i="8"/>
  <c r="AH658" i="8"/>
  <c r="AH659" i="8"/>
  <c r="AH660" i="8"/>
  <c r="AH661" i="8"/>
  <c r="AH662" i="8"/>
  <c r="AH663" i="8"/>
  <c r="AH664" i="8"/>
  <c r="AH665" i="8"/>
  <c r="AH666" i="8"/>
  <c r="AH667" i="8"/>
  <c r="AH668" i="8"/>
  <c r="AH669" i="8"/>
  <c r="AH670" i="8"/>
  <c r="AH671" i="8"/>
  <c r="AH672" i="8"/>
  <c r="AH673" i="8"/>
  <c r="AH674" i="8"/>
  <c r="AH675" i="8"/>
  <c r="AH676" i="8"/>
  <c r="AH677" i="8"/>
  <c r="AH678" i="8"/>
  <c r="AH679" i="8"/>
  <c r="AH680" i="8"/>
  <c r="AH681" i="8"/>
  <c r="AH682" i="8"/>
  <c r="AH683" i="8"/>
  <c r="AH684" i="8"/>
  <c r="AH685" i="8"/>
  <c r="AH686" i="8"/>
  <c r="AH687" i="8"/>
  <c r="AH688" i="8"/>
  <c r="AH689" i="8"/>
  <c r="AH690" i="8"/>
  <c r="AH691" i="8"/>
  <c r="AH692" i="8"/>
  <c r="AH693" i="8"/>
  <c r="AH694" i="8"/>
  <c r="AH695" i="8"/>
  <c r="AH696" i="8"/>
  <c r="AH697" i="8"/>
  <c r="AH698" i="8"/>
  <c r="AH699" i="8"/>
  <c r="AH700" i="8"/>
  <c r="AH701" i="8"/>
  <c r="AH702" i="8"/>
  <c r="AH703" i="8"/>
  <c r="AH704" i="8"/>
  <c r="AH705" i="8"/>
  <c r="AH706" i="8"/>
  <c r="AH707" i="8"/>
  <c r="AH708" i="8"/>
  <c r="AH709" i="8"/>
  <c r="AH710" i="8"/>
  <c r="AH711" i="8"/>
  <c r="AH712" i="8"/>
  <c r="AH713" i="8"/>
  <c r="AH714" i="8"/>
  <c r="AH715" i="8"/>
  <c r="AH716" i="8"/>
  <c r="AH717" i="8"/>
  <c r="AH718" i="8"/>
  <c r="AH719" i="8"/>
  <c r="AH720" i="8"/>
  <c r="AH721" i="8"/>
  <c r="AH722" i="8"/>
  <c r="AH723" i="8"/>
  <c r="AH724" i="8"/>
  <c r="AH725" i="8"/>
  <c r="AH726" i="8"/>
  <c r="AH727" i="8"/>
  <c r="AH728" i="8"/>
  <c r="AH729" i="8"/>
  <c r="AH730" i="8"/>
  <c r="AH731" i="8"/>
  <c r="AH732" i="8"/>
  <c r="AH733" i="8"/>
  <c r="AH734" i="8"/>
  <c r="AH735" i="8"/>
  <c r="AH736" i="8"/>
  <c r="AH737" i="8"/>
  <c r="AH738" i="8"/>
  <c r="AH739" i="8"/>
  <c r="AH740" i="8"/>
  <c r="AH741" i="8"/>
  <c r="AH742" i="8"/>
  <c r="AH743" i="8"/>
  <c r="AH744" i="8"/>
  <c r="AH745" i="8"/>
  <c r="AH746" i="8"/>
  <c r="AH747" i="8"/>
  <c r="AH748" i="8"/>
  <c r="AH749" i="8"/>
  <c r="AH750" i="8"/>
  <c r="AH751" i="8"/>
  <c r="AH752" i="8"/>
  <c r="AH753" i="8"/>
  <c r="AH754" i="8"/>
  <c r="AH755" i="8"/>
  <c r="AH756" i="8"/>
  <c r="AH757" i="8"/>
  <c r="AH758" i="8"/>
  <c r="AH759" i="8"/>
  <c r="AH760" i="8"/>
  <c r="AH761" i="8"/>
  <c r="AH762" i="8"/>
  <c r="AH763" i="8"/>
  <c r="AH764" i="8"/>
  <c r="AH765" i="8"/>
  <c r="AH766" i="8"/>
  <c r="AH767" i="8"/>
  <c r="AH768" i="8"/>
  <c r="AH769" i="8"/>
  <c r="AH770" i="8"/>
  <c r="AH771" i="8"/>
  <c r="AH772" i="8"/>
  <c r="AH773" i="8"/>
  <c r="AH774" i="8"/>
  <c r="AH775" i="8"/>
  <c r="AH776" i="8"/>
  <c r="AH777" i="8"/>
  <c r="AH778" i="8"/>
  <c r="AH779" i="8"/>
  <c r="AH780" i="8"/>
  <c r="AH781" i="8"/>
  <c r="AH782" i="8"/>
  <c r="AH783" i="8"/>
  <c r="AH784" i="8"/>
  <c r="AH785" i="8"/>
  <c r="AH786" i="8"/>
  <c r="AH787" i="8"/>
  <c r="AH788" i="8"/>
  <c r="AH789" i="8"/>
  <c r="AH790" i="8"/>
  <c r="AH791" i="8"/>
  <c r="AH792" i="8"/>
  <c r="AH793" i="8"/>
  <c r="AH794" i="8"/>
  <c r="AH795" i="8"/>
  <c r="AH796" i="8"/>
  <c r="AH797" i="8"/>
  <c r="AH798" i="8"/>
  <c r="AH799" i="8"/>
  <c r="AH800" i="8"/>
  <c r="AH801" i="8"/>
  <c r="AH802" i="8"/>
  <c r="AH803" i="8"/>
  <c r="AH804" i="8"/>
  <c r="AH805" i="8"/>
  <c r="AH806" i="8"/>
  <c r="AH807" i="8"/>
  <c r="AH808" i="8"/>
  <c r="AH809" i="8"/>
  <c r="AH810" i="8"/>
  <c r="AH811" i="8"/>
  <c r="AH812" i="8"/>
  <c r="AH813" i="8"/>
  <c r="AH814" i="8"/>
  <c r="AH815" i="8"/>
  <c r="AH816" i="8"/>
  <c r="AH817" i="8"/>
  <c r="AH818" i="8"/>
  <c r="AH819" i="8"/>
  <c r="AH820" i="8"/>
  <c r="AH821" i="8"/>
  <c r="AH822" i="8"/>
  <c r="AH823" i="8"/>
  <c r="AH824" i="8"/>
  <c r="AH825" i="8"/>
  <c r="AH826" i="8"/>
  <c r="AH827" i="8"/>
  <c r="AH828" i="8"/>
  <c r="AH829" i="8"/>
  <c r="AH830" i="8"/>
  <c r="AH831" i="8"/>
  <c r="AH832" i="8"/>
  <c r="AH833" i="8"/>
  <c r="AH834" i="8"/>
  <c r="AH835" i="8"/>
  <c r="AH836" i="8"/>
  <c r="AH837" i="8"/>
  <c r="AH838" i="8"/>
  <c r="AH839" i="8"/>
  <c r="AH840" i="8"/>
  <c r="AH841" i="8"/>
  <c r="AH842" i="8"/>
  <c r="AH843" i="8"/>
  <c r="AH844" i="8"/>
  <c r="AH845" i="8"/>
  <c r="AH846" i="8"/>
  <c r="AH847" i="8"/>
  <c r="AH848" i="8"/>
  <c r="AH849" i="8"/>
  <c r="AH850" i="8"/>
  <c r="AH851" i="8"/>
  <c r="AH852" i="8"/>
  <c r="AH853" i="8"/>
  <c r="AH854" i="8"/>
  <c r="AH855" i="8"/>
  <c r="AH856" i="8"/>
  <c r="AH857" i="8"/>
  <c r="AH858" i="8"/>
  <c r="AH859" i="8"/>
  <c r="AH860" i="8"/>
  <c r="AH861" i="8"/>
  <c r="AH862" i="8"/>
  <c r="AH863" i="8"/>
  <c r="AH864" i="8"/>
  <c r="AH865" i="8"/>
  <c r="AH866" i="8"/>
  <c r="AH867" i="8"/>
  <c r="AH868" i="8"/>
  <c r="AH869" i="8"/>
  <c r="AH870" i="8"/>
  <c r="AH871" i="8"/>
  <c r="AH872" i="8"/>
  <c r="AH873" i="8"/>
  <c r="AH874" i="8"/>
  <c r="AH875" i="8"/>
  <c r="AH876" i="8"/>
  <c r="AH877" i="8"/>
  <c r="AH878" i="8"/>
  <c r="AH879" i="8"/>
  <c r="AH880" i="8"/>
  <c r="AH881" i="8"/>
  <c r="AH882" i="8"/>
  <c r="AH883" i="8"/>
  <c r="AH884" i="8"/>
  <c r="AH885" i="8"/>
  <c r="AH886" i="8"/>
  <c r="AH887" i="8"/>
  <c r="AH888" i="8"/>
  <c r="AH889" i="8"/>
  <c r="AH890" i="8"/>
  <c r="AH891" i="8"/>
  <c r="AH892" i="8"/>
  <c r="AH893" i="8"/>
  <c r="AH894" i="8"/>
  <c r="AH895" i="8"/>
  <c r="AH896" i="8"/>
  <c r="AH897" i="8"/>
  <c r="AH898" i="8"/>
  <c r="AH899" i="8"/>
  <c r="AH900" i="8"/>
  <c r="AH901" i="8"/>
  <c r="AH902" i="8"/>
  <c r="AH903" i="8"/>
  <c r="AH904" i="8"/>
  <c r="AH905" i="8"/>
  <c r="AH906" i="8"/>
  <c r="AH907" i="8"/>
  <c r="AH908" i="8"/>
  <c r="AH909" i="8"/>
  <c r="AH910" i="8"/>
  <c r="AH911" i="8"/>
  <c r="AH912" i="8"/>
  <c r="AH913" i="8"/>
  <c r="AH914" i="8"/>
  <c r="AH915" i="8"/>
  <c r="AH916" i="8"/>
  <c r="AH917" i="8"/>
  <c r="AH918" i="8"/>
  <c r="AH919" i="8"/>
  <c r="AH920" i="8"/>
  <c r="AH921" i="8"/>
  <c r="AH922" i="8"/>
  <c r="AH923" i="8"/>
  <c r="AH924" i="8"/>
  <c r="AH925" i="8"/>
  <c r="AH926" i="8"/>
  <c r="AH927" i="8"/>
  <c r="AH928" i="8"/>
  <c r="AH929" i="8"/>
  <c r="AH930" i="8"/>
  <c r="AH931" i="8"/>
  <c r="AH932" i="8"/>
  <c r="AH933" i="8"/>
  <c r="AH934" i="8"/>
  <c r="AH935" i="8"/>
  <c r="AH936" i="8"/>
  <c r="AH937" i="8"/>
  <c r="AH938" i="8"/>
  <c r="AH939" i="8"/>
  <c r="AH940" i="8"/>
  <c r="AH941" i="8"/>
  <c r="AH942" i="8"/>
  <c r="AH943" i="8"/>
  <c r="AH944" i="8"/>
  <c r="AH945" i="8"/>
  <c r="AH946" i="8"/>
  <c r="AH947" i="8"/>
  <c r="AH948" i="8"/>
  <c r="AH949" i="8"/>
  <c r="AH950" i="8"/>
  <c r="AH951" i="8"/>
  <c r="AH952" i="8"/>
  <c r="AH953" i="8"/>
  <c r="AH954" i="8"/>
  <c r="AH955" i="8"/>
  <c r="AH956" i="8"/>
  <c r="AH957" i="8"/>
  <c r="AH958" i="8"/>
  <c r="AH959" i="8"/>
  <c r="AH960" i="8"/>
  <c r="AH961" i="8"/>
  <c r="AH962" i="8"/>
  <c r="AH963" i="8"/>
  <c r="AH964" i="8"/>
  <c r="AH965" i="8"/>
  <c r="AH966" i="8"/>
  <c r="AH967" i="8"/>
  <c r="AH968" i="8"/>
  <c r="AH969" i="8"/>
  <c r="AH970" i="8"/>
  <c r="AH971" i="8"/>
  <c r="AH972" i="8"/>
  <c r="AH973" i="8"/>
  <c r="AH974" i="8"/>
  <c r="AH975" i="8"/>
  <c r="AH976" i="8"/>
  <c r="AH977" i="8"/>
  <c r="AH978" i="8"/>
  <c r="AH979" i="8"/>
  <c r="AH980" i="8"/>
  <c r="AH981" i="8"/>
  <c r="AH982" i="8"/>
  <c r="AH983" i="8"/>
  <c r="AH984" i="8"/>
  <c r="AH985" i="8"/>
  <c r="AH986" i="8"/>
  <c r="AH987" i="8"/>
  <c r="AH988" i="8"/>
  <c r="AH989" i="8"/>
  <c r="AH990" i="8"/>
  <c r="AH991" i="8"/>
  <c r="AH992" i="8"/>
  <c r="AH993" i="8"/>
  <c r="AH994" i="8"/>
  <c r="AH995" i="8"/>
  <c r="AH996" i="8"/>
  <c r="AH997" i="8"/>
  <c r="AH998" i="8"/>
  <c r="AH999" i="8"/>
  <c r="AH1000" i="8"/>
  <c r="AH1001" i="8"/>
  <c r="AH1002" i="8"/>
  <c r="AH1003" i="8"/>
  <c r="AH1004" i="8"/>
  <c r="AH1005" i="8"/>
  <c r="AH1006" i="8"/>
  <c r="AH1007" i="8"/>
  <c r="AH1008" i="8"/>
  <c r="AH1009" i="8"/>
  <c r="AH1010" i="8"/>
  <c r="AH1011" i="8"/>
  <c r="AH1012" i="8"/>
  <c r="AH1013" i="8"/>
  <c r="AH1014" i="8"/>
  <c r="AH1015" i="8"/>
  <c r="AH1016" i="8"/>
  <c r="AH1017" i="8"/>
  <c r="AH1018" i="8"/>
  <c r="AH1019" i="8"/>
  <c r="AH1020" i="8"/>
  <c r="AH1021" i="8"/>
  <c r="AH1022" i="8"/>
  <c r="AH1023" i="8"/>
  <c r="AH1024" i="8"/>
  <c r="AH1025" i="8"/>
  <c r="AH1026" i="8"/>
  <c r="AH1027" i="8"/>
  <c r="AH1028" i="8"/>
  <c r="AH1029" i="8"/>
  <c r="AH1030" i="8"/>
  <c r="AH1031" i="8"/>
  <c r="AH1032" i="8"/>
  <c r="AH1033" i="8"/>
  <c r="AH1034" i="8"/>
  <c r="AH1035" i="8"/>
  <c r="AH1036" i="8"/>
  <c r="AH1037" i="8"/>
  <c r="AH1038" i="8"/>
  <c r="AH1039" i="8"/>
  <c r="AH1040" i="8"/>
  <c r="AH1041" i="8"/>
  <c r="AH1042" i="8"/>
  <c r="AH1043" i="8"/>
  <c r="AH1044" i="8"/>
  <c r="AH1045" i="8"/>
  <c r="AH1046" i="8"/>
  <c r="AH1047" i="8"/>
  <c r="AH1048" i="8"/>
  <c r="AH1049" i="8"/>
  <c r="AH1050" i="8"/>
  <c r="AH1051" i="8"/>
  <c r="AH1052" i="8"/>
  <c r="AH1053" i="8"/>
  <c r="AH1054" i="8"/>
  <c r="AH1055" i="8"/>
  <c r="AH1056" i="8"/>
  <c r="AH1057" i="8"/>
  <c r="AH1058" i="8"/>
  <c r="AH1059" i="8"/>
  <c r="AH1060" i="8"/>
  <c r="AH1" i="8"/>
  <c r="AG3" i="8"/>
  <c r="AG4" i="8" s="1"/>
  <c r="AG5" i="8" s="1"/>
  <c r="AG6" i="8" s="1"/>
  <c r="AG7" i="8" s="1"/>
  <c r="AG8" i="8" s="1"/>
  <c r="AG9" i="8" s="1"/>
  <c r="AG10" i="8" s="1"/>
  <c r="AG11" i="8" s="1"/>
  <c r="AG12" i="8" s="1"/>
  <c r="AG13" i="8" s="1"/>
  <c r="AG14" i="8" s="1"/>
  <c r="AG15" i="8" s="1"/>
  <c r="AG16" i="8" s="1"/>
  <c r="AG17" i="8" s="1"/>
  <c r="AG18" i="8" s="1"/>
  <c r="AG19" i="8" s="1"/>
  <c r="AG20" i="8" s="1"/>
  <c r="AG21" i="8" s="1"/>
  <c r="AG22" i="8" s="1"/>
  <c r="AG23" i="8" s="1"/>
  <c r="AG24" i="8" s="1"/>
  <c r="AG25" i="8" s="1"/>
  <c r="AG26" i="8" s="1"/>
  <c r="AG27" i="8" s="1"/>
  <c r="AG28" i="8" s="1"/>
  <c r="AG29" i="8" s="1"/>
  <c r="AG30" i="8" s="1"/>
  <c r="AG31" i="8" s="1"/>
  <c r="AG32" i="8" s="1"/>
  <c r="AG33" i="8" s="1"/>
  <c r="AG34" i="8" s="1"/>
  <c r="AG35" i="8" s="1"/>
  <c r="AG36" i="8" s="1"/>
  <c r="AG37" i="8" s="1"/>
  <c r="AG38" i="8" s="1"/>
  <c r="AG39" i="8" s="1"/>
  <c r="AG40" i="8" s="1"/>
  <c r="AG41" i="8" s="1"/>
  <c r="AG42" i="8" s="1"/>
  <c r="AG43" i="8" s="1"/>
  <c r="AG44" i="8" s="1"/>
  <c r="AG45" i="8" s="1"/>
  <c r="AG46" i="8" s="1"/>
  <c r="AG47" i="8" s="1"/>
  <c r="AG48" i="8" s="1"/>
  <c r="AG49" i="8" s="1"/>
  <c r="AG50" i="8" s="1"/>
  <c r="AG51" i="8" s="1"/>
  <c r="AG52" i="8" s="1"/>
  <c r="AG53" i="8" s="1"/>
  <c r="AG54" i="8" s="1"/>
  <c r="AG55" i="8" s="1"/>
  <c r="AG56" i="8" s="1"/>
  <c r="AG57" i="8" s="1"/>
  <c r="AG58" i="8" s="1"/>
  <c r="AG59" i="8" s="1"/>
  <c r="AG60" i="8" s="1"/>
  <c r="AG61" i="8" s="1"/>
  <c r="AG62" i="8" s="1"/>
  <c r="AG63" i="8" s="1"/>
  <c r="AG64" i="8" s="1"/>
  <c r="AG65" i="8" s="1"/>
  <c r="AG66" i="8" s="1"/>
  <c r="AG67" i="8" s="1"/>
  <c r="AG68" i="8" s="1"/>
  <c r="AG69" i="8" s="1"/>
  <c r="AG70" i="8" s="1"/>
  <c r="AG71" i="8" s="1"/>
  <c r="AG72" i="8" s="1"/>
  <c r="AG73" i="8" s="1"/>
  <c r="AG74" i="8" s="1"/>
  <c r="AG75" i="8" s="1"/>
  <c r="AG76" i="8" s="1"/>
  <c r="AG77" i="8" s="1"/>
  <c r="AG78" i="8" s="1"/>
  <c r="AG79" i="8" s="1"/>
  <c r="AG80" i="8" s="1"/>
  <c r="AG81" i="8" s="1"/>
  <c r="AG82" i="8" s="1"/>
  <c r="AG83" i="8" s="1"/>
  <c r="AG84" i="8" s="1"/>
  <c r="AG85" i="8" s="1"/>
  <c r="AG86" i="8" s="1"/>
  <c r="AG87" i="8" s="1"/>
  <c r="AG88" i="8" s="1"/>
  <c r="AG89" i="8" s="1"/>
  <c r="AG90" i="8" s="1"/>
  <c r="AG91" i="8" s="1"/>
  <c r="AG92" i="8" s="1"/>
  <c r="AG93" i="8" s="1"/>
  <c r="AG94" i="8" s="1"/>
  <c r="AG95" i="8" s="1"/>
  <c r="AG96" i="8" s="1"/>
  <c r="AG97" i="8" s="1"/>
  <c r="AG98" i="8" s="1"/>
  <c r="AG99" i="8" s="1"/>
  <c r="AG100" i="8" s="1"/>
  <c r="AG101" i="8" s="1"/>
  <c r="AG102" i="8" s="1"/>
  <c r="AG103" i="8" s="1"/>
  <c r="AG104" i="8" s="1"/>
  <c r="AG105" i="8" s="1"/>
  <c r="AG106" i="8" s="1"/>
  <c r="AG107" i="8" s="1"/>
  <c r="AG108" i="8" s="1"/>
  <c r="AG109" i="8" s="1"/>
  <c r="AG110" i="8" s="1"/>
  <c r="AG111" i="8" s="1"/>
  <c r="AG112" i="8" s="1"/>
  <c r="AG113" i="8" s="1"/>
  <c r="AG114" i="8" s="1"/>
  <c r="AG115" i="8" s="1"/>
  <c r="AG116" i="8" s="1"/>
  <c r="AG117" i="8" s="1"/>
  <c r="AG118" i="8" s="1"/>
  <c r="AG119" i="8" s="1"/>
  <c r="AG120" i="8" s="1"/>
  <c r="AG121" i="8" s="1"/>
  <c r="AG122" i="8" s="1"/>
  <c r="AG123" i="8" s="1"/>
  <c r="AG124" i="8" s="1"/>
  <c r="AG125" i="8" s="1"/>
  <c r="AG126" i="8" s="1"/>
  <c r="AG127" i="8" s="1"/>
  <c r="AG128" i="8" s="1"/>
  <c r="AG129" i="8" s="1"/>
  <c r="AG130" i="8" s="1"/>
  <c r="AG131" i="8" s="1"/>
  <c r="AG132" i="8" s="1"/>
  <c r="AG133" i="8" s="1"/>
  <c r="AG134" i="8" s="1"/>
  <c r="AG135" i="8" s="1"/>
  <c r="AG136" i="8" s="1"/>
  <c r="AG137" i="8" s="1"/>
  <c r="AG138" i="8" s="1"/>
  <c r="AG139" i="8" s="1"/>
  <c r="AG140" i="8" s="1"/>
  <c r="AG141" i="8" s="1"/>
  <c r="AG142" i="8" s="1"/>
  <c r="AG143" i="8" s="1"/>
  <c r="AG144" i="8" s="1"/>
  <c r="AG145" i="8" s="1"/>
  <c r="AG146" i="8" s="1"/>
  <c r="AG147" i="8" s="1"/>
  <c r="AG148" i="8" s="1"/>
  <c r="AG149" i="8" s="1"/>
  <c r="AG150" i="8" s="1"/>
  <c r="AG151" i="8" s="1"/>
  <c r="AG152" i="8" s="1"/>
  <c r="AG153" i="8" s="1"/>
  <c r="AG154" i="8" s="1"/>
  <c r="AG155" i="8" s="1"/>
  <c r="AG156" i="8" s="1"/>
  <c r="AG157" i="8" s="1"/>
  <c r="AG158" i="8" s="1"/>
  <c r="AG159" i="8" s="1"/>
  <c r="AG160" i="8" s="1"/>
  <c r="AG161" i="8" s="1"/>
  <c r="AG162" i="8" s="1"/>
  <c r="AG163" i="8" s="1"/>
  <c r="AG164" i="8" s="1"/>
  <c r="AG165" i="8" s="1"/>
  <c r="AG166" i="8" s="1"/>
  <c r="AG167" i="8" s="1"/>
  <c r="AG168" i="8" s="1"/>
  <c r="AG169" i="8" s="1"/>
  <c r="AG170" i="8" s="1"/>
  <c r="AG171" i="8" s="1"/>
  <c r="AG172" i="8" s="1"/>
  <c r="AG173" i="8" s="1"/>
  <c r="AG174" i="8" s="1"/>
  <c r="AG175" i="8" s="1"/>
  <c r="AG176" i="8" s="1"/>
  <c r="AG177" i="8" s="1"/>
  <c r="AG178" i="8" s="1"/>
  <c r="AG179" i="8" s="1"/>
  <c r="AG180" i="8" s="1"/>
  <c r="AG181" i="8" s="1"/>
  <c r="AG182" i="8" s="1"/>
  <c r="AG183" i="8" s="1"/>
  <c r="AG184" i="8" s="1"/>
  <c r="AG185" i="8" s="1"/>
  <c r="AG186" i="8" s="1"/>
  <c r="AG187" i="8" s="1"/>
  <c r="AG188" i="8" s="1"/>
  <c r="AG189" i="8" s="1"/>
  <c r="AG190" i="8" s="1"/>
  <c r="AG191" i="8" s="1"/>
  <c r="AG192" i="8" s="1"/>
  <c r="AG193" i="8" s="1"/>
  <c r="AG194" i="8" s="1"/>
  <c r="AG195" i="8" s="1"/>
  <c r="AG196" i="8" s="1"/>
  <c r="AG197" i="8" s="1"/>
  <c r="AG198" i="8" s="1"/>
  <c r="AG199" i="8" s="1"/>
  <c r="AG200" i="8" s="1"/>
  <c r="AG201" i="8" s="1"/>
  <c r="AG202" i="8" s="1"/>
  <c r="AG203" i="8" s="1"/>
  <c r="AG204" i="8" s="1"/>
  <c r="AG205" i="8" s="1"/>
  <c r="AG206" i="8" s="1"/>
  <c r="AG207" i="8" s="1"/>
  <c r="AG208" i="8" s="1"/>
  <c r="AG209" i="8" s="1"/>
  <c r="AG210" i="8" s="1"/>
  <c r="AG211" i="8" s="1"/>
  <c r="AG212" i="8" s="1"/>
  <c r="AG213" i="8" s="1"/>
  <c r="AG214" i="8" s="1"/>
  <c r="AG215" i="8" s="1"/>
  <c r="AG216" i="8" s="1"/>
  <c r="AG217" i="8" s="1"/>
  <c r="AG218" i="8" s="1"/>
  <c r="AG219" i="8" s="1"/>
  <c r="AG220" i="8" s="1"/>
  <c r="AG221" i="8" s="1"/>
  <c r="AG222" i="8" s="1"/>
  <c r="AG223" i="8" s="1"/>
  <c r="AG224" i="8" s="1"/>
  <c r="AG225" i="8" s="1"/>
  <c r="AG226" i="8" s="1"/>
  <c r="AG227" i="8" s="1"/>
  <c r="AG228" i="8" s="1"/>
  <c r="AG229" i="8" s="1"/>
  <c r="AG230" i="8" s="1"/>
  <c r="AG231" i="8" s="1"/>
  <c r="AG232" i="8" s="1"/>
  <c r="AG233" i="8" s="1"/>
  <c r="AG234" i="8" s="1"/>
  <c r="AG235" i="8" s="1"/>
  <c r="AG236" i="8" s="1"/>
  <c r="AG237" i="8" s="1"/>
  <c r="AG238" i="8" s="1"/>
  <c r="AG239" i="8" s="1"/>
  <c r="AG240" i="8" s="1"/>
  <c r="AG241" i="8" s="1"/>
  <c r="AG242" i="8" s="1"/>
  <c r="AG243" i="8" s="1"/>
  <c r="AG244" i="8" s="1"/>
  <c r="AG245" i="8" s="1"/>
  <c r="AG246" i="8" s="1"/>
  <c r="AG247" i="8" s="1"/>
  <c r="AG248" i="8" s="1"/>
  <c r="AG249" i="8" s="1"/>
  <c r="AG250" i="8" s="1"/>
  <c r="AG251" i="8" s="1"/>
  <c r="AG252" i="8" s="1"/>
  <c r="AG253" i="8" s="1"/>
  <c r="AG254" i="8" s="1"/>
  <c r="AG255" i="8" s="1"/>
  <c r="AG256" i="8" s="1"/>
  <c r="AG257" i="8" s="1"/>
  <c r="AG258" i="8" s="1"/>
  <c r="AG259" i="8" s="1"/>
  <c r="AG260" i="8" s="1"/>
  <c r="AG261" i="8" s="1"/>
  <c r="AG262" i="8" s="1"/>
  <c r="AG263" i="8" s="1"/>
  <c r="AG264" i="8" s="1"/>
  <c r="AG265" i="8" s="1"/>
  <c r="AG266" i="8" s="1"/>
  <c r="AG267" i="8" s="1"/>
  <c r="AG268" i="8" s="1"/>
  <c r="AG269" i="8" s="1"/>
  <c r="AG270" i="8" s="1"/>
  <c r="AG271" i="8" s="1"/>
  <c r="AG272" i="8" s="1"/>
  <c r="AG273" i="8" s="1"/>
  <c r="AG274" i="8" s="1"/>
  <c r="AG275" i="8" s="1"/>
  <c r="AG276" i="8" s="1"/>
  <c r="AG277" i="8" s="1"/>
  <c r="AG278" i="8" s="1"/>
  <c r="AG279" i="8" s="1"/>
  <c r="AG280" i="8" s="1"/>
  <c r="AG281" i="8" s="1"/>
  <c r="AG282" i="8" s="1"/>
  <c r="AG283" i="8" s="1"/>
  <c r="AG284" i="8" s="1"/>
  <c r="AG285" i="8" s="1"/>
  <c r="AG286" i="8" s="1"/>
  <c r="AG287" i="8" s="1"/>
  <c r="AG288" i="8" s="1"/>
  <c r="AG289" i="8" s="1"/>
  <c r="AG290" i="8" s="1"/>
  <c r="AG291" i="8" s="1"/>
  <c r="AG292" i="8" s="1"/>
  <c r="AG293" i="8" s="1"/>
  <c r="AG294" i="8" s="1"/>
  <c r="AG295" i="8" s="1"/>
  <c r="AG296" i="8" s="1"/>
  <c r="AG297" i="8" s="1"/>
  <c r="AG298" i="8" s="1"/>
  <c r="AG299" i="8" s="1"/>
  <c r="AG300" i="8" s="1"/>
  <c r="AG301" i="8" s="1"/>
  <c r="AG302" i="8" s="1"/>
  <c r="AG303" i="8" s="1"/>
  <c r="AG304" i="8" s="1"/>
  <c r="AG305" i="8" s="1"/>
  <c r="AG306" i="8" s="1"/>
  <c r="AG307" i="8" s="1"/>
  <c r="AG308" i="8" s="1"/>
  <c r="AG309" i="8" s="1"/>
  <c r="AG310" i="8" s="1"/>
  <c r="AG311" i="8" s="1"/>
  <c r="AG312" i="8" s="1"/>
  <c r="AG313" i="8" s="1"/>
  <c r="AG314" i="8" s="1"/>
  <c r="AG315" i="8" s="1"/>
  <c r="AG316" i="8" s="1"/>
  <c r="AG317" i="8" s="1"/>
  <c r="AG318" i="8" s="1"/>
  <c r="AG319" i="8" s="1"/>
  <c r="AG320" i="8" s="1"/>
  <c r="AG321" i="8" s="1"/>
  <c r="AG322" i="8" s="1"/>
  <c r="AG323" i="8" s="1"/>
  <c r="AG324" i="8" s="1"/>
  <c r="AG325" i="8" s="1"/>
  <c r="AG326" i="8" s="1"/>
  <c r="AG327" i="8" s="1"/>
  <c r="AG328" i="8" s="1"/>
  <c r="AG329" i="8" s="1"/>
  <c r="AG330" i="8" s="1"/>
  <c r="AG331" i="8" s="1"/>
  <c r="AG332" i="8" s="1"/>
  <c r="AG333" i="8" s="1"/>
  <c r="AG334" i="8" s="1"/>
  <c r="AG335" i="8" s="1"/>
  <c r="AG336" i="8" s="1"/>
  <c r="AG337" i="8" s="1"/>
  <c r="AG338" i="8" s="1"/>
  <c r="AG339" i="8" s="1"/>
  <c r="AG340" i="8" s="1"/>
  <c r="AG341" i="8" s="1"/>
  <c r="AG342" i="8" s="1"/>
  <c r="AG343" i="8" s="1"/>
  <c r="AG344" i="8" s="1"/>
  <c r="AG345" i="8" s="1"/>
  <c r="AG346" i="8" s="1"/>
  <c r="AG347" i="8" s="1"/>
  <c r="AG348" i="8" s="1"/>
  <c r="AG349" i="8" s="1"/>
  <c r="AG350" i="8" s="1"/>
  <c r="AG351" i="8" s="1"/>
  <c r="AG352" i="8" s="1"/>
  <c r="AG353" i="8" s="1"/>
  <c r="AG354" i="8" s="1"/>
  <c r="AG355" i="8" s="1"/>
  <c r="AG356" i="8" s="1"/>
  <c r="AG357" i="8" s="1"/>
  <c r="AG358" i="8" s="1"/>
  <c r="AG359" i="8" s="1"/>
  <c r="AG360" i="8" s="1"/>
  <c r="AG361" i="8" s="1"/>
  <c r="AG362" i="8" s="1"/>
  <c r="AG363" i="8" s="1"/>
  <c r="AG364" i="8" s="1"/>
  <c r="AG365" i="8" s="1"/>
  <c r="AG366" i="8" s="1"/>
  <c r="AG367" i="8" s="1"/>
  <c r="AG368" i="8" s="1"/>
  <c r="AG369" i="8" s="1"/>
  <c r="AG370" i="8" s="1"/>
  <c r="AG371" i="8" s="1"/>
  <c r="AG372" i="8" s="1"/>
  <c r="AG373" i="8" s="1"/>
  <c r="AG374" i="8" s="1"/>
  <c r="AG375" i="8" s="1"/>
  <c r="AG376" i="8" s="1"/>
  <c r="AG377" i="8" s="1"/>
  <c r="AG378" i="8" s="1"/>
  <c r="AG379" i="8" s="1"/>
  <c r="AG380" i="8" s="1"/>
  <c r="AG381" i="8" s="1"/>
  <c r="AG382" i="8" s="1"/>
  <c r="AG383" i="8" s="1"/>
  <c r="AG384" i="8" s="1"/>
  <c r="AG385" i="8" s="1"/>
  <c r="AG386" i="8" s="1"/>
  <c r="AG387" i="8" s="1"/>
  <c r="AG388" i="8" s="1"/>
  <c r="AG389" i="8" s="1"/>
  <c r="AG390" i="8" s="1"/>
  <c r="AG391" i="8" s="1"/>
  <c r="AG392" i="8" s="1"/>
  <c r="AG393" i="8" s="1"/>
  <c r="AG394" i="8" s="1"/>
  <c r="AG395" i="8" s="1"/>
  <c r="AG396" i="8" s="1"/>
  <c r="AG397" i="8" s="1"/>
  <c r="AG398" i="8" s="1"/>
  <c r="AG399" i="8" s="1"/>
  <c r="AG400" i="8" s="1"/>
  <c r="AG401" i="8" s="1"/>
  <c r="AG402" i="8" s="1"/>
  <c r="AG403" i="8" s="1"/>
  <c r="AG404" i="8" s="1"/>
  <c r="AG405" i="8" s="1"/>
  <c r="AG406" i="8" s="1"/>
  <c r="AG407" i="8" s="1"/>
  <c r="AG408" i="8" s="1"/>
  <c r="AG409" i="8" s="1"/>
  <c r="AG410" i="8" s="1"/>
  <c r="AG411" i="8" s="1"/>
  <c r="AG412" i="8" s="1"/>
  <c r="AG413" i="8" s="1"/>
  <c r="AG414" i="8" s="1"/>
  <c r="AG415" i="8" s="1"/>
  <c r="AG416" i="8" s="1"/>
  <c r="AG417" i="8" s="1"/>
  <c r="AG418" i="8" s="1"/>
  <c r="AG419" i="8" s="1"/>
  <c r="AG420" i="8" s="1"/>
  <c r="AG421" i="8" s="1"/>
  <c r="AG422" i="8" s="1"/>
  <c r="AG423" i="8" s="1"/>
  <c r="AG424" i="8" s="1"/>
  <c r="AG425" i="8" s="1"/>
  <c r="AG426" i="8" s="1"/>
  <c r="AG427" i="8" s="1"/>
  <c r="AG428" i="8" s="1"/>
  <c r="AG429" i="8" s="1"/>
  <c r="AG430" i="8" s="1"/>
  <c r="AG431" i="8" s="1"/>
  <c r="AG432" i="8" s="1"/>
  <c r="AG433" i="8" s="1"/>
  <c r="AG434" i="8" s="1"/>
  <c r="AG435" i="8" s="1"/>
  <c r="AG436" i="8" s="1"/>
  <c r="AG437" i="8" s="1"/>
  <c r="AG438" i="8" s="1"/>
  <c r="AG439" i="8" s="1"/>
  <c r="AG440" i="8" s="1"/>
  <c r="AG441" i="8" s="1"/>
  <c r="AG442" i="8" s="1"/>
  <c r="AG443" i="8" s="1"/>
  <c r="AG444" i="8" s="1"/>
  <c r="AG445" i="8" s="1"/>
  <c r="AG446" i="8" s="1"/>
  <c r="AG447" i="8" s="1"/>
  <c r="AG448" i="8" s="1"/>
  <c r="AG449" i="8" s="1"/>
  <c r="AG450" i="8" s="1"/>
  <c r="AG451" i="8" s="1"/>
  <c r="AG452" i="8" s="1"/>
  <c r="AG453" i="8" s="1"/>
  <c r="AG454" i="8" s="1"/>
  <c r="AG455" i="8" s="1"/>
  <c r="AG456" i="8" s="1"/>
  <c r="AG457" i="8" s="1"/>
  <c r="AG458" i="8" s="1"/>
  <c r="AG459" i="8" s="1"/>
  <c r="AG460" i="8" s="1"/>
  <c r="AG461" i="8" s="1"/>
  <c r="AG462" i="8" s="1"/>
  <c r="AG463" i="8" s="1"/>
  <c r="AG464" i="8" s="1"/>
  <c r="AG465" i="8" s="1"/>
  <c r="AG466" i="8" s="1"/>
  <c r="AG467" i="8" s="1"/>
  <c r="AG468" i="8" s="1"/>
  <c r="AG469" i="8" s="1"/>
  <c r="AG470" i="8" s="1"/>
  <c r="AG471" i="8" s="1"/>
  <c r="AG472" i="8" s="1"/>
  <c r="AG473" i="8" s="1"/>
  <c r="AG474" i="8" s="1"/>
  <c r="AG475" i="8" s="1"/>
  <c r="AG476" i="8" s="1"/>
  <c r="AG477" i="8" s="1"/>
  <c r="AG478" i="8" s="1"/>
  <c r="AG479" i="8" s="1"/>
  <c r="AG480" i="8" s="1"/>
  <c r="AG481" i="8" s="1"/>
  <c r="AG482" i="8" s="1"/>
  <c r="AG483" i="8" s="1"/>
  <c r="AG484" i="8" s="1"/>
  <c r="AG485" i="8" s="1"/>
  <c r="AG486" i="8" s="1"/>
  <c r="AG487" i="8" s="1"/>
  <c r="AG488" i="8" s="1"/>
  <c r="AG489" i="8" s="1"/>
  <c r="AG490" i="8" s="1"/>
  <c r="AG491" i="8" s="1"/>
  <c r="AG492" i="8" s="1"/>
  <c r="AG493" i="8" s="1"/>
  <c r="AG494" i="8" s="1"/>
  <c r="AG495" i="8" s="1"/>
  <c r="AG496" i="8" s="1"/>
  <c r="AG497" i="8" s="1"/>
  <c r="AG498" i="8" s="1"/>
  <c r="AG499" i="8" s="1"/>
  <c r="AG500" i="8" s="1"/>
  <c r="AG501" i="8" s="1"/>
  <c r="AG502" i="8" s="1"/>
  <c r="AG503" i="8" s="1"/>
  <c r="AG504" i="8" s="1"/>
  <c r="AG505" i="8" s="1"/>
  <c r="AG506" i="8" s="1"/>
  <c r="AG507" i="8" s="1"/>
  <c r="AG508" i="8" s="1"/>
  <c r="AG509" i="8" s="1"/>
  <c r="AG510" i="8" s="1"/>
  <c r="AG511" i="8" s="1"/>
  <c r="AG512" i="8" s="1"/>
  <c r="AG513" i="8" s="1"/>
  <c r="AG514" i="8" s="1"/>
  <c r="AG515" i="8" s="1"/>
  <c r="AG516" i="8" s="1"/>
  <c r="AG517" i="8" s="1"/>
  <c r="AG518" i="8" s="1"/>
  <c r="AG519" i="8" s="1"/>
  <c r="AG520" i="8" s="1"/>
  <c r="AG521" i="8" s="1"/>
  <c r="AG522" i="8" s="1"/>
  <c r="AG523" i="8" s="1"/>
  <c r="AG524" i="8" s="1"/>
  <c r="AG525" i="8" s="1"/>
  <c r="AG526" i="8" s="1"/>
  <c r="AG527" i="8" s="1"/>
  <c r="AG528" i="8" s="1"/>
  <c r="AG529" i="8" s="1"/>
  <c r="AG530" i="8" s="1"/>
  <c r="AG531" i="8" s="1"/>
  <c r="AG532" i="8" s="1"/>
  <c r="AG533" i="8" s="1"/>
  <c r="AG534" i="8" s="1"/>
  <c r="AG535" i="8" s="1"/>
  <c r="AG536" i="8" s="1"/>
  <c r="AG537" i="8" s="1"/>
  <c r="AG538" i="8" s="1"/>
  <c r="AG539" i="8" s="1"/>
  <c r="AG540" i="8" s="1"/>
  <c r="AG541" i="8" s="1"/>
  <c r="AG542" i="8" s="1"/>
  <c r="AG543" i="8" s="1"/>
  <c r="AG544" i="8" s="1"/>
  <c r="AG545" i="8" s="1"/>
  <c r="AG546" i="8" s="1"/>
  <c r="AG547" i="8" s="1"/>
  <c r="AG548" i="8" s="1"/>
  <c r="AG549" i="8" s="1"/>
  <c r="AG550" i="8" s="1"/>
  <c r="AG551" i="8" s="1"/>
  <c r="AG552" i="8" s="1"/>
  <c r="AG553" i="8" s="1"/>
  <c r="AG554" i="8" s="1"/>
  <c r="AG555" i="8" s="1"/>
  <c r="AG556" i="8" s="1"/>
  <c r="AG557" i="8" s="1"/>
  <c r="AG558" i="8" s="1"/>
  <c r="AG559" i="8" s="1"/>
  <c r="AG560" i="8" s="1"/>
  <c r="AG561" i="8" s="1"/>
  <c r="AG562" i="8" s="1"/>
  <c r="AG563" i="8" s="1"/>
  <c r="AG564" i="8" s="1"/>
  <c r="AG565" i="8" s="1"/>
  <c r="AG566" i="8" s="1"/>
  <c r="AG567" i="8" s="1"/>
  <c r="AG568" i="8" s="1"/>
  <c r="AG569" i="8" s="1"/>
  <c r="AG570" i="8" s="1"/>
  <c r="AG571" i="8" s="1"/>
  <c r="AG572" i="8" s="1"/>
  <c r="AG573" i="8" s="1"/>
  <c r="AG574" i="8" s="1"/>
  <c r="AG575" i="8" s="1"/>
  <c r="AG576" i="8" s="1"/>
  <c r="AG577" i="8" s="1"/>
  <c r="AG578" i="8" s="1"/>
  <c r="AG579" i="8" s="1"/>
  <c r="AG580" i="8" s="1"/>
  <c r="AG581" i="8" s="1"/>
  <c r="AG582" i="8" s="1"/>
  <c r="AG583" i="8" s="1"/>
  <c r="AG584" i="8" s="1"/>
  <c r="AG585" i="8" s="1"/>
  <c r="AG586" i="8" s="1"/>
  <c r="AG587" i="8" s="1"/>
  <c r="AG588" i="8" s="1"/>
  <c r="AG589" i="8" s="1"/>
  <c r="AG590" i="8" s="1"/>
  <c r="AG591" i="8" s="1"/>
  <c r="AG592" i="8" s="1"/>
  <c r="AG593" i="8" s="1"/>
  <c r="AG594" i="8" s="1"/>
  <c r="AG595" i="8" s="1"/>
  <c r="AG596" i="8" s="1"/>
  <c r="AG597" i="8" s="1"/>
  <c r="AG598" i="8" s="1"/>
  <c r="AG599" i="8" s="1"/>
  <c r="AG600" i="8" s="1"/>
  <c r="AG601" i="8" s="1"/>
  <c r="AG602" i="8" s="1"/>
  <c r="AG603" i="8" s="1"/>
  <c r="AG604" i="8" s="1"/>
  <c r="AG605" i="8" s="1"/>
  <c r="AG606" i="8" s="1"/>
  <c r="AG607" i="8" s="1"/>
  <c r="AG608" i="8" s="1"/>
  <c r="AG609" i="8" s="1"/>
  <c r="AG610" i="8" s="1"/>
  <c r="AG611" i="8" s="1"/>
  <c r="AG612" i="8" s="1"/>
  <c r="AG613" i="8" s="1"/>
  <c r="AG614" i="8" s="1"/>
  <c r="AG615" i="8" s="1"/>
  <c r="AG616" i="8" s="1"/>
  <c r="AG617" i="8" s="1"/>
  <c r="AG618" i="8" s="1"/>
  <c r="AG619" i="8" s="1"/>
  <c r="AG620" i="8" s="1"/>
  <c r="AG621" i="8" s="1"/>
  <c r="AG622" i="8" s="1"/>
  <c r="AG623" i="8" s="1"/>
  <c r="AG624" i="8" s="1"/>
  <c r="AG625" i="8" s="1"/>
  <c r="AG626" i="8" s="1"/>
  <c r="AG627" i="8" s="1"/>
  <c r="AG628" i="8" s="1"/>
  <c r="AG629" i="8" s="1"/>
  <c r="AG630" i="8" s="1"/>
  <c r="AG631" i="8" s="1"/>
  <c r="AG632" i="8" s="1"/>
  <c r="AG633" i="8" s="1"/>
  <c r="AG634" i="8" s="1"/>
  <c r="AG635" i="8" s="1"/>
  <c r="AG636" i="8" s="1"/>
  <c r="AG637" i="8" s="1"/>
  <c r="AG638" i="8" s="1"/>
  <c r="AG639" i="8" s="1"/>
  <c r="AG640" i="8" s="1"/>
  <c r="AG641" i="8" s="1"/>
  <c r="AG642" i="8" s="1"/>
  <c r="AG643" i="8" s="1"/>
  <c r="AG644" i="8" s="1"/>
  <c r="AG645" i="8" s="1"/>
  <c r="AG646" i="8" s="1"/>
  <c r="AG647" i="8" s="1"/>
  <c r="AG648" i="8" s="1"/>
  <c r="AG649" i="8" s="1"/>
  <c r="AG650" i="8" s="1"/>
  <c r="AG651" i="8" s="1"/>
  <c r="AG652" i="8" s="1"/>
  <c r="AG653" i="8" s="1"/>
  <c r="AG654" i="8" s="1"/>
  <c r="AG655" i="8" s="1"/>
  <c r="AG656" i="8" s="1"/>
  <c r="AG657" i="8" s="1"/>
  <c r="AG658" i="8" s="1"/>
  <c r="AG659" i="8" s="1"/>
  <c r="AG660" i="8" s="1"/>
  <c r="AG661" i="8" s="1"/>
  <c r="AG662" i="8" s="1"/>
  <c r="AG663" i="8" s="1"/>
  <c r="AG664" i="8" s="1"/>
  <c r="AG665" i="8" s="1"/>
  <c r="AG666" i="8" s="1"/>
  <c r="AG667" i="8" s="1"/>
  <c r="AG668" i="8" s="1"/>
  <c r="AG669" i="8" s="1"/>
  <c r="AG670" i="8" s="1"/>
  <c r="AG671" i="8" s="1"/>
  <c r="AG672" i="8" s="1"/>
  <c r="AG673" i="8" s="1"/>
  <c r="AG674" i="8" s="1"/>
  <c r="AG675" i="8" s="1"/>
  <c r="AG676" i="8" s="1"/>
  <c r="AG677" i="8" s="1"/>
  <c r="AG678" i="8" s="1"/>
  <c r="AG679" i="8" s="1"/>
  <c r="AG680" i="8" s="1"/>
  <c r="AG681" i="8" s="1"/>
  <c r="AG682" i="8" s="1"/>
  <c r="AG683" i="8" s="1"/>
  <c r="AG684" i="8" s="1"/>
  <c r="AG685" i="8" s="1"/>
  <c r="AG686" i="8" s="1"/>
  <c r="AG687" i="8" s="1"/>
  <c r="AG688" i="8" s="1"/>
  <c r="AG689" i="8" s="1"/>
  <c r="AG690" i="8" s="1"/>
  <c r="AG691" i="8" s="1"/>
  <c r="AG692" i="8" s="1"/>
  <c r="AG693" i="8" s="1"/>
  <c r="AG694" i="8" s="1"/>
  <c r="AG695" i="8" s="1"/>
  <c r="AG696" i="8" s="1"/>
  <c r="AG697" i="8" s="1"/>
  <c r="AG698" i="8" s="1"/>
  <c r="AG699" i="8" s="1"/>
  <c r="AG700" i="8" s="1"/>
  <c r="AG701" i="8" s="1"/>
  <c r="AG702" i="8" s="1"/>
  <c r="AG703" i="8" s="1"/>
  <c r="AG704" i="8" s="1"/>
  <c r="AG705" i="8" s="1"/>
  <c r="AG706" i="8" s="1"/>
  <c r="AG707" i="8" s="1"/>
  <c r="AG708" i="8" s="1"/>
  <c r="AG709" i="8" s="1"/>
  <c r="AG710" i="8" s="1"/>
  <c r="AG711" i="8" s="1"/>
  <c r="AG712" i="8" s="1"/>
  <c r="AG713" i="8" s="1"/>
  <c r="AG714" i="8" s="1"/>
  <c r="AG715" i="8" s="1"/>
  <c r="AG716" i="8" s="1"/>
  <c r="AG717" i="8" s="1"/>
  <c r="AG718" i="8" s="1"/>
  <c r="AG719" i="8" s="1"/>
  <c r="AG720" i="8" s="1"/>
  <c r="AG721" i="8" s="1"/>
  <c r="AG722" i="8" s="1"/>
  <c r="AG723" i="8" s="1"/>
  <c r="AG724" i="8" s="1"/>
  <c r="AG725" i="8" s="1"/>
  <c r="AG726" i="8" s="1"/>
  <c r="AG727" i="8" s="1"/>
  <c r="AG728" i="8" s="1"/>
  <c r="AG729" i="8" s="1"/>
  <c r="AG730" i="8" s="1"/>
  <c r="AG731" i="8" s="1"/>
  <c r="AG732" i="8" s="1"/>
  <c r="AG733" i="8" s="1"/>
  <c r="AG734" i="8" s="1"/>
  <c r="AG735" i="8" s="1"/>
  <c r="AG736" i="8" s="1"/>
  <c r="AG737" i="8" s="1"/>
  <c r="AG738" i="8" s="1"/>
  <c r="AG739" i="8" s="1"/>
  <c r="AG740" i="8" s="1"/>
  <c r="AG741" i="8" s="1"/>
  <c r="AG742" i="8" s="1"/>
  <c r="AG743" i="8" s="1"/>
  <c r="AG744" i="8" s="1"/>
  <c r="AG745" i="8" s="1"/>
  <c r="AG746" i="8" s="1"/>
  <c r="AG747" i="8" s="1"/>
  <c r="AG748" i="8" s="1"/>
  <c r="AG749" i="8" s="1"/>
  <c r="AG750" i="8" s="1"/>
  <c r="AG751" i="8" s="1"/>
  <c r="AG752" i="8" s="1"/>
  <c r="AG753" i="8" s="1"/>
  <c r="AG754" i="8" s="1"/>
  <c r="AG755" i="8" s="1"/>
  <c r="AG756" i="8" s="1"/>
  <c r="AG757" i="8" s="1"/>
  <c r="AG758" i="8" s="1"/>
  <c r="AG759" i="8" s="1"/>
  <c r="AG760" i="8" s="1"/>
  <c r="AG761" i="8" s="1"/>
  <c r="AG762" i="8" s="1"/>
  <c r="AG763" i="8" s="1"/>
  <c r="AG764" i="8" s="1"/>
  <c r="AG765" i="8" s="1"/>
  <c r="AG766" i="8" s="1"/>
  <c r="AG767" i="8" s="1"/>
  <c r="AG768" i="8" s="1"/>
  <c r="AG769" i="8" s="1"/>
  <c r="AG770" i="8" s="1"/>
  <c r="AG771" i="8" s="1"/>
  <c r="AG772" i="8" s="1"/>
  <c r="AG773" i="8" s="1"/>
  <c r="AG774" i="8" s="1"/>
  <c r="AG775" i="8" s="1"/>
  <c r="AG776" i="8" s="1"/>
  <c r="AG777" i="8" s="1"/>
  <c r="AG778" i="8" s="1"/>
  <c r="AG779" i="8" s="1"/>
  <c r="AG780" i="8" s="1"/>
  <c r="AG781" i="8" s="1"/>
  <c r="AG782" i="8" s="1"/>
  <c r="AG783" i="8" s="1"/>
  <c r="AG784" i="8" s="1"/>
  <c r="AG785" i="8" s="1"/>
  <c r="AG786" i="8" s="1"/>
  <c r="AG787" i="8" s="1"/>
  <c r="AG788" i="8" s="1"/>
  <c r="AG789" i="8" s="1"/>
  <c r="AG790" i="8" s="1"/>
  <c r="AG791" i="8" s="1"/>
  <c r="AG792" i="8" s="1"/>
  <c r="AG793" i="8" s="1"/>
  <c r="AG794" i="8" s="1"/>
  <c r="AG795" i="8" s="1"/>
  <c r="AG796" i="8" s="1"/>
  <c r="AG797" i="8" s="1"/>
  <c r="AG798" i="8" s="1"/>
  <c r="AG799" i="8" s="1"/>
  <c r="AG800" i="8" s="1"/>
  <c r="AG801" i="8" s="1"/>
  <c r="AG802" i="8" s="1"/>
  <c r="AG803" i="8" s="1"/>
  <c r="AG804" i="8" s="1"/>
  <c r="AG805" i="8" s="1"/>
  <c r="AG806" i="8" s="1"/>
  <c r="AG807" i="8" s="1"/>
  <c r="AG808" i="8" s="1"/>
  <c r="AG809" i="8" s="1"/>
  <c r="AG810" i="8" s="1"/>
  <c r="AG811" i="8" s="1"/>
  <c r="AG812" i="8" s="1"/>
  <c r="AG813" i="8" s="1"/>
  <c r="AG814" i="8" s="1"/>
  <c r="AG815" i="8" s="1"/>
  <c r="AG816" i="8" s="1"/>
  <c r="AG817" i="8" s="1"/>
  <c r="AG818" i="8" s="1"/>
  <c r="AG819" i="8" s="1"/>
  <c r="AG820" i="8" s="1"/>
  <c r="AG821" i="8" s="1"/>
  <c r="AG822" i="8" s="1"/>
  <c r="AG823" i="8" s="1"/>
  <c r="AG824" i="8" s="1"/>
  <c r="AG825" i="8" s="1"/>
  <c r="AG826" i="8" s="1"/>
  <c r="AG827" i="8" s="1"/>
  <c r="AG828" i="8" s="1"/>
  <c r="AG829" i="8" s="1"/>
  <c r="AG830" i="8" s="1"/>
  <c r="AG831" i="8" s="1"/>
  <c r="AG832" i="8" s="1"/>
  <c r="AG833" i="8" s="1"/>
  <c r="AG834" i="8" s="1"/>
  <c r="AG835" i="8" s="1"/>
  <c r="AG836" i="8" s="1"/>
  <c r="AG837" i="8" s="1"/>
  <c r="AG838" i="8" s="1"/>
  <c r="AG839" i="8" s="1"/>
  <c r="AG840" i="8" s="1"/>
  <c r="AG841" i="8" s="1"/>
  <c r="AG842" i="8" s="1"/>
  <c r="AG843" i="8" s="1"/>
  <c r="AG844" i="8" s="1"/>
  <c r="AG845" i="8" s="1"/>
  <c r="AG846" i="8" s="1"/>
  <c r="AG847" i="8" s="1"/>
  <c r="AG848" i="8" s="1"/>
  <c r="AG849" i="8" s="1"/>
  <c r="AG850" i="8" s="1"/>
  <c r="AG851" i="8" s="1"/>
  <c r="AG852" i="8" s="1"/>
  <c r="AG853" i="8" s="1"/>
  <c r="AG854" i="8" s="1"/>
  <c r="AG855" i="8" s="1"/>
  <c r="AG856" i="8" s="1"/>
  <c r="AG857" i="8" s="1"/>
  <c r="AG858" i="8" s="1"/>
  <c r="AG859" i="8" s="1"/>
  <c r="AG860" i="8" s="1"/>
  <c r="AG861" i="8" s="1"/>
  <c r="AG862" i="8" s="1"/>
  <c r="AG863" i="8" s="1"/>
  <c r="AG864" i="8" s="1"/>
  <c r="AG865" i="8" s="1"/>
  <c r="AG866" i="8" s="1"/>
  <c r="AG867" i="8" s="1"/>
  <c r="AG868" i="8" s="1"/>
  <c r="AG869" i="8" s="1"/>
  <c r="AG870" i="8" s="1"/>
  <c r="AG871" i="8" s="1"/>
  <c r="AG872" i="8" s="1"/>
  <c r="AG873" i="8" s="1"/>
  <c r="AG874" i="8" s="1"/>
  <c r="AG875" i="8" s="1"/>
  <c r="AG876" i="8" s="1"/>
  <c r="AG877" i="8" s="1"/>
  <c r="AG878" i="8" s="1"/>
  <c r="AG879" i="8" s="1"/>
  <c r="AG880" i="8" s="1"/>
  <c r="AG881" i="8" s="1"/>
  <c r="AG882" i="8" s="1"/>
  <c r="AG883" i="8" s="1"/>
  <c r="AG884" i="8" s="1"/>
  <c r="AG885" i="8" s="1"/>
  <c r="AG886" i="8" s="1"/>
  <c r="AG887" i="8" s="1"/>
  <c r="AG888" i="8" s="1"/>
  <c r="AG889" i="8" s="1"/>
  <c r="AG890" i="8" s="1"/>
  <c r="AG891" i="8" s="1"/>
  <c r="AG892" i="8" s="1"/>
  <c r="AG893" i="8" s="1"/>
  <c r="AG894" i="8" s="1"/>
  <c r="AG895" i="8" s="1"/>
  <c r="AG896" i="8" s="1"/>
  <c r="AG897" i="8" s="1"/>
  <c r="AG898" i="8" s="1"/>
  <c r="AG899" i="8" s="1"/>
  <c r="AG900" i="8" s="1"/>
  <c r="AG901" i="8" s="1"/>
  <c r="AG902" i="8" s="1"/>
  <c r="AG903" i="8" s="1"/>
  <c r="AG904" i="8" s="1"/>
  <c r="AG905" i="8" s="1"/>
  <c r="AG906" i="8" s="1"/>
  <c r="AG907" i="8" s="1"/>
  <c r="AG908" i="8" s="1"/>
  <c r="AG909" i="8" s="1"/>
  <c r="AG910" i="8" s="1"/>
  <c r="AG911" i="8" s="1"/>
  <c r="AG912" i="8" s="1"/>
  <c r="AG913" i="8" s="1"/>
  <c r="AG914" i="8" s="1"/>
  <c r="AG915" i="8" s="1"/>
  <c r="AG916" i="8" s="1"/>
  <c r="AG917" i="8" s="1"/>
  <c r="AG918" i="8" s="1"/>
  <c r="AG919" i="8" s="1"/>
  <c r="AG920" i="8" s="1"/>
  <c r="AG921" i="8" s="1"/>
  <c r="AG922" i="8" s="1"/>
  <c r="AG923" i="8" s="1"/>
  <c r="AG924" i="8" s="1"/>
  <c r="AG925" i="8" s="1"/>
  <c r="AG926" i="8" s="1"/>
  <c r="AG927" i="8" s="1"/>
  <c r="AG928" i="8" s="1"/>
  <c r="AG929" i="8" s="1"/>
  <c r="AG930" i="8" s="1"/>
  <c r="AG931" i="8" s="1"/>
  <c r="AG932" i="8" s="1"/>
  <c r="AG933" i="8" s="1"/>
  <c r="AG934" i="8" s="1"/>
  <c r="AG935" i="8" s="1"/>
  <c r="AG936" i="8" s="1"/>
  <c r="AG937" i="8" s="1"/>
  <c r="AG938" i="8" s="1"/>
  <c r="AG939" i="8" s="1"/>
  <c r="AG940" i="8" s="1"/>
  <c r="AG941" i="8" s="1"/>
  <c r="AG942" i="8" s="1"/>
  <c r="AG943" i="8" s="1"/>
  <c r="AG944" i="8" s="1"/>
  <c r="AG945" i="8" s="1"/>
  <c r="AG946" i="8" s="1"/>
  <c r="AG947" i="8" s="1"/>
  <c r="AG948" i="8" s="1"/>
  <c r="AG949" i="8" s="1"/>
  <c r="AG950" i="8" s="1"/>
  <c r="AG951" i="8" s="1"/>
  <c r="AG952" i="8" s="1"/>
  <c r="AG953" i="8" s="1"/>
  <c r="AG954" i="8" s="1"/>
  <c r="AG955" i="8" s="1"/>
  <c r="AG956" i="8" s="1"/>
  <c r="AG957" i="8" s="1"/>
  <c r="AG958" i="8" s="1"/>
  <c r="AG959" i="8" s="1"/>
  <c r="AG960" i="8" s="1"/>
  <c r="AG961" i="8" s="1"/>
  <c r="AG962" i="8" s="1"/>
  <c r="AG963" i="8" s="1"/>
  <c r="AG964" i="8" s="1"/>
  <c r="AG965" i="8" s="1"/>
  <c r="AG966" i="8" s="1"/>
  <c r="AG967" i="8" s="1"/>
  <c r="AG968" i="8" s="1"/>
  <c r="AG969" i="8" s="1"/>
  <c r="AG970" i="8" s="1"/>
  <c r="AG971" i="8" s="1"/>
  <c r="AG972" i="8" s="1"/>
  <c r="AG973" i="8" s="1"/>
  <c r="AG974" i="8" s="1"/>
  <c r="AG975" i="8" s="1"/>
  <c r="AG976" i="8" s="1"/>
  <c r="AG977" i="8" s="1"/>
  <c r="AG978" i="8" s="1"/>
  <c r="AG979" i="8" s="1"/>
  <c r="AG980" i="8" s="1"/>
  <c r="AG981" i="8" s="1"/>
  <c r="AG982" i="8" s="1"/>
  <c r="AG983" i="8" s="1"/>
  <c r="AG984" i="8" s="1"/>
  <c r="AG985" i="8" s="1"/>
  <c r="AG986" i="8" s="1"/>
  <c r="AG987" i="8" s="1"/>
  <c r="AG988" i="8" s="1"/>
  <c r="AG989" i="8" s="1"/>
  <c r="AG990" i="8" s="1"/>
  <c r="AG991" i="8" s="1"/>
  <c r="AG992" i="8" s="1"/>
  <c r="AG993" i="8" s="1"/>
  <c r="AG994" i="8" s="1"/>
  <c r="AG995" i="8" s="1"/>
  <c r="AG996" i="8" s="1"/>
  <c r="AG997" i="8" s="1"/>
  <c r="AG998" i="8" s="1"/>
  <c r="AG999" i="8" s="1"/>
  <c r="AG1000" i="8" s="1"/>
  <c r="AG1001" i="8" s="1"/>
  <c r="AG1002" i="8" s="1"/>
  <c r="AG1003" i="8" s="1"/>
  <c r="AG1004" i="8" s="1"/>
  <c r="AG1005" i="8" s="1"/>
  <c r="AG1006" i="8" s="1"/>
  <c r="AG1007" i="8" s="1"/>
  <c r="AG1008" i="8" s="1"/>
  <c r="AG1009" i="8" s="1"/>
  <c r="AG1010" i="8" s="1"/>
  <c r="AG1011" i="8" s="1"/>
  <c r="AG1012" i="8" s="1"/>
  <c r="AG1013" i="8" s="1"/>
  <c r="AG1014" i="8" s="1"/>
  <c r="AG1015" i="8" s="1"/>
  <c r="AG1016" i="8" s="1"/>
  <c r="AG1017" i="8" s="1"/>
  <c r="AG1018" i="8" s="1"/>
  <c r="AG1019" i="8" s="1"/>
  <c r="AG1020" i="8" s="1"/>
  <c r="AG1021" i="8" s="1"/>
  <c r="AG1022" i="8" s="1"/>
  <c r="AG1023" i="8" s="1"/>
  <c r="AG1024" i="8" s="1"/>
  <c r="AG1025" i="8" s="1"/>
  <c r="AG1026" i="8" s="1"/>
  <c r="AG1027" i="8" s="1"/>
  <c r="AG1028" i="8" s="1"/>
  <c r="AG1029" i="8" s="1"/>
  <c r="AG1030" i="8" s="1"/>
  <c r="AG1031" i="8" s="1"/>
  <c r="AG1032" i="8" s="1"/>
  <c r="AG1033" i="8" s="1"/>
  <c r="AG1034" i="8" s="1"/>
  <c r="AG1035" i="8" s="1"/>
  <c r="AG1036" i="8" s="1"/>
  <c r="AG1037" i="8" s="1"/>
  <c r="AG1038" i="8" s="1"/>
  <c r="AG1039" i="8" s="1"/>
  <c r="AG1040" i="8" s="1"/>
  <c r="AG1041" i="8" s="1"/>
  <c r="AG1042" i="8" s="1"/>
  <c r="AG1043" i="8" s="1"/>
  <c r="AG1044" i="8" s="1"/>
  <c r="AG1045" i="8" s="1"/>
  <c r="AG1046" i="8" s="1"/>
  <c r="AG1047" i="8" s="1"/>
  <c r="AG1048" i="8" s="1"/>
  <c r="AG1049" i="8" s="1"/>
  <c r="AG1050" i="8" s="1"/>
  <c r="AG1051" i="8" s="1"/>
  <c r="AG1052" i="8" s="1"/>
  <c r="AG1053" i="8" s="1"/>
  <c r="AG1054" i="8" s="1"/>
  <c r="AG1055" i="8" s="1"/>
  <c r="AG1056" i="8" s="1"/>
  <c r="AG1057" i="8" s="1"/>
  <c r="AG1058" i="8" s="1"/>
  <c r="AG1059" i="8" s="1"/>
  <c r="AG1060" i="8" s="1"/>
  <c r="AG2" i="8"/>
  <c r="AF2" i="8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7" i="8"/>
  <c r="AF88" i="8"/>
  <c r="AF89" i="8"/>
  <c r="AF90" i="8"/>
  <c r="AF91" i="8"/>
  <c r="AF92" i="8"/>
  <c r="AF93" i="8"/>
  <c r="AF94" i="8"/>
  <c r="AF95" i="8"/>
  <c r="AF96" i="8"/>
  <c r="AF97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482" i="8"/>
  <c r="AF483" i="8"/>
  <c r="AF484" i="8"/>
  <c r="AF485" i="8"/>
  <c r="AF486" i="8"/>
  <c r="AF487" i="8"/>
  <c r="AF488" i="8"/>
  <c r="AF489" i="8"/>
  <c r="AF490" i="8"/>
  <c r="AF491" i="8"/>
  <c r="AF492" i="8"/>
  <c r="AF493" i="8"/>
  <c r="AF494" i="8"/>
  <c r="AF495" i="8"/>
  <c r="AF496" i="8"/>
  <c r="AF497" i="8"/>
  <c r="AF498" i="8"/>
  <c r="AF499" i="8"/>
  <c r="AF500" i="8"/>
  <c r="AF501" i="8"/>
  <c r="AF502" i="8"/>
  <c r="AF503" i="8"/>
  <c r="AF504" i="8"/>
  <c r="AF505" i="8"/>
  <c r="AF506" i="8"/>
  <c r="AF507" i="8"/>
  <c r="AF508" i="8"/>
  <c r="AF509" i="8"/>
  <c r="AF510" i="8"/>
  <c r="AF511" i="8"/>
  <c r="AF512" i="8"/>
  <c r="AF513" i="8"/>
  <c r="AF514" i="8"/>
  <c r="AF515" i="8"/>
  <c r="AF516" i="8"/>
  <c r="AF517" i="8"/>
  <c r="AF518" i="8"/>
  <c r="AF519" i="8"/>
  <c r="AF520" i="8"/>
  <c r="AF521" i="8"/>
  <c r="AF522" i="8"/>
  <c r="AF523" i="8"/>
  <c r="AF524" i="8"/>
  <c r="AF525" i="8"/>
  <c r="AF526" i="8"/>
  <c r="AF527" i="8"/>
  <c r="AF528" i="8"/>
  <c r="AF529" i="8"/>
  <c r="AF530" i="8"/>
  <c r="AF531" i="8"/>
  <c r="AF532" i="8"/>
  <c r="AF533" i="8"/>
  <c r="AF534" i="8"/>
  <c r="AF535" i="8"/>
  <c r="AF536" i="8"/>
  <c r="AF537" i="8"/>
  <c r="AF538" i="8"/>
  <c r="AF539" i="8"/>
  <c r="AF540" i="8"/>
  <c r="AF541" i="8"/>
  <c r="AF542" i="8"/>
  <c r="AF543" i="8"/>
  <c r="AF544" i="8"/>
  <c r="AF545" i="8"/>
  <c r="AF546" i="8"/>
  <c r="AF547" i="8"/>
  <c r="AF548" i="8"/>
  <c r="AF549" i="8"/>
  <c r="AF550" i="8"/>
  <c r="AF551" i="8"/>
  <c r="AF552" i="8"/>
  <c r="AF553" i="8"/>
  <c r="AF554" i="8"/>
  <c r="AF555" i="8"/>
  <c r="AF556" i="8"/>
  <c r="AF557" i="8"/>
  <c r="AF558" i="8"/>
  <c r="AF559" i="8"/>
  <c r="AF560" i="8"/>
  <c r="AF561" i="8"/>
  <c r="AF562" i="8"/>
  <c r="AF563" i="8"/>
  <c r="AF564" i="8"/>
  <c r="AF565" i="8"/>
  <c r="AF566" i="8"/>
  <c r="AF567" i="8"/>
  <c r="AF568" i="8"/>
  <c r="AF569" i="8"/>
  <c r="AF570" i="8"/>
  <c r="AF571" i="8"/>
  <c r="AF572" i="8"/>
  <c r="AF573" i="8"/>
  <c r="AF574" i="8"/>
  <c r="AF575" i="8"/>
  <c r="AF576" i="8"/>
  <c r="AF577" i="8"/>
  <c r="AF578" i="8"/>
  <c r="AF579" i="8"/>
  <c r="AF580" i="8"/>
  <c r="AF581" i="8"/>
  <c r="AF582" i="8"/>
  <c r="AF583" i="8"/>
  <c r="AF584" i="8"/>
  <c r="AF585" i="8"/>
  <c r="AF586" i="8"/>
  <c r="AF587" i="8"/>
  <c r="AF588" i="8"/>
  <c r="AF589" i="8"/>
  <c r="AF590" i="8"/>
  <c r="AF591" i="8"/>
  <c r="AF592" i="8"/>
  <c r="AF593" i="8"/>
  <c r="AF594" i="8"/>
  <c r="AF595" i="8"/>
  <c r="AF596" i="8"/>
  <c r="AF597" i="8"/>
  <c r="AF598" i="8"/>
  <c r="AF599" i="8"/>
  <c r="AF600" i="8"/>
  <c r="AF601" i="8"/>
  <c r="AF602" i="8"/>
  <c r="AF603" i="8"/>
  <c r="AF604" i="8"/>
  <c r="AF605" i="8"/>
  <c r="AF606" i="8"/>
  <c r="AF607" i="8"/>
  <c r="AF608" i="8"/>
  <c r="AF609" i="8"/>
  <c r="AF610" i="8"/>
  <c r="AF611" i="8"/>
  <c r="AF612" i="8"/>
  <c r="AF613" i="8"/>
  <c r="AF614" i="8"/>
  <c r="AF615" i="8"/>
  <c r="AF616" i="8"/>
  <c r="AF617" i="8"/>
  <c r="AF618" i="8"/>
  <c r="AF619" i="8"/>
  <c r="AF620" i="8"/>
  <c r="AF621" i="8"/>
  <c r="AF622" i="8"/>
  <c r="AF623" i="8"/>
  <c r="AF624" i="8"/>
  <c r="AF625" i="8"/>
  <c r="AF626" i="8"/>
  <c r="AF627" i="8"/>
  <c r="AF628" i="8"/>
  <c r="AF629" i="8"/>
  <c r="AF630" i="8"/>
  <c r="AF631" i="8"/>
  <c r="AF632" i="8"/>
  <c r="AF633" i="8"/>
  <c r="AF634" i="8"/>
  <c r="AF635" i="8"/>
  <c r="AF636" i="8"/>
  <c r="AF637" i="8"/>
  <c r="AF638" i="8"/>
  <c r="AF639" i="8"/>
  <c r="AF640" i="8"/>
  <c r="AF641" i="8"/>
  <c r="AF642" i="8"/>
  <c r="AF643" i="8"/>
  <c r="AF644" i="8"/>
  <c r="AF645" i="8"/>
  <c r="AF646" i="8"/>
  <c r="AF647" i="8"/>
  <c r="AF648" i="8"/>
  <c r="AF649" i="8"/>
  <c r="AF650" i="8"/>
  <c r="AF651" i="8"/>
  <c r="AF652" i="8"/>
  <c r="AF653" i="8"/>
  <c r="AF654" i="8"/>
  <c r="AF655" i="8"/>
  <c r="AF656" i="8"/>
  <c r="AF657" i="8"/>
  <c r="AF658" i="8"/>
  <c r="AF659" i="8"/>
  <c r="AF660" i="8"/>
  <c r="AF661" i="8"/>
  <c r="AF662" i="8"/>
  <c r="AF663" i="8"/>
  <c r="AF664" i="8"/>
  <c r="AF665" i="8"/>
  <c r="AF666" i="8"/>
  <c r="AF667" i="8"/>
  <c r="AF668" i="8"/>
  <c r="AF669" i="8"/>
  <c r="AF670" i="8"/>
  <c r="AF671" i="8"/>
  <c r="AF672" i="8"/>
  <c r="AF673" i="8"/>
  <c r="AF674" i="8"/>
  <c r="AF675" i="8"/>
  <c r="AF676" i="8"/>
  <c r="AF677" i="8"/>
  <c r="AF678" i="8"/>
  <c r="AF679" i="8"/>
  <c r="AF680" i="8"/>
  <c r="AF681" i="8"/>
  <c r="AF682" i="8"/>
  <c r="AF683" i="8"/>
  <c r="AF684" i="8"/>
  <c r="AF685" i="8"/>
  <c r="AF686" i="8"/>
  <c r="AF687" i="8"/>
  <c r="AF688" i="8"/>
  <c r="AF689" i="8"/>
  <c r="AF690" i="8"/>
  <c r="AF691" i="8"/>
  <c r="AF692" i="8"/>
  <c r="AF693" i="8"/>
  <c r="AF694" i="8"/>
  <c r="AF695" i="8"/>
  <c r="AF696" i="8"/>
  <c r="AF697" i="8"/>
  <c r="AF698" i="8"/>
  <c r="AF699" i="8"/>
  <c r="AF700" i="8"/>
  <c r="AF701" i="8"/>
  <c r="AF702" i="8"/>
  <c r="AF703" i="8"/>
  <c r="AF704" i="8"/>
  <c r="AF705" i="8"/>
  <c r="AF706" i="8"/>
  <c r="AF707" i="8"/>
  <c r="AF708" i="8"/>
  <c r="AF709" i="8"/>
  <c r="AF710" i="8"/>
  <c r="AF711" i="8"/>
  <c r="AF712" i="8"/>
  <c r="AF713" i="8"/>
  <c r="AF714" i="8"/>
  <c r="AF715" i="8"/>
  <c r="AF716" i="8"/>
  <c r="AF717" i="8"/>
  <c r="AF718" i="8"/>
  <c r="AF719" i="8"/>
  <c r="AF720" i="8"/>
  <c r="AF721" i="8"/>
  <c r="AF722" i="8"/>
  <c r="AF723" i="8"/>
  <c r="AF724" i="8"/>
  <c r="AF725" i="8"/>
  <c r="AF726" i="8"/>
  <c r="AF727" i="8"/>
  <c r="AF728" i="8"/>
  <c r="AF729" i="8"/>
  <c r="AF730" i="8"/>
  <c r="AF731" i="8"/>
  <c r="AF732" i="8"/>
  <c r="AF733" i="8"/>
  <c r="AF734" i="8"/>
  <c r="AF735" i="8"/>
  <c r="AF736" i="8"/>
  <c r="AF737" i="8"/>
  <c r="AF738" i="8"/>
  <c r="AF739" i="8"/>
  <c r="AF740" i="8"/>
  <c r="AF741" i="8"/>
  <c r="AF742" i="8"/>
  <c r="AF743" i="8"/>
  <c r="AF744" i="8"/>
  <c r="AF745" i="8"/>
  <c r="AF746" i="8"/>
  <c r="AF747" i="8"/>
  <c r="AF748" i="8"/>
  <c r="AF749" i="8"/>
  <c r="AF750" i="8"/>
  <c r="AF751" i="8"/>
  <c r="AF752" i="8"/>
  <c r="AF753" i="8"/>
  <c r="AF754" i="8"/>
  <c r="AF755" i="8"/>
  <c r="AF756" i="8"/>
  <c r="AF757" i="8"/>
  <c r="AF758" i="8"/>
  <c r="AF759" i="8"/>
  <c r="AF760" i="8"/>
  <c r="AF761" i="8"/>
  <c r="AF762" i="8"/>
  <c r="AF763" i="8"/>
  <c r="AF764" i="8"/>
  <c r="AF765" i="8"/>
  <c r="AF766" i="8"/>
  <c r="AF767" i="8"/>
  <c r="AF768" i="8"/>
  <c r="AF769" i="8"/>
  <c r="AF770" i="8"/>
  <c r="AF771" i="8"/>
  <c r="AF772" i="8"/>
  <c r="AF773" i="8"/>
  <c r="AF774" i="8"/>
  <c r="AF775" i="8"/>
  <c r="AF776" i="8"/>
  <c r="AF777" i="8"/>
  <c r="AF778" i="8"/>
  <c r="AF779" i="8"/>
  <c r="AF780" i="8"/>
  <c r="AF781" i="8"/>
  <c r="AF782" i="8"/>
  <c r="AF783" i="8"/>
  <c r="AF784" i="8"/>
  <c r="AF785" i="8"/>
  <c r="AF786" i="8"/>
  <c r="AF787" i="8"/>
  <c r="AF788" i="8"/>
  <c r="AF789" i="8"/>
  <c r="AF790" i="8"/>
  <c r="AF791" i="8"/>
  <c r="AF792" i="8"/>
  <c r="AF793" i="8"/>
  <c r="AF794" i="8"/>
  <c r="AF795" i="8"/>
  <c r="AF796" i="8"/>
  <c r="AF797" i="8"/>
  <c r="AF798" i="8"/>
  <c r="AF799" i="8"/>
  <c r="AF800" i="8"/>
  <c r="AF801" i="8"/>
  <c r="AF802" i="8"/>
  <c r="AF803" i="8"/>
  <c r="AF804" i="8"/>
  <c r="AF805" i="8"/>
  <c r="AF806" i="8"/>
  <c r="AF807" i="8"/>
  <c r="AF808" i="8"/>
  <c r="AF809" i="8"/>
  <c r="AF810" i="8"/>
  <c r="AF811" i="8"/>
  <c r="AF812" i="8"/>
  <c r="AF813" i="8"/>
  <c r="AF814" i="8"/>
  <c r="AF815" i="8"/>
  <c r="AF816" i="8"/>
  <c r="AF817" i="8"/>
  <c r="AF818" i="8"/>
  <c r="AF819" i="8"/>
  <c r="AF820" i="8"/>
  <c r="AF821" i="8"/>
  <c r="AF822" i="8"/>
  <c r="AF823" i="8"/>
  <c r="AF824" i="8"/>
  <c r="AF825" i="8"/>
  <c r="AF826" i="8"/>
  <c r="AF827" i="8"/>
  <c r="AF828" i="8"/>
  <c r="AF829" i="8"/>
  <c r="AF830" i="8"/>
  <c r="AF831" i="8"/>
  <c r="AF832" i="8"/>
  <c r="AF833" i="8"/>
  <c r="AF834" i="8"/>
  <c r="AF835" i="8"/>
  <c r="AF836" i="8"/>
  <c r="AF837" i="8"/>
  <c r="AF838" i="8"/>
  <c r="AF839" i="8"/>
  <c r="AF840" i="8"/>
  <c r="AF841" i="8"/>
  <c r="AF842" i="8"/>
  <c r="AF843" i="8"/>
  <c r="AF844" i="8"/>
  <c r="AF845" i="8"/>
  <c r="AF846" i="8"/>
  <c r="AF847" i="8"/>
  <c r="AF848" i="8"/>
  <c r="AF849" i="8"/>
  <c r="AF850" i="8"/>
  <c r="AF851" i="8"/>
  <c r="AF852" i="8"/>
  <c r="AF853" i="8"/>
  <c r="AF854" i="8"/>
  <c r="AF855" i="8"/>
  <c r="AF856" i="8"/>
  <c r="AF857" i="8"/>
  <c r="AF858" i="8"/>
  <c r="AF859" i="8"/>
  <c r="AF860" i="8"/>
  <c r="AF861" i="8"/>
  <c r="AF862" i="8"/>
  <c r="AF863" i="8"/>
  <c r="AF864" i="8"/>
  <c r="AF865" i="8"/>
  <c r="AF866" i="8"/>
  <c r="AF867" i="8"/>
  <c r="AF868" i="8"/>
  <c r="AF869" i="8"/>
  <c r="AF870" i="8"/>
  <c r="AF871" i="8"/>
  <c r="AF872" i="8"/>
  <c r="AF873" i="8"/>
  <c r="AF874" i="8"/>
  <c r="AF875" i="8"/>
  <c r="AF876" i="8"/>
  <c r="AF877" i="8"/>
  <c r="AF878" i="8"/>
  <c r="AF879" i="8"/>
  <c r="AF880" i="8"/>
  <c r="AF881" i="8"/>
  <c r="AF882" i="8"/>
  <c r="AF883" i="8"/>
  <c r="AF884" i="8"/>
  <c r="AF885" i="8"/>
  <c r="AF886" i="8"/>
  <c r="AF887" i="8"/>
  <c r="AF888" i="8"/>
  <c r="AF889" i="8"/>
  <c r="AF890" i="8"/>
  <c r="AF891" i="8"/>
  <c r="AF892" i="8"/>
  <c r="AF893" i="8"/>
  <c r="AF894" i="8"/>
  <c r="AF895" i="8"/>
  <c r="AF896" i="8"/>
  <c r="AF897" i="8"/>
  <c r="AF898" i="8"/>
  <c r="AF899" i="8"/>
  <c r="AF900" i="8"/>
  <c r="AF901" i="8"/>
  <c r="AF902" i="8"/>
  <c r="AF903" i="8"/>
  <c r="AF904" i="8"/>
  <c r="AF905" i="8"/>
  <c r="AF906" i="8"/>
  <c r="AF907" i="8"/>
  <c r="AF908" i="8"/>
  <c r="AF909" i="8"/>
  <c r="AF910" i="8"/>
  <c r="AF911" i="8"/>
  <c r="AF912" i="8"/>
  <c r="AF913" i="8"/>
  <c r="AF914" i="8"/>
  <c r="AF915" i="8"/>
  <c r="AF916" i="8"/>
  <c r="AF917" i="8"/>
  <c r="AF918" i="8"/>
  <c r="AF919" i="8"/>
  <c r="AF920" i="8"/>
  <c r="AF921" i="8"/>
  <c r="AF922" i="8"/>
  <c r="AF923" i="8"/>
  <c r="AF924" i="8"/>
  <c r="AF925" i="8"/>
  <c r="AF926" i="8"/>
  <c r="AF927" i="8"/>
  <c r="AF928" i="8"/>
  <c r="AF929" i="8"/>
  <c r="AF930" i="8"/>
  <c r="AF931" i="8"/>
  <c r="AF932" i="8"/>
  <c r="AF933" i="8"/>
  <c r="AF934" i="8"/>
  <c r="AF935" i="8"/>
  <c r="AF936" i="8"/>
  <c r="AF937" i="8"/>
  <c r="AF938" i="8"/>
  <c r="AF939" i="8"/>
  <c r="AF940" i="8"/>
  <c r="AF941" i="8"/>
  <c r="AF942" i="8"/>
  <c r="AF943" i="8"/>
  <c r="AF944" i="8"/>
  <c r="AF945" i="8"/>
  <c r="AF946" i="8"/>
  <c r="AF947" i="8"/>
  <c r="AF948" i="8"/>
  <c r="AF949" i="8"/>
  <c r="AF950" i="8"/>
  <c r="AF951" i="8"/>
  <c r="AF952" i="8"/>
  <c r="AF953" i="8"/>
  <c r="AF954" i="8"/>
  <c r="AF955" i="8"/>
  <c r="AF956" i="8"/>
  <c r="AF957" i="8"/>
  <c r="AF958" i="8"/>
  <c r="AF959" i="8"/>
  <c r="AF960" i="8"/>
  <c r="AF961" i="8"/>
  <c r="AF962" i="8"/>
  <c r="AF963" i="8"/>
  <c r="AF964" i="8"/>
  <c r="AF965" i="8"/>
  <c r="AF966" i="8"/>
  <c r="AF967" i="8"/>
  <c r="AF968" i="8"/>
  <c r="AF969" i="8"/>
  <c r="AF970" i="8"/>
  <c r="AF971" i="8"/>
  <c r="AF972" i="8"/>
  <c r="AF973" i="8"/>
  <c r="AF974" i="8"/>
  <c r="AF975" i="8"/>
  <c r="AF976" i="8"/>
  <c r="AF977" i="8"/>
  <c r="AF978" i="8"/>
  <c r="AF979" i="8"/>
  <c r="AF980" i="8"/>
  <c r="AF981" i="8"/>
  <c r="AF982" i="8"/>
  <c r="AF983" i="8"/>
  <c r="AF984" i="8"/>
  <c r="AF985" i="8"/>
  <c r="AF986" i="8"/>
  <c r="AF987" i="8"/>
  <c r="AF988" i="8"/>
  <c r="AF989" i="8"/>
  <c r="AF990" i="8"/>
  <c r="AF991" i="8"/>
  <c r="AF992" i="8"/>
  <c r="AF993" i="8"/>
  <c r="AF994" i="8"/>
  <c r="AF995" i="8"/>
  <c r="AF996" i="8"/>
  <c r="AF997" i="8"/>
  <c r="AF998" i="8"/>
  <c r="AF999" i="8"/>
  <c r="AF1000" i="8"/>
  <c r="AF1001" i="8"/>
  <c r="AF1002" i="8"/>
  <c r="AF1003" i="8"/>
  <c r="AF1004" i="8"/>
  <c r="AF1005" i="8"/>
  <c r="AF1006" i="8"/>
  <c r="AF1007" i="8"/>
  <c r="AF1008" i="8"/>
  <c r="AF1009" i="8"/>
  <c r="AF1010" i="8"/>
  <c r="AF1011" i="8"/>
  <c r="AF1012" i="8"/>
  <c r="AF1013" i="8"/>
  <c r="AF1014" i="8"/>
  <c r="AF1015" i="8"/>
  <c r="AF1016" i="8"/>
  <c r="AF1017" i="8"/>
  <c r="AF1018" i="8"/>
  <c r="AF1019" i="8"/>
  <c r="AF1020" i="8"/>
  <c r="AF1021" i="8"/>
  <c r="AF1022" i="8"/>
  <c r="AF1023" i="8"/>
  <c r="AF1024" i="8"/>
  <c r="AF1025" i="8"/>
  <c r="AF1026" i="8"/>
  <c r="AF1027" i="8"/>
  <c r="AF1028" i="8"/>
  <c r="AF1029" i="8"/>
  <c r="AF1030" i="8"/>
  <c r="AF1031" i="8"/>
  <c r="AF1032" i="8"/>
  <c r="AF1033" i="8"/>
  <c r="AF1034" i="8"/>
  <c r="AF1035" i="8"/>
  <c r="AF1036" i="8"/>
  <c r="AF1037" i="8"/>
  <c r="AF1038" i="8"/>
  <c r="AF1039" i="8"/>
  <c r="AF1040" i="8"/>
  <c r="AF1041" i="8"/>
  <c r="AF1042" i="8"/>
  <c r="AF1043" i="8"/>
  <c r="AF1044" i="8"/>
  <c r="AF1045" i="8"/>
  <c r="AF1046" i="8"/>
  <c r="AF1047" i="8"/>
  <c r="AF1048" i="8"/>
  <c r="AF1049" i="8"/>
  <c r="AF1050" i="8"/>
  <c r="AF1051" i="8"/>
  <c r="AF1052" i="8"/>
  <c r="AF1053" i="8"/>
  <c r="AF1054" i="8"/>
  <c r="AF1055" i="8"/>
  <c r="AF1056" i="8"/>
  <c r="AF1057" i="8"/>
  <c r="AF1058" i="8"/>
  <c r="AF1059" i="8"/>
  <c r="AF1060" i="8"/>
  <c r="AF1" i="8"/>
  <c r="AE3" i="8"/>
  <c r="AE4" i="8" s="1"/>
  <c r="AE5" i="8" s="1"/>
  <c r="AE6" i="8" s="1"/>
  <c r="AE7" i="8" s="1"/>
  <c r="AE8" i="8" s="1"/>
  <c r="AE9" i="8" s="1"/>
  <c r="AE10" i="8" s="1"/>
  <c r="AE11" i="8" s="1"/>
  <c r="AE12" i="8" s="1"/>
  <c r="AE13" i="8" s="1"/>
  <c r="AE14" i="8" s="1"/>
  <c r="AE15" i="8" s="1"/>
  <c r="AE16" i="8" s="1"/>
  <c r="AE17" i="8" s="1"/>
  <c r="AE18" i="8" s="1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E30" i="8" s="1"/>
  <c r="AE31" i="8" s="1"/>
  <c r="AE32" i="8" s="1"/>
  <c r="AE33" i="8" s="1"/>
  <c r="AE34" i="8" s="1"/>
  <c r="AE35" i="8" s="1"/>
  <c r="AE36" i="8" s="1"/>
  <c r="AE37" i="8" s="1"/>
  <c r="AE38" i="8" s="1"/>
  <c r="AE39" i="8" s="1"/>
  <c r="AE40" i="8" s="1"/>
  <c r="AE41" i="8" s="1"/>
  <c r="AE42" i="8" s="1"/>
  <c r="AE43" i="8" s="1"/>
  <c r="AE44" i="8" s="1"/>
  <c r="AE45" i="8" s="1"/>
  <c r="AE46" i="8" s="1"/>
  <c r="AE47" i="8" s="1"/>
  <c r="AE48" i="8" s="1"/>
  <c r="AE49" i="8" s="1"/>
  <c r="AE50" i="8" s="1"/>
  <c r="AE51" i="8" s="1"/>
  <c r="AE52" i="8" s="1"/>
  <c r="AE53" i="8" s="1"/>
  <c r="AE54" i="8" s="1"/>
  <c r="AE55" i="8" s="1"/>
  <c r="AE56" i="8" s="1"/>
  <c r="AE57" i="8" s="1"/>
  <c r="AE58" i="8" s="1"/>
  <c r="AE59" i="8" s="1"/>
  <c r="AE60" i="8" s="1"/>
  <c r="AE61" i="8" s="1"/>
  <c r="AE62" i="8" s="1"/>
  <c r="AE63" i="8" s="1"/>
  <c r="AE64" i="8" s="1"/>
  <c r="AE65" i="8" s="1"/>
  <c r="AE66" i="8" s="1"/>
  <c r="AE67" i="8" s="1"/>
  <c r="AE68" i="8" s="1"/>
  <c r="AE69" i="8" s="1"/>
  <c r="AE70" i="8" s="1"/>
  <c r="AE71" i="8" s="1"/>
  <c r="AE72" i="8" s="1"/>
  <c r="AE73" i="8" s="1"/>
  <c r="AE74" i="8" s="1"/>
  <c r="AE75" i="8" s="1"/>
  <c r="AE76" i="8" s="1"/>
  <c r="AE77" i="8" s="1"/>
  <c r="AE78" i="8" s="1"/>
  <c r="AE79" i="8" s="1"/>
  <c r="AE80" i="8" s="1"/>
  <c r="AE81" i="8" s="1"/>
  <c r="AE82" i="8" s="1"/>
  <c r="AE83" i="8" s="1"/>
  <c r="AE84" i="8" s="1"/>
  <c r="AE85" i="8" s="1"/>
  <c r="AE86" i="8" s="1"/>
  <c r="AE87" i="8" s="1"/>
  <c r="AE88" i="8" s="1"/>
  <c r="AE89" i="8" s="1"/>
  <c r="AE90" i="8" s="1"/>
  <c r="AE91" i="8" s="1"/>
  <c r="AE92" i="8" s="1"/>
  <c r="AE93" i="8" s="1"/>
  <c r="AE94" i="8" s="1"/>
  <c r="AE95" i="8" s="1"/>
  <c r="AE96" i="8" s="1"/>
  <c r="AE97" i="8" s="1"/>
  <c r="AE98" i="8" s="1"/>
  <c r="AE99" i="8" s="1"/>
  <c r="AE100" i="8" s="1"/>
  <c r="AE101" i="8" s="1"/>
  <c r="AE102" i="8" s="1"/>
  <c r="AE103" i="8" s="1"/>
  <c r="AE104" i="8" s="1"/>
  <c r="AE105" i="8" s="1"/>
  <c r="AE106" i="8" s="1"/>
  <c r="AE107" i="8" s="1"/>
  <c r="AE108" i="8" s="1"/>
  <c r="AE109" i="8" s="1"/>
  <c r="AE110" i="8" s="1"/>
  <c r="AE111" i="8" s="1"/>
  <c r="AE112" i="8" s="1"/>
  <c r="AE113" i="8" s="1"/>
  <c r="AE114" i="8" s="1"/>
  <c r="AE115" i="8" s="1"/>
  <c r="AE116" i="8" s="1"/>
  <c r="AE117" i="8" s="1"/>
  <c r="AE118" i="8" s="1"/>
  <c r="AE119" i="8" s="1"/>
  <c r="AE120" i="8" s="1"/>
  <c r="AE121" i="8" s="1"/>
  <c r="AE122" i="8" s="1"/>
  <c r="AE123" i="8" s="1"/>
  <c r="AE124" i="8" s="1"/>
  <c r="AE125" i="8" s="1"/>
  <c r="AE126" i="8" s="1"/>
  <c r="AE127" i="8" s="1"/>
  <c r="AE128" i="8" s="1"/>
  <c r="AE129" i="8" s="1"/>
  <c r="AE130" i="8" s="1"/>
  <c r="AE131" i="8" s="1"/>
  <c r="AE132" i="8" s="1"/>
  <c r="AE133" i="8" s="1"/>
  <c r="AE134" i="8" s="1"/>
  <c r="AE135" i="8" s="1"/>
  <c r="AE136" i="8" s="1"/>
  <c r="AE137" i="8" s="1"/>
  <c r="AE138" i="8" s="1"/>
  <c r="AE139" i="8" s="1"/>
  <c r="AE140" i="8" s="1"/>
  <c r="AE141" i="8" s="1"/>
  <c r="AE142" i="8" s="1"/>
  <c r="AE143" i="8" s="1"/>
  <c r="AE144" i="8" s="1"/>
  <c r="AE145" i="8" s="1"/>
  <c r="AE146" i="8" s="1"/>
  <c r="AE147" i="8" s="1"/>
  <c r="AE148" i="8" s="1"/>
  <c r="AE149" i="8" s="1"/>
  <c r="AE150" i="8" s="1"/>
  <c r="AE151" i="8" s="1"/>
  <c r="AE152" i="8" s="1"/>
  <c r="AE153" i="8" s="1"/>
  <c r="AE154" i="8" s="1"/>
  <c r="AE155" i="8" s="1"/>
  <c r="AE156" i="8" s="1"/>
  <c r="AE157" i="8" s="1"/>
  <c r="AE158" i="8" s="1"/>
  <c r="AE159" i="8" s="1"/>
  <c r="AE160" i="8" s="1"/>
  <c r="AE161" i="8" s="1"/>
  <c r="AE162" i="8" s="1"/>
  <c r="AE163" i="8" s="1"/>
  <c r="AE164" i="8" s="1"/>
  <c r="AE165" i="8" s="1"/>
  <c r="AE166" i="8" s="1"/>
  <c r="AE167" i="8" s="1"/>
  <c r="AE168" i="8" s="1"/>
  <c r="AE169" i="8" s="1"/>
  <c r="AE170" i="8" s="1"/>
  <c r="AE171" i="8" s="1"/>
  <c r="AE172" i="8" s="1"/>
  <c r="AE173" i="8" s="1"/>
  <c r="AE174" i="8" s="1"/>
  <c r="AE175" i="8" s="1"/>
  <c r="AE176" i="8" s="1"/>
  <c r="AE177" i="8" s="1"/>
  <c r="AE178" i="8" s="1"/>
  <c r="AE179" i="8" s="1"/>
  <c r="AE180" i="8" s="1"/>
  <c r="AE181" i="8" s="1"/>
  <c r="AE182" i="8" s="1"/>
  <c r="AE183" i="8" s="1"/>
  <c r="AE184" i="8" s="1"/>
  <c r="AE185" i="8" s="1"/>
  <c r="AE186" i="8" s="1"/>
  <c r="AE187" i="8" s="1"/>
  <c r="AE188" i="8" s="1"/>
  <c r="AE189" i="8" s="1"/>
  <c r="AE190" i="8" s="1"/>
  <c r="AE191" i="8" s="1"/>
  <c r="AE192" i="8" s="1"/>
  <c r="AE193" i="8" s="1"/>
  <c r="AE194" i="8" s="1"/>
  <c r="AE195" i="8" s="1"/>
  <c r="AE196" i="8" s="1"/>
  <c r="AE197" i="8" s="1"/>
  <c r="AE198" i="8" s="1"/>
  <c r="AE199" i="8" s="1"/>
  <c r="AE200" i="8" s="1"/>
  <c r="AE201" i="8" s="1"/>
  <c r="AE202" i="8" s="1"/>
  <c r="AE203" i="8" s="1"/>
  <c r="AE204" i="8" s="1"/>
  <c r="AE205" i="8" s="1"/>
  <c r="AE206" i="8" s="1"/>
  <c r="AE207" i="8" s="1"/>
  <c r="AE208" i="8" s="1"/>
  <c r="AE209" i="8" s="1"/>
  <c r="AE210" i="8" s="1"/>
  <c r="AE211" i="8" s="1"/>
  <c r="AE212" i="8" s="1"/>
  <c r="AE213" i="8" s="1"/>
  <c r="AE214" i="8" s="1"/>
  <c r="AE215" i="8" s="1"/>
  <c r="AE216" i="8" s="1"/>
  <c r="AE217" i="8" s="1"/>
  <c r="AE218" i="8" s="1"/>
  <c r="AE219" i="8" s="1"/>
  <c r="AE220" i="8" s="1"/>
  <c r="AE221" i="8" s="1"/>
  <c r="AE222" i="8" s="1"/>
  <c r="AE223" i="8" s="1"/>
  <c r="AE224" i="8" s="1"/>
  <c r="AE225" i="8" s="1"/>
  <c r="AE226" i="8" s="1"/>
  <c r="AE227" i="8" s="1"/>
  <c r="AE228" i="8" s="1"/>
  <c r="AE229" i="8" s="1"/>
  <c r="AE230" i="8" s="1"/>
  <c r="AE231" i="8" s="1"/>
  <c r="AE232" i="8" s="1"/>
  <c r="AE233" i="8" s="1"/>
  <c r="AE234" i="8" s="1"/>
  <c r="AE235" i="8" s="1"/>
  <c r="AE236" i="8" s="1"/>
  <c r="AE237" i="8" s="1"/>
  <c r="AE238" i="8" s="1"/>
  <c r="AE239" i="8" s="1"/>
  <c r="AE240" i="8" s="1"/>
  <c r="AE241" i="8" s="1"/>
  <c r="AE242" i="8" s="1"/>
  <c r="AE243" i="8" s="1"/>
  <c r="AE244" i="8" s="1"/>
  <c r="AE245" i="8" s="1"/>
  <c r="AE246" i="8" s="1"/>
  <c r="AE247" i="8" s="1"/>
  <c r="AE248" i="8" s="1"/>
  <c r="AE249" i="8" s="1"/>
  <c r="AE250" i="8" s="1"/>
  <c r="AE251" i="8" s="1"/>
  <c r="AE252" i="8" s="1"/>
  <c r="AE253" i="8" s="1"/>
  <c r="AE254" i="8" s="1"/>
  <c r="AE255" i="8" s="1"/>
  <c r="AE256" i="8" s="1"/>
  <c r="AE257" i="8" s="1"/>
  <c r="AE258" i="8" s="1"/>
  <c r="AE259" i="8" s="1"/>
  <c r="AE260" i="8" s="1"/>
  <c r="AE261" i="8" s="1"/>
  <c r="AE262" i="8" s="1"/>
  <c r="AE263" i="8" s="1"/>
  <c r="AE264" i="8" s="1"/>
  <c r="AE265" i="8" s="1"/>
  <c r="AE266" i="8" s="1"/>
  <c r="AE267" i="8" s="1"/>
  <c r="AE268" i="8" s="1"/>
  <c r="AE269" i="8" s="1"/>
  <c r="AE270" i="8" s="1"/>
  <c r="AE271" i="8" s="1"/>
  <c r="AE272" i="8" s="1"/>
  <c r="AE273" i="8" s="1"/>
  <c r="AE274" i="8" s="1"/>
  <c r="AE275" i="8" s="1"/>
  <c r="AE276" i="8" s="1"/>
  <c r="AE277" i="8" s="1"/>
  <c r="AE278" i="8" s="1"/>
  <c r="AE279" i="8" s="1"/>
  <c r="AE280" i="8" s="1"/>
  <c r="AE281" i="8" s="1"/>
  <c r="AE282" i="8" s="1"/>
  <c r="AE283" i="8" s="1"/>
  <c r="AE284" i="8" s="1"/>
  <c r="AE285" i="8" s="1"/>
  <c r="AE286" i="8" s="1"/>
  <c r="AE287" i="8" s="1"/>
  <c r="AE288" i="8" s="1"/>
  <c r="AE289" i="8" s="1"/>
  <c r="AE290" i="8" s="1"/>
  <c r="AE291" i="8" s="1"/>
  <c r="AE292" i="8" s="1"/>
  <c r="AE293" i="8" s="1"/>
  <c r="AE294" i="8" s="1"/>
  <c r="AE295" i="8" s="1"/>
  <c r="AE296" i="8" s="1"/>
  <c r="AE297" i="8" s="1"/>
  <c r="AE298" i="8" s="1"/>
  <c r="AE299" i="8" s="1"/>
  <c r="AE300" i="8" s="1"/>
  <c r="AE301" i="8" s="1"/>
  <c r="AE302" i="8" s="1"/>
  <c r="AE303" i="8" s="1"/>
  <c r="AE304" i="8" s="1"/>
  <c r="AE305" i="8" s="1"/>
  <c r="AE306" i="8" s="1"/>
  <c r="AE307" i="8" s="1"/>
  <c r="AE308" i="8" s="1"/>
  <c r="AE309" i="8" s="1"/>
  <c r="AE310" i="8" s="1"/>
  <c r="AE311" i="8" s="1"/>
  <c r="AE312" i="8" s="1"/>
  <c r="AE313" i="8" s="1"/>
  <c r="AE314" i="8" s="1"/>
  <c r="AE315" i="8" s="1"/>
  <c r="AE316" i="8" s="1"/>
  <c r="AE317" i="8" s="1"/>
  <c r="AE318" i="8" s="1"/>
  <c r="AE319" i="8" s="1"/>
  <c r="AE320" i="8" s="1"/>
  <c r="AE321" i="8" s="1"/>
  <c r="AE322" i="8" s="1"/>
  <c r="AE323" i="8" s="1"/>
  <c r="AE324" i="8" s="1"/>
  <c r="AE325" i="8" s="1"/>
  <c r="AE326" i="8" s="1"/>
  <c r="AE327" i="8" s="1"/>
  <c r="AE328" i="8" s="1"/>
  <c r="AE329" i="8" s="1"/>
  <c r="AE330" i="8" s="1"/>
  <c r="AE331" i="8" s="1"/>
  <c r="AE332" i="8" s="1"/>
  <c r="AE333" i="8" s="1"/>
  <c r="AE334" i="8" s="1"/>
  <c r="AE335" i="8" s="1"/>
  <c r="AE336" i="8" s="1"/>
  <c r="AE337" i="8" s="1"/>
  <c r="AE338" i="8" s="1"/>
  <c r="AE339" i="8" s="1"/>
  <c r="AE340" i="8" s="1"/>
  <c r="AE341" i="8" s="1"/>
  <c r="AE342" i="8" s="1"/>
  <c r="AE343" i="8" s="1"/>
  <c r="AE344" i="8" s="1"/>
  <c r="AE345" i="8" s="1"/>
  <c r="AE346" i="8" s="1"/>
  <c r="AE347" i="8" s="1"/>
  <c r="AE348" i="8" s="1"/>
  <c r="AE349" i="8" s="1"/>
  <c r="AE350" i="8" s="1"/>
  <c r="AE351" i="8" s="1"/>
  <c r="AE352" i="8" s="1"/>
  <c r="AE353" i="8" s="1"/>
  <c r="AE354" i="8" s="1"/>
  <c r="AE355" i="8" s="1"/>
  <c r="AE356" i="8" s="1"/>
  <c r="AE357" i="8" s="1"/>
  <c r="AE358" i="8" s="1"/>
  <c r="AE359" i="8" s="1"/>
  <c r="AE360" i="8" s="1"/>
  <c r="AE361" i="8" s="1"/>
  <c r="AE362" i="8" s="1"/>
  <c r="AE363" i="8" s="1"/>
  <c r="AE364" i="8" s="1"/>
  <c r="AE365" i="8" s="1"/>
  <c r="AE366" i="8" s="1"/>
  <c r="AE367" i="8" s="1"/>
  <c r="AE368" i="8" s="1"/>
  <c r="AE369" i="8" s="1"/>
  <c r="AE370" i="8" s="1"/>
  <c r="AE371" i="8" s="1"/>
  <c r="AE372" i="8" s="1"/>
  <c r="AE373" i="8" s="1"/>
  <c r="AE374" i="8" s="1"/>
  <c r="AE375" i="8" s="1"/>
  <c r="AE376" i="8" s="1"/>
  <c r="AE377" i="8" s="1"/>
  <c r="AE378" i="8" s="1"/>
  <c r="AE379" i="8" s="1"/>
  <c r="AE380" i="8" s="1"/>
  <c r="AE381" i="8" s="1"/>
  <c r="AE382" i="8" s="1"/>
  <c r="AE383" i="8" s="1"/>
  <c r="AE384" i="8" s="1"/>
  <c r="AE385" i="8" s="1"/>
  <c r="AE386" i="8" s="1"/>
  <c r="AE387" i="8" s="1"/>
  <c r="AE388" i="8" s="1"/>
  <c r="AE389" i="8" s="1"/>
  <c r="AE390" i="8" s="1"/>
  <c r="AE391" i="8" s="1"/>
  <c r="AE392" i="8" s="1"/>
  <c r="AE393" i="8" s="1"/>
  <c r="AE394" i="8" s="1"/>
  <c r="AE395" i="8" s="1"/>
  <c r="AE396" i="8" s="1"/>
  <c r="AE397" i="8" s="1"/>
  <c r="AE398" i="8" s="1"/>
  <c r="AE399" i="8" s="1"/>
  <c r="AE400" i="8" s="1"/>
  <c r="AE401" i="8" s="1"/>
  <c r="AE402" i="8" s="1"/>
  <c r="AE403" i="8" s="1"/>
  <c r="AE404" i="8" s="1"/>
  <c r="AE405" i="8" s="1"/>
  <c r="AE406" i="8" s="1"/>
  <c r="AE407" i="8" s="1"/>
  <c r="AE408" i="8" s="1"/>
  <c r="AE409" i="8" s="1"/>
  <c r="AE410" i="8" s="1"/>
  <c r="AE411" i="8" s="1"/>
  <c r="AE412" i="8" s="1"/>
  <c r="AE413" i="8" s="1"/>
  <c r="AE414" i="8" s="1"/>
  <c r="AE415" i="8" s="1"/>
  <c r="AE416" i="8" s="1"/>
  <c r="AE417" i="8" s="1"/>
  <c r="AE418" i="8" s="1"/>
  <c r="AE419" i="8" s="1"/>
  <c r="AE420" i="8" s="1"/>
  <c r="AE421" i="8" s="1"/>
  <c r="AE422" i="8" s="1"/>
  <c r="AE423" i="8" s="1"/>
  <c r="AE424" i="8" s="1"/>
  <c r="AE425" i="8" s="1"/>
  <c r="AE426" i="8" s="1"/>
  <c r="AE427" i="8" s="1"/>
  <c r="AE428" i="8" s="1"/>
  <c r="AE429" i="8" s="1"/>
  <c r="AE430" i="8" s="1"/>
  <c r="AE431" i="8" s="1"/>
  <c r="AE432" i="8" s="1"/>
  <c r="AE433" i="8" s="1"/>
  <c r="AE434" i="8" s="1"/>
  <c r="AE435" i="8" s="1"/>
  <c r="AE436" i="8" s="1"/>
  <c r="AE437" i="8" s="1"/>
  <c r="AE438" i="8" s="1"/>
  <c r="AE439" i="8" s="1"/>
  <c r="AE440" i="8" s="1"/>
  <c r="AE441" i="8" s="1"/>
  <c r="AE442" i="8" s="1"/>
  <c r="AE443" i="8" s="1"/>
  <c r="AE444" i="8" s="1"/>
  <c r="AE445" i="8" s="1"/>
  <c r="AE446" i="8" s="1"/>
  <c r="AE447" i="8" s="1"/>
  <c r="AE448" i="8" s="1"/>
  <c r="AE449" i="8" s="1"/>
  <c r="AE450" i="8" s="1"/>
  <c r="AE451" i="8" s="1"/>
  <c r="AE452" i="8" s="1"/>
  <c r="AE453" i="8" s="1"/>
  <c r="AE454" i="8" s="1"/>
  <c r="AE455" i="8" s="1"/>
  <c r="AE456" i="8" s="1"/>
  <c r="AE457" i="8" s="1"/>
  <c r="AE458" i="8" s="1"/>
  <c r="AE459" i="8" s="1"/>
  <c r="AE460" i="8" s="1"/>
  <c r="AE461" i="8" s="1"/>
  <c r="AE462" i="8" s="1"/>
  <c r="AE463" i="8" s="1"/>
  <c r="AE464" i="8" s="1"/>
  <c r="AE465" i="8" s="1"/>
  <c r="AE466" i="8" s="1"/>
  <c r="AE467" i="8" s="1"/>
  <c r="AE468" i="8" s="1"/>
  <c r="AE469" i="8" s="1"/>
  <c r="AE470" i="8" s="1"/>
  <c r="AE471" i="8" s="1"/>
  <c r="AE472" i="8" s="1"/>
  <c r="AE473" i="8" s="1"/>
  <c r="AE474" i="8" s="1"/>
  <c r="AE475" i="8" s="1"/>
  <c r="AE476" i="8" s="1"/>
  <c r="AE477" i="8" s="1"/>
  <c r="AE478" i="8" s="1"/>
  <c r="AE479" i="8" s="1"/>
  <c r="AE480" i="8" s="1"/>
  <c r="AE481" i="8" s="1"/>
  <c r="AE482" i="8" s="1"/>
  <c r="AE483" i="8" s="1"/>
  <c r="AE484" i="8" s="1"/>
  <c r="AE485" i="8" s="1"/>
  <c r="AE486" i="8" s="1"/>
  <c r="AE487" i="8" s="1"/>
  <c r="AE488" i="8" s="1"/>
  <c r="AE489" i="8" s="1"/>
  <c r="AE490" i="8" s="1"/>
  <c r="AE491" i="8" s="1"/>
  <c r="AE492" i="8" s="1"/>
  <c r="AE493" i="8" s="1"/>
  <c r="AE494" i="8" s="1"/>
  <c r="AE495" i="8" s="1"/>
  <c r="AE496" i="8" s="1"/>
  <c r="AE497" i="8" s="1"/>
  <c r="AE498" i="8" s="1"/>
  <c r="AE499" i="8" s="1"/>
  <c r="AE500" i="8" s="1"/>
  <c r="AE501" i="8" s="1"/>
  <c r="AE502" i="8" s="1"/>
  <c r="AE503" i="8" s="1"/>
  <c r="AE504" i="8" s="1"/>
  <c r="AE505" i="8" s="1"/>
  <c r="AE506" i="8" s="1"/>
  <c r="AE507" i="8" s="1"/>
  <c r="AE508" i="8" s="1"/>
  <c r="AE509" i="8" s="1"/>
  <c r="AE510" i="8" s="1"/>
  <c r="AE511" i="8" s="1"/>
  <c r="AE512" i="8" s="1"/>
  <c r="AE513" i="8" s="1"/>
  <c r="AE514" i="8" s="1"/>
  <c r="AE515" i="8" s="1"/>
  <c r="AE516" i="8" s="1"/>
  <c r="AE517" i="8" s="1"/>
  <c r="AE518" i="8" s="1"/>
  <c r="AE519" i="8" s="1"/>
  <c r="AE520" i="8" s="1"/>
  <c r="AE521" i="8" s="1"/>
  <c r="AE522" i="8" s="1"/>
  <c r="AE523" i="8" s="1"/>
  <c r="AE524" i="8" s="1"/>
  <c r="AE525" i="8" s="1"/>
  <c r="AE526" i="8" s="1"/>
  <c r="AE527" i="8" s="1"/>
  <c r="AE528" i="8" s="1"/>
  <c r="AE529" i="8" s="1"/>
  <c r="AE530" i="8" s="1"/>
  <c r="AE531" i="8" s="1"/>
  <c r="AE532" i="8" s="1"/>
  <c r="AE533" i="8" s="1"/>
  <c r="AE534" i="8" s="1"/>
  <c r="AE535" i="8" s="1"/>
  <c r="AE536" i="8" s="1"/>
  <c r="AE537" i="8" s="1"/>
  <c r="AE538" i="8" s="1"/>
  <c r="AE539" i="8" s="1"/>
  <c r="AE540" i="8" s="1"/>
  <c r="AE541" i="8" s="1"/>
  <c r="AE542" i="8" s="1"/>
  <c r="AE543" i="8" s="1"/>
  <c r="AE544" i="8" s="1"/>
  <c r="AE545" i="8" s="1"/>
  <c r="AE546" i="8" s="1"/>
  <c r="AE547" i="8" s="1"/>
  <c r="AE548" i="8" s="1"/>
  <c r="AE549" i="8" s="1"/>
  <c r="AE550" i="8" s="1"/>
  <c r="AE551" i="8" s="1"/>
  <c r="AE552" i="8" s="1"/>
  <c r="AE553" i="8" s="1"/>
  <c r="AE554" i="8" s="1"/>
  <c r="AE555" i="8" s="1"/>
  <c r="AE556" i="8" s="1"/>
  <c r="AE557" i="8" s="1"/>
  <c r="AE558" i="8" s="1"/>
  <c r="AE559" i="8" s="1"/>
  <c r="AE560" i="8" s="1"/>
  <c r="AE561" i="8" s="1"/>
  <c r="AE562" i="8" s="1"/>
  <c r="AE563" i="8" s="1"/>
  <c r="AE564" i="8" s="1"/>
  <c r="AE565" i="8" s="1"/>
  <c r="AE566" i="8" s="1"/>
  <c r="AE567" i="8" s="1"/>
  <c r="AE568" i="8" s="1"/>
  <c r="AE569" i="8" s="1"/>
  <c r="AE570" i="8" s="1"/>
  <c r="AE571" i="8" s="1"/>
  <c r="AE572" i="8" s="1"/>
  <c r="AE573" i="8" s="1"/>
  <c r="AE574" i="8" s="1"/>
  <c r="AE575" i="8" s="1"/>
  <c r="AE576" i="8" s="1"/>
  <c r="AE577" i="8" s="1"/>
  <c r="AE578" i="8" s="1"/>
  <c r="AE579" i="8" s="1"/>
  <c r="AE580" i="8" s="1"/>
  <c r="AE581" i="8" s="1"/>
  <c r="AE582" i="8" s="1"/>
  <c r="AE583" i="8" s="1"/>
  <c r="AE584" i="8" s="1"/>
  <c r="AE585" i="8" s="1"/>
  <c r="AE586" i="8" s="1"/>
  <c r="AE587" i="8" s="1"/>
  <c r="AE588" i="8" s="1"/>
  <c r="AE589" i="8" s="1"/>
  <c r="AE590" i="8" s="1"/>
  <c r="AE591" i="8" s="1"/>
  <c r="AE592" i="8" s="1"/>
  <c r="AE593" i="8" s="1"/>
  <c r="AE594" i="8" s="1"/>
  <c r="AE595" i="8" s="1"/>
  <c r="AE596" i="8" s="1"/>
  <c r="AE597" i="8" s="1"/>
  <c r="AE598" i="8" s="1"/>
  <c r="AE599" i="8" s="1"/>
  <c r="AE600" i="8" s="1"/>
  <c r="AE601" i="8" s="1"/>
  <c r="AE602" i="8" s="1"/>
  <c r="AE603" i="8" s="1"/>
  <c r="AE604" i="8" s="1"/>
  <c r="AE605" i="8" s="1"/>
  <c r="AE606" i="8" s="1"/>
  <c r="AE607" i="8" s="1"/>
  <c r="AE608" i="8" s="1"/>
  <c r="AE609" i="8" s="1"/>
  <c r="AE610" i="8" s="1"/>
  <c r="AE611" i="8" s="1"/>
  <c r="AE612" i="8" s="1"/>
  <c r="AE613" i="8" s="1"/>
  <c r="AE614" i="8" s="1"/>
  <c r="AE615" i="8" s="1"/>
  <c r="AE616" i="8" s="1"/>
  <c r="AE617" i="8" s="1"/>
  <c r="AE618" i="8" s="1"/>
  <c r="AE619" i="8" s="1"/>
  <c r="AE620" i="8" s="1"/>
  <c r="AE621" i="8" s="1"/>
  <c r="AE622" i="8" s="1"/>
  <c r="AE623" i="8" s="1"/>
  <c r="AE624" i="8" s="1"/>
  <c r="AE625" i="8" s="1"/>
  <c r="AE626" i="8" s="1"/>
  <c r="AE627" i="8" s="1"/>
  <c r="AE628" i="8" s="1"/>
  <c r="AE629" i="8" s="1"/>
  <c r="AE630" i="8" s="1"/>
  <c r="AE631" i="8" s="1"/>
  <c r="AE632" i="8" s="1"/>
  <c r="AE633" i="8" s="1"/>
  <c r="AE634" i="8" s="1"/>
  <c r="AE635" i="8" s="1"/>
  <c r="AE636" i="8" s="1"/>
  <c r="AE637" i="8" s="1"/>
  <c r="AE638" i="8" s="1"/>
  <c r="AE639" i="8" s="1"/>
  <c r="AE640" i="8" s="1"/>
  <c r="AE641" i="8" s="1"/>
  <c r="AE642" i="8" s="1"/>
  <c r="AE643" i="8" s="1"/>
  <c r="AE644" i="8" s="1"/>
  <c r="AE645" i="8" s="1"/>
  <c r="AE646" i="8" s="1"/>
  <c r="AE647" i="8" s="1"/>
  <c r="AE648" i="8" s="1"/>
  <c r="AE649" i="8" s="1"/>
  <c r="AE650" i="8" s="1"/>
  <c r="AE651" i="8" s="1"/>
  <c r="AE652" i="8" s="1"/>
  <c r="AE653" i="8" s="1"/>
  <c r="AE654" i="8" s="1"/>
  <c r="AE655" i="8" s="1"/>
  <c r="AE656" i="8" s="1"/>
  <c r="AE657" i="8" s="1"/>
  <c r="AE658" i="8" s="1"/>
  <c r="AE659" i="8" s="1"/>
  <c r="AE660" i="8" s="1"/>
  <c r="AE661" i="8" s="1"/>
  <c r="AE662" i="8" s="1"/>
  <c r="AE663" i="8" s="1"/>
  <c r="AE664" i="8" s="1"/>
  <c r="AE665" i="8" s="1"/>
  <c r="AE666" i="8" s="1"/>
  <c r="AE667" i="8" s="1"/>
  <c r="AE668" i="8" s="1"/>
  <c r="AE669" i="8" s="1"/>
  <c r="AE670" i="8" s="1"/>
  <c r="AE671" i="8" s="1"/>
  <c r="AE672" i="8" s="1"/>
  <c r="AE673" i="8" s="1"/>
  <c r="AE674" i="8" s="1"/>
  <c r="AE675" i="8" s="1"/>
  <c r="AE676" i="8" s="1"/>
  <c r="AE677" i="8" s="1"/>
  <c r="AE678" i="8" s="1"/>
  <c r="AE679" i="8" s="1"/>
  <c r="AE680" i="8" s="1"/>
  <c r="AE681" i="8" s="1"/>
  <c r="AE682" i="8" s="1"/>
  <c r="AE683" i="8" s="1"/>
  <c r="AE684" i="8" s="1"/>
  <c r="AE685" i="8" s="1"/>
  <c r="AE686" i="8" s="1"/>
  <c r="AE687" i="8" s="1"/>
  <c r="AE688" i="8" s="1"/>
  <c r="AE689" i="8" s="1"/>
  <c r="AE690" i="8" s="1"/>
  <c r="AE691" i="8" s="1"/>
  <c r="AE692" i="8" s="1"/>
  <c r="AE693" i="8" s="1"/>
  <c r="AE694" i="8" s="1"/>
  <c r="AE695" i="8" s="1"/>
  <c r="AE696" i="8" s="1"/>
  <c r="AE697" i="8" s="1"/>
  <c r="AE698" i="8" s="1"/>
  <c r="AE699" i="8" s="1"/>
  <c r="AE700" i="8" s="1"/>
  <c r="AE701" i="8" s="1"/>
  <c r="AE702" i="8" s="1"/>
  <c r="AE703" i="8" s="1"/>
  <c r="AE704" i="8" s="1"/>
  <c r="AE705" i="8" s="1"/>
  <c r="AE706" i="8" s="1"/>
  <c r="AE707" i="8" s="1"/>
  <c r="AE708" i="8" s="1"/>
  <c r="AE709" i="8" s="1"/>
  <c r="AE710" i="8" s="1"/>
  <c r="AE711" i="8" s="1"/>
  <c r="AE712" i="8" s="1"/>
  <c r="AE713" i="8" s="1"/>
  <c r="AE714" i="8" s="1"/>
  <c r="AE715" i="8" s="1"/>
  <c r="AE716" i="8" s="1"/>
  <c r="AE717" i="8" s="1"/>
  <c r="AE718" i="8" s="1"/>
  <c r="AE719" i="8" s="1"/>
  <c r="AE720" i="8" s="1"/>
  <c r="AE721" i="8" s="1"/>
  <c r="AE722" i="8" s="1"/>
  <c r="AE723" i="8" s="1"/>
  <c r="AE724" i="8" s="1"/>
  <c r="AE725" i="8" s="1"/>
  <c r="AE726" i="8" s="1"/>
  <c r="AE727" i="8" s="1"/>
  <c r="AE728" i="8" s="1"/>
  <c r="AE729" i="8" s="1"/>
  <c r="AE730" i="8" s="1"/>
  <c r="AE731" i="8" s="1"/>
  <c r="AE732" i="8" s="1"/>
  <c r="AE733" i="8" s="1"/>
  <c r="AE734" i="8" s="1"/>
  <c r="AE735" i="8" s="1"/>
  <c r="AE736" i="8" s="1"/>
  <c r="AE737" i="8" s="1"/>
  <c r="AE738" i="8" s="1"/>
  <c r="AE739" i="8" s="1"/>
  <c r="AE740" i="8" s="1"/>
  <c r="AE741" i="8" s="1"/>
  <c r="AE742" i="8" s="1"/>
  <c r="AE743" i="8" s="1"/>
  <c r="AE744" i="8" s="1"/>
  <c r="AE745" i="8" s="1"/>
  <c r="AE746" i="8" s="1"/>
  <c r="AE747" i="8" s="1"/>
  <c r="AE748" i="8" s="1"/>
  <c r="AE749" i="8" s="1"/>
  <c r="AE750" i="8" s="1"/>
  <c r="AE751" i="8" s="1"/>
  <c r="AE752" i="8" s="1"/>
  <c r="AE753" i="8" s="1"/>
  <c r="AE754" i="8" s="1"/>
  <c r="AE755" i="8" s="1"/>
  <c r="AE756" i="8" s="1"/>
  <c r="AE757" i="8" s="1"/>
  <c r="AE758" i="8" s="1"/>
  <c r="AE759" i="8" s="1"/>
  <c r="AE760" i="8" s="1"/>
  <c r="AE761" i="8" s="1"/>
  <c r="AE762" i="8" s="1"/>
  <c r="AE763" i="8" s="1"/>
  <c r="AE764" i="8" s="1"/>
  <c r="AE765" i="8" s="1"/>
  <c r="AE766" i="8" s="1"/>
  <c r="AE767" i="8" s="1"/>
  <c r="AE768" i="8" s="1"/>
  <c r="AE769" i="8" s="1"/>
  <c r="AE770" i="8" s="1"/>
  <c r="AE771" i="8" s="1"/>
  <c r="AE772" i="8" s="1"/>
  <c r="AE773" i="8" s="1"/>
  <c r="AE774" i="8" s="1"/>
  <c r="AE775" i="8" s="1"/>
  <c r="AE776" i="8" s="1"/>
  <c r="AE777" i="8" s="1"/>
  <c r="AE778" i="8" s="1"/>
  <c r="AE779" i="8" s="1"/>
  <c r="AE780" i="8" s="1"/>
  <c r="AE781" i="8" s="1"/>
  <c r="AE782" i="8" s="1"/>
  <c r="AE783" i="8" s="1"/>
  <c r="AE784" i="8" s="1"/>
  <c r="AE785" i="8" s="1"/>
  <c r="AE786" i="8" s="1"/>
  <c r="AE787" i="8" s="1"/>
  <c r="AE788" i="8" s="1"/>
  <c r="AE789" i="8" s="1"/>
  <c r="AE790" i="8" s="1"/>
  <c r="AE791" i="8" s="1"/>
  <c r="AE792" i="8" s="1"/>
  <c r="AE793" i="8" s="1"/>
  <c r="AE794" i="8" s="1"/>
  <c r="AE795" i="8" s="1"/>
  <c r="AE796" i="8" s="1"/>
  <c r="AE797" i="8" s="1"/>
  <c r="AE798" i="8" s="1"/>
  <c r="AE799" i="8" s="1"/>
  <c r="AE800" i="8" s="1"/>
  <c r="AE801" i="8" s="1"/>
  <c r="AE802" i="8" s="1"/>
  <c r="AE803" i="8" s="1"/>
  <c r="AE804" i="8" s="1"/>
  <c r="AE805" i="8" s="1"/>
  <c r="AE806" i="8" s="1"/>
  <c r="AE807" i="8" s="1"/>
  <c r="AE808" i="8" s="1"/>
  <c r="AE809" i="8" s="1"/>
  <c r="AE810" i="8" s="1"/>
  <c r="AE811" i="8" s="1"/>
  <c r="AE812" i="8" s="1"/>
  <c r="AE813" i="8" s="1"/>
  <c r="AE814" i="8" s="1"/>
  <c r="AE815" i="8" s="1"/>
  <c r="AE816" i="8" s="1"/>
  <c r="AE817" i="8" s="1"/>
  <c r="AE818" i="8" s="1"/>
  <c r="AE819" i="8" s="1"/>
  <c r="AE820" i="8" s="1"/>
  <c r="AE821" i="8" s="1"/>
  <c r="AE822" i="8" s="1"/>
  <c r="AE823" i="8" s="1"/>
  <c r="AE824" i="8" s="1"/>
  <c r="AE825" i="8" s="1"/>
  <c r="AE826" i="8" s="1"/>
  <c r="AE827" i="8" s="1"/>
  <c r="AE828" i="8" s="1"/>
  <c r="AE829" i="8" s="1"/>
  <c r="AE830" i="8" s="1"/>
  <c r="AE831" i="8" s="1"/>
  <c r="AE832" i="8" s="1"/>
  <c r="AE833" i="8" s="1"/>
  <c r="AE834" i="8" s="1"/>
  <c r="AE835" i="8" s="1"/>
  <c r="AE836" i="8" s="1"/>
  <c r="AE837" i="8" s="1"/>
  <c r="AE838" i="8" s="1"/>
  <c r="AE839" i="8" s="1"/>
  <c r="AE840" i="8" s="1"/>
  <c r="AE841" i="8" s="1"/>
  <c r="AE842" i="8" s="1"/>
  <c r="AE843" i="8" s="1"/>
  <c r="AE844" i="8" s="1"/>
  <c r="AE845" i="8" s="1"/>
  <c r="AE846" i="8" s="1"/>
  <c r="AE847" i="8" s="1"/>
  <c r="AE848" i="8" s="1"/>
  <c r="AE849" i="8" s="1"/>
  <c r="AE850" i="8" s="1"/>
  <c r="AE851" i="8" s="1"/>
  <c r="AE852" i="8" s="1"/>
  <c r="AE853" i="8" s="1"/>
  <c r="AE854" i="8" s="1"/>
  <c r="AE855" i="8" s="1"/>
  <c r="AE856" i="8" s="1"/>
  <c r="AE857" i="8" s="1"/>
  <c r="AE858" i="8" s="1"/>
  <c r="AE859" i="8" s="1"/>
  <c r="AE860" i="8" s="1"/>
  <c r="AE861" i="8" s="1"/>
  <c r="AE862" i="8" s="1"/>
  <c r="AE863" i="8" s="1"/>
  <c r="AE864" i="8" s="1"/>
  <c r="AE865" i="8" s="1"/>
  <c r="AE866" i="8" s="1"/>
  <c r="AE867" i="8" s="1"/>
  <c r="AE868" i="8" s="1"/>
  <c r="AE869" i="8" s="1"/>
  <c r="AE870" i="8" s="1"/>
  <c r="AE871" i="8" s="1"/>
  <c r="AE872" i="8" s="1"/>
  <c r="AE873" i="8" s="1"/>
  <c r="AE874" i="8" s="1"/>
  <c r="AE875" i="8" s="1"/>
  <c r="AE876" i="8" s="1"/>
  <c r="AE877" i="8" s="1"/>
  <c r="AE878" i="8" s="1"/>
  <c r="AE879" i="8" s="1"/>
  <c r="AE880" i="8" s="1"/>
  <c r="AE881" i="8" s="1"/>
  <c r="AE882" i="8" s="1"/>
  <c r="AE883" i="8" s="1"/>
  <c r="AE884" i="8" s="1"/>
  <c r="AE885" i="8" s="1"/>
  <c r="AE886" i="8" s="1"/>
  <c r="AE887" i="8" s="1"/>
  <c r="AE888" i="8" s="1"/>
  <c r="AE889" i="8" s="1"/>
  <c r="AE890" i="8" s="1"/>
  <c r="AE891" i="8" s="1"/>
  <c r="AE892" i="8" s="1"/>
  <c r="AE893" i="8" s="1"/>
  <c r="AE894" i="8" s="1"/>
  <c r="AE895" i="8" s="1"/>
  <c r="AE896" i="8" s="1"/>
  <c r="AE897" i="8" s="1"/>
  <c r="AE898" i="8" s="1"/>
  <c r="AE899" i="8" s="1"/>
  <c r="AE900" i="8" s="1"/>
  <c r="AE901" i="8" s="1"/>
  <c r="AE902" i="8" s="1"/>
  <c r="AE903" i="8" s="1"/>
  <c r="AE904" i="8" s="1"/>
  <c r="AE905" i="8" s="1"/>
  <c r="AE906" i="8" s="1"/>
  <c r="AE907" i="8" s="1"/>
  <c r="AE908" i="8" s="1"/>
  <c r="AE909" i="8" s="1"/>
  <c r="AE910" i="8" s="1"/>
  <c r="AE911" i="8" s="1"/>
  <c r="AE912" i="8" s="1"/>
  <c r="AE913" i="8" s="1"/>
  <c r="AE914" i="8" s="1"/>
  <c r="AE915" i="8" s="1"/>
  <c r="AE916" i="8" s="1"/>
  <c r="AE917" i="8" s="1"/>
  <c r="AE918" i="8" s="1"/>
  <c r="AE919" i="8" s="1"/>
  <c r="AE920" i="8" s="1"/>
  <c r="AE921" i="8" s="1"/>
  <c r="AE922" i="8" s="1"/>
  <c r="AE923" i="8" s="1"/>
  <c r="AE924" i="8" s="1"/>
  <c r="AE925" i="8" s="1"/>
  <c r="AE926" i="8" s="1"/>
  <c r="AE927" i="8" s="1"/>
  <c r="AE928" i="8" s="1"/>
  <c r="AE929" i="8" s="1"/>
  <c r="AE930" i="8" s="1"/>
  <c r="AE931" i="8" s="1"/>
  <c r="AE932" i="8" s="1"/>
  <c r="AE933" i="8" s="1"/>
  <c r="AE934" i="8" s="1"/>
  <c r="AE935" i="8" s="1"/>
  <c r="AE936" i="8" s="1"/>
  <c r="AE937" i="8" s="1"/>
  <c r="AE938" i="8" s="1"/>
  <c r="AE939" i="8" s="1"/>
  <c r="AE940" i="8" s="1"/>
  <c r="AE941" i="8" s="1"/>
  <c r="AE942" i="8" s="1"/>
  <c r="AE943" i="8" s="1"/>
  <c r="AE944" i="8" s="1"/>
  <c r="AE945" i="8" s="1"/>
  <c r="AE946" i="8" s="1"/>
  <c r="AE947" i="8" s="1"/>
  <c r="AE948" i="8" s="1"/>
  <c r="AE949" i="8" s="1"/>
  <c r="AE950" i="8" s="1"/>
  <c r="AE951" i="8" s="1"/>
  <c r="AE952" i="8" s="1"/>
  <c r="AE953" i="8" s="1"/>
  <c r="AE954" i="8" s="1"/>
  <c r="AE955" i="8" s="1"/>
  <c r="AE956" i="8" s="1"/>
  <c r="AE957" i="8" s="1"/>
  <c r="AE958" i="8" s="1"/>
  <c r="AE959" i="8" s="1"/>
  <c r="AE960" i="8" s="1"/>
  <c r="AE961" i="8" s="1"/>
  <c r="AE962" i="8" s="1"/>
  <c r="AE963" i="8" s="1"/>
  <c r="AE964" i="8" s="1"/>
  <c r="AE965" i="8" s="1"/>
  <c r="AE966" i="8" s="1"/>
  <c r="AE967" i="8" s="1"/>
  <c r="AE968" i="8" s="1"/>
  <c r="AE969" i="8" s="1"/>
  <c r="AE970" i="8" s="1"/>
  <c r="AE971" i="8" s="1"/>
  <c r="AE972" i="8" s="1"/>
  <c r="AE973" i="8" s="1"/>
  <c r="AE974" i="8" s="1"/>
  <c r="AE975" i="8" s="1"/>
  <c r="AE976" i="8" s="1"/>
  <c r="AE977" i="8" s="1"/>
  <c r="AE978" i="8" s="1"/>
  <c r="AE979" i="8" s="1"/>
  <c r="AE980" i="8" s="1"/>
  <c r="AE981" i="8" s="1"/>
  <c r="AE982" i="8" s="1"/>
  <c r="AE983" i="8" s="1"/>
  <c r="AE984" i="8" s="1"/>
  <c r="AE985" i="8" s="1"/>
  <c r="AE986" i="8" s="1"/>
  <c r="AE987" i="8" s="1"/>
  <c r="AE988" i="8" s="1"/>
  <c r="AE989" i="8" s="1"/>
  <c r="AE990" i="8" s="1"/>
  <c r="AE991" i="8" s="1"/>
  <c r="AE992" i="8" s="1"/>
  <c r="AE993" i="8" s="1"/>
  <c r="AE994" i="8" s="1"/>
  <c r="AE995" i="8" s="1"/>
  <c r="AE996" i="8" s="1"/>
  <c r="AE997" i="8" s="1"/>
  <c r="AE998" i="8" s="1"/>
  <c r="AE999" i="8" s="1"/>
  <c r="AE1000" i="8" s="1"/>
  <c r="AE1001" i="8" s="1"/>
  <c r="AE1002" i="8" s="1"/>
  <c r="AE1003" i="8" s="1"/>
  <c r="AE1004" i="8" s="1"/>
  <c r="AE1005" i="8" s="1"/>
  <c r="AE1006" i="8" s="1"/>
  <c r="AE1007" i="8" s="1"/>
  <c r="AE1008" i="8" s="1"/>
  <c r="AE1009" i="8" s="1"/>
  <c r="AE1010" i="8" s="1"/>
  <c r="AE1011" i="8" s="1"/>
  <c r="AE1012" i="8" s="1"/>
  <c r="AE1013" i="8" s="1"/>
  <c r="AE1014" i="8" s="1"/>
  <c r="AE1015" i="8" s="1"/>
  <c r="AE1016" i="8" s="1"/>
  <c r="AE1017" i="8" s="1"/>
  <c r="AE1018" i="8" s="1"/>
  <c r="AE1019" i="8" s="1"/>
  <c r="AE1020" i="8" s="1"/>
  <c r="AE1021" i="8" s="1"/>
  <c r="AE1022" i="8" s="1"/>
  <c r="AE1023" i="8" s="1"/>
  <c r="AE1024" i="8" s="1"/>
  <c r="AE1025" i="8" s="1"/>
  <c r="AE1026" i="8" s="1"/>
  <c r="AE1027" i="8" s="1"/>
  <c r="AE1028" i="8" s="1"/>
  <c r="AE1029" i="8" s="1"/>
  <c r="AE1030" i="8" s="1"/>
  <c r="AE1031" i="8" s="1"/>
  <c r="AE1032" i="8" s="1"/>
  <c r="AE1033" i="8" s="1"/>
  <c r="AE1034" i="8" s="1"/>
  <c r="AE1035" i="8" s="1"/>
  <c r="AE1036" i="8" s="1"/>
  <c r="AE1037" i="8" s="1"/>
  <c r="AE1038" i="8" s="1"/>
  <c r="AE1039" i="8" s="1"/>
  <c r="AE1040" i="8" s="1"/>
  <c r="AE1041" i="8" s="1"/>
  <c r="AE1042" i="8" s="1"/>
  <c r="AE1043" i="8" s="1"/>
  <c r="AE1044" i="8" s="1"/>
  <c r="AE1045" i="8" s="1"/>
  <c r="AE1046" i="8" s="1"/>
  <c r="AE1047" i="8" s="1"/>
  <c r="AE1048" i="8" s="1"/>
  <c r="AE1049" i="8" s="1"/>
  <c r="AE1050" i="8" s="1"/>
  <c r="AE1051" i="8" s="1"/>
  <c r="AE1052" i="8" s="1"/>
  <c r="AE1053" i="8" s="1"/>
  <c r="AE1054" i="8" s="1"/>
  <c r="AE1055" i="8" s="1"/>
  <c r="AE1056" i="8" s="1"/>
  <c r="AE1057" i="8" s="1"/>
  <c r="AE1058" i="8" s="1"/>
  <c r="AE1059" i="8" s="1"/>
  <c r="AE1060" i="8" s="1"/>
  <c r="AE2" i="8"/>
  <c r="AD2" i="8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" i="8"/>
  <c r="AC2" i="8"/>
  <c r="AC3" i="8" s="1"/>
  <c r="AC4" i="8" s="1"/>
  <c r="AC5" i="8" s="1"/>
  <c r="AC6" i="8" s="1"/>
  <c r="AC7" i="8" s="1"/>
  <c r="AC8" i="8" s="1"/>
  <c r="AC9" i="8" s="1"/>
  <c r="AC10" i="8" s="1"/>
  <c r="AC11" i="8" s="1"/>
  <c r="AC12" i="8" s="1"/>
  <c r="AC13" i="8" s="1"/>
  <c r="AC14" i="8" s="1"/>
  <c r="AC15" i="8" s="1"/>
  <c r="AC16" i="8" s="1"/>
  <c r="AC17" i="8" s="1"/>
  <c r="AC18" i="8" s="1"/>
  <c r="AC19" i="8" s="1"/>
  <c r="AC20" i="8" s="1"/>
  <c r="AC21" i="8" s="1"/>
  <c r="AC22" i="8" s="1"/>
  <c r="AC23" i="8" s="1"/>
  <c r="AC24" i="8" s="1"/>
  <c r="AC25" i="8" s="1"/>
  <c r="AC26" i="8" s="1"/>
  <c r="AC27" i="8" s="1"/>
  <c r="AC28" i="8" s="1"/>
  <c r="AC29" i="8" s="1"/>
  <c r="AC30" i="8" s="1"/>
  <c r="AC31" i="8" s="1"/>
  <c r="AC32" i="8" s="1"/>
  <c r="AC33" i="8" s="1"/>
  <c r="AC34" i="8" s="1"/>
  <c r="AC35" i="8" s="1"/>
  <c r="AC36" i="8" s="1"/>
  <c r="AC37" i="8" s="1"/>
  <c r="AC38" i="8" s="1"/>
  <c r="AC39" i="8" s="1"/>
  <c r="AC40" i="8" s="1"/>
  <c r="AC41" i="8" s="1"/>
  <c r="AC42" i="8" s="1"/>
  <c r="AC43" i="8" s="1"/>
  <c r="AC44" i="8" s="1"/>
  <c r="AC45" i="8" s="1"/>
  <c r="AC46" i="8" s="1"/>
  <c r="AC47" i="8" s="1"/>
  <c r="AC48" i="8" s="1"/>
  <c r="AC49" i="8" s="1"/>
  <c r="AC50" i="8" s="1"/>
  <c r="AC51" i="8" s="1"/>
  <c r="AC52" i="8" s="1"/>
  <c r="AC53" i="8" s="1"/>
  <c r="AC54" i="8" s="1"/>
  <c r="AC55" i="8" s="1"/>
  <c r="AC56" i="8" s="1"/>
  <c r="AC57" i="8" s="1"/>
  <c r="AC58" i="8" s="1"/>
  <c r="AC59" i="8" s="1"/>
  <c r="AC60" i="8" s="1"/>
  <c r="AC61" i="8" s="1"/>
  <c r="AC62" i="8" s="1"/>
  <c r="AC63" i="8" s="1"/>
  <c r="AC64" i="8" s="1"/>
  <c r="AC65" i="8" s="1"/>
  <c r="AC66" i="8" s="1"/>
  <c r="AC67" i="8" s="1"/>
  <c r="AC68" i="8" s="1"/>
  <c r="AC69" i="8" s="1"/>
  <c r="AC70" i="8" s="1"/>
  <c r="AC71" i="8" s="1"/>
  <c r="AC72" i="8" s="1"/>
  <c r="AC73" i="8" s="1"/>
  <c r="AC74" i="8" s="1"/>
  <c r="AC75" i="8" s="1"/>
  <c r="AC76" i="8" s="1"/>
  <c r="AC77" i="8" s="1"/>
  <c r="AC78" i="8" s="1"/>
  <c r="AC79" i="8" s="1"/>
  <c r="AC80" i="8" s="1"/>
  <c r="AC81" i="8" s="1"/>
  <c r="AC82" i="8" s="1"/>
  <c r="AC83" i="8" s="1"/>
  <c r="AC84" i="8" s="1"/>
  <c r="AC85" i="8" s="1"/>
  <c r="AC86" i="8" s="1"/>
  <c r="AC87" i="8" s="1"/>
  <c r="AC88" i="8" s="1"/>
  <c r="AC89" i="8" s="1"/>
  <c r="AC90" i="8" s="1"/>
  <c r="AC91" i="8" s="1"/>
  <c r="AC92" i="8" s="1"/>
  <c r="AC93" i="8" s="1"/>
  <c r="AC94" i="8" s="1"/>
  <c r="AC95" i="8" s="1"/>
  <c r="AC96" i="8" s="1"/>
  <c r="AC97" i="8" s="1"/>
  <c r="AC98" i="8" s="1"/>
  <c r="AC99" i="8" s="1"/>
  <c r="AC100" i="8" s="1"/>
  <c r="AC101" i="8" s="1"/>
  <c r="AC102" i="8" s="1"/>
  <c r="AC103" i="8" s="1"/>
  <c r="AC104" i="8" s="1"/>
  <c r="AC105" i="8" s="1"/>
  <c r="AC106" i="8" s="1"/>
  <c r="AC107" i="8" s="1"/>
  <c r="AC108" i="8" s="1"/>
  <c r="AC109" i="8" s="1"/>
  <c r="AC110" i="8" s="1"/>
  <c r="AC111" i="8" s="1"/>
  <c r="AC112" i="8" s="1"/>
  <c r="AC113" i="8" s="1"/>
  <c r="AC114" i="8" s="1"/>
  <c r="AC115" i="8" s="1"/>
  <c r="AC116" i="8" s="1"/>
  <c r="AC117" i="8" s="1"/>
  <c r="AC118" i="8" s="1"/>
  <c r="AC119" i="8" s="1"/>
  <c r="AC120" i="8" s="1"/>
  <c r="AC121" i="8" s="1"/>
  <c r="AC122" i="8" s="1"/>
  <c r="AC123" i="8" s="1"/>
  <c r="AC124" i="8" s="1"/>
  <c r="AC125" i="8" s="1"/>
  <c r="AC126" i="8" s="1"/>
  <c r="AC127" i="8" s="1"/>
  <c r="AC128" i="8" s="1"/>
  <c r="AC129" i="8" s="1"/>
  <c r="AC130" i="8" s="1"/>
  <c r="AC131" i="8" s="1"/>
  <c r="AC132" i="8" s="1"/>
  <c r="AC133" i="8" s="1"/>
  <c r="AC134" i="8" s="1"/>
  <c r="AC135" i="8" s="1"/>
  <c r="AC136" i="8" s="1"/>
  <c r="AC137" i="8" s="1"/>
  <c r="AC138" i="8" s="1"/>
  <c r="AC139" i="8" s="1"/>
  <c r="AC140" i="8" s="1"/>
  <c r="AC141" i="8" s="1"/>
  <c r="AC142" i="8" s="1"/>
  <c r="AC143" i="8" s="1"/>
  <c r="AC144" i="8" s="1"/>
  <c r="AC145" i="8" s="1"/>
  <c r="AC146" i="8" s="1"/>
  <c r="AC147" i="8" s="1"/>
  <c r="AC148" i="8" s="1"/>
  <c r="AC149" i="8" s="1"/>
  <c r="AC150" i="8" s="1"/>
  <c r="AC151" i="8" s="1"/>
  <c r="AC152" i="8" s="1"/>
  <c r="AC153" i="8" s="1"/>
  <c r="AC154" i="8" s="1"/>
  <c r="AC155" i="8" s="1"/>
  <c r="AC156" i="8" s="1"/>
  <c r="AC157" i="8" s="1"/>
  <c r="AC158" i="8" s="1"/>
  <c r="AC159" i="8" s="1"/>
  <c r="AC160" i="8" s="1"/>
  <c r="AC161" i="8" s="1"/>
  <c r="AC162" i="8" s="1"/>
  <c r="AC163" i="8" s="1"/>
  <c r="AC164" i="8" s="1"/>
  <c r="AC165" i="8" s="1"/>
  <c r="AC166" i="8" s="1"/>
  <c r="AC167" i="8" s="1"/>
  <c r="AC168" i="8" s="1"/>
  <c r="AC169" i="8" s="1"/>
  <c r="AC170" i="8" s="1"/>
  <c r="AC171" i="8" s="1"/>
  <c r="AC172" i="8" s="1"/>
  <c r="AC173" i="8" s="1"/>
  <c r="AC174" i="8" s="1"/>
  <c r="AC175" i="8" s="1"/>
  <c r="AC176" i="8" s="1"/>
  <c r="AC177" i="8" s="1"/>
  <c r="AC178" i="8" s="1"/>
  <c r="AC179" i="8" s="1"/>
  <c r="AC180" i="8" s="1"/>
  <c r="AC181" i="8" s="1"/>
  <c r="AC182" i="8" s="1"/>
  <c r="AC183" i="8" s="1"/>
  <c r="AC184" i="8" s="1"/>
  <c r="AC185" i="8" s="1"/>
  <c r="AC186" i="8" s="1"/>
  <c r="AC187" i="8" s="1"/>
  <c r="AC188" i="8" s="1"/>
  <c r="AC189" i="8" s="1"/>
  <c r="AC190" i="8" s="1"/>
  <c r="AC191" i="8" s="1"/>
  <c r="AC192" i="8" s="1"/>
  <c r="AC193" i="8" s="1"/>
  <c r="AC194" i="8" s="1"/>
  <c r="AC195" i="8" s="1"/>
  <c r="AC196" i="8" s="1"/>
  <c r="AC197" i="8" s="1"/>
  <c r="AC198" i="8" s="1"/>
  <c r="AC199" i="8" s="1"/>
  <c r="AC200" i="8" s="1"/>
  <c r="AC201" i="8" s="1"/>
  <c r="AC202" i="8" s="1"/>
  <c r="AC203" i="8" s="1"/>
  <c r="AC204" i="8" s="1"/>
  <c r="AC205" i="8" s="1"/>
  <c r="AC206" i="8" s="1"/>
  <c r="AC207" i="8" s="1"/>
  <c r="AC208" i="8" s="1"/>
  <c r="AC209" i="8" s="1"/>
  <c r="AC210" i="8" s="1"/>
  <c r="AC211" i="8" s="1"/>
  <c r="AC212" i="8" s="1"/>
  <c r="AC213" i="8" s="1"/>
  <c r="AC214" i="8" s="1"/>
  <c r="AC215" i="8" s="1"/>
  <c r="AC216" i="8" s="1"/>
  <c r="AC217" i="8" s="1"/>
  <c r="AC218" i="8" s="1"/>
  <c r="AC219" i="8" s="1"/>
  <c r="AC220" i="8" s="1"/>
  <c r="AC221" i="8" s="1"/>
  <c r="AC222" i="8" s="1"/>
  <c r="AC223" i="8" s="1"/>
  <c r="AC224" i="8" s="1"/>
  <c r="AC225" i="8" s="1"/>
  <c r="AC226" i="8" s="1"/>
  <c r="AC227" i="8" s="1"/>
  <c r="AC228" i="8" s="1"/>
  <c r="AC229" i="8" s="1"/>
  <c r="AC230" i="8" s="1"/>
  <c r="AC231" i="8" s="1"/>
  <c r="AC232" i="8" s="1"/>
  <c r="AC233" i="8" s="1"/>
  <c r="AC234" i="8" s="1"/>
  <c r="AC235" i="8" s="1"/>
  <c r="AC236" i="8" s="1"/>
  <c r="AC237" i="8" s="1"/>
  <c r="AC238" i="8" s="1"/>
  <c r="AC239" i="8" s="1"/>
  <c r="AC240" i="8" s="1"/>
  <c r="AC241" i="8" s="1"/>
  <c r="AC242" i="8" s="1"/>
  <c r="AC243" i="8" s="1"/>
  <c r="AC244" i="8" s="1"/>
  <c r="AC245" i="8" s="1"/>
  <c r="AC246" i="8" s="1"/>
  <c r="AC247" i="8" s="1"/>
  <c r="AC248" i="8" s="1"/>
  <c r="AC249" i="8" s="1"/>
  <c r="AC250" i="8" s="1"/>
  <c r="AC251" i="8" s="1"/>
  <c r="AC252" i="8" s="1"/>
  <c r="AC253" i="8" s="1"/>
  <c r="AC254" i="8" s="1"/>
  <c r="AC255" i="8" s="1"/>
  <c r="AC256" i="8" s="1"/>
  <c r="AC257" i="8" s="1"/>
  <c r="AC258" i="8" s="1"/>
  <c r="AC259" i="8" s="1"/>
  <c r="AC260" i="8" s="1"/>
  <c r="AC261" i="8" s="1"/>
  <c r="AC262" i="8" s="1"/>
  <c r="AC263" i="8" s="1"/>
  <c r="AC264" i="8" s="1"/>
  <c r="AC265" i="8" s="1"/>
  <c r="AC266" i="8" s="1"/>
  <c r="AC267" i="8" s="1"/>
  <c r="AC268" i="8" s="1"/>
  <c r="AC269" i="8" s="1"/>
  <c r="AC270" i="8" s="1"/>
  <c r="AC271" i="8" s="1"/>
  <c r="AC272" i="8" s="1"/>
  <c r="AC273" i="8" s="1"/>
  <c r="AC274" i="8" s="1"/>
  <c r="AC275" i="8" s="1"/>
  <c r="AC276" i="8" s="1"/>
  <c r="AC277" i="8" s="1"/>
  <c r="AC278" i="8" s="1"/>
  <c r="AC279" i="8" s="1"/>
  <c r="AC280" i="8" s="1"/>
  <c r="AC281" i="8" s="1"/>
  <c r="AC282" i="8" s="1"/>
  <c r="AC283" i="8" s="1"/>
  <c r="AC284" i="8" s="1"/>
  <c r="AC285" i="8" s="1"/>
  <c r="AC286" i="8" s="1"/>
  <c r="AC287" i="8" s="1"/>
  <c r="AC288" i="8" s="1"/>
  <c r="AC289" i="8" s="1"/>
  <c r="AC290" i="8" s="1"/>
  <c r="AC291" i="8" s="1"/>
  <c r="AC292" i="8" s="1"/>
  <c r="AC293" i="8" s="1"/>
  <c r="AC294" i="8" s="1"/>
  <c r="AC295" i="8" s="1"/>
  <c r="AC296" i="8" s="1"/>
  <c r="AC297" i="8" s="1"/>
  <c r="AC298" i="8" s="1"/>
  <c r="AC299" i="8" s="1"/>
  <c r="AC300" i="8" s="1"/>
  <c r="AC301" i="8" s="1"/>
  <c r="AC302" i="8" s="1"/>
  <c r="AC303" i="8" s="1"/>
  <c r="AC304" i="8" s="1"/>
  <c r="AC305" i="8" s="1"/>
  <c r="AC306" i="8" s="1"/>
  <c r="AC307" i="8" s="1"/>
  <c r="AC308" i="8" s="1"/>
  <c r="AC309" i="8" s="1"/>
  <c r="AC310" i="8" s="1"/>
  <c r="AC311" i="8" s="1"/>
  <c r="AC312" i="8" s="1"/>
  <c r="AC313" i="8" s="1"/>
  <c r="AC314" i="8" s="1"/>
  <c r="AC315" i="8" s="1"/>
  <c r="AC316" i="8" s="1"/>
  <c r="AC317" i="8" s="1"/>
  <c r="AC318" i="8" s="1"/>
  <c r="AC319" i="8" s="1"/>
  <c r="AC320" i="8" s="1"/>
  <c r="AC321" i="8" s="1"/>
  <c r="AC322" i="8" s="1"/>
  <c r="AC323" i="8" s="1"/>
  <c r="AC324" i="8" s="1"/>
  <c r="AC325" i="8" s="1"/>
  <c r="AC326" i="8" s="1"/>
  <c r="AC327" i="8" s="1"/>
  <c r="AC328" i="8" s="1"/>
  <c r="AC329" i="8" s="1"/>
  <c r="AC330" i="8" s="1"/>
  <c r="AC331" i="8" s="1"/>
  <c r="AC332" i="8" s="1"/>
  <c r="AC333" i="8" s="1"/>
  <c r="AC334" i="8" s="1"/>
  <c r="AC335" i="8" s="1"/>
  <c r="AC336" i="8" s="1"/>
  <c r="AC337" i="8" s="1"/>
  <c r="AC338" i="8" s="1"/>
  <c r="AC339" i="8" s="1"/>
  <c r="AC340" i="8" s="1"/>
  <c r="AC341" i="8" s="1"/>
  <c r="AC342" i="8" s="1"/>
  <c r="AC343" i="8" s="1"/>
  <c r="AC344" i="8" s="1"/>
  <c r="AC345" i="8" s="1"/>
  <c r="AC346" i="8" s="1"/>
  <c r="AC347" i="8" s="1"/>
  <c r="AC348" i="8" s="1"/>
  <c r="AC349" i="8" s="1"/>
  <c r="AC350" i="8" s="1"/>
  <c r="AC351" i="8" s="1"/>
  <c r="AC352" i="8" s="1"/>
  <c r="AC353" i="8" s="1"/>
  <c r="AC354" i="8" s="1"/>
  <c r="AC355" i="8" s="1"/>
  <c r="AC356" i="8" s="1"/>
  <c r="AC357" i="8" s="1"/>
  <c r="AC358" i="8" s="1"/>
  <c r="AC359" i="8" s="1"/>
  <c r="AC360" i="8" s="1"/>
  <c r="AC361" i="8" s="1"/>
  <c r="AC362" i="8" s="1"/>
  <c r="AC363" i="8" s="1"/>
  <c r="AC364" i="8" s="1"/>
  <c r="AC365" i="8" s="1"/>
  <c r="AC366" i="8" s="1"/>
  <c r="AC367" i="8" s="1"/>
  <c r="AC368" i="8" s="1"/>
  <c r="AC369" i="8" s="1"/>
  <c r="AC370" i="8" s="1"/>
  <c r="AC371" i="8" s="1"/>
  <c r="AC372" i="8" s="1"/>
  <c r="AC373" i="8" s="1"/>
  <c r="AC374" i="8" s="1"/>
  <c r="AC375" i="8" s="1"/>
  <c r="AC376" i="8" s="1"/>
  <c r="AC377" i="8" s="1"/>
  <c r="AC378" i="8" s="1"/>
  <c r="AC379" i="8" s="1"/>
  <c r="AC380" i="8" s="1"/>
  <c r="AC381" i="8" s="1"/>
  <c r="AC382" i="8" s="1"/>
  <c r="AC383" i="8" s="1"/>
  <c r="AC384" i="8" s="1"/>
  <c r="AC385" i="8" s="1"/>
  <c r="AC386" i="8" s="1"/>
  <c r="AC387" i="8" s="1"/>
  <c r="AC388" i="8" s="1"/>
  <c r="AC389" i="8" s="1"/>
  <c r="AC390" i="8" s="1"/>
  <c r="AC391" i="8" s="1"/>
  <c r="AC392" i="8" s="1"/>
  <c r="AC393" i="8" s="1"/>
  <c r="AC394" i="8" s="1"/>
  <c r="AC395" i="8" s="1"/>
  <c r="AC396" i="8" s="1"/>
  <c r="AC397" i="8" s="1"/>
  <c r="AC398" i="8" s="1"/>
  <c r="AC399" i="8" s="1"/>
  <c r="AC400" i="8" s="1"/>
  <c r="AC401" i="8" s="1"/>
  <c r="AC402" i="8" s="1"/>
  <c r="AC403" i="8" s="1"/>
  <c r="AC404" i="8" s="1"/>
  <c r="AC405" i="8" s="1"/>
  <c r="AC406" i="8" s="1"/>
  <c r="AC407" i="8" s="1"/>
  <c r="AC408" i="8" s="1"/>
  <c r="AC409" i="8" s="1"/>
  <c r="AC410" i="8" s="1"/>
  <c r="AC411" i="8" s="1"/>
  <c r="AC412" i="8" s="1"/>
  <c r="AC413" i="8" s="1"/>
  <c r="AC414" i="8" s="1"/>
  <c r="AC415" i="8" s="1"/>
  <c r="AC416" i="8" s="1"/>
  <c r="AC417" i="8" s="1"/>
  <c r="AC418" i="8" s="1"/>
  <c r="AC419" i="8" s="1"/>
  <c r="AC420" i="8" s="1"/>
  <c r="AC421" i="8" s="1"/>
  <c r="AC422" i="8" s="1"/>
  <c r="AC423" i="8" s="1"/>
  <c r="AC424" i="8" s="1"/>
  <c r="AC425" i="8" s="1"/>
  <c r="AC426" i="8" s="1"/>
  <c r="AC427" i="8" s="1"/>
  <c r="AC428" i="8" s="1"/>
  <c r="AC429" i="8" s="1"/>
  <c r="AC430" i="8" s="1"/>
  <c r="AC431" i="8" s="1"/>
  <c r="AC432" i="8" s="1"/>
  <c r="AC433" i="8" s="1"/>
  <c r="AC434" i="8" s="1"/>
  <c r="AC435" i="8" s="1"/>
  <c r="AC436" i="8" s="1"/>
  <c r="AC437" i="8" s="1"/>
  <c r="AC438" i="8" s="1"/>
  <c r="AC439" i="8" s="1"/>
  <c r="AC440" i="8" s="1"/>
  <c r="AC441" i="8" s="1"/>
  <c r="AC442" i="8" s="1"/>
  <c r="AC443" i="8" s="1"/>
  <c r="AC444" i="8" s="1"/>
  <c r="AC445" i="8" s="1"/>
  <c r="AC446" i="8" s="1"/>
  <c r="AC447" i="8" s="1"/>
  <c r="AC448" i="8" s="1"/>
  <c r="AC449" i="8" s="1"/>
  <c r="AC450" i="8" s="1"/>
  <c r="AC451" i="8" s="1"/>
  <c r="AC452" i="8" s="1"/>
  <c r="AC453" i="8" s="1"/>
  <c r="AC454" i="8" s="1"/>
  <c r="AC455" i="8" s="1"/>
  <c r="AC456" i="8" s="1"/>
  <c r="AC457" i="8" s="1"/>
  <c r="AC458" i="8" s="1"/>
  <c r="AC459" i="8" s="1"/>
  <c r="AC460" i="8" s="1"/>
  <c r="AC461" i="8" s="1"/>
  <c r="AC462" i="8" s="1"/>
  <c r="AC463" i="8" s="1"/>
  <c r="AC464" i="8" s="1"/>
  <c r="AC465" i="8" s="1"/>
  <c r="AC466" i="8" s="1"/>
  <c r="AC467" i="8" s="1"/>
  <c r="AC468" i="8" s="1"/>
  <c r="AC469" i="8" s="1"/>
  <c r="AC470" i="8" s="1"/>
  <c r="AC471" i="8" s="1"/>
  <c r="AC472" i="8" s="1"/>
  <c r="AC473" i="8" s="1"/>
  <c r="AC474" i="8" s="1"/>
  <c r="AC475" i="8" s="1"/>
  <c r="AC476" i="8" s="1"/>
  <c r="AC477" i="8" s="1"/>
  <c r="AC478" i="8" s="1"/>
  <c r="AC479" i="8" s="1"/>
  <c r="AC480" i="8" s="1"/>
  <c r="AC481" i="8" s="1"/>
  <c r="AC482" i="8" s="1"/>
  <c r="AC483" i="8" s="1"/>
  <c r="AC484" i="8" s="1"/>
  <c r="AC485" i="8" s="1"/>
  <c r="AC486" i="8" s="1"/>
  <c r="AC487" i="8" s="1"/>
  <c r="AC488" i="8" s="1"/>
  <c r="AC489" i="8" s="1"/>
  <c r="AC490" i="8" s="1"/>
  <c r="AC491" i="8" s="1"/>
  <c r="AC492" i="8" s="1"/>
  <c r="AC493" i="8" s="1"/>
  <c r="AC494" i="8" s="1"/>
  <c r="AC495" i="8" s="1"/>
  <c r="AC496" i="8" s="1"/>
  <c r="AC497" i="8" s="1"/>
  <c r="AC498" i="8" s="1"/>
  <c r="AC499" i="8" s="1"/>
  <c r="AC500" i="8" s="1"/>
  <c r="AC501" i="8" s="1"/>
  <c r="AC502" i="8" s="1"/>
  <c r="AC503" i="8" s="1"/>
  <c r="AC504" i="8" s="1"/>
  <c r="AC505" i="8" s="1"/>
  <c r="AC506" i="8" s="1"/>
  <c r="AC507" i="8" s="1"/>
  <c r="AC508" i="8" s="1"/>
  <c r="AC509" i="8" s="1"/>
  <c r="AC510" i="8" s="1"/>
  <c r="AC511" i="8" s="1"/>
  <c r="AC512" i="8" s="1"/>
  <c r="AC513" i="8" s="1"/>
  <c r="AC514" i="8" s="1"/>
  <c r="AC515" i="8" s="1"/>
  <c r="AC516" i="8" s="1"/>
  <c r="AC517" i="8" s="1"/>
  <c r="AC518" i="8" s="1"/>
  <c r="AC519" i="8" s="1"/>
  <c r="AC520" i="8" s="1"/>
  <c r="AC521" i="8" s="1"/>
  <c r="AC522" i="8" s="1"/>
  <c r="AC523" i="8" s="1"/>
  <c r="AC524" i="8" s="1"/>
  <c r="AC525" i="8" s="1"/>
  <c r="AC526" i="8" s="1"/>
  <c r="AC527" i="8" s="1"/>
  <c r="AC528" i="8" s="1"/>
  <c r="AC529" i="8" s="1"/>
  <c r="AC530" i="8" s="1"/>
  <c r="AC531" i="8" s="1"/>
  <c r="AC532" i="8" s="1"/>
  <c r="AC533" i="8" s="1"/>
  <c r="AC534" i="8" s="1"/>
  <c r="AC535" i="8" s="1"/>
  <c r="AC536" i="8" s="1"/>
  <c r="AC537" i="8" s="1"/>
  <c r="AC538" i="8" s="1"/>
  <c r="AC539" i="8" s="1"/>
  <c r="AC540" i="8" s="1"/>
  <c r="AC541" i="8" s="1"/>
  <c r="AC542" i="8" s="1"/>
  <c r="AC543" i="8" s="1"/>
  <c r="AC544" i="8" s="1"/>
  <c r="AC545" i="8" s="1"/>
  <c r="AC546" i="8" s="1"/>
  <c r="AC547" i="8" s="1"/>
  <c r="AC548" i="8" s="1"/>
  <c r="AC549" i="8" s="1"/>
  <c r="AC550" i="8" s="1"/>
  <c r="AC551" i="8" s="1"/>
  <c r="AC552" i="8" s="1"/>
  <c r="AC553" i="8" s="1"/>
  <c r="AC554" i="8" s="1"/>
  <c r="AC555" i="8" s="1"/>
  <c r="AC556" i="8" s="1"/>
  <c r="AC557" i="8" s="1"/>
  <c r="AC558" i="8" s="1"/>
  <c r="AC559" i="8" s="1"/>
  <c r="AC560" i="8" s="1"/>
  <c r="AC561" i="8" s="1"/>
  <c r="AC562" i="8" s="1"/>
  <c r="AC563" i="8" s="1"/>
  <c r="AC564" i="8" s="1"/>
  <c r="AC565" i="8" s="1"/>
  <c r="AC566" i="8" s="1"/>
  <c r="AC567" i="8" s="1"/>
  <c r="AC568" i="8" s="1"/>
  <c r="AC569" i="8" s="1"/>
  <c r="AC570" i="8" s="1"/>
  <c r="AC571" i="8" s="1"/>
  <c r="AC572" i="8" s="1"/>
  <c r="AC573" i="8" s="1"/>
  <c r="AC574" i="8" s="1"/>
  <c r="AC575" i="8" s="1"/>
  <c r="AC576" i="8" s="1"/>
  <c r="AC577" i="8" s="1"/>
  <c r="AC578" i="8" s="1"/>
  <c r="AC579" i="8" s="1"/>
  <c r="AC580" i="8" s="1"/>
  <c r="AC581" i="8" s="1"/>
  <c r="AC582" i="8" s="1"/>
  <c r="AC583" i="8" s="1"/>
  <c r="AC584" i="8" s="1"/>
  <c r="AC585" i="8" s="1"/>
  <c r="AC586" i="8" s="1"/>
  <c r="AC587" i="8" s="1"/>
  <c r="AC588" i="8" s="1"/>
  <c r="AC589" i="8" s="1"/>
  <c r="AC590" i="8" s="1"/>
  <c r="AC591" i="8" s="1"/>
  <c r="AC592" i="8" s="1"/>
  <c r="AC593" i="8" s="1"/>
  <c r="AC594" i="8" s="1"/>
  <c r="AC595" i="8" s="1"/>
  <c r="AC596" i="8" s="1"/>
  <c r="AC597" i="8" s="1"/>
  <c r="AC598" i="8" s="1"/>
  <c r="AC599" i="8" s="1"/>
  <c r="AC600" i="8" s="1"/>
  <c r="AC601" i="8" s="1"/>
  <c r="AC602" i="8" s="1"/>
  <c r="AC603" i="8" s="1"/>
  <c r="AC604" i="8" s="1"/>
  <c r="AC605" i="8" s="1"/>
  <c r="AC606" i="8" s="1"/>
  <c r="AC607" i="8" s="1"/>
  <c r="AC608" i="8" s="1"/>
  <c r="AC609" i="8" s="1"/>
  <c r="AC610" i="8" s="1"/>
  <c r="AC611" i="8" s="1"/>
  <c r="AC612" i="8" s="1"/>
  <c r="AC613" i="8" s="1"/>
  <c r="AC614" i="8" s="1"/>
  <c r="AC615" i="8" s="1"/>
  <c r="AC616" i="8" s="1"/>
  <c r="AC617" i="8" s="1"/>
  <c r="AC618" i="8" s="1"/>
  <c r="AC619" i="8" s="1"/>
  <c r="AC620" i="8" s="1"/>
  <c r="AC621" i="8" s="1"/>
  <c r="AC622" i="8" s="1"/>
  <c r="AC623" i="8" s="1"/>
  <c r="AC624" i="8" s="1"/>
  <c r="AC625" i="8" s="1"/>
  <c r="AC626" i="8" s="1"/>
  <c r="AC627" i="8" s="1"/>
  <c r="AC628" i="8" s="1"/>
  <c r="AC629" i="8" s="1"/>
  <c r="AC630" i="8" s="1"/>
  <c r="AC631" i="8" s="1"/>
  <c r="AC632" i="8" s="1"/>
  <c r="AC633" i="8" s="1"/>
  <c r="AC634" i="8" s="1"/>
  <c r="AC635" i="8" s="1"/>
  <c r="AC636" i="8" s="1"/>
  <c r="AC637" i="8" s="1"/>
  <c r="AC638" i="8" s="1"/>
  <c r="AC639" i="8" s="1"/>
  <c r="AC640" i="8" s="1"/>
  <c r="AC641" i="8" s="1"/>
  <c r="AC642" i="8" s="1"/>
  <c r="AC643" i="8" s="1"/>
  <c r="AC644" i="8" s="1"/>
  <c r="AC645" i="8" s="1"/>
  <c r="AC646" i="8" s="1"/>
  <c r="AC647" i="8" s="1"/>
  <c r="AC648" i="8" s="1"/>
  <c r="AC649" i="8" s="1"/>
  <c r="AC650" i="8" s="1"/>
  <c r="AC651" i="8" s="1"/>
  <c r="AC652" i="8" s="1"/>
  <c r="AC653" i="8" s="1"/>
  <c r="AC654" i="8" s="1"/>
  <c r="AC655" i="8" s="1"/>
  <c r="AC656" i="8" s="1"/>
  <c r="AC657" i="8" s="1"/>
  <c r="AC658" i="8" s="1"/>
  <c r="AC659" i="8" s="1"/>
  <c r="AC660" i="8" s="1"/>
  <c r="AC661" i="8" s="1"/>
  <c r="AC662" i="8" s="1"/>
  <c r="AC663" i="8" s="1"/>
  <c r="AC664" i="8" s="1"/>
  <c r="AC665" i="8" s="1"/>
  <c r="AC666" i="8" s="1"/>
  <c r="AC667" i="8" s="1"/>
  <c r="AC668" i="8" s="1"/>
  <c r="AC669" i="8" s="1"/>
  <c r="AC670" i="8" s="1"/>
  <c r="AC671" i="8" s="1"/>
  <c r="AC672" i="8" s="1"/>
  <c r="AC673" i="8" s="1"/>
  <c r="AC674" i="8" s="1"/>
  <c r="AC675" i="8" s="1"/>
  <c r="AC676" i="8" s="1"/>
  <c r="AC677" i="8" s="1"/>
  <c r="AC678" i="8" s="1"/>
  <c r="AC679" i="8" s="1"/>
  <c r="AC680" i="8" s="1"/>
  <c r="AC681" i="8" s="1"/>
  <c r="AC682" i="8" s="1"/>
  <c r="AC683" i="8" s="1"/>
  <c r="AC684" i="8" s="1"/>
  <c r="AC685" i="8" s="1"/>
  <c r="AC686" i="8" s="1"/>
  <c r="AC687" i="8" s="1"/>
  <c r="AC688" i="8" s="1"/>
  <c r="AC689" i="8" s="1"/>
  <c r="AC690" i="8" s="1"/>
  <c r="AC691" i="8" s="1"/>
  <c r="AC692" i="8" s="1"/>
  <c r="AC693" i="8" s="1"/>
  <c r="AC694" i="8" s="1"/>
  <c r="AC695" i="8" s="1"/>
  <c r="AC696" i="8" s="1"/>
  <c r="AC697" i="8" s="1"/>
  <c r="AC698" i="8" s="1"/>
  <c r="AC699" i="8" s="1"/>
  <c r="AC700" i="8" s="1"/>
  <c r="AC701" i="8" s="1"/>
  <c r="AC702" i="8" s="1"/>
  <c r="AC703" i="8" s="1"/>
  <c r="AC704" i="8" s="1"/>
  <c r="AC705" i="8" s="1"/>
  <c r="AC706" i="8" s="1"/>
  <c r="AC707" i="8" s="1"/>
  <c r="AC708" i="8" s="1"/>
  <c r="AC709" i="8" s="1"/>
  <c r="AC710" i="8" s="1"/>
  <c r="AC711" i="8" s="1"/>
  <c r="AC712" i="8" s="1"/>
  <c r="AC713" i="8" s="1"/>
  <c r="AC714" i="8" s="1"/>
  <c r="AC715" i="8" s="1"/>
  <c r="AC716" i="8" s="1"/>
  <c r="AC717" i="8" s="1"/>
  <c r="AC718" i="8" s="1"/>
  <c r="AC719" i="8" s="1"/>
  <c r="AC720" i="8" s="1"/>
  <c r="AC721" i="8" s="1"/>
  <c r="AC722" i="8" s="1"/>
  <c r="AC723" i="8" s="1"/>
  <c r="AC724" i="8" s="1"/>
  <c r="AC725" i="8" s="1"/>
  <c r="AC726" i="8" s="1"/>
  <c r="AC727" i="8" s="1"/>
  <c r="AC728" i="8" s="1"/>
  <c r="AC729" i="8" s="1"/>
  <c r="AC730" i="8" s="1"/>
  <c r="AC731" i="8" s="1"/>
  <c r="AC732" i="8" s="1"/>
  <c r="AC733" i="8" s="1"/>
  <c r="AC734" i="8" s="1"/>
  <c r="AC735" i="8" s="1"/>
  <c r="AC736" i="8" s="1"/>
  <c r="AC737" i="8" s="1"/>
  <c r="AC738" i="8" s="1"/>
  <c r="AC739" i="8" s="1"/>
  <c r="AC740" i="8" s="1"/>
  <c r="AC741" i="8" s="1"/>
  <c r="AC742" i="8" s="1"/>
  <c r="AC743" i="8" s="1"/>
  <c r="AC744" i="8" s="1"/>
  <c r="AC745" i="8" s="1"/>
  <c r="AC746" i="8" s="1"/>
  <c r="AC747" i="8" s="1"/>
  <c r="AC748" i="8" s="1"/>
  <c r="AC749" i="8" s="1"/>
  <c r="AC750" i="8" s="1"/>
  <c r="AC751" i="8" s="1"/>
  <c r="AC752" i="8" s="1"/>
  <c r="AC753" i="8" s="1"/>
  <c r="AC754" i="8" s="1"/>
  <c r="AC755" i="8" s="1"/>
  <c r="AC756" i="8" s="1"/>
  <c r="AC757" i="8" s="1"/>
  <c r="AC758" i="8" s="1"/>
  <c r="AC759" i="8" s="1"/>
  <c r="AC760" i="8" s="1"/>
  <c r="AC761" i="8" s="1"/>
  <c r="AC762" i="8" s="1"/>
  <c r="AC763" i="8" s="1"/>
  <c r="AC764" i="8" s="1"/>
  <c r="AC765" i="8" s="1"/>
  <c r="AC766" i="8" s="1"/>
  <c r="AC767" i="8" s="1"/>
  <c r="AC768" i="8" s="1"/>
  <c r="AC769" i="8" s="1"/>
  <c r="AC770" i="8" s="1"/>
  <c r="AC771" i="8" s="1"/>
  <c r="AC772" i="8" s="1"/>
  <c r="AC773" i="8" s="1"/>
  <c r="AC774" i="8" s="1"/>
  <c r="AC775" i="8" s="1"/>
  <c r="AC776" i="8" s="1"/>
  <c r="AC777" i="8" s="1"/>
  <c r="AC778" i="8" s="1"/>
  <c r="AC779" i="8" s="1"/>
  <c r="AC780" i="8" s="1"/>
  <c r="AC781" i="8" s="1"/>
  <c r="AC782" i="8" s="1"/>
  <c r="AC783" i="8" s="1"/>
  <c r="AC784" i="8" s="1"/>
  <c r="AC785" i="8" s="1"/>
  <c r="AC786" i="8" s="1"/>
  <c r="AC787" i="8" s="1"/>
  <c r="AC788" i="8" s="1"/>
  <c r="AC789" i="8" s="1"/>
  <c r="AC790" i="8" s="1"/>
  <c r="AC791" i="8" s="1"/>
  <c r="AC792" i="8" s="1"/>
  <c r="AC793" i="8" s="1"/>
  <c r="AC794" i="8" s="1"/>
  <c r="AC795" i="8" s="1"/>
  <c r="AC796" i="8" s="1"/>
  <c r="AC797" i="8" s="1"/>
  <c r="AC798" i="8" s="1"/>
  <c r="AC799" i="8" s="1"/>
  <c r="AC800" i="8" s="1"/>
  <c r="AC801" i="8" s="1"/>
  <c r="AC802" i="8" s="1"/>
  <c r="AC803" i="8" s="1"/>
  <c r="AC804" i="8" s="1"/>
  <c r="AC805" i="8" s="1"/>
  <c r="AC806" i="8" s="1"/>
  <c r="AC807" i="8" s="1"/>
  <c r="AC808" i="8" s="1"/>
  <c r="AC809" i="8" s="1"/>
  <c r="AC810" i="8" s="1"/>
  <c r="AC811" i="8" s="1"/>
  <c r="AC812" i="8" s="1"/>
  <c r="AC813" i="8" s="1"/>
  <c r="AC814" i="8" s="1"/>
  <c r="AC815" i="8" s="1"/>
  <c r="AC816" i="8" s="1"/>
  <c r="AC817" i="8" s="1"/>
  <c r="AC818" i="8" s="1"/>
  <c r="AC819" i="8" s="1"/>
  <c r="AC820" i="8" s="1"/>
  <c r="AC821" i="8" s="1"/>
  <c r="AC822" i="8" s="1"/>
  <c r="AC823" i="8" s="1"/>
  <c r="AC824" i="8" s="1"/>
  <c r="AC825" i="8" s="1"/>
  <c r="AC826" i="8" s="1"/>
  <c r="AC827" i="8" s="1"/>
  <c r="AC828" i="8" s="1"/>
  <c r="AC829" i="8" s="1"/>
  <c r="AC830" i="8" s="1"/>
  <c r="AC831" i="8" s="1"/>
  <c r="AC832" i="8" s="1"/>
  <c r="AC833" i="8" s="1"/>
  <c r="AC834" i="8" s="1"/>
  <c r="AC835" i="8" s="1"/>
  <c r="AC836" i="8" s="1"/>
  <c r="AC837" i="8" s="1"/>
  <c r="AC838" i="8" s="1"/>
  <c r="AC839" i="8" s="1"/>
  <c r="AC840" i="8" s="1"/>
  <c r="AC841" i="8" s="1"/>
  <c r="AC842" i="8" s="1"/>
  <c r="AC843" i="8" s="1"/>
  <c r="AC844" i="8" s="1"/>
  <c r="AC845" i="8" s="1"/>
  <c r="AC846" i="8" s="1"/>
  <c r="AC847" i="8" s="1"/>
  <c r="AC848" i="8" s="1"/>
  <c r="AC849" i="8" s="1"/>
  <c r="AC850" i="8" s="1"/>
  <c r="AC851" i="8" s="1"/>
  <c r="AC852" i="8" s="1"/>
  <c r="AC853" i="8" s="1"/>
  <c r="AC854" i="8" s="1"/>
  <c r="AC855" i="8" s="1"/>
  <c r="AC856" i="8" s="1"/>
  <c r="AC857" i="8" s="1"/>
  <c r="AC858" i="8" s="1"/>
  <c r="AC859" i="8" s="1"/>
  <c r="AC860" i="8" s="1"/>
  <c r="AC861" i="8" s="1"/>
  <c r="AC862" i="8" s="1"/>
  <c r="AC863" i="8" s="1"/>
  <c r="AC864" i="8" s="1"/>
  <c r="AC865" i="8" s="1"/>
  <c r="AC866" i="8" s="1"/>
  <c r="AC867" i="8" s="1"/>
  <c r="AC868" i="8" s="1"/>
  <c r="AC869" i="8" s="1"/>
  <c r="AC870" i="8" s="1"/>
  <c r="AC871" i="8" s="1"/>
  <c r="AC872" i="8" s="1"/>
  <c r="AC873" i="8" s="1"/>
  <c r="AC874" i="8" s="1"/>
  <c r="AC875" i="8" s="1"/>
  <c r="AC876" i="8" s="1"/>
  <c r="AC877" i="8" s="1"/>
  <c r="AC878" i="8" s="1"/>
  <c r="AC879" i="8" s="1"/>
  <c r="AC880" i="8" s="1"/>
  <c r="AC881" i="8" s="1"/>
  <c r="AC882" i="8" s="1"/>
  <c r="AC883" i="8" s="1"/>
  <c r="AC884" i="8" s="1"/>
  <c r="AC885" i="8" s="1"/>
  <c r="AC886" i="8" s="1"/>
  <c r="AC887" i="8" s="1"/>
  <c r="AC888" i="8" s="1"/>
  <c r="AC889" i="8" s="1"/>
  <c r="AC890" i="8" s="1"/>
  <c r="AC891" i="8" s="1"/>
  <c r="AC892" i="8" s="1"/>
  <c r="AC893" i="8" s="1"/>
  <c r="AC894" i="8" s="1"/>
  <c r="AC895" i="8" s="1"/>
  <c r="AC896" i="8" s="1"/>
  <c r="AC897" i="8" s="1"/>
  <c r="AC898" i="8" s="1"/>
  <c r="AC899" i="8" s="1"/>
  <c r="AC900" i="8" s="1"/>
  <c r="AC901" i="8" s="1"/>
  <c r="AC902" i="8" s="1"/>
  <c r="AC903" i="8" s="1"/>
  <c r="AC904" i="8" s="1"/>
  <c r="AC905" i="8" s="1"/>
  <c r="AC906" i="8" s="1"/>
  <c r="AC907" i="8" s="1"/>
  <c r="AC908" i="8" s="1"/>
  <c r="AC909" i="8" s="1"/>
  <c r="AC910" i="8" s="1"/>
  <c r="AC911" i="8" s="1"/>
  <c r="AC912" i="8" s="1"/>
  <c r="AC913" i="8" s="1"/>
  <c r="AC914" i="8" s="1"/>
  <c r="AC915" i="8" s="1"/>
  <c r="AC916" i="8" s="1"/>
  <c r="AC917" i="8" s="1"/>
  <c r="AC918" i="8" s="1"/>
  <c r="AC919" i="8" s="1"/>
  <c r="AC920" i="8" s="1"/>
  <c r="AC921" i="8" s="1"/>
  <c r="AC922" i="8" s="1"/>
  <c r="AC923" i="8" s="1"/>
  <c r="AC924" i="8" s="1"/>
  <c r="AC925" i="8" s="1"/>
  <c r="AC926" i="8" s="1"/>
  <c r="AC927" i="8" s="1"/>
  <c r="AC928" i="8" s="1"/>
  <c r="AC929" i="8" s="1"/>
  <c r="AC930" i="8" s="1"/>
  <c r="AC931" i="8" s="1"/>
  <c r="AC932" i="8" s="1"/>
  <c r="AC933" i="8" s="1"/>
  <c r="AC934" i="8" s="1"/>
  <c r="AC935" i="8" s="1"/>
  <c r="AC936" i="8" s="1"/>
  <c r="AC937" i="8" s="1"/>
  <c r="AC938" i="8" s="1"/>
  <c r="AC939" i="8" s="1"/>
  <c r="AC940" i="8" s="1"/>
  <c r="AC941" i="8" s="1"/>
  <c r="AC942" i="8" s="1"/>
  <c r="AC943" i="8" s="1"/>
  <c r="AC944" i="8" s="1"/>
  <c r="AC945" i="8" s="1"/>
  <c r="AC946" i="8" s="1"/>
  <c r="AC947" i="8" s="1"/>
  <c r="AC948" i="8" s="1"/>
  <c r="AC949" i="8" s="1"/>
  <c r="AC950" i="8" s="1"/>
  <c r="AC951" i="8" s="1"/>
  <c r="AC952" i="8" s="1"/>
  <c r="AC953" i="8" s="1"/>
  <c r="AC954" i="8" s="1"/>
  <c r="AC955" i="8" s="1"/>
  <c r="AC956" i="8" s="1"/>
  <c r="AC957" i="8" s="1"/>
  <c r="AC958" i="8" s="1"/>
  <c r="AC959" i="8" s="1"/>
  <c r="AC960" i="8" s="1"/>
  <c r="AC961" i="8" s="1"/>
  <c r="AC962" i="8" s="1"/>
  <c r="AC963" i="8" s="1"/>
  <c r="AC964" i="8" s="1"/>
  <c r="AC965" i="8" s="1"/>
  <c r="AC966" i="8" s="1"/>
  <c r="AC967" i="8" s="1"/>
  <c r="AC968" i="8" s="1"/>
  <c r="AC969" i="8" s="1"/>
  <c r="AC970" i="8" s="1"/>
  <c r="AC971" i="8" s="1"/>
  <c r="AC972" i="8" s="1"/>
  <c r="AC973" i="8" s="1"/>
  <c r="AC974" i="8" s="1"/>
  <c r="AC975" i="8" s="1"/>
  <c r="AC976" i="8" s="1"/>
  <c r="AC977" i="8" s="1"/>
  <c r="AC978" i="8" s="1"/>
  <c r="AC979" i="8" s="1"/>
  <c r="AC980" i="8" s="1"/>
  <c r="AC981" i="8" s="1"/>
  <c r="AC982" i="8" s="1"/>
  <c r="AC983" i="8" s="1"/>
  <c r="AC984" i="8" s="1"/>
  <c r="AC985" i="8" s="1"/>
  <c r="AC986" i="8" s="1"/>
  <c r="AC987" i="8" s="1"/>
  <c r="AC988" i="8" s="1"/>
  <c r="AC989" i="8" s="1"/>
  <c r="AC990" i="8" s="1"/>
  <c r="AC991" i="8" s="1"/>
  <c r="AC992" i="8" s="1"/>
  <c r="AC993" i="8" s="1"/>
  <c r="AC994" i="8" s="1"/>
  <c r="AC995" i="8" s="1"/>
  <c r="AC996" i="8" s="1"/>
  <c r="AC997" i="8" s="1"/>
  <c r="AC998" i="8" s="1"/>
  <c r="AC999" i="8" s="1"/>
  <c r="AC1000" i="8" s="1"/>
  <c r="AC1001" i="8" s="1"/>
  <c r="AC1002" i="8" s="1"/>
  <c r="AC1003" i="8" s="1"/>
  <c r="AC1004" i="8" s="1"/>
  <c r="AC1005" i="8" s="1"/>
  <c r="AC1006" i="8" s="1"/>
  <c r="AC1007" i="8" s="1"/>
  <c r="AC1008" i="8" s="1"/>
  <c r="AC1009" i="8" s="1"/>
  <c r="AC1010" i="8" s="1"/>
  <c r="AC1011" i="8" s="1"/>
  <c r="AC1012" i="8" s="1"/>
  <c r="AC1013" i="8" s="1"/>
  <c r="AC1014" i="8" s="1"/>
  <c r="AC1015" i="8" s="1"/>
  <c r="AC1016" i="8" s="1"/>
  <c r="AC1017" i="8" s="1"/>
  <c r="AC1018" i="8" s="1"/>
  <c r="AC1019" i="8" s="1"/>
  <c r="AC1020" i="8" s="1"/>
  <c r="AC1021" i="8" s="1"/>
  <c r="AC1022" i="8" s="1"/>
  <c r="AC1023" i="8" s="1"/>
  <c r="AC1024" i="8" s="1"/>
  <c r="AC1025" i="8" s="1"/>
  <c r="AC1026" i="8" s="1"/>
  <c r="AC1027" i="8" s="1"/>
  <c r="AC1028" i="8" s="1"/>
  <c r="AC1029" i="8" s="1"/>
  <c r="AC1030" i="8" s="1"/>
  <c r="AC1031" i="8" s="1"/>
  <c r="AC1032" i="8" s="1"/>
  <c r="AC1033" i="8" s="1"/>
  <c r="AC1034" i="8" s="1"/>
  <c r="AC1035" i="8" s="1"/>
  <c r="AC1036" i="8" s="1"/>
  <c r="AC1037" i="8" s="1"/>
  <c r="AC1038" i="8" s="1"/>
  <c r="AC1039" i="8" s="1"/>
  <c r="AC1040" i="8" s="1"/>
  <c r="AC1041" i="8" s="1"/>
  <c r="AC1042" i="8" s="1"/>
  <c r="AC1043" i="8" s="1"/>
  <c r="AC1044" i="8" s="1"/>
  <c r="AC1045" i="8" s="1"/>
  <c r="AC1046" i="8" s="1"/>
  <c r="AC1047" i="8" s="1"/>
  <c r="AC1048" i="8" s="1"/>
  <c r="AC1049" i="8" s="1"/>
  <c r="AC1050" i="8" s="1"/>
  <c r="AC1051" i="8" s="1"/>
  <c r="AC1052" i="8" s="1"/>
  <c r="AC1053" i="8" s="1"/>
  <c r="AC1054" i="8" s="1"/>
  <c r="AC1055" i="8" s="1"/>
  <c r="AC1056" i="8" s="1"/>
  <c r="AC1057" i="8" s="1"/>
  <c r="AC1058" i="8" s="1"/>
  <c r="AC1059" i="8" s="1"/>
  <c r="AC1060" i="8" s="1"/>
  <c r="AB3" i="8"/>
  <c r="AB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AB211" i="8"/>
  <c r="AB212" i="8"/>
  <c r="AB213" i="8"/>
  <c r="AB214" i="8"/>
  <c r="AB215" i="8"/>
  <c r="AB216" i="8"/>
  <c r="AB217" i="8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257" i="8"/>
  <c r="AB258" i="8"/>
  <c r="AB259" i="8"/>
  <c r="AB260" i="8"/>
  <c r="AB261" i="8"/>
  <c r="AB262" i="8"/>
  <c r="AB263" i="8"/>
  <c r="AB264" i="8"/>
  <c r="AB265" i="8"/>
  <c r="AB266" i="8"/>
  <c r="AB267" i="8"/>
  <c r="AB268" i="8"/>
  <c r="AB269" i="8"/>
  <c r="AB270" i="8"/>
  <c r="AB271" i="8"/>
  <c r="AB272" i="8"/>
  <c r="AB273" i="8"/>
  <c r="AB274" i="8"/>
  <c r="AB275" i="8"/>
  <c r="AB276" i="8"/>
  <c r="AB277" i="8"/>
  <c r="AB278" i="8"/>
  <c r="AB279" i="8"/>
  <c r="AB280" i="8"/>
  <c r="AB281" i="8"/>
  <c r="AB282" i="8"/>
  <c r="AB283" i="8"/>
  <c r="AB284" i="8"/>
  <c r="AB285" i="8"/>
  <c r="AB286" i="8"/>
  <c r="AB287" i="8"/>
  <c r="AB288" i="8"/>
  <c r="AB289" i="8"/>
  <c r="AB290" i="8"/>
  <c r="AB291" i="8"/>
  <c r="AB292" i="8"/>
  <c r="AB293" i="8"/>
  <c r="AB294" i="8"/>
  <c r="AB295" i="8"/>
  <c r="AB296" i="8"/>
  <c r="AB297" i="8"/>
  <c r="AB298" i="8"/>
  <c r="AB299" i="8"/>
  <c r="AB300" i="8"/>
  <c r="AB301" i="8"/>
  <c r="AB302" i="8"/>
  <c r="AB303" i="8"/>
  <c r="AB304" i="8"/>
  <c r="AB305" i="8"/>
  <c r="AB306" i="8"/>
  <c r="AB307" i="8"/>
  <c r="AB308" i="8"/>
  <c r="AB309" i="8"/>
  <c r="AB310" i="8"/>
  <c r="AB311" i="8"/>
  <c r="AB312" i="8"/>
  <c r="AB313" i="8"/>
  <c r="AB314" i="8"/>
  <c r="AB315" i="8"/>
  <c r="AB316" i="8"/>
  <c r="AB317" i="8"/>
  <c r="AB318" i="8"/>
  <c r="AB319" i="8"/>
  <c r="AB320" i="8"/>
  <c r="AB321" i="8"/>
  <c r="AB322" i="8"/>
  <c r="AB323" i="8"/>
  <c r="AB324" i="8"/>
  <c r="AB325" i="8"/>
  <c r="AB326" i="8"/>
  <c r="AB327" i="8"/>
  <c r="AB328" i="8"/>
  <c r="AB329" i="8"/>
  <c r="AB330" i="8"/>
  <c r="AB331" i="8"/>
  <c r="AB332" i="8"/>
  <c r="AB333" i="8"/>
  <c r="AB334" i="8"/>
  <c r="AB335" i="8"/>
  <c r="AB336" i="8"/>
  <c r="AB337" i="8"/>
  <c r="AB338" i="8"/>
  <c r="AB339" i="8"/>
  <c r="AB340" i="8"/>
  <c r="AB341" i="8"/>
  <c r="AB342" i="8"/>
  <c r="AB343" i="8"/>
  <c r="AB344" i="8"/>
  <c r="AB345" i="8"/>
  <c r="AB346" i="8"/>
  <c r="AB347" i="8"/>
  <c r="AB348" i="8"/>
  <c r="AB349" i="8"/>
  <c r="AB350" i="8"/>
  <c r="AB351" i="8"/>
  <c r="AB352" i="8"/>
  <c r="AB353" i="8"/>
  <c r="AB354" i="8"/>
  <c r="AB355" i="8"/>
  <c r="AB356" i="8"/>
  <c r="AB357" i="8"/>
  <c r="AB358" i="8"/>
  <c r="AB359" i="8"/>
  <c r="AB360" i="8"/>
  <c r="AB361" i="8"/>
  <c r="AB362" i="8"/>
  <c r="AB363" i="8"/>
  <c r="AB364" i="8"/>
  <c r="AB365" i="8"/>
  <c r="AB366" i="8"/>
  <c r="AB367" i="8"/>
  <c r="AB368" i="8"/>
  <c r="AB369" i="8"/>
  <c r="AB370" i="8"/>
  <c r="AB371" i="8"/>
  <c r="AB372" i="8"/>
  <c r="AB373" i="8"/>
  <c r="AB374" i="8"/>
  <c r="AB375" i="8"/>
  <c r="AB376" i="8"/>
  <c r="AB377" i="8"/>
  <c r="AB378" i="8"/>
  <c r="AB379" i="8"/>
  <c r="AB380" i="8"/>
  <c r="AB381" i="8"/>
  <c r="AB382" i="8"/>
  <c r="AB383" i="8"/>
  <c r="AB384" i="8"/>
  <c r="AB385" i="8"/>
  <c r="AB386" i="8"/>
  <c r="AB387" i="8"/>
  <c r="AB388" i="8"/>
  <c r="AB389" i="8"/>
  <c r="AB390" i="8"/>
  <c r="AB391" i="8"/>
  <c r="AB392" i="8"/>
  <c r="AB393" i="8"/>
  <c r="AB394" i="8"/>
  <c r="AB395" i="8"/>
  <c r="AB396" i="8"/>
  <c r="AB397" i="8"/>
  <c r="AB398" i="8"/>
  <c r="AB399" i="8"/>
  <c r="AB400" i="8"/>
  <c r="AB401" i="8"/>
  <c r="AB402" i="8"/>
  <c r="AB403" i="8"/>
  <c r="AB404" i="8"/>
  <c r="AB405" i="8"/>
  <c r="AB406" i="8"/>
  <c r="AB407" i="8"/>
  <c r="AB408" i="8"/>
  <c r="AB409" i="8"/>
  <c r="AB410" i="8"/>
  <c r="AB411" i="8"/>
  <c r="AB412" i="8"/>
  <c r="AB413" i="8"/>
  <c r="AB414" i="8"/>
  <c r="AB415" i="8"/>
  <c r="AB416" i="8"/>
  <c r="AB417" i="8"/>
  <c r="AB418" i="8"/>
  <c r="AB419" i="8"/>
  <c r="AB420" i="8"/>
  <c r="AB421" i="8"/>
  <c r="AB422" i="8"/>
  <c r="AB423" i="8"/>
  <c r="AB424" i="8"/>
  <c r="AB425" i="8"/>
  <c r="AB426" i="8"/>
  <c r="AB427" i="8"/>
  <c r="AB428" i="8"/>
  <c r="AB429" i="8"/>
  <c r="AB430" i="8"/>
  <c r="AB431" i="8"/>
  <c r="AB432" i="8"/>
  <c r="AB433" i="8"/>
  <c r="AB434" i="8"/>
  <c r="AB435" i="8"/>
  <c r="AB436" i="8"/>
  <c r="AB437" i="8"/>
  <c r="AB438" i="8"/>
  <c r="AB439" i="8"/>
  <c r="AB440" i="8"/>
  <c r="AB441" i="8"/>
  <c r="AB442" i="8"/>
  <c r="AB443" i="8"/>
  <c r="AB444" i="8"/>
  <c r="AB445" i="8"/>
  <c r="AB446" i="8"/>
  <c r="AB447" i="8"/>
  <c r="AB448" i="8"/>
  <c r="AB449" i="8"/>
  <c r="AB450" i="8"/>
  <c r="AB451" i="8"/>
  <c r="AB452" i="8"/>
  <c r="AB453" i="8"/>
  <c r="AB454" i="8"/>
  <c r="AB455" i="8"/>
  <c r="AB456" i="8"/>
  <c r="AB457" i="8"/>
  <c r="AB458" i="8"/>
  <c r="AB459" i="8"/>
  <c r="AB460" i="8"/>
  <c r="AB461" i="8"/>
  <c r="AB462" i="8"/>
  <c r="AB463" i="8"/>
  <c r="AB464" i="8"/>
  <c r="AB465" i="8"/>
  <c r="AB466" i="8"/>
  <c r="AB467" i="8"/>
  <c r="AB468" i="8"/>
  <c r="AB469" i="8"/>
  <c r="AB470" i="8"/>
  <c r="AB471" i="8"/>
  <c r="AB472" i="8"/>
  <c r="AB473" i="8"/>
  <c r="AB474" i="8"/>
  <c r="AB475" i="8"/>
  <c r="AB476" i="8"/>
  <c r="AB477" i="8"/>
  <c r="AB478" i="8"/>
  <c r="AB479" i="8"/>
  <c r="AB480" i="8"/>
  <c r="AB481" i="8"/>
  <c r="AB482" i="8"/>
  <c r="AB483" i="8"/>
  <c r="AB484" i="8"/>
  <c r="AB485" i="8"/>
  <c r="AB486" i="8"/>
  <c r="AB487" i="8"/>
  <c r="AB488" i="8"/>
  <c r="AB489" i="8"/>
  <c r="AB490" i="8"/>
  <c r="AB491" i="8"/>
  <c r="AB492" i="8"/>
  <c r="AB493" i="8"/>
  <c r="AB494" i="8"/>
  <c r="AB495" i="8"/>
  <c r="AB496" i="8"/>
  <c r="AB497" i="8"/>
  <c r="AB498" i="8"/>
  <c r="AB499" i="8"/>
  <c r="AB500" i="8"/>
  <c r="AB501" i="8"/>
  <c r="AB502" i="8"/>
  <c r="AB503" i="8"/>
  <c r="AB504" i="8"/>
  <c r="AB505" i="8"/>
  <c r="AB506" i="8"/>
  <c r="AB507" i="8"/>
  <c r="AB508" i="8"/>
  <c r="AB509" i="8"/>
  <c r="AB510" i="8"/>
  <c r="AB511" i="8"/>
  <c r="AB512" i="8"/>
  <c r="AB513" i="8"/>
  <c r="AB514" i="8"/>
  <c r="AB515" i="8"/>
  <c r="AB516" i="8"/>
  <c r="AB517" i="8"/>
  <c r="AB518" i="8"/>
  <c r="AB519" i="8"/>
  <c r="AB520" i="8"/>
  <c r="AB521" i="8"/>
  <c r="AB522" i="8"/>
  <c r="AB523" i="8"/>
  <c r="AB524" i="8"/>
  <c r="AB525" i="8"/>
  <c r="AB526" i="8"/>
  <c r="AB527" i="8"/>
  <c r="AB528" i="8"/>
  <c r="AB529" i="8"/>
  <c r="AB530" i="8"/>
  <c r="AB531" i="8"/>
  <c r="AB532" i="8"/>
  <c r="AB533" i="8"/>
  <c r="AB534" i="8"/>
  <c r="AB535" i="8"/>
  <c r="AB536" i="8"/>
  <c r="AB537" i="8"/>
  <c r="AB538" i="8"/>
  <c r="AB539" i="8"/>
  <c r="AB540" i="8"/>
  <c r="AB541" i="8"/>
  <c r="AB542" i="8"/>
  <c r="AB543" i="8"/>
  <c r="AB544" i="8"/>
  <c r="AB545" i="8"/>
  <c r="AB546" i="8"/>
  <c r="AB547" i="8"/>
  <c r="AB548" i="8"/>
  <c r="AB549" i="8"/>
  <c r="AB550" i="8"/>
  <c r="AB551" i="8"/>
  <c r="AB552" i="8"/>
  <c r="AB553" i="8"/>
  <c r="AB554" i="8"/>
  <c r="AB555" i="8"/>
  <c r="AB556" i="8"/>
  <c r="AB557" i="8"/>
  <c r="AB558" i="8"/>
  <c r="AB559" i="8"/>
  <c r="AB560" i="8"/>
  <c r="AB561" i="8"/>
  <c r="AB562" i="8"/>
  <c r="AB563" i="8"/>
  <c r="AB564" i="8"/>
  <c r="AB565" i="8"/>
  <c r="AB566" i="8"/>
  <c r="AB567" i="8"/>
  <c r="AB568" i="8"/>
  <c r="AB569" i="8"/>
  <c r="AB570" i="8"/>
  <c r="AB571" i="8"/>
  <c r="AB572" i="8"/>
  <c r="AB573" i="8"/>
  <c r="AB574" i="8"/>
  <c r="AB575" i="8"/>
  <c r="AB576" i="8"/>
  <c r="AB577" i="8"/>
  <c r="AB578" i="8"/>
  <c r="AB579" i="8"/>
  <c r="AB580" i="8"/>
  <c r="AB581" i="8"/>
  <c r="AB582" i="8"/>
  <c r="AB583" i="8"/>
  <c r="AB584" i="8"/>
  <c r="AB585" i="8"/>
  <c r="AB586" i="8"/>
  <c r="AB587" i="8"/>
  <c r="AB588" i="8"/>
  <c r="AB589" i="8"/>
  <c r="AB590" i="8"/>
  <c r="AB591" i="8"/>
  <c r="AB592" i="8"/>
  <c r="AB593" i="8"/>
  <c r="AB594" i="8"/>
  <c r="AB595" i="8"/>
  <c r="AB596" i="8"/>
  <c r="AB597" i="8"/>
  <c r="AB598" i="8"/>
  <c r="AB599" i="8"/>
  <c r="AB600" i="8"/>
  <c r="AB601" i="8"/>
  <c r="AB602" i="8"/>
  <c r="AB603" i="8"/>
  <c r="AB604" i="8"/>
  <c r="AB605" i="8"/>
  <c r="AB606" i="8"/>
  <c r="AB607" i="8"/>
  <c r="AB608" i="8"/>
  <c r="AB609" i="8"/>
  <c r="AB610" i="8"/>
  <c r="AB611" i="8"/>
  <c r="AB612" i="8"/>
  <c r="AB613" i="8"/>
  <c r="AB614" i="8"/>
  <c r="AB615" i="8"/>
  <c r="AB616" i="8"/>
  <c r="AB617" i="8"/>
  <c r="AB618" i="8"/>
  <c r="AB619" i="8"/>
  <c r="AB620" i="8"/>
  <c r="AB621" i="8"/>
  <c r="AB622" i="8"/>
  <c r="AB623" i="8"/>
  <c r="AB624" i="8"/>
  <c r="AB625" i="8"/>
  <c r="AB626" i="8"/>
  <c r="AB627" i="8"/>
  <c r="AB628" i="8"/>
  <c r="AB629" i="8"/>
  <c r="AB630" i="8"/>
  <c r="AB631" i="8"/>
  <c r="AB632" i="8"/>
  <c r="AB633" i="8"/>
  <c r="AB634" i="8"/>
  <c r="AB635" i="8"/>
  <c r="AB636" i="8"/>
  <c r="AB637" i="8"/>
  <c r="AB638" i="8"/>
  <c r="AB639" i="8"/>
  <c r="AB640" i="8"/>
  <c r="AB641" i="8"/>
  <c r="AB642" i="8"/>
  <c r="AB643" i="8"/>
  <c r="AB644" i="8"/>
  <c r="AB645" i="8"/>
  <c r="AB646" i="8"/>
  <c r="AB647" i="8"/>
  <c r="AB648" i="8"/>
  <c r="AB649" i="8"/>
  <c r="AB650" i="8"/>
  <c r="AB651" i="8"/>
  <c r="AB652" i="8"/>
  <c r="AB653" i="8"/>
  <c r="AB654" i="8"/>
  <c r="AB655" i="8"/>
  <c r="AB656" i="8"/>
  <c r="AB657" i="8"/>
  <c r="AB658" i="8"/>
  <c r="AB659" i="8"/>
  <c r="AB660" i="8"/>
  <c r="AB661" i="8"/>
  <c r="AB662" i="8"/>
  <c r="AB663" i="8"/>
  <c r="AB664" i="8"/>
  <c r="AB665" i="8"/>
  <c r="AB666" i="8"/>
  <c r="AB667" i="8"/>
  <c r="AB668" i="8"/>
  <c r="AB669" i="8"/>
  <c r="AB670" i="8"/>
  <c r="AB671" i="8"/>
  <c r="AB672" i="8"/>
  <c r="AB673" i="8"/>
  <c r="AB674" i="8"/>
  <c r="AB675" i="8"/>
  <c r="AB676" i="8"/>
  <c r="AB677" i="8"/>
  <c r="AB678" i="8"/>
  <c r="AB679" i="8"/>
  <c r="AB680" i="8"/>
  <c r="AB681" i="8"/>
  <c r="AB682" i="8"/>
  <c r="AB683" i="8"/>
  <c r="AB684" i="8"/>
  <c r="AB685" i="8"/>
  <c r="AB686" i="8"/>
  <c r="AB687" i="8"/>
  <c r="AB688" i="8"/>
  <c r="AB689" i="8"/>
  <c r="AB690" i="8"/>
  <c r="AB691" i="8"/>
  <c r="AB692" i="8"/>
  <c r="AB693" i="8"/>
  <c r="AB694" i="8"/>
  <c r="AB695" i="8"/>
  <c r="AB696" i="8"/>
  <c r="AB697" i="8"/>
  <c r="AB698" i="8"/>
  <c r="AB699" i="8"/>
  <c r="AB700" i="8"/>
  <c r="AB701" i="8"/>
  <c r="AB702" i="8"/>
  <c r="AB703" i="8"/>
  <c r="AB704" i="8"/>
  <c r="AB705" i="8"/>
  <c r="AB706" i="8"/>
  <c r="AB707" i="8"/>
  <c r="AB708" i="8"/>
  <c r="AB709" i="8"/>
  <c r="AB710" i="8"/>
  <c r="AB711" i="8"/>
  <c r="AB712" i="8"/>
  <c r="AB713" i="8"/>
  <c r="AB714" i="8"/>
  <c r="AB715" i="8"/>
  <c r="AB716" i="8"/>
  <c r="AB717" i="8"/>
  <c r="AB718" i="8"/>
  <c r="AB719" i="8"/>
  <c r="AB720" i="8"/>
  <c r="AB721" i="8"/>
  <c r="AB722" i="8"/>
  <c r="AB723" i="8"/>
  <c r="AB724" i="8"/>
  <c r="AB725" i="8"/>
  <c r="AB726" i="8"/>
  <c r="AB727" i="8"/>
  <c r="AB728" i="8"/>
  <c r="AB729" i="8"/>
  <c r="AB730" i="8"/>
  <c r="AB731" i="8"/>
  <c r="AB732" i="8"/>
  <c r="AB733" i="8"/>
  <c r="AB734" i="8"/>
  <c r="AB735" i="8"/>
  <c r="AB736" i="8"/>
  <c r="AB737" i="8"/>
  <c r="AB738" i="8"/>
  <c r="AB739" i="8"/>
  <c r="AB740" i="8"/>
  <c r="AB741" i="8"/>
  <c r="AB742" i="8"/>
  <c r="AB743" i="8"/>
  <c r="AB744" i="8"/>
  <c r="AB745" i="8"/>
  <c r="AB746" i="8"/>
  <c r="AB747" i="8"/>
  <c r="AB748" i="8"/>
  <c r="AB749" i="8"/>
  <c r="AB750" i="8"/>
  <c r="AB751" i="8"/>
  <c r="AB752" i="8"/>
  <c r="AB753" i="8"/>
  <c r="AB754" i="8"/>
  <c r="AB755" i="8"/>
  <c r="AB756" i="8"/>
  <c r="AB757" i="8"/>
  <c r="AB758" i="8"/>
  <c r="AB759" i="8"/>
  <c r="AB760" i="8"/>
  <c r="AB761" i="8"/>
  <c r="AB762" i="8"/>
  <c r="AB763" i="8"/>
  <c r="AB764" i="8"/>
  <c r="AB765" i="8"/>
  <c r="AB766" i="8"/>
  <c r="AB767" i="8"/>
  <c r="AB768" i="8"/>
  <c r="AB769" i="8"/>
  <c r="AB770" i="8"/>
  <c r="AB771" i="8"/>
  <c r="AB772" i="8"/>
  <c r="AB773" i="8"/>
  <c r="AB774" i="8"/>
  <c r="AB775" i="8"/>
  <c r="AB776" i="8"/>
  <c r="AB777" i="8"/>
  <c r="AB778" i="8"/>
  <c r="AB779" i="8"/>
  <c r="AB780" i="8"/>
  <c r="AB781" i="8"/>
  <c r="AB782" i="8"/>
  <c r="AB783" i="8"/>
  <c r="AB784" i="8"/>
  <c r="AB785" i="8"/>
  <c r="AB786" i="8"/>
  <c r="AB787" i="8"/>
  <c r="AB788" i="8"/>
  <c r="AB789" i="8"/>
  <c r="AB790" i="8"/>
  <c r="AB791" i="8"/>
  <c r="AB792" i="8"/>
  <c r="AB793" i="8"/>
  <c r="AB794" i="8"/>
  <c r="AB795" i="8"/>
  <c r="AB796" i="8"/>
  <c r="AB797" i="8"/>
  <c r="AB798" i="8"/>
  <c r="AB799" i="8"/>
  <c r="AB800" i="8"/>
  <c r="AB801" i="8"/>
  <c r="AB802" i="8"/>
  <c r="AB803" i="8"/>
  <c r="AB804" i="8"/>
  <c r="AB805" i="8"/>
  <c r="AB806" i="8"/>
  <c r="AB807" i="8"/>
  <c r="AB808" i="8"/>
  <c r="AB809" i="8"/>
  <c r="AB810" i="8"/>
  <c r="AB811" i="8"/>
  <c r="AB812" i="8"/>
  <c r="AB813" i="8"/>
  <c r="AB814" i="8"/>
  <c r="AB815" i="8"/>
  <c r="AB816" i="8"/>
  <c r="AB817" i="8"/>
  <c r="AB818" i="8"/>
  <c r="AB819" i="8"/>
  <c r="AB820" i="8"/>
  <c r="AB821" i="8"/>
  <c r="AB822" i="8"/>
  <c r="AB823" i="8"/>
  <c r="AB824" i="8"/>
  <c r="AB825" i="8"/>
  <c r="AB826" i="8"/>
  <c r="AB827" i="8"/>
  <c r="AB828" i="8"/>
  <c r="AB829" i="8"/>
  <c r="AB830" i="8"/>
  <c r="AB831" i="8"/>
  <c r="AB832" i="8"/>
  <c r="AB833" i="8"/>
  <c r="AB834" i="8"/>
  <c r="AB835" i="8"/>
  <c r="AB836" i="8"/>
  <c r="AB837" i="8"/>
  <c r="AB838" i="8"/>
  <c r="AB839" i="8"/>
  <c r="AB840" i="8"/>
  <c r="AB841" i="8"/>
  <c r="AB842" i="8"/>
  <c r="AB843" i="8"/>
  <c r="AB844" i="8"/>
  <c r="AB845" i="8"/>
  <c r="AB846" i="8"/>
  <c r="AB847" i="8"/>
  <c r="AB848" i="8"/>
  <c r="AB849" i="8"/>
  <c r="AB850" i="8"/>
  <c r="AB851" i="8"/>
  <c r="AB852" i="8"/>
  <c r="AB853" i="8"/>
  <c r="AB854" i="8"/>
  <c r="AB855" i="8"/>
  <c r="AB856" i="8"/>
  <c r="AB857" i="8"/>
  <c r="AB858" i="8"/>
  <c r="AB859" i="8"/>
  <c r="AB860" i="8"/>
  <c r="AB861" i="8"/>
  <c r="AB862" i="8"/>
  <c r="AB863" i="8"/>
  <c r="AB864" i="8"/>
  <c r="AB865" i="8"/>
  <c r="AB866" i="8"/>
  <c r="AB867" i="8"/>
  <c r="AB868" i="8"/>
  <c r="AB869" i="8"/>
  <c r="AB870" i="8"/>
  <c r="AB871" i="8"/>
  <c r="AB872" i="8"/>
  <c r="AB873" i="8"/>
  <c r="AB874" i="8"/>
  <c r="AB875" i="8"/>
  <c r="AB876" i="8"/>
  <c r="AB877" i="8"/>
  <c r="AB878" i="8"/>
  <c r="AB879" i="8"/>
  <c r="AB880" i="8"/>
  <c r="AB881" i="8"/>
  <c r="AB882" i="8"/>
  <c r="AB883" i="8"/>
  <c r="AB884" i="8"/>
  <c r="AB885" i="8"/>
  <c r="AB886" i="8"/>
  <c r="AB887" i="8"/>
  <c r="AB888" i="8"/>
  <c r="AB889" i="8"/>
  <c r="AB890" i="8"/>
  <c r="AB891" i="8"/>
  <c r="AB892" i="8"/>
  <c r="AB893" i="8"/>
  <c r="AB894" i="8"/>
  <c r="AB895" i="8"/>
  <c r="AB896" i="8"/>
  <c r="AB897" i="8"/>
  <c r="AB898" i="8"/>
  <c r="AB899" i="8"/>
  <c r="AB900" i="8"/>
  <c r="AB901" i="8"/>
  <c r="AB902" i="8"/>
  <c r="AB903" i="8"/>
  <c r="AB904" i="8"/>
  <c r="AB905" i="8"/>
  <c r="AB906" i="8"/>
  <c r="AB907" i="8"/>
  <c r="AB908" i="8"/>
  <c r="AB909" i="8"/>
  <c r="AB910" i="8"/>
  <c r="AB911" i="8"/>
  <c r="AB912" i="8"/>
  <c r="AB913" i="8"/>
  <c r="AB914" i="8"/>
  <c r="AB915" i="8"/>
  <c r="AB916" i="8"/>
  <c r="AB917" i="8"/>
  <c r="AB918" i="8"/>
  <c r="AB919" i="8"/>
  <c r="AB920" i="8"/>
  <c r="AB921" i="8"/>
  <c r="AB922" i="8"/>
  <c r="AB923" i="8"/>
  <c r="AB924" i="8"/>
  <c r="AB925" i="8"/>
  <c r="AB926" i="8"/>
  <c r="AB927" i="8"/>
  <c r="AB928" i="8"/>
  <c r="AB929" i="8"/>
  <c r="AB930" i="8"/>
  <c r="AB931" i="8"/>
  <c r="AB932" i="8"/>
  <c r="AB933" i="8"/>
  <c r="AB934" i="8"/>
  <c r="AB935" i="8"/>
  <c r="AB936" i="8"/>
  <c r="AB937" i="8"/>
  <c r="AB938" i="8"/>
  <c r="AB939" i="8"/>
  <c r="AB940" i="8"/>
  <c r="AB941" i="8"/>
  <c r="AB942" i="8"/>
  <c r="AB943" i="8"/>
  <c r="AB944" i="8"/>
  <c r="AB945" i="8"/>
  <c r="AB946" i="8"/>
  <c r="AB947" i="8"/>
  <c r="AB948" i="8"/>
  <c r="AB949" i="8"/>
  <c r="AB950" i="8"/>
  <c r="AB951" i="8"/>
  <c r="AB952" i="8"/>
  <c r="AB953" i="8"/>
  <c r="AB954" i="8"/>
  <c r="AB955" i="8"/>
  <c r="AB956" i="8"/>
  <c r="AB957" i="8"/>
  <c r="AB958" i="8"/>
  <c r="AB959" i="8"/>
  <c r="AB960" i="8"/>
  <c r="AB961" i="8"/>
  <c r="AB962" i="8"/>
  <c r="AB963" i="8"/>
  <c r="AB964" i="8"/>
  <c r="AB965" i="8"/>
  <c r="AB966" i="8"/>
  <c r="AB967" i="8"/>
  <c r="AB968" i="8"/>
  <c r="AB969" i="8"/>
  <c r="AB970" i="8"/>
  <c r="AB971" i="8"/>
  <c r="AB972" i="8"/>
  <c r="AB973" i="8"/>
  <c r="AB974" i="8"/>
  <c r="AB975" i="8"/>
  <c r="AB976" i="8"/>
  <c r="AB977" i="8"/>
  <c r="AB978" i="8"/>
  <c r="AB979" i="8"/>
  <c r="AB980" i="8"/>
  <c r="AB981" i="8"/>
  <c r="AB982" i="8"/>
  <c r="AB983" i="8"/>
  <c r="AB984" i="8"/>
  <c r="AB985" i="8"/>
  <c r="AB986" i="8"/>
  <c r="AB987" i="8"/>
  <c r="AB988" i="8"/>
  <c r="AB989" i="8"/>
  <c r="AB990" i="8"/>
  <c r="AB991" i="8"/>
  <c r="AB992" i="8"/>
  <c r="AB993" i="8"/>
  <c r="AB994" i="8"/>
  <c r="AB995" i="8"/>
  <c r="AB996" i="8"/>
  <c r="AB997" i="8"/>
  <c r="AB998" i="8"/>
  <c r="AB999" i="8"/>
  <c r="AB1000" i="8"/>
  <c r="AB1001" i="8"/>
  <c r="AB1002" i="8"/>
  <c r="AB1003" i="8"/>
  <c r="AB1004" i="8"/>
  <c r="AB1005" i="8"/>
  <c r="AB1006" i="8"/>
  <c r="AB1007" i="8"/>
  <c r="AB1008" i="8"/>
  <c r="AB1009" i="8"/>
  <c r="AB1010" i="8"/>
  <c r="AB1011" i="8"/>
  <c r="AB1012" i="8"/>
  <c r="AB1013" i="8"/>
  <c r="AB1014" i="8"/>
  <c r="AB1015" i="8"/>
  <c r="AB1016" i="8"/>
  <c r="AB1017" i="8"/>
  <c r="AB1018" i="8"/>
  <c r="AB1019" i="8"/>
  <c r="AB1020" i="8"/>
  <c r="AB1021" i="8"/>
  <c r="AB1022" i="8"/>
  <c r="AB1023" i="8"/>
  <c r="AB1024" i="8"/>
  <c r="AB1025" i="8"/>
  <c r="AB1026" i="8"/>
  <c r="AB1027" i="8"/>
  <c r="AB1028" i="8"/>
  <c r="AB1029" i="8"/>
  <c r="AB1030" i="8"/>
  <c r="AB1031" i="8"/>
  <c r="AB1032" i="8"/>
  <c r="AB1033" i="8"/>
  <c r="AB1034" i="8"/>
  <c r="AB1035" i="8"/>
  <c r="AB1036" i="8"/>
  <c r="AB1037" i="8"/>
  <c r="AB1038" i="8"/>
  <c r="AB1039" i="8"/>
  <c r="AB1040" i="8"/>
  <c r="AB1041" i="8"/>
  <c r="AB1042" i="8"/>
  <c r="AB1043" i="8"/>
  <c r="AB1044" i="8"/>
  <c r="AB1045" i="8"/>
  <c r="AB1046" i="8"/>
  <c r="AB1047" i="8"/>
  <c r="AB1048" i="8"/>
  <c r="AB1049" i="8"/>
  <c r="AB1050" i="8"/>
  <c r="AB1051" i="8"/>
  <c r="AB1052" i="8"/>
  <c r="AB1053" i="8"/>
  <c r="AB1054" i="8"/>
  <c r="AB1055" i="8"/>
  <c r="AB1056" i="8"/>
  <c r="AB1057" i="8"/>
  <c r="AB1058" i="8"/>
  <c r="AB1059" i="8"/>
  <c r="AB1060" i="8"/>
  <c r="G2" i="8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G483" i="8" s="1"/>
  <c r="G484" i="8" s="1"/>
  <c r="G485" i="8" s="1"/>
  <c r="G486" i="8" s="1"/>
  <c r="G487" i="8" s="1"/>
  <c r="G488" i="8" s="1"/>
  <c r="G489" i="8" s="1"/>
  <c r="G490" i="8" s="1"/>
  <c r="G491" i="8" s="1"/>
  <c r="G492" i="8" s="1"/>
  <c r="G493" i="8" s="1"/>
  <c r="G494" i="8" s="1"/>
  <c r="G495" i="8" s="1"/>
  <c r="G496" i="8" s="1"/>
  <c r="G497" i="8" s="1"/>
  <c r="G498" i="8" s="1"/>
  <c r="G499" i="8" s="1"/>
  <c r="G500" i="8" s="1"/>
  <c r="G501" i="8" s="1"/>
  <c r="G502" i="8" s="1"/>
  <c r="G503" i="8" s="1"/>
  <c r="G504" i="8" s="1"/>
  <c r="G505" i="8" s="1"/>
  <c r="G506" i="8" s="1"/>
  <c r="G507" i="8" s="1"/>
  <c r="G508" i="8" s="1"/>
  <c r="G509" i="8" s="1"/>
  <c r="G510" i="8" s="1"/>
  <c r="G511" i="8" s="1"/>
  <c r="G512" i="8" s="1"/>
  <c r="G513" i="8" s="1"/>
  <c r="G514" i="8" s="1"/>
  <c r="G515" i="8" s="1"/>
  <c r="G516" i="8" s="1"/>
  <c r="G517" i="8" s="1"/>
  <c r="G518" i="8" s="1"/>
  <c r="G519" i="8" s="1"/>
  <c r="G520" i="8" s="1"/>
  <c r="G521" i="8" s="1"/>
  <c r="G522" i="8" s="1"/>
  <c r="G523" i="8" s="1"/>
  <c r="G524" i="8" s="1"/>
  <c r="G525" i="8" s="1"/>
  <c r="G526" i="8" s="1"/>
  <c r="G527" i="8" s="1"/>
  <c r="G528" i="8" s="1"/>
  <c r="G529" i="8" s="1"/>
  <c r="G530" i="8" s="1"/>
  <c r="G531" i="8" s="1"/>
  <c r="G532" i="8" s="1"/>
  <c r="G533" i="8" s="1"/>
  <c r="G534" i="8" s="1"/>
  <c r="G535" i="8" s="1"/>
  <c r="G536" i="8" s="1"/>
  <c r="G537" i="8" s="1"/>
  <c r="G538" i="8" s="1"/>
  <c r="G539" i="8" s="1"/>
  <c r="G540" i="8" s="1"/>
  <c r="G541" i="8" s="1"/>
  <c r="G542" i="8" s="1"/>
  <c r="G543" i="8" s="1"/>
  <c r="G544" i="8" s="1"/>
  <c r="G545" i="8" s="1"/>
  <c r="G546" i="8" s="1"/>
  <c r="G547" i="8" s="1"/>
  <c r="G548" i="8" s="1"/>
  <c r="G549" i="8" s="1"/>
  <c r="G550" i="8" s="1"/>
  <c r="G551" i="8" s="1"/>
  <c r="G552" i="8" s="1"/>
  <c r="G553" i="8" s="1"/>
  <c r="G554" i="8" s="1"/>
  <c r="G555" i="8" s="1"/>
  <c r="G556" i="8" s="1"/>
  <c r="G557" i="8" s="1"/>
  <c r="G558" i="8" s="1"/>
  <c r="G559" i="8" s="1"/>
  <c r="G560" i="8" s="1"/>
  <c r="G561" i="8" s="1"/>
  <c r="G562" i="8" s="1"/>
  <c r="G563" i="8" s="1"/>
  <c r="G564" i="8" s="1"/>
  <c r="G565" i="8" s="1"/>
  <c r="G566" i="8" s="1"/>
  <c r="G567" i="8" s="1"/>
  <c r="G568" i="8" s="1"/>
  <c r="G569" i="8" s="1"/>
  <c r="G570" i="8" s="1"/>
  <c r="G571" i="8" s="1"/>
  <c r="G572" i="8" s="1"/>
  <c r="G573" i="8" s="1"/>
  <c r="G574" i="8" s="1"/>
  <c r="G575" i="8" s="1"/>
  <c r="G576" i="8" s="1"/>
  <c r="G577" i="8" s="1"/>
  <c r="G578" i="8" s="1"/>
  <c r="G579" i="8" s="1"/>
  <c r="G580" i="8" s="1"/>
  <c r="G581" i="8" s="1"/>
  <c r="G582" i="8" s="1"/>
  <c r="G583" i="8" s="1"/>
  <c r="G584" i="8" s="1"/>
  <c r="G585" i="8" s="1"/>
  <c r="G586" i="8" s="1"/>
  <c r="G587" i="8" s="1"/>
  <c r="G588" i="8" s="1"/>
  <c r="G589" i="8" s="1"/>
  <c r="G590" i="8" s="1"/>
  <c r="G591" i="8" s="1"/>
  <c r="G592" i="8" s="1"/>
  <c r="G593" i="8" s="1"/>
  <c r="G594" i="8" s="1"/>
  <c r="G595" i="8" s="1"/>
  <c r="G596" i="8" s="1"/>
  <c r="G597" i="8" s="1"/>
  <c r="G598" i="8" s="1"/>
  <c r="G599" i="8" s="1"/>
  <c r="G600" i="8" s="1"/>
  <c r="G601" i="8" s="1"/>
  <c r="G602" i="8" s="1"/>
  <c r="G603" i="8" s="1"/>
  <c r="G604" i="8" s="1"/>
  <c r="G605" i="8" s="1"/>
  <c r="G606" i="8" s="1"/>
  <c r="G607" i="8" s="1"/>
  <c r="G608" i="8" s="1"/>
  <c r="G609" i="8" s="1"/>
  <c r="G610" i="8" s="1"/>
  <c r="G611" i="8" s="1"/>
  <c r="G612" i="8" s="1"/>
  <c r="G613" i="8" s="1"/>
  <c r="G614" i="8" s="1"/>
  <c r="G615" i="8" s="1"/>
  <c r="G616" i="8" s="1"/>
  <c r="G617" i="8" s="1"/>
  <c r="G618" i="8" s="1"/>
  <c r="G619" i="8" s="1"/>
  <c r="G620" i="8" s="1"/>
  <c r="G621" i="8" s="1"/>
  <c r="G622" i="8" s="1"/>
  <c r="G623" i="8" s="1"/>
  <c r="G624" i="8" s="1"/>
  <c r="G625" i="8" s="1"/>
  <c r="G626" i="8" s="1"/>
  <c r="G627" i="8" s="1"/>
  <c r="G628" i="8" s="1"/>
  <c r="G629" i="8" s="1"/>
  <c r="G630" i="8" s="1"/>
  <c r="G631" i="8" s="1"/>
  <c r="G632" i="8" s="1"/>
  <c r="G633" i="8" s="1"/>
  <c r="G634" i="8" s="1"/>
  <c r="G635" i="8" s="1"/>
  <c r="G636" i="8" s="1"/>
  <c r="G637" i="8" s="1"/>
  <c r="G638" i="8" s="1"/>
  <c r="G639" i="8" s="1"/>
  <c r="G640" i="8" s="1"/>
  <c r="G641" i="8" s="1"/>
  <c r="G642" i="8" s="1"/>
  <c r="G643" i="8" s="1"/>
  <c r="G644" i="8" s="1"/>
  <c r="G645" i="8" s="1"/>
  <c r="G646" i="8" s="1"/>
  <c r="G647" i="8" s="1"/>
  <c r="G648" i="8" s="1"/>
  <c r="G649" i="8" s="1"/>
  <c r="G650" i="8" s="1"/>
  <c r="G651" i="8" s="1"/>
  <c r="G652" i="8" s="1"/>
  <c r="G653" i="8" s="1"/>
  <c r="G654" i="8" s="1"/>
  <c r="G655" i="8" s="1"/>
  <c r="G656" i="8" s="1"/>
  <c r="G657" i="8" s="1"/>
  <c r="G658" i="8" s="1"/>
  <c r="G659" i="8" s="1"/>
  <c r="G660" i="8" s="1"/>
  <c r="G661" i="8" s="1"/>
  <c r="G662" i="8" s="1"/>
  <c r="G663" i="8" s="1"/>
  <c r="G664" i="8" s="1"/>
  <c r="G665" i="8" s="1"/>
  <c r="G666" i="8" s="1"/>
  <c r="G667" i="8" s="1"/>
  <c r="G668" i="8" s="1"/>
  <c r="G669" i="8" s="1"/>
  <c r="G670" i="8" s="1"/>
  <c r="G671" i="8" s="1"/>
  <c r="G672" i="8" s="1"/>
  <c r="G673" i="8" s="1"/>
  <c r="G674" i="8" s="1"/>
  <c r="G675" i="8" s="1"/>
  <c r="G676" i="8" s="1"/>
  <c r="G677" i="8" s="1"/>
  <c r="G678" i="8" s="1"/>
  <c r="G679" i="8" s="1"/>
  <c r="G680" i="8" s="1"/>
  <c r="G681" i="8" s="1"/>
  <c r="G682" i="8" s="1"/>
  <c r="G683" i="8" s="1"/>
  <c r="G684" i="8" s="1"/>
  <c r="G685" i="8" s="1"/>
  <c r="G686" i="8" s="1"/>
  <c r="G687" i="8" s="1"/>
  <c r="G688" i="8" s="1"/>
  <c r="G689" i="8" s="1"/>
  <c r="G690" i="8" s="1"/>
  <c r="G691" i="8" s="1"/>
  <c r="G692" i="8" s="1"/>
  <c r="G693" i="8" s="1"/>
  <c r="G694" i="8" s="1"/>
  <c r="G695" i="8" s="1"/>
  <c r="G696" i="8" s="1"/>
  <c r="G697" i="8" s="1"/>
  <c r="G698" i="8" s="1"/>
  <c r="G699" i="8" s="1"/>
  <c r="G700" i="8" s="1"/>
  <c r="G701" i="8" s="1"/>
  <c r="G702" i="8" s="1"/>
  <c r="G703" i="8" s="1"/>
  <c r="G704" i="8" s="1"/>
  <c r="G705" i="8" s="1"/>
  <c r="G706" i="8" s="1"/>
  <c r="G707" i="8" s="1"/>
  <c r="G708" i="8" s="1"/>
  <c r="G709" i="8" s="1"/>
  <c r="G710" i="8" s="1"/>
  <c r="G711" i="8" s="1"/>
  <c r="G712" i="8" s="1"/>
  <c r="G713" i="8" s="1"/>
  <c r="G714" i="8" s="1"/>
  <c r="G715" i="8" s="1"/>
  <c r="G716" i="8" s="1"/>
  <c r="G717" i="8" s="1"/>
  <c r="G718" i="8" s="1"/>
  <c r="G719" i="8" s="1"/>
  <c r="G720" i="8" s="1"/>
  <c r="G721" i="8" s="1"/>
  <c r="G722" i="8" s="1"/>
  <c r="G723" i="8" s="1"/>
  <c r="G724" i="8" s="1"/>
  <c r="G725" i="8" s="1"/>
  <c r="G726" i="8" s="1"/>
  <c r="G727" i="8" s="1"/>
  <c r="G728" i="8" s="1"/>
  <c r="G729" i="8" s="1"/>
  <c r="G730" i="8" s="1"/>
  <c r="G731" i="8" s="1"/>
  <c r="G732" i="8" s="1"/>
  <c r="G733" i="8" s="1"/>
  <c r="G734" i="8" s="1"/>
  <c r="G735" i="8" s="1"/>
  <c r="G736" i="8" s="1"/>
  <c r="G737" i="8" s="1"/>
  <c r="G738" i="8" s="1"/>
  <c r="G739" i="8" s="1"/>
  <c r="G740" i="8" s="1"/>
  <c r="G741" i="8" s="1"/>
  <c r="G742" i="8" s="1"/>
  <c r="G743" i="8" s="1"/>
  <c r="G744" i="8" s="1"/>
  <c r="G745" i="8" s="1"/>
  <c r="G746" i="8" s="1"/>
  <c r="G747" i="8" s="1"/>
  <c r="G748" i="8" s="1"/>
  <c r="G749" i="8" s="1"/>
  <c r="G750" i="8" s="1"/>
  <c r="G751" i="8" s="1"/>
  <c r="G752" i="8" s="1"/>
  <c r="G753" i="8" s="1"/>
  <c r="G754" i="8" s="1"/>
  <c r="G755" i="8" s="1"/>
  <c r="G756" i="8" s="1"/>
  <c r="G757" i="8" s="1"/>
  <c r="G758" i="8" s="1"/>
  <c r="G759" i="8" s="1"/>
  <c r="G760" i="8" s="1"/>
  <c r="G761" i="8" s="1"/>
  <c r="G762" i="8" s="1"/>
  <c r="G763" i="8" s="1"/>
  <c r="G764" i="8" s="1"/>
  <c r="G765" i="8" s="1"/>
  <c r="G766" i="8" s="1"/>
  <c r="G767" i="8" s="1"/>
  <c r="G768" i="8" s="1"/>
  <c r="G769" i="8" s="1"/>
  <c r="G770" i="8" s="1"/>
  <c r="G771" i="8" s="1"/>
  <c r="G772" i="8" s="1"/>
  <c r="G773" i="8" s="1"/>
  <c r="G774" i="8" s="1"/>
  <c r="G775" i="8" s="1"/>
  <c r="G776" i="8" s="1"/>
  <c r="G777" i="8" s="1"/>
  <c r="G778" i="8" s="1"/>
  <c r="G779" i="8" s="1"/>
  <c r="G780" i="8" s="1"/>
  <c r="G781" i="8" s="1"/>
  <c r="G782" i="8" s="1"/>
  <c r="G783" i="8" s="1"/>
  <c r="G784" i="8" s="1"/>
  <c r="G785" i="8" s="1"/>
  <c r="G786" i="8" s="1"/>
  <c r="G787" i="8" s="1"/>
  <c r="G788" i="8" s="1"/>
  <c r="G789" i="8" s="1"/>
  <c r="G790" i="8" s="1"/>
  <c r="G791" i="8" s="1"/>
  <c r="G792" i="8" s="1"/>
  <c r="G793" i="8" s="1"/>
  <c r="G794" i="8" s="1"/>
  <c r="G795" i="8" s="1"/>
  <c r="G796" i="8" s="1"/>
  <c r="G797" i="8" s="1"/>
  <c r="G798" i="8" s="1"/>
  <c r="G799" i="8" s="1"/>
  <c r="G800" i="8" s="1"/>
  <c r="G801" i="8" s="1"/>
  <c r="G802" i="8" s="1"/>
  <c r="G803" i="8" s="1"/>
  <c r="G804" i="8" s="1"/>
  <c r="G805" i="8" s="1"/>
  <c r="G806" i="8" s="1"/>
  <c r="G807" i="8" s="1"/>
  <c r="G808" i="8" s="1"/>
  <c r="G809" i="8" s="1"/>
  <c r="G810" i="8" s="1"/>
  <c r="G811" i="8" s="1"/>
  <c r="G812" i="8" s="1"/>
  <c r="G813" i="8" s="1"/>
  <c r="G814" i="8" s="1"/>
  <c r="G815" i="8" s="1"/>
  <c r="G816" i="8" s="1"/>
  <c r="G817" i="8" s="1"/>
  <c r="G818" i="8" s="1"/>
  <c r="G819" i="8" s="1"/>
  <c r="G820" i="8" s="1"/>
  <c r="G821" i="8" s="1"/>
  <c r="G822" i="8" s="1"/>
  <c r="G823" i="8" s="1"/>
  <c r="G824" i="8" s="1"/>
  <c r="G825" i="8" s="1"/>
  <c r="G826" i="8" s="1"/>
  <c r="G827" i="8" s="1"/>
  <c r="G828" i="8" s="1"/>
  <c r="G829" i="8" s="1"/>
  <c r="G830" i="8" s="1"/>
  <c r="G831" i="8" s="1"/>
  <c r="G832" i="8" s="1"/>
  <c r="G833" i="8" s="1"/>
  <c r="G834" i="8" s="1"/>
  <c r="G835" i="8" s="1"/>
  <c r="G836" i="8" s="1"/>
  <c r="G837" i="8" s="1"/>
  <c r="G838" i="8" s="1"/>
  <c r="G839" i="8" s="1"/>
  <c r="G840" i="8" s="1"/>
  <c r="G841" i="8" s="1"/>
  <c r="G842" i="8" s="1"/>
  <c r="G843" i="8" s="1"/>
  <c r="G844" i="8" s="1"/>
  <c r="G845" i="8" s="1"/>
  <c r="G846" i="8" s="1"/>
  <c r="G847" i="8" s="1"/>
  <c r="G848" i="8" s="1"/>
  <c r="G849" i="8" s="1"/>
  <c r="G850" i="8" s="1"/>
  <c r="G851" i="8" s="1"/>
  <c r="G852" i="8" s="1"/>
  <c r="G853" i="8" s="1"/>
  <c r="G854" i="8" s="1"/>
  <c r="G855" i="8" s="1"/>
  <c r="G856" i="8" s="1"/>
  <c r="G857" i="8" s="1"/>
  <c r="G858" i="8" s="1"/>
  <c r="G859" i="8" s="1"/>
  <c r="G860" i="8" s="1"/>
  <c r="G861" i="8" s="1"/>
  <c r="G862" i="8" s="1"/>
  <c r="G863" i="8" s="1"/>
  <c r="G864" i="8" s="1"/>
  <c r="G865" i="8" s="1"/>
  <c r="G866" i="8" s="1"/>
  <c r="G867" i="8" s="1"/>
  <c r="G868" i="8" s="1"/>
  <c r="G869" i="8" s="1"/>
  <c r="G870" i="8" s="1"/>
  <c r="G871" i="8" s="1"/>
  <c r="G872" i="8" s="1"/>
  <c r="G873" i="8" s="1"/>
  <c r="G874" i="8" s="1"/>
  <c r="G875" i="8" s="1"/>
  <c r="G876" i="8" s="1"/>
  <c r="G877" i="8" s="1"/>
  <c r="G878" i="8" s="1"/>
  <c r="G879" i="8" s="1"/>
  <c r="G880" i="8" s="1"/>
  <c r="G881" i="8" s="1"/>
  <c r="G882" i="8" s="1"/>
  <c r="G883" i="8" s="1"/>
  <c r="G884" i="8" s="1"/>
  <c r="G885" i="8" s="1"/>
  <c r="G886" i="8" s="1"/>
  <c r="G887" i="8" s="1"/>
  <c r="G888" i="8" s="1"/>
  <c r="G889" i="8" s="1"/>
  <c r="G890" i="8" s="1"/>
  <c r="G891" i="8" s="1"/>
  <c r="G892" i="8" s="1"/>
  <c r="G893" i="8" s="1"/>
  <c r="G894" i="8" s="1"/>
  <c r="G895" i="8" s="1"/>
  <c r="G896" i="8" s="1"/>
  <c r="G897" i="8" s="1"/>
  <c r="G898" i="8" s="1"/>
  <c r="G899" i="8" s="1"/>
  <c r="G900" i="8" s="1"/>
  <c r="G901" i="8" s="1"/>
  <c r="G902" i="8" s="1"/>
  <c r="G903" i="8" s="1"/>
  <c r="G904" i="8" s="1"/>
  <c r="G905" i="8" s="1"/>
  <c r="G906" i="8" s="1"/>
  <c r="G907" i="8" s="1"/>
  <c r="G908" i="8" s="1"/>
  <c r="G909" i="8" s="1"/>
  <c r="G910" i="8" s="1"/>
  <c r="G911" i="8" s="1"/>
  <c r="G912" i="8" s="1"/>
  <c r="G913" i="8" s="1"/>
  <c r="G914" i="8" s="1"/>
  <c r="G915" i="8" s="1"/>
  <c r="G916" i="8" s="1"/>
  <c r="G917" i="8" s="1"/>
  <c r="G918" i="8" s="1"/>
  <c r="G919" i="8" s="1"/>
  <c r="G920" i="8" s="1"/>
  <c r="G921" i="8" s="1"/>
  <c r="G922" i="8" s="1"/>
  <c r="G923" i="8" s="1"/>
  <c r="G924" i="8" s="1"/>
  <c r="G925" i="8" s="1"/>
  <c r="G926" i="8" s="1"/>
  <c r="G927" i="8" s="1"/>
  <c r="G928" i="8" s="1"/>
  <c r="G929" i="8" s="1"/>
  <c r="G930" i="8" s="1"/>
  <c r="G931" i="8" s="1"/>
  <c r="G932" i="8" s="1"/>
  <c r="G933" i="8" s="1"/>
  <c r="G934" i="8" s="1"/>
  <c r="G935" i="8" s="1"/>
  <c r="G936" i="8" s="1"/>
  <c r="G937" i="8" s="1"/>
  <c r="G938" i="8" s="1"/>
  <c r="G939" i="8" s="1"/>
  <c r="G940" i="8" s="1"/>
  <c r="G941" i="8" s="1"/>
  <c r="G942" i="8" s="1"/>
  <c r="G943" i="8" s="1"/>
  <c r="G944" i="8" s="1"/>
  <c r="G945" i="8" s="1"/>
  <c r="G946" i="8" s="1"/>
  <c r="G947" i="8" s="1"/>
  <c r="G948" i="8" s="1"/>
  <c r="G949" i="8" s="1"/>
  <c r="G950" i="8" s="1"/>
  <c r="G951" i="8" s="1"/>
  <c r="G952" i="8" s="1"/>
  <c r="G953" i="8" s="1"/>
  <c r="G954" i="8" s="1"/>
  <c r="G955" i="8" s="1"/>
  <c r="G956" i="8" s="1"/>
  <c r="G957" i="8" s="1"/>
  <c r="G958" i="8" s="1"/>
  <c r="G959" i="8" s="1"/>
  <c r="G960" i="8" s="1"/>
  <c r="G961" i="8" s="1"/>
  <c r="G962" i="8" s="1"/>
  <c r="G963" i="8" s="1"/>
  <c r="G964" i="8" s="1"/>
  <c r="G965" i="8" s="1"/>
  <c r="G966" i="8" s="1"/>
  <c r="G967" i="8" s="1"/>
  <c r="G968" i="8" s="1"/>
  <c r="G969" i="8" s="1"/>
  <c r="G970" i="8" s="1"/>
  <c r="G971" i="8" s="1"/>
  <c r="G972" i="8" s="1"/>
  <c r="G973" i="8" s="1"/>
  <c r="G974" i="8" s="1"/>
  <c r="G975" i="8" s="1"/>
  <c r="G976" i="8" s="1"/>
  <c r="G977" i="8" s="1"/>
  <c r="G978" i="8" s="1"/>
  <c r="G979" i="8" s="1"/>
  <c r="G980" i="8" s="1"/>
  <c r="G981" i="8" s="1"/>
  <c r="G982" i="8" s="1"/>
  <c r="G983" i="8" s="1"/>
  <c r="G984" i="8" s="1"/>
  <c r="G985" i="8" s="1"/>
  <c r="G986" i="8" s="1"/>
  <c r="G987" i="8" s="1"/>
  <c r="G988" i="8" s="1"/>
  <c r="G989" i="8" s="1"/>
  <c r="G990" i="8" s="1"/>
  <c r="G991" i="8" s="1"/>
  <c r="G992" i="8" s="1"/>
  <c r="G993" i="8" s="1"/>
  <c r="G994" i="8" s="1"/>
  <c r="G995" i="8" s="1"/>
  <c r="G996" i="8" s="1"/>
  <c r="G997" i="8" s="1"/>
  <c r="G998" i="8" s="1"/>
  <c r="G999" i="8" s="1"/>
  <c r="G1000" i="8" s="1"/>
  <c r="G1001" i="8" s="1"/>
  <c r="G1002" i="8" s="1"/>
  <c r="G1003" i="8" s="1"/>
  <c r="G1004" i="8" s="1"/>
  <c r="G1005" i="8" s="1"/>
  <c r="G1006" i="8" s="1"/>
  <c r="G1007" i="8" s="1"/>
  <c r="G1008" i="8" s="1"/>
  <c r="G1009" i="8" s="1"/>
  <c r="G1010" i="8" s="1"/>
  <c r="G1011" i="8" s="1"/>
  <c r="G1012" i="8" s="1"/>
  <c r="G1013" i="8" s="1"/>
  <c r="G1014" i="8" s="1"/>
  <c r="G1015" i="8" s="1"/>
  <c r="G1016" i="8" s="1"/>
  <c r="G1017" i="8" s="1"/>
  <c r="G1018" i="8" s="1"/>
  <c r="G1019" i="8" s="1"/>
  <c r="G1020" i="8" s="1"/>
  <c r="G1021" i="8" s="1"/>
  <c r="G1022" i="8" s="1"/>
  <c r="G1023" i="8" s="1"/>
  <c r="G1024" i="8" s="1"/>
  <c r="G1025" i="8" s="1"/>
  <c r="G1026" i="8" s="1"/>
  <c r="G1027" i="8" s="1"/>
  <c r="G1028" i="8" s="1"/>
  <c r="G1029" i="8" s="1"/>
  <c r="G1030" i="8" s="1"/>
  <c r="G1031" i="8" s="1"/>
  <c r="G1032" i="8" s="1"/>
  <c r="G1033" i="8" s="1"/>
  <c r="G1034" i="8" s="1"/>
  <c r="G1035" i="8" s="1"/>
  <c r="G1036" i="8" s="1"/>
  <c r="G1037" i="8" s="1"/>
  <c r="G1038" i="8" s="1"/>
  <c r="G1039" i="8" s="1"/>
  <c r="G1040" i="8" s="1"/>
  <c r="G1041" i="8" s="1"/>
  <c r="G1042" i="8" s="1"/>
  <c r="G1043" i="8" s="1"/>
  <c r="G1044" i="8" s="1"/>
  <c r="G1045" i="8" s="1"/>
  <c r="G1046" i="8" s="1"/>
  <c r="G1047" i="8" s="1"/>
  <c r="G1048" i="8" s="1"/>
  <c r="G1049" i="8" s="1"/>
  <c r="G1050" i="8" s="1"/>
  <c r="G1051" i="8" s="1"/>
  <c r="G1052" i="8" s="1"/>
  <c r="G1053" i="8" s="1"/>
  <c r="G1054" i="8" s="1"/>
  <c r="G1055" i="8" s="1"/>
  <c r="G1056" i="8" s="1"/>
  <c r="G1057" i="8" s="1"/>
  <c r="G1058" i="8" s="1"/>
  <c r="G1059" i="8" s="1"/>
  <c r="G1060" i="8" s="1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F1" i="8"/>
  <c r="D3" i="8"/>
  <c r="F3" i="8"/>
  <c r="J3" i="8"/>
  <c r="D4" i="8"/>
  <c r="F4" i="8"/>
  <c r="J4" i="8"/>
  <c r="D5" i="8"/>
  <c r="F5" i="8"/>
  <c r="J5" i="8"/>
  <c r="D6" i="8"/>
  <c r="F6" i="8"/>
  <c r="J6" i="8"/>
  <c r="D7" i="8"/>
  <c r="F7" i="8"/>
  <c r="J7" i="8"/>
  <c r="D8" i="8"/>
  <c r="F8" i="8"/>
  <c r="J8" i="8"/>
  <c r="D9" i="8"/>
  <c r="F9" i="8"/>
  <c r="J9" i="8"/>
  <c r="D10" i="8"/>
  <c r="F10" i="8"/>
  <c r="J10" i="8"/>
  <c r="D11" i="8"/>
  <c r="F11" i="8"/>
  <c r="J11" i="8"/>
  <c r="D12" i="8"/>
  <c r="F12" i="8"/>
  <c r="J12" i="8"/>
  <c r="D13" i="8"/>
  <c r="F13" i="8"/>
  <c r="J13" i="8"/>
  <c r="D14" i="8"/>
  <c r="F14" i="8"/>
  <c r="J14" i="8"/>
  <c r="D15" i="8"/>
  <c r="F15" i="8"/>
  <c r="J15" i="8"/>
  <c r="D16" i="8"/>
  <c r="F16" i="8"/>
  <c r="J16" i="8"/>
  <c r="D17" i="8"/>
  <c r="F17" i="8"/>
  <c r="J17" i="8"/>
  <c r="D18" i="8"/>
  <c r="F18" i="8"/>
  <c r="J18" i="8"/>
  <c r="D19" i="8"/>
  <c r="F19" i="8"/>
  <c r="J19" i="8"/>
  <c r="D20" i="8"/>
  <c r="F20" i="8"/>
  <c r="J20" i="8"/>
  <c r="D21" i="8"/>
  <c r="F21" i="8"/>
  <c r="J21" i="8"/>
  <c r="D22" i="8"/>
  <c r="F22" i="8"/>
  <c r="J22" i="8"/>
  <c r="D23" i="8"/>
  <c r="F23" i="8"/>
  <c r="J23" i="8"/>
  <c r="D24" i="8"/>
  <c r="F24" i="8"/>
  <c r="J24" i="8"/>
  <c r="D25" i="8"/>
  <c r="F25" i="8"/>
  <c r="J25" i="8"/>
  <c r="D26" i="8"/>
  <c r="F26" i="8"/>
  <c r="J26" i="8"/>
  <c r="D27" i="8"/>
  <c r="F27" i="8"/>
  <c r="J27" i="8"/>
  <c r="D28" i="8"/>
  <c r="F28" i="8"/>
  <c r="J28" i="8"/>
  <c r="D29" i="8"/>
  <c r="F29" i="8"/>
  <c r="J29" i="8"/>
  <c r="D30" i="8"/>
  <c r="F30" i="8"/>
  <c r="J30" i="8"/>
  <c r="D31" i="8"/>
  <c r="F31" i="8"/>
  <c r="J31" i="8"/>
  <c r="D32" i="8"/>
  <c r="F32" i="8"/>
  <c r="J32" i="8"/>
  <c r="D33" i="8"/>
  <c r="F33" i="8"/>
  <c r="J33" i="8"/>
  <c r="D34" i="8"/>
  <c r="F34" i="8"/>
  <c r="J34" i="8"/>
  <c r="D35" i="8"/>
  <c r="F35" i="8"/>
  <c r="J35" i="8"/>
  <c r="D36" i="8"/>
  <c r="F36" i="8"/>
  <c r="J36" i="8"/>
  <c r="D37" i="8"/>
  <c r="F37" i="8"/>
  <c r="J37" i="8"/>
  <c r="D38" i="8"/>
  <c r="F38" i="8"/>
  <c r="J38" i="8"/>
  <c r="D39" i="8"/>
  <c r="F39" i="8"/>
  <c r="J39" i="8"/>
  <c r="D40" i="8"/>
  <c r="F40" i="8"/>
  <c r="J40" i="8"/>
  <c r="D41" i="8"/>
  <c r="F41" i="8"/>
  <c r="J41" i="8"/>
  <c r="D42" i="8"/>
  <c r="F42" i="8"/>
  <c r="J42" i="8"/>
  <c r="D43" i="8"/>
  <c r="F43" i="8"/>
  <c r="J43" i="8"/>
  <c r="D44" i="8"/>
  <c r="F44" i="8"/>
  <c r="J44" i="8"/>
  <c r="D45" i="8"/>
  <c r="F45" i="8"/>
  <c r="J45" i="8"/>
  <c r="D46" i="8"/>
  <c r="F46" i="8"/>
  <c r="J46" i="8"/>
  <c r="D47" i="8"/>
  <c r="F47" i="8"/>
  <c r="J47" i="8"/>
  <c r="D48" i="8"/>
  <c r="F48" i="8"/>
  <c r="J48" i="8"/>
  <c r="D49" i="8"/>
  <c r="F49" i="8"/>
  <c r="J49" i="8"/>
  <c r="D50" i="8"/>
  <c r="F50" i="8"/>
  <c r="J50" i="8"/>
  <c r="D51" i="8"/>
  <c r="F51" i="8"/>
  <c r="J51" i="8"/>
  <c r="D52" i="8"/>
  <c r="F52" i="8"/>
  <c r="J52" i="8"/>
  <c r="D53" i="8"/>
  <c r="F53" i="8"/>
  <c r="J53" i="8"/>
  <c r="D54" i="8"/>
  <c r="F54" i="8"/>
  <c r="J54" i="8"/>
  <c r="D55" i="8"/>
  <c r="F55" i="8"/>
  <c r="J55" i="8"/>
  <c r="D56" i="8"/>
  <c r="F56" i="8"/>
  <c r="J56" i="8"/>
  <c r="D57" i="8"/>
  <c r="F57" i="8"/>
  <c r="J57" i="8"/>
  <c r="D58" i="8"/>
  <c r="F58" i="8"/>
  <c r="J58" i="8"/>
  <c r="D59" i="8"/>
  <c r="F59" i="8"/>
  <c r="J59" i="8"/>
  <c r="D60" i="8"/>
  <c r="F60" i="8"/>
  <c r="J60" i="8"/>
  <c r="D61" i="8"/>
  <c r="F61" i="8"/>
  <c r="J61" i="8"/>
  <c r="D62" i="8"/>
  <c r="F62" i="8"/>
  <c r="J62" i="8"/>
  <c r="D63" i="8"/>
  <c r="F63" i="8"/>
  <c r="J63" i="8"/>
  <c r="D64" i="8"/>
  <c r="F64" i="8"/>
  <c r="J64" i="8"/>
  <c r="D65" i="8"/>
  <c r="F65" i="8"/>
  <c r="J65" i="8"/>
  <c r="D66" i="8"/>
  <c r="F66" i="8"/>
  <c r="J66" i="8"/>
  <c r="D67" i="8"/>
  <c r="F67" i="8"/>
  <c r="J67" i="8"/>
  <c r="D68" i="8"/>
  <c r="F68" i="8"/>
  <c r="J68" i="8"/>
  <c r="D69" i="8"/>
  <c r="F69" i="8"/>
  <c r="J69" i="8"/>
  <c r="D70" i="8"/>
  <c r="F70" i="8"/>
  <c r="J70" i="8"/>
  <c r="D71" i="8"/>
  <c r="F71" i="8"/>
  <c r="J71" i="8"/>
  <c r="D72" i="8"/>
  <c r="F72" i="8"/>
  <c r="J72" i="8"/>
  <c r="D73" i="8"/>
  <c r="F73" i="8"/>
  <c r="J73" i="8"/>
  <c r="D74" i="8"/>
  <c r="F74" i="8"/>
  <c r="J74" i="8"/>
  <c r="D75" i="8"/>
  <c r="F75" i="8"/>
  <c r="J75" i="8"/>
  <c r="D76" i="8"/>
  <c r="F76" i="8"/>
  <c r="J76" i="8"/>
  <c r="D77" i="8"/>
  <c r="F77" i="8"/>
  <c r="J77" i="8"/>
  <c r="D78" i="8"/>
  <c r="F78" i="8"/>
  <c r="J78" i="8"/>
  <c r="D79" i="8"/>
  <c r="F79" i="8"/>
  <c r="J79" i="8"/>
  <c r="D80" i="8"/>
  <c r="F80" i="8"/>
  <c r="J80" i="8"/>
  <c r="D81" i="8"/>
  <c r="F81" i="8"/>
  <c r="J81" i="8"/>
  <c r="D82" i="8"/>
  <c r="F82" i="8"/>
  <c r="J82" i="8"/>
  <c r="D83" i="8"/>
  <c r="F83" i="8"/>
  <c r="J83" i="8"/>
  <c r="D84" i="8"/>
  <c r="F84" i="8"/>
  <c r="J84" i="8"/>
  <c r="D85" i="8"/>
  <c r="F85" i="8"/>
  <c r="J85" i="8"/>
  <c r="D86" i="8"/>
  <c r="F86" i="8"/>
  <c r="J86" i="8"/>
  <c r="D87" i="8"/>
  <c r="F87" i="8"/>
  <c r="J87" i="8"/>
  <c r="D88" i="8"/>
  <c r="F88" i="8"/>
  <c r="J88" i="8"/>
  <c r="D89" i="8"/>
  <c r="F89" i="8"/>
  <c r="J89" i="8"/>
  <c r="D90" i="8"/>
  <c r="F90" i="8"/>
  <c r="J90" i="8"/>
  <c r="D91" i="8"/>
  <c r="F91" i="8"/>
  <c r="J91" i="8"/>
  <c r="D92" i="8"/>
  <c r="F92" i="8"/>
  <c r="J92" i="8"/>
  <c r="D93" i="8"/>
  <c r="F93" i="8"/>
  <c r="J93" i="8"/>
  <c r="D94" i="8"/>
  <c r="F94" i="8"/>
  <c r="J94" i="8"/>
  <c r="D95" i="8"/>
  <c r="F95" i="8"/>
  <c r="J95" i="8"/>
  <c r="D96" i="8"/>
  <c r="F96" i="8"/>
  <c r="J96" i="8"/>
  <c r="D97" i="8"/>
  <c r="F97" i="8"/>
  <c r="J97" i="8"/>
  <c r="D98" i="8"/>
  <c r="F98" i="8"/>
  <c r="J98" i="8"/>
  <c r="D99" i="8"/>
  <c r="F99" i="8"/>
  <c r="J99" i="8"/>
  <c r="D100" i="8"/>
  <c r="F100" i="8"/>
  <c r="J100" i="8"/>
  <c r="D101" i="8"/>
  <c r="F101" i="8"/>
  <c r="J101" i="8"/>
  <c r="D102" i="8"/>
  <c r="F102" i="8"/>
  <c r="J102" i="8"/>
  <c r="D103" i="8"/>
  <c r="F103" i="8"/>
  <c r="J103" i="8"/>
  <c r="D104" i="8"/>
  <c r="F104" i="8"/>
  <c r="J104" i="8"/>
  <c r="D105" i="8"/>
  <c r="F105" i="8"/>
  <c r="J105" i="8"/>
  <c r="D106" i="8"/>
  <c r="F106" i="8"/>
  <c r="J106" i="8"/>
  <c r="D107" i="8"/>
  <c r="F107" i="8"/>
  <c r="J107" i="8"/>
  <c r="D108" i="8"/>
  <c r="F108" i="8"/>
  <c r="J108" i="8"/>
  <c r="D109" i="8"/>
  <c r="F109" i="8"/>
  <c r="J109" i="8"/>
  <c r="D110" i="8"/>
  <c r="F110" i="8"/>
  <c r="J110" i="8"/>
  <c r="D111" i="8"/>
  <c r="F111" i="8"/>
  <c r="J111" i="8"/>
  <c r="D112" i="8"/>
  <c r="F112" i="8"/>
  <c r="J112" i="8"/>
  <c r="D113" i="8"/>
  <c r="F113" i="8"/>
  <c r="J113" i="8"/>
  <c r="D114" i="8"/>
  <c r="F114" i="8"/>
  <c r="J114" i="8"/>
  <c r="D115" i="8"/>
  <c r="F115" i="8"/>
  <c r="J115" i="8"/>
  <c r="D116" i="8"/>
  <c r="F116" i="8"/>
  <c r="J116" i="8"/>
  <c r="D117" i="8"/>
  <c r="F117" i="8"/>
  <c r="J117" i="8"/>
  <c r="D118" i="8"/>
  <c r="F118" i="8"/>
  <c r="J118" i="8"/>
  <c r="D119" i="8"/>
  <c r="F119" i="8"/>
  <c r="J119" i="8"/>
  <c r="D120" i="8"/>
  <c r="F120" i="8"/>
  <c r="J120" i="8"/>
  <c r="D121" i="8"/>
  <c r="F121" i="8"/>
  <c r="J121" i="8"/>
  <c r="D122" i="8"/>
  <c r="F122" i="8"/>
  <c r="J122" i="8"/>
  <c r="D123" i="8"/>
  <c r="F123" i="8"/>
  <c r="J123" i="8"/>
  <c r="D124" i="8"/>
  <c r="F124" i="8"/>
  <c r="J124" i="8"/>
  <c r="D125" i="8"/>
  <c r="F125" i="8"/>
  <c r="J125" i="8"/>
  <c r="D126" i="8"/>
  <c r="F126" i="8"/>
  <c r="J126" i="8"/>
  <c r="D127" i="8"/>
  <c r="F127" i="8"/>
  <c r="J127" i="8"/>
  <c r="D128" i="8"/>
  <c r="F128" i="8"/>
  <c r="J128" i="8"/>
  <c r="D129" i="8"/>
  <c r="F129" i="8"/>
  <c r="J129" i="8"/>
  <c r="D130" i="8"/>
  <c r="F130" i="8"/>
  <c r="J130" i="8"/>
  <c r="D131" i="8"/>
  <c r="F131" i="8"/>
  <c r="J131" i="8"/>
  <c r="D132" i="8"/>
  <c r="F132" i="8"/>
  <c r="J132" i="8"/>
  <c r="D133" i="8"/>
  <c r="F133" i="8"/>
  <c r="J133" i="8"/>
  <c r="D134" i="8"/>
  <c r="F134" i="8"/>
  <c r="J134" i="8"/>
  <c r="D135" i="8"/>
  <c r="F135" i="8"/>
  <c r="J135" i="8"/>
  <c r="D136" i="8"/>
  <c r="F136" i="8"/>
  <c r="J136" i="8"/>
  <c r="D137" i="8"/>
  <c r="F137" i="8"/>
  <c r="J137" i="8"/>
  <c r="D138" i="8"/>
  <c r="F138" i="8"/>
  <c r="J138" i="8"/>
  <c r="D139" i="8"/>
  <c r="F139" i="8"/>
  <c r="J139" i="8"/>
  <c r="D140" i="8"/>
  <c r="F140" i="8"/>
  <c r="J140" i="8"/>
  <c r="D141" i="8"/>
  <c r="F141" i="8"/>
  <c r="J141" i="8"/>
  <c r="D142" i="8"/>
  <c r="F142" i="8"/>
  <c r="J142" i="8"/>
  <c r="D143" i="8"/>
  <c r="F143" i="8"/>
  <c r="J143" i="8"/>
  <c r="D144" i="8"/>
  <c r="F144" i="8"/>
  <c r="J144" i="8"/>
  <c r="D145" i="8"/>
  <c r="F145" i="8"/>
  <c r="J145" i="8"/>
  <c r="D146" i="8"/>
  <c r="F146" i="8"/>
  <c r="J146" i="8"/>
  <c r="D147" i="8"/>
  <c r="F147" i="8"/>
  <c r="J147" i="8"/>
  <c r="D148" i="8"/>
  <c r="F148" i="8"/>
  <c r="J148" i="8"/>
  <c r="D149" i="8"/>
  <c r="F149" i="8"/>
  <c r="J149" i="8"/>
  <c r="D150" i="8"/>
  <c r="F150" i="8"/>
  <c r="J150" i="8"/>
  <c r="D151" i="8"/>
  <c r="F151" i="8"/>
  <c r="J151" i="8"/>
  <c r="D152" i="8"/>
  <c r="F152" i="8"/>
  <c r="J152" i="8"/>
  <c r="D153" i="8"/>
  <c r="F153" i="8"/>
  <c r="J153" i="8"/>
  <c r="D154" i="8"/>
  <c r="F154" i="8"/>
  <c r="J154" i="8"/>
  <c r="D155" i="8"/>
  <c r="F155" i="8"/>
  <c r="J155" i="8"/>
  <c r="D156" i="8"/>
  <c r="F156" i="8"/>
  <c r="J156" i="8"/>
  <c r="D157" i="8"/>
  <c r="F157" i="8"/>
  <c r="J157" i="8"/>
  <c r="D158" i="8"/>
  <c r="F158" i="8"/>
  <c r="J158" i="8"/>
  <c r="D159" i="8"/>
  <c r="F159" i="8"/>
  <c r="J159" i="8"/>
  <c r="D160" i="8"/>
  <c r="F160" i="8"/>
  <c r="J160" i="8"/>
  <c r="D161" i="8"/>
  <c r="F161" i="8"/>
  <c r="J161" i="8"/>
  <c r="D162" i="8"/>
  <c r="F162" i="8"/>
  <c r="J162" i="8"/>
  <c r="D163" i="8"/>
  <c r="F163" i="8"/>
  <c r="J163" i="8"/>
  <c r="D164" i="8"/>
  <c r="F164" i="8"/>
  <c r="J164" i="8"/>
  <c r="D165" i="8"/>
  <c r="F165" i="8"/>
  <c r="J165" i="8"/>
  <c r="D166" i="8"/>
  <c r="F166" i="8"/>
  <c r="J166" i="8"/>
  <c r="D167" i="8"/>
  <c r="F167" i="8"/>
  <c r="J167" i="8"/>
  <c r="D168" i="8"/>
  <c r="F168" i="8"/>
  <c r="J168" i="8"/>
  <c r="D169" i="8"/>
  <c r="F169" i="8"/>
  <c r="J169" i="8"/>
  <c r="D170" i="8"/>
  <c r="F170" i="8"/>
  <c r="J170" i="8"/>
  <c r="D171" i="8"/>
  <c r="F171" i="8"/>
  <c r="J171" i="8"/>
  <c r="D172" i="8"/>
  <c r="F172" i="8"/>
  <c r="J172" i="8"/>
  <c r="D173" i="8"/>
  <c r="F173" i="8"/>
  <c r="J173" i="8"/>
  <c r="D174" i="8"/>
  <c r="F174" i="8"/>
  <c r="J174" i="8"/>
  <c r="D175" i="8"/>
  <c r="F175" i="8"/>
  <c r="J175" i="8"/>
  <c r="D176" i="8"/>
  <c r="F176" i="8"/>
  <c r="J176" i="8"/>
  <c r="D177" i="8"/>
  <c r="F177" i="8"/>
  <c r="J177" i="8"/>
  <c r="D178" i="8"/>
  <c r="F178" i="8"/>
  <c r="J178" i="8"/>
  <c r="D179" i="8"/>
  <c r="F179" i="8"/>
  <c r="J179" i="8"/>
  <c r="D180" i="8"/>
  <c r="F180" i="8"/>
  <c r="J180" i="8"/>
  <c r="D181" i="8"/>
  <c r="F181" i="8"/>
  <c r="J181" i="8"/>
  <c r="D182" i="8"/>
  <c r="F182" i="8"/>
  <c r="J182" i="8"/>
  <c r="D183" i="8"/>
  <c r="F183" i="8"/>
  <c r="J183" i="8"/>
  <c r="D184" i="8"/>
  <c r="F184" i="8"/>
  <c r="J184" i="8"/>
  <c r="D185" i="8"/>
  <c r="F185" i="8"/>
  <c r="J185" i="8"/>
  <c r="D186" i="8"/>
  <c r="F186" i="8"/>
  <c r="J186" i="8"/>
  <c r="D187" i="8"/>
  <c r="F187" i="8"/>
  <c r="J187" i="8"/>
  <c r="D188" i="8"/>
  <c r="F188" i="8"/>
  <c r="J188" i="8"/>
  <c r="D189" i="8"/>
  <c r="F189" i="8"/>
  <c r="J189" i="8"/>
  <c r="D190" i="8"/>
  <c r="F190" i="8"/>
  <c r="J190" i="8"/>
  <c r="D191" i="8"/>
  <c r="F191" i="8"/>
  <c r="J191" i="8"/>
  <c r="D192" i="8"/>
  <c r="F192" i="8"/>
  <c r="J192" i="8"/>
  <c r="D193" i="8"/>
  <c r="F193" i="8"/>
  <c r="J193" i="8"/>
  <c r="D194" i="8"/>
  <c r="F194" i="8"/>
  <c r="J194" i="8"/>
  <c r="D195" i="8"/>
  <c r="F195" i="8"/>
  <c r="J195" i="8"/>
  <c r="D196" i="8"/>
  <c r="F196" i="8"/>
  <c r="J196" i="8"/>
  <c r="D197" i="8"/>
  <c r="F197" i="8"/>
  <c r="J197" i="8"/>
  <c r="D198" i="8"/>
  <c r="F198" i="8"/>
  <c r="J198" i="8"/>
  <c r="D199" i="8"/>
  <c r="F199" i="8"/>
  <c r="J199" i="8"/>
  <c r="D200" i="8"/>
  <c r="F200" i="8"/>
  <c r="J200" i="8"/>
  <c r="D201" i="8"/>
  <c r="F201" i="8"/>
  <c r="J201" i="8"/>
  <c r="D202" i="8"/>
  <c r="F202" i="8"/>
  <c r="J202" i="8"/>
  <c r="D203" i="8"/>
  <c r="F203" i="8"/>
  <c r="J203" i="8"/>
  <c r="D204" i="8"/>
  <c r="F204" i="8"/>
  <c r="J204" i="8"/>
  <c r="D205" i="8"/>
  <c r="F205" i="8"/>
  <c r="J205" i="8"/>
  <c r="D206" i="8"/>
  <c r="F206" i="8"/>
  <c r="J206" i="8"/>
  <c r="D207" i="8"/>
  <c r="F207" i="8"/>
  <c r="J207" i="8"/>
  <c r="D208" i="8"/>
  <c r="F208" i="8"/>
  <c r="J208" i="8"/>
  <c r="D209" i="8"/>
  <c r="F209" i="8"/>
  <c r="J209" i="8"/>
  <c r="D210" i="8"/>
  <c r="F210" i="8"/>
  <c r="J210" i="8"/>
  <c r="D211" i="8"/>
  <c r="F211" i="8"/>
  <c r="J211" i="8"/>
  <c r="D212" i="8"/>
  <c r="F212" i="8"/>
  <c r="J212" i="8"/>
  <c r="D213" i="8"/>
  <c r="F213" i="8"/>
  <c r="J213" i="8"/>
  <c r="D214" i="8"/>
  <c r="F214" i="8"/>
  <c r="J214" i="8"/>
  <c r="D215" i="8"/>
  <c r="F215" i="8"/>
  <c r="J215" i="8"/>
  <c r="D216" i="8"/>
  <c r="F216" i="8"/>
  <c r="J216" i="8"/>
  <c r="D217" i="8"/>
  <c r="F217" i="8"/>
  <c r="J217" i="8"/>
  <c r="D218" i="8"/>
  <c r="F218" i="8"/>
  <c r="J218" i="8"/>
  <c r="D219" i="8"/>
  <c r="F219" i="8"/>
  <c r="J219" i="8"/>
  <c r="D220" i="8"/>
  <c r="F220" i="8"/>
  <c r="J220" i="8"/>
  <c r="D221" i="8"/>
  <c r="F221" i="8"/>
  <c r="J221" i="8"/>
  <c r="D222" i="8"/>
  <c r="F222" i="8"/>
  <c r="J222" i="8"/>
  <c r="D223" i="8"/>
  <c r="F223" i="8"/>
  <c r="J223" i="8"/>
  <c r="D224" i="8"/>
  <c r="F224" i="8"/>
  <c r="J224" i="8"/>
  <c r="D225" i="8"/>
  <c r="F225" i="8"/>
  <c r="J225" i="8"/>
  <c r="D226" i="8"/>
  <c r="F226" i="8"/>
  <c r="J226" i="8"/>
  <c r="D227" i="8"/>
  <c r="F227" i="8"/>
  <c r="J227" i="8"/>
  <c r="D228" i="8"/>
  <c r="F228" i="8"/>
  <c r="J228" i="8"/>
  <c r="D229" i="8"/>
  <c r="F229" i="8"/>
  <c r="J229" i="8"/>
  <c r="D230" i="8"/>
  <c r="F230" i="8"/>
  <c r="J230" i="8"/>
  <c r="D231" i="8"/>
  <c r="F231" i="8"/>
  <c r="J231" i="8"/>
  <c r="D232" i="8"/>
  <c r="F232" i="8"/>
  <c r="J232" i="8"/>
  <c r="D233" i="8"/>
  <c r="F233" i="8"/>
  <c r="J233" i="8"/>
  <c r="D234" i="8"/>
  <c r="F234" i="8"/>
  <c r="J234" i="8"/>
  <c r="D235" i="8"/>
  <c r="F235" i="8"/>
  <c r="J235" i="8"/>
  <c r="D236" i="8"/>
  <c r="F236" i="8"/>
  <c r="J236" i="8"/>
  <c r="D237" i="8"/>
  <c r="F237" i="8"/>
  <c r="J237" i="8"/>
  <c r="D238" i="8"/>
  <c r="F238" i="8"/>
  <c r="J238" i="8"/>
  <c r="D239" i="8"/>
  <c r="F239" i="8"/>
  <c r="J239" i="8"/>
  <c r="D240" i="8"/>
  <c r="F240" i="8"/>
  <c r="J240" i="8"/>
  <c r="D241" i="8"/>
  <c r="F241" i="8"/>
  <c r="J241" i="8"/>
  <c r="D242" i="8"/>
  <c r="F242" i="8"/>
  <c r="J242" i="8"/>
  <c r="D243" i="8"/>
  <c r="F243" i="8"/>
  <c r="J243" i="8"/>
  <c r="D244" i="8"/>
  <c r="F244" i="8"/>
  <c r="J244" i="8"/>
  <c r="D245" i="8"/>
  <c r="F245" i="8"/>
  <c r="J245" i="8"/>
  <c r="D246" i="8"/>
  <c r="F246" i="8"/>
  <c r="J246" i="8"/>
  <c r="D247" i="8"/>
  <c r="F247" i="8"/>
  <c r="J247" i="8"/>
  <c r="D248" i="8"/>
  <c r="F248" i="8"/>
  <c r="J248" i="8"/>
  <c r="D249" i="8"/>
  <c r="F249" i="8"/>
  <c r="J249" i="8"/>
  <c r="D250" i="8"/>
  <c r="F250" i="8"/>
  <c r="J250" i="8"/>
  <c r="D251" i="8"/>
  <c r="F251" i="8"/>
  <c r="J251" i="8"/>
  <c r="D252" i="8"/>
  <c r="F252" i="8"/>
  <c r="J252" i="8"/>
  <c r="D253" i="8"/>
  <c r="F253" i="8"/>
  <c r="J253" i="8"/>
  <c r="D254" i="8"/>
  <c r="F254" i="8"/>
  <c r="J254" i="8"/>
  <c r="D255" i="8"/>
  <c r="F255" i="8"/>
  <c r="J255" i="8"/>
  <c r="D256" i="8"/>
  <c r="F256" i="8"/>
  <c r="J256" i="8"/>
  <c r="D257" i="8"/>
  <c r="F257" i="8"/>
  <c r="J257" i="8"/>
  <c r="D258" i="8"/>
  <c r="F258" i="8"/>
  <c r="J258" i="8"/>
  <c r="D259" i="8"/>
  <c r="F259" i="8"/>
  <c r="J259" i="8"/>
  <c r="D260" i="8"/>
  <c r="F260" i="8"/>
  <c r="J260" i="8"/>
  <c r="D261" i="8"/>
  <c r="F261" i="8"/>
  <c r="J261" i="8"/>
  <c r="D262" i="8"/>
  <c r="F262" i="8"/>
  <c r="J262" i="8"/>
  <c r="D263" i="8"/>
  <c r="F263" i="8"/>
  <c r="J263" i="8"/>
  <c r="D264" i="8"/>
  <c r="F264" i="8"/>
  <c r="J264" i="8"/>
  <c r="D265" i="8"/>
  <c r="F265" i="8"/>
  <c r="J265" i="8"/>
  <c r="D266" i="8"/>
  <c r="F266" i="8"/>
  <c r="J266" i="8"/>
  <c r="D267" i="8"/>
  <c r="F267" i="8"/>
  <c r="J267" i="8"/>
  <c r="D268" i="8"/>
  <c r="F268" i="8"/>
  <c r="J268" i="8"/>
  <c r="D269" i="8"/>
  <c r="F269" i="8"/>
  <c r="J269" i="8"/>
  <c r="D270" i="8"/>
  <c r="F270" i="8"/>
  <c r="J270" i="8"/>
  <c r="D271" i="8"/>
  <c r="F271" i="8"/>
  <c r="J271" i="8"/>
  <c r="D272" i="8"/>
  <c r="F272" i="8"/>
  <c r="J272" i="8"/>
  <c r="D273" i="8"/>
  <c r="F273" i="8"/>
  <c r="J273" i="8"/>
  <c r="D274" i="8"/>
  <c r="F274" i="8"/>
  <c r="J274" i="8"/>
  <c r="D275" i="8"/>
  <c r="F275" i="8"/>
  <c r="J275" i="8"/>
  <c r="D276" i="8"/>
  <c r="F276" i="8"/>
  <c r="J276" i="8"/>
  <c r="D277" i="8"/>
  <c r="F277" i="8"/>
  <c r="J277" i="8"/>
  <c r="D278" i="8"/>
  <c r="F278" i="8"/>
  <c r="J278" i="8"/>
  <c r="D279" i="8"/>
  <c r="F279" i="8"/>
  <c r="J279" i="8"/>
  <c r="D280" i="8"/>
  <c r="F280" i="8"/>
  <c r="J280" i="8"/>
  <c r="D281" i="8"/>
  <c r="F281" i="8"/>
  <c r="J281" i="8"/>
  <c r="D282" i="8"/>
  <c r="F282" i="8"/>
  <c r="J282" i="8"/>
  <c r="D283" i="8"/>
  <c r="F283" i="8"/>
  <c r="J283" i="8"/>
  <c r="D284" i="8"/>
  <c r="F284" i="8"/>
  <c r="J284" i="8"/>
  <c r="D285" i="8"/>
  <c r="F285" i="8"/>
  <c r="J285" i="8"/>
  <c r="D286" i="8"/>
  <c r="F286" i="8"/>
  <c r="J286" i="8"/>
  <c r="D287" i="8"/>
  <c r="F287" i="8"/>
  <c r="J287" i="8"/>
  <c r="D288" i="8"/>
  <c r="F288" i="8"/>
  <c r="J288" i="8"/>
  <c r="D289" i="8"/>
  <c r="F289" i="8"/>
  <c r="J289" i="8"/>
  <c r="D290" i="8"/>
  <c r="F290" i="8"/>
  <c r="J290" i="8"/>
  <c r="D291" i="8"/>
  <c r="F291" i="8"/>
  <c r="J291" i="8"/>
  <c r="D292" i="8"/>
  <c r="F292" i="8"/>
  <c r="J292" i="8"/>
  <c r="D293" i="8"/>
  <c r="F293" i="8"/>
  <c r="J293" i="8"/>
  <c r="D294" i="8"/>
  <c r="F294" i="8"/>
  <c r="J294" i="8"/>
  <c r="D295" i="8"/>
  <c r="F295" i="8"/>
  <c r="J295" i="8"/>
  <c r="D296" i="8"/>
  <c r="F296" i="8"/>
  <c r="J296" i="8"/>
  <c r="D297" i="8"/>
  <c r="F297" i="8"/>
  <c r="J297" i="8"/>
  <c r="D298" i="8"/>
  <c r="F298" i="8"/>
  <c r="J298" i="8"/>
  <c r="D299" i="8"/>
  <c r="F299" i="8"/>
  <c r="J299" i="8"/>
  <c r="D300" i="8"/>
  <c r="F300" i="8"/>
  <c r="J300" i="8"/>
  <c r="D301" i="8"/>
  <c r="F301" i="8"/>
  <c r="J301" i="8"/>
  <c r="D302" i="8"/>
  <c r="F302" i="8"/>
  <c r="J302" i="8"/>
  <c r="D303" i="8"/>
  <c r="F303" i="8"/>
  <c r="J303" i="8"/>
  <c r="D304" i="8"/>
  <c r="F304" i="8"/>
  <c r="J304" i="8"/>
  <c r="D305" i="8"/>
  <c r="F305" i="8"/>
  <c r="J305" i="8"/>
  <c r="D306" i="8"/>
  <c r="F306" i="8"/>
  <c r="J306" i="8"/>
  <c r="D307" i="8"/>
  <c r="F307" i="8"/>
  <c r="J307" i="8"/>
  <c r="D308" i="8"/>
  <c r="F308" i="8"/>
  <c r="J308" i="8"/>
  <c r="D309" i="8"/>
  <c r="F309" i="8"/>
  <c r="J309" i="8"/>
  <c r="D310" i="8"/>
  <c r="F310" i="8"/>
  <c r="J310" i="8"/>
  <c r="D311" i="8"/>
  <c r="F311" i="8"/>
  <c r="J311" i="8"/>
  <c r="D312" i="8"/>
  <c r="F312" i="8"/>
  <c r="J312" i="8"/>
  <c r="D313" i="8"/>
  <c r="F313" i="8"/>
  <c r="J313" i="8"/>
  <c r="D314" i="8"/>
  <c r="F314" i="8"/>
  <c r="J314" i="8"/>
  <c r="D315" i="8"/>
  <c r="F315" i="8"/>
  <c r="J315" i="8"/>
  <c r="D316" i="8"/>
  <c r="F316" i="8"/>
  <c r="J316" i="8"/>
  <c r="D317" i="8"/>
  <c r="F317" i="8"/>
  <c r="J317" i="8"/>
  <c r="D318" i="8"/>
  <c r="F318" i="8"/>
  <c r="J318" i="8"/>
  <c r="D319" i="8"/>
  <c r="F319" i="8"/>
  <c r="J319" i="8"/>
  <c r="D320" i="8"/>
  <c r="F320" i="8"/>
  <c r="J320" i="8"/>
  <c r="D321" i="8"/>
  <c r="F321" i="8"/>
  <c r="J321" i="8"/>
  <c r="D322" i="8"/>
  <c r="F322" i="8"/>
  <c r="J322" i="8"/>
  <c r="D323" i="8"/>
  <c r="F323" i="8"/>
  <c r="J323" i="8"/>
  <c r="D324" i="8"/>
  <c r="F324" i="8"/>
  <c r="J324" i="8"/>
  <c r="D325" i="8"/>
  <c r="F325" i="8"/>
  <c r="J325" i="8"/>
  <c r="D326" i="8"/>
  <c r="F326" i="8"/>
  <c r="J326" i="8"/>
  <c r="D327" i="8"/>
  <c r="F327" i="8"/>
  <c r="J327" i="8"/>
  <c r="D328" i="8"/>
  <c r="F328" i="8"/>
  <c r="J328" i="8"/>
  <c r="D329" i="8"/>
  <c r="F329" i="8"/>
  <c r="J329" i="8"/>
  <c r="D330" i="8"/>
  <c r="F330" i="8"/>
  <c r="J330" i="8"/>
  <c r="D331" i="8"/>
  <c r="F331" i="8"/>
  <c r="J331" i="8"/>
  <c r="D332" i="8"/>
  <c r="F332" i="8"/>
  <c r="J332" i="8"/>
  <c r="D333" i="8"/>
  <c r="F333" i="8"/>
  <c r="J333" i="8"/>
  <c r="D334" i="8"/>
  <c r="F334" i="8"/>
  <c r="J334" i="8"/>
  <c r="D335" i="8"/>
  <c r="F335" i="8"/>
  <c r="J335" i="8"/>
  <c r="D336" i="8"/>
  <c r="F336" i="8"/>
  <c r="J336" i="8"/>
  <c r="D337" i="8"/>
  <c r="F337" i="8"/>
  <c r="J337" i="8"/>
  <c r="D338" i="8"/>
  <c r="F338" i="8"/>
  <c r="J338" i="8"/>
  <c r="D339" i="8"/>
  <c r="F339" i="8"/>
  <c r="J339" i="8"/>
  <c r="D340" i="8"/>
  <c r="F340" i="8"/>
  <c r="J340" i="8"/>
  <c r="D341" i="8"/>
  <c r="F341" i="8"/>
  <c r="J341" i="8"/>
  <c r="D342" i="8"/>
  <c r="F342" i="8"/>
  <c r="J342" i="8"/>
  <c r="D343" i="8"/>
  <c r="F343" i="8"/>
  <c r="J343" i="8"/>
  <c r="D344" i="8"/>
  <c r="F344" i="8"/>
  <c r="J344" i="8"/>
  <c r="D345" i="8"/>
  <c r="F345" i="8"/>
  <c r="J345" i="8"/>
  <c r="D346" i="8"/>
  <c r="F346" i="8"/>
  <c r="J346" i="8"/>
  <c r="D347" i="8"/>
  <c r="F347" i="8"/>
  <c r="J347" i="8"/>
  <c r="D348" i="8"/>
  <c r="F348" i="8"/>
  <c r="J348" i="8"/>
  <c r="D349" i="8"/>
  <c r="F349" i="8"/>
  <c r="J349" i="8"/>
  <c r="D350" i="8"/>
  <c r="F350" i="8"/>
  <c r="J350" i="8"/>
  <c r="D351" i="8"/>
  <c r="F351" i="8"/>
  <c r="J351" i="8"/>
  <c r="D352" i="8"/>
  <c r="F352" i="8"/>
  <c r="J352" i="8"/>
  <c r="D353" i="8"/>
  <c r="F353" i="8"/>
  <c r="J353" i="8"/>
  <c r="D354" i="8"/>
  <c r="F354" i="8"/>
  <c r="J354" i="8"/>
  <c r="D355" i="8"/>
  <c r="F355" i="8"/>
  <c r="J355" i="8"/>
  <c r="D356" i="8"/>
  <c r="F356" i="8"/>
  <c r="J356" i="8"/>
  <c r="D357" i="8"/>
  <c r="F357" i="8"/>
  <c r="J357" i="8"/>
  <c r="D358" i="8"/>
  <c r="F358" i="8"/>
  <c r="J358" i="8"/>
  <c r="D359" i="8"/>
  <c r="F359" i="8"/>
  <c r="J359" i="8"/>
  <c r="D360" i="8"/>
  <c r="F360" i="8"/>
  <c r="J360" i="8"/>
  <c r="D361" i="8"/>
  <c r="F361" i="8"/>
  <c r="J361" i="8"/>
  <c r="D362" i="8"/>
  <c r="F362" i="8"/>
  <c r="J362" i="8"/>
  <c r="D363" i="8"/>
  <c r="F363" i="8"/>
  <c r="J363" i="8"/>
  <c r="D364" i="8"/>
  <c r="F364" i="8"/>
  <c r="J364" i="8"/>
  <c r="D365" i="8"/>
  <c r="F365" i="8"/>
  <c r="J365" i="8"/>
  <c r="D366" i="8"/>
  <c r="F366" i="8"/>
  <c r="J366" i="8"/>
  <c r="D367" i="8"/>
  <c r="F367" i="8"/>
  <c r="J367" i="8"/>
  <c r="D368" i="8"/>
  <c r="F368" i="8"/>
  <c r="J368" i="8"/>
  <c r="D369" i="8"/>
  <c r="F369" i="8"/>
  <c r="J369" i="8"/>
  <c r="D370" i="8"/>
  <c r="F370" i="8"/>
  <c r="J370" i="8"/>
  <c r="D371" i="8"/>
  <c r="F371" i="8"/>
  <c r="J371" i="8"/>
  <c r="D372" i="8"/>
  <c r="F372" i="8"/>
  <c r="J372" i="8"/>
  <c r="D373" i="8"/>
  <c r="F373" i="8"/>
  <c r="J373" i="8"/>
  <c r="D374" i="8"/>
  <c r="F374" i="8"/>
  <c r="J374" i="8"/>
  <c r="D375" i="8"/>
  <c r="F375" i="8"/>
  <c r="J375" i="8"/>
  <c r="D376" i="8"/>
  <c r="F376" i="8"/>
  <c r="J376" i="8"/>
  <c r="D377" i="8"/>
  <c r="F377" i="8"/>
  <c r="J377" i="8"/>
  <c r="D378" i="8"/>
  <c r="F378" i="8"/>
  <c r="J378" i="8"/>
  <c r="D379" i="8"/>
  <c r="F379" i="8"/>
  <c r="J379" i="8"/>
  <c r="D380" i="8"/>
  <c r="F380" i="8"/>
  <c r="J380" i="8"/>
  <c r="D381" i="8"/>
  <c r="F381" i="8"/>
  <c r="J381" i="8"/>
  <c r="D382" i="8"/>
  <c r="F382" i="8"/>
  <c r="J382" i="8"/>
  <c r="D383" i="8"/>
  <c r="F383" i="8"/>
  <c r="J383" i="8"/>
  <c r="D384" i="8"/>
  <c r="F384" i="8"/>
  <c r="J384" i="8"/>
  <c r="D385" i="8"/>
  <c r="F385" i="8"/>
  <c r="J385" i="8"/>
  <c r="D386" i="8"/>
  <c r="F386" i="8"/>
  <c r="J386" i="8"/>
  <c r="D387" i="8"/>
  <c r="F387" i="8"/>
  <c r="J387" i="8"/>
  <c r="D388" i="8"/>
  <c r="F388" i="8"/>
  <c r="J388" i="8"/>
  <c r="D389" i="8"/>
  <c r="F389" i="8"/>
  <c r="J389" i="8"/>
  <c r="D390" i="8"/>
  <c r="F390" i="8"/>
  <c r="J390" i="8"/>
  <c r="D391" i="8"/>
  <c r="F391" i="8"/>
  <c r="J391" i="8"/>
  <c r="D392" i="8"/>
  <c r="F392" i="8"/>
  <c r="J392" i="8"/>
  <c r="D393" i="8"/>
  <c r="F393" i="8"/>
  <c r="J393" i="8"/>
  <c r="D394" i="8"/>
  <c r="F394" i="8"/>
  <c r="J394" i="8"/>
  <c r="D395" i="8"/>
  <c r="F395" i="8"/>
  <c r="J395" i="8"/>
  <c r="D396" i="8"/>
  <c r="F396" i="8"/>
  <c r="J396" i="8"/>
  <c r="D397" i="8"/>
  <c r="F397" i="8"/>
  <c r="J397" i="8"/>
  <c r="D398" i="8"/>
  <c r="F398" i="8"/>
  <c r="J398" i="8"/>
  <c r="D399" i="8"/>
  <c r="F399" i="8"/>
  <c r="J399" i="8"/>
  <c r="D400" i="8"/>
  <c r="F400" i="8"/>
  <c r="J400" i="8"/>
  <c r="D401" i="8"/>
  <c r="F401" i="8"/>
  <c r="J401" i="8"/>
  <c r="D402" i="8"/>
  <c r="F402" i="8"/>
  <c r="J402" i="8"/>
  <c r="D403" i="8"/>
  <c r="F403" i="8"/>
  <c r="J403" i="8"/>
  <c r="D404" i="8"/>
  <c r="F404" i="8"/>
  <c r="J404" i="8"/>
  <c r="D405" i="8"/>
  <c r="F405" i="8"/>
  <c r="J405" i="8"/>
  <c r="D406" i="8"/>
  <c r="F406" i="8"/>
  <c r="J406" i="8"/>
  <c r="D407" i="8"/>
  <c r="F407" i="8"/>
  <c r="J407" i="8"/>
  <c r="D408" i="8"/>
  <c r="F408" i="8"/>
  <c r="J408" i="8"/>
  <c r="D409" i="8"/>
  <c r="F409" i="8"/>
  <c r="J409" i="8"/>
  <c r="D410" i="8"/>
  <c r="F410" i="8"/>
  <c r="J410" i="8"/>
  <c r="D411" i="8"/>
  <c r="F411" i="8"/>
  <c r="J411" i="8"/>
  <c r="D412" i="8"/>
  <c r="F412" i="8"/>
  <c r="J412" i="8"/>
  <c r="D413" i="8"/>
  <c r="F413" i="8"/>
  <c r="J413" i="8"/>
  <c r="D414" i="8"/>
  <c r="F414" i="8"/>
  <c r="J414" i="8"/>
  <c r="D415" i="8"/>
  <c r="F415" i="8"/>
  <c r="J415" i="8"/>
  <c r="D416" i="8"/>
  <c r="F416" i="8"/>
  <c r="J416" i="8"/>
  <c r="D417" i="8"/>
  <c r="F417" i="8"/>
  <c r="J417" i="8"/>
  <c r="D418" i="8"/>
  <c r="F418" i="8"/>
  <c r="J418" i="8"/>
  <c r="D419" i="8"/>
  <c r="F419" i="8"/>
  <c r="J419" i="8"/>
  <c r="D420" i="8"/>
  <c r="F420" i="8"/>
  <c r="J420" i="8"/>
  <c r="D421" i="8"/>
  <c r="F421" i="8"/>
  <c r="J421" i="8"/>
  <c r="D422" i="8"/>
  <c r="F422" i="8"/>
  <c r="J422" i="8"/>
  <c r="D423" i="8"/>
  <c r="F423" i="8"/>
  <c r="J423" i="8"/>
  <c r="D424" i="8"/>
  <c r="F424" i="8"/>
  <c r="J424" i="8"/>
  <c r="D425" i="8"/>
  <c r="F425" i="8"/>
  <c r="J425" i="8"/>
  <c r="D426" i="8"/>
  <c r="F426" i="8"/>
  <c r="J426" i="8"/>
  <c r="D427" i="8"/>
  <c r="F427" i="8"/>
  <c r="J427" i="8"/>
  <c r="D428" i="8"/>
  <c r="F428" i="8"/>
  <c r="J428" i="8"/>
  <c r="D429" i="8"/>
  <c r="F429" i="8"/>
  <c r="J429" i="8"/>
  <c r="D430" i="8"/>
  <c r="F430" i="8"/>
  <c r="J430" i="8"/>
  <c r="D431" i="8"/>
  <c r="F431" i="8"/>
  <c r="J431" i="8"/>
  <c r="D432" i="8"/>
  <c r="F432" i="8"/>
  <c r="J432" i="8"/>
  <c r="D433" i="8"/>
  <c r="F433" i="8"/>
  <c r="J433" i="8"/>
  <c r="D434" i="8"/>
  <c r="F434" i="8"/>
  <c r="J434" i="8"/>
  <c r="D435" i="8"/>
  <c r="F435" i="8"/>
  <c r="J435" i="8"/>
  <c r="D436" i="8"/>
  <c r="F436" i="8"/>
  <c r="J436" i="8"/>
  <c r="D437" i="8"/>
  <c r="F437" i="8"/>
  <c r="J437" i="8"/>
  <c r="D438" i="8"/>
  <c r="F438" i="8"/>
  <c r="J438" i="8"/>
  <c r="D439" i="8"/>
  <c r="F439" i="8"/>
  <c r="J439" i="8"/>
  <c r="D440" i="8"/>
  <c r="F440" i="8"/>
  <c r="J440" i="8"/>
  <c r="D441" i="8"/>
  <c r="F441" i="8"/>
  <c r="J441" i="8"/>
  <c r="D442" i="8"/>
  <c r="F442" i="8"/>
  <c r="J442" i="8"/>
  <c r="D443" i="8"/>
  <c r="F443" i="8"/>
  <c r="J443" i="8"/>
  <c r="D444" i="8"/>
  <c r="F444" i="8"/>
  <c r="J444" i="8"/>
  <c r="D445" i="8"/>
  <c r="F445" i="8"/>
  <c r="J445" i="8"/>
  <c r="D446" i="8"/>
  <c r="F446" i="8"/>
  <c r="J446" i="8"/>
  <c r="D447" i="8"/>
  <c r="F447" i="8"/>
  <c r="J447" i="8"/>
  <c r="D448" i="8"/>
  <c r="F448" i="8"/>
  <c r="J448" i="8"/>
  <c r="D449" i="8"/>
  <c r="F449" i="8"/>
  <c r="J449" i="8"/>
  <c r="D450" i="8"/>
  <c r="F450" i="8"/>
  <c r="J450" i="8"/>
  <c r="D451" i="8"/>
  <c r="F451" i="8"/>
  <c r="J451" i="8"/>
  <c r="D452" i="8"/>
  <c r="F452" i="8"/>
  <c r="J452" i="8"/>
  <c r="D453" i="8"/>
  <c r="F453" i="8"/>
  <c r="J453" i="8"/>
  <c r="D454" i="8"/>
  <c r="F454" i="8"/>
  <c r="J454" i="8"/>
  <c r="D455" i="8"/>
  <c r="F455" i="8"/>
  <c r="J455" i="8"/>
  <c r="D456" i="8"/>
  <c r="F456" i="8"/>
  <c r="J456" i="8"/>
  <c r="D457" i="8"/>
  <c r="F457" i="8"/>
  <c r="J457" i="8"/>
  <c r="D458" i="8"/>
  <c r="F458" i="8"/>
  <c r="J458" i="8"/>
  <c r="D459" i="8"/>
  <c r="F459" i="8"/>
  <c r="J459" i="8"/>
  <c r="D460" i="8"/>
  <c r="F460" i="8"/>
  <c r="J460" i="8"/>
  <c r="D461" i="8"/>
  <c r="F461" i="8"/>
  <c r="J461" i="8"/>
  <c r="D462" i="8"/>
  <c r="F462" i="8"/>
  <c r="J462" i="8"/>
  <c r="D463" i="8"/>
  <c r="F463" i="8"/>
  <c r="J463" i="8"/>
  <c r="D464" i="8"/>
  <c r="F464" i="8"/>
  <c r="J464" i="8"/>
  <c r="D465" i="8"/>
  <c r="F465" i="8"/>
  <c r="J465" i="8"/>
  <c r="D466" i="8"/>
  <c r="F466" i="8"/>
  <c r="J466" i="8"/>
  <c r="D467" i="8"/>
  <c r="F467" i="8"/>
  <c r="J467" i="8"/>
  <c r="D468" i="8"/>
  <c r="F468" i="8"/>
  <c r="J468" i="8"/>
  <c r="D469" i="8"/>
  <c r="F469" i="8"/>
  <c r="J469" i="8"/>
  <c r="D470" i="8"/>
  <c r="F470" i="8"/>
  <c r="J470" i="8"/>
  <c r="D471" i="8"/>
  <c r="F471" i="8"/>
  <c r="J471" i="8"/>
  <c r="D472" i="8"/>
  <c r="F472" i="8"/>
  <c r="J472" i="8"/>
  <c r="D473" i="8"/>
  <c r="F473" i="8"/>
  <c r="J473" i="8"/>
  <c r="D474" i="8"/>
  <c r="F474" i="8"/>
  <c r="J474" i="8"/>
  <c r="D475" i="8"/>
  <c r="F475" i="8"/>
  <c r="J475" i="8"/>
  <c r="D476" i="8"/>
  <c r="F476" i="8"/>
  <c r="J476" i="8"/>
  <c r="D477" i="8"/>
  <c r="F477" i="8"/>
  <c r="J477" i="8"/>
  <c r="D478" i="8"/>
  <c r="F478" i="8"/>
  <c r="J478" i="8"/>
  <c r="D479" i="8"/>
  <c r="F479" i="8"/>
  <c r="J479" i="8"/>
  <c r="D480" i="8"/>
  <c r="F480" i="8"/>
  <c r="J480" i="8"/>
  <c r="D481" i="8"/>
  <c r="F481" i="8"/>
  <c r="J481" i="8"/>
  <c r="D482" i="8"/>
  <c r="F482" i="8"/>
  <c r="J482" i="8"/>
  <c r="D483" i="8"/>
  <c r="F483" i="8"/>
  <c r="J483" i="8"/>
  <c r="D484" i="8"/>
  <c r="F484" i="8"/>
  <c r="J484" i="8"/>
  <c r="D485" i="8"/>
  <c r="F485" i="8"/>
  <c r="J485" i="8"/>
  <c r="D486" i="8"/>
  <c r="F486" i="8"/>
  <c r="J486" i="8"/>
  <c r="D487" i="8"/>
  <c r="F487" i="8"/>
  <c r="J487" i="8"/>
  <c r="D488" i="8"/>
  <c r="F488" i="8"/>
  <c r="J488" i="8"/>
  <c r="D489" i="8"/>
  <c r="F489" i="8"/>
  <c r="J489" i="8"/>
  <c r="D490" i="8"/>
  <c r="F490" i="8"/>
  <c r="J490" i="8"/>
  <c r="D491" i="8"/>
  <c r="F491" i="8"/>
  <c r="J491" i="8"/>
  <c r="D492" i="8"/>
  <c r="F492" i="8"/>
  <c r="J492" i="8"/>
  <c r="D493" i="8"/>
  <c r="F493" i="8"/>
  <c r="J493" i="8"/>
  <c r="D494" i="8"/>
  <c r="F494" i="8"/>
  <c r="J494" i="8"/>
  <c r="D495" i="8"/>
  <c r="F495" i="8"/>
  <c r="J495" i="8"/>
  <c r="D496" i="8"/>
  <c r="F496" i="8"/>
  <c r="J496" i="8"/>
  <c r="D497" i="8"/>
  <c r="F497" i="8"/>
  <c r="J497" i="8"/>
  <c r="D498" i="8"/>
  <c r="F498" i="8"/>
  <c r="J498" i="8"/>
  <c r="D499" i="8"/>
  <c r="F499" i="8"/>
  <c r="J499" i="8"/>
  <c r="D500" i="8"/>
  <c r="F500" i="8"/>
  <c r="J500" i="8"/>
  <c r="D501" i="8"/>
  <c r="F501" i="8"/>
  <c r="J501" i="8"/>
  <c r="D502" i="8"/>
  <c r="F502" i="8"/>
  <c r="J502" i="8"/>
  <c r="D503" i="8"/>
  <c r="F503" i="8"/>
  <c r="J503" i="8"/>
  <c r="D504" i="8"/>
  <c r="F504" i="8"/>
  <c r="J504" i="8"/>
  <c r="D505" i="8"/>
  <c r="F505" i="8"/>
  <c r="J505" i="8"/>
  <c r="D506" i="8"/>
  <c r="F506" i="8"/>
  <c r="J506" i="8"/>
  <c r="D507" i="8"/>
  <c r="F507" i="8"/>
  <c r="J507" i="8"/>
  <c r="D508" i="8"/>
  <c r="F508" i="8"/>
  <c r="J508" i="8"/>
  <c r="D509" i="8"/>
  <c r="F509" i="8"/>
  <c r="J509" i="8"/>
  <c r="D510" i="8"/>
  <c r="F510" i="8"/>
  <c r="J510" i="8"/>
  <c r="D511" i="8"/>
  <c r="F511" i="8"/>
  <c r="J511" i="8"/>
  <c r="D512" i="8"/>
  <c r="F512" i="8"/>
  <c r="J512" i="8"/>
  <c r="D513" i="8"/>
  <c r="F513" i="8"/>
  <c r="J513" i="8"/>
  <c r="D514" i="8"/>
  <c r="F514" i="8"/>
  <c r="J514" i="8"/>
  <c r="D515" i="8"/>
  <c r="F515" i="8"/>
  <c r="J515" i="8"/>
  <c r="D516" i="8"/>
  <c r="F516" i="8"/>
  <c r="J516" i="8"/>
  <c r="D517" i="8"/>
  <c r="F517" i="8"/>
  <c r="J517" i="8"/>
  <c r="D518" i="8"/>
  <c r="F518" i="8"/>
  <c r="J518" i="8"/>
  <c r="D519" i="8"/>
  <c r="F519" i="8"/>
  <c r="J519" i="8"/>
  <c r="D520" i="8"/>
  <c r="F520" i="8"/>
  <c r="J520" i="8"/>
  <c r="D521" i="8"/>
  <c r="F521" i="8"/>
  <c r="J521" i="8"/>
  <c r="D522" i="8"/>
  <c r="F522" i="8"/>
  <c r="J522" i="8"/>
  <c r="D523" i="8"/>
  <c r="F523" i="8"/>
  <c r="J523" i="8"/>
  <c r="D524" i="8"/>
  <c r="F524" i="8"/>
  <c r="J524" i="8"/>
  <c r="D525" i="8"/>
  <c r="F525" i="8"/>
  <c r="J525" i="8"/>
  <c r="D526" i="8"/>
  <c r="F526" i="8"/>
  <c r="J526" i="8"/>
  <c r="D527" i="8"/>
  <c r="F527" i="8"/>
  <c r="J527" i="8"/>
  <c r="D528" i="8"/>
  <c r="F528" i="8"/>
  <c r="J528" i="8"/>
  <c r="D529" i="8"/>
  <c r="F529" i="8"/>
  <c r="J529" i="8"/>
  <c r="D530" i="8"/>
  <c r="F530" i="8"/>
  <c r="J530" i="8"/>
  <c r="D531" i="8"/>
  <c r="F531" i="8"/>
  <c r="J531" i="8"/>
  <c r="D532" i="8"/>
  <c r="F532" i="8"/>
  <c r="J532" i="8"/>
  <c r="D533" i="8"/>
  <c r="F533" i="8"/>
  <c r="J533" i="8"/>
  <c r="D534" i="8"/>
  <c r="F534" i="8"/>
  <c r="J534" i="8"/>
  <c r="D535" i="8"/>
  <c r="F535" i="8"/>
  <c r="J535" i="8"/>
  <c r="D536" i="8"/>
  <c r="F536" i="8"/>
  <c r="J536" i="8"/>
  <c r="D537" i="8"/>
  <c r="F537" i="8"/>
  <c r="J537" i="8"/>
  <c r="D538" i="8"/>
  <c r="F538" i="8"/>
  <c r="J538" i="8"/>
  <c r="D539" i="8"/>
  <c r="F539" i="8"/>
  <c r="J539" i="8"/>
  <c r="D540" i="8"/>
  <c r="F540" i="8"/>
  <c r="J540" i="8"/>
  <c r="D541" i="8"/>
  <c r="F541" i="8"/>
  <c r="J541" i="8"/>
  <c r="D542" i="8"/>
  <c r="F542" i="8"/>
  <c r="J542" i="8"/>
  <c r="D543" i="8"/>
  <c r="F543" i="8"/>
  <c r="J543" i="8"/>
  <c r="D544" i="8"/>
  <c r="F544" i="8"/>
  <c r="J544" i="8"/>
  <c r="D545" i="8"/>
  <c r="F545" i="8"/>
  <c r="J545" i="8"/>
  <c r="D546" i="8"/>
  <c r="F546" i="8"/>
  <c r="J546" i="8"/>
  <c r="D547" i="8"/>
  <c r="F547" i="8"/>
  <c r="J547" i="8"/>
  <c r="D548" i="8"/>
  <c r="F548" i="8"/>
  <c r="J548" i="8"/>
  <c r="D549" i="8"/>
  <c r="F549" i="8"/>
  <c r="J549" i="8"/>
  <c r="D550" i="8"/>
  <c r="F550" i="8"/>
  <c r="J550" i="8"/>
  <c r="D551" i="8"/>
  <c r="F551" i="8"/>
  <c r="J551" i="8"/>
  <c r="D552" i="8"/>
  <c r="F552" i="8"/>
  <c r="J552" i="8"/>
  <c r="D553" i="8"/>
  <c r="F553" i="8"/>
  <c r="J553" i="8"/>
  <c r="D554" i="8"/>
  <c r="F554" i="8"/>
  <c r="J554" i="8"/>
  <c r="D555" i="8"/>
  <c r="F555" i="8"/>
  <c r="J555" i="8"/>
  <c r="D556" i="8"/>
  <c r="F556" i="8"/>
  <c r="J556" i="8"/>
  <c r="D557" i="8"/>
  <c r="F557" i="8"/>
  <c r="J557" i="8"/>
  <c r="D558" i="8"/>
  <c r="F558" i="8"/>
  <c r="J558" i="8"/>
  <c r="D559" i="8"/>
  <c r="F559" i="8"/>
  <c r="J559" i="8"/>
  <c r="D560" i="8"/>
  <c r="F560" i="8"/>
  <c r="J560" i="8"/>
  <c r="D561" i="8"/>
  <c r="F561" i="8"/>
  <c r="J561" i="8"/>
  <c r="D562" i="8"/>
  <c r="F562" i="8"/>
  <c r="J562" i="8"/>
  <c r="D563" i="8"/>
  <c r="F563" i="8"/>
  <c r="J563" i="8"/>
  <c r="D564" i="8"/>
  <c r="F564" i="8"/>
  <c r="J564" i="8"/>
  <c r="D565" i="8"/>
  <c r="F565" i="8"/>
  <c r="J565" i="8"/>
  <c r="D566" i="8"/>
  <c r="F566" i="8"/>
  <c r="J566" i="8"/>
  <c r="D567" i="8"/>
  <c r="F567" i="8"/>
  <c r="J567" i="8"/>
  <c r="D568" i="8"/>
  <c r="F568" i="8"/>
  <c r="J568" i="8"/>
  <c r="D569" i="8"/>
  <c r="F569" i="8"/>
  <c r="J569" i="8"/>
  <c r="D570" i="8"/>
  <c r="F570" i="8"/>
  <c r="J570" i="8"/>
  <c r="D571" i="8"/>
  <c r="F571" i="8"/>
  <c r="J571" i="8"/>
  <c r="D572" i="8"/>
  <c r="F572" i="8"/>
  <c r="J572" i="8"/>
  <c r="D573" i="8"/>
  <c r="F573" i="8"/>
  <c r="J573" i="8"/>
  <c r="D574" i="8"/>
  <c r="F574" i="8"/>
  <c r="J574" i="8"/>
  <c r="D575" i="8"/>
  <c r="F575" i="8"/>
  <c r="J575" i="8"/>
  <c r="D576" i="8"/>
  <c r="F576" i="8"/>
  <c r="J576" i="8"/>
  <c r="D577" i="8"/>
  <c r="F577" i="8"/>
  <c r="J577" i="8"/>
  <c r="D578" i="8"/>
  <c r="F578" i="8"/>
  <c r="J578" i="8"/>
  <c r="D579" i="8"/>
  <c r="F579" i="8"/>
  <c r="J579" i="8"/>
  <c r="D580" i="8"/>
  <c r="F580" i="8"/>
  <c r="J580" i="8"/>
  <c r="D581" i="8"/>
  <c r="F581" i="8"/>
  <c r="J581" i="8"/>
  <c r="D582" i="8"/>
  <c r="F582" i="8"/>
  <c r="J582" i="8"/>
  <c r="D583" i="8"/>
  <c r="F583" i="8"/>
  <c r="J583" i="8"/>
  <c r="D584" i="8"/>
  <c r="F584" i="8"/>
  <c r="J584" i="8"/>
  <c r="D585" i="8"/>
  <c r="F585" i="8"/>
  <c r="J585" i="8"/>
  <c r="D586" i="8"/>
  <c r="F586" i="8"/>
  <c r="J586" i="8"/>
  <c r="D587" i="8"/>
  <c r="F587" i="8"/>
  <c r="J587" i="8"/>
  <c r="D588" i="8"/>
  <c r="F588" i="8"/>
  <c r="J588" i="8"/>
  <c r="D589" i="8"/>
  <c r="F589" i="8"/>
  <c r="J589" i="8"/>
  <c r="D590" i="8"/>
  <c r="F590" i="8"/>
  <c r="J590" i="8"/>
  <c r="D591" i="8"/>
  <c r="F591" i="8"/>
  <c r="J591" i="8"/>
  <c r="D592" i="8"/>
  <c r="F592" i="8"/>
  <c r="J592" i="8"/>
  <c r="D593" i="8"/>
  <c r="F593" i="8"/>
  <c r="J593" i="8"/>
  <c r="D594" i="8"/>
  <c r="F594" i="8"/>
  <c r="J594" i="8"/>
  <c r="D595" i="8"/>
  <c r="F595" i="8"/>
  <c r="J595" i="8"/>
  <c r="D596" i="8"/>
  <c r="F596" i="8"/>
  <c r="J596" i="8"/>
  <c r="D597" i="8"/>
  <c r="F597" i="8"/>
  <c r="J597" i="8"/>
  <c r="D598" i="8"/>
  <c r="F598" i="8"/>
  <c r="J598" i="8"/>
  <c r="D599" i="8"/>
  <c r="F599" i="8"/>
  <c r="J599" i="8"/>
  <c r="D600" i="8"/>
  <c r="F600" i="8"/>
  <c r="J600" i="8"/>
  <c r="D601" i="8"/>
  <c r="F601" i="8"/>
  <c r="J601" i="8"/>
  <c r="D602" i="8"/>
  <c r="F602" i="8"/>
  <c r="J602" i="8"/>
  <c r="D603" i="8"/>
  <c r="F603" i="8"/>
  <c r="J603" i="8"/>
  <c r="D604" i="8"/>
  <c r="F604" i="8"/>
  <c r="J604" i="8"/>
  <c r="D605" i="8"/>
  <c r="F605" i="8"/>
  <c r="J605" i="8"/>
  <c r="D606" i="8"/>
  <c r="F606" i="8"/>
  <c r="J606" i="8"/>
  <c r="D607" i="8"/>
  <c r="F607" i="8"/>
  <c r="J607" i="8"/>
  <c r="D608" i="8"/>
  <c r="F608" i="8"/>
  <c r="J608" i="8"/>
  <c r="D609" i="8"/>
  <c r="F609" i="8"/>
  <c r="J609" i="8"/>
  <c r="D610" i="8"/>
  <c r="F610" i="8"/>
  <c r="J610" i="8"/>
  <c r="D611" i="8"/>
  <c r="F611" i="8"/>
  <c r="J611" i="8"/>
  <c r="D612" i="8"/>
  <c r="F612" i="8"/>
  <c r="J612" i="8"/>
  <c r="D613" i="8"/>
  <c r="F613" i="8"/>
  <c r="J613" i="8"/>
  <c r="D614" i="8"/>
  <c r="F614" i="8"/>
  <c r="J614" i="8"/>
  <c r="D615" i="8"/>
  <c r="F615" i="8"/>
  <c r="J615" i="8"/>
  <c r="D616" i="8"/>
  <c r="F616" i="8"/>
  <c r="J616" i="8"/>
  <c r="D617" i="8"/>
  <c r="F617" i="8"/>
  <c r="J617" i="8"/>
  <c r="D618" i="8"/>
  <c r="F618" i="8"/>
  <c r="J618" i="8"/>
  <c r="D619" i="8"/>
  <c r="F619" i="8"/>
  <c r="J619" i="8"/>
  <c r="D620" i="8"/>
  <c r="F620" i="8"/>
  <c r="J620" i="8"/>
  <c r="D621" i="8"/>
  <c r="F621" i="8"/>
  <c r="J621" i="8"/>
  <c r="D622" i="8"/>
  <c r="F622" i="8"/>
  <c r="J622" i="8"/>
  <c r="D623" i="8"/>
  <c r="F623" i="8"/>
  <c r="J623" i="8"/>
  <c r="D624" i="8"/>
  <c r="F624" i="8"/>
  <c r="J624" i="8"/>
  <c r="D625" i="8"/>
  <c r="F625" i="8"/>
  <c r="J625" i="8"/>
  <c r="D626" i="8"/>
  <c r="F626" i="8"/>
  <c r="J626" i="8"/>
  <c r="D627" i="8"/>
  <c r="F627" i="8"/>
  <c r="J627" i="8"/>
  <c r="D628" i="8"/>
  <c r="F628" i="8"/>
  <c r="J628" i="8"/>
  <c r="D629" i="8"/>
  <c r="F629" i="8"/>
  <c r="J629" i="8"/>
  <c r="D630" i="8"/>
  <c r="F630" i="8"/>
  <c r="J630" i="8"/>
  <c r="D631" i="8"/>
  <c r="F631" i="8"/>
  <c r="J631" i="8"/>
  <c r="D632" i="8"/>
  <c r="F632" i="8"/>
  <c r="J632" i="8"/>
  <c r="D633" i="8"/>
  <c r="F633" i="8"/>
  <c r="J633" i="8"/>
  <c r="D634" i="8"/>
  <c r="F634" i="8"/>
  <c r="J634" i="8"/>
  <c r="D635" i="8"/>
  <c r="F635" i="8"/>
  <c r="J635" i="8"/>
  <c r="D636" i="8"/>
  <c r="F636" i="8"/>
  <c r="J636" i="8"/>
  <c r="D637" i="8"/>
  <c r="F637" i="8"/>
  <c r="J637" i="8"/>
  <c r="D638" i="8"/>
  <c r="F638" i="8"/>
  <c r="J638" i="8"/>
  <c r="D639" i="8"/>
  <c r="F639" i="8"/>
  <c r="J639" i="8"/>
  <c r="D640" i="8"/>
  <c r="F640" i="8"/>
  <c r="J640" i="8"/>
  <c r="D641" i="8"/>
  <c r="F641" i="8"/>
  <c r="J641" i="8"/>
  <c r="D642" i="8"/>
  <c r="F642" i="8"/>
  <c r="J642" i="8"/>
  <c r="D643" i="8"/>
  <c r="F643" i="8"/>
  <c r="J643" i="8"/>
  <c r="D644" i="8"/>
  <c r="F644" i="8"/>
  <c r="J644" i="8"/>
  <c r="D645" i="8"/>
  <c r="F645" i="8"/>
  <c r="J645" i="8"/>
  <c r="D646" i="8"/>
  <c r="F646" i="8"/>
  <c r="J646" i="8"/>
  <c r="D647" i="8"/>
  <c r="F647" i="8"/>
  <c r="J647" i="8"/>
  <c r="D648" i="8"/>
  <c r="F648" i="8"/>
  <c r="J648" i="8"/>
  <c r="D649" i="8"/>
  <c r="F649" i="8"/>
  <c r="J649" i="8"/>
  <c r="D650" i="8"/>
  <c r="F650" i="8"/>
  <c r="J650" i="8"/>
  <c r="D651" i="8"/>
  <c r="F651" i="8"/>
  <c r="J651" i="8"/>
  <c r="D652" i="8"/>
  <c r="F652" i="8"/>
  <c r="J652" i="8"/>
  <c r="D653" i="8"/>
  <c r="F653" i="8"/>
  <c r="J653" i="8"/>
  <c r="D654" i="8"/>
  <c r="F654" i="8"/>
  <c r="J654" i="8"/>
  <c r="D655" i="8"/>
  <c r="F655" i="8"/>
  <c r="J655" i="8"/>
  <c r="D656" i="8"/>
  <c r="F656" i="8"/>
  <c r="J656" i="8"/>
  <c r="D657" i="8"/>
  <c r="F657" i="8"/>
  <c r="J657" i="8"/>
  <c r="D658" i="8"/>
  <c r="F658" i="8"/>
  <c r="J658" i="8"/>
  <c r="D659" i="8"/>
  <c r="F659" i="8"/>
  <c r="J659" i="8"/>
  <c r="D660" i="8"/>
  <c r="F660" i="8"/>
  <c r="J660" i="8"/>
  <c r="D661" i="8"/>
  <c r="F661" i="8"/>
  <c r="J661" i="8"/>
  <c r="D662" i="8"/>
  <c r="F662" i="8"/>
  <c r="J662" i="8"/>
  <c r="D663" i="8"/>
  <c r="F663" i="8"/>
  <c r="J663" i="8"/>
  <c r="D664" i="8"/>
  <c r="F664" i="8"/>
  <c r="J664" i="8"/>
  <c r="D665" i="8"/>
  <c r="F665" i="8"/>
  <c r="J665" i="8"/>
  <c r="D666" i="8"/>
  <c r="F666" i="8"/>
  <c r="J666" i="8"/>
  <c r="D667" i="8"/>
  <c r="F667" i="8"/>
  <c r="J667" i="8"/>
  <c r="D668" i="8"/>
  <c r="F668" i="8"/>
  <c r="J668" i="8"/>
  <c r="D669" i="8"/>
  <c r="F669" i="8"/>
  <c r="J669" i="8"/>
  <c r="D670" i="8"/>
  <c r="F670" i="8"/>
  <c r="J670" i="8"/>
  <c r="D671" i="8"/>
  <c r="F671" i="8"/>
  <c r="J671" i="8"/>
  <c r="D672" i="8"/>
  <c r="F672" i="8"/>
  <c r="J672" i="8"/>
  <c r="D673" i="8"/>
  <c r="F673" i="8"/>
  <c r="J673" i="8"/>
  <c r="D674" i="8"/>
  <c r="F674" i="8"/>
  <c r="J674" i="8"/>
  <c r="D675" i="8"/>
  <c r="F675" i="8"/>
  <c r="J675" i="8"/>
  <c r="D676" i="8"/>
  <c r="F676" i="8"/>
  <c r="J676" i="8"/>
  <c r="D677" i="8"/>
  <c r="F677" i="8"/>
  <c r="J677" i="8"/>
  <c r="D678" i="8"/>
  <c r="F678" i="8"/>
  <c r="J678" i="8"/>
  <c r="D679" i="8"/>
  <c r="F679" i="8"/>
  <c r="J679" i="8"/>
  <c r="D680" i="8"/>
  <c r="F680" i="8"/>
  <c r="J680" i="8"/>
  <c r="D681" i="8"/>
  <c r="F681" i="8"/>
  <c r="J681" i="8"/>
  <c r="D682" i="8"/>
  <c r="F682" i="8"/>
  <c r="J682" i="8"/>
  <c r="D683" i="8"/>
  <c r="F683" i="8"/>
  <c r="J683" i="8"/>
  <c r="D684" i="8"/>
  <c r="F684" i="8"/>
  <c r="J684" i="8"/>
  <c r="D685" i="8"/>
  <c r="F685" i="8"/>
  <c r="J685" i="8"/>
  <c r="D686" i="8"/>
  <c r="F686" i="8"/>
  <c r="J686" i="8"/>
  <c r="D687" i="8"/>
  <c r="F687" i="8"/>
  <c r="J687" i="8"/>
  <c r="D688" i="8"/>
  <c r="F688" i="8"/>
  <c r="J688" i="8"/>
  <c r="D689" i="8"/>
  <c r="F689" i="8"/>
  <c r="J689" i="8"/>
  <c r="D690" i="8"/>
  <c r="F690" i="8"/>
  <c r="J690" i="8"/>
  <c r="D691" i="8"/>
  <c r="F691" i="8"/>
  <c r="J691" i="8"/>
  <c r="D692" i="8"/>
  <c r="F692" i="8"/>
  <c r="J692" i="8"/>
  <c r="D693" i="8"/>
  <c r="F693" i="8"/>
  <c r="J693" i="8"/>
  <c r="D694" i="8"/>
  <c r="F694" i="8"/>
  <c r="J694" i="8"/>
  <c r="D695" i="8"/>
  <c r="F695" i="8"/>
  <c r="J695" i="8"/>
  <c r="D696" i="8"/>
  <c r="F696" i="8"/>
  <c r="J696" i="8"/>
  <c r="D697" i="8"/>
  <c r="F697" i="8"/>
  <c r="J697" i="8"/>
  <c r="D698" i="8"/>
  <c r="F698" i="8"/>
  <c r="J698" i="8"/>
  <c r="D699" i="8"/>
  <c r="F699" i="8"/>
  <c r="J699" i="8"/>
  <c r="D700" i="8"/>
  <c r="F700" i="8"/>
  <c r="J700" i="8"/>
  <c r="D701" i="8"/>
  <c r="F701" i="8"/>
  <c r="J701" i="8"/>
  <c r="D702" i="8"/>
  <c r="F702" i="8"/>
  <c r="J702" i="8"/>
  <c r="D703" i="8"/>
  <c r="F703" i="8"/>
  <c r="J703" i="8"/>
  <c r="D704" i="8"/>
  <c r="F704" i="8"/>
  <c r="J704" i="8"/>
  <c r="D705" i="8"/>
  <c r="F705" i="8"/>
  <c r="J705" i="8"/>
  <c r="D706" i="8"/>
  <c r="F706" i="8"/>
  <c r="J706" i="8"/>
  <c r="D707" i="8"/>
  <c r="F707" i="8"/>
  <c r="J707" i="8"/>
  <c r="D708" i="8"/>
  <c r="F708" i="8"/>
  <c r="J708" i="8"/>
  <c r="D709" i="8"/>
  <c r="F709" i="8"/>
  <c r="J709" i="8"/>
  <c r="D710" i="8"/>
  <c r="F710" i="8"/>
  <c r="J710" i="8"/>
  <c r="D711" i="8"/>
  <c r="F711" i="8"/>
  <c r="J711" i="8"/>
  <c r="D712" i="8"/>
  <c r="F712" i="8"/>
  <c r="J712" i="8"/>
  <c r="D713" i="8"/>
  <c r="F713" i="8"/>
  <c r="J713" i="8"/>
  <c r="D714" i="8"/>
  <c r="F714" i="8"/>
  <c r="J714" i="8"/>
  <c r="D715" i="8"/>
  <c r="F715" i="8"/>
  <c r="J715" i="8"/>
  <c r="D716" i="8"/>
  <c r="F716" i="8"/>
  <c r="J716" i="8"/>
  <c r="D717" i="8"/>
  <c r="F717" i="8"/>
  <c r="J717" i="8"/>
  <c r="D718" i="8"/>
  <c r="F718" i="8"/>
  <c r="J718" i="8"/>
  <c r="D719" i="8"/>
  <c r="F719" i="8"/>
  <c r="J719" i="8"/>
  <c r="D720" i="8"/>
  <c r="F720" i="8"/>
  <c r="J720" i="8"/>
  <c r="D721" i="8"/>
  <c r="F721" i="8"/>
  <c r="J721" i="8"/>
  <c r="D722" i="8"/>
  <c r="F722" i="8"/>
  <c r="J722" i="8"/>
  <c r="D723" i="8"/>
  <c r="F723" i="8"/>
  <c r="J723" i="8"/>
  <c r="D724" i="8"/>
  <c r="F724" i="8"/>
  <c r="J724" i="8"/>
  <c r="D725" i="8"/>
  <c r="F725" i="8"/>
  <c r="J725" i="8"/>
  <c r="D726" i="8"/>
  <c r="F726" i="8"/>
  <c r="J726" i="8"/>
  <c r="D727" i="8"/>
  <c r="F727" i="8"/>
  <c r="J727" i="8"/>
  <c r="D728" i="8"/>
  <c r="F728" i="8"/>
  <c r="J728" i="8"/>
  <c r="D729" i="8"/>
  <c r="F729" i="8"/>
  <c r="J729" i="8"/>
  <c r="D730" i="8"/>
  <c r="F730" i="8"/>
  <c r="J730" i="8"/>
  <c r="D731" i="8"/>
  <c r="F731" i="8"/>
  <c r="J731" i="8"/>
  <c r="D732" i="8"/>
  <c r="F732" i="8"/>
  <c r="J732" i="8"/>
  <c r="D733" i="8"/>
  <c r="F733" i="8"/>
  <c r="J733" i="8"/>
  <c r="D734" i="8"/>
  <c r="F734" i="8"/>
  <c r="J734" i="8"/>
  <c r="D735" i="8"/>
  <c r="F735" i="8"/>
  <c r="J735" i="8"/>
  <c r="D736" i="8"/>
  <c r="F736" i="8"/>
  <c r="J736" i="8"/>
  <c r="D737" i="8"/>
  <c r="F737" i="8"/>
  <c r="J737" i="8"/>
  <c r="D738" i="8"/>
  <c r="F738" i="8"/>
  <c r="J738" i="8"/>
  <c r="D739" i="8"/>
  <c r="F739" i="8"/>
  <c r="J739" i="8"/>
  <c r="D740" i="8"/>
  <c r="F740" i="8"/>
  <c r="J740" i="8"/>
  <c r="D741" i="8"/>
  <c r="F741" i="8"/>
  <c r="J741" i="8"/>
  <c r="D742" i="8"/>
  <c r="F742" i="8"/>
  <c r="J742" i="8"/>
  <c r="D743" i="8"/>
  <c r="F743" i="8"/>
  <c r="J743" i="8"/>
  <c r="D744" i="8"/>
  <c r="F744" i="8"/>
  <c r="J744" i="8"/>
  <c r="D745" i="8"/>
  <c r="F745" i="8"/>
  <c r="J745" i="8"/>
  <c r="D746" i="8"/>
  <c r="F746" i="8"/>
  <c r="J746" i="8"/>
  <c r="D747" i="8"/>
  <c r="F747" i="8"/>
  <c r="J747" i="8"/>
  <c r="D748" i="8"/>
  <c r="F748" i="8"/>
  <c r="J748" i="8"/>
  <c r="D749" i="8"/>
  <c r="F749" i="8"/>
  <c r="J749" i="8"/>
  <c r="D750" i="8"/>
  <c r="F750" i="8"/>
  <c r="J750" i="8"/>
  <c r="D751" i="8"/>
  <c r="F751" i="8"/>
  <c r="J751" i="8"/>
  <c r="D752" i="8"/>
  <c r="F752" i="8"/>
  <c r="J752" i="8"/>
  <c r="D753" i="8"/>
  <c r="F753" i="8"/>
  <c r="J753" i="8"/>
  <c r="D754" i="8"/>
  <c r="F754" i="8"/>
  <c r="J754" i="8"/>
  <c r="D755" i="8"/>
  <c r="F755" i="8"/>
  <c r="J755" i="8"/>
  <c r="D756" i="8"/>
  <c r="F756" i="8"/>
  <c r="J756" i="8"/>
  <c r="D757" i="8"/>
  <c r="F757" i="8"/>
  <c r="J757" i="8"/>
  <c r="D758" i="8"/>
  <c r="F758" i="8"/>
  <c r="J758" i="8"/>
  <c r="D759" i="8"/>
  <c r="F759" i="8"/>
  <c r="J759" i="8"/>
  <c r="D760" i="8"/>
  <c r="F760" i="8"/>
  <c r="J760" i="8"/>
  <c r="D761" i="8"/>
  <c r="F761" i="8"/>
  <c r="J761" i="8"/>
  <c r="D762" i="8"/>
  <c r="F762" i="8"/>
  <c r="J762" i="8"/>
  <c r="D763" i="8"/>
  <c r="F763" i="8"/>
  <c r="J763" i="8"/>
  <c r="D764" i="8"/>
  <c r="F764" i="8"/>
  <c r="J764" i="8"/>
  <c r="D765" i="8"/>
  <c r="F765" i="8"/>
  <c r="J765" i="8"/>
  <c r="D766" i="8"/>
  <c r="F766" i="8"/>
  <c r="J766" i="8"/>
  <c r="D767" i="8"/>
  <c r="F767" i="8"/>
  <c r="J767" i="8"/>
  <c r="D768" i="8"/>
  <c r="F768" i="8"/>
  <c r="J768" i="8"/>
  <c r="D769" i="8"/>
  <c r="F769" i="8"/>
  <c r="J769" i="8"/>
  <c r="D770" i="8"/>
  <c r="F770" i="8"/>
  <c r="J770" i="8"/>
  <c r="D771" i="8"/>
  <c r="F771" i="8"/>
  <c r="J771" i="8"/>
  <c r="D772" i="8"/>
  <c r="F772" i="8"/>
  <c r="J772" i="8"/>
  <c r="D773" i="8"/>
  <c r="F773" i="8"/>
  <c r="J773" i="8"/>
  <c r="D774" i="8"/>
  <c r="F774" i="8"/>
  <c r="J774" i="8"/>
  <c r="D775" i="8"/>
  <c r="F775" i="8"/>
  <c r="J775" i="8"/>
  <c r="D776" i="8"/>
  <c r="F776" i="8"/>
  <c r="J776" i="8"/>
  <c r="D777" i="8"/>
  <c r="F777" i="8"/>
  <c r="J777" i="8"/>
  <c r="D778" i="8"/>
  <c r="F778" i="8"/>
  <c r="J778" i="8"/>
  <c r="D779" i="8"/>
  <c r="F779" i="8"/>
  <c r="J779" i="8"/>
  <c r="D780" i="8"/>
  <c r="F780" i="8"/>
  <c r="J780" i="8"/>
  <c r="D781" i="8"/>
  <c r="F781" i="8"/>
  <c r="J781" i="8"/>
  <c r="D782" i="8"/>
  <c r="F782" i="8"/>
  <c r="J782" i="8"/>
  <c r="D783" i="8"/>
  <c r="F783" i="8"/>
  <c r="J783" i="8"/>
  <c r="D784" i="8"/>
  <c r="F784" i="8"/>
  <c r="J784" i="8"/>
  <c r="D785" i="8"/>
  <c r="F785" i="8"/>
  <c r="J785" i="8"/>
  <c r="D786" i="8"/>
  <c r="F786" i="8"/>
  <c r="J786" i="8"/>
  <c r="D787" i="8"/>
  <c r="F787" i="8"/>
  <c r="J787" i="8"/>
  <c r="D788" i="8"/>
  <c r="F788" i="8"/>
  <c r="J788" i="8"/>
  <c r="D789" i="8"/>
  <c r="F789" i="8"/>
  <c r="J789" i="8"/>
  <c r="D790" i="8"/>
  <c r="F790" i="8"/>
  <c r="J790" i="8"/>
  <c r="D791" i="8"/>
  <c r="F791" i="8"/>
  <c r="J791" i="8"/>
  <c r="D792" i="8"/>
  <c r="F792" i="8"/>
  <c r="J792" i="8"/>
  <c r="D793" i="8"/>
  <c r="F793" i="8"/>
  <c r="J793" i="8"/>
  <c r="D794" i="8"/>
  <c r="F794" i="8"/>
  <c r="J794" i="8"/>
  <c r="D795" i="8"/>
  <c r="F795" i="8"/>
  <c r="J795" i="8"/>
  <c r="D796" i="8"/>
  <c r="F796" i="8"/>
  <c r="J796" i="8"/>
  <c r="D797" i="8"/>
  <c r="F797" i="8"/>
  <c r="J797" i="8"/>
  <c r="D798" i="8"/>
  <c r="F798" i="8"/>
  <c r="J798" i="8"/>
  <c r="D799" i="8"/>
  <c r="F799" i="8"/>
  <c r="J799" i="8"/>
  <c r="D800" i="8"/>
  <c r="F800" i="8"/>
  <c r="J800" i="8"/>
  <c r="D801" i="8"/>
  <c r="F801" i="8"/>
  <c r="J801" i="8"/>
  <c r="D802" i="8"/>
  <c r="F802" i="8"/>
  <c r="J802" i="8"/>
  <c r="D803" i="8"/>
  <c r="F803" i="8"/>
  <c r="J803" i="8"/>
  <c r="D804" i="8"/>
  <c r="F804" i="8"/>
  <c r="J804" i="8"/>
  <c r="D805" i="8"/>
  <c r="F805" i="8"/>
  <c r="J805" i="8"/>
  <c r="D806" i="8"/>
  <c r="F806" i="8"/>
  <c r="J806" i="8"/>
  <c r="D807" i="8"/>
  <c r="F807" i="8"/>
  <c r="J807" i="8"/>
  <c r="D808" i="8"/>
  <c r="F808" i="8"/>
  <c r="J808" i="8"/>
  <c r="D809" i="8"/>
  <c r="F809" i="8"/>
  <c r="J809" i="8"/>
  <c r="D810" i="8"/>
  <c r="F810" i="8"/>
  <c r="J810" i="8"/>
  <c r="D811" i="8"/>
  <c r="F811" i="8"/>
  <c r="J811" i="8"/>
  <c r="D812" i="8"/>
  <c r="F812" i="8"/>
  <c r="J812" i="8"/>
  <c r="D813" i="8"/>
  <c r="F813" i="8"/>
  <c r="J813" i="8"/>
  <c r="D814" i="8"/>
  <c r="F814" i="8"/>
  <c r="J814" i="8"/>
  <c r="D815" i="8"/>
  <c r="F815" i="8"/>
  <c r="J815" i="8"/>
  <c r="D816" i="8"/>
  <c r="F816" i="8"/>
  <c r="J816" i="8"/>
  <c r="D817" i="8"/>
  <c r="F817" i="8"/>
  <c r="J817" i="8"/>
  <c r="D818" i="8"/>
  <c r="F818" i="8"/>
  <c r="J818" i="8"/>
  <c r="D819" i="8"/>
  <c r="F819" i="8"/>
  <c r="J819" i="8"/>
  <c r="D820" i="8"/>
  <c r="F820" i="8"/>
  <c r="J820" i="8"/>
  <c r="D821" i="8"/>
  <c r="F821" i="8"/>
  <c r="J821" i="8"/>
  <c r="D822" i="8"/>
  <c r="F822" i="8"/>
  <c r="J822" i="8"/>
  <c r="D823" i="8"/>
  <c r="F823" i="8"/>
  <c r="J823" i="8"/>
  <c r="D824" i="8"/>
  <c r="F824" i="8"/>
  <c r="J824" i="8"/>
  <c r="D825" i="8"/>
  <c r="F825" i="8"/>
  <c r="J825" i="8"/>
  <c r="D826" i="8"/>
  <c r="F826" i="8"/>
  <c r="J826" i="8"/>
  <c r="D827" i="8"/>
  <c r="F827" i="8"/>
  <c r="J827" i="8"/>
  <c r="D828" i="8"/>
  <c r="F828" i="8"/>
  <c r="J828" i="8"/>
  <c r="D829" i="8"/>
  <c r="F829" i="8"/>
  <c r="J829" i="8"/>
  <c r="D830" i="8"/>
  <c r="F830" i="8"/>
  <c r="J830" i="8"/>
  <c r="D831" i="8"/>
  <c r="F831" i="8"/>
  <c r="J831" i="8"/>
  <c r="D832" i="8"/>
  <c r="F832" i="8"/>
  <c r="J832" i="8"/>
  <c r="D833" i="8"/>
  <c r="F833" i="8"/>
  <c r="J833" i="8"/>
  <c r="D834" i="8"/>
  <c r="F834" i="8"/>
  <c r="J834" i="8"/>
  <c r="D835" i="8"/>
  <c r="F835" i="8"/>
  <c r="J835" i="8"/>
  <c r="D836" i="8"/>
  <c r="F836" i="8"/>
  <c r="J836" i="8"/>
  <c r="D837" i="8"/>
  <c r="F837" i="8"/>
  <c r="J837" i="8"/>
  <c r="D838" i="8"/>
  <c r="F838" i="8"/>
  <c r="J838" i="8"/>
  <c r="D839" i="8"/>
  <c r="F839" i="8"/>
  <c r="J839" i="8"/>
  <c r="D840" i="8"/>
  <c r="F840" i="8"/>
  <c r="J840" i="8"/>
  <c r="D841" i="8"/>
  <c r="F841" i="8"/>
  <c r="J841" i="8"/>
  <c r="D842" i="8"/>
  <c r="F842" i="8"/>
  <c r="J842" i="8"/>
  <c r="D843" i="8"/>
  <c r="F843" i="8"/>
  <c r="J843" i="8"/>
  <c r="D844" i="8"/>
  <c r="F844" i="8"/>
  <c r="J844" i="8"/>
  <c r="D845" i="8"/>
  <c r="F845" i="8"/>
  <c r="J845" i="8"/>
  <c r="D846" i="8"/>
  <c r="F846" i="8"/>
  <c r="J846" i="8"/>
  <c r="D847" i="8"/>
  <c r="F847" i="8"/>
  <c r="J847" i="8"/>
  <c r="D848" i="8"/>
  <c r="F848" i="8"/>
  <c r="J848" i="8"/>
  <c r="D849" i="8"/>
  <c r="F849" i="8"/>
  <c r="J849" i="8"/>
  <c r="D850" i="8"/>
  <c r="F850" i="8"/>
  <c r="J850" i="8"/>
  <c r="D851" i="8"/>
  <c r="F851" i="8"/>
  <c r="J851" i="8"/>
  <c r="D852" i="8"/>
  <c r="F852" i="8"/>
  <c r="J852" i="8"/>
  <c r="D853" i="8"/>
  <c r="F853" i="8"/>
  <c r="J853" i="8"/>
  <c r="D854" i="8"/>
  <c r="F854" i="8"/>
  <c r="J854" i="8"/>
  <c r="D855" i="8"/>
  <c r="F855" i="8"/>
  <c r="J855" i="8"/>
  <c r="D856" i="8"/>
  <c r="F856" i="8"/>
  <c r="J856" i="8"/>
  <c r="D857" i="8"/>
  <c r="F857" i="8"/>
  <c r="J857" i="8"/>
  <c r="D858" i="8"/>
  <c r="F858" i="8"/>
  <c r="J858" i="8"/>
  <c r="D859" i="8"/>
  <c r="F859" i="8"/>
  <c r="J859" i="8"/>
  <c r="D860" i="8"/>
  <c r="F860" i="8"/>
  <c r="J860" i="8"/>
  <c r="D861" i="8"/>
  <c r="F861" i="8"/>
  <c r="J861" i="8"/>
  <c r="D862" i="8"/>
  <c r="F862" i="8"/>
  <c r="J862" i="8"/>
  <c r="D863" i="8"/>
  <c r="F863" i="8"/>
  <c r="J863" i="8"/>
  <c r="D864" i="8"/>
  <c r="F864" i="8"/>
  <c r="J864" i="8"/>
  <c r="D865" i="8"/>
  <c r="F865" i="8"/>
  <c r="J865" i="8"/>
  <c r="D866" i="8"/>
  <c r="F866" i="8"/>
  <c r="J866" i="8"/>
  <c r="D867" i="8"/>
  <c r="F867" i="8"/>
  <c r="J867" i="8"/>
  <c r="D868" i="8"/>
  <c r="F868" i="8"/>
  <c r="J868" i="8"/>
  <c r="D869" i="8"/>
  <c r="F869" i="8"/>
  <c r="J869" i="8"/>
  <c r="D870" i="8"/>
  <c r="F870" i="8"/>
  <c r="J870" i="8"/>
  <c r="D871" i="8"/>
  <c r="F871" i="8"/>
  <c r="J871" i="8"/>
  <c r="D872" i="8"/>
  <c r="F872" i="8"/>
  <c r="J872" i="8"/>
  <c r="D873" i="8"/>
  <c r="F873" i="8"/>
  <c r="J873" i="8"/>
  <c r="D874" i="8"/>
  <c r="F874" i="8"/>
  <c r="J874" i="8"/>
  <c r="D875" i="8"/>
  <c r="F875" i="8"/>
  <c r="J875" i="8"/>
  <c r="D876" i="8"/>
  <c r="F876" i="8"/>
  <c r="J876" i="8"/>
  <c r="D877" i="8"/>
  <c r="F877" i="8"/>
  <c r="J877" i="8"/>
  <c r="D878" i="8"/>
  <c r="F878" i="8"/>
  <c r="J878" i="8"/>
  <c r="D879" i="8"/>
  <c r="F879" i="8"/>
  <c r="J879" i="8"/>
  <c r="D880" i="8"/>
  <c r="F880" i="8"/>
  <c r="J880" i="8"/>
  <c r="D881" i="8"/>
  <c r="F881" i="8"/>
  <c r="J881" i="8"/>
  <c r="D882" i="8"/>
  <c r="F882" i="8"/>
  <c r="J882" i="8"/>
  <c r="D883" i="8"/>
  <c r="F883" i="8"/>
  <c r="J883" i="8"/>
  <c r="D884" i="8"/>
  <c r="F884" i="8"/>
  <c r="J884" i="8"/>
  <c r="D885" i="8"/>
  <c r="F885" i="8"/>
  <c r="J885" i="8"/>
  <c r="D886" i="8"/>
  <c r="F886" i="8"/>
  <c r="J886" i="8"/>
  <c r="D887" i="8"/>
  <c r="F887" i="8"/>
  <c r="J887" i="8"/>
  <c r="D888" i="8"/>
  <c r="F888" i="8"/>
  <c r="J888" i="8"/>
  <c r="D889" i="8"/>
  <c r="F889" i="8"/>
  <c r="J889" i="8"/>
  <c r="D890" i="8"/>
  <c r="F890" i="8"/>
  <c r="J890" i="8"/>
  <c r="D891" i="8"/>
  <c r="F891" i="8"/>
  <c r="J891" i="8"/>
  <c r="D892" i="8"/>
  <c r="F892" i="8"/>
  <c r="J892" i="8"/>
  <c r="D893" i="8"/>
  <c r="F893" i="8"/>
  <c r="J893" i="8"/>
  <c r="D894" i="8"/>
  <c r="F894" i="8"/>
  <c r="J894" i="8"/>
  <c r="D895" i="8"/>
  <c r="F895" i="8"/>
  <c r="J895" i="8"/>
  <c r="D896" i="8"/>
  <c r="F896" i="8"/>
  <c r="J896" i="8"/>
  <c r="D897" i="8"/>
  <c r="F897" i="8"/>
  <c r="J897" i="8"/>
  <c r="D898" i="8"/>
  <c r="F898" i="8"/>
  <c r="J898" i="8"/>
  <c r="D899" i="8"/>
  <c r="F899" i="8"/>
  <c r="J899" i="8"/>
  <c r="D900" i="8"/>
  <c r="F900" i="8"/>
  <c r="J900" i="8"/>
  <c r="B901" i="8"/>
  <c r="D901" i="8"/>
  <c r="F901" i="8"/>
  <c r="J901" i="8"/>
  <c r="B902" i="8"/>
  <c r="D902" i="8"/>
  <c r="F902" i="8"/>
  <c r="J902" i="8"/>
  <c r="B903" i="8"/>
  <c r="D903" i="8"/>
  <c r="F903" i="8"/>
  <c r="J903" i="8"/>
  <c r="B904" i="8"/>
  <c r="D904" i="8"/>
  <c r="F904" i="8"/>
  <c r="J904" i="8"/>
  <c r="B905" i="8"/>
  <c r="D905" i="8"/>
  <c r="F905" i="8"/>
  <c r="J905" i="8"/>
  <c r="B906" i="8"/>
  <c r="D906" i="8"/>
  <c r="F906" i="8"/>
  <c r="J906" i="8"/>
  <c r="B907" i="8"/>
  <c r="D907" i="8"/>
  <c r="F907" i="8"/>
  <c r="J907" i="8"/>
  <c r="B908" i="8"/>
  <c r="D908" i="8"/>
  <c r="F908" i="8"/>
  <c r="J908" i="8"/>
  <c r="B909" i="8"/>
  <c r="D909" i="8"/>
  <c r="F909" i="8"/>
  <c r="J909" i="8"/>
  <c r="B910" i="8"/>
  <c r="D910" i="8"/>
  <c r="F910" i="8"/>
  <c r="J910" i="8"/>
  <c r="B911" i="8"/>
  <c r="D911" i="8"/>
  <c r="F911" i="8"/>
  <c r="J911" i="8"/>
  <c r="B912" i="8"/>
  <c r="D912" i="8"/>
  <c r="F912" i="8"/>
  <c r="J912" i="8"/>
  <c r="B913" i="8"/>
  <c r="D913" i="8"/>
  <c r="F913" i="8"/>
  <c r="J913" i="8"/>
  <c r="B914" i="8"/>
  <c r="D914" i="8"/>
  <c r="F914" i="8"/>
  <c r="J914" i="8"/>
  <c r="B915" i="8"/>
  <c r="D915" i="8"/>
  <c r="F915" i="8"/>
  <c r="J915" i="8"/>
  <c r="B916" i="8"/>
  <c r="D916" i="8"/>
  <c r="F916" i="8"/>
  <c r="J916" i="8"/>
  <c r="B917" i="8"/>
  <c r="D917" i="8"/>
  <c r="F917" i="8"/>
  <c r="J917" i="8"/>
  <c r="B918" i="8"/>
  <c r="D918" i="8"/>
  <c r="F918" i="8"/>
  <c r="J918" i="8"/>
  <c r="B919" i="8"/>
  <c r="D919" i="8"/>
  <c r="F919" i="8"/>
  <c r="J919" i="8"/>
  <c r="B920" i="8"/>
  <c r="D920" i="8"/>
  <c r="F920" i="8"/>
  <c r="J920" i="8"/>
  <c r="B921" i="8"/>
  <c r="D921" i="8"/>
  <c r="F921" i="8"/>
  <c r="J921" i="8"/>
  <c r="B922" i="8"/>
  <c r="D922" i="8"/>
  <c r="F922" i="8"/>
  <c r="J922" i="8"/>
  <c r="B923" i="8"/>
  <c r="D923" i="8"/>
  <c r="F923" i="8"/>
  <c r="J923" i="8"/>
  <c r="B924" i="8"/>
  <c r="D924" i="8"/>
  <c r="F924" i="8"/>
  <c r="J924" i="8"/>
  <c r="B925" i="8"/>
  <c r="D925" i="8"/>
  <c r="F925" i="8"/>
  <c r="J925" i="8"/>
  <c r="B926" i="8"/>
  <c r="D926" i="8"/>
  <c r="F926" i="8"/>
  <c r="J926" i="8"/>
  <c r="B927" i="8"/>
  <c r="D927" i="8"/>
  <c r="F927" i="8"/>
  <c r="J927" i="8"/>
  <c r="B928" i="8"/>
  <c r="D928" i="8"/>
  <c r="F928" i="8"/>
  <c r="J928" i="8"/>
  <c r="B929" i="8"/>
  <c r="D929" i="8"/>
  <c r="F929" i="8"/>
  <c r="J929" i="8"/>
  <c r="B930" i="8"/>
  <c r="D930" i="8"/>
  <c r="F930" i="8"/>
  <c r="J930" i="8"/>
  <c r="B931" i="8"/>
  <c r="D931" i="8"/>
  <c r="F931" i="8"/>
  <c r="J931" i="8"/>
  <c r="B932" i="8"/>
  <c r="D932" i="8"/>
  <c r="F932" i="8"/>
  <c r="J932" i="8"/>
  <c r="B933" i="8"/>
  <c r="D933" i="8"/>
  <c r="F933" i="8"/>
  <c r="J933" i="8"/>
  <c r="B934" i="8"/>
  <c r="D934" i="8"/>
  <c r="F934" i="8"/>
  <c r="J934" i="8"/>
  <c r="B935" i="8"/>
  <c r="D935" i="8"/>
  <c r="F935" i="8"/>
  <c r="J935" i="8"/>
  <c r="B936" i="8"/>
  <c r="D936" i="8"/>
  <c r="F936" i="8"/>
  <c r="J936" i="8"/>
  <c r="B937" i="8"/>
  <c r="D937" i="8"/>
  <c r="F937" i="8"/>
  <c r="J937" i="8"/>
  <c r="B938" i="8"/>
  <c r="D938" i="8"/>
  <c r="F938" i="8"/>
  <c r="J938" i="8"/>
  <c r="B939" i="8"/>
  <c r="D939" i="8"/>
  <c r="F939" i="8"/>
  <c r="J939" i="8"/>
  <c r="B940" i="8"/>
  <c r="D940" i="8"/>
  <c r="F940" i="8"/>
  <c r="J940" i="8"/>
  <c r="B941" i="8"/>
  <c r="D941" i="8"/>
  <c r="F941" i="8"/>
  <c r="J941" i="8"/>
  <c r="B942" i="8"/>
  <c r="D942" i="8"/>
  <c r="F942" i="8"/>
  <c r="J942" i="8"/>
  <c r="B943" i="8"/>
  <c r="D943" i="8"/>
  <c r="F943" i="8"/>
  <c r="J943" i="8"/>
  <c r="B944" i="8"/>
  <c r="D944" i="8"/>
  <c r="F944" i="8"/>
  <c r="J944" i="8"/>
  <c r="B945" i="8"/>
  <c r="D945" i="8"/>
  <c r="F945" i="8"/>
  <c r="J945" i="8"/>
  <c r="B946" i="8"/>
  <c r="D946" i="8"/>
  <c r="F946" i="8"/>
  <c r="J946" i="8"/>
  <c r="B947" i="8"/>
  <c r="D947" i="8"/>
  <c r="F947" i="8"/>
  <c r="J947" i="8"/>
  <c r="B948" i="8"/>
  <c r="D948" i="8"/>
  <c r="F948" i="8"/>
  <c r="J948" i="8"/>
  <c r="B949" i="8"/>
  <c r="D949" i="8"/>
  <c r="F949" i="8"/>
  <c r="J949" i="8"/>
  <c r="B950" i="8"/>
  <c r="D950" i="8"/>
  <c r="F950" i="8"/>
  <c r="J950" i="8"/>
  <c r="B951" i="8"/>
  <c r="D951" i="8"/>
  <c r="F951" i="8"/>
  <c r="J951" i="8"/>
  <c r="B952" i="8"/>
  <c r="D952" i="8"/>
  <c r="F952" i="8"/>
  <c r="J952" i="8"/>
  <c r="B953" i="8"/>
  <c r="D953" i="8"/>
  <c r="F953" i="8"/>
  <c r="J953" i="8"/>
  <c r="B954" i="8"/>
  <c r="D954" i="8"/>
  <c r="F954" i="8"/>
  <c r="J954" i="8"/>
  <c r="B955" i="8"/>
  <c r="D955" i="8"/>
  <c r="F955" i="8"/>
  <c r="J955" i="8"/>
  <c r="B956" i="8"/>
  <c r="D956" i="8"/>
  <c r="F956" i="8"/>
  <c r="J956" i="8"/>
  <c r="B957" i="8"/>
  <c r="D957" i="8"/>
  <c r="F957" i="8"/>
  <c r="J957" i="8"/>
  <c r="B958" i="8"/>
  <c r="D958" i="8"/>
  <c r="F958" i="8"/>
  <c r="J958" i="8"/>
  <c r="B959" i="8"/>
  <c r="D959" i="8"/>
  <c r="F959" i="8"/>
  <c r="J959" i="8"/>
  <c r="B960" i="8"/>
  <c r="D960" i="8"/>
  <c r="F960" i="8"/>
  <c r="J960" i="8"/>
  <c r="B961" i="8"/>
  <c r="D961" i="8"/>
  <c r="F961" i="8"/>
  <c r="J961" i="8"/>
  <c r="B962" i="8"/>
  <c r="D962" i="8"/>
  <c r="F962" i="8"/>
  <c r="J962" i="8"/>
  <c r="B963" i="8"/>
  <c r="D963" i="8"/>
  <c r="F963" i="8"/>
  <c r="J963" i="8"/>
  <c r="B964" i="8"/>
  <c r="D964" i="8"/>
  <c r="F964" i="8"/>
  <c r="J964" i="8"/>
  <c r="B965" i="8"/>
  <c r="D965" i="8"/>
  <c r="F965" i="8"/>
  <c r="J965" i="8"/>
  <c r="B966" i="8"/>
  <c r="D966" i="8"/>
  <c r="F966" i="8"/>
  <c r="J966" i="8"/>
  <c r="B967" i="8"/>
  <c r="D967" i="8"/>
  <c r="F967" i="8"/>
  <c r="J967" i="8"/>
  <c r="B968" i="8"/>
  <c r="D968" i="8"/>
  <c r="F968" i="8"/>
  <c r="J968" i="8"/>
  <c r="B969" i="8"/>
  <c r="D969" i="8"/>
  <c r="F969" i="8"/>
  <c r="J969" i="8"/>
  <c r="B970" i="8"/>
  <c r="D970" i="8"/>
  <c r="F970" i="8"/>
  <c r="J970" i="8"/>
  <c r="B971" i="8"/>
  <c r="D971" i="8"/>
  <c r="F971" i="8"/>
  <c r="J971" i="8"/>
  <c r="B972" i="8"/>
  <c r="D972" i="8"/>
  <c r="F972" i="8"/>
  <c r="J972" i="8"/>
  <c r="B973" i="8"/>
  <c r="D973" i="8"/>
  <c r="F973" i="8"/>
  <c r="J973" i="8"/>
  <c r="B974" i="8"/>
  <c r="D974" i="8"/>
  <c r="F974" i="8"/>
  <c r="J974" i="8"/>
  <c r="B975" i="8"/>
  <c r="D975" i="8"/>
  <c r="F975" i="8"/>
  <c r="J975" i="8"/>
  <c r="B976" i="8"/>
  <c r="D976" i="8"/>
  <c r="F976" i="8"/>
  <c r="J976" i="8"/>
  <c r="B977" i="8"/>
  <c r="D977" i="8"/>
  <c r="F977" i="8"/>
  <c r="J977" i="8"/>
  <c r="B978" i="8"/>
  <c r="D978" i="8"/>
  <c r="F978" i="8"/>
  <c r="J978" i="8"/>
  <c r="B979" i="8"/>
  <c r="D979" i="8"/>
  <c r="F979" i="8"/>
  <c r="J979" i="8"/>
  <c r="B980" i="8"/>
  <c r="D980" i="8"/>
  <c r="F980" i="8"/>
  <c r="J980" i="8"/>
  <c r="B981" i="8"/>
  <c r="D981" i="8"/>
  <c r="F981" i="8"/>
  <c r="J981" i="8"/>
  <c r="B982" i="8"/>
  <c r="D982" i="8"/>
  <c r="F982" i="8"/>
  <c r="J982" i="8"/>
  <c r="B983" i="8"/>
  <c r="D983" i="8"/>
  <c r="F983" i="8"/>
  <c r="J983" i="8"/>
  <c r="B984" i="8"/>
  <c r="D984" i="8"/>
  <c r="F984" i="8"/>
  <c r="J984" i="8"/>
  <c r="B985" i="8"/>
  <c r="D985" i="8"/>
  <c r="F985" i="8"/>
  <c r="J985" i="8"/>
  <c r="B986" i="8"/>
  <c r="D986" i="8"/>
  <c r="F986" i="8"/>
  <c r="J986" i="8"/>
  <c r="B987" i="8"/>
  <c r="D987" i="8"/>
  <c r="F987" i="8"/>
  <c r="J987" i="8"/>
  <c r="B988" i="8"/>
  <c r="D988" i="8"/>
  <c r="F988" i="8"/>
  <c r="J988" i="8"/>
  <c r="B989" i="8"/>
  <c r="D989" i="8"/>
  <c r="F989" i="8"/>
  <c r="J989" i="8"/>
  <c r="B990" i="8"/>
  <c r="D990" i="8"/>
  <c r="F990" i="8"/>
  <c r="J990" i="8"/>
  <c r="B991" i="8"/>
  <c r="D991" i="8"/>
  <c r="F991" i="8"/>
  <c r="J991" i="8"/>
  <c r="B992" i="8"/>
  <c r="D992" i="8"/>
  <c r="F992" i="8"/>
  <c r="J992" i="8"/>
  <c r="B993" i="8"/>
  <c r="D993" i="8"/>
  <c r="F993" i="8"/>
  <c r="J993" i="8"/>
  <c r="B994" i="8"/>
  <c r="D994" i="8"/>
  <c r="F994" i="8"/>
  <c r="J994" i="8"/>
  <c r="B995" i="8"/>
  <c r="D995" i="8"/>
  <c r="F995" i="8"/>
  <c r="J995" i="8"/>
  <c r="B996" i="8"/>
  <c r="D996" i="8"/>
  <c r="F996" i="8"/>
  <c r="J996" i="8"/>
  <c r="B997" i="8"/>
  <c r="D997" i="8"/>
  <c r="F997" i="8"/>
  <c r="J997" i="8"/>
  <c r="B998" i="8"/>
  <c r="D998" i="8"/>
  <c r="F998" i="8"/>
  <c r="J998" i="8"/>
  <c r="B999" i="8"/>
  <c r="D999" i="8"/>
  <c r="F999" i="8"/>
  <c r="J999" i="8"/>
  <c r="B1000" i="8"/>
  <c r="D1000" i="8"/>
  <c r="F1000" i="8"/>
  <c r="J1000" i="8"/>
  <c r="B1001" i="8"/>
  <c r="D1001" i="8"/>
  <c r="F1001" i="8"/>
  <c r="J1001" i="8"/>
  <c r="B1002" i="8"/>
  <c r="D1002" i="8"/>
  <c r="F1002" i="8"/>
  <c r="J1002" i="8"/>
  <c r="B1003" i="8"/>
  <c r="D1003" i="8"/>
  <c r="F1003" i="8"/>
  <c r="J1003" i="8"/>
  <c r="B1004" i="8"/>
  <c r="D1004" i="8"/>
  <c r="F1004" i="8"/>
  <c r="J1004" i="8"/>
  <c r="B1005" i="8"/>
  <c r="D1005" i="8"/>
  <c r="F1005" i="8"/>
  <c r="J1005" i="8"/>
  <c r="B1006" i="8"/>
  <c r="D1006" i="8"/>
  <c r="F1006" i="8"/>
  <c r="J1006" i="8"/>
  <c r="B1007" i="8"/>
  <c r="D1007" i="8"/>
  <c r="F1007" i="8"/>
  <c r="J1007" i="8"/>
  <c r="B1008" i="8"/>
  <c r="D1008" i="8"/>
  <c r="F1008" i="8"/>
  <c r="J1008" i="8"/>
  <c r="B1009" i="8"/>
  <c r="D1009" i="8"/>
  <c r="F1009" i="8"/>
  <c r="J1009" i="8"/>
  <c r="B1010" i="8"/>
  <c r="D1010" i="8"/>
  <c r="F1010" i="8"/>
  <c r="J1010" i="8"/>
  <c r="B1011" i="8"/>
  <c r="D1011" i="8"/>
  <c r="F1011" i="8"/>
  <c r="J1011" i="8"/>
  <c r="B1012" i="8"/>
  <c r="D1012" i="8"/>
  <c r="F1012" i="8"/>
  <c r="J1012" i="8"/>
  <c r="B1013" i="8"/>
  <c r="D1013" i="8"/>
  <c r="F1013" i="8"/>
  <c r="J1013" i="8"/>
  <c r="B1014" i="8"/>
  <c r="D1014" i="8"/>
  <c r="F1014" i="8"/>
  <c r="J1014" i="8"/>
  <c r="B1015" i="8"/>
  <c r="D1015" i="8"/>
  <c r="F1015" i="8"/>
  <c r="J1015" i="8"/>
  <c r="B1016" i="8"/>
  <c r="D1016" i="8"/>
  <c r="F1016" i="8"/>
  <c r="J1016" i="8"/>
  <c r="B1017" i="8"/>
  <c r="D1017" i="8"/>
  <c r="F1017" i="8"/>
  <c r="J1017" i="8"/>
  <c r="B1018" i="8"/>
  <c r="D1018" i="8"/>
  <c r="F1018" i="8"/>
  <c r="J1018" i="8"/>
  <c r="B1019" i="8"/>
  <c r="D1019" i="8"/>
  <c r="F1019" i="8"/>
  <c r="J1019" i="8"/>
  <c r="B1020" i="8"/>
  <c r="D1020" i="8"/>
  <c r="F1020" i="8"/>
  <c r="J1020" i="8"/>
  <c r="B1021" i="8"/>
  <c r="D1021" i="8"/>
  <c r="F1021" i="8"/>
  <c r="J1021" i="8"/>
  <c r="B1022" i="8"/>
  <c r="D1022" i="8"/>
  <c r="F1022" i="8"/>
  <c r="J1022" i="8"/>
  <c r="B1023" i="8"/>
  <c r="D1023" i="8"/>
  <c r="F1023" i="8"/>
  <c r="J1023" i="8"/>
  <c r="B1024" i="8"/>
  <c r="D1024" i="8"/>
  <c r="F1024" i="8"/>
  <c r="J1024" i="8"/>
  <c r="B1025" i="8"/>
  <c r="D1025" i="8"/>
  <c r="F1025" i="8"/>
  <c r="J1025" i="8"/>
  <c r="B1026" i="8"/>
  <c r="D1026" i="8"/>
  <c r="F1026" i="8"/>
  <c r="J1026" i="8"/>
  <c r="B1027" i="8"/>
  <c r="D1027" i="8"/>
  <c r="F1027" i="8"/>
  <c r="J1027" i="8"/>
  <c r="B1028" i="8"/>
  <c r="D1028" i="8"/>
  <c r="F1028" i="8"/>
  <c r="J1028" i="8"/>
  <c r="B1029" i="8"/>
  <c r="D1029" i="8"/>
  <c r="F1029" i="8"/>
  <c r="J1029" i="8"/>
  <c r="B1030" i="8"/>
  <c r="D1030" i="8"/>
  <c r="F1030" i="8"/>
  <c r="J1030" i="8"/>
  <c r="B1031" i="8"/>
  <c r="D1031" i="8"/>
  <c r="F1031" i="8"/>
  <c r="J1031" i="8"/>
  <c r="B1032" i="8"/>
  <c r="D1032" i="8"/>
  <c r="F1032" i="8"/>
  <c r="J1032" i="8"/>
  <c r="B1033" i="8"/>
  <c r="D1033" i="8"/>
  <c r="F1033" i="8"/>
  <c r="J1033" i="8"/>
  <c r="B1034" i="8"/>
  <c r="D1034" i="8"/>
  <c r="F1034" i="8"/>
  <c r="J1034" i="8"/>
  <c r="B1035" i="8"/>
  <c r="D1035" i="8"/>
  <c r="F1035" i="8"/>
  <c r="J1035" i="8"/>
  <c r="B1036" i="8"/>
  <c r="D1036" i="8"/>
  <c r="F1036" i="8"/>
  <c r="J1036" i="8"/>
  <c r="B1037" i="8"/>
  <c r="D1037" i="8"/>
  <c r="F1037" i="8"/>
  <c r="J1037" i="8"/>
  <c r="B1038" i="8"/>
  <c r="D1038" i="8"/>
  <c r="F1038" i="8"/>
  <c r="J1038" i="8"/>
  <c r="B1039" i="8"/>
  <c r="D1039" i="8"/>
  <c r="F1039" i="8"/>
  <c r="J1039" i="8"/>
  <c r="B1040" i="8"/>
  <c r="D1040" i="8"/>
  <c r="F1040" i="8"/>
  <c r="J1040" i="8"/>
  <c r="B1041" i="8"/>
  <c r="D1041" i="8"/>
  <c r="F1041" i="8"/>
  <c r="J1041" i="8"/>
  <c r="B1042" i="8"/>
  <c r="D1042" i="8"/>
  <c r="F1042" i="8"/>
  <c r="J1042" i="8"/>
  <c r="B1043" i="8"/>
  <c r="D1043" i="8"/>
  <c r="F1043" i="8"/>
  <c r="J1043" i="8"/>
  <c r="B1044" i="8"/>
  <c r="D1044" i="8"/>
  <c r="F1044" i="8"/>
  <c r="J1044" i="8"/>
  <c r="B1045" i="8"/>
  <c r="D1045" i="8"/>
  <c r="F1045" i="8"/>
  <c r="J1045" i="8"/>
  <c r="B1046" i="8"/>
  <c r="D1046" i="8"/>
  <c r="F1046" i="8"/>
  <c r="J1046" i="8"/>
  <c r="B1047" i="8"/>
  <c r="D1047" i="8"/>
  <c r="F1047" i="8"/>
  <c r="J1047" i="8"/>
  <c r="B1048" i="8"/>
  <c r="D1048" i="8"/>
  <c r="F1048" i="8"/>
  <c r="J1048" i="8"/>
  <c r="B1049" i="8"/>
  <c r="D1049" i="8"/>
  <c r="F1049" i="8"/>
  <c r="J1049" i="8"/>
  <c r="B1050" i="8"/>
  <c r="D1050" i="8"/>
  <c r="F1050" i="8"/>
  <c r="J1050" i="8"/>
  <c r="B1051" i="8"/>
  <c r="D1051" i="8"/>
  <c r="F1051" i="8"/>
  <c r="J1051" i="8"/>
  <c r="B1052" i="8"/>
  <c r="D1052" i="8"/>
  <c r="F1052" i="8"/>
  <c r="J1052" i="8"/>
  <c r="B1053" i="8"/>
  <c r="D1053" i="8"/>
  <c r="F1053" i="8"/>
  <c r="J1053" i="8"/>
  <c r="B1054" i="8"/>
  <c r="D1054" i="8"/>
  <c r="F1054" i="8"/>
  <c r="J1054" i="8"/>
  <c r="B1055" i="8"/>
  <c r="D1055" i="8"/>
  <c r="F1055" i="8"/>
  <c r="J1055" i="8"/>
  <c r="B1056" i="8"/>
  <c r="D1056" i="8"/>
  <c r="F1056" i="8"/>
  <c r="J1056" i="8"/>
  <c r="B1057" i="8"/>
  <c r="D1057" i="8"/>
  <c r="F1057" i="8"/>
  <c r="J1057" i="8"/>
  <c r="B1058" i="8"/>
  <c r="D1058" i="8"/>
  <c r="F1058" i="8"/>
  <c r="J1058" i="8"/>
  <c r="B1059" i="8"/>
  <c r="D1059" i="8"/>
  <c r="F1059" i="8"/>
  <c r="J1059" i="8"/>
  <c r="B1060" i="8"/>
  <c r="D1060" i="8"/>
  <c r="F1060" i="8"/>
  <c r="J1060" i="8"/>
  <c r="P3" i="8"/>
  <c r="R3" i="8"/>
  <c r="T3" i="8"/>
  <c r="V3" i="8"/>
  <c r="X3" i="8"/>
  <c r="Z3" i="8"/>
  <c r="P4" i="8"/>
  <c r="R4" i="8"/>
  <c r="T4" i="8"/>
  <c r="V4" i="8"/>
  <c r="X4" i="8"/>
  <c r="Z4" i="8"/>
  <c r="P5" i="8"/>
  <c r="R5" i="8"/>
  <c r="T5" i="8"/>
  <c r="V5" i="8"/>
  <c r="X5" i="8"/>
  <c r="Z5" i="8"/>
  <c r="P6" i="8"/>
  <c r="R6" i="8"/>
  <c r="T6" i="8"/>
  <c r="V6" i="8"/>
  <c r="X6" i="8"/>
  <c r="Z6" i="8"/>
  <c r="P7" i="8"/>
  <c r="R7" i="8"/>
  <c r="T7" i="8"/>
  <c r="V7" i="8"/>
  <c r="X7" i="8"/>
  <c r="Z7" i="8"/>
  <c r="P8" i="8"/>
  <c r="R8" i="8"/>
  <c r="T8" i="8"/>
  <c r="V8" i="8"/>
  <c r="X8" i="8"/>
  <c r="Z8" i="8"/>
  <c r="P9" i="8"/>
  <c r="R9" i="8"/>
  <c r="T9" i="8"/>
  <c r="V9" i="8"/>
  <c r="X9" i="8"/>
  <c r="Z9" i="8"/>
  <c r="P10" i="8"/>
  <c r="R10" i="8"/>
  <c r="T10" i="8"/>
  <c r="V10" i="8"/>
  <c r="X10" i="8"/>
  <c r="Z10" i="8"/>
  <c r="P11" i="8"/>
  <c r="R11" i="8"/>
  <c r="T11" i="8"/>
  <c r="V11" i="8"/>
  <c r="X11" i="8"/>
  <c r="Z11" i="8"/>
  <c r="P12" i="8"/>
  <c r="R12" i="8"/>
  <c r="T12" i="8"/>
  <c r="V12" i="8"/>
  <c r="X12" i="8"/>
  <c r="Z12" i="8"/>
  <c r="P13" i="8"/>
  <c r="R13" i="8"/>
  <c r="T13" i="8"/>
  <c r="V13" i="8"/>
  <c r="X13" i="8"/>
  <c r="Z13" i="8"/>
  <c r="P14" i="8"/>
  <c r="R14" i="8"/>
  <c r="T14" i="8"/>
  <c r="V14" i="8"/>
  <c r="X14" i="8"/>
  <c r="Z14" i="8"/>
  <c r="P15" i="8"/>
  <c r="R15" i="8"/>
  <c r="T15" i="8"/>
  <c r="V15" i="8"/>
  <c r="X15" i="8"/>
  <c r="Z15" i="8"/>
  <c r="P16" i="8"/>
  <c r="R16" i="8"/>
  <c r="T16" i="8"/>
  <c r="V16" i="8"/>
  <c r="X16" i="8"/>
  <c r="Z16" i="8"/>
  <c r="P17" i="8"/>
  <c r="R17" i="8"/>
  <c r="T17" i="8"/>
  <c r="V17" i="8"/>
  <c r="X17" i="8"/>
  <c r="Z17" i="8"/>
  <c r="P18" i="8"/>
  <c r="R18" i="8"/>
  <c r="T18" i="8"/>
  <c r="V18" i="8"/>
  <c r="X18" i="8"/>
  <c r="Z18" i="8"/>
  <c r="P19" i="8"/>
  <c r="R19" i="8"/>
  <c r="T19" i="8"/>
  <c r="V19" i="8"/>
  <c r="X19" i="8"/>
  <c r="Z19" i="8"/>
  <c r="P20" i="8"/>
  <c r="R20" i="8"/>
  <c r="T20" i="8"/>
  <c r="V20" i="8"/>
  <c r="X20" i="8"/>
  <c r="Z20" i="8"/>
  <c r="P21" i="8"/>
  <c r="R21" i="8"/>
  <c r="T21" i="8"/>
  <c r="V21" i="8"/>
  <c r="X21" i="8"/>
  <c r="Z21" i="8"/>
  <c r="P22" i="8"/>
  <c r="R22" i="8"/>
  <c r="T22" i="8"/>
  <c r="V22" i="8"/>
  <c r="X22" i="8"/>
  <c r="Z22" i="8"/>
  <c r="P23" i="8"/>
  <c r="R23" i="8"/>
  <c r="T23" i="8"/>
  <c r="V23" i="8"/>
  <c r="X23" i="8"/>
  <c r="Z23" i="8"/>
  <c r="P24" i="8"/>
  <c r="R24" i="8"/>
  <c r="T24" i="8"/>
  <c r="V24" i="8"/>
  <c r="X24" i="8"/>
  <c r="Z24" i="8"/>
  <c r="P25" i="8"/>
  <c r="R25" i="8"/>
  <c r="T25" i="8"/>
  <c r="V25" i="8"/>
  <c r="X25" i="8"/>
  <c r="Z25" i="8"/>
  <c r="P26" i="8"/>
  <c r="R26" i="8"/>
  <c r="T26" i="8"/>
  <c r="V26" i="8"/>
  <c r="X26" i="8"/>
  <c r="Z26" i="8"/>
  <c r="P27" i="8"/>
  <c r="R27" i="8"/>
  <c r="T27" i="8"/>
  <c r="V27" i="8"/>
  <c r="X27" i="8"/>
  <c r="Z27" i="8"/>
  <c r="P28" i="8"/>
  <c r="R28" i="8"/>
  <c r="T28" i="8"/>
  <c r="V28" i="8"/>
  <c r="X28" i="8"/>
  <c r="Z28" i="8"/>
  <c r="P29" i="8"/>
  <c r="R29" i="8"/>
  <c r="T29" i="8"/>
  <c r="V29" i="8"/>
  <c r="X29" i="8"/>
  <c r="Z29" i="8"/>
  <c r="P30" i="8"/>
  <c r="R30" i="8"/>
  <c r="T30" i="8"/>
  <c r="V30" i="8"/>
  <c r="X30" i="8"/>
  <c r="Z30" i="8"/>
  <c r="P31" i="8"/>
  <c r="R31" i="8"/>
  <c r="T31" i="8"/>
  <c r="V31" i="8"/>
  <c r="X31" i="8"/>
  <c r="Z31" i="8"/>
  <c r="P32" i="8"/>
  <c r="R32" i="8"/>
  <c r="T32" i="8"/>
  <c r="V32" i="8"/>
  <c r="X32" i="8"/>
  <c r="Z32" i="8"/>
  <c r="P33" i="8"/>
  <c r="R33" i="8"/>
  <c r="T33" i="8"/>
  <c r="V33" i="8"/>
  <c r="X33" i="8"/>
  <c r="Z33" i="8"/>
  <c r="P34" i="8"/>
  <c r="R34" i="8"/>
  <c r="T34" i="8"/>
  <c r="V34" i="8"/>
  <c r="X34" i="8"/>
  <c r="Z34" i="8"/>
  <c r="P35" i="8"/>
  <c r="R35" i="8"/>
  <c r="T35" i="8"/>
  <c r="V35" i="8"/>
  <c r="X35" i="8"/>
  <c r="Z35" i="8"/>
  <c r="P36" i="8"/>
  <c r="R36" i="8"/>
  <c r="T36" i="8"/>
  <c r="V36" i="8"/>
  <c r="X36" i="8"/>
  <c r="Z36" i="8"/>
  <c r="P37" i="8"/>
  <c r="R37" i="8"/>
  <c r="T37" i="8"/>
  <c r="V37" i="8"/>
  <c r="X37" i="8"/>
  <c r="Z37" i="8"/>
  <c r="P38" i="8"/>
  <c r="R38" i="8"/>
  <c r="T38" i="8"/>
  <c r="V38" i="8"/>
  <c r="X38" i="8"/>
  <c r="Z38" i="8"/>
  <c r="P39" i="8"/>
  <c r="R39" i="8"/>
  <c r="T39" i="8"/>
  <c r="V39" i="8"/>
  <c r="X39" i="8"/>
  <c r="Z39" i="8"/>
  <c r="P40" i="8"/>
  <c r="R40" i="8"/>
  <c r="T40" i="8"/>
  <c r="V40" i="8"/>
  <c r="X40" i="8"/>
  <c r="Z40" i="8"/>
  <c r="P41" i="8"/>
  <c r="R41" i="8"/>
  <c r="T41" i="8"/>
  <c r="V41" i="8"/>
  <c r="X41" i="8"/>
  <c r="Z41" i="8"/>
  <c r="P42" i="8"/>
  <c r="R42" i="8"/>
  <c r="T42" i="8"/>
  <c r="V42" i="8"/>
  <c r="X42" i="8"/>
  <c r="Z42" i="8"/>
  <c r="P43" i="8"/>
  <c r="R43" i="8"/>
  <c r="T43" i="8"/>
  <c r="V43" i="8"/>
  <c r="X43" i="8"/>
  <c r="Z43" i="8"/>
  <c r="P44" i="8"/>
  <c r="R44" i="8"/>
  <c r="T44" i="8"/>
  <c r="V44" i="8"/>
  <c r="X44" i="8"/>
  <c r="Z44" i="8"/>
  <c r="P45" i="8"/>
  <c r="R45" i="8"/>
  <c r="T45" i="8"/>
  <c r="V45" i="8"/>
  <c r="X45" i="8"/>
  <c r="Z45" i="8"/>
  <c r="P46" i="8"/>
  <c r="R46" i="8"/>
  <c r="T46" i="8"/>
  <c r="V46" i="8"/>
  <c r="X46" i="8"/>
  <c r="Z46" i="8"/>
  <c r="P47" i="8"/>
  <c r="R47" i="8"/>
  <c r="T47" i="8"/>
  <c r="V47" i="8"/>
  <c r="X47" i="8"/>
  <c r="Z47" i="8"/>
  <c r="P48" i="8"/>
  <c r="R48" i="8"/>
  <c r="T48" i="8"/>
  <c r="V48" i="8"/>
  <c r="X48" i="8"/>
  <c r="Z48" i="8"/>
  <c r="P49" i="8"/>
  <c r="R49" i="8"/>
  <c r="T49" i="8"/>
  <c r="V49" i="8"/>
  <c r="X49" i="8"/>
  <c r="Z49" i="8"/>
  <c r="P50" i="8"/>
  <c r="R50" i="8"/>
  <c r="T50" i="8"/>
  <c r="V50" i="8"/>
  <c r="X50" i="8"/>
  <c r="Z50" i="8"/>
  <c r="P51" i="8"/>
  <c r="R51" i="8"/>
  <c r="T51" i="8"/>
  <c r="V51" i="8"/>
  <c r="X51" i="8"/>
  <c r="Z51" i="8"/>
  <c r="P52" i="8"/>
  <c r="R52" i="8"/>
  <c r="T52" i="8"/>
  <c r="V52" i="8"/>
  <c r="X52" i="8"/>
  <c r="Z52" i="8"/>
  <c r="P53" i="8"/>
  <c r="R53" i="8"/>
  <c r="T53" i="8"/>
  <c r="V53" i="8"/>
  <c r="X53" i="8"/>
  <c r="Z53" i="8"/>
  <c r="P54" i="8"/>
  <c r="R54" i="8"/>
  <c r="T54" i="8"/>
  <c r="V54" i="8"/>
  <c r="X54" i="8"/>
  <c r="Z54" i="8"/>
  <c r="P55" i="8"/>
  <c r="R55" i="8"/>
  <c r="T55" i="8"/>
  <c r="V55" i="8"/>
  <c r="X55" i="8"/>
  <c r="Z55" i="8"/>
  <c r="P56" i="8"/>
  <c r="R56" i="8"/>
  <c r="T56" i="8"/>
  <c r="V56" i="8"/>
  <c r="X56" i="8"/>
  <c r="Z56" i="8"/>
  <c r="P57" i="8"/>
  <c r="R57" i="8"/>
  <c r="T57" i="8"/>
  <c r="V57" i="8"/>
  <c r="X57" i="8"/>
  <c r="Z57" i="8"/>
  <c r="P58" i="8"/>
  <c r="R58" i="8"/>
  <c r="T58" i="8"/>
  <c r="V58" i="8"/>
  <c r="X58" i="8"/>
  <c r="Z58" i="8"/>
  <c r="P59" i="8"/>
  <c r="R59" i="8"/>
  <c r="T59" i="8"/>
  <c r="V59" i="8"/>
  <c r="X59" i="8"/>
  <c r="Z59" i="8"/>
  <c r="P60" i="8"/>
  <c r="R60" i="8"/>
  <c r="T60" i="8"/>
  <c r="V60" i="8"/>
  <c r="X60" i="8"/>
  <c r="Z60" i="8"/>
  <c r="P61" i="8"/>
  <c r="R61" i="8"/>
  <c r="T61" i="8"/>
  <c r="V61" i="8"/>
  <c r="X61" i="8"/>
  <c r="Z61" i="8"/>
  <c r="P62" i="8"/>
  <c r="R62" i="8"/>
  <c r="T62" i="8"/>
  <c r="V62" i="8"/>
  <c r="X62" i="8"/>
  <c r="Z62" i="8"/>
  <c r="P63" i="8"/>
  <c r="R63" i="8"/>
  <c r="T63" i="8"/>
  <c r="V63" i="8"/>
  <c r="X63" i="8"/>
  <c r="Z63" i="8"/>
  <c r="P64" i="8"/>
  <c r="R64" i="8"/>
  <c r="T64" i="8"/>
  <c r="V64" i="8"/>
  <c r="X64" i="8"/>
  <c r="Z64" i="8"/>
  <c r="P65" i="8"/>
  <c r="R65" i="8"/>
  <c r="T65" i="8"/>
  <c r="V65" i="8"/>
  <c r="X65" i="8"/>
  <c r="Z65" i="8"/>
  <c r="P66" i="8"/>
  <c r="R66" i="8"/>
  <c r="T66" i="8"/>
  <c r="V66" i="8"/>
  <c r="X66" i="8"/>
  <c r="Z66" i="8"/>
  <c r="P67" i="8"/>
  <c r="R67" i="8"/>
  <c r="T67" i="8"/>
  <c r="V67" i="8"/>
  <c r="X67" i="8"/>
  <c r="Z67" i="8"/>
  <c r="P68" i="8"/>
  <c r="R68" i="8"/>
  <c r="T68" i="8"/>
  <c r="V68" i="8"/>
  <c r="X68" i="8"/>
  <c r="Z68" i="8"/>
  <c r="P69" i="8"/>
  <c r="R69" i="8"/>
  <c r="T69" i="8"/>
  <c r="V69" i="8"/>
  <c r="X69" i="8"/>
  <c r="Z69" i="8"/>
  <c r="P70" i="8"/>
  <c r="R70" i="8"/>
  <c r="T70" i="8"/>
  <c r="V70" i="8"/>
  <c r="X70" i="8"/>
  <c r="Z70" i="8"/>
  <c r="P71" i="8"/>
  <c r="R71" i="8"/>
  <c r="T71" i="8"/>
  <c r="V71" i="8"/>
  <c r="X71" i="8"/>
  <c r="Z71" i="8"/>
  <c r="P72" i="8"/>
  <c r="R72" i="8"/>
  <c r="T72" i="8"/>
  <c r="V72" i="8"/>
  <c r="X72" i="8"/>
  <c r="Z72" i="8"/>
  <c r="P73" i="8"/>
  <c r="R73" i="8"/>
  <c r="T73" i="8"/>
  <c r="V73" i="8"/>
  <c r="X73" i="8"/>
  <c r="Z73" i="8"/>
  <c r="P74" i="8"/>
  <c r="R74" i="8"/>
  <c r="T74" i="8"/>
  <c r="V74" i="8"/>
  <c r="X74" i="8"/>
  <c r="Z74" i="8"/>
  <c r="P75" i="8"/>
  <c r="R75" i="8"/>
  <c r="T75" i="8"/>
  <c r="V75" i="8"/>
  <c r="X75" i="8"/>
  <c r="Z75" i="8"/>
  <c r="P76" i="8"/>
  <c r="R76" i="8"/>
  <c r="T76" i="8"/>
  <c r="V76" i="8"/>
  <c r="X76" i="8"/>
  <c r="Z76" i="8"/>
  <c r="P77" i="8"/>
  <c r="R77" i="8"/>
  <c r="T77" i="8"/>
  <c r="V77" i="8"/>
  <c r="X77" i="8"/>
  <c r="Z77" i="8"/>
  <c r="P78" i="8"/>
  <c r="R78" i="8"/>
  <c r="T78" i="8"/>
  <c r="V78" i="8"/>
  <c r="X78" i="8"/>
  <c r="Z78" i="8"/>
  <c r="P79" i="8"/>
  <c r="R79" i="8"/>
  <c r="T79" i="8"/>
  <c r="V79" i="8"/>
  <c r="X79" i="8"/>
  <c r="Z79" i="8"/>
  <c r="P80" i="8"/>
  <c r="R80" i="8"/>
  <c r="T80" i="8"/>
  <c r="V80" i="8"/>
  <c r="X80" i="8"/>
  <c r="Z80" i="8"/>
  <c r="P81" i="8"/>
  <c r="R81" i="8"/>
  <c r="T81" i="8"/>
  <c r="V81" i="8"/>
  <c r="X81" i="8"/>
  <c r="Z81" i="8"/>
  <c r="P82" i="8"/>
  <c r="R82" i="8"/>
  <c r="T82" i="8"/>
  <c r="V82" i="8"/>
  <c r="X82" i="8"/>
  <c r="Z82" i="8"/>
  <c r="P83" i="8"/>
  <c r="R83" i="8"/>
  <c r="T83" i="8"/>
  <c r="V83" i="8"/>
  <c r="X83" i="8"/>
  <c r="Z83" i="8"/>
  <c r="P84" i="8"/>
  <c r="R84" i="8"/>
  <c r="T84" i="8"/>
  <c r="V84" i="8"/>
  <c r="X84" i="8"/>
  <c r="Z84" i="8"/>
  <c r="P85" i="8"/>
  <c r="R85" i="8"/>
  <c r="T85" i="8"/>
  <c r="V85" i="8"/>
  <c r="X85" i="8"/>
  <c r="Z85" i="8"/>
  <c r="P86" i="8"/>
  <c r="R86" i="8"/>
  <c r="T86" i="8"/>
  <c r="V86" i="8"/>
  <c r="X86" i="8"/>
  <c r="Z86" i="8"/>
  <c r="P87" i="8"/>
  <c r="R87" i="8"/>
  <c r="T87" i="8"/>
  <c r="V87" i="8"/>
  <c r="X87" i="8"/>
  <c r="Z87" i="8"/>
  <c r="P88" i="8"/>
  <c r="R88" i="8"/>
  <c r="T88" i="8"/>
  <c r="V88" i="8"/>
  <c r="X88" i="8"/>
  <c r="Z88" i="8"/>
  <c r="P89" i="8"/>
  <c r="R89" i="8"/>
  <c r="T89" i="8"/>
  <c r="V89" i="8"/>
  <c r="X89" i="8"/>
  <c r="Z89" i="8"/>
  <c r="P90" i="8"/>
  <c r="R90" i="8"/>
  <c r="T90" i="8"/>
  <c r="V90" i="8"/>
  <c r="X90" i="8"/>
  <c r="Z90" i="8"/>
  <c r="P91" i="8"/>
  <c r="R91" i="8"/>
  <c r="T91" i="8"/>
  <c r="V91" i="8"/>
  <c r="X91" i="8"/>
  <c r="Z91" i="8"/>
  <c r="P92" i="8"/>
  <c r="R92" i="8"/>
  <c r="T92" i="8"/>
  <c r="V92" i="8"/>
  <c r="X92" i="8"/>
  <c r="Z92" i="8"/>
  <c r="P93" i="8"/>
  <c r="R93" i="8"/>
  <c r="T93" i="8"/>
  <c r="V93" i="8"/>
  <c r="X93" i="8"/>
  <c r="Z93" i="8"/>
  <c r="P94" i="8"/>
  <c r="R94" i="8"/>
  <c r="T94" i="8"/>
  <c r="V94" i="8"/>
  <c r="X94" i="8"/>
  <c r="Z94" i="8"/>
  <c r="P95" i="8"/>
  <c r="R95" i="8"/>
  <c r="T95" i="8"/>
  <c r="V95" i="8"/>
  <c r="X95" i="8"/>
  <c r="Z95" i="8"/>
  <c r="P96" i="8"/>
  <c r="R96" i="8"/>
  <c r="T96" i="8"/>
  <c r="V96" i="8"/>
  <c r="X96" i="8"/>
  <c r="Z96" i="8"/>
  <c r="P97" i="8"/>
  <c r="R97" i="8"/>
  <c r="T97" i="8"/>
  <c r="V97" i="8"/>
  <c r="X97" i="8"/>
  <c r="Z97" i="8"/>
  <c r="P98" i="8"/>
  <c r="R98" i="8"/>
  <c r="T98" i="8"/>
  <c r="V98" i="8"/>
  <c r="X98" i="8"/>
  <c r="Z98" i="8"/>
  <c r="P99" i="8"/>
  <c r="R99" i="8"/>
  <c r="T99" i="8"/>
  <c r="V99" i="8"/>
  <c r="X99" i="8"/>
  <c r="Z99" i="8"/>
  <c r="P100" i="8"/>
  <c r="R100" i="8"/>
  <c r="T100" i="8"/>
  <c r="V100" i="8"/>
  <c r="X100" i="8"/>
  <c r="Z100" i="8"/>
  <c r="P101" i="8"/>
  <c r="R101" i="8"/>
  <c r="T101" i="8"/>
  <c r="V101" i="8"/>
  <c r="X101" i="8"/>
  <c r="Z101" i="8"/>
  <c r="P102" i="8"/>
  <c r="R102" i="8"/>
  <c r="T102" i="8"/>
  <c r="V102" i="8"/>
  <c r="X102" i="8"/>
  <c r="Z102" i="8"/>
  <c r="P103" i="8"/>
  <c r="R103" i="8"/>
  <c r="T103" i="8"/>
  <c r="V103" i="8"/>
  <c r="X103" i="8"/>
  <c r="Z103" i="8"/>
  <c r="P104" i="8"/>
  <c r="R104" i="8"/>
  <c r="T104" i="8"/>
  <c r="V104" i="8"/>
  <c r="X104" i="8"/>
  <c r="Z104" i="8"/>
  <c r="P105" i="8"/>
  <c r="R105" i="8"/>
  <c r="T105" i="8"/>
  <c r="V105" i="8"/>
  <c r="X105" i="8"/>
  <c r="Z105" i="8"/>
  <c r="P106" i="8"/>
  <c r="R106" i="8"/>
  <c r="T106" i="8"/>
  <c r="V106" i="8"/>
  <c r="X106" i="8"/>
  <c r="Z106" i="8"/>
  <c r="P107" i="8"/>
  <c r="R107" i="8"/>
  <c r="T107" i="8"/>
  <c r="V107" i="8"/>
  <c r="X107" i="8"/>
  <c r="Z107" i="8"/>
  <c r="P108" i="8"/>
  <c r="R108" i="8"/>
  <c r="T108" i="8"/>
  <c r="V108" i="8"/>
  <c r="X108" i="8"/>
  <c r="Z108" i="8"/>
  <c r="P109" i="8"/>
  <c r="R109" i="8"/>
  <c r="T109" i="8"/>
  <c r="V109" i="8"/>
  <c r="X109" i="8"/>
  <c r="Z109" i="8"/>
  <c r="P110" i="8"/>
  <c r="R110" i="8"/>
  <c r="T110" i="8"/>
  <c r="V110" i="8"/>
  <c r="X110" i="8"/>
  <c r="Z110" i="8"/>
  <c r="P111" i="8"/>
  <c r="R111" i="8"/>
  <c r="T111" i="8"/>
  <c r="V111" i="8"/>
  <c r="X111" i="8"/>
  <c r="Z111" i="8"/>
  <c r="P112" i="8"/>
  <c r="R112" i="8"/>
  <c r="T112" i="8"/>
  <c r="V112" i="8"/>
  <c r="X112" i="8"/>
  <c r="Z112" i="8"/>
  <c r="P113" i="8"/>
  <c r="R113" i="8"/>
  <c r="T113" i="8"/>
  <c r="V113" i="8"/>
  <c r="X113" i="8"/>
  <c r="Z113" i="8"/>
  <c r="P114" i="8"/>
  <c r="R114" i="8"/>
  <c r="T114" i="8"/>
  <c r="V114" i="8"/>
  <c r="X114" i="8"/>
  <c r="Z114" i="8"/>
  <c r="P115" i="8"/>
  <c r="R115" i="8"/>
  <c r="T115" i="8"/>
  <c r="V115" i="8"/>
  <c r="X115" i="8"/>
  <c r="Z115" i="8"/>
  <c r="P116" i="8"/>
  <c r="R116" i="8"/>
  <c r="T116" i="8"/>
  <c r="V116" i="8"/>
  <c r="X116" i="8"/>
  <c r="Z116" i="8"/>
  <c r="P117" i="8"/>
  <c r="R117" i="8"/>
  <c r="T117" i="8"/>
  <c r="V117" i="8"/>
  <c r="X117" i="8"/>
  <c r="Z117" i="8"/>
  <c r="P118" i="8"/>
  <c r="R118" i="8"/>
  <c r="T118" i="8"/>
  <c r="V118" i="8"/>
  <c r="X118" i="8"/>
  <c r="Z118" i="8"/>
  <c r="P119" i="8"/>
  <c r="R119" i="8"/>
  <c r="T119" i="8"/>
  <c r="V119" i="8"/>
  <c r="X119" i="8"/>
  <c r="Z119" i="8"/>
  <c r="P120" i="8"/>
  <c r="R120" i="8"/>
  <c r="T120" i="8"/>
  <c r="V120" i="8"/>
  <c r="X120" i="8"/>
  <c r="Z120" i="8"/>
  <c r="P121" i="8"/>
  <c r="R121" i="8"/>
  <c r="T121" i="8"/>
  <c r="V121" i="8"/>
  <c r="X121" i="8"/>
  <c r="Z121" i="8"/>
  <c r="P122" i="8"/>
  <c r="R122" i="8"/>
  <c r="T122" i="8"/>
  <c r="V122" i="8"/>
  <c r="X122" i="8"/>
  <c r="Z122" i="8"/>
  <c r="P123" i="8"/>
  <c r="R123" i="8"/>
  <c r="T123" i="8"/>
  <c r="V123" i="8"/>
  <c r="X123" i="8"/>
  <c r="Z123" i="8"/>
  <c r="P124" i="8"/>
  <c r="R124" i="8"/>
  <c r="T124" i="8"/>
  <c r="V124" i="8"/>
  <c r="X124" i="8"/>
  <c r="Z124" i="8"/>
  <c r="P125" i="8"/>
  <c r="R125" i="8"/>
  <c r="T125" i="8"/>
  <c r="V125" i="8"/>
  <c r="X125" i="8"/>
  <c r="Z125" i="8"/>
  <c r="P126" i="8"/>
  <c r="R126" i="8"/>
  <c r="T126" i="8"/>
  <c r="V126" i="8"/>
  <c r="X126" i="8"/>
  <c r="Z126" i="8"/>
  <c r="P127" i="8"/>
  <c r="R127" i="8"/>
  <c r="T127" i="8"/>
  <c r="V127" i="8"/>
  <c r="X127" i="8"/>
  <c r="Z127" i="8"/>
  <c r="P128" i="8"/>
  <c r="R128" i="8"/>
  <c r="T128" i="8"/>
  <c r="V128" i="8"/>
  <c r="X128" i="8"/>
  <c r="Z128" i="8"/>
  <c r="P129" i="8"/>
  <c r="R129" i="8"/>
  <c r="T129" i="8"/>
  <c r="V129" i="8"/>
  <c r="X129" i="8"/>
  <c r="Z129" i="8"/>
  <c r="P130" i="8"/>
  <c r="R130" i="8"/>
  <c r="T130" i="8"/>
  <c r="V130" i="8"/>
  <c r="X130" i="8"/>
  <c r="Z130" i="8"/>
  <c r="P131" i="8"/>
  <c r="R131" i="8"/>
  <c r="T131" i="8"/>
  <c r="V131" i="8"/>
  <c r="X131" i="8"/>
  <c r="Z131" i="8"/>
  <c r="P132" i="8"/>
  <c r="R132" i="8"/>
  <c r="T132" i="8"/>
  <c r="V132" i="8"/>
  <c r="X132" i="8"/>
  <c r="Z132" i="8"/>
  <c r="P133" i="8"/>
  <c r="R133" i="8"/>
  <c r="T133" i="8"/>
  <c r="V133" i="8"/>
  <c r="X133" i="8"/>
  <c r="Z133" i="8"/>
  <c r="P134" i="8"/>
  <c r="R134" i="8"/>
  <c r="T134" i="8"/>
  <c r="V134" i="8"/>
  <c r="X134" i="8"/>
  <c r="Z134" i="8"/>
  <c r="P135" i="8"/>
  <c r="R135" i="8"/>
  <c r="T135" i="8"/>
  <c r="V135" i="8"/>
  <c r="X135" i="8"/>
  <c r="Z135" i="8"/>
  <c r="P136" i="8"/>
  <c r="R136" i="8"/>
  <c r="T136" i="8"/>
  <c r="V136" i="8"/>
  <c r="X136" i="8"/>
  <c r="Z136" i="8"/>
  <c r="P137" i="8"/>
  <c r="R137" i="8"/>
  <c r="T137" i="8"/>
  <c r="V137" i="8"/>
  <c r="X137" i="8"/>
  <c r="Z137" i="8"/>
  <c r="P138" i="8"/>
  <c r="R138" i="8"/>
  <c r="T138" i="8"/>
  <c r="V138" i="8"/>
  <c r="X138" i="8"/>
  <c r="Z138" i="8"/>
  <c r="P139" i="8"/>
  <c r="R139" i="8"/>
  <c r="T139" i="8"/>
  <c r="V139" i="8"/>
  <c r="X139" i="8"/>
  <c r="Z139" i="8"/>
  <c r="P140" i="8"/>
  <c r="R140" i="8"/>
  <c r="T140" i="8"/>
  <c r="V140" i="8"/>
  <c r="X140" i="8"/>
  <c r="Z140" i="8"/>
  <c r="P141" i="8"/>
  <c r="R141" i="8"/>
  <c r="T141" i="8"/>
  <c r="V141" i="8"/>
  <c r="X141" i="8"/>
  <c r="Z141" i="8"/>
  <c r="P142" i="8"/>
  <c r="R142" i="8"/>
  <c r="T142" i="8"/>
  <c r="V142" i="8"/>
  <c r="X142" i="8"/>
  <c r="Z142" i="8"/>
  <c r="P143" i="8"/>
  <c r="R143" i="8"/>
  <c r="T143" i="8"/>
  <c r="V143" i="8"/>
  <c r="X143" i="8"/>
  <c r="Z143" i="8"/>
  <c r="P144" i="8"/>
  <c r="R144" i="8"/>
  <c r="T144" i="8"/>
  <c r="V144" i="8"/>
  <c r="X144" i="8"/>
  <c r="Z144" i="8"/>
  <c r="P145" i="8"/>
  <c r="R145" i="8"/>
  <c r="T145" i="8"/>
  <c r="V145" i="8"/>
  <c r="X145" i="8"/>
  <c r="Z145" i="8"/>
  <c r="P146" i="8"/>
  <c r="R146" i="8"/>
  <c r="T146" i="8"/>
  <c r="V146" i="8"/>
  <c r="X146" i="8"/>
  <c r="Z146" i="8"/>
  <c r="P147" i="8"/>
  <c r="R147" i="8"/>
  <c r="T147" i="8"/>
  <c r="V147" i="8"/>
  <c r="X147" i="8"/>
  <c r="Z147" i="8"/>
  <c r="P148" i="8"/>
  <c r="R148" i="8"/>
  <c r="T148" i="8"/>
  <c r="V148" i="8"/>
  <c r="X148" i="8"/>
  <c r="Z148" i="8"/>
  <c r="P149" i="8"/>
  <c r="R149" i="8"/>
  <c r="T149" i="8"/>
  <c r="V149" i="8"/>
  <c r="X149" i="8"/>
  <c r="Z149" i="8"/>
  <c r="P150" i="8"/>
  <c r="R150" i="8"/>
  <c r="T150" i="8"/>
  <c r="V150" i="8"/>
  <c r="X150" i="8"/>
  <c r="Z150" i="8"/>
  <c r="P151" i="8"/>
  <c r="R151" i="8"/>
  <c r="T151" i="8"/>
  <c r="V151" i="8"/>
  <c r="X151" i="8"/>
  <c r="Z151" i="8"/>
  <c r="P152" i="8"/>
  <c r="R152" i="8"/>
  <c r="T152" i="8"/>
  <c r="V152" i="8"/>
  <c r="X152" i="8"/>
  <c r="Z152" i="8"/>
  <c r="P153" i="8"/>
  <c r="R153" i="8"/>
  <c r="T153" i="8"/>
  <c r="V153" i="8"/>
  <c r="X153" i="8"/>
  <c r="Z153" i="8"/>
  <c r="P154" i="8"/>
  <c r="R154" i="8"/>
  <c r="T154" i="8"/>
  <c r="V154" i="8"/>
  <c r="X154" i="8"/>
  <c r="Z154" i="8"/>
  <c r="P155" i="8"/>
  <c r="R155" i="8"/>
  <c r="T155" i="8"/>
  <c r="V155" i="8"/>
  <c r="X155" i="8"/>
  <c r="Z155" i="8"/>
  <c r="P156" i="8"/>
  <c r="R156" i="8"/>
  <c r="T156" i="8"/>
  <c r="V156" i="8"/>
  <c r="X156" i="8"/>
  <c r="Z156" i="8"/>
  <c r="P157" i="8"/>
  <c r="R157" i="8"/>
  <c r="T157" i="8"/>
  <c r="V157" i="8"/>
  <c r="X157" i="8"/>
  <c r="Z157" i="8"/>
  <c r="P158" i="8"/>
  <c r="R158" i="8"/>
  <c r="T158" i="8"/>
  <c r="V158" i="8"/>
  <c r="X158" i="8"/>
  <c r="Z158" i="8"/>
  <c r="P159" i="8"/>
  <c r="R159" i="8"/>
  <c r="T159" i="8"/>
  <c r="V159" i="8"/>
  <c r="X159" i="8"/>
  <c r="Z159" i="8"/>
  <c r="P160" i="8"/>
  <c r="R160" i="8"/>
  <c r="T160" i="8"/>
  <c r="V160" i="8"/>
  <c r="X160" i="8"/>
  <c r="Z160" i="8"/>
  <c r="P161" i="8"/>
  <c r="R161" i="8"/>
  <c r="T161" i="8"/>
  <c r="V161" i="8"/>
  <c r="X161" i="8"/>
  <c r="Z161" i="8"/>
  <c r="P162" i="8"/>
  <c r="R162" i="8"/>
  <c r="T162" i="8"/>
  <c r="V162" i="8"/>
  <c r="X162" i="8"/>
  <c r="Z162" i="8"/>
  <c r="P163" i="8"/>
  <c r="R163" i="8"/>
  <c r="T163" i="8"/>
  <c r="V163" i="8"/>
  <c r="X163" i="8"/>
  <c r="Z163" i="8"/>
  <c r="P164" i="8"/>
  <c r="R164" i="8"/>
  <c r="T164" i="8"/>
  <c r="V164" i="8"/>
  <c r="X164" i="8"/>
  <c r="Z164" i="8"/>
  <c r="P165" i="8"/>
  <c r="R165" i="8"/>
  <c r="T165" i="8"/>
  <c r="V165" i="8"/>
  <c r="X165" i="8"/>
  <c r="Z165" i="8"/>
  <c r="P166" i="8"/>
  <c r="R166" i="8"/>
  <c r="T166" i="8"/>
  <c r="V166" i="8"/>
  <c r="X166" i="8"/>
  <c r="Z166" i="8"/>
  <c r="P167" i="8"/>
  <c r="R167" i="8"/>
  <c r="T167" i="8"/>
  <c r="V167" i="8"/>
  <c r="X167" i="8"/>
  <c r="Z167" i="8"/>
  <c r="P168" i="8"/>
  <c r="R168" i="8"/>
  <c r="T168" i="8"/>
  <c r="V168" i="8"/>
  <c r="X168" i="8"/>
  <c r="Z168" i="8"/>
  <c r="P169" i="8"/>
  <c r="R169" i="8"/>
  <c r="T169" i="8"/>
  <c r="V169" i="8"/>
  <c r="X169" i="8"/>
  <c r="Z169" i="8"/>
  <c r="P170" i="8"/>
  <c r="R170" i="8"/>
  <c r="T170" i="8"/>
  <c r="V170" i="8"/>
  <c r="X170" i="8"/>
  <c r="Z170" i="8"/>
  <c r="P171" i="8"/>
  <c r="R171" i="8"/>
  <c r="T171" i="8"/>
  <c r="V171" i="8"/>
  <c r="X171" i="8"/>
  <c r="Z171" i="8"/>
  <c r="P172" i="8"/>
  <c r="R172" i="8"/>
  <c r="T172" i="8"/>
  <c r="V172" i="8"/>
  <c r="X172" i="8"/>
  <c r="Z172" i="8"/>
  <c r="P173" i="8"/>
  <c r="R173" i="8"/>
  <c r="T173" i="8"/>
  <c r="V173" i="8"/>
  <c r="X173" i="8"/>
  <c r="Z173" i="8"/>
  <c r="P174" i="8"/>
  <c r="R174" i="8"/>
  <c r="T174" i="8"/>
  <c r="V174" i="8"/>
  <c r="X174" i="8"/>
  <c r="Z174" i="8"/>
  <c r="P175" i="8"/>
  <c r="R175" i="8"/>
  <c r="T175" i="8"/>
  <c r="V175" i="8"/>
  <c r="X175" i="8"/>
  <c r="Z175" i="8"/>
  <c r="P176" i="8"/>
  <c r="R176" i="8"/>
  <c r="T176" i="8"/>
  <c r="V176" i="8"/>
  <c r="X176" i="8"/>
  <c r="Z176" i="8"/>
  <c r="P177" i="8"/>
  <c r="R177" i="8"/>
  <c r="T177" i="8"/>
  <c r="V177" i="8"/>
  <c r="X177" i="8"/>
  <c r="Z177" i="8"/>
  <c r="P178" i="8"/>
  <c r="R178" i="8"/>
  <c r="T178" i="8"/>
  <c r="V178" i="8"/>
  <c r="X178" i="8"/>
  <c r="Z178" i="8"/>
  <c r="P179" i="8"/>
  <c r="R179" i="8"/>
  <c r="T179" i="8"/>
  <c r="V179" i="8"/>
  <c r="X179" i="8"/>
  <c r="Z179" i="8"/>
  <c r="P180" i="8"/>
  <c r="R180" i="8"/>
  <c r="T180" i="8"/>
  <c r="V180" i="8"/>
  <c r="X180" i="8"/>
  <c r="Z180" i="8"/>
  <c r="P181" i="8"/>
  <c r="R181" i="8"/>
  <c r="T181" i="8"/>
  <c r="V181" i="8"/>
  <c r="X181" i="8"/>
  <c r="Z181" i="8"/>
  <c r="P182" i="8"/>
  <c r="R182" i="8"/>
  <c r="T182" i="8"/>
  <c r="V182" i="8"/>
  <c r="X182" i="8"/>
  <c r="Z182" i="8"/>
  <c r="P183" i="8"/>
  <c r="R183" i="8"/>
  <c r="T183" i="8"/>
  <c r="V183" i="8"/>
  <c r="X183" i="8"/>
  <c r="Z183" i="8"/>
  <c r="P184" i="8"/>
  <c r="R184" i="8"/>
  <c r="T184" i="8"/>
  <c r="V184" i="8"/>
  <c r="X184" i="8"/>
  <c r="Z184" i="8"/>
  <c r="P185" i="8"/>
  <c r="R185" i="8"/>
  <c r="T185" i="8"/>
  <c r="V185" i="8"/>
  <c r="X185" i="8"/>
  <c r="Z185" i="8"/>
  <c r="P186" i="8"/>
  <c r="R186" i="8"/>
  <c r="T186" i="8"/>
  <c r="V186" i="8"/>
  <c r="X186" i="8"/>
  <c r="Z186" i="8"/>
  <c r="P187" i="8"/>
  <c r="R187" i="8"/>
  <c r="T187" i="8"/>
  <c r="V187" i="8"/>
  <c r="X187" i="8"/>
  <c r="Z187" i="8"/>
  <c r="P188" i="8"/>
  <c r="R188" i="8"/>
  <c r="T188" i="8"/>
  <c r="V188" i="8"/>
  <c r="X188" i="8"/>
  <c r="Z188" i="8"/>
  <c r="P189" i="8"/>
  <c r="R189" i="8"/>
  <c r="T189" i="8"/>
  <c r="V189" i="8"/>
  <c r="X189" i="8"/>
  <c r="Z189" i="8"/>
  <c r="P190" i="8"/>
  <c r="R190" i="8"/>
  <c r="T190" i="8"/>
  <c r="V190" i="8"/>
  <c r="X190" i="8"/>
  <c r="Z190" i="8"/>
  <c r="P191" i="8"/>
  <c r="R191" i="8"/>
  <c r="T191" i="8"/>
  <c r="V191" i="8"/>
  <c r="X191" i="8"/>
  <c r="Z191" i="8"/>
  <c r="P192" i="8"/>
  <c r="R192" i="8"/>
  <c r="T192" i="8"/>
  <c r="V192" i="8"/>
  <c r="X192" i="8"/>
  <c r="Z192" i="8"/>
  <c r="P193" i="8"/>
  <c r="R193" i="8"/>
  <c r="T193" i="8"/>
  <c r="V193" i="8"/>
  <c r="X193" i="8"/>
  <c r="Z193" i="8"/>
  <c r="P194" i="8"/>
  <c r="R194" i="8"/>
  <c r="T194" i="8"/>
  <c r="V194" i="8"/>
  <c r="X194" i="8"/>
  <c r="Z194" i="8"/>
  <c r="P195" i="8"/>
  <c r="R195" i="8"/>
  <c r="T195" i="8"/>
  <c r="V195" i="8"/>
  <c r="X195" i="8"/>
  <c r="Z195" i="8"/>
  <c r="P196" i="8"/>
  <c r="R196" i="8"/>
  <c r="T196" i="8"/>
  <c r="V196" i="8"/>
  <c r="X196" i="8"/>
  <c r="Z196" i="8"/>
  <c r="P197" i="8"/>
  <c r="R197" i="8"/>
  <c r="T197" i="8"/>
  <c r="V197" i="8"/>
  <c r="X197" i="8"/>
  <c r="Z197" i="8"/>
  <c r="P198" i="8"/>
  <c r="R198" i="8"/>
  <c r="T198" i="8"/>
  <c r="V198" i="8"/>
  <c r="X198" i="8"/>
  <c r="Z198" i="8"/>
  <c r="P199" i="8"/>
  <c r="R199" i="8"/>
  <c r="T199" i="8"/>
  <c r="V199" i="8"/>
  <c r="X199" i="8"/>
  <c r="Z199" i="8"/>
  <c r="P200" i="8"/>
  <c r="R200" i="8"/>
  <c r="T200" i="8"/>
  <c r="V200" i="8"/>
  <c r="X200" i="8"/>
  <c r="Z200" i="8"/>
  <c r="P201" i="8"/>
  <c r="R201" i="8"/>
  <c r="T201" i="8"/>
  <c r="V201" i="8"/>
  <c r="X201" i="8"/>
  <c r="Z201" i="8"/>
  <c r="P202" i="8"/>
  <c r="R202" i="8"/>
  <c r="T202" i="8"/>
  <c r="V202" i="8"/>
  <c r="X202" i="8"/>
  <c r="Z202" i="8"/>
  <c r="P203" i="8"/>
  <c r="R203" i="8"/>
  <c r="T203" i="8"/>
  <c r="V203" i="8"/>
  <c r="X203" i="8"/>
  <c r="Z203" i="8"/>
  <c r="P204" i="8"/>
  <c r="R204" i="8"/>
  <c r="T204" i="8"/>
  <c r="V204" i="8"/>
  <c r="X204" i="8"/>
  <c r="Z204" i="8"/>
  <c r="P205" i="8"/>
  <c r="R205" i="8"/>
  <c r="T205" i="8"/>
  <c r="V205" i="8"/>
  <c r="X205" i="8"/>
  <c r="Z205" i="8"/>
  <c r="P206" i="8"/>
  <c r="R206" i="8"/>
  <c r="T206" i="8"/>
  <c r="V206" i="8"/>
  <c r="X206" i="8"/>
  <c r="Z206" i="8"/>
  <c r="P207" i="8"/>
  <c r="R207" i="8"/>
  <c r="T207" i="8"/>
  <c r="V207" i="8"/>
  <c r="X207" i="8"/>
  <c r="Z207" i="8"/>
  <c r="P208" i="8"/>
  <c r="R208" i="8"/>
  <c r="T208" i="8"/>
  <c r="V208" i="8"/>
  <c r="X208" i="8"/>
  <c r="Z208" i="8"/>
  <c r="P209" i="8"/>
  <c r="R209" i="8"/>
  <c r="T209" i="8"/>
  <c r="V209" i="8"/>
  <c r="X209" i="8"/>
  <c r="Z209" i="8"/>
  <c r="P210" i="8"/>
  <c r="R210" i="8"/>
  <c r="T210" i="8"/>
  <c r="V210" i="8"/>
  <c r="X210" i="8"/>
  <c r="Z210" i="8"/>
  <c r="P211" i="8"/>
  <c r="R211" i="8"/>
  <c r="T211" i="8"/>
  <c r="V211" i="8"/>
  <c r="X211" i="8"/>
  <c r="Z211" i="8"/>
  <c r="P212" i="8"/>
  <c r="R212" i="8"/>
  <c r="T212" i="8"/>
  <c r="V212" i="8"/>
  <c r="X212" i="8"/>
  <c r="Z212" i="8"/>
  <c r="P213" i="8"/>
  <c r="R213" i="8"/>
  <c r="T213" i="8"/>
  <c r="V213" i="8"/>
  <c r="X213" i="8"/>
  <c r="Z213" i="8"/>
  <c r="P214" i="8"/>
  <c r="R214" i="8"/>
  <c r="T214" i="8"/>
  <c r="V214" i="8"/>
  <c r="X214" i="8"/>
  <c r="Z214" i="8"/>
  <c r="P215" i="8"/>
  <c r="R215" i="8"/>
  <c r="T215" i="8"/>
  <c r="V215" i="8"/>
  <c r="X215" i="8"/>
  <c r="Z215" i="8"/>
  <c r="P216" i="8"/>
  <c r="R216" i="8"/>
  <c r="T216" i="8"/>
  <c r="V216" i="8"/>
  <c r="X216" i="8"/>
  <c r="Z216" i="8"/>
  <c r="P217" i="8"/>
  <c r="R217" i="8"/>
  <c r="T217" i="8"/>
  <c r="V217" i="8"/>
  <c r="X217" i="8"/>
  <c r="Z217" i="8"/>
  <c r="P218" i="8"/>
  <c r="R218" i="8"/>
  <c r="T218" i="8"/>
  <c r="V218" i="8"/>
  <c r="X218" i="8"/>
  <c r="Z218" i="8"/>
  <c r="P219" i="8"/>
  <c r="R219" i="8"/>
  <c r="T219" i="8"/>
  <c r="V219" i="8"/>
  <c r="X219" i="8"/>
  <c r="Z219" i="8"/>
  <c r="P220" i="8"/>
  <c r="R220" i="8"/>
  <c r="T220" i="8"/>
  <c r="V220" i="8"/>
  <c r="X220" i="8"/>
  <c r="Z220" i="8"/>
  <c r="P221" i="8"/>
  <c r="R221" i="8"/>
  <c r="T221" i="8"/>
  <c r="V221" i="8"/>
  <c r="X221" i="8"/>
  <c r="Z221" i="8"/>
  <c r="P222" i="8"/>
  <c r="R222" i="8"/>
  <c r="T222" i="8"/>
  <c r="V222" i="8"/>
  <c r="X222" i="8"/>
  <c r="Z222" i="8"/>
  <c r="P223" i="8"/>
  <c r="R223" i="8"/>
  <c r="T223" i="8"/>
  <c r="V223" i="8"/>
  <c r="X223" i="8"/>
  <c r="Z223" i="8"/>
  <c r="P224" i="8"/>
  <c r="R224" i="8"/>
  <c r="T224" i="8"/>
  <c r="V224" i="8"/>
  <c r="X224" i="8"/>
  <c r="Z224" i="8"/>
  <c r="P225" i="8"/>
  <c r="R225" i="8"/>
  <c r="T225" i="8"/>
  <c r="V225" i="8"/>
  <c r="X225" i="8"/>
  <c r="Z225" i="8"/>
  <c r="P226" i="8"/>
  <c r="R226" i="8"/>
  <c r="T226" i="8"/>
  <c r="V226" i="8"/>
  <c r="X226" i="8"/>
  <c r="Z226" i="8"/>
  <c r="P227" i="8"/>
  <c r="R227" i="8"/>
  <c r="T227" i="8"/>
  <c r="V227" i="8"/>
  <c r="X227" i="8"/>
  <c r="Z227" i="8"/>
  <c r="P228" i="8"/>
  <c r="R228" i="8"/>
  <c r="T228" i="8"/>
  <c r="V228" i="8"/>
  <c r="X228" i="8"/>
  <c r="Z228" i="8"/>
  <c r="P229" i="8"/>
  <c r="R229" i="8"/>
  <c r="T229" i="8"/>
  <c r="V229" i="8"/>
  <c r="X229" i="8"/>
  <c r="Z229" i="8"/>
  <c r="P230" i="8"/>
  <c r="R230" i="8"/>
  <c r="T230" i="8"/>
  <c r="V230" i="8"/>
  <c r="X230" i="8"/>
  <c r="Z230" i="8"/>
  <c r="P231" i="8"/>
  <c r="R231" i="8"/>
  <c r="T231" i="8"/>
  <c r="V231" i="8"/>
  <c r="X231" i="8"/>
  <c r="Z231" i="8"/>
  <c r="P232" i="8"/>
  <c r="R232" i="8"/>
  <c r="T232" i="8"/>
  <c r="V232" i="8"/>
  <c r="X232" i="8"/>
  <c r="Z232" i="8"/>
  <c r="P233" i="8"/>
  <c r="R233" i="8"/>
  <c r="T233" i="8"/>
  <c r="V233" i="8"/>
  <c r="X233" i="8"/>
  <c r="Z233" i="8"/>
  <c r="P234" i="8"/>
  <c r="R234" i="8"/>
  <c r="T234" i="8"/>
  <c r="V234" i="8"/>
  <c r="X234" i="8"/>
  <c r="Z234" i="8"/>
  <c r="P235" i="8"/>
  <c r="R235" i="8"/>
  <c r="T235" i="8"/>
  <c r="V235" i="8"/>
  <c r="X235" i="8"/>
  <c r="Z235" i="8"/>
  <c r="P236" i="8"/>
  <c r="R236" i="8"/>
  <c r="T236" i="8"/>
  <c r="V236" i="8"/>
  <c r="X236" i="8"/>
  <c r="Z236" i="8"/>
  <c r="P237" i="8"/>
  <c r="R237" i="8"/>
  <c r="T237" i="8"/>
  <c r="V237" i="8"/>
  <c r="X237" i="8"/>
  <c r="Z237" i="8"/>
  <c r="P238" i="8"/>
  <c r="R238" i="8"/>
  <c r="T238" i="8"/>
  <c r="V238" i="8"/>
  <c r="X238" i="8"/>
  <c r="Z238" i="8"/>
  <c r="P239" i="8"/>
  <c r="R239" i="8"/>
  <c r="T239" i="8"/>
  <c r="V239" i="8"/>
  <c r="X239" i="8"/>
  <c r="Z239" i="8"/>
  <c r="P240" i="8"/>
  <c r="R240" i="8"/>
  <c r="T240" i="8"/>
  <c r="V240" i="8"/>
  <c r="X240" i="8"/>
  <c r="Z240" i="8"/>
  <c r="P241" i="8"/>
  <c r="R241" i="8"/>
  <c r="T241" i="8"/>
  <c r="V241" i="8"/>
  <c r="X241" i="8"/>
  <c r="Z241" i="8"/>
  <c r="P242" i="8"/>
  <c r="R242" i="8"/>
  <c r="T242" i="8"/>
  <c r="V242" i="8"/>
  <c r="X242" i="8"/>
  <c r="Z242" i="8"/>
  <c r="P243" i="8"/>
  <c r="R243" i="8"/>
  <c r="T243" i="8"/>
  <c r="V243" i="8"/>
  <c r="X243" i="8"/>
  <c r="Z243" i="8"/>
  <c r="P244" i="8"/>
  <c r="R244" i="8"/>
  <c r="T244" i="8"/>
  <c r="V244" i="8"/>
  <c r="X244" i="8"/>
  <c r="Z244" i="8"/>
  <c r="P245" i="8"/>
  <c r="R245" i="8"/>
  <c r="T245" i="8"/>
  <c r="V245" i="8"/>
  <c r="X245" i="8"/>
  <c r="Z245" i="8"/>
  <c r="P246" i="8"/>
  <c r="R246" i="8"/>
  <c r="T246" i="8"/>
  <c r="V246" i="8"/>
  <c r="X246" i="8"/>
  <c r="Z246" i="8"/>
  <c r="P247" i="8"/>
  <c r="R247" i="8"/>
  <c r="T247" i="8"/>
  <c r="V247" i="8"/>
  <c r="X247" i="8"/>
  <c r="Z247" i="8"/>
  <c r="P248" i="8"/>
  <c r="R248" i="8"/>
  <c r="T248" i="8"/>
  <c r="V248" i="8"/>
  <c r="X248" i="8"/>
  <c r="Z248" i="8"/>
  <c r="P249" i="8"/>
  <c r="R249" i="8"/>
  <c r="T249" i="8"/>
  <c r="V249" i="8"/>
  <c r="X249" i="8"/>
  <c r="Z249" i="8"/>
  <c r="P250" i="8"/>
  <c r="R250" i="8"/>
  <c r="T250" i="8"/>
  <c r="V250" i="8"/>
  <c r="X250" i="8"/>
  <c r="Z250" i="8"/>
  <c r="P251" i="8"/>
  <c r="R251" i="8"/>
  <c r="T251" i="8"/>
  <c r="V251" i="8"/>
  <c r="X251" i="8"/>
  <c r="Z251" i="8"/>
  <c r="P252" i="8"/>
  <c r="R252" i="8"/>
  <c r="T252" i="8"/>
  <c r="V252" i="8"/>
  <c r="X252" i="8"/>
  <c r="Z252" i="8"/>
  <c r="P253" i="8"/>
  <c r="R253" i="8"/>
  <c r="T253" i="8"/>
  <c r="V253" i="8"/>
  <c r="X253" i="8"/>
  <c r="Z253" i="8"/>
  <c r="P254" i="8"/>
  <c r="R254" i="8"/>
  <c r="T254" i="8"/>
  <c r="V254" i="8"/>
  <c r="X254" i="8"/>
  <c r="Z254" i="8"/>
  <c r="P255" i="8"/>
  <c r="R255" i="8"/>
  <c r="T255" i="8"/>
  <c r="V255" i="8"/>
  <c r="X255" i="8"/>
  <c r="Z255" i="8"/>
  <c r="P256" i="8"/>
  <c r="R256" i="8"/>
  <c r="T256" i="8"/>
  <c r="V256" i="8"/>
  <c r="X256" i="8"/>
  <c r="Z256" i="8"/>
  <c r="P257" i="8"/>
  <c r="R257" i="8"/>
  <c r="T257" i="8"/>
  <c r="V257" i="8"/>
  <c r="X257" i="8"/>
  <c r="Z257" i="8"/>
  <c r="P258" i="8"/>
  <c r="R258" i="8"/>
  <c r="T258" i="8"/>
  <c r="V258" i="8"/>
  <c r="X258" i="8"/>
  <c r="Z258" i="8"/>
  <c r="P259" i="8"/>
  <c r="R259" i="8"/>
  <c r="T259" i="8"/>
  <c r="V259" i="8"/>
  <c r="X259" i="8"/>
  <c r="Z259" i="8"/>
  <c r="P260" i="8"/>
  <c r="R260" i="8"/>
  <c r="T260" i="8"/>
  <c r="V260" i="8"/>
  <c r="X260" i="8"/>
  <c r="Z260" i="8"/>
  <c r="P261" i="8"/>
  <c r="R261" i="8"/>
  <c r="T261" i="8"/>
  <c r="V261" i="8"/>
  <c r="X261" i="8"/>
  <c r="Z261" i="8"/>
  <c r="P262" i="8"/>
  <c r="R262" i="8"/>
  <c r="T262" i="8"/>
  <c r="V262" i="8"/>
  <c r="X262" i="8"/>
  <c r="Z262" i="8"/>
  <c r="P263" i="8"/>
  <c r="R263" i="8"/>
  <c r="T263" i="8"/>
  <c r="V263" i="8"/>
  <c r="X263" i="8"/>
  <c r="Z263" i="8"/>
  <c r="P264" i="8"/>
  <c r="R264" i="8"/>
  <c r="T264" i="8"/>
  <c r="V264" i="8"/>
  <c r="X264" i="8"/>
  <c r="Z264" i="8"/>
  <c r="P265" i="8"/>
  <c r="R265" i="8"/>
  <c r="T265" i="8"/>
  <c r="V265" i="8"/>
  <c r="X265" i="8"/>
  <c r="Z265" i="8"/>
  <c r="P266" i="8"/>
  <c r="R266" i="8"/>
  <c r="T266" i="8"/>
  <c r="V266" i="8"/>
  <c r="X266" i="8"/>
  <c r="Z266" i="8"/>
  <c r="P267" i="8"/>
  <c r="R267" i="8"/>
  <c r="T267" i="8"/>
  <c r="V267" i="8"/>
  <c r="X267" i="8"/>
  <c r="Z267" i="8"/>
  <c r="P268" i="8"/>
  <c r="R268" i="8"/>
  <c r="T268" i="8"/>
  <c r="V268" i="8"/>
  <c r="X268" i="8"/>
  <c r="Z268" i="8"/>
  <c r="P269" i="8"/>
  <c r="R269" i="8"/>
  <c r="T269" i="8"/>
  <c r="V269" i="8"/>
  <c r="X269" i="8"/>
  <c r="Z269" i="8"/>
  <c r="P270" i="8"/>
  <c r="R270" i="8"/>
  <c r="T270" i="8"/>
  <c r="V270" i="8"/>
  <c r="X270" i="8"/>
  <c r="Z270" i="8"/>
  <c r="P271" i="8"/>
  <c r="R271" i="8"/>
  <c r="T271" i="8"/>
  <c r="V271" i="8"/>
  <c r="X271" i="8"/>
  <c r="Z271" i="8"/>
  <c r="P272" i="8"/>
  <c r="R272" i="8"/>
  <c r="T272" i="8"/>
  <c r="V272" i="8"/>
  <c r="X272" i="8"/>
  <c r="Z272" i="8"/>
  <c r="P273" i="8"/>
  <c r="R273" i="8"/>
  <c r="T273" i="8"/>
  <c r="V273" i="8"/>
  <c r="X273" i="8"/>
  <c r="Z273" i="8"/>
  <c r="P274" i="8"/>
  <c r="R274" i="8"/>
  <c r="T274" i="8"/>
  <c r="V274" i="8"/>
  <c r="X274" i="8"/>
  <c r="Z274" i="8"/>
  <c r="P275" i="8"/>
  <c r="R275" i="8"/>
  <c r="T275" i="8"/>
  <c r="V275" i="8"/>
  <c r="X275" i="8"/>
  <c r="Z275" i="8"/>
  <c r="P276" i="8"/>
  <c r="R276" i="8"/>
  <c r="T276" i="8"/>
  <c r="V276" i="8"/>
  <c r="X276" i="8"/>
  <c r="Z276" i="8"/>
  <c r="P277" i="8"/>
  <c r="R277" i="8"/>
  <c r="T277" i="8"/>
  <c r="V277" i="8"/>
  <c r="X277" i="8"/>
  <c r="Z277" i="8"/>
  <c r="P278" i="8"/>
  <c r="R278" i="8"/>
  <c r="T278" i="8"/>
  <c r="V278" i="8"/>
  <c r="X278" i="8"/>
  <c r="Z278" i="8"/>
  <c r="P279" i="8"/>
  <c r="R279" i="8"/>
  <c r="T279" i="8"/>
  <c r="V279" i="8"/>
  <c r="X279" i="8"/>
  <c r="Z279" i="8"/>
  <c r="P280" i="8"/>
  <c r="R280" i="8"/>
  <c r="T280" i="8"/>
  <c r="V280" i="8"/>
  <c r="X280" i="8"/>
  <c r="Z280" i="8"/>
  <c r="P281" i="8"/>
  <c r="R281" i="8"/>
  <c r="T281" i="8"/>
  <c r="V281" i="8"/>
  <c r="X281" i="8"/>
  <c r="Z281" i="8"/>
  <c r="P282" i="8"/>
  <c r="R282" i="8"/>
  <c r="T282" i="8"/>
  <c r="V282" i="8"/>
  <c r="X282" i="8"/>
  <c r="Z282" i="8"/>
  <c r="P283" i="8"/>
  <c r="R283" i="8"/>
  <c r="T283" i="8"/>
  <c r="V283" i="8"/>
  <c r="X283" i="8"/>
  <c r="Z283" i="8"/>
  <c r="P284" i="8"/>
  <c r="R284" i="8"/>
  <c r="T284" i="8"/>
  <c r="V284" i="8"/>
  <c r="X284" i="8"/>
  <c r="Z284" i="8"/>
  <c r="P285" i="8"/>
  <c r="R285" i="8"/>
  <c r="T285" i="8"/>
  <c r="V285" i="8"/>
  <c r="X285" i="8"/>
  <c r="Z285" i="8"/>
  <c r="P286" i="8"/>
  <c r="R286" i="8"/>
  <c r="T286" i="8"/>
  <c r="V286" i="8"/>
  <c r="X286" i="8"/>
  <c r="Z286" i="8"/>
  <c r="P287" i="8"/>
  <c r="R287" i="8"/>
  <c r="T287" i="8"/>
  <c r="V287" i="8"/>
  <c r="X287" i="8"/>
  <c r="Z287" i="8"/>
  <c r="P288" i="8"/>
  <c r="R288" i="8"/>
  <c r="T288" i="8"/>
  <c r="V288" i="8"/>
  <c r="X288" i="8"/>
  <c r="Z288" i="8"/>
  <c r="P289" i="8"/>
  <c r="R289" i="8"/>
  <c r="T289" i="8"/>
  <c r="V289" i="8"/>
  <c r="X289" i="8"/>
  <c r="Z289" i="8"/>
  <c r="P290" i="8"/>
  <c r="R290" i="8"/>
  <c r="T290" i="8"/>
  <c r="V290" i="8"/>
  <c r="X290" i="8"/>
  <c r="Z290" i="8"/>
  <c r="P291" i="8"/>
  <c r="R291" i="8"/>
  <c r="T291" i="8"/>
  <c r="V291" i="8"/>
  <c r="X291" i="8"/>
  <c r="Z291" i="8"/>
  <c r="P292" i="8"/>
  <c r="R292" i="8"/>
  <c r="T292" i="8"/>
  <c r="V292" i="8"/>
  <c r="X292" i="8"/>
  <c r="Z292" i="8"/>
  <c r="P293" i="8"/>
  <c r="R293" i="8"/>
  <c r="T293" i="8"/>
  <c r="V293" i="8"/>
  <c r="X293" i="8"/>
  <c r="Z293" i="8"/>
  <c r="P294" i="8"/>
  <c r="R294" i="8"/>
  <c r="T294" i="8"/>
  <c r="V294" i="8"/>
  <c r="X294" i="8"/>
  <c r="Z294" i="8"/>
  <c r="P295" i="8"/>
  <c r="R295" i="8"/>
  <c r="T295" i="8"/>
  <c r="V295" i="8"/>
  <c r="X295" i="8"/>
  <c r="Z295" i="8"/>
  <c r="P296" i="8"/>
  <c r="R296" i="8"/>
  <c r="T296" i="8"/>
  <c r="V296" i="8"/>
  <c r="X296" i="8"/>
  <c r="Z296" i="8"/>
  <c r="P297" i="8"/>
  <c r="R297" i="8"/>
  <c r="T297" i="8"/>
  <c r="V297" i="8"/>
  <c r="X297" i="8"/>
  <c r="Z297" i="8"/>
  <c r="P298" i="8"/>
  <c r="R298" i="8"/>
  <c r="T298" i="8"/>
  <c r="V298" i="8"/>
  <c r="X298" i="8"/>
  <c r="Z298" i="8"/>
  <c r="P299" i="8"/>
  <c r="R299" i="8"/>
  <c r="T299" i="8"/>
  <c r="V299" i="8"/>
  <c r="X299" i="8"/>
  <c r="Z299" i="8"/>
  <c r="P300" i="8"/>
  <c r="R300" i="8"/>
  <c r="T300" i="8"/>
  <c r="V300" i="8"/>
  <c r="X300" i="8"/>
  <c r="Z300" i="8"/>
  <c r="P301" i="8"/>
  <c r="R301" i="8"/>
  <c r="T301" i="8"/>
  <c r="V301" i="8"/>
  <c r="X301" i="8"/>
  <c r="Z301" i="8"/>
  <c r="P302" i="8"/>
  <c r="R302" i="8"/>
  <c r="T302" i="8"/>
  <c r="V302" i="8"/>
  <c r="X302" i="8"/>
  <c r="Z302" i="8"/>
  <c r="P303" i="8"/>
  <c r="R303" i="8"/>
  <c r="T303" i="8"/>
  <c r="V303" i="8"/>
  <c r="X303" i="8"/>
  <c r="Z303" i="8"/>
  <c r="P304" i="8"/>
  <c r="R304" i="8"/>
  <c r="T304" i="8"/>
  <c r="V304" i="8"/>
  <c r="X304" i="8"/>
  <c r="Z304" i="8"/>
  <c r="P305" i="8"/>
  <c r="R305" i="8"/>
  <c r="T305" i="8"/>
  <c r="V305" i="8"/>
  <c r="X305" i="8"/>
  <c r="Z305" i="8"/>
  <c r="P306" i="8"/>
  <c r="R306" i="8"/>
  <c r="T306" i="8"/>
  <c r="V306" i="8"/>
  <c r="X306" i="8"/>
  <c r="Z306" i="8"/>
  <c r="P307" i="8"/>
  <c r="R307" i="8"/>
  <c r="T307" i="8"/>
  <c r="V307" i="8"/>
  <c r="X307" i="8"/>
  <c r="Z307" i="8"/>
  <c r="P308" i="8"/>
  <c r="R308" i="8"/>
  <c r="T308" i="8"/>
  <c r="V308" i="8"/>
  <c r="X308" i="8"/>
  <c r="Z308" i="8"/>
  <c r="P309" i="8"/>
  <c r="R309" i="8"/>
  <c r="T309" i="8"/>
  <c r="V309" i="8"/>
  <c r="X309" i="8"/>
  <c r="Z309" i="8"/>
  <c r="P310" i="8"/>
  <c r="R310" i="8"/>
  <c r="T310" i="8"/>
  <c r="V310" i="8"/>
  <c r="X310" i="8"/>
  <c r="Z310" i="8"/>
  <c r="P311" i="8"/>
  <c r="R311" i="8"/>
  <c r="T311" i="8"/>
  <c r="V311" i="8"/>
  <c r="X311" i="8"/>
  <c r="Z311" i="8"/>
  <c r="P312" i="8"/>
  <c r="R312" i="8"/>
  <c r="T312" i="8"/>
  <c r="V312" i="8"/>
  <c r="X312" i="8"/>
  <c r="Z312" i="8"/>
  <c r="P313" i="8"/>
  <c r="R313" i="8"/>
  <c r="T313" i="8"/>
  <c r="V313" i="8"/>
  <c r="X313" i="8"/>
  <c r="Z313" i="8"/>
  <c r="P314" i="8"/>
  <c r="R314" i="8"/>
  <c r="T314" i="8"/>
  <c r="V314" i="8"/>
  <c r="X314" i="8"/>
  <c r="Z314" i="8"/>
  <c r="P315" i="8"/>
  <c r="R315" i="8"/>
  <c r="T315" i="8"/>
  <c r="V315" i="8"/>
  <c r="X315" i="8"/>
  <c r="Z315" i="8"/>
  <c r="P316" i="8"/>
  <c r="R316" i="8"/>
  <c r="T316" i="8"/>
  <c r="V316" i="8"/>
  <c r="X316" i="8"/>
  <c r="Z316" i="8"/>
  <c r="P317" i="8"/>
  <c r="R317" i="8"/>
  <c r="T317" i="8"/>
  <c r="V317" i="8"/>
  <c r="X317" i="8"/>
  <c r="Z317" i="8"/>
  <c r="P318" i="8"/>
  <c r="R318" i="8"/>
  <c r="T318" i="8"/>
  <c r="V318" i="8"/>
  <c r="X318" i="8"/>
  <c r="Z318" i="8"/>
  <c r="P319" i="8"/>
  <c r="R319" i="8"/>
  <c r="T319" i="8"/>
  <c r="V319" i="8"/>
  <c r="X319" i="8"/>
  <c r="Z319" i="8"/>
  <c r="P320" i="8"/>
  <c r="R320" i="8"/>
  <c r="T320" i="8"/>
  <c r="V320" i="8"/>
  <c r="X320" i="8"/>
  <c r="Z320" i="8"/>
  <c r="P321" i="8"/>
  <c r="R321" i="8"/>
  <c r="T321" i="8"/>
  <c r="V321" i="8"/>
  <c r="X321" i="8"/>
  <c r="Z321" i="8"/>
  <c r="P322" i="8"/>
  <c r="R322" i="8"/>
  <c r="T322" i="8"/>
  <c r="V322" i="8"/>
  <c r="X322" i="8"/>
  <c r="Z322" i="8"/>
  <c r="P323" i="8"/>
  <c r="R323" i="8"/>
  <c r="T323" i="8"/>
  <c r="V323" i="8"/>
  <c r="X323" i="8"/>
  <c r="Z323" i="8"/>
  <c r="P324" i="8"/>
  <c r="R324" i="8"/>
  <c r="T324" i="8"/>
  <c r="V324" i="8"/>
  <c r="X324" i="8"/>
  <c r="Z324" i="8"/>
  <c r="P325" i="8"/>
  <c r="R325" i="8"/>
  <c r="T325" i="8"/>
  <c r="V325" i="8"/>
  <c r="X325" i="8"/>
  <c r="Z325" i="8"/>
  <c r="P326" i="8"/>
  <c r="R326" i="8"/>
  <c r="T326" i="8"/>
  <c r="V326" i="8"/>
  <c r="X326" i="8"/>
  <c r="Z326" i="8"/>
  <c r="P327" i="8"/>
  <c r="R327" i="8"/>
  <c r="T327" i="8"/>
  <c r="V327" i="8"/>
  <c r="X327" i="8"/>
  <c r="Z327" i="8"/>
  <c r="P328" i="8"/>
  <c r="R328" i="8"/>
  <c r="T328" i="8"/>
  <c r="V328" i="8"/>
  <c r="X328" i="8"/>
  <c r="Z328" i="8"/>
  <c r="P329" i="8"/>
  <c r="R329" i="8"/>
  <c r="T329" i="8"/>
  <c r="V329" i="8"/>
  <c r="X329" i="8"/>
  <c r="Z329" i="8"/>
  <c r="P330" i="8"/>
  <c r="R330" i="8"/>
  <c r="T330" i="8"/>
  <c r="V330" i="8"/>
  <c r="X330" i="8"/>
  <c r="Z330" i="8"/>
  <c r="P331" i="8"/>
  <c r="R331" i="8"/>
  <c r="T331" i="8"/>
  <c r="V331" i="8"/>
  <c r="X331" i="8"/>
  <c r="Z331" i="8"/>
  <c r="P332" i="8"/>
  <c r="R332" i="8"/>
  <c r="T332" i="8"/>
  <c r="V332" i="8"/>
  <c r="X332" i="8"/>
  <c r="Z332" i="8"/>
  <c r="P333" i="8"/>
  <c r="R333" i="8"/>
  <c r="T333" i="8"/>
  <c r="V333" i="8"/>
  <c r="X333" i="8"/>
  <c r="Z333" i="8"/>
  <c r="P334" i="8"/>
  <c r="R334" i="8"/>
  <c r="T334" i="8"/>
  <c r="V334" i="8"/>
  <c r="X334" i="8"/>
  <c r="Z334" i="8"/>
  <c r="P335" i="8"/>
  <c r="R335" i="8"/>
  <c r="T335" i="8"/>
  <c r="V335" i="8"/>
  <c r="X335" i="8"/>
  <c r="Z335" i="8"/>
  <c r="P336" i="8"/>
  <c r="R336" i="8"/>
  <c r="T336" i="8"/>
  <c r="V336" i="8"/>
  <c r="X336" i="8"/>
  <c r="Z336" i="8"/>
  <c r="P337" i="8"/>
  <c r="R337" i="8"/>
  <c r="T337" i="8"/>
  <c r="V337" i="8"/>
  <c r="X337" i="8"/>
  <c r="Z337" i="8"/>
  <c r="P338" i="8"/>
  <c r="R338" i="8"/>
  <c r="T338" i="8"/>
  <c r="V338" i="8"/>
  <c r="X338" i="8"/>
  <c r="Z338" i="8"/>
  <c r="P339" i="8"/>
  <c r="R339" i="8"/>
  <c r="T339" i="8"/>
  <c r="V339" i="8"/>
  <c r="X339" i="8"/>
  <c r="Z339" i="8"/>
  <c r="P340" i="8"/>
  <c r="R340" i="8"/>
  <c r="T340" i="8"/>
  <c r="V340" i="8"/>
  <c r="X340" i="8"/>
  <c r="Z340" i="8"/>
  <c r="P341" i="8"/>
  <c r="R341" i="8"/>
  <c r="T341" i="8"/>
  <c r="V341" i="8"/>
  <c r="X341" i="8"/>
  <c r="Z341" i="8"/>
  <c r="P342" i="8"/>
  <c r="R342" i="8"/>
  <c r="T342" i="8"/>
  <c r="V342" i="8"/>
  <c r="X342" i="8"/>
  <c r="Z342" i="8"/>
  <c r="P343" i="8"/>
  <c r="R343" i="8"/>
  <c r="T343" i="8"/>
  <c r="V343" i="8"/>
  <c r="X343" i="8"/>
  <c r="Z343" i="8"/>
  <c r="P344" i="8"/>
  <c r="R344" i="8"/>
  <c r="T344" i="8"/>
  <c r="V344" i="8"/>
  <c r="X344" i="8"/>
  <c r="Z344" i="8"/>
  <c r="P345" i="8"/>
  <c r="R345" i="8"/>
  <c r="T345" i="8"/>
  <c r="V345" i="8"/>
  <c r="X345" i="8"/>
  <c r="Z345" i="8"/>
  <c r="P346" i="8"/>
  <c r="R346" i="8"/>
  <c r="T346" i="8"/>
  <c r="V346" i="8"/>
  <c r="X346" i="8"/>
  <c r="Z346" i="8"/>
  <c r="P347" i="8"/>
  <c r="R347" i="8"/>
  <c r="T347" i="8"/>
  <c r="V347" i="8"/>
  <c r="X347" i="8"/>
  <c r="Z347" i="8"/>
  <c r="P348" i="8"/>
  <c r="R348" i="8"/>
  <c r="T348" i="8"/>
  <c r="V348" i="8"/>
  <c r="X348" i="8"/>
  <c r="Z348" i="8"/>
  <c r="P349" i="8"/>
  <c r="R349" i="8"/>
  <c r="T349" i="8"/>
  <c r="V349" i="8"/>
  <c r="X349" i="8"/>
  <c r="Z349" i="8"/>
  <c r="P350" i="8"/>
  <c r="R350" i="8"/>
  <c r="T350" i="8"/>
  <c r="V350" i="8"/>
  <c r="X350" i="8"/>
  <c r="Z350" i="8"/>
  <c r="P351" i="8"/>
  <c r="R351" i="8"/>
  <c r="T351" i="8"/>
  <c r="V351" i="8"/>
  <c r="X351" i="8"/>
  <c r="Z351" i="8"/>
  <c r="P352" i="8"/>
  <c r="R352" i="8"/>
  <c r="T352" i="8"/>
  <c r="V352" i="8"/>
  <c r="X352" i="8"/>
  <c r="Z352" i="8"/>
  <c r="P353" i="8"/>
  <c r="R353" i="8"/>
  <c r="T353" i="8"/>
  <c r="V353" i="8"/>
  <c r="X353" i="8"/>
  <c r="Z353" i="8"/>
  <c r="P354" i="8"/>
  <c r="R354" i="8"/>
  <c r="T354" i="8"/>
  <c r="V354" i="8"/>
  <c r="X354" i="8"/>
  <c r="Z354" i="8"/>
  <c r="P355" i="8"/>
  <c r="R355" i="8"/>
  <c r="T355" i="8"/>
  <c r="V355" i="8"/>
  <c r="X355" i="8"/>
  <c r="Z355" i="8"/>
  <c r="P356" i="8"/>
  <c r="R356" i="8"/>
  <c r="T356" i="8"/>
  <c r="V356" i="8"/>
  <c r="X356" i="8"/>
  <c r="Z356" i="8"/>
  <c r="P357" i="8"/>
  <c r="R357" i="8"/>
  <c r="T357" i="8"/>
  <c r="V357" i="8"/>
  <c r="X357" i="8"/>
  <c r="Z357" i="8"/>
  <c r="P358" i="8"/>
  <c r="R358" i="8"/>
  <c r="T358" i="8"/>
  <c r="V358" i="8"/>
  <c r="X358" i="8"/>
  <c r="Z358" i="8"/>
  <c r="P359" i="8"/>
  <c r="R359" i="8"/>
  <c r="T359" i="8"/>
  <c r="V359" i="8"/>
  <c r="X359" i="8"/>
  <c r="Z359" i="8"/>
  <c r="P360" i="8"/>
  <c r="R360" i="8"/>
  <c r="T360" i="8"/>
  <c r="V360" i="8"/>
  <c r="X360" i="8"/>
  <c r="Z360" i="8"/>
  <c r="P361" i="8"/>
  <c r="R361" i="8"/>
  <c r="T361" i="8"/>
  <c r="V361" i="8"/>
  <c r="X361" i="8"/>
  <c r="Z361" i="8"/>
  <c r="P362" i="8"/>
  <c r="R362" i="8"/>
  <c r="T362" i="8"/>
  <c r="V362" i="8"/>
  <c r="X362" i="8"/>
  <c r="Z362" i="8"/>
  <c r="P363" i="8"/>
  <c r="R363" i="8"/>
  <c r="T363" i="8"/>
  <c r="V363" i="8"/>
  <c r="X363" i="8"/>
  <c r="Z363" i="8"/>
  <c r="P364" i="8"/>
  <c r="R364" i="8"/>
  <c r="T364" i="8"/>
  <c r="V364" i="8"/>
  <c r="X364" i="8"/>
  <c r="Z364" i="8"/>
  <c r="P365" i="8"/>
  <c r="R365" i="8"/>
  <c r="T365" i="8"/>
  <c r="V365" i="8"/>
  <c r="X365" i="8"/>
  <c r="Z365" i="8"/>
  <c r="P366" i="8"/>
  <c r="R366" i="8"/>
  <c r="T366" i="8"/>
  <c r="V366" i="8"/>
  <c r="X366" i="8"/>
  <c r="Z366" i="8"/>
  <c r="P367" i="8"/>
  <c r="R367" i="8"/>
  <c r="T367" i="8"/>
  <c r="V367" i="8"/>
  <c r="X367" i="8"/>
  <c r="Z367" i="8"/>
  <c r="P368" i="8"/>
  <c r="R368" i="8"/>
  <c r="T368" i="8"/>
  <c r="V368" i="8"/>
  <c r="X368" i="8"/>
  <c r="Z368" i="8"/>
  <c r="P369" i="8"/>
  <c r="R369" i="8"/>
  <c r="T369" i="8"/>
  <c r="V369" i="8"/>
  <c r="X369" i="8"/>
  <c r="Z369" i="8"/>
  <c r="P370" i="8"/>
  <c r="R370" i="8"/>
  <c r="T370" i="8"/>
  <c r="V370" i="8"/>
  <c r="X370" i="8"/>
  <c r="Z370" i="8"/>
  <c r="P371" i="8"/>
  <c r="R371" i="8"/>
  <c r="T371" i="8"/>
  <c r="V371" i="8"/>
  <c r="X371" i="8"/>
  <c r="Z371" i="8"/>
  <c r="P372" i="8"/>
  <c r="R372" i="8"/>
  <c r="T372" i="8"/>
  <c r="V372" i="8"/>
  <c r="X372" i="8"/>
  <c r="Z372" i="8"/>
  <c r="P373" i="8"/>
  <c r="R373" i="8"/>
  <c r="T373" i="8"/>
  <c r="V373" i="8"/>
  <c r="X373" i="8"/>
  <c r="Z373" i="8"/>
  <c r="P374" i="8"/>
  <c r="R374" i="8"/>
  <c r="T374" i="8"/>
  <c r="V374" i="8"/>
  <c r="X374" i="8"/>
  <c r="Z374" i="8"/>
  <c r="P375" i="8"/>
  <c r="R375" i="8"/>
  <c r="T375" i="8"/>
  <c r="V375" i="8"/>
  <c r="X375" i="8"/>
  <c r="Z375" i="8"/>
  <c r="P376" i="8"/>
  <c r="R376" i="8"/>
  <c r="T376" i="8"/>
  <c r="V376" i="8"/>
  <c r="X376" i="8"/>
  <c r="Z376" i="8"/>
  <c r="P377" i="8"/>
  <c r="R377" i="8"/>
  <c r="T377" i="8"/>
  <c r="V377" i="8"/>
  <c r="X377" i="8"/>
  <c r="Z377" i="8"/>
  <c r="P378" i="8"/>
  <c r="R378" i="8"/>
  <c r="T378" i="8"/>
  <c r="V378" i="8"/>
  <c r="X378" i="8"/>
  <c r="Z378" i="8"/>
  <c r="P379" i="8"/>
  <c r="R379" i="8"/>
  <c r="T379" i="8"/>
  <c r="V379" i="8"/>
  <c r="X379" i="8"/>
  <c r="Z379" i="8"/>
  <c r="P380" i="8"/>
  <c r="R380" i="8"/>
  <c r="T380" i="8"/>
  <c r="V380" i="8"/>
  <c r="X380" i="8"/>
  <c r="Z380" i="8"/>
  <c r="P381" i="8"/>
  <c r="R381" i="8"/>
  <c r="T381" i="8"/>
  <c r="V381" i="8"/>
  <c r="X381" i="8"/>
  <c r="Z381" i="8"/>
  <c r="P382" i="8"/>
  <c r="R382" i="8"/>
  <c r="T382" i="8"/>
  <c r="V382" i="8"/>
  <c r="X382" i="8"/>
  <c r="Z382" i="8"/>
  <c r="P383" i="8"/>
  <c r="R383" i="8"/>
  <c r="T383" i="8"/>
  <c r="V383" i="8"/>
  <c r="X383" i="8"/>
  <c r="Z383" i="8"/>
  <c r="P384" i="8"/>
  <c r="R384" i="8"/>
  <c r="T384" i="8"/>
  <c r="V384" i="8"/>
  <c r="X384" i="8"/>
  <c r="Z384" i="8"/>
  <c r="P385" i="8"/>
  <c r="R385" i="8"/>
  <c r="T385" i="8"/>
  <c r="V385" i="8"/>
  <c r="X385" i="8"/>
  <c r="Z385" i="8"/>
  <c r="P386" i="8"/>
  <c r="R386" i="8"/>
  <c r="T386" i="8"/>
  <c r="V386" i="8"/>
  <c r="X386" i="8"/>
  <c r="Z386" i="8"/>
  <c r="P387" i="8"/>
  <c r="R387" i="8"/>
  <c r="T387" i="8"/>
  <c r="V387" i="8"/>
  <c r="X387" i="8"/>
  <c r="Z387" i="8"/>
  <c r="P388" i="8"/>
  <c r="R388" i="8"/>
  <c r="T388" i="8"/>
  <c r="V388" i="8"/>
  <c r="X388" i="8"/>
  <c r="Z388" i="8"/>
  <c r="P389" i="8"/>
  <c r="R389" i="8"/>
  <c r="T389" i="8"/>
  <c r="V389" i="8"/>
  <c r="X389" i="8"/>
  <c r="Z389" i="8"/>
  <c r="P390" i="8"/>
  <c r="R390" i="8"/>
  <c r="T390" i="8"/>
  <c r="V390" i="8"/>
  <c r="X390" i="8"/>
  <c r="Z390" i="8"/>
  <c r="P391" i="8"/>
  <c r="R391" i="8"/>
  <c r="T391" i="8"/>
  <c r="V391" i="8"/>
  <c r="X391" i="8"/>
  <c r="Z391" i="8"/>
  <c r="P392" i="8"/>
  <c r="R392" i="8"/>
  <c r="T392" i="8"/>
  <c r="V392" i="8"/>
  <c r="X392" i="8"/>
  <c r="Z392" i="8"/>
  <c r="P393" i="8"/>
  <c r="R393" i="8"/>
  <c r="T393" i="8"/>
  <c r="V393" i="8"/>
  <c r="X393" i="8"/>
  <c r="Z393" i="8"/>
  <c r="P394" i="8"/>
  <c r="R394" i="8"/>
  <c r="T394" i="8"/>
  <c r="V394" i="8"/>
  <c r="X394" i="8"/>
  <c r="Z394" i="8"/>
  <c r="P395" i="8"/>
  <c r="R395" i="8"/>
  <c r="T395" i="8"/>
  <c r="V395" i="8"/>
  <c r="X395" i="8"/>
  <c r="Z395" i="8"/>
  <c r="P396" i="8"/>
  <c r="R396" i="8"/>
  <c r="T396" i="8"/>
  <c r="V396" i="8"/>
  <c r="X396" i="8"/>
  <c r="Z396" i="8"/>
  <c r="P397" i="8"/>
  <c r="R397" i="8"/>
  <c r="T397" i="8"/>
  <c r="V397" i="8"/>
  <c r="X397" i="8"/>
  <c r="Z397" i="8"/>
  <c r="P398" i="8"/>
  <c r="R398" i="8"/>
  <c r="T398" i="8"/>
  <c r="V398" i="8"/>
  <c r="X398" i="8"/>
  <c r="Z398" i="8"/>
  <c r="P399" i="8"/>
  <c r="R399" i="8"/>
  <c r="T399" i="8"/>
  <c r="V399" i="8"/>
  <c r="X399" i="8"/>
  <c r="Z399" i="8"/>
  <c r="P400" i="8"/>
  <c r="R400" i="8"/>
  <c r="T400" i="8"/>
  <c r="V400" i="8"/>
  <c r="X400" i="8"/>
  <c r="Z400" i="8"/>
  <c r="P401" i="8"/>
  <c r="R401" i="8"/>
  <c r="T401" i="8"/>
  <c r="V401" i="8"/>
  <c r="X401" i="8"/>
  <c r="Z401" i="8"/>
  <c r="P402" i="8"/>
  <c r="R402" i="8"/>
  <c r="T402" i="8"/>
  <c r="V402" i="8"/>
  <c r="X402" i="8"/>
  <c r="Z402" i="8"/>
  <c r="P403" i="8"/>
  <c r="R403" i="8"/>
  <c r="T403" i="8"/>
  <c r="V403" i="8"/>
  <c r="X403" i="8"/>
  <c r="Z403" i="8"/>
  <c r="P404" i="8"/>
  <c r="R404" i="8"/>
  <c r="T404" i="8"/>
  <c r="V404" i="8"/>
  <c r="X404" i="8"/>
  <c r="Z404" i="8"/>
  <c r="P405" i="8"/>
  <c r="R405" i="8"/>
  <c r="T405" i="8"/>
  <c r="V405" i="8"/>
  <c r="X405" i="8"/>
  <c r="Z405" i="8"/>
  <c r="P406" i="8"/>
  <c r="R406" i="8"/>
  <c r="T406" i="8"/>
  <c r="V406" i="8"/>
  <c r="X406" i="8"/>
  <c r="Z406" i="8"/>
  <c r="P407" i="8"/>
  <c r="R407" i="8"/>
  <c r="T407" i="8"/>
  <c r="V407" i="8"/>
  <c r="X407" i="8"/>
  <c r="Z407" i="8"/>
  <c r="P408" i="8"/>
  <c r="R408" i="8"/>
  <c r="T408" i="8"/>
  <c r="V408" i="8"/>
  <c r="X408" i="8"/>
  <c r="Z408" i="8"/>
  <c r="P409" i="8"/>
  <c r="R409" i="8"/>
  <c r="T409" i="8"/>
  <c r="V409" i="8"/>
  <c r="X409" i="8"/>
  <c r="Z409" i="8"/>
  <c r="P410" i="8"/>
  <c r="R410" i="8"/>
  <c r="T410" i="8"/>
  <c r="V410" i="8"/>
  <c r="X410" i="8"/>
  <c r="Z410" i="8"/>
  <c r="P411" i="8"/>
  <c r="R411" i="8"/>
  <c r="T411" i="8"/>
  <c r="V411" i="8"/>
  <c r="X411" i="8"/>
  <c r="Z411" i="8"/>
  <c r="P412" i="8"/>
  <c r="R412" i="8"/>
  <c r="T412" i="8"/>
  <c r="V412" i="8"/>
  <c r="X412" i="8"/>
  <c r="Z412" i="8"/>
  <c r="P413" i="8"/>
  <c r="R413" i="8"/>
  <c r="T413" i="8"/>
  <c r="V413" i="8"/>
  <c r="X413" i="8"/>
  <c r="Z413" i="8"/>
  <c r="P414" i="8"/>
  <c r="R414" i="8"/>
  <c r="T414" i="8"/>
  <c r="V414" i="8"/>
  <c r="X414" i="8"/>
  <c r="Z414" i="8"/>
  <c r="P415" i="8"/>
  <c r="R415" i="8"/>
  <c r="T415" i="8"/>
  <c r="V415" i="8"/>
  <c r="X415" i="8"/>
  <c r="Z415" i="8"/>
  <c r="P416" i="8"/>
  <c r="R416" i="8"/>
  <c r="T416" i="8"/>
  <c r="V416" i="8"/>
  <c r="X416" i="8"/>
  <c r="Z416" i="8"/>
  <c r="P417" i="8"/>
  <c r="R417" i="8"/>
  <c r="T417" i="8"/>
  <c r="V417" i="8"/>
  <c r="X417" i="8"/>
  <c r="Z417" i="8"/>
  <c r="P418" i="8"/>
  <c r="R418" i="8"/>
  <c r="T418" i="8"/>
  <c r="V418" i="8"/>
  <c r="X418" i="8"/>
  <c r="Z418" i="8"/>
  <c r="P419" i="8"/>
  <c r="R419" i="8"/>
  <c r="T419" i="8"/>
  <c r="V419" i="8"/>
  <c r="X419" i="8"/>
  <c r="Z419" i="8"/>
  <c r="P420" i="8"/>
  <c r="R420" i="8"/>
  <c r="T420" i="8"/>
  <c r="V420" i="8"/>
  <c r="X420" i="8"/>
  <c r="Z420" i="8"/>
  <c r="P421" i="8"/>
  <c r="R421" i="8"/>
  <c r="T421" i="8"/>
  <c r="V421" i="8"/>
  <c r="X421" i="8"/>
  <c r="Z421" i="8"/>
  <c r="P422" i="8"/>
  <c r="R422" i="8"/>
  <c r="T422" i="8"/>
  <c r="V422" i="8"/>
  <c r="X422" i="8"/>
  <c r="Z422" i="8"/>
  <c r="P423" i="8"/>
  <c r="R423" i="8"/>
  <c r="T423" i="8"/>
  <c r="V423" i="8"/>
  <c r="X423" i="8"/>
  <c r="Z423" i="8"/>
  <c r="P424" i="8"/>
  <c r="R424" i="8"/>
  <c r="T424" i="8"/>
  <c r="V424" i="8"/>
  <c r="X424" i="8"/>
  <c r="Z424" i="8"/>
  <c r="P425" i="8"/>
  <c r="R425" i="8"/>
  <c r="T425" i="8"/>
  <c r="V425" i="8"/>
  <c r="X425" i="8"/>
  <c r="Z425" i="8"/>
  <c r="P426" i="8"/>
  <c r="R426" i="8"/>
  <c r="T426" i="8"/>
  <c r="V426" i="8"/>
  <c r="X426" i="8"/>
  <c r="Z426" i="8"/>
  <c r="P427" i="8"/>
  <c r="R427" i="8"/>
  <c r="T427" i="8"/>
  <c r="V427" i="8"/>
  <c r="X427" i="8"/>
  <c r="Z427" i="8"/>
  <c r="P428" i="8"/>
  <c r="R428" i="8"/>
  <c r="T428" i="8"/>
  <c r="V428" i="8"/>
  <c r="X428" i="8"/>
  <c r="Z428" i="8"/>
  <c r="P429" i="8"/>
  <c r="R429" i="8"/>
  <c r="T429" i="8"/>
  <c r="V429" i="8"/>
  <c r="X429" i="8"/>
  <c r="Z429" i="8"/>
  <c r="P430" i="8"/>
  <c r="R430" i="8"/>
  <c r="T430" i="8"/>
  <c r="V430" i="8"/>
  <c r="X430" i="8"/>
  <c r="Z430" i="8"/>
  <c r="P431" i="8"/>
  <c r="R431" i="8"/>
  <c r="T431" i="8"/>
  <c r="V431" i="8"/>
  <c r="X431" i="8"/>
  <c r="Z431" i="8"/>
  <c r="P432" i="8"/>
  <c r="R432" i="8"/>
  <c r="T432" i="8"/>
  <c r="V432" i="8"/>
  <c r="X432" i="8"/>
  <c r="Z432" i="8"/>
  <c r="P433" i="8"/>
  <c r="R433" i="8"/>
  <c r="T433" i="8"/>
  <c r="V433" i="8"/>
  <c r="X433" i="8"/>
  <c r="Z433" i="8"/>
  <c r="P434" i="8"/>
  <c r="R434" i="8"/>
  <c r="T434" i="8"/>
  <c r="V434" i="8"/>
  <c r="X434" i="8"/>
  <c r="Z434" i="8"/>
  <c r="P435" i="8"/>
  <c r="R435" i="8"/>
  <c r="T435" i="8"/>
  <c r="V435" i="8"/>
  <c r="X435" i="8"/>
  <c r="Z435" i="8"/>
  <c r="P436" i="8"/>
  <c r="R436" i="8"/>
  <c r="T436" i="8"/>
  <c r="V436" i="8"/>
  <c r="X436" i="8"/>
  <c r="Z436" i="8"/>
  <c r="P437" i="8"/>
  <c r="R437" i="8"/>
  <c r="T437" i="8"/>
  <c r="V437" i="8"/>
  <c r="X437" i="8"/>
  <c r="Z437" i="8"/>
  <c r="P438" i="8"/>
  <c r="R438" i="8"/>
  <c r="T438" i="8"/>
  <c r="V438" i="8"/>
  <c r="X438" i="8"/>
  <c r="Z438" i="8"/>
  <c r="P439" i="8"/>
  <c r="R439" i="8"/>
  <c r="T439" i="8"/>
  <c r="V439" i="8"/>
  <c r="X439" i="8"/>
  <c r="Z439" i="8"/>
  <c r="P440" i="8"/>
  <c r="R440" i="8"/>
  <c r="T440" i="8"/>
  <c r="V440" i="8"/>
  <c r="X440" i="8"/>
  <c r="Z440" i="8"/>
  <c r="P441" i="8"/>
  <c r="R441" i="8"/>
  <c r="T441" i="8"/>
  <c r="V441" i="8"/>
  <c r="X441" i="8"/>
  <c r="Z441" i="8"/>
  <c r="P442" i="8"/>
  <c r="R442" i="8"/>
  <c r="T442" i="8"/>
  <c r="V442" i="8"/>
  <c r="X442" i="8"/>
  <c r="Z442" i="8"/>
  <c r="P443" i="8"/>
  <c r="R443" i="8"/>
  <c r="T443" i="8"/>
  <c r="V443" i="8"/>
  <c r="X443" i="8"/>
  <c r="Z443" i="8"/>
  <c r="P444" i="8"/>
  <c r="R444" i="8"/>
  <c r="T444" i="8"/>
  <c r="V444" i="8"/>
  <c r="X444" i="8"/>
  <c r="Z444" i="8"/>
  <c r="P445" i="8"/>
  <c r="R445" i="8"/>
  <c r="T445" i="8"/>
  <c r="V445" i="8"/>
  <c r="X445" i="8"/>
  <c r="Z445" i="8"/>
  <c r="P446" i="8"/>
  <c r="R446" i="8"/>
  <c r="T446" i="8"/>
  <c r="V446" i="8"/>
  <c r="X446" i="8"/>
  <c r="Z446" i="8"/>
  <c r="P447" i="8"/>
  <c r="R447" i="8"/>
  <c r="T447" i="8"/>
  <c r="V447" i="8"/>
  <c r="X447" i="8"/>
  <c r="Z447" i="8"/>
  <c r="P448" i="8"/>
  <c r="R448" i="8"/>
  <c r="T448" i="8"/>
  <c r="V448" i="8"/>
  <c r="X448" i="8"/>
  <c r="Z448" i="8"/>
  <c r="P449" i="8"/>
  <c r="R449" i="8"/>
  <c r="T449" i="8"/>
  <c r="V449" i="8"/>
  <c r="X449" i="8"/>
  <c r="Z449" i="8"/>
  <c r="P450" i="8"/>
  <c r="R450" i="8"/>
  <c r="T450" i="8"/>
  <c r="V450" i="8"/>
  <c r="X450" i="8"/>
  <c r="Z450" i="8"/>
  <c r="P451" i="8"/>
  <c r="R451" i="8"/>
  <c r="T451" i="8"/>
  <c r="V451" i="8"/>
  <c r="X451" i="8"/>
  <c r="Z451" i="8"/>
  <c r="P452" i="8"/>
  <c r="R452" i="8"/>
  <c r="T452" i="8"/>
  <c r="V452" i="8"/>
  <c r="X452" i="8"/>
  <c r="Z452" i="8"/>
  <c r="P453" i="8"/>
  <c r="R453" i="8"/>
  <c r="T453" i="8"/>
  <c r="V453" i="8"/>
  <c r="X453" i="8"/>
  <c r="Z453" i="8"/>
  <c r="P454" i="8"/>
  <c r="R454" i="8"/>
  <c r="T454" i="8"/>
  <c r="V454" i="8"/>
  <c r="X454" i="8"/>
  <c r="Z454" i="8"/>
  <c r="P455" i="8"/>
  <c r="R455" i="8"/>
  <c r="T455" i="8"/>
  <c r="V455" i="8"/>
  <c r="X455" i="8"/>
  <c r="Z455" i="8"/>
  <c r="P456" i="8"/>
  <c r="R456" i="8"/>
  <c r="T456" i="8"/>
  <c r="V456" i="8"/>
  <c r="X456" i="8"/>
  <c r="Z456" i="8"/>
  <c r="P457" i="8"/>
  <c r="R457" i="8"/>
  <c r="T457" i="8"/>
  <c r="V457" i="8"/>
  <c r="X457" i="8"/>
  <c r="Z457" i="8"/>
  <c r="P458" i="8"/>
  <c r="R458" i="8"/>
  <c r="T458" i="8"/>
  <c r="V458" i="8"/>
  <c r="X458" i="8"/>
  <c r="Z458" i="8"/>
  <c r="P459" i="8"/>
  <c r="R459" i="8"/>
  <c r="T459" i="8"/>
  <c r="V459" i="8"/>
  <c r="X459" i="8"/>
  <c r="Z459" i="8"/>
  <c r="P460" i="8"/>
  <c r="R460" i="8"/>
  <c r="T460" i="8"/>
  <c r="V460" i="8"/>
  <c r="X460" i="8"/>
  <c r="Z460" i="8"/>
  <c r="P461" i="8"/>
  <c r="R461" i="8"/>
  <c r="T461" i="8"/>
  <c r="V461" i="8"/>
  <c r="X461" i="8"/>
  <c r="Z461" i="8"/>
  <c r="P462" i="8"/>
  <c r="R462" i="8"/>
  <c r="T462" i="8"/>
  <c r="V462" i="8"/>
  <c r="X462" i="8"/>
  <c r="Z462" i="8"/>
  <c r="P463" i="8"/>
  <c r="R463" i="8"/>
  <c r="T463" i="8"/>
  <c r="V463" i="8"/>
  <c r="X463" i="8"/>
  <c r="Z463" i="8"/>
  <c r="P464" i="8"/>
  <c r="R464" i="8"/>
  <c r="T464" i="8"/>
  <c r="V464" i="8"/>
  <c r="X464" i="8"/>
  <c r="Z464" i="8"/>
  <c r="P465" i="8"/>
  <c r="R465" i="8"/>
  <c r="T465" i="8"/>
  <c r="V465" i="8"/>
  <c r="X465" i="8"/>
  <c r="Z465" i="8"/>
  <c r="P466" i="8"/>
  <c r="R466" i="8"/>
  <c r="T466" i="8"/>
  <c r="V466" i="8"/>
  <c r="X466" i="8"/>
  <c r="Z466" i="8"/>
  <c r="P467" i="8"/>
  <c r="R467" i="8"/>
  <c r="T467" i="8"/>
  <c r="V467" i="8"/>
  <c r="X467" i="8"/>
  <c r="Z467" i="8"/>
  <c r="P468" i="8"/>
  <c r="R468" i="8"/>
  <c r="T468" i="8"/>
  <c r="V468" i="8"/>
  <c r="X468" i="8"/>
  <c r="Z468" i="8"/>
  <c r="P469" i="8"/>
  <c r="R469" i="8"/>
  <c r="T469" i="8"/>
  <c r="V469" i="8"/>
  <c r="X469" i="8"/>
  <c r="Z469" i="8"/>
  <c r="P470" i="8"/>
  <c r="R470" i="8"/>
  <c r="T470" i="8"/>
  <c r="V470" i="8"/>
  <c r="X470" i="8"/>
  <c r="Z470" i="8"/>
  <c r="P471" i="8"/>
  <c r="R471" i="8"/>
  <c r="T471" i="8"/>
  <c r="V471" i="8"/>
  <c r="X471" i="8"/>
  <c r="Z471" i="8"/>
  <c r="P472" i="8"/>
  <c r="R472" i="8"/>
  <c r="T472" i="8"/>
  <c r="V472" i="8"/>
  <c r="X472" i="8"/>
  <c r="Z472" i="8"/>
  <c r="P473" i="8"/>
  <c r="R473" i="8"/>
  <c r="T473" i="8"/>
  <c r="V473" i="8"/>
  <c r="X473" i="8"/>
  <c r="Z473" i="8"/>
  <c r="P474" i="8"/>
  <c r="R474" i="8"/>
  <c r="T474" i="8"/>
  <c r="V474" i="8"/>
  <c r="X474" i="8"/>
  <c r="Z474" i="8"/>
  <c r="P475" i="8"/>
  <c r="R475" i="8"/>
  <c r="T475" i="8"/>
  <c r="V475" i="8"/>
  <c r="X475" i="8"/>
  <c r="Z475" i="8"/>
  <c r="P476" i="8"/>
  <c r="R476" i="8"/>
  <c r="T476" i="8"/>
  <c r="V476" i="8"/>
  <c r="X476" i="8"/>
  <c r="Z476" i="8"/>
  <c r="P477" i="8"/>
  <c r="R477" i="8"/>
  <c r="T477" i="8"/>
  <c r="V477" i="8"/>
  <c r="X477" i="8"/>
  <c r="Z477" i="8"/>
  <c r="P478" i="8"/>
  <c r="R478" i="8"/>
  <c r="T478" i="8"/>
  <c r="V478" i="8"/>
  <c r="X478" i="8"/>
  <c r="Z478" i="8"/>
  <c r="P479" i="8"/>
  <c r="R479" i="8"/>
  <c r="T479" i="8"/>
  <c r="V479" i="8"/>
  <c r="X479" i="8"/>
  <c r="Z479" i="8"/>
  <c r="P480" i="8"/>
  <c r="R480" i="8"/>
  <c r="T480" i="8"/>
  <c r="V480" i="8"/>
  <c r="X480" i="8"/>
  <c r="Z480" i="8"/>
  <c r="P481" i="8"/>
  <c r="R481" i="8"/>
  <c r="T481" i="8"/>
  <c r="V481" i="8"/>
  <c r="X481" i="8"/>
  <c r="Z481" i="8"/>
  <c r="P482" i="8"/>
  <c r="R482" i="8"/>
  <c r="T482" i="8"/>
  <c r="V482" i="8"/>
  <c r="X482" i="8"/>
  <c r="Z482" i="8"/>
  <c r="P483" i="8"/>
  <c r="R483" i="8"/>
  <c r="T483" i="8"/>
  <c r="V483" i="8"/>
  <c r="X483" i="8"/>
  <c r="Z483" i="8"/>
  <c r="P484" i="8"/>
  <c r="R484" i="8"/>
  <c r="T484" i="8"/>
  <c r="V484" i="8"/>
  <c r="X484" i="8"/>
  <c r="Z484" i="8"/>
  <c r="P485" i="8"/>
  <c r="R485" i="8"/>
  <c r="T485" i="8"/>
  <c r="V485" i="8"/>
  <c r="X485" i="8"/>
  <c r="Z485" i="8"/>
  <c r="P486" i="8"/>
  <c r="R486" i="8"/>
  <c r="T486" i="8"/>
  <c r="V486" i="8"/>
  <c r="X486" i="8"/>
  <c r="Z486" i="8"/>
  <c r="P487" i="8"/>
  <c r="R487" i="8"/>
  <c r="T487" i="8"/>
  <c r="V487" i="8"/>
  <c r="X487" i="8"/>
  <c r="Z487" i="8"/>
  <c r="P488" i="8"/>
  <c r="R488" i="8"/>
  <c r="T488" i="8"/>
  <c r="V488" i="8"/>
  <c r="X488" i="8"/>
  <c r="Z488" i="8"/>
  <c r="P489" i="8"/>
  <c r="R489" i="8"/>
  <c r="T489" i="8"/>
  <c r="V489" i="8"/>
  <c r="X489" i="8"/>
  <c r="Z489" i="8"/>
  <c r="P490" i="8"/>
  <c r="R490" i="8"/>
  <c r="T490" i="8"/>
  <c r="V490" i="8"/>
  <c r="X490" i="8"/>
  <c r="Z490" i="8"/>
  <c r="P491" i="8"/>
  <c r="R491" i="8"/>
  <c r="T491" i="8"/>
  <c r="V491" i="8"/>
  <c r="X491" i="8"/>
  <c r="Z491" i="8"/>
  <c r="P492" i="8"/>
  <c r="R492" i="8"/>
  <c r="T492" i="8"/>
  <c r="V492" i="8"/>
  <c r="X492" i="8"/>
  <c r="Z492" i="8"/>
  <c r="P493" i="8"/>
  <c r="R493" i="8"/>
  <c r="T493" i="8"/>
  <c r="V493" i="8"/>
  <c r="X493" i="8"/>
  <c r="Z493" i="8"/>
  <c r="P494" i="8"/>
  <c r="R494" i="8"/>
  <c r="T494" i="8"/>
  <c r="V494" i="8"/>
  <c r="X494" i="8"/>
  <c r="Z494" i="8"/>
  <c r="P495" i="8"/>
  <c r="R495" i="8"/>
  <c r="T495" i="8"/>
  <c r="V495" i="8"/>
  <c r="X495" i="8"/>
  <c r="Z495" i="8"/>
  <c r="P496" i="8"/>
  <c r="R496" i="8"/>
  <c r="T496" i="8"/>
  <c r="V496" i="8"/>
  <c r="X496" i="8"/>
  <c r="Z496" i="8"/>
  <c r="P497" i="8"/>
  <c r="R497" i="8"/>
  <c r="T497" i="8"/>
  <c r="V497" i="8"/>
  <c r="X497" i="8"/>
  <c r="Z497" i="8"/>
  <c r="P498" i="8"/>
  <c r="R498" i="8"/>
  <c r="T498" i="8"/>
  <c r="V498" i="8"/>
  <c r="X498" i="8"/>
  <c r="Z498" i="8"/>
  <c r="P499" i="8"/>
  <c r="R499" i="8"/>
  <c r="T499" i="8"/>
  <c r="V499" i="8"/>
  <c r="X499" i="8"/>
  <c r="Z499" i="8"/>
  <c r="P500" i="8"/>
  <c r="R500" i="8"/>
  <c r="T500" i="8"/>
  <c r="V500" i="8"/>
  <c r="X500" i="8"/>
  <c r="Z500" i="8"/>
  <c r="P501" i="8"/>
  <c r="R501" i="8"/>
  <c r="T501" i="8"/>
  <c r="V501" i="8"/>
  <c r="X501" i="8"/>
  <c r="Z501" i="8"/>
  <c r="P502" i="8"/>
  <c r="R502" i="8"/>
  <c r="T502" i="8"/>
  <c r="V502" i="8"/>
  <c r="X502" i="8"/>
  <c r="Z502" i="8"/>
  <c r="P503" i="8"/>
  <c r="R503" i="8"/>
  <c r="T503" i="8"/>
  <c r="V503" i="8"/>
  <c r="X503" i="8"/>
  <c r="Z503" i="8"/>
  <c r="P504" i="8"/>
  <c r="R504" i="8"/>
  <c r="T504" i="8"/>
  <c r="V504" i="8"/>
  <c r="X504" i="8"/>
  <c r="Z504" i="8"/>
  <c r="P505" i="8"/>
  <c r="R505" i="8"/>
  <c r="T505" i="8"/>
  <c r="V505" i="8"/>
  <c r="X505" i="8"/>
  <c r="Z505" i="8"/>
  <c r="P506" i="8"/>
  <c r="R506" i="8"/>
  <c r="T506" i="8"/>
  <c r="V506" i="8"/>
  <c r="X506" i="8"/>
  <c r="Z506" i="8"/>
  <c r="P507" i="8"/>
  <c r="R507" i="8"/>
  <c r="T507" i="8"/>
  <c r="V507" i="8"/>
  <c r="X507" i="8"/>
  <c r="Z507" i="8"/>
  <c r="P508" i="8"/>
  <c r="R508" i="8"/>
  <c r="T508" i="8"/>
  <c r="V508" i="8"/>
  <c r="X508" i="8"/>
  <c r="Z508" i="8"/>
  <c r="P509" i="8"/>
  <c r="R509" i="8"/>
  <c r="T509" i="8"/>
  <c r="V509" i="8"/>
  <c r="X509" i="8"/>
  <c r="Z509" i="8"/>
  <c r="P510" i="8"/>
  <c r="R510" i="8"/>
  <c r="T510" i="8"/>
  <c r="V510" i="8"/>
  <c r="X510" i="8"/>
  <c r="Z510" i="8"/>
  <c r="P511" i="8"/>
  <c r="R511" i="8"/>
  <c r="T511" i="8"/>
  <c r="V511" i="8"/>
  <c r="X511" i="8"/>
  <c r="Z511" i="8"/>
  <c r="P512" i="8"/>
  <c r="R512" i="8"/>
  <c r="T512" i="8"/>
  <c r="V512" i="8"/>
  <c r="X512" i="8"/>
  <c r="Z512" i="8"/>
  <c r="P513" i="8"/>
  <c r="R513" i="8"/>
  <c r="T513" i="8"/>
  <c r="V513" i="8"/>
  <c r="X513" i="8"/>
  <c r="Z513" i="8"/>
  <c r="P514" i="8"/>
  <c r="R514" i="8"/>
  <c r="T514" i="8"/>
  <c r="V514" i="8"/>
  <c r="X514" i="8"/>
  <c r="Z514" i="8"/>
  <c r="P515" i="8"/>
  <c r="R515" i="8"/>
  <c r="T515" i="8"/>
  <c r="V515" i="8"/>
  <c r="X515" i="8"/>
  <c r="Z515" i="8"/>
  <c r="P516" i="8"/>
  <c r="R516" i="8"/>
  <c r="T516" i="8"/>
  <c r="V516" i="8"/>
  <c r="X516" i="8"/>
  <c r="Z516" i="8"/>
  <c r="P517" i="8"/>
  <c r="R517" i="8"/>
  <c r="T517" i="8"/>
  <c r="V517" i="8"/>
  <c r="X517" i="8"/>
  <c r="Z517" i="8"/>
  <c r="P518" i="8"/>
  <c r="R518" i="8"/>
  <c r="T518" i="8"/>
  <c r="V518" i="8"/>
  <c r="X518" i="8"/>
  <c r="Z518" i="8"/>
  <c r="P519" i="8"/>
  <c r="R519" i="8"/>
  <c r="T519" i="8"/>
  <c r="V519" i="8"/>
  <c r="X519" i="8"/>
  <c r="Z519" i="8"/>
  <c r="P520" i="8"/>
  <c r="R520" i="8"/>
  <c r="T520" i="8"/>
  <c r="V520" i="8"/>
  <c r="X520" i="8"/>
  <c r="Z520" i="8"/>
  <c r="P521" i="8"/>
  <c r="R521" i="8"/>
  <c r="T521" i="8"/>
  <c r="V521" i="8"/>
  <c r="X521" i="8"/>
  <c r="Z521" i="8"/>
  <c r="P522" i="8"/>
  <c r="R522" i="8"/>
  <c r="T522" i="8"/>
  <c r="V522" i="8"/>
  <c r="X522" i="8"/>
  <c r="Z522" i="8"/>
  <c r="P523" i="8"/>
  <c r="R523" i="8"/>
  <c r="T523" i="8"/>
  <c r="V523" i="8"/>
  <c r="X523" i="8"/>
  <c r="Z523" i="8"/>
  <c r="P524" i="8"/>
  <c r="R524" i="8"/>
  <c r="T524" i="8"/>
  <c r="V524" i="8"/>
  <c r="X524" i="8"/>
  <c r="Z524" i="8"/>
  <c r="P525" i="8"/>
  <c r="R525" i="8"/>
  <c r="T525" i="8"/>
  <c r="V525" i="8"/>
  <c r="X525" i="8"/>
  <c r="Z525" i="8"/>
  <c r="P526" i="8"/>
  <c r="R526" i="8"/>
  <c r="T526" i="8"/>
  <c r="V526" i="8"/>
  <c r="X526" i="8"/>
  <c r="Z526" i="8"/>
  <c r="P527" i="8"/>
  <c r="R527" i="8"/>
  <c r="T527" i="8"/>
  <c r="V527" i="8"/>
  <c r="X527" i="8"/>
  <c r="Z527" i="8"/>
  <c r="P528" i="8"/>
  <c r="R528" i="8"/>
  <c r="T528" i="8"/>
  <c r="V528" i="8"/>
  <c r="X528" i="8"/>
  <c r="Z528" i="8"/>
  <c r="P529" i="8"/>
  <c r="R529" i="8"/>
  <c r="T529" i="8"/>
  <c r="V529" i="8"/>
  <c r="X529" i="8"/>
  <c r="Z529" i="8"/>
  <c r="P530" i="8"/>
  <c r="R530" i="8"/>
  <c r="T530" i="8"/>
  <c r="V530" i="8"/>
  <c r="X530" i="8"/>
  <c r="Z530" i="8"/>
  <c r="P531" i="8"/>
  <c r="R531" i="8"/>
  <c r="T531" i="8"/>
  <c r="V531" i="8"/>
  <c r="X531" i="8"/>
  <c r="Z531" i="8"/>
  <c r="P532" i="8"/>
  <c r="R532" i="8"/>
  <c r="T532" i="8"/>
  <c r="V532" i="8"/>
  <c r="X532" i="8"/>
  <c r="Z532" i="8"/>
  <c r="P533" i="8"/>
  <c r="R533" i="8"/>
  <c r="T533" i="8"/>
  <c r="V533" i="8"/>
  <c r="X533" i="8"/>
  <c r="Z533" i="8"/>
  <c r="P534" i="8"/>
  <c r="R534" i="8"/>
  <c r="T534" i="8"/>
  <c r="V534" i="8"/>
  <c r="X534" i="8"/>
  <c r="Z534" i="8"/>
  <c r="P535" i="8"/>
  <c r="R535" i="8"/>
  <c r="T535" i="8"/>
  <c r="V535" i="8"/>
  <c r="X535" i="8"/>
  <c r="Z535" i="8"/>
  <c r="P536" i="8"/>
  <c r="R536" i="8"/>
  <c r="T536" i="8"/>
  <c r="V536" i="8"/>
  <c r="X536" i="8"/>
  <c r="Z536" i="8"/>
  <c r="P537" i="8"/>
  <c r="R537" i="8"/>
  <c r="T537" i="8"/>
  <c r="V537" i="8"/>
  <c r="X537" i="8"/>
  <c r="Z537" i="8"/>
  <c r="P538" i="8"/>
  <c r="R538" i="8"/>
  <c r="T538" i="8"/>
  <c r="V538" i="8"/>
  <c r="X538" i="8"/>
  <c r="Z538" i="8"/>
  <c r="P539" i="8"/>
  <c r="R539" i="8"/>
  <c r="T539" i="8"/>
  <c r="V539" i="8"/>
  <c r="X539" i="8"/>
  <c r="Z539" i="8"/>
  <c r="P540" i="8"/>
  <c r="R540" i="8"/>
  <c r="T540" i="8"/>
  <c r="V540" i="8"/>
  <c r="X540" i="8"/>
  <c r="Z540" i="8"/>
  <c r="P541" i="8"/>
  <c r="R541" i="8"/>
  <c r="T541" i="8"/>
  <c r="V541" i="8"/>
  <c r="X541" i="8"/>
  <c r="Z541" i="8"/>
  <c r="P542" i="8"/>
  <c r="R542" i="8"/>
  <c r="T542" i="8"/>
  <c r="V542" i="8"/>
  <c r="X542" i="8"/>
  <c r="Z542" i="8"/>
  <c r="P543" i="8"/>
  <c r="R543" i="8"/>
  <c r="T543" i="8"/>
  <c r="V543" i="8"/>
  <c r="X543" i="8"/>
  <c r="Z543" i="8"/>
  <c r="P544" i="8"/>
  <c r="R544" i="8"/>
  <c r="T544" i="8"/>
  <c r="V544" i="8"/>
  <c r="X544" i="8"/>
  <c r="Z544" i="8"/>
  <c r="P545" i="8"/>
  <c r="R545" i="8"/>
  <c r="T545" i="8"/>
  <c r="V545" i="8"/>
  <c r="X545" i="8"/>
  <c r="Z545" i="8"/>
  <c r="P546" i="8"/>
  <c r="R546" i="8"/>
  <c r="T546" i="8"/>
  <c r="V546" i="8"/>
  <c r="X546" i="8"/>
  <c r="Z546" i="8"/>
  <c r="P547" i="8"/>
  <c r="R547" i="8"/>
  <c r="T547" i="8"/>
  <c r="V547" i="8"/>
  <c r="X547" i="8"/>
  <c r="Z547" i="8"/>
  <c r="P548" i="8"/>
  <c r="R548" i="8"/>
  <c r="T548" i="8"/>
  <c r="V548" i="8"/>
  <c r="X548" i="8"/>
  <c r="Z548" i="8"/>
  <c r="P549" i="8"/>
  <c r="R549" i="8"/>
  <c r="T549" i="8"/>
  <c r="V549" i="8"/>
  <c r="X549" i="8"/>
  <c r="Z549" i="8"/>
  <c r="P550" i="8"/>
  <c r="R550" i="8"/>
  <c r="T550" i="8"/>
  <c r="V550" i="8"/>
  <c r="X550" i="8"/>
  <c r="Z550" i="8"/>
  <c r="P551" i="8"/>
  <c r="R551" i="8"/>
  <c r="T551" i="8"/>
  <c r="V551" i="8"/>
  <c r="X551" i="8"/>
  <c r="Z551" i="8"/>
  <c r="P552" i="8"/>
  <c r="R552" i="8"/>
  <c r="T552" i="8"/>
  <c r="V552" i="8"/>
  <c r="X552" i="8"/>
  <c r="Z552" i="8"/>
  <c r="P553" i="8"/>
  <c r="R553" i="8"/>
  <c r="T553" i="8"/>
  <c r="V553" i="8"/>
  <c r="X553" i="8"/>
  <c r="Z553" i="8"/>
  <c r="P554" i="8"/>
  <c r="R554" i="8"/>
  <c r="T554" i="8"/>
  <c r="V554" i="8"/>
  <c r="X554" i="8"/>
  <c r="Z554" i="8"/>
  <c r="P555" i="8"/>
  <c r="R555" i="8"/>
  <c r="T555" i="8"/>
  <c r="V555" i="8"/>
  <c r="X555" i="8"/>
  <c r="Z555" i="8"/>
  <c r="P556" i="8"/>
  <c r="R556" i="8"/>
  <c r="T556" i="8"/>
  <c r="V556" i="8"/>
  <c r="X556" i="8"/>
  <c r="Z556" i="8"/>
  <c r="P557" i="8"/>
  <c r="R557" i="8"/>
  <c r="T557" i="8"/>
  <c r="V557" i="8"/>
  <c r="X557" i="8"/>
  <c r="Z557" i="8"/>
  <c r="P558" i="8"/>
  <c r="R558" i="8"/>
  <c r="T558" i="8"/>
  <c r="V558" i="8"/>
  <c r="X558" i="8"/>
  <c r="Z558" i="8"/>
  <c r="P559" i="8"/>
  <c r="R559" i="8"/>
  <c r="T559" i="8"/>
  <c r="V559" i="8"/>
  <c r="X559" i="8"/>
  <c r="Z559" i="8"/>
  <c r="P560" i="8"/>
  <c r="R560" i="8"/>
  <c r="T560" i="8"/>
  <c r="V560" i="8"/>
  <c r="X560" i="8"/>
  <c r="Z560" i="8"/>
  <c r="P561" i="8"/>
  <c r="R561" i="8"/>
  <c r="T561" i="8"/>
  <c r="V561" i="8"/>
  <c r="X561" i="8"/>
  <c r="Z561" i="8"/>
  <c r="P562" i="8"/>
  <c r="R562" i="8"/>
  <c r="T562" i="8"/>
  <c r="V562" i="8"/>
  <c r="X562" i="8"/>
  <c r="Z562" i="8"/>
  <c r="P563" i="8"/>
  <c r="R563" i="8"/>
  <c r="T563" i="8"/>
  <c r="V563" i="8"/>
  <c r="X563" i="8"/>
  <c r="Z563" i="8"/>
  <c r="P564" i="8"/>
  <c r="R564" i="8"/>
  <c r="T564" i="8"/>
  <c r="V564" i="8"/>
  <c r="X564" i="8"/>
  <c r="Z564" i="8"/>
  <c r="P565" i="8"/>
  <c r="R565" i="8"/>
  <c r="T565" i="8"/>
  <c r="V565" i="8"/>
  <c r="X565" i="8"/>
  <c r="Z565" i="8"/>
  <c r="P566" i="8"/>
  <c r="R566" i="8"/>
  <c r="T566" i="8"/>
  <c r="V566" i="8"/>
  <c r="X566" i="8"/>
  <c r="Z566" i="8"/>
  <c r="P567" i="8"/>
  <c r="R567" i="8"/>
  <c r="T567" i="8"/>
  <c r="V567" i="8"/>
  <c r="X567" i="8"/>
  <c r="Z567" i="8"/>
  <c r="P568" i="8"/>
  <c r="R568" i="8"/>
  <c r="T568" i="8"/>
  <c r="V568" i="8"/>
  <c r="X568" i="8"/>
  <c r="Z568" i="8"/>
  <c r="P569" i="8"/>
  <c r="R569" i="8"/>
  <c r="T569" i="8"/>
  <c r="V569" i="8"/>
  <c r="X569" i="8"/>
  <c r="Z569" i="8"/>
  <c r="P570" i="8"/>
  <c r="R570" i="8"/>
  <c r="T570" i="8"/>
  <c r="V570" i="8"/>
  <c r="X570" i="8"/>
  <c r="Z570" i="8"/>
  <c r="P571" i="8"/>
  <c r="R571" i="8"/>
  <c r="T571" i="8"/>
  <c r="V571" i="8"/>
  <c r="X571" i="8"/>
  <c r="Z571" i="8"/>
  <c r="P572" i="8"/>
  <c r="R572" i="8"/>
  <c r="T572" i="8"/>
  <c r="V572" i="8"/>
  <c r="X572" i="8"/>
  <c r="Z572" i="8"/>
  <c r="P573" i="8"/>
  <c r="R573" i="8"/>
  <c r="T573" i="8"/>
  <c r="V573" i="8"/>
  <c r="X573" i="8"/>
  <c r="Z573" i="8"/>
  <c r="P574" i="8"/>
  <c r="R574" i="8"/>
  <c r="T574" i="8"/>
  <c r="V574" i="8"/>
  <c r="X574" i="8"/>
  <c r="Z574" i="8"/>
  <c r="P575" i="8"/>
  <c r="R575" i="8"/>
  <c r="T575" i="8"/>
  <c r="V575" i="8"/>
  <c r="X575" i="8"/>
  <c r="Z575" i="8"/>
  <c r="P576" i="8"/>
  <c r="R576" i="8"/>
  <c r="T576" i="8"/>
  <c r="V576" i="8"/>
  <c r="X576" i="8"/>
  <c r="Z576" i="8"/>
  <c r="P577" i="8"/>
  <c r="R577" i="8"/>
  <c r="T577" i="8"/>
  <c r="V577" i="8"/>
  <c r="X577" i="8"/>
  <c r="Z577" i="8"/>
  <c r="P578" i="8"/>
  <c r="R578" i="8"/>
  <c r="T578" i="8"/>
  <c r="V578" i="8"/>
  <c r="X578" i="8"/>
  <c r="Z578" i="8"/>
  <c r="P579" i="8"/>
  <c r="R579" i="8"/>
  <c r="T579" i="8"/>
  <c r="V579" i="8"/>
  <c r="X579" i="8"/>
  <c r="Z579" i="8"/>
  <c r="P580" i="8"/>
  <c r="R580" i="8"/>
  <c r="T580" i="8"/>
  <c r="V580" i="8"/>
  <c r="X580" i="8"/>
  <c r="Z580" i="8"/>
  <c r="P581" i="8"/>
  <c r="R581" i="8"/>
  <c r="T581" i="8"/>
  <c r="V581" i="8"/>
  <c r="X581" i="8"/>
  <c r="Z581" i="8"/>
  <c r="P582" i="8"/>
  <c r="R582" i="8"/>
  <c r="T582" i="8"/>
  <c r="V582" i="8"/>
  <c r="X582" i="8"/>
  <c r="Z582" i="8"/>
  <c r="P583" i="8"/>
  <c r="R583" i="8"/>
  <c r="T583" i="8"/>
  <c r="V583" i="8"/>
  <c r="X583" i="8"/>
  <c r="Z583" i="8"/>
  <c r="P584" i="8"/>
  <c r="R584" i="8"/>
  <c r="T584" i="8"/>
  <c r="V584" i="8"/>
  <c r="X584" i="8"/>
  <c r="Z584" i="8"/>
  <c r="P585" i="8"/>
  <c r="R585" i="8"/>
  <c r="T585" i="8"/>
  <c r="V585" i="8"/>
  <c r="X585" i="8"/>
  <c r="Z585" i="8"/>
  <c r="P586" i="8"/>
  <c r="R586" i="8"/>
  <c r="T586" i="8"/>
  <c r="V586" i="8"/>
  <c r="X586" i="8"/>
  <c r="Z586" i="8"/>
  <c r="P587" i="8"/>
  <c r="R587" i="8"/>
  <c r="T587" i="8"/>
  <c r="V587" i="8"/>
  <c r="X587" i="8"/>
  <c r="Z587" i="8"/>
  <c r="P588" i="8"/>
  <c r="R588" i="8"/>
  <c r="T588" i="8"/>
  <c r="V588" i="8"/>
  <c r="X588" i="8"/>
  <c r="Z588" i="8"/>
  <c r="P589" i="8"/>
  <c r="R589" i="8"/>
  <c r="T589" i="8"/>
  <c r="V589" i="8"/>
  <c r="X589" i="8"/>
  <c r="Z589" i="8"/>
  <c r="P590" i="8"/>
  <c r="R590" i="8"/>
  <c r="T590" i="8"/>
  <c r="V590" i="8"/>
  <c r="X590" i="8"/>
  <c r="Z590" i="8"/>
  <c r="P591" i="8"/>
  <c r="R591" i="8"/>
  <c r="T591" i="8"/>
  <c r="V591" i="8"/>
  <c r="X591" i="8"/>
  <c r="Z591" i="8"/>
  <c r="P592" i="8"/>
  <c r="R592" i="8"/>
  <c r="T592" i="8"/>
  <c r="V592" i="8"/>
  <c r="X592" i="8"/>
  <c r="Z592" i="8"/>
  <c r="P593" i="8"/>
  <c r="R593" i="8"/>
  <c r="T593" i="8"/>
  <c r="V593" i="8"/>
  <c r="X593" i="8"/>
  <c r="Z593" i="8"/>
  <c r="P594" i="8"/>
  <c r="R594" i="8"/>
  <c r="T594" i="8"/>
  <c r="V594" i="8"/>
  <c r="X594" i="8"/>
  <c r="Z594" i="8"/>
  <c r="P595" i="8"/>
  <c r="R595" i="8"/>
  <c r="T595" i="8"/>
  <c r="V595" i="8"/>
  <c r="X595" i="8"/>
  <c r="Z595" i="8"/>
  <c r="P596" i="8"/>
  <c r="R596" i="8"/>
  <c r="T596" i="8"/>
  <c r="V596" i="8"/>
  <c r="X596" i="8"/>
  <c r="Z596" i="8"/>
  <c r="P597" i="8"/>
  <c r="R597" i="8"/>
  <c r="T597" i="8"/>
  <c r="V597" i="8"/>
  <c r="X597" i="8"/>
  <c r="Z597" i="8"/>
  <c r="P598" i="8"/>
  <c r="R598" i="8"/>
  <c r="T598" i="8"/>
  <c r="V598" i="8"/>
  <c r="X598" i="8"/>
  <c r="Z598" i="8"/>
  <c r="P599" i="8"/>
  <c r="R599" i="8"/>
  <c r="T599" i="8"/>
  <c r="V599" i="8"/>
  <c r="X599" i="8"/>
  <c r="Z599" i="8"/>
  <c r="P600" i="8"/>
  <c r="R600" i="8"/>
  <c r="T600" i="8"/>
  <c r="V600" i="8"/>
  <c r="X600" i="8"/>
  <c r="Z600" i="8"/>
  <c r="P601" i="8"/>
  <c r="R601" i="8"/>
  <c r="T601" i="8"/>
  <c r="V601" i="8"/>
  <c r="X601" i="8"/>
  <c r="Z601" i="8"/>
  <c r="P602" i="8"/>
  <c r="R602" i="8"/>
  <c r="T602" i="8"/>
  <c r="V602" i="8"/>
  <c r="X602" i="8"/>
  <c r="Z602" i="8"/>
  <c r="P603" i="8"/>
  <c r="R603" i="8"/>
  <c r="T603" i="8"/>
  <c r="V603" i="8"/>
  <c r="X603" i="8"/>
  <c r="Z603" i="8"/>
  <c r="P604" i="8"/>
  <c r="R604" i="8"/>
  <c r="T604" i="8"/>
  <c r="V604" i="8"/>
  <c r="X604" i="8"/>
  <c r="Z604" i="8"/>
  <c r="P605" i="8"/>
  <c r="R605" i="8"/>
  <c r="T605" i="8"/>
  <c r="V605" i="8"/>
  <c r="X605" i="8"/>
  <c r="Z605" i="8"/>
  <c r="P606" i="8"/>
  <c r="R606" i="8"/>
  <c r="T606" i="8"/>
  <c r="V606" i="8"/>
  <c r="X606" i="8"/>
  <c r="Z606" i="8"/>
  <c r="P607" i="8"/>
  <c r="R607" i="8"/>
  <c r="T607" i="8"/>
  <c r="V607" i="8"/>
  <c r="X607" i="8"/>
  <c r="Z607" i="8"/>
  <c r="P608" i="8"/>
  <c r="R608" i="8"/>
  <c r="T608" i="8"/>
  <c r="V608" i="8"/>
  <c r="X608" i="8"/>
  <c r="Z608" i="8"/>
  <c r="P609" i="8"/>
  <c r="R609" i="8"/>
  <c r="T609" i="8"/>
  <c r="V609" i="8"/>
  <c r="X609" i="8"/>
  <c r="Z609" i="8"/>
  <c r="P610" i="8"/>
  <c r="R610" i="8"/>
  <c r="T610" i="8"/>
  <c r="V610" i="8"/>
  <c r="X610" i="8"/>
  <c r="Z610" i="8"/>
  <c r="P611" i="8"/>
  <c r="R611" i="8"/>
  <c r="T611" i="8"/>
  <c r="V611" i="8"/>
  <c r="X611" i="8"/>
  <c r="Z611" i="8"/>
  <c r="P612" i="8"/>
  <c r="R612" i="8"/>
  <c r="T612" i="8"/>
  <c r="V612" i="8"/>
  <c r="X612" i="8"/>
  <c r="Z612" i="8"/>
  <c r="P613" i="8"/>
  <c r="R613" i="8"/>
  <c r="T613" i="8"/>
  <c r="V613" i="8"/>
  <c r="X613" i="8"/>
  <c r="Z613" i="8"/>
  <c r="P614" i="8"/>
  <c r="R614" i="8"/>
  <c r="T614" i="8"/>
  <c r="V614" i="8"/>
  <c r="X614" i="8"/>
  <c r="Z614" i="8"/>
  <c r="P615" i="8"/>
  <c r="R615" i="8"/>
  <c r="T615" i="8"/>
  <c r="V615" i="8"/>
  <c r="X615" i="8"/>
  <c r="Z615" i="8"/>
  <c r="P616" i="8"/>
  <c r="R616" i="8"/>
  <c r="T616" i="8"/>
  <c r="V616" i="8"/>
  <c r="X616" i="8"/>
  <c r="Z616" i="8"/>
  <c r="P617" i="8"/>
  <c r="R617" i="8"/>
  <c r="T617" i="8"/>
  <c r="V617" i="8"/>
  <c r="X617" i="8"/>
  <c r="Z617" i="8"/>
  <c r="P618" i="8"/>
  <c r="R618" i="8"/>
  <c r="T618" i="8"/>
  <c r="V618" i="8"/>
  <c r="X618" i="8"/>
  <c r="Z618" i="8"/>
  <c r="P619" i="8"/>
  <c r="R619" i="8"/>
  <c r="T619" i="8"/>
  <c r="V619" i="8"/>
  <c r="X619" i="8"/>
  <c r="Z619" i="8"/>
  <c r="P620" i="8"/>
  <c r="R620" i="8"/>
  <c r="T620" i="8"/>
  <c r="V620" i="8"/>
  <c r="X620" i="8"/>
  <c r="Z620" i="8"/>
  <c r="P621" i="8"/>
  <c r="R621" i="8"/>
  <c r="T621" i="8"/>
  <c r="V621" i="8"/>
  <c r="X621" i="8"/>
  <c r="Z621" i="8"/>
  <c r="P622" i="8"/>
  <c r="R622" i="8"/>
  <c r="T622" i="8"/>
  <c r="V622" i="8"/>
  <c r="X622" i="8"/>
  <c r="Z622" i="8"/>
  <c r="P623" i="8"/>
  <c r="R623" i="8"/>
  <c r="T623" i="8"/>
  <c r="V623" i="8"/>
  <c r="X623" i="8"/>
  <c r="Z623" i="8"/>
  <c r="P624" i="8"/>
  <c r="R624" i="8"/>
  <c r="T624" i="8"/>
  <c r="V624" i="8"/>
  <c r="X624" i="8"/>
  <c r="Z624" i="8"/>
  <c r="P625" i="8"/>
  <c r="R625" i="8"/>
  <c r="T625" i="8"/>
  <c r="V625" i="8"/>
  <c r="X625" i="8"/>
  <c r="Z625" i="8"/>
  <c r="P626" i="8"/>
  <c r="R626" i="8"/>
  <c r="T626" i="8"/>
  <c r="V626" i="8"/>
  <c r="X626" i="8"/>
  <c r="Z626" i="8"/>
  <c r="P627" i="8"/>
  <c r="R627" i="8"/>
  <c r="T627" i="8"/>
  <c r="V627" i="8"/>
  <c r="X627" i="8"/>
  <c r="Z627" i="8"/>
  <c r="P628" i="8"/>
  <c r="R628" i="8"/>
  <c r="T628" i="8"/>
  <c r="V628" i="8"/>
  <c r="X628" i="8"/>
  <c r="Z628" i="8"/>
  <c r="P629" i="8"/>
  <c r="R629" i="8"/>
  <c r="T629" i="8"/>
  <c r="V629" i="8"/>
  <c r="X629" i="8"/>
  <c r="Z629" i="8"/>
  <c r="P630" i="8"/>
  <c r="R630" i="8"/>
  <c r="T630" i="8"/>
  <c r="V630" i="8"/>
  <c r="X630" i="8"/>
  <c r="Z630" i="8"/>
  <c r="P631" i="8"/>
  <c r="R631" i="8"/>
  <c r="T631" i="8"/>
  <c r="V631" i="8"/>
  <c r="X631" i="8"/>
  <c r="Z631" i="8"/>
  <c r="P632" i="8"/>
  <c r="R632" i="8"/>
  <c r="T632" i="8"/>
  <c r="V632" i="8"/>
  <c r="X632" i="8"/>
  <c r="Z632" i="8"/>
  <c r="P633" i="8"/>
  <c r="R633" i="8"/>
  <c r="T633" i="8"/>
  <c r="V633" i="8"/>
  <c r="X633" i="8"/>
  <c r="Z633" i="8"/>
  <c r="P634" i="8"/>
  <c r="R634" i="8"/>
  <c r="T634" i="8"/>
  <c r="V634" i="8"/>
  <c r="X634" i="8"/>
  <c r="Z634" i="8"/>
  <c r="P635" i="8"/>
  <c r="R635" i="8"/>
  <c r="T635" i="8"/>
  <c r="V635" i="8"/>
  <c r="X635" i="8"/>
  <c r="Z635" i="8"/>
  <c r="P636" i="8"/>
  <c r="R636" i="8"/>
  <c r="T636" i="8"/>
  <c r="V636" i="8"/>
  <c r="X636" i="8"/>
  <c r="Z636" i="8"/>
  <c r="P637" i="8"/>
  <c r="R637" i="8"/>
  <c r="T637" i="8"/>
  <c r="V637" i="8"/>
  <c r="X637" i="8"/>
  <c r="Z637" i="8"/>
  <c r="P638" i="8"/>
  <c r="R638" i="8"/>
  <c r="T638" i="8"/>
  <c r="V638" i="8"/>
  <c r="X638" i="8"/>
  <c r="Z638" i="8"/>
  <c r="P639" i="8"/>
  <c r="R639" i="8"/>
  <c r="T639" i="8"/>
  <c r="V639" i="8"/>
  <c r="X639" i="8"/>
  <c r="Z639" i="8"/>
  <c r="P640" i="8"/>
  <c r="R640" i="8"/>
  <c r="T640" i="8"/>
  <c r="V640" i="8"/>
  <c r="X640" i="8"/>
  <c r="Z640" i="8"/>
  <c r="P641" i="8"/>
  <c r="R641" i="8"/>
  <c r="T641" i="8"/>
  <c r="V641" i="8"/>
  <c r="X641" i="8"/>
  <c r="Z641" i="8"/>
  <c r="P642" i="8"/>
  <c r="R642" i="8"/>
  <c r="T642" i="8"/>
  <c r="V642" i="8"/>
  <c r="X642" i="8"/>
  <c r="Z642" i="8"/>
  <c r="P643" i="8"/>
  <c r="R643" i="8"/>
  <c r="T643" i="8"/>
  <c r="V643" i="8"/>
  <c r="X643" i="8"/>
  <c r="Z643" i="8"/>
  <c r="P644" i="8"/>
  <c r="R644" i="8"/>
  <c r="T644" i="8"/>
  <c r="V644" i="8"/>
  <c r="X644" i="8"/>
  <c r="Z644" i="8"/>
  <c r="P645" i="8"/>
  <c r="R645" i="8"/>
  <c r="T645" i="8"/>
  <c r="V645" i="8"/>
  <c r="X645" i="8"/>
  <c r="Z645" i="8"/>
  <c r="P646" i="8"/>
  <c r="R646" i="8"/>
  <c r="T646" i="8"/>
  <c r="V646" i="8"/>
  <c r="X646" i="8"/>
  <c r="Z646" i="8"/>
  <c r="P647" i="8"/>
  <c r="R647" i="8"/>
  <c r="T647" i="8"/>
  <c r="V647" i="8"/>
  <c r="X647" i="8"/>
  <c r="Z647" i="8"/>
  <c r="P648" i="8"/>
  <c r="R648" i="8"/>
  <c r="T648" i="8"/>
  <c r="V648" i="8"/>
  <c r="X648" i="8"/>
  <c r="Z648" i="8"/>
  <c r="P649" i="8"/>
  <c r="R649" i="8"/>
  <c r="T649" i="8"/>
  <c r="V649" i="8"/>
  <c r="X649" i="8"/>
  <c r="Z649" i="8"/>
  <c r="P650" i="8"/>
  <c r="R650" i="8"/>
  <c r="T650" i="8"/>
  <c r="V650" i="8"/>
  <c r="X650" i="8"/>
  <c r="Z650" i="8"/>
  <c r="P651" i="8"/>
  <c r="R651" i="8"/>
  <c r="T651" i="8"/>
  <c r="V651" i="8"/>
  <c r="X651" i="8"/>
  <c r="Z651" i="8"/>
  <c r="P652" i="8"/>
  <c r="R652" i="8"/>
  <c r="T652" i="8"/>
  <c r="V652" i="8"/>
  <c r="X652" i="8"/>
  <c r="Z652" i="8"/>
  <c r="P653" i="8"/>
  <c r="R653" i="8"/>
  <c r="T653" i="8"/>
  <c r="V653" i="8"/>
  <c r="X653" i="8"/>
  <c r="Z653" i="8"/>
  <c r="P654" i="8"/>
  <c r="R654" i="8"/>
  <c r="T654" i="8"/>
  <c r="V654" i="8"/>
  <c r="X654" i="8"/>
  <c r="Z654" i="8"/>
  <c r="P655" i="8"/>
  <c r="R655" i="8"/>
  <c r="T655" i="8"/>
  <c r="V655" i="8"/>
  <c r="X655" i="8"/>
  <c r="Z655" i="8"/>
  <c r="P656" i="8"/>
  <c r="R656" i="8"/>
  <c r="T656" i="8"/>
  <c r="V656" i="8"/>
  <c r="X656" i="8"/>
  <c r="Z656" i="8"/>
  <c r="P657" i="8"/>
  <c r="R657" i="8"/>
  <c r="T657" i="8"/>
  <c r="V657" i="8"/>
  <c r="X657" i="8"/>
  <c r="Z657" i="8"/>
  <c r="P658" i="8"/>
  <c r="R658" i="8"/>
  <c r="T658" i="8"/>
  <c r="V658" i="8"/>
  <c r="X658" i="8"/>
  <c r="Z658" i="8"/>
  <c r="P659" i="8"/>
  <c r="R659" i="8"/>
  <c r="T659" i="8"/>
  <c r="V659" i="8"/>
  <c r="X659" i="8"/>
  <c r="Z659" i="8"/>
  <c r="P660" i="8"/>
  <c r="R660" i="8"/>
  <c r="T660" i="8"/>
  <c r="V660" i="8"/>
  <c r="X660" i="8"/>
  <c r="Z660" i="8"/>
  <c r="P661" i="8"/>
  <c r="R661" i="8"/>
  <c r="T661" i="8"/>
  <c r="V661" i="8"/>
  <c r="X661" i="8"/>
  <c r="Z661" i="8"/>
  <c r="P662" i="8"/>
  <c r="R662" i="8"/>
  <c r="T662" i="8"/>
  <c r="V662" i="8"/>
  <c r="X662" i="8"/>
  <c r="Z662" i="8"/>
  <c r="P663" i="8"/>
  <c r="R663" i="8"/>
  <c r="T663" i="8"/>
  <c r="V663" i="8"/>
  <c r="X663" i="8"/>
  <c r="Z663" i="8"/>
  <c r="P664" i="8"/>
  <c r="R664" i="8"/>
  <c r="T664" i="8"/>
  <c r="V664" i="8"/>
  <c r="X664" i="8"/>
  <c r="Z664" i="8"/>
  <c r="P665" i="8"/>
  <c r="R665" i="8"/>
  <c r="T665" i="8"/>
  <c r="V665" i="8"/>
  <c r="X665" i="8"/>
  <c r="Z665" i="8"/>
  <c r="P666" i="8"/>
  <c r="R666" i="8"/>
  <c r="T666" i="8"/>
  <c r="V666" i="8"/>
  <c r="X666" i="8"/>
  <c r="Z666" i="8"/>
  <c r="P667" i="8"/>
  <c r="R667" i="8"/>
  <c r="T667" i="8"/>
  <c r="V667" i="8"/>
  <c r="X667" i="8"/>
  <c r="Z667" i="8"/>
  <c r="P668" i="8"/>
  <c r="R668" i="8"/>
  <c r="T668" i="8"/>
  <c r="V668" i="8"/>
  <c r="X668" i="8"/>
  <c r="Z668" i="8"/>
  <c r="P669" i="8"/>
  <c r="R669" i="8"/>
  <c r="T669" i="8"/>
  <c r="V669" i="8"/>
  <c r="X669" i="8"/>
  <c r="Z669" i="8"/>
  <c r="P670" i="8"/>
  <c r="R670" i="8"/>
  <c r="T670" i="8"/>
  <c r="V670" i="8"/>
  <c r="X670" i="8"/>
  <c r="Z670" i="8"/>
  <c r="P671" i="8"/>
  <c r="R671" i="8"/>
  <c r="T671" i="8"/>
  <c r="V671" i="8"/>
  <c r="X671" i="8"/>
  <c r="Z671" i="8"/>
  <c r="P672" i="8"/>
  <c r="R672" i="8"/>
  <c r="T672" i="8"/>
  <c r="V672" i="8"/>
  <c r="X672" i="8"/>
  <c r="Z672" i="8"/>
  <c r="P673" i="8"/>
  <c r="R673" i="8"/>
  <c r="T673" i="8"/>
  <c r="V673" i="8"/>
  <c r="X673" i="8"/>
  <c r="Z673" i="8"/>
  <c r="P674" i="8"/>
  <c r="R674" i="8"/>
  <c r="T674" i="8"/>
  <c r="V674" i="8"/>
  <c r="X674" i="8"/>
  <c r="Z674" i="8"/>
  <c r="P675" i="8"/>
  <c r="R675" i="8"/>
  <c r="T675" i="8"/>
  <c r="V675" i="8"/>
  <c r="X675" i="8"/>
  <c r="Z675" i="8"/>
  <c r="P676" i="8"/>
  <c r="R676" i="8"/>
  <c r="T676" i="8"/>
  <c r="V676" i="8"/>
  <c r="X676" i="8"/>
  <c r="Z676" i="8"/>
  <c r="P677" i="8"/>
  <c r="R677" i="8"/>
  <c r="T677" i="8"/>
  <c r="V677" i="8"/>
  <c r="X677" i="8"/>
  <c r="Z677" i="8"/>
  <c r="P678" i="8"/>
  <c r="R678" i="8"/>
  <c r="T678" i="8"/>
  <c r="V678" i="8"/>
  <c r="X678" i="8"/>
  <c r="Z678" i="8"/>
  <c r="P679" i="8"/>
  <c r="R679" i="8"/>
  <c r="T679" i="8"/>
  <c r="V679" i="8"/>
  <c r="X679" i="8"/>
  <c r="Z679" i="8"/>
  <c r="P680" i="8"/>
  <c r="R680" i="8"/>
  <c r="T680" i="8"/>
  <c r="V680" i="8"/>
  <c r="X680" i="8"/>
  <c r="Z680" i="8"/>
  <c r="P681" i="8"/>
  <c r="R681" i="8"/>
  <c r="T681" i="8"/>
  <c r="V681" i="8"/>
  <c r="X681" i="8"/>
  <c r="Z681" i="8"/>
  <c r="P682" i="8"/>
  <c r="R682" i="8"/>
  <c r="T682" i="8"/>
  <c r="V682" i="8"/>
  <c r="X682" i="8"/>
  <c r="Z682" i="8"/>
  <c r="P683" i="8"/>
  <c r="R683" i="8"/>
  <c r="T683" i="8"/>
  <c r="V683" i="8"/>
  <c r="X683" i="8"/>
  <c r="Z683" i="8"/>
  <c r="P684" i="8"/>
  <c r="R684" i="8"/>
  <c r="T684" i="8"/>
  <c r="V684" i="8"/>
  <c r="X684" i="8"/>
  <c r="Z684" i="8"/>
  <c r="P685" i="8"/>
  <c r="R685" i="8"/>
  <c r="T685" i="8"/>
  <c r="V685" i="8"/>
  <c r="X685" i="8"/>
  <c r="Z685" i="8"/>
  <c r="P686" i="8"/>
  <c r="R686" i="8"/>
  <c r="T686" i="8"/>
  <c r="V686" i="8"/>
  <c r="X686" i="8"/>
  <c r="Z686" i="8"/>
  <c r="P687" i="8"/>
  <c r="R687" i="8"/>
  <c r="T687" i="8"/>
  <c r="V687" i="8"/>
  <c r="X687" i="8"/>
  <c r="Z687" i="8"/>
  <c r="P688" i="8"/>
  <c r="R688" i="8"/>
  <c r="T688" i="8"/>
  <c r="V688" i="8"/>
  <c r="X688" i="8"/>
  <c r="Z688" i="8"/>
  <c r="P689" i="8"/>
  <c r="R689" i="8"/>
  <c r="T689" i="8"/>
  <c r="V689" i="8"/>
  <c r="X689" i="8"/>
  <c r="Z689" i="8"/>
  <c r="P690" i="8"/>
  <c r="R690" i="8"/>
  <c r="T690" i="8"/>
  <c r="V690" i="8"/>
  <c r="X690" i="8"/>
  <c r="Z690" i="8"/>
  <c r="P691" i="8"/>
  <c r="R691" i="8"/>
  <c r="T691" i="8"/>
  <c r="V691" i="8"/>
  <c r="X691" i="8"/>
  <c r="Z691" i="8"/>
  <c r="P692" i="8"/>
  <c r="R692" i="8"/>
  <c r="T692" i="8"/>
  <c r="V692" i="8"/>
  <c r="X692" i="8"/>
  <c r="Z692" i="8"/>
  <c r="P693" i="8"/>
  <c r="R693" i="8"/>
  <c r="T693" i="8"/>
  <c r="V693" i="8"/>
  <c r="X693" i="8"/>
  <c r="Z693" i="8"/>
  <c r="P694" i="8"/>
  <c r="R694" i="8"/>
  <c r="T694" i="8"/>
  <c r="V694" i="8"/>
  <c r="X694" i="8"/>
  <c r="Z694" i="8"/>
  <c r="P695" i="8"/>
  <c r="R695" i="8"/>
  <c r="T695" i="8"/>
  <c r="V695" i="8"/>
  <c r="X695" i="8"/>
  <c r="Z695" i="8"/>
  <c r="P696" i="8"/>
  <c r="R696" i="8"/>
  <c r="T696" i="8"/>
  <c r="V696" i="8"/>
  <c r="X696" i="8"/>
  <c r="Z696" i="8"/>
  <c r="P697" i="8"/>
  <c r="R697" i="8"/>
  <c r="T697" i="8"/>
  <c r="V697" i="8"/>
  <c r="X697" i="8"/>
  <c r="Z697" i="8"/>
  <c r="P698" i="8"/>
  <c r="R698" i="8"/>
  <c r="T698" i="8"/>
  <c r="V698" i="8"/>
  <c r="X698" i="8"/>
  <c r="Z698" i="8"/>
  <c r="P699" i="8"/>
  <c r="R699" i="8"/>
  <c r="T699" i="8"/>
  <c r="V699" i="8"/>
  <c r="X699" i="8"/>
  <c r="Z699" i="8"/>
  <c r="P700" i="8"/>
  <c r="R700" i="8"/>
  <c r="T700" i="8"/>
  <c r="V700" i="8"/>
  <c r="X700" i="8"/>
  <c r="Z700" i="8"/>
  <c r="P701" i="8"/>
  <c r="R701" i="8"/>
  <c r="T701" i="8"/>
  <c r="V701" i="8"/>
  <c r="X701" i="8"/>
  <c r="Z701" i="8"/>
  <c r="P702" i="8"/>
  <c r="R702" i="8"/>
  <c r="T702" i="8"/>
  <c r="V702" i="8"/>
  <c r="X702" i="8"/>
  <c r="Z702" i="8"/>
  <c r="P703" i="8"/>
  <c r="R703" i="8"/>
  <c r="T703" i="8"/>
  <c r="V703" i="8"/>
  <c r="X703" i="8"/>
  <c r="Z703" i="8"/>
  <c r="P704" i="8"/>
  <c r="R704" i="8"/>
  <c r="T704" i="8"/>
  <c r="V704" i="8"/>
  <c r="X704" i="8"/>
  <c r="Z704" i="8"/>
  <c r="P705" i="8"/>
  <c r="R705" i="8"/>
  <c r="T705" i="8"/>
  <c r="V705" i="8"/>
  <c r="X705" i="8"/>
  <c r="Z705" i="8"/>
  <c r="P706" i="8"/>
  <c r="R706" i="8"/>
  <c r="T706" i="8"/>
  <c r="V706" i="8"/>
  <c r="X706" i="8"/>
  <c r="Z706" i="8"/>
  <c r="P707" i="8"/>
  <c r="R707" i="8"/>
  <c r="T707" i="8"/>
  <c r="V707" i="8"/>
  <c r="X707" i="8"/>
  <c r="Z707" i="8"/>
  <c r="P708" i="8"/>
  <c r="R708" i="8"/>
  <c r="T708" i="8"/>
  <c r="V708" i="8"/>
  <c r="X708" i="8"/>
  <c r="Z708" i="8"/>
  <c r="P709" i="8"/>
  <c r="R709" i="8"/>
  <c r="T709" i="8"/>
  <c r="V709" i="8"/>
  <c r="X709" i="8"/>
  <c r="Z709" i="8"/>
  <c r="P710" i="8"/>
  <c r="R710" i="8"/>
  <c r="T710" i="8"/>
  <c r="V710" i="8"/>
  <c r="X710" i="8"/>
  <c r="Z710" i="8"/>
  <c r="P711" i="8"/>
  <c r="R711" i="8"/>
  <c r="T711" i="8"/>
  <c r="V711" i="8"/>
  <c r="X711" i="8"/>
  <c r="Z711" i="8"/>
  <c r="P712" i="8"/>
  <c r="R712" i="8"/>
  <c r="T712" i="8"/>
  <c r="V712" i="8"/>
  <c r="X712" i="8"/>
  <c r="Z712" i="8"/>
  <c r="P713" i="8"/>
  <c r="R713" i="8"/>
  <c r="T713" i="8"/>
  <c r="V713" i="8"/>
  <c r="X713" i="8"/>
  <c r="Z713" i="8"/>
  <c r="P714" i="8"/>
  <c r="R714" i="8"/>
  <c r="T714" i="8"/>
  <c r="V714" i="8"/>
  <c r="X714" i="8"/>
  <c r="Z714" i="8"/>
  <c r="P715" i="8"/>
  <c r="R715" i="8"/>
  <c r="T715" i="8"/>
  <c r="V715" i="8"/>
  <c r="X715" i="8"/>
  <c r="Z715" i="8"/>
  <c r="P716" i="8"/>
  <c r="R716" i="8"/>
  <c r="T716" i="8"/>
  <c r="V716" i="8"/>
  <c r="X716" i="8"/>
  <c r="Z716" i="8"/>
  <c r="P717" i="8"/>
  <c r="R717" i="8"/>
  <c r="T717" i="8"/>
  <c r="V717" i="8"/>
  <c r="X717" i="8"/>
  <c r="Z717" i="8"/>
  <c r="P718" i="8"/>
  <c r="R718" i="8"/>
  <c r="T718" i="8"/>
  <c r="V718" i="8"/>
  <c r="X718" i="8"/>
  <c r="Z718" i="8"/>
  <c r="P719" i="8"/>
  <c r="R719" i="8"/>
  <c r="T719" i="8"/>
  <c r="V719" i="8"/>
  <c r="X719" i="8"/>
  <c r="Z719" i="8"/>
  <c r="P720" i="8"/>
  <c r="R720" i="8"/>
  <c r="T720" i="8"/>
  <c r="V720" i="8"/>
  <c r="X720" i="8"/>
  <c r="Z720" i="8"/>
  <c r="P721" i="8"/>
  <c r="R721" i="8"/>
  <c r="T721" i="8"/>
  <c r="V721" i="8"/>
  <c r="X721" i="8"/>
  <c r="Z721" i="8"/>
  <c r="P722" i="8"/>
  <c r="R722" i="8"/>
  <c r="T722" i="8"/>
  <c r="V722" i="8"/>
  <c r="X722" i="8"/>
  <c r="Z722" i="8"/>
  <c r="P723" i="8"/>
  <c r="R723" i="8"/>
  <c r="T723" i="8"/>
  <c r="V723" i="8"/>
  <c r="X723" i="8"/>
  <c r="Z723" i="8"/>
  <c r="P724" i="8"/>
  <c r="R724" i="8"/>
  <c r="T724" i="8"/>
  <c r="V724" i="8"/>
  <c r="X724" i="8"/>
  <c r="Z724" i="8"/>
  <c r="P725" i="8"/>
  <c r="R725" i="8"/>
  <c r="T725" i="8"/>
  <c r="V725" i="8"/>
  <c r="X725" i="8"/>
  <c r="Z725" i="8"/>
  <c r="P726" i="8"/>
  <c r="R726" i="8"/>
  <c r="T726" i="8"/>
  <c r="V726" i="8"/>
  <c r="X726" i="8"/>
  <c r="Z726" i="8"/>
  <c r="P727" i="8"/>
  <c r="R727" i="8"/>
  <c r="T727" i="8"/>
  <c r="V727" i="8"/>
  <c r="X727" i="8"/>
  <c r="Z727" i="8"/>
  <c r="P728" i="8"/>
  <c r="R728" i="8"/>
  <c r="T728" i="8"/>
  <c r="V728" i="8"/>
  <c r="X728" i="8"/>
  <c r="Z728" i="8"/>
  <c r="P729" i="8"/>
  <c r="R729" i="8"/>
  <c r="T729" i="8"/>
  <c r="V729" i="8"/>
  <c r="X729" i="8"/>
  <c r="Z729" i="8"/>
  <c r="P730" i="8"/>
  <c r="R730" i="8"/>
  <c r="T730" i="8"/>
  <c r="V730" i="8"/>
  <c r="X730" i="8"/>
  <c r="Z730" i="8"/>
  <c r="P731" i="8"/>
  <c r="R731" i="8"/>
  <c r="T731" i="8"/>
  <c r="V731" i="8"/>
  <c r="X731" i="8"/>
  <c r="Z731" i="8"/>
  <c r="P732" i="8"/>
  <c r="R732" i="8"/>
  <c r="T732" i="8"/>
  <c r="V732" i="8"/>
  <c r="X732" i="8"/>
  <c r="Z732" i="8"/>
  <c r="P733" i="8"/>
  <c r="R733" i="8"/>
  <c r="T733" i="8"/>
  <c r="V733" i="8"/>
  <c r="X733" i="8"/>
  <c r="Z733" i="8"/>
  <c r="P734" i="8"/>
  <c r="R734" i="8"/>
  <c r="T734" i="8"/>
  <c r="V734" i="8"/>
  <c r="X734" i="8"/>
  <c r="Z734" i="8"/>
  <c r="P735" i="8"/>
  <c r="R735" i="8"/>
  <c r="T735" i="8"/>
  <c r="V735" i="8"/>
  <c r="X735" i="8"/>
  <c r="Z735" i="8"/>
  <c r="P736" i="8"/>
  <c r="R736" i="8"/>
  <c r="T736" i="8"/>
  <c r="V736" i="8"/>
  <c r="X736" i="8"/>
  <c r="Z736" i="8"/>
  <c r="P737" i="8"/>
  <c r="R737" i="8"/>
  <c r="T737" i="8"/>
  <c r="V737" i="8"/>
  <c r="X737" i="8"/>
  <c r="Z737" i="8"/>
  <c r="P738" i="8"/>
  <c r="R738" i="8"/>
  <c r="T738" i="8"/>
  <c r="V738" i="8"/>
  <c r="X738" i="8"/>
  <c r="Z738" i="8"/>
  <c r="P739" i="8"/>
  <c r="R739" i="8"/>
  <c r="T739" i="8"/>
  <c r="V739" i="8"/>
  <c r="X739" i="8"/>
  <c r="Z739" i="8"/>
  <c r="P740" i="8"/>
  <c r="R740" i="8"/>
  <c r="T740" i="8"/>
  <c r="V740" i="8"/>
  <c r="X740" i="8"/>
  <c r="Z740" i="8"/>
  <c r="P741" i="8"/>
  <c r="R741" i="8"/>
  <c r="T741" i="8"/>
  <c r="V741" i="8"/>
  <c r="X741" i="8"/>
  <c r="Z741" i="8"/>
  <c r="P742" i="8"/>
  <c r="R742" i="8"/>
  <c r="T742" i="8"/>
  <c r="V742" i="8"/>
  <c r="X742" i="8"/>
  <c r="Z742" i="8"/>
  <c r="P743" i="8"/>
  <c r="R743" i="8"/>
  <c r="T743" i="8"/>
  <c r="V743" i="8"/>
  <c r="X743" i="8"/>
  <c r="Z743" i="8"/>
  <c r="P744" i="8"/>
  <c r="R744" i="8"/>
  <c r="T744" i="8"/>
  <c r="V744" i="8"/>
  <c r="X744" i="8"/>
  <c r="Z744" i="8"/>
  <c r="P745" i="8"/>
  <c r="R745" i="8"/>
  <c r="T745" i="8"/>
  <c r="V745" i="8"/>
  <c r="X745" i="8"/>
  <c r="Z745" i="8"/>
  <c r="P746" i="8"/>
  <c r="R746" i="8"/>
  <c r="T746" i="8"/>
  <c r="V746" i="8"/>
  <c r="X746" i="8"/>
  <c r="Z746" i="8"/>
  <c r="P747" i="8"/>
  <c r="R747" i="8"/>
  <c r="T747" i="8"/>
  <c r="V747" i="8"/>
  <c r="X747" i="8"/>
  <c r="Z747" i="8"/>
  <c r="P748" i="8"/>
  <c r="R748" i="8"/>
  <c r="T748" i="8"/>
  <c r="V748" i="8"/>
  <c r="X748" i="8"/>
  <c r="Z748" i="8"/>
  <c r="P749" i="8"/>
  <c r="R749" i="8"/>
  <c r="T749" i="8"/>
  <c r="V749" i="8"/>
  <c r="X749" i="8"/>
  <c r="Z749" i="8"/>
  <c r="P750" i="8"/>
  <c r="R750" i="8"/>
  <c r="T750" i="8"/>
  <c r="V750" i="8"/>
  <c r="X750" i="8"/>
  <c r="Z750" i="8"/>
  <c r="P751" i="8"/>
  <c r="R751" i="8"/>
  <c r="T751" i="8"/>
  <c r="V751" i="8"/>
  <c r="X751" i="8"/>
  <c r="Z751" i="8"/>
  <c r="P752" i="8"/>
  <c r="R752" i="8"/>
  <c r="T752" i="8"/>
  <c r="V752" i="8"/>
  <c r="X752" i="8"/>
  <c r="Z752" i="8"/>
  <c r="P753" i="8"/>
  <c r="R753" i="8"/>
  <c r="T753" i="8"/>
  <c r="V753" i="8"/>
  <c r="X753" i="8"/>
  <c r="Z753" i="8"/>
  <c r="P754" i="8"/>
  <c r="R754" i="8"/>
  <c r="T754" i="8"/>
  <c r="V754" i="8"/>
  <c r="X754" i="8"/>
  <c r="Z754" i="8"/>
  <c r="P755" i="8"/>
  <c r="R755" i="8"/>
  <c r="T755" i="8"/>
  <c r="V755" i="8"/>
  <c r="X755" i="8"/>
  <c r="Z755" i="8"/>
  <c r="P756" i="8"/>
  <c r="R756" i="8"/>
  <c r="T756" i="8"/>
  <c r="V756" i="8"/>
  <c r="X756" i="8"/>
  <c r="Z756" i="8"/>
  <c r="P757" i="8"/>
  <c r="R757" i="8"/>
  <c r="T757" i="8"/>
  <c r="V757" i="8"/>
  <c r="X757" i="8"/>
  <c r="Z757" i="8"/>
  <c r="P758" i="8"/>
  <c r="R758" i="8"/>
  <c r="T758" i="8"/>
  <c r="V758" i="8"/>
  <c r="X758" i="8"/>
  <c r="Z758" i="8"/>
  <c r="P759" i="8"/>
  <c r="R759" i="8"/>
  <c r="T759" i="8"/>
  <c r="V759" i="8"/>
  <c r="X759" i="8"/>
  <c r="Z759" i="8"/>
  <c r="P760" i="8"/>
  <c r="R760" i="8"/>
  <c r="T760" i="8"/>
  <c r="V760" i="8"/>
  <c r="X760" i="8"/>
  <c r="Z760" i="8"/>
  <c r="P761" i="8"/>
  <c r="R761" i="8"/>
  <c r="T761" i="8"/>
  <c r="V761" i="8"/>
  <c r="X761" i="8"/>
  <c r="Z761" i="8"/>
  <c r="P762" i="8"/>
  <c r="R762" i="8"/>
  <c r="T762" i="8"/>
  <c r="V762" i="8"/>
  <c r="X762" i="8"/>
  <c r="Z762" i="8"/>
  <c r="P763" i="8"/>
  <c r="R763" i="8"/>
  <c r="T763" i="8"/>
  <c r="V763" i="8"/>
  <c r="X763" i="8"/>
  <c r="Z763" i="8"/>
  <c r="P764" i="8"/>
  <c r="R764" i="8"/>
  <c r="T764" i="8"/>
  <c r="V764" i="8"/>
  <c r="X764" i="8"/>
  <c r="Z764" i="8"/>
  <c r="P765" i="8"/>
  <c r="R765" i="8"/>
  <c r="T765" i="8"/>
  <c r="V765" i="8"/>
  <c r="X765" i="8"/>
  <c r="Z765" i="8"/>
  <c r="P766" i="8"/>
  <c r="R766" i="8"/>
  <c r="T766" i="8"/>
  <c r="V766" i="8"/>
  <c r="X766" i="8"/>
  <c r="Z766" i="8"/>
  <c r="P767" i="8"/>
  <c r="R767" i="8"/>
  <c r="T767" i="8"/>
  <c r="V767" i="8"/>
  <c r="X767" i="8"/>
  <c r="Z767" i="8"/>
  <c r="P768" i="8"/>
  <c r="R768" i="8"/>
  <c r="T768" i="8"/>
  <c r="V768" i="8"/>
  <c r="X768" i="8"/>
  <c r="Z768" i="8"/>
  <c r="P769" i="8"/>
  <c r="R769" i="8"/>
  <c r="T769" i="8"/>
  <c r="V769" i="8"/>
  <c r="X769" i="8"/>
  <c r="Z769" i="8"/>
  <c r="P770" i="8"/>
  <c r="R770" i="8"/>
  <c r="T770" i="8"/>
  <c r="V770" i="8"/>
  <c r="X770" i="8"/>
  <c r="Z770" i="8"/>
  <c r="P771" i="8"/>
  <c r="R771" i="8"/>
  <c r="T771" i="8"/>
  <c r="V771" i="8"/>
  <c r="X771" i="8"/>
  <c r="Z771" i="8"/>
  <c r="P772" i="8"/>
  <c r="R772" i="8"/>
  <c r="T772" i="8"/>
  <c r="V772" i="8"/>
  <c r="X772" i="8"/>
  <c r="Z772" i="8"/>
  <c r="P773" i="8"/>
  <c r="R773" i="8"/>
  <c r="T773" i="8"/>
  <c r="V773" i="8"/>
  <c r="X773" i="8"/>
  <c r="Z773" i="8"/>
  <c r="P774" i="8"/>
  <c r="R774" i="8"/>
  <c r="T774" i="8"/>
  <c r="V774" i="8"/>
  <c r="X774" i="8"/>
  <c r="Z774" i="8"/>
  <c r="P775" i="8"/>
  <c r="R775" i="8"/>
  <c r="T775" i="8"/>
  <c r="V775" i="8"/>
  <c r="X775" i="8"/>
  <c r="Z775" i="8"/>
  <c r="P776" i="8"/>
  <c r="R776" i="8"/>
  <c r="T776" i="8"/>
  <c r="V776" i="8"/>
  <c r="X776" i="8"/>
  <c r="Z776" i="8"/>
  <c r="P777" i="8"/>
  <c r="R777" i="8"/>
  <c r="T777" i="8"/>
  <c r="V777" i="8"/>
  <c r="X777" i="8"/>
  <c r="Z777" i="8"/>
  <c r="P778" i="8"/>
  <c r="R778" i="8"/>
  <c r="T778" i="8"/>
  <c r="V778" i="8"/>
  <c r="X778" i="8"/>
  <c r="Z778" i="8"/>
  <c r="P779" i="8"/>
  <c r="R779" i="8"/>
  <c r="T779" i="8"/>
  <c r="V779" i="8"/>
  <c r="X779" i="8"/>
  <c r="Z779" i="8"/>
  <c r="P780" i="8"/>
  <c r="R780" i="8"/>
  <c r="T780" i="8"/>
  <c r="V780" i="8"/>
  <c r="X780" i="8"/>
  <c r="Z780" i="8"/>
  <c r="P781" i="8"/>
  <c r="R781" i="8"/>
  <c r="T781" i="8"/>
  <c r="V781" i="8"/>
  <c r="X781" i="8"/>
  <c r="Z781" i="8"/>
  <c r="P782" i="8"/>
  <c r="R782" i="8"/>
  <c r="T782" i="8"/>
  <c r="V782" i="8"/>
  <c r="X782" i="8"/>
  <c r="Z782" i="8"/>
  <c r="P783" i="8"/>
  <c r="R783" i="8"/>
  <c r="T783" i="8"/>
  <c r="V783" i="8"/>
  <c r="X783" i="8"/>
  <c r="Z783" i="8"/>
  <c r="P784" i="8"/>
  <c r="R784" i="8"/>
  <c r="T784" i="8"/>
  <c r="V784" i="8"/>
  <c r="X784" i="8"/>
  <c r="Z784" i="8"/>
  <c r="P785" i="8"/>
  <c r="R785" i="8"/>
  <c r="T785" i="8"/>
  <c r="V785" i="8"/>
  <c r="X785" i="8"/>
  <c r="Z785" i="8"/>
  <c r="P786" i="8"/>
  <c r="R786" i="8"/>
  <c r="T786" i="8"/>
  <c r="V786" i="8"/>
  <c r="X786" i="8"/>
  <c r="Z786" i="8"/>
  <c r="P787" i="8"/>
  <c r="R787" i="8"/>
  <c r="T787" i="8"/>
  <c r="V787" i="8"/>
  <c r="X787" i="8"/>
  <c r="Z787" i="8"/>
  <c r="P788" i="8"/>
  <c r="R788" i="8"/>
  <c r="T788" i="8"/>
  <c r="V788" i="8"/>
  <c r="X788" i="8"/>
  <c r="Z788" i="8"/>
  <c r="P789" i="8"/>
  <c r="R789" i="8"/>
  <c r="T789" i="8"/>
  <c r="V789" i="8"/>
  <c r="X789" i="8"/>
  <c r="Z789" i="8"/>
  <c r="P790" i="8"/>
  <c r="R790" i="8"/>
  <c r="T790" i="8"/>
  <c r="V790" i="8"/>
  <c r="X790" i="8"/>
  <c r="Z790" i="8"/>
  <c r="P791" i="8"/>
  <c r="R791" i="8"/>
  <c r="T791" i="8"/>
  <c r="V791" i="8"/>
  <c r="X791" i="8"/>
  <c r="Z791" i="8"/>
  <c r="P792" i="8"/>
  <c r="R792" i="8"/>
  <c r="T792" i="8"/>
  <c r="V792" i="8"/>
  <c r="X792" i="8"/>
  <c r="Z792" i="8"/>
  <c r="P793" i="8"/>
  <c r="R793" i="8"/>
  <c r="T793" i="8"/>
  <c r="V793" i="8"/>
  <c r="X793" i="8"/>
  <c r="Z793" i="8"/>
  <c r="P794" i="8"/>
  <c r="R794" i="8"/>
  <c r="T794" i="8"/>
  <c r="V794" i="8"/>
  <c r="X794" i="8"/>
  <c r="Z794" i="8"/>
  <c r="P795" i="8"/>
  <c r="R795" i="8"/>
  <c r="T795" i="8"/>
  <c r="V795" i="8"/>
  <c r="X795" i="8"/>
  <c r="Z795" i="8"/>
  <c r="P796" i="8"/>
  <c r="R796" i="8"/>
  <c r="T796" i="8"/>
  <c r="V796" i="8"/>
  <c r="X796" i="8"/>
  <c r="Z796" i="8"/>
  <c r="P797" i="8"/>
  <c r="R797" i="8"/>
  <c r="T797" i="8"/>
  <c r="V797" i="8"/>
  <c r="X797" i="8"/>
  <c r="Z797" i="8"/>
  <c r="P798" i="8"/>
  <c r="R798" i="8"/>
  <c r="T798" i="8"/>
  <c r="V798" i="8"/>
  <c r="X798" i="8"/>
  <c r="Z798" i="8"/>
  <c r="P799" i="8"/>
  <c r="R799" i="8"/>
  <c r="T799" i="8"/>
  <c r="V799" i="8"/>
  <c r="X799" i="8"/>
  <c r="Z799" i="8"/>
  <c r="P800" i="8"/>
  <c r="R800" i="8"/>
  <c r="T800" i="8"/>
  <c r="V800" i="8"/>
  <c r="X800" i="8"/>
  <c r="Z800" i="8"/>
  <c r="P801" i="8"/>
  <c r="R801" i="8"/>
  <c r="T801" i="8"/>
  <c r="V801" i="8"/>
  <c r="X801" i="8"/>
  <c r="Z801" i="8"/>
  <c r="P802" i="8"/>
  <c r="R802" i="8"/>
  <c r="T802" i="8"/>
  <c r="V802" i="8"/>
  <c r="X802" i="8"/>
  <c r="Z802" i="8"/>
  <c r="P803" i="8"/>
  <c r="R803" i="8"/>
  <c r="T803" i="8"/>
  <c r="V803" i="8"/>
  <c r="X803" i="8"/>
  <c r="Z803" i="8"/>
  <c r="P804" i="8"/>
  <c r="R804" i="8"/>
  <c r="T804" i="8"/>
  <c r="V804" i="8"/>
  <c r="X804" i="8"/>
  <c r="Z804" i="8"/>
  <c r="P805" i="8"/>
  <c r="R805" i="8"/>
  <c r="T805" i="8"/>
  <c r="V805" i="8"/>
  <c r="X805" i="8"/>
  <c r="Z805" i="8"/>
  <c r="P806" i="8"/>
  <c r="R806" i="8"/>
  <c r="T806" i="8"/>
  <c r="V806" i="8"/>
  <c r="X806" i="8"/>
  <c r="Z806" i="8"/>
  <c r="P807" i="8"/>
  <c r="R807" i="8"/>
  <c r="T807" i="8"/>
  <c r="V807" i="8"/>
  <c r="X807" i="8"/>
  <c r="Z807" i="8"/>
  <c r="P808" i="8"/>
  <c r="R808" i="8"/>
  <c r="T808" i="8"/>
  <c r="V808" i="8"/>
  <c r="X808" i="8"/>
  <c r="Z808" i="8"/>
  <c r="P809" i="8"/>
  <c r="R809" i="8"/>
  <c r="T809" i="8"/>
  <c r="V809" i="8"/>
  <c r="X809" i="8"/>
  <c r="Z809" i="8"/>
  <c r="P810" i="8"/>
  <c r="R810" i="8"/>
  <c r="T810" i="8"/>
  <c r="V810" i="8"/>
  <c r="X810" i="8"/>
  <c r="Z810" i="8"/>
  <c r="P811" i="8"/>
  <c r="R811" i="8"/>
  <c r="T811" i="8"/>
  <c r="V811" i="8"/>
  <c r="X811" i="8"/>
  <c r="Z811" i="8"/>
  <c r="P812" i="8"/>
  <c r="R812" i="8"/>
  <c r="T812" i="8"/>
  <c r="V812" i="8"/>
  <c r="X812" i="8"/>
  <c r="Z812" i="8"/>
  <c r="P813" i="8"/>
  <c r="R813" i="8"/>
  <c r="T813" i="8"/>
  <c r="V813" i="8"/>
  <c r="X813" i="8"/>
  <c r="Z813" i="8"/>
  <c r="P814" i="8"/>
  <c r="R814" i="8"/>
  <c r="T814" i="8"/>
  <c r="V814" i="8"/>
  <c r="X814" i="8"/>
  <c r="Z814" i="8"/>
  <c r="P815" i="8"/>
  <c r="R815" i="8"/>
  <c r="T815" i="8"/>
  <c r="V815" i="8"/>
  <c r="X815" i="8"/>
  <c r="Z815" i="8"/>
  <c r="P816" i="8"/>
  <c r="R816" i="8"/>
  <c r="T816" i="8"/>
  <c r="V816" i="8"/>
  <c r="X816" i="8"/>
  <c r="Z816" i="8"/>
  <c r="P817" i="8"/>
  <c r="R817" i="8"/>
  <c r="T817" i="8"/>
  <c r="V817" i="8"/>
  <c r="X817" i="8"/>
  <c r="Z817" i="8"/>
  <c r="P818" i="8"/>
  <c r="R818" i="8"/>
  <c r="T818" i="8"/>
  <c r="V818" i="8"/>
  <c r="X818" i="8"/>
  <c r="Z818" i="8"/>
  <c r="P819" i="8"/>
  <c r="R819" i="8"/>
  <c r="T819" i="8"/>
  <c r="V819" i="8"/>
  <c r="X819" i="8"/>
  <c r="Z819" i="8"/>
  <c r="P820" i="8"/>
  <c r="R820" i="8"/>
  <c r="T820" i="8"/>
  <c r="V820" i="8"/>
  <c r="X820" i="8"/>
  <c r="Z820" i="8"/>
  <c r="P821" i="8"/>
  <c r="R821" i="8"/>
  <c r="T821" i="8"/>
  <c r="V821" i="8"/>
  <c r="X821" i="8"/>
  <c r="Z821" i="8"/>
  <c r="P822" i="8"/>
  <c r="R822" i="8"/>
  <c r="T822" i="8"/>
  <c r="V822" i="8"/>
  <c r="X822" i="8"/>
  <c r="Z822" i="8"/>
  <c r="P823" i="8"/>
  <c r="R823" i="8"/>
  <c r="T823" i="8"/>
  <c r="V823" i="8"/>
  <c r="X823" i="8"/>
  <c r="Z823" i="8"/>
  <c r="P824" i="8"/>
  <c r="R824" i="8"/>
  <c r="T824" i="8"/>
  <c r="V824" i="8"/>
  <c r="X824" i="8"/>
  <c r="Z824" i="8"/>
  <c r="P825" i="8"/>
  <c r="R825" i="8"/>
  <c r="T825" i="8"/>
  <c r="V825" i="8"/>
  <c r="X825" i="8"/>
  <c r="Z825" i="8"/>
  <c r="P826" i="8"/>
  <c r="R826" i="8"/>
  <c r="T826" i="8"/>
  <c r="V826" i="8"/>
  <c r="X826" i="8"/>
  <c r="Z826" i="8"/>
  <c r="P827" i="8"/>
  <c r="R827" i="8"/>
  <c r="T827" i="8"/>
  <c r="V827" i="8"/>
  <c r="X827" i="8"/>
  <c r="Z827" i="8"/>
  <c r="P828" i="8"/>
  <c r="R828" i="8"/>
  <c r="T828" i="8"/>
  <c r="V828" i="8"/>
  <c r="X828" i="8"/>
  <c r="Z828" i="8"/>
  <c r="P829" i="8"/>
  <c r="R829" i="8"/>
  <c r="T829" i="8"/>
  <c r="V829" i="8"/>
  <c r="X829" i="8"/>
  <c r="Z829" i="8"/>
  <c r="P830" i="8"/>
  <c r="R830" i="8"/>
  <c r="T830" i="8"/>
  <c r="V830" i="8"/>
  <c r="X830" i="8"/>
  <c r="Z830" i="8"/>
  <c r="P831" i="8"/>
  <c r="R831" i="8"/>
  <c r="T831" i="8"/>
  <c r="V831" i="8"/>
  <c r="X831" i="8"/>
  <c r="Z831" i="8"/>
  <c r="P832" i="8"/>
  <c r="R832" i="8"/>
  <c r="T832" i="8"/>
  <c r="V832" i="8"/>
  <c r="X832" i="8"/>
  <c r="Z832" i="8"/>
  <c r="P833" i="8"/>
  <c r="R833" i="8"/>
  <c r="T833" i="8"/>
  <c r="V833" i="8"/>
  <c r="X833" i="8"/>
  <c r="Z833" i="8"/>
  <c r="P834" i="8"/>
  <c r="R834" i="8"/>
  <c r="T834" i="8"/>
  <c r="V834" i="8"/>
  <c r="X834" i="8"/>
  <c r="Z834" i="8"/>
  <c r="P835" i="8"/>
  <c r="R835" i="8"/>
  <c r="T835" i="8"/>
  <c r="V835" i="8"/>
  <c r="X835" i="8"/>
  <c r="Z835" i="8"/>
  <c r="P836" i="8"/>
  <c r="R836" i="8"/>
  <c r="T836" i="8"/>
  <c r="V836" i="8"/>
  <c r="X836" i="8"/>
  <c r="Z836" i="8"/>
  <c r="P837" i="8"/>
  <c r="R837" i="8"/>
  <c r="T837" i="8"/>
  <c r="V837" i="8"/>
  <c r="X837" i="8"/>
  <c r="Z837" i="8"/>
  <c r="P838" i="8"/>
  <c r="R838" i="8"/>
  <c r="T838" i="8"/>
  <c r="V838" i="8"/>
  <c r="X838" i="8"/>
  <c r="Z838" i="8"/>
  <c r="P839" i="8"/>
  <c r="R839" i="8"/>
  <c r="T839" i="8"/>
  <c r="V839" i="8"/>
  <c r="X839" i="8"/>
  <c r="Z839" i="8"/>
  <c r="P840" i="8"/>
  <c r="R840" i="8"/>
  <c r="T840" i="8"/>
  <c r="V840" i="8"/>
  <c r="X840" i="8"/>
  <c r="Z840" i="8"/>
  <c r="P841" i="8"/>
  <c r="R841" i="8"/>
  <c r="T841" i="8"/>
  <c r="V841" i="8"/>
  <c r="X841" i="8"/>
  <c r="Z841" i="8"/>
  <c r="P842" i="8"/>
  <c r="R842" i="8"/>
  <c r="T842" i="8"/>
  <c r="V842" i="8"/>
  <c r="X842" i="8"/>
  <c r="Z842" i="8"/>
  <c r="P843" i="8"/>
  <c r="R843" i="8"/>
  <c r="T843" i="8"/>
  <c r="V843" i="8"/>
  <c r="X843" i="8"/>
  <c r="Z843" i="8"/>
  <c r="P844" i="8"/>
  <c r="R844" i="8"/>
  <c r="T844" i="8"/>
  <c r="V844" i="8"/>
  <c r="X844" i="8"/>
  <c r="Z844" i="8"/>
  <c r="P845" i="8"/>
  <c r="R845" i="8"/>
  <c r="T845" i="8"/>
  <c r="V845" i="8"/>
  <c r="X845" i="8"/>
  <c r="Z845" i="8"/>
  <c r="P846" i="8"/>
  <c r="R846" i="8"/>
  <c r="T846" i="8"/>
  <c r="V846" i="8"/>
  <c r="X846" i="8"/>
  <c r="Z846" i="8"/>
  <c r="P847" i="8"/>
  <c r="R847" i="8"/>
  <c r="T847" i="8"/>
  <c r="V847" i="8"/>
  <c r="X847" i="8"/>
  <c r="Z847" i="8"/>
  <c r="P848" i="8"/>
  <c r="R848" i="8"/>
  <c r="T848" i="8"/>
  <c r="V848" i="8"/>
  <c r="X848" i="8"/>
  <c r="Z848" i="8"/>
  <c r="P849" i="8"/>
  <c r="R849" i="8"/>
  <c r="T849" i="8"/>
  <c r="V849" i="8"/>
  <c r="X849" i="8"/>
  <c r="Z849" i="8"/>
  <c r="P850" i="8"/>
  <c r="R850" i="8"/>
  <c r="T850" i="8"/>
  <c r="V850" i="8"/>
  <c r="X850" i="8"/>
  <c r="Z850" i="8"/>
  <c r="P851" i="8"/>
  <c r="R851" i="8"/>
  <c r="T851" i="8"/>
  <c r="V851" i="8"/>
  <c r="X851" i="8"/>
  <c r="Z851" i="8"/>
  <c r="P852" i="8"/>
  <c r="R852" i="8"/>
  <c r="T852" i="8"/>
  <c r="V852" i="8"/>
  <c r="X852" i="8"/>
  <c r="Z852" i="8"/>
  <c r="P853" i="8"/>
  <c r="R853" i="8"/>
  <c r="T853" i="8"/>
  <c r="V853" i="8"/>
  <c r="X853" i="8"/>
  <c r="Z853" i="8"/>
  <c r="P854" i="8"/>
  <c r="R854" i="8"/>
  <c r="T854" i="8"/>
  <c r="V854" i="8"/>
  <c r="X854" i="8"/>
  <c r="Z854" i="8"/>
  <c r="P855" i="8"/>
  <c r="R855" i="8"/>
  <c r="T855" i="8"/>
  <c r="V855" i="8"/>
  <c r="X855" i="8"/>
  <c r="Z855" i="8"/>
  <c r="P856" i="8"/>
  <c r="R856" i="8"/>
  <c r="T856" i="8"/>
  <c r="V856" i="8"/>
  <c r="X856" i="8"/>
  <c r="Z856" i="8"/>
  <c r="P857" i="8"/>
  <c r="R857" i="8"/>
  <c r="T857" i="8"/>
  <c r="V857" i="8"/>
  <c r="X857" i="8"/>
  <c r="Z857" i="8"/>
  <c r="P858" i="8"/>
  <c r="R858" i="8"/>
  <c r="T858" i="8"/>
  <c r="V858" i="8"/>
  <c r="X858" i="8"/>
  <c r="Z858" i="8"/>
  <c r="P859" i="8"/>
  <c r="R859" i="8"/>
  <c r="T859" i="8"/>
  <c r="V859" i="8"/>
  <c r="X859" i="8"/>
  <c r="Z859" i="8"/>
  <c r="P860" i="8"/>
  <c r="R860" i="8"/>
  <c r="T860" i="8"/>
  <c r="V860" i="8"/>
  <c r="X860" i="8"/>
  <c r="Z860" i="8"/>
  <c r="P861" i="8"/>
  <c r="R861" i="8"/>
  <c r="T861" i="8"/>
  <c r="V861" i="8"/>
  <c r="X861" i="8"/>
  <c r="Z861" i="8"/>
  <c r="P862" i="8"/>
  <c r="R862" i="8"/>
  <c r="T862" i="8"/>
  <c r="V862" i="8"/>
  <c r="X862" i="8"/>
  <c r="Z862" i="8"/>
  <c r="P863" i="8"/>
  <c r="R863" i="8"/>
  <c r="T863" i="8"/>
  <c r="V863" i="8"/>
  <c r="X863" i="8"/>
  <c r="Z863" i="8"/>
  <c r="P864" i="8"/>
  <c r="R864" i="8"/>
  <c r="T864" i="8"/>
  <c r="V864" i="8"/>
  <c r="X864" i="8"/>
  <c r="Z864" i="8"/>
  <c r="P865" i="8"/>
  <c r="R865" i="8"/>
  <c r="T865" i="8"/>
  <c r="V865" i="8"/>
  <c r="X865" i="8"/>
  <c r="Z865" i="8"/>
  <c r="P866" i="8"/>
  <c r="R866" i="8"/>
  <c r="T866" i="8"/>
  <c r="V866" i="8"/>
  <c r="X866" i="8"/>
  <c r="Z866" i="8"/>
  <c r="P867" i="8"/>
  <c r="R867" i="8"/>
  <c r="T867" i="8"/>
  <c r="V867" i="8"/>
  <c r="X867" i="8"/>
  <c r="Z867" i="8"/>
  <c r="P868" i="8"/>
  <c r="R868" i="8"/>
  <c r="T868" i="8"/>
  <c r="V868" i="8"/>
  <c r="X868" i="8"/>
  <c r="Z868" i="8"/>
  <c r="P869" i="8"/>
  <c r="R869" i="8"/>
  <c r="T869" i="8"/>
  <c r="V869" i="8"/>
  <c r="X869" i="8"/>
  <c r="Z869" i="8"/>
  <c r="P870" i="8"/>
  <c r="R870" i="8"/>
  <c r="T870" i="8"/>
  <c r="V870" i="8"/>
  <c r="X870" i="8"/>
  <c r="Z870" i="8"/>
  <c r="P871" i="8"/>
  <c r="R871" i="8"/>
  <c r="T871" i="8"/>
  <c r="V871" i="8"/>
  <c r="X871" i="8"/>
  <c r="Z871" i="8"/>
  <c r="P872" i="8"/>
  <c r="R872" i="8"/>
  <c r="T872" i="8"/>
  <c r="V872" i="8"/>
  <c r="X872" i="8"/>
  <c r="Z872" i="8"/>
  <c r="P873" i="8"/>
  <c r="R873" i="8"/>
  <c r="T873" i="8"/>
  <c r="V873" i="8"/>
  <c r="X873" i="8"/>
  <c r="Z873" i="8"/>
  <c r="P874" i="8"/>
  <c r="R874" i="8"/>
  <c r="T874" i="8"/>
  <c r="V874" i="8"/>
  <c r="X874" i="8"/>
  <c r="Z874" i="8"/>
  <c r="P875" i="8"/>
  <c r="R875" i="8"/>
  <c r="T875" i="8"/>
  <c r="V875" i="8"/>
  <c r="X875" i="8"/>
  <c r="Z875" i="8"/>
  <c r="P876" i="8"/>
  <c r="R876" i="8"/>
  <c r="T876" i="8"/>
  <c r="V876" i="8"/>
  <c r="X876" i="8"/>
  <c r="Z876" i="8"/>
  <c r="P877" i="8"/>
  <c r="R877" i="8"/>
  <c r="T877" i="8"/>
  <c r="V877" i="8"/>
  <c r="X877" i="8"/>
  <c r="Z877" i="8"/>
  <c r="P878" i="8"/>
  <c r="R878" i="8"/>
  <c r="T878" i="8"/>
  <c r="V878" i="8"/>
  <c r="X878" i="8"/>
  <c r="Z878" i="8"/>
  <c r="P879" i="8"/>
  <c r="R879" i="8"/>
  <c r="T879" i="8"/>
  <c r="V879" i="8"/>
  <c r="X879" i="8"/>
  <c r="Z879" i="8"/>
  <c r="P880" i="8"/>
  <c r="R880" i="8"/>
  <c r="T880" i="8"/>
  <c r="V880" i="8"/>
  <c r="X880" i="8"/>
  <c r="Z880" i="8"/>
  <c r="P881" i="8"/>
  <c r="R881" i="8"/>
  <c r="T881" i="8"/>
  <c r="V881" i="8"/>
  <c r="X881" i="8"/>
  <c r="Z881" i="8"/>
  <c r="P882" i="8"/>
  <c r="R882" i="8"/>
  <c r="T882" i="8"/>
  <c r="V882" i="8"/>
  <c r="X882" i="8"/>
  <c r="Z882" i="8"/>
  <c r="P883" i="8"/>
  <c r="R883" i="8"/>
  <c r="T883" i="8"/>
  <c r="V883" i="8"/>
  <c r="X883" i="8"/>
  <c r="Z883" i="8"/>
  <c r="P884" i="8"/>
  <c r="R884" i="8"/>
  <c r="T884" i="8"/>
  <c r="V884" i="8"/>
  <c r="X884" i="8"/>
  <c r="Z884" i="8"/>
  <c r="P885" i="8"/>
  <c r="R885" i="8"/>
  <c r="T885" i="8"/>
  <c r="V885" i="8"/>
  <c r="X885" i="8"/>
  <c r="Z885" i="8"/>
  <c r="P886" i="8"/>
  <c r="R886" i="8"/>
  <c r="T886" i="8"/>
  <c r="V886" i="8"/>
  <c r="X886" i="8"/>
  <c r="Z886" i="8"/>
  <c r="P887" i="8"/>
  <c r="R887" i="8"/>
  <c r="T887" i="8"/>
  <c r="V887" i="8"/>
  <c r="X887" i="8"/>
  <c r="Z887" i="8"/>
  <c r="P888" i="8"/>
  <c r="R888" i="8"/>
  <c r="T888" i="8"/>
  <c r="V888" i="8"/>
  <c r="X888" i="8"/>
  <c r="Z888" i="8"/>
  <c r="P889" i="8"/>
  <c r="R889" i="8"/>
  <c r="T889" i="8"/>
  <c r="V889" i="8"/>
  <c r="X889" i="8"/>
  <c r="Z889" i="8"/>
  <c r="P890" i="8"/>
  <c r="R890" i="8"/>
  <c r="T890" i="8"/>
  <c r="V890" i="8"/>
  <c r="X890" i="8"/>
  <c r="Z890" i="8"/>
  <c r="P891" i="8"/>
  <c r="R891" i="8"/>
  <c r="T891" i="8"/>
  <c r="V891" i="8"/>
  <c r="X891" i="8"/>
  <c r="Z891" i="8"/>
  <c r="P892" i="8"/>
  <c r="R892" i="8"/>
  <c r="T892" i="8"/>
  <c r="V892" i="8"/>
  <c r="X892" i="8"/>
  <c r="Z892" i="8"/>
  <c r="P893" i="8"/>
  <c r="R893" i="8"/>
  <c r="T893" i="8"/>
  <c r="V893" i="8"/>
  <c r="X893" i="8"/>
  <c r="Z893" i="8"/>
  <c r="P894" i="8"/>
  <c r="R894" i="8"/>
  <c r="T894" i="8"/>
  <c r="V894" i="8"/>
  <c r="X894" i="8"/>
  <c r="Z894" i="8"/>
  <c r="P895" i="8"/>
  <c r="R895" i="8"/>
  <c r="T895" i="8"/>
  <c r="V895" i="8"/>
  <c r="X895" i="8"/>
  <c r="Z895" i="8"/>
  <c r="P896" i="8"/>
  <c r="R896" i="8"/>
  <c r="T896" i="8"/>
  <c r="V896" i="8"/>
  <c r="X896" i="8"/>
  <c r="Z896" i="8"/>
  <c r="P897" i="8"/>
  <c r="R897" i="8"/>
  <c r="T897" i="8"/>
  <c r="V897" i="8"/>
  <c r="X897" i="8"/>
  <c r="Z897" i="8"/>
  <c r="P898" i="8"/>
  <c r="R898" i="8"/>
  <c r="T898" i="8"/>
  <c r="V898" i="8"/>
  <c r="X898" i="8"/>
  <c r="Z898" i="8"/>
  <c r="P899" i="8"/>
  <c r="R899" i="8"/>
  <c r="T899" i="8"/>
  <c r="V899" i="8"/>
  <c r="X899" i="8"/>
  <c r="Z899" i="8"/>
  <c r="P900" i="8"/>
  <c r="R900" i="8"/>
  <c r="T900" i="8"/>
  <c r="V900" i="8"/>
  <c r="X900" i="8"/>
  <c r="Z900" i="8"/>
  <c r="P901" i="8"/>
  <c r="R901" i="8"/>
  <c r="T901" i="8"/>
  <c r="V901" i="8"/>
  <c r="X901" i="8"/>
  <c r="Z901" i="8"/>
  <c r="P902" i="8"/>
  <c r="R902" i="8"/>
  <c r="T902" i="8"/>
  <c r="V902" i="8"/>
  <c r="X902" i="8"/>
  <c r="Z902" i="8"/>
  <c r="P903" i="8"/>
  <c r="R903" i="8"/>
  <c r="T903" i="8"/>
  <c r="V903" i="8"/>
  <c r="X903" i="8"/>
  <c r="Z903" i="8"/>
  <c r="P904" i="8"/>
  <c r="R904" i="8"/>
  <c r="T904" i="8"/>
  <c r="V904" i="8"/>
  <c r="X904" i="8"/>
  <c r="Z904" i="8"/>
  <c r="P905" i="8"/>
  <c r="R905" i="8"/>
  <c r="T905" i="8"/>
  <c r="V905" i="8"/>
  <c r="X905" i="8"/>
  <c r="Z905" i="8"/>
  <c r="P906" i="8"/>
  <c r="R906" i="8"/>
  <c r="T906" i="8"/>
  <c r="V906" i="8"/>
  <c r="X906" i="8"/>
  <c r="Z906" i="8"/>
  <c r="P907" i="8"/>
  <c r="R907" i="8"/>
  <c r="T907" i="8"/>
  <c r="V907" i="8"/>
  <c r="X907" i="8"/>
  <c r="Z907" i="8"/>
  <c r="P908" i="8"/>
  <c r="R908" i="8"/>
  <c r="T908" i="8"/>
  <c r="V908" i="8"/>
  <c r="X908" i="8"/>
  <c r="Z908" i="8"/>
  <c r="P909" i="8"/>
  <c r="R909" i="8"/>
  <c r="T909" i="8"/>
  <c r="V909" i="8"/>
  <c r="X909" i="8"/>
  <c r="Z909" i="8"/>
  <c r="P910" i="8"/>
  <c r="R910" i="8"/>
  <c r="T910" i="8"/>
  <c r="V910" i="8"/>
  <c r="X910" i="8"/>
  <c r="Z910" i="8"/>
  <c r="P911" i="8"/>
  <c r="R911" i="8"/>
  <c r="T911" i="8"/>
  <c r="V911" i="8"/>
  <c r="X911" i="8"/>
  <c r="Z911" i="8"/>
  <c r="P912" i="8"/>
  <c r="R912" i="8"/>
  <c r="T912" i="8"/>
  <c r="V912" i="8"/>
  <c r="X912" i="8"/>
  <c r="Z912" i="8"/>
  <c r="P913" i="8"/>
  <c r="R913" i="8"/>
  <c r="T913" i="8"/>
  <c r="V913" i="8"/>
  <c r="X913" i="8"/>
  <c r="Z913" i="8"/>
  <c r="P914" i="8"/>
  <c r="R914" i="8"/>
  <c r="T914" i="8"/>
  <c r="V914" i="8"/>
  <c r="X914" i="8"/>
  <c r="Z914" i="8"/>
  <c r="P915" i="8"/>
  <c r="R915" i="8"/>
  <c r="T915" i="8"/>
  <c r="V915" i="8"/>
  <c r="X915" i="8"/>
  <c r="Z915" i="8"/>
  <c r="P916" i="8"/>
  <c r="R916" i="8"/>
  <c r="T916" i="8"/>
  <c r="V916" i="8"/>
  <c r="X916" i="8"/>
  <c r="Z916" i="8"/>
  <c r="P917" i="8"/>
  <c r="R917" i="8"/>
  <c r="T917" i="8"/>
  <c r="V917" i="8"/>
  <c r="X917" i="8"/>
  <c r="Z917" i="8"/>
  <c r="P918" i="8"/>
  <c r="R918" i="8"/>
  <c r="T918" i="8"/>
  <c r="V918" i="8"/>
  <c r="X918" i="8"/>
  <c r="Z918" i="8"/>
  <c r="P919" i="8"/>
  <c r="R919" i="8"/>
  <c r="T919" i="8"/>
  <c r="V919" i="8"/>
  <c r="X919" i="8"/>
  <c r="Z919" i="8"/>
  <c r="P920" i="8"/>
  <c r="R920" i="8"/>
  <c r="T920" i="8"/>
  <c r="V920" i="8"/>
  <c r="X920" i="8"/>
  <c r="Z920" i="8"/>
  <c r="P921" i="8"/>
  <c r="R921" i="8"/>
  <c r="T921" i="8"/>
  <c r="V921" i="8"/>
  <c r="X921" i="8"/>
  <c r="Z921" i="8"/>
  <c r="P922" i="8"/>
  <c r="R922" i="8"/>
  <c r="T922" i="8"/>
  <c r="V922" i="8"/>
  <c r="X922" i="8"/>
  <c r="Z922" i="8"/>
  <c r="P923" i="8"/>
  <c r="R923" i="8"/>
  <c r="T923" i="8"/>
  <c r="V923" i="8"/>
  <c r="X923" i="8"/>
  <c r="Z923" i="8"/>
  <c r="P924" i="8"/>
  <c r="R924" i="8"/>
  <c r="T924" i="8"/>
  <c r="V924" i="8"/>
  <c r="X924" i="8"/>
  <c r="Z924" i="8"/>
  <c r="P925" i="8"/>
  <c r="R925" i="8"/>
  <c r="T925" i="8"/>
  <c r="V925" i="8"/>
  <c r="X925" i="8"/>
  <c r="Z925" i="8"/>
  <c r="P926" i="8"/>
  <c r="R926" i="8"/>
  <c r="T926" i="8"/>
  <c r="V926" i="8"/>
  <c r="X926" i="8"/>
  <c r="Z926" i="8"/>
  <c r="P927" i="8"/>
  <c r="R927" i="8"/>
  <c r="T927" i="8"/>
  <c r="V927" i="8"/>
  <c r="X927" i="8"/>
  <c r="Z927" i="8"/>
  <c r="P928" i="8"/>
  <c r="R928" i="8"/>
  <c r="T928" i="8"/>
  <c r="V928" i="8"/>
  <c r="X928" i="8"/>
  <c r="Z928" i="8"/>
  <c r="P929" i="8"/>
  <c r="R929" i="8"/>
  <c r="T929" i="8"/>
  <c r="V929" i="8"/>
  <c r="X929" i="8"/>
  <c r="Z929" i="8"/>
  <c r="P930" i="8"/>
  <c r="R930" i="8"/>
  <c r="T930" i="8"/>
  <c r="V930" i="8"/>
  <c r="X930" i="8"/>
  <c r="Z930" i="8"/>
  <c r="P931" i="8"/>
  <c r="R931" i="8"/>
  <c r="T931" i="8"/>
  <c r="V931" i="8"/>
  <c r="X931" i="8"/>
  <c r="Z931" i="8"/>
  <c r="P932" i="8"/>
  <c r="R932" i="8"/>
  <c r="T932" i="8"/>
  <c r="V932" i="8"/>
  <c r="X932" i="8"/>
  <c r="Z932" i="8"/>
  <c r="P933" i="8"/>
  <c r="R933" i="8"/>
  <c r="T933" i="8"/>
  <c r="V933" i="8"/>
  <c r="X933" i="8"/>
  <c r="Z933" i="8"/>
  <c r="P934" i="8"/>
  <c r="R934" i="8"/>
  <c r="T934" i="8"/>
  <c r="V934" i="8"/>
  <c r="X934" i="8"/>
  <c r="Z934" i="8"/>
  <c r="P935" i="8"/>
  <c r="R935" i="8"/>
  <c r="T935" i="8"/>
  <c r="V935" i="8"/>
  <c r="X935" i="8"/>
  <c r="Z935" i="8"/>
  <c r="P936" i="8"/>
  <c r="R936" i="8"/>
  <c r="T936" i="8"/>
  <c r="V936" i="8"/>
  <c r="X936" i="8"/>
  <c r="Z936" i="8"/>
  <c r="P937" i="8"/>
  <c r="R937" i="8"/>
  <c r="T937" i="8"/>
  <c r="V937" i="8"/>
  <c r="X937" i="8"/>
  <c r="Z937" i="8"/>
  <c r="P938" i="8"/>
  <c r="R938" i="8"/>
  <c r="T938" i="8"/>
  <c r="V938" i="8"/>
  <c r="X938" i="8"/>
  <c r="Z938" i="8"/>
  <c r="P939" i="8"/>
  <c r="R939" i="8"/>
  <c r="T939" i="8"/>
  <c r="V939" i="8"/>
  <c r="X939" i="8"/>
  <c r="Z939" i="8"/>
  <c r="P940" i="8"/>
  <c r="R940" i="8"/>
  <c r="T940" i="8"/>
  <c r="V940" i="8"/>
  <c r="X940" i="8"/>
  <c r="Z940" i="8"/>
  <c r="P941" i="8"/>
  <c r="R941" i="8"/>
  <c r="T941" i="8"/>
  <c r="V941" i="8"/>
  <c r="X941" i="8"/>
  <c r="Z941" i="8"/>
  <c r="P942" i="8"/>
  <c r="R942" i="8"/>
  <c r="T942" i="8"/>
  <c r="V942" i="8"/>
  <c r="X942" i="8"/>
  <c r="Z942" i="8"/>
  <c r="P943" i="8"/>
  <c r="R943" i="8"/>
  <c r="T943" i="8"/>
  <c r="V943" i="8"/>
  <c r="X943" i="8"/>
  <c r="Z943" i="8"/>
  <c r="P944" i="8"/>
  <c r="R944" i="8"/>
  <c r="T944" i="8"/>
  <c r="V944" i="8"/>
  <c r="X944" i="8"/>
  <c r="Z944" i="8"/>
  <c r="P945" i="8"/>
  <c r="R945" i="8"/>
  <c r="T945" i="8"/>
  <c r="V945" i="8"/>
  <c r="X945" i="8"/>
  <c r="Z945" i="8"/>
  <c r="P946" i="8"/>
  <c r="R946" i="8"/>
  <c r="T946" i="8"/>
  <c r="V946" i="8"/>
  <c r="X946" i="8"/>
  <c r="Z946" i="8"/>
  <c r="P947" i="8"/>
  <c r="R947" i="8"/>
  <c r="T947" i="8"/>
  <c r="V947" i="8"/>
  <c r="X947" i="8"/>
  <c r="Z947" i="8"/>
  <c r="P948" i="8"/>
  <c r="R948" i="8"/>
  <c r="T948" i="8"/>
  <c r="V948" i="8"/>
  <c r="X948" i="8"/>
  <c r="Z948" i="8"/>
  <c r="P949" i="8"/>
  <c r="R949" i="8"/>
  <c r="T949" i="8"/>
  <c r="V949" i="8"/>
  <c r="X949" i="8"/>
  <c r="Z949" i="8"/>
  <c r="P950" i="8"/>
  <c r="R950" i="8"/>
  <c r="T950" i="8"/>
  <c r="V950" i="8"/>
  <c r="X950" i="8"/>
  <c r="Z950" i="8"/>
  <c r="P951" i="8"/>
  <c r="R951" i="8"/>
  <c r="T951" i="8"/>
  <c r="V951" i="8"/>
  <c r="X951" i="8"/>
  <c r="Z951" i="8"/>
  <c r="P952" i="8"/>
  <c r="R952" i="8"/>
  <c r="T952" i="8"/>
  <c r="V952" i="8"/>
  <c r="X952" i="8"/>
  <c r="Z952" i="8"/>
  <c r="P953" i="8"/>
  <c r="R953" i="8"/>
  <c r="T953" i="8"/>
  <c r="V953" i="8"/>
  <c r="X953" i="8"/>
  <c r="Z953" i="8"/>
  <c r="P954" i="8"/>
  <c r="R954" i="8"/>
  <c r="T954" i="8"/>
  <c r="V954" i="8"/>
  <c r="X954" i="8"/>
  <c r="Z954" i="8"/>
  <c r="P955" i="8"/>
  <c r="R955" i="8"/>
  <c r="T955" i="8"/>
  <c r="V955" i="8"/>
  <c r="X955" i="8"/>
  <c r="Z955" i="8"/>
  <c r="P956" i="8"/>
  <c r="R956" i="8"/>
  <c r="T956" i="8"/>
  <c r="V956" i="8"/>
  <c r="X956" i="8"/>
  <c r="Z956" i="8"/>
  <c r="P957" i="8"/>
  <c r="R957" i="8"/>
  <c r="T957" i="8"/>
  <c r="V957" i="8"/>
  <c r="X957" i="8"/>
  <c r="Z957" i="8"/>
  <c r="P958" i="8"/>
  <c r="R958" i="8"/>
  <c r="T958" i="8"/>
  <c r="V958" i="8"/>
  <c r="X958" i="8"/>
  <c r="Z958" i="8"/>
  <c r="P959" i="8"/>
  <c r="R959" i="8"/>
  <c r="T959" i="8"/>
  <c r="V959" i="8"/>
  <c r="X959" i="8"/>
  <c r="Z959" i="8"/>
  <c r="P960" i="8"/>
  <c r="R960" i="8"/>
  <c r="T960" i="8"/>
  <c r="V960" i="8"/>
  <c r="X960" i="8"/>
  <c r="Z960" i="8"/>
  <c r="P961" i="8"/>
  <c r="R961" i="8"/>
  <c r="T961" i="8"/>
  <c r="V961" i="8"/>
  <c r="X961" i="8"/>
  <c r="Z961" i="8"/>
  <c r="P962" i="8"/>
  <c r="R962" i="8"/>
  <c r="T962" i="8"/>
  <c r="V962" i="8"/>
  <c r="X962" i="8"/>
  <c r="Z962" i="8"/>
  <c r="P963" i="8"/>
  <c r="R963" i="8"/>
  <c r="T963" i="8"/>
  <c r="V963" i="8"/>
  <c r="X963" i="8"/>
  <c r="Z963" i="8"/>
  <c r="P964" i="8"/>
  <c r="R964" i="8"/>
  <c r="T964" i="8"/>
  <c r="V964" i="8"/>
  <c r="X964" i="8"/>
  <c r="Z964" i="8"/>
  <c r="P965" i="8"/>
  <c r="R965" i="8"/>
  <c r="T965" i="8"/>
  <c r="V965" i="8"/>
  <c r="X965" i="8"/>
  <c r="Z965" i="8"/>
  <c r="P966" i="8"/>
  <c r="R966" i="8"/>
  <c r="T966" i="8"/>
  <c r="V966" i="8"/>
  <c r="X966" i="8"/>
  <c r="Z966" i="8"/>
  <c r="P967" i="8"/>
  <c r="R967" i="8"/>
  <c r="T967" i="8"/>
  <c r="V967" i="8"/>
  <c r="X967" i="8"/>
  <c r="Z967" i="8"/>
  <c r="P968" i="8"/>
  <c r="R968" i="8"/>
  <c r="T968" i="8"/>
  <c r="V968" i="8"/>
  <c r="X968" i="8"/>
  <c r="Z968" i="8"/>
  <c r="P969" i="8"/>
  <c r="R969" i="8"/>
  <c r="T969" i="8"/>
  <c r="V969" i="8"/>
  <c r="X969" i="8"/>
  <c r="Z969" i="8"/>
  <c r="P970" i="8"/>
  <c r="R970" i="8"/>
  <c r="T970" i="8"/>
  <c r="V970" i="8"/>
  <c r="X970" i="8"/>
  <c r="Z970" i="8"/>
  <c r="P971" i="8"/>
  <c r="R971" i="8"/>
  <c r="T971" i="8"/>
  <c r="V971" i="8"/>
  <c r="X971" i="8"/>
  <c r="Z971" i="8"/>
  <c r="P972" i="8"/>
  <c r="R972" i="8"/>
  <c r="T972" i="8"/>
  <c r="V972" i="8"/>
  <c r="X972" i="8"/>
  <c r="Z972" i="8"/>
  <c r="P973" i="8"/>
  <c r="R973" i="8"/>
  <c r="T973" i="8"/>
  <c r="V973" i="8"/>
  <c r="X973" i="8"/>
  <c r="Z973" i="8"/>
  <c r="P974" i="8"/>
  <c r="R974" i="8"/>
  <c r="T974" i="8"/>
  <c r="V974" i="8"/>
  <c r="X974" i="8"/>
  <c r="Z974" i="8"/>
  <c r="P975" i="8"/>
  <c r="R975" i="8"/>
  <c r="T975" i="8"/>
  <c r="V975" i="8"/>
  <c r="X975" i="8"/>
  <c r="Z975" i="8"/>
  <c r="P976" i="8"/>
  <c r="R976" i="8"/>
  <c r="T976" i="8"/>
  <c r="V976" i="8"/>
  <c r="X976" i="8"/>
  <c r="Z976" i="8"/>
  <c r="P977" i="8"/>
  <c r="R977" i="8"/>
  <c r="T977" i="8"/>
  <c r="V977" i="8"/>
  <c r="X977" i="8"/>
  <c r="Z977" i="8"/>
  <c r="P978" i="8"/>
  <c r="R978" i="8"/>
  <c r="T978" i="8"/>
  <c r="V978" i="8"/>
  <c r="X978" i="8"/>
  <c r="Z978" i="8"/>
  <c r="P979" i="8"/>
  <c r="R979" i="8"/>
  <c r="T979" i="8"/>
  <c r="V979" i="8"/>
  <c r="X979" i="8"/>
  <c r="Z979" i="8"/>
  <c r="P980" i="8"/>
  <c r="R980" i="8"/>
  <c r="T980" i="8"/>
  <c r="V980" i="8"/>
  <c r="X980" i="8"/>
  <c r="Z980" i="8"/>
  <c r="P981" i="8"/>
  <c r="R981" i="8"/>
  <c r="T981" i="8"/>
  <c r="V981" i="8"/>
  <c r="X981" i="8"/>
  <c r="Z981" i="8"/>
  <c r="P982" i="8"/>
  <c r="R982" i="8"/>
  <c r="T982" i="8"/>
  <c r="V982" i="8"/>
  <c r="X982" i="8"/>
  <c r="Z982" i="8"/>
  <c r="P983" i="8"/>
  <c r="R983" i="8"/>
  <c r="T983" i="8"/>
  <c r="V983" i="8"/>
  <c r="X983" i="8"/>
  <c r="Z983" i="8"/>
  <c r="P984" i="8"/>
  <c r="R984" i="8"/>
  <c r="T984" i="8"/>
  <c r="V984" i="8"/>
  <c r="X984" i="8"/>
  <c r="Z984" i="8"/>
  <c r="P985" i="8"/>
  <c r="R985" i="8"/>
  <c r="T985" i="8"/>
  <c r="V985" i="8"/>
  <c r="X985" i="8"/>
  <c r="Z985" i="8"/>
  <c r="P986" i="8"/>
  <c r="R986" i="8"/>
  <c r="T986" i="8"/>
  <c r="V986" i="8"/>
  <c r="X986" i="8"/>
  <c r="Z986" i="8"/>
  <c r="P987" i="8"/>
  <c r="R987" i="8"/>
  <c r="T987" i="8"/>
  <c r="V987" i="8"/>
  <c r="X987" i="8"/>
  <c r="Z987" i="8"/>
  <c r="P988" i="8"/>
  <c r="R988" i="8"/>
  <c r="T988" i="8"/>
  <c r="V988" i="8"/>
  <c r="X988" i="8"/>
  <c r="Z988" i="8"/>
  <c r="P989" i="8"/>
  <c r="R989" i="8"/>
  <c r="T989" i="8"/>
  <c r="V989" i="8"/>
  <c r="X989" i="8"/>
  <c r="Z989" i="8"/>
  <c r="P990" i="8"/>
  <c r="R990" i="8"/>
  <c r="T990" i="8"/>
  <c r="V990" i="8"/>
  <c r="X990" i="8"/>
  <c r="Z990" i="8"/>
  <c r="P991" i="8"/>
  <c r="R991" i="8"/>
  <c r="T991" i="8"/>
  <c r="V991" i="8"/>
  <c r="X991" i="8"/>
  <c r="Z991" i="8"/>
  <c r="P992" i="8"/>
  <c r="R992" i="8"/>
  <c r="T992" i="8"/>
  <c r="V992" i="8"/>
  <c r="X992" i="8"/>
  <c r="Z992" i="8"/>
  <c r="P993" i="8"/>
  <c r="R993" i="8"/>
  <c r="T993" i="8"/>
  <c r="V993" i="8"/>
  <c r="X993" i="8"/>
  <c r="Z993" i="8"/>
  <c r="P994" i="8"/>
  <c r="R994" i="8"/>
  <c r="T994" i="8"/>
  <c r="V994" i="8"/>
  <c r="X994" i="8"/>
  <c r="Z994" i="8"/>
  <c r="P995" i="8"/>
  <c r="R995" i="8"/>
  <c r="T995" i="8"/>
  <c r="V995" i="8"/>
  <c r="X995" i="8"/>
  <c r="Z995" i="8"/>
  <c r="P996" i="8"/>
  <c r="R996" i="8"/>
  <c r="T996" i="8"/>
  <c r="V996" i="8"/>
  <c r="X996" i="8"/>
  <c r="Z996" i="8"/>
  <c r="P997" i="8"/>
  <c r="R997" i="8"/>
  <c r="T997" i="8"/>
  <c r="V997" i="8"/>
  <c r="X997" i="8"/>
  <c r="Z997" i="8"/>
  <c r="P998" i="8"/>
  <c r="R998" i="8"/>
  <c r="T998" i="8"/>
  <c r="V998" i="8"/>
  <c r="X998" i="8"/>
  <c r="Z998" i="8"/>
  <c r="P999" i="8"/>
  <c r="R999" i="8"/>
  <c r="T999" i="8"/>
  <c r="V999" i="8"/>
  <c r="X999" i="8"/>
  <c r="Z999" i="8"/>
  <c r="P1000" i="8"/>
  <c r="R1000" i="8"/>
  <c r="T1000" i="8"/>
  <c r="V1000" i="8"/>
  <c r="X1000" i="8"/>
  <c r="Z1000" i="8"/>
  <c r="P1001" i="8"/>
  <c r="R1001" i="8"/>
  <c r="T1001" i="8"/>
  <c r="V1001" i="8"/>
  <c r="X1001" i="8"/>
  <c r="Z1001" i="8"/>
  <c r="P1002" i="8"/>
  <c r="R1002" i="8"/>
  <c r="T1002" i="8"/>
  <c r="V1002" i="8"/>
  <c r="X1002" i="8"/>
  <c r="Z1002" i="8"/>
  <c r="P1003" i="8"/>
  <c r="R1003" i="8"/>
  <c r="T1003" i="8"/>
  <c r="V1003" i="8"/>
  <c r="X1003" i="8"/>
  <c r="Z1003" i="8"/>
  <c r="P1004" i="8"/>
  <c r="R1004" i="8"/>
  <c r="T1004" i="8"/>
  <c r="V1004" i="8"/>
  <c r="X1004" i="8"/>
  <c r="Z1004" i="8"/>
  <c r="P1005" i="8"/>
  <c r="R1005" i="8"/>
  <c r="T1005" i="8"/>
  <c r="V1005" i="8"/>
  <c r="X1005" i="8"/>
  <c r="Z1005" i="8"/>
  <c r="P1006" i="8"/>
  <c r="R1006" i="8"/>
  <c r="T1006" i="8"/>
  <c r="V1006" i="8"/>
  <c r="X1006" i="8"/>
  <c r="Z1006" i="8"/>
  <c r="P1007" i="8"/>
  <c r="R1007" i="8"/>
  <c r="T1007" i="8"/>
  <c r="V1007" i="8"/>
  <c r="X1007" i="8"/>
  <c r="Z1007" i="8"/>
  <c r="P1008" i="8"/>
  <c r="R1008" i="8"/>
  <c r="T1008" i="8"/>
  <c r="V1008" i="8"/>
  <c r="X1008" i="8"/>
  <c r="Z1008" i="8"/>
  <c r="P1009" i="8"/>
  <c r="R1009" i="8"/>
  <c r="T1009" i="8"/>
  <c r="V1009" i="8"/>
  <c r="X1009" i="8"/>
  <c r="Z1009" i="8"/>
  <c r="P1010" i="8"/>
  <c r="R1010" i="8"/>
  <c r="T1010" i="8"/>
  <c r="V1010" i="8"/>
  <c r="X1010" i="8"/>
  <c r="Z1010" i="8"/>
  <c r="P1011" i="8"/>
  <c r="R1011" i="8"/>
  <c r="T1011" i="8"/>
  <c r="V1011" i="8"/>
  <c r="X1011" i="8"/>
  <c r="Z1011" i="8"/>
  <c r="P1012" i="8"/>
  <c r="R1012" i="8"/>
  <c r="T1012" i="8"/>
  <c r="V1012" i="8"/>
  <c r="X1012" i="8"/>
  <c r="Z1012" i="8"/>
  <c r="P1013" i="8"/>
  <c r="R1013" i="8"/>
  <c r="T1013" i="8"/>
  <c r="V1013" i="8"/>
  <c r="X1013" i="8"/>
  <c r="Z1013" i="8"/>
  <c r="P1014" i="8"/>
  <c r="R1014" i="8"/>
  <c r="T1014" i="8"/>
  <c r="V1014" i="8"/>
  <c r="X1014" i="8"/>
  <c r="Z1014" i="8"/>
  <c r="P1015" i="8"/>
  <c r="R1015" i="8"/>
  <c r="T1015" i="8"/>
  <c r="V1015" i="8"/>
  <c r="X1015" i="8"/>
  <c r="Z1015" i="8"/>
  <c r="P1016" i="8"/>
  <c r="R1016" i="8"/>
  <c r="T1016" i="8"/>
  <c r="V1016" i="8"/>
  <c r="X1016" i="8"/>
  <c r="Z1016" i="8"/>
  <c r="P1017" i="8"/>
  <c r="R1017" i="8"/>
  <c r="T1017" i="8"/>
  <c r="V1017" i="8"/>
  <c r="X1017" i="8"/>
  <c r="Z1017" i="8"/>
  <c r="P1018" i="8"/>
  <c r="R1018" i="8"/>
  <c r="T1018" i="8"/>
  <c r="V1018" i="8"/>
  <c r="X1018" i="8"/>
  <c r="Z1018" i="8"/>
  <c r="P1019" i="8"/>
  <c r="R1019" i="8"/>
  <c r="T1019" i="8"/>
  <c r="V1019" i="8"/>
  <c r="X1019" i="8"/>
  <c r="Z1019" i="8"/>
  <c r="P1020" i="8"/>
  <c r="R1020" i="8"/>
  <c r="T1020" i="8"/>
  <c r="V1020" i="8"/>
  <c r="X1020" i="8"/>
  <c r="Z1020" i="8"/>
  <c r="P1021" i="8"/>
  <c r="R1021" i="8"/>
  <c r="T1021" i="8"/>
  <c r="V1021" i="8"/>
  <c r="X1021" i="8"/>
  <c r="Z1021" i="8"/>
  <c r="P1022" i="8"/>
  <c r="R1022" i="8"/>
  <c r="T1022" i="8"/>
  <c r="V1022" i="8"/>
  <c r="X1022" i="8"/>
  <c r="Z1022" i="8"/>
  <c r="P1023" i="8"/>
  <c r="R1023" i="8"/>
  <c r="T1023" i="8"/>
  <c r="V1023" i="8"/>
  <c r="X1023" i="8"/>
  <c r="Z1023" i="8"/>
  <c r="P1024" i="8"/>
  <c r="R1024" i="8"/>
  <c r="T1024" i="8"/>
  <c r="V1024" i="8"/>
  <c r="X1024" i="8"/>
  <c r="Z1024" i="8"/>
  <c r="P1025" i="8"/>
  <c r="R1025" i="8"/>
  <c r="T1025" i="8"/>
  <c r="V1025" i="8"/>
  <c r="X1025" i="8"/>
  <c r="Z1025" i="8"/>
  <c r="P1026" i="8"/>
  <c r="R1026" i="8"/>
  <c r="T1026" i="8"/>
  <c r="V1026" i="8"/>
  <c r="X1026" i="8"/>
  <c r="Z1026" i="8"/>
  <c r="P1027" i="8"/>
  <c r="R1027" i="8"/>
  <c r="T1027" i="8"/>
  <c r="V1027" i="8"/>
  <c r="X1027" i="8"/>
  <c r="Z1027" i="8"/>
  <c r="P1028" i="8"/>
  <c r="R1028" i="8"/>
  <c r="T1028" i="8"/>
  <c r="V1028" i="8"/>
  <c r="X1028" i="8"/>
  <c r="Z1028" i="8"/>
  <c r="P1029" i="8"/>
  <c r="R1029" i="8"/>
  <c r="T1029" i="8"/>
  <c r="V1029" i="8"/>
  <c r="X1029" i="8"/>
  <c r="Z1029" i="8"/>
  <c r="P1030" i="8"/>
  <c r="R1030" i="8"/>
  <c r="T1030" i="8"/>
  <c r="V1030" i="8"/>
  <c r="X1030" i="8"/>
  <c r="Z1030" i="8"/>
  <c r="P1031" i="8"/>
  <c r="R1031" i="8"/>
  <c r="T1031" i="8"/>
  <c r="V1031" i="8"/>
  <c r="X1031" i="8"/>
  <c r="Z1031" i="8"/>
  <c r="P1032" i="8"/>
  <c r="R1032" i="8"/>
  <c r="T1032" i="8"/>
  <c r="V1032" i="8"/>
  <c r="X1032" i="8"/>
  <c r="Z1032" i="8"/>
  <c r="P1033" i="8"/>
  <c r="R1033" i="8"/>
  <c r="T1033" i="8"/>
  <c r="V1033" i="8"/>
  <c r="X1033" i="8"/>
  <c r="Z1033" i="8"/>
  <c r="P1034" i="8"/>
  <c r="R1034" i="8"/>
  <c r="T1034" i="8"/>
  <c r="V1034" i="8"/>
  <c r="X1034" i="8"/>
  <c r="Z1034" i="8"/>
  <c r="P1035" i="8"/>
  <c r="R1035" i="8"/>
  <c r="T1035" i="8"/>
  <c r="V1035" i="8"/>
  <c r="X1035" i="8"/>
  <c r="Z1035" i="8"/>
  <c r="P1036" i="8"/>
  <c r="R1036" i="8"/>
  <c r="T1036" i="8"/>
  <c r="V1036" i="8"/>
  <c r="X1036" i="8"/>
  <c r="Z1036" i="8"/>
  <c r="P1037" i="8"/>
  <c r="R1037" i="8"/>
  <c r="T1037" i="8"/>
  <c r="V1037" i="8"/>
  <c r="X1037" i="8"/>
  <c r="Z1037" i="8"/>
  <c r="P1038" i="8"/>
  <c r="R1038" i="8"/>
  <c r="T1038" i="8"/>
  <c r="V1038" i="8"/>
  <c r="X1038" i="8"/>
  <c r="Z1038" i="8"/>
  <c r="P1039" i="8"/>
  <c r="R1039" i="8"/>
  <c r="T1039" i="8"/>
  <c r="V1039" i="8"/>
  <c r="X1039" i="8"/>
  <c r="Z1039" i="8"/>
  <c r="P1040" i="8"/>
  <c r="R1040" i="8"/>
  <c r="T1040" i="8"/>
  <c r="V1040" i="8"/>
  <c r="X1040" i="8"/>
  <c r="Z1040" i="8"/>
  <c r="P1041" i="8"/>
  <c r="R1041" i="8"/>
  <c r="T1041" i="8"/>
  <c r="V1041" i="8"/>
  <c r="X1041" i="8"/>
  <c r="Z1041" i="8"/>
  <c r="P1042" i="8"/>
  <c r="R1042" i="8"/>
  <c r="T1042" i="8"/>
  <c r="V1042" i="8"/>
  <c r="X1042" i="8"/>
  <c r="Z1042" i="8"/>
  <c r="P1043" i="8"/>
  <c r="R1043" i="8"/>
  <c r="T1043" i="8"/>
  <c r="V1043" i="8"/>
  <c r="X1043" i="8"/>
  <c r="Z1043" i="8"/>
  <c r="P1044" i="8"/>
  <c r="R1044" i="8"/>
  <c r="T1044" i="8"/>
  <c r="V1044" i="8"/>
  <c r="X1044" i="8"/>
  <c r="Z1044" i="8"/>
  <c r="P1045" i="8"/>
  <c r="R1045" i="8"/>
  <c r="T1045" i="8"/>
  <c r="V1045" i="8"/>
  <c r="X1045" i="8"/>
  <c r="Z1045" i="8"/>
  <c r="P1046" i="8"/>
  <c r="R1046" i="8"/>
  <c r="T1046" i="8"/>
  <c r="V1046" i="8"/>
  <c r="X1046" i="8"/>
  <c r="Z1046" i="8"/>
  <c r="P1047" i="8"/>
  <c r="R1047" i="8"/>
  <c r="T1047" i="8"/>
  <c r="V1047" i="8"/>
  <c r="X1047" i="8"/>
  <c r="Z1047" i="8"/>
  <c r="P1048" i="8"/>
  <c r="R1048" i="8"/>
  <c r="T1048" i="8"/>
  <c r="V1048" i="8"/>
  <c r="X1048" i="8"/>
  <c r="Z1048" i="8"/>
  <c r="P1049" i="8"/>
  <c r="R1049" i="8"/>
  <c r="T1049" i="8"/>
  <c r="V1049" i="8"/>
  <c r="X1049" i="8"/>
  <c r="Z1049" i="8"/>
  <c r="P1050" i="8"/>
  <c r="R1050" i="8"/>
  <c r="T1050" i="8"/>
  <c r="V1050" i="8"/>
  <c r="X1050" i="8"/>
  <c r="Z1050" i="8"/>
  <c r="P1051" i="8"/>
  <c r="R1051" i="8"/>
  <c r="T1051" i="8"/>
  <c r="V1051" i="8"/>
  <c r="X1051" i="8"/>
  <c r="Z1051" i="8"/>
  <c r="P1052" i="8"/>
  <c r="R1052" i="8"/>
  <c r="T1052" i="8"/>
  <c r="V1052" i="8"/>
  <c r="X1052" i="8"/>
  <c r="Z1052" i="8"/>
  <c r="P1053" i="8"/>
  <c r="R1053" i="8"/>
  <c r="T1053" i="8"/>
  <c r="V1053" i="8"/>
  <c r="X1053" i="8"/>
  <c r="Z1053" i="8"/>
  <c r="P1054" i="8"/>
  <c r="R1054" i="8"/>
  <c r="T1054" i="8"/>
  <c r="V1054" i="8"/>
  <c r="X1054" i="8"/>
  <c r="Z1054" i="8"/>
  <c r="P1055" i="8"/>
  <c r="R1055" i="8"/>
  <c r="T1055" i="8"/>
  <c r="V1055" i="8"/>
  <c r="X1055" i="8"/>
  <c r="Z1055" i="8"/>
  <c r="P1056" i="8"/>
  <c r="R1056" i="8"/>
  <c r="T1056" i="8"/>
  <c r="V1056" i="8"/>
  <c r="X1056" i="8"/>
  <c r="Z1056" i="8"/>
  <c r="P1057" i="8"/>
  <c r="R1057" i="8"/>
  <c r="T1057" i="8"/>
  <c r="V1057" i="8"/>
  <c r="X1057" i="8"/>
  <c r="Z1057" i="8"/>
  <c r="P1058" i="8"/>
  <c r="R1058" i="8"/>
  <c r="T1058" i="8"/>
  <c r="V1058" i="8"/>
  <c r="X1058" i="8"/>
  <c r="Z1058" i="8"/>
  <c r="P1059" i="8"/>
  <c r="R1059" i="8"/>
  <c r="T1059" i="8"/>
  <c r="V1059" i="8"/>
  <c r="X1059" i="8"/>
  <c r="Z1059" i="8"/>
  <c r="P1060" i="8"/>
  <c r="R1060" i="8"/>
  <c r="T1060" i="8"/>
  <c r="V1060" i="8"/>
  <c r="X1060" i="8"/>
  <c r="Z1060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N488" i="8"/>
  <c r="N489" i="8"/>
  <c r="N490" i="8"/>
  <c r="N491" i="8"/>
  <c r="N492" i="8"/>
  <c r="N493" i="8"/>
  <c r="N494" i="8"/>
  <c r="N495" i="8"/>
  <c r="N496" i="8"/>
  <c r="N497" i="8"/>
  <c r="N498" i="8"/>
  <c r="N499" i="8"/>
  <c r="N500" i="8"/>
  <c r="N501" i="8"/>
  <c r="N502" i="8"/>
  <c r="N503" i="8"/>
  <c r="N504" i="8"/>
  <c r="N505" i="8"/>
  <c r="N506" i="8"/>
  <c r="N507" i="8"/>
  <c r="N508" i="8"/>
  <c r="N509" i="8"/>
  <c r="N510" i="8"/>
  <c r="N511" i="8"/>
  <c r="N512" i="8"/>
  <c r="N513" i="8"/>
  <c r="N514" i="8"/>
  <c r="N515" i="8"/>
  <c r="N516" i="8"/>
  <c r="N517" i="8"/>
  <c r="N518" i="8"/>
  <c r="N519" i="8"/>
  <c r="N520" i="8"/>
  <c r="N521" i="8"/>
  <c r="N522" i="8"/>
  <c r="N523" i="8"/>
  <c r="N524" i="8"/>
  <c r="N525" i="8"/>
  <c r="N526" i="8"/>
  <c r="N527" i="8"/>
  <c r="N528" i="8"/>
  <c r="N529" i="8"/>
  <c r="N530" i="8"/>
  <c r="N531" i="8"/>
  <c r="N532" i="8"/>
  <c r="N533" i="8"/>
  <c r="N534" i="8"/>
  <c r="N535" i="8"/>
  <c r="N536" i="8"/>
  <c r="N537" i="8"/>
  <c r="N538" i="8"/>
  <c r="N539" i="8"/>
  <c r="N540" i="8"/>
  <c r="N541" i="8"/>
  <c r="N542" i="8"/>
  <c r="N543" i="8"/>
  <c r="N544" i="8"/>
  <c r="N545" i="8"/>
  <c r="N546" i="8"/>
  <c r="N547" i="8"/>
  <c r="N548" i="8"/>
  <c r="N549" i="8"/>
  <c r="N550" i="8"/>
  <c r="N551" i="8"/>
  <c r="N552" i="8"/>
  <c r="N553" i="8"/>
  <c r="N554" i="8"/>
  <c r="N555" i="8"/>
  <c r="N556" i="8"/>
  <c r="N557" i="8"/>
  <c r="N558" i="8"/>
  <c r="N559" i="8"/>
  <c r="N560" i="8"/>
  <c r="N561" i="8"/>
  <c r="N562" i="8"/>
  <c r="N563" i="8"/>
  <c r="N564" i="8"/>
  <c r="N565" i="8"/>
  <c r="N566" i="8"/>
  <c r="N567" i="8"/>
  <c r="N568" i="8"/>
  <c r="N569" i="8"/>
  <c r="N570" i="8"/>
  <c r="N571" i="8"/>
  <c r="N572" i="8"/>
  <c r="N573" i="8"/>
  <c r="N574" i="8"/>
  <c r="N575" i="8"/>
  <c r="N576" i="8"/>
  <c r="N577" i="8"/>
  <c r="N578" i="8"/>
  <c r="N579" i="8"/>
  <c r="N580" i="8"/>
  <c r="N581" i="8"/>
  <c r="N582" i="8"/>
  <c r="N583" i="8"/>
  <c r="N584" i="8"/>
  <c r="N585" i="8"/>
  <c r="N586" i="8"/>
  <c r="N587" i="8"/>
  <c r="N588" i="8"/>
  <c r="N589" i="8"/>
  <c r="N590" i="8"/>
  <c r="N591" i="8"/>
  <c r="N592" i="8"/>
  <c r="N593" i="8"/>
  <c r="N594" i="8"/>
  <c r="N595" i="8"/>
  <c r="N596" i="8"/>
  <c r="N597" i="8"/>
  <c r="N598" i="8"/>
  <c r="N599" i="8"/>
  <c r="N600" i="8"/>
  <c r="N601" i="8"/>
  <c r="N602" i="8"/>
  <c r="N603" i="8"/>
  <c r="N604" i="8"/>
  <c r="N605" i="8"/>
  <c r="N606" i="8"/>
  <c r="N607" i="8"/>
  <c r="N608" i="8"/>
  <c r="N609" i="8"/>
  <c r="N610" i="8"/>
  <c r="N611" i="8"/>
  <c r="N612" i="8"/>
  <c r="N613" i="8"/>
  <c r="N614" i="8"/>
  <c r="N615" i="8"/>
  <c r="N616" i="8"/>
  <c r="N617" i="8"/>
  <c r="N618" i="8"/>
  <c r="N619" i="8"/>
  <c r="N620" i="8"/>
  <c r="N621" i="8"/>
  <c r="N622" i="8"/>
  <c r="N623" i="8"/>
  <c r="N624" i="8"/>
  <c r="N625" i="8"/>
  <c r="N626" i="8"/>
  <c r="N627" i="8"/>
  <c r="N628" i="8"/>
  <c r="N629" i="8"/>
  <c r="N630" i="8"/>
  <c r="N631" i="8"/>
  <c r="N632" i="8"/>
  <c r="N633" i="8"/>
  <c r="N634" i="8"/>
  <c r="N635" i="8"/>
  <c r="N636" i="8"/>
  <c r="N637" i="8"/>
  <c r="N638" i="8"/>
  <c r="N639" i="8"/>
  <c r="N640" i="8"/>
  <c r="N641" i="8"/>
  <c r="N642" i="8"/>
  <c r="N643" i="8"/>
  <c r="N644" i="8"/>
  <c r="N645" i="8"/>
  <c r="N646" i="8"/>
  <c r="N647" i="8"/>
  <c r="N648" i="8"/>
  <c r="N649" i="8"/>
  <c r="N650" i="8"/>
  <c r="N651" i="8"/>
  <c r="N652" i="8"/>
  <c r="N653" i="8"/>
  <c r="N654" i="8"/>
  <c r="N655" i="8"/>
  <c r="N656" i="8"/>
  <c r="N657" i="8"/>
  <c r="N658" i="8"/>
  <c r="N659" i="8"/>
  <c r="N660" i="8"/>
  <c r="N661" i="8"/>
  <c r="N662" i="8"/>
  <c r="N663" i="8"/>
  <c r="N664" i="8"/>
  <c r="N665" i="8"/>
  <c r="N666" i="8"/>
  <c r="N667" i="8"/>
  <c r="N668" i="8"/>
  <c r="N669" i="8"/>
  <c r="N670" i="8"/>
  <c r="N671" i="8"/>
  <c r="N672" i="8"/>
  <c r="N673" i="8"/>
  <c r="N674" i="8"/>
  <c r="N675" i="8"/>
  <c r="N676" i="8"/>
  <c r="N677" i="8"/>
  <c r="N678" i="8"/>
  <c r="N679" i="8"/>
  <c r="N680" i="8"/>
  <c r="N681" i="8"/>
  <c r="N682" i="8"/>
  <c r="N683" i="8"/>
  <c r="N684" i="8"/>
  <c r="N685" i="8"/>
  <c r="N686" i="8"/>
  <c r="N687" i="8"/>
  <c r="N688" i="8"/>
  <c r="N689" i="8"/>
  <c r="N690" i="8"/>
  <c r="N691" i="8"/>
  <c r="N692" i="8"/>
  <c r="N693" i="8"/>
  <c r="N694" i="8"/>
  <c r="N695" i="8"/>
  <c r="N696" i="8"/>
  <c r="N697" i="8"/>
  <c r="N698" i="8"/>
  <c r="N699" i="8"/>
  <c r="N700" i="8"/>
  <c r="N701" i="8"/>
  <c r="N702" i="8"/>
  <c r="N703" i="8"/>
  <c r="N704" i="8"/>
  <c r="N705" i="8"/>
  <c r="N706" i="8"/>
  <c r="N707" i="8"/>
  <c r="N708" i="8"/>
  <c r="N709" i="8"/>
  <c r="N710" i="8"/>
  <c r="N711" i="8"/>
  <c r="N712" i="8"/>
  <c r="N713" i="8"/>
  <c r="N714" i="8"/>
  <c r="N715" i="8"/>
  <c r="N716" i="8"/>
  <c r="N717" i="8"/>
  <c r="N718" i="8"/>
  <c r="N719" i="8"/>
  <c r="N720" i="8"/>
  <c r="N721" i="8"/>
  <c r="N722" i="8"/>
  <c r="N723" i="8"/>
  <c r="N724" i="8"/>
  <c r="N725" i="8"/>
  <c r="N726" i="8"/>
  <c r="N727" i="8"/>
  <c r="N728" i="8"/>
  <c r="N729" i="8"/>
  <c r="N730" i="8"/>
  <c r="N731" i="8"/>
  <c r="N732" i="8"/>
  <c r="N733" i="8"/>
  <c r="N734" i="8"/>
  <c r="N735" i="8"/>
  <c r="N736" i="8"/>
  <c r="N737" i="8"/>
  <c r="N738" i="8"/>
  <c r="N739" i="8"/>
  <c r="N740" i="8"/>
  <c r="N741" i="8"/>
  <c r="N742" i="8"/>
  <c r="N743" i="8"/>
  <c r="N744" i="8"/>
  <c r="N745" i="8"/>
  <c r="N746" i="8"/>
  <c r="N747" i="8"/>
  <c r="N748" i="8"/>
  <c r="N749" i="8"/>
  <c r="N750" i="8"/>
  <c r="N751" i="8"/>
  <c r="N752" i="8"/>
  <c r="N753" i="8"/>
  <c r="N754" i="8"/>
  <c r="N755" i="8"/>
  <c r="N756" i="8"/>
  <c r="N757" i="8"/>
  <c r="N758" i="8"/>
  <c r="N759" i="8"/>
  <c r="N760" i="8"/>
  <c r="N761" i="8"/>
  <c r="N762" i="8"/>
  <c r="N763" i="8"/>
  <c r="N764" i="8"/>
  <c r="N765" i="8"/>
  <c r="N766" i="8"/>
  <c r="N767" i="8"/>
  <c r="N768" i="8"/>
  <c r="N769" i="8"/>
  <c r="N770" i="8"/>
  <c r="N771" i="8"/>
  <c r="N772" i="8"/>
  <c r="N773" i="8"/>
  <c r="N774" i="8"/>
  <c r="N775" i="8"/>
  <c r="N776" i="8"/>
  <c r="N777" i="8"/>
  <c r="N778" i="8"/>
  <c r="N779" i="8"/>
  <c r="N780" i="8"/>
  <c r="N781" i="8"/>
  <c r="N782" i="8"/>
  <c r="N783" i="8"/>
  <c r="N784" i="8"/>
  <c r="N785" i="8"/>
  <c r="N786" i="8"/>
  <c r="N787" i="8"/>
  <c r="N788" i="8"/>
  <c r="N789" i="8"/>
  <c r="N790" i="8"/>
  <c r="N791" i="8"/>
  <c r="N792" i="8"/>
  <c r="N793" i="8"/>
  <c r="N794" i="8"/>
  <c r="N795" i="8"/>
  <c r="N796" i="8"/>
  <c r="N797" i="8"/>
  <c r="N798" i="8"/>
  <c r="N799" i="8"/>
  <c r="N800" i="8"/>
  <c r="N801" i="8"/>
  <c r="N802" i="8"/>
  <c r="N803" i="8"/>
  <c r="N804" i="8"/>
  <c r="N805" i="8"/>
  <c r="N806" i="8"/>
  <c r="N807" i="8"/>
  <c r="N808" i="8"/>
  <c r="N809" i="8"/>
  <c r="N810" i="8"/>
  <c r="N811" i="8"/>
  <c r="N812" i="8"/>
  <c r="N813" i="8"/>
  <c r="N814" i="8"/>
  <c r="N815" i="8"/>
  <c r="N816" i="8"/>
  <c r="N817" i="8"/>
  <c r="N818" i="8"/>
  <c r="N819" i="8"/>
  <c r="N820" i="8"/>
  <c r="N821" i="8"/>
  <c r="N822" i="8"/>
  <c r="N823" i="8"/>
  <c r="N824" i="8"/>
  <c r="N825" i="8"/>
  <c r="N826" i="8"/>
  <c r="N827" i="8"/>
  <c r="N828" i="8"/>
  <c r="N829" i="8"/>
  <c r="N830" i="8"/>
  <c r="N831" i="8"/>
  <c r="N832" i="8"/>
  <c r="N833" i="8"/>
  <c r="N834" i="8"/>
  <c r="N835" i="8"/>
  <c r="N836" i="8"/>
  <c r="N837" i="8"/>
  <c r="N838" i="8"/>
  <c r="N839" i="8"/>
  <c r="N840" i="8"/>
  <c r="N841" i="8"/>
  <c r="N842" i="8"/>
  <c r="N843" i="8"/>
  <c r="N844" i="8"/>
  <c r="N845" i="8"/>
  <c r="N846" i="8"/>
  <c r="N847" i="8"/>
  <c r="N848" i="8"/>
  <c r="N849" i="8"/>
  <c r="N850" i="8"/>
  <c r="N851" i="8"/>
  <c r="N852" i="8"/>
  <c r="N853" i="8"/>
  <c r="N854" i="8"/>
  <c r="N855" i="8"/>
  <c r="N856" i="8"/>
  <c r="N857" i="8"/>
  <c r="N858" i="8"/>
  <c r="N859" i="8"/>
  <c r="N860" i="8"/>
  <c r="N861" i="8"/>
  <c r="N862" i="8"/>
  <c r="N863" i="8"/>
  <c r="N864" i="8"/>
  <c r="N865" i="8"/>
  <c r="N866" i="8"/>
  <c r="N867" i="8"/>
  <c r="N868" i="8"/>
  <c r="N869" i="8"/>
  <c r="N870" i="8"/>
  <c r="N871" i="8"/>
  <c r="N872" i="8"/>
  <c r="N873" i="8"/>
  <c r="N874" i="8"/>
  <c r="N875" i="8"/>
  <c r="N876" i="8"/>
  <c r="N877" i="8"/>
  <c r="N878" i="8"/>
  <c r="N879" i="8"/>
  <c r="N880" i="8"/>
  <c r="N881" i="8"/>
  <c r="N882" i="8"/>
  <c r="N883" i="8"/>
  <c r="N884" i="8"/>
  <c r="N885" i="8"/>
  <c r="N886" i="8"/>
  <c r="N887" i="8"/>
  <c r="N888" i="8"/>
  <c r="N889" i="8"/>
  <c r="N890" i="8"/>
  <c r="N891" i="8"/>
  <c r="N892" i="8"/>
  <c r="N893" i="8"/>
  <c r="N894" i="8"/>
  <c r="N895" i="8"/>
  <c r="N896" i="8"/>
  <c r="N897" i="8"/>
  <c r="N898" i="8"/>
  <c r="N899" i="8"/>
  <c r="N900" i="8"/>
  <c r="N901" i="8"/>
  <c r="N902" i="8"/>
  <c r="N903" i="8"/>
  <c r="N904" i="8"/>
  <c r="N905" i="8"/>
  <c r="N906" i="8"/>
  <c r="N907" i="8"/>
  <c r="N908" i="8"/>
  <c r="N909" i="8"/>
  <c r="N910" i="8"/>
  <c r="N911" i="8"/>
  <c r="N912" i="8"/>
  <c r="N913" i="8"/>
  <c r="N914" i="8"/>
  <c r="N915" i="8"/>
  <c r="N916" i="8"/>
  <c r="N917" i="8"/>
  <c r="N918" i="8"/>
  <c r="N919" i="8"/>
  <c r="N920" i="8"/>
  <c r="N921" i="8"/>
  <c r="N922" i="8"/>
  <c r="N923" i="8"/>
  <c r="N924" i="8"/>
  <c r="N925" i="8"/>
  <c r="N926" i="8"/>
  <c r="N927" i="8"/>
  <c r="N928" i="8"/>
  <c r="N929" i="8"/>
  <c r="N930" i="8"/>
  <c r="N931" i="8"/>
  <c r="N932" i="8"/>
  <c r="N933" i="8"/>
  <c r="N934" i="8"/>
  <c r="N935" i="8"/>
  <c r="N936" i="8"/>
  <c r="N937" i="8"/>
  <c r="N938" i="8"/>
  <c r="N939" i="8"/>
  <c r="N940" i="8"/>
  <c r="N941" i="8"/>
  <c r="N942" i="8"/>
  <c r="N943" i="8"/>
  <c r="N944" i="8"/>
  <c r="N945" i="8"/>
  <c r="N946" i="8"/>
  <c r="N947" i="8"/>
  <c r="N948" i="8"/>
  <c r="N949" i="8"/>
  <c r="N950" i="8"/>
  <c r="N951" i="8"/>
  <c r="N952" i="8"/>
  <c r="N953" i="8"/>
  <c r="N954" i="8"/>
  <c r="N955" i="8"/>
  <c r="N956" i="8"/>
  <c r="N957" i="8"/>
  <c r="N958" i="8"/>
  <c r="N959" i="8"/>
  <c r="N960" i="8"/>
  <c r="N961" i="8"/>
  <c r="N962" i="8"/>
  <c r="N963" i="8"/>
  <c r="N964" i="8"/>
  <c r="N965" i="8"/>
  <c r="N966" i="8"/>
  <c r="N967" i="8"/>
  <c r="N968" i="8"/>
  <c r="N969" i="8"/>
  <c r="N970" i="8"/>
  <c r="N971" i="8"/>
  <c r="N972" i="8"/>
  <c r="N973" i="8"/>
  <c r="N974" i="8"/>
  <c r="N975" i="8"/>
  <c r="N976" i="8"/>
  <c r="N977" i="8"/>
  <c r="N978" i="8"/>
  <c r="N979" i="8"/>
  <c r="N980" i="8"/>
  <c r="N981" i="8"/>
  <c r="N982" i="8"/>
  <c r="N983" i="8"/>
  <c r="N984" i="8"/>
  <c r="N985" i="8"/>
  <c r="N986" i="8"/>
  <c r="N987" i="8"/>
  <c r="N988" i="8"/>
  <c r="N989" i="8"/>
  <c r="N990" i="8"/>
  <c r="N991" i="8"/>
  <c r="N992" i="8"/>
  <c r="N993" i="8"/>
  <c r="N994" i="8"/>
  <c r="N995" i="8"/>
  <c r="N996" i="8"/>
  <c r="N997" i="8"/>
  <c r="N998" i="8"/>
  <c r="N999" i="8"/>
  <c r="N1000" i="8"/>
  <c r="N1001" i="8"/>
  <c r="N1002" i="8"/>
  <c r="N1003" i="8"/>
  <c r="N1004" i="8"/>
  <c r="N1005" i="8"/>
  <c r="N1006" i="8"/>
  <c r="N1007" i="8"/>
  <c r="N1008" i="8"/>
  <c r="N1009" i="8"/>
  <c r="N1010" i="8"/>
  <c r="N1011" i="8"/>
  <c r="N1012" i="8"/>
  <c r="N1013" i="8"/>
  <c r="N1014" i="8"/>
  <c r="N1015" i="8"/>
  <c r="N1016" i="8"/>
  <c r="N1017" i="8"/>
  <c r="N1018" i="8"/>
  <c r="N1019" i="8"/>
  <c r="N1020" i="8"/>
  <c r="N1021" i="8"/>
  <c r="N1022" i="8"/>
  <c r="N1023" i="8"/>
  <c r="N1024" i="8"/>
  <c r="N1025" i="8"/>
  <c r="N1026" i="8"/>
  <c r="N1027" i="8"/>
  <c r="N1028" i="8"/>
  <c r="N1029" i="8"/>
  <c r="N1030" i="8"/>
  <c r="N1031" i="8"/>
  <c r="N1032" i="8"/>
  <c r="N1033" i="8"/>
  <c r="N1034" i="8"/>
  <c r="N1035" i="8"/>
  <c r="N1036" i="8"/>
  <c r="N1037" i="8"/>
  <c r="N1038" i="8"/>
  <c r="N1039" i="8"/>
  <c r="N1040" i="8"/>
  <c r="N1041" i="8"/>
  <c r="N1042" i="8"/>
  <c r="N1043" i="8"/>
  <c r="N1044" i="8"/>
  <c r="N1045" i="8"/>
  <c r="N1046" i="8"/>
  <c r="N1047" i="8"/>
  <c r="N1048" i="8"/>
  <c r="N1049" i="8"/>
  <c r="N1050" i="8"/>
  <c r="N1051" i="8"/>
  <c r="N1052" i="8"/>
  <c r="N1053" i="8"/>
  <c r="N1054" i="8"/>
  <c r="N1055" i="8"/>
  <c r="N1056" i="8"/>
  <c r="N1057" i="8"/>
  <c r="N1058" i="8"/>
  <c r="N1059" i="8"/>
  <c r="N1060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3" i="4"/>
  <c r="C4" i="4"/>
  <c r="C5" i="4"/>
  <c r="C6" i="4"/>
  <c r="D2" i="4" s="1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" i="4"/>
  <c r="AK2" i="8"/>
  <c r="AK3" i="8" s="1"/>
  <c r="AK4" i="8" s="1"/>
  <c r="AK5" i="8" s="1"/>
  <c r="AK6" i="8" s="1"/>
  <c r="AK7" i="8" s="1"/>
  <c r="AK8" i="8" s="1"/>
  <c r="AK9" i="8" s="1"/>
  <c r="AK10" i="8" s="1"/>
  <c r="AK11" i="8" s="1"/>
  <c r="AK12" i="8" s="1"/>
  <c r="AK13" i="8" s="1"/>
  <c r="AK14" i="8" s="1"/>
  <c r="AK15" i="8" s="1"/>
  <c r="AK16" i="8" s="1"/>
  <c r="AK17" i="8" s="1"/>
  <c r="AK18" i="8" s="1"/>
  <c r="AK19" i="8" s="1"/>
  <c r="AK20" i="8" s="1"/>
  <c r="AK21" i="8" s="1"/>
  <c r="AK22" i="8" s="1"/>
  <c r="AK23" i="8" s="1"/>
  <c r="AK24" i="8" s="1"/>
  <c r="AK25" i="8" s="1"/>
  <c r="AK26" i="8" s="1"/>
  <c r="AK27" i="8" s="1"/>
  <c r="AK28" i="8" s="1"/>
  <c r="AK29" i="8" s="1"/>
  <c r="AK30" i="8" s="1"/>
  <c r="AK31" i="8" s="1"/>
  <c r="AK32" i="8" s="1"/>
  <c r="AK33" i="8" s="1"/>
  <c r="AK34" i="8" s="1"/>
  <c r="AK35" i="8" s="1"/>
  <c r="AK36" i="8" s="1"/>
  <c r="AK37" i="8" s="1"/>
  <c r="AK38" i="8" s="1"/>
  <c r="AK39" i="8" s="1"/>
  <c r="AK40" i="8" s="1"/>
  <c r="AK41" i="8" s="1"/>
  <c r="AK42" i="8" s="1"/>
  <c r="AK43" i="8" s="1"/>
  <c r="AK44" i="8" s="1"/>
  <c r="AK45" i="8" s="1"/>
  <c r="AK46" i="8" s="1"/>
  <c r="AK47" i="8" s="1"/>
  <c r="AK48" i="8" s="1"/>
  <c r="AK49" i="8" s="1"/>
  <c r="AK50" i="8" s="1"/>
  <c r="AK51" i="8" s="1"/>
  <c r="AK52" i="8" s="1"/>
  <c r="AK53" i="8" s="1"/>
  <c r="AK54" i="8" s="1"/>
  <c r="AK55" i="8" s="1"/>
  <c r="AK56" i="8" s="1"/>
  <c r="AK57" i="8" s="1"/>
  <c r="AK58" i="8" s="1"/>
  <c r="AK59" i="8" s="1"/>
  <c r="AK60" i="8" s="1"/>
  <c r="AK61" i="8" s="1"/>
  <c r="AK62" i="8" s="1"/>
  <c r="AK63" i="8" s="1"/>
  <c r="AK64" i="8" s="1"/>
  <c r="AK65" i="8" s="1"/>
  <c r="AK66" i="8" s="1"/>
  <c r="AK67" i="8" s="1"/>
  <c r="AK68" i="8" s="1"/>
  <c r="AK69" i="8" s="1"/>
  <c r="AK70" i="8" s="1"/>
  <c r="AK71" i="8" s="1"/>
  <c r="AK72" i="8" s="1"/>
  <c r="AK73" i="8" s="1"/>
  <c r="AK74" i="8" s="1"/>
  <c r="AK75" i="8" s="1"/>
  <c r="AK76" i="8" s="1"/>
  <c r="AK77" i="8" s="1"/>
  <c r="AK78" i="8" s="1"/>
  <c r="AK79" i="8" s="1"/>
  <c r="AK80" i="8" s="1"/>
  <c r="AK81" i="8" s="1"/>
  <c r="AK82" i="8" s="1"/>
  <c r="AK83" i="8" s="1"/>
  <c r="AK84" i="8" s="1"/>
  <c r="AK85" i="8" s="1"/>
  <c r="AK86" i="8" s="1"/>
  <c r="AK87" i="8" s="1"/>
  <c r="AK88" i="8" s="1"/>
  <c r="AK89" i="8" s="1"/>
  <c r="AK90" i="8" s="1"/>
  <c r="AK91" i="8" s="1"/>
  <c r="AK92" i="8" s="1"/>
  <c r="AK93" i="8" s="1"/>
  <c r="AK94" i="8" s="1"/>
  <c r="AK95" i="8" s="1"/>
  <c r="AK96" i="8" s="1"/>
  <c r="AK97" i="8" s="1"/>
  <c r="AK98" i="8" s="1"/>
  <c r="AK99" i="8" s="1"/>
  <c r="AK100" i="8" s="1"/>
  <c r="AK101" i="8" s="1"/>
  <c r="AK102" i="8" s="1"/>
  <c r="AK103" i="8" s="1"/>
  <c r="AK104" i="8" s="1"/>
  <c r="AK105" i="8" s="1"/>
  <c r="AK106" i="8" s="1"/>
  <c r="AK107" i="8" s="1"/>
  <c r="AK108" i="8" s="1"/>
  <c r="AK109" i="8" s="1"/>
  <c r="AK110" i="8" s="1"/>
  <c r="AK111" i="8" s="1"/>
  <c r="AK112" i="8" s="1"/>
  <c r="AK113" i="8" s="1"/>
  <c r="AK114" i="8" s="1"/>
  <c r="AK115" i="8" s="1"/>
  <c r="AK116" i="8" s="1"/>
  <c r="AK117" i="8" s="1"/>
  <c r="AK118" i="8" s="1"/>
  <c r="AK119" i="8" s="1"/>
  <c r="AK120" i="8" s="1"/>
  <c r="AK121" i="8" s="1"/>
  <c r="AK122" i="8" s="1"/>
  <c r="AK123" i="8" s="1"/>
  <c r="AK124" i="8" s="1"/>
  <c r="AK125" i="8" s="1"/>
  <c r="AK126" i="8" s="1"/>
  <c r="AK127" i="8" s="1"/>
  <c r="AK128" i="8" s="1"/>
  <c r="AK129" i="8" s="1"/>
  <c r="AK130" i="8" s="1"/>
  <c r="AK131" i="8" s="1"/>
  <c r="AK132" i="8" s="1"/>
  <c r="AK133" i="8" s="1"/>
  <c r="AK134" i="8" s="1"/>
  <c r="AK135" i="8" s="1"/>
  <c r="AK136" i="8" s="1"/>
  <c r="AK137" i="8" s="1"/>
  <c r="AK138" i="8" s="1"/>
  <c r="AK139" i="8" s="1"/>
  <c r="AK140" i="8" s="1"/>
  <c r="AK141" i="8" s="1"/>
  <c r="AK142" i="8" s="1"/>
  <c r="AK143" i="8" s="1"/>
  <c r="AK144" i="8" s="1"/>
  <c r="AK145" i="8" s="1"/>
  <c r="AK146" i="8" s="1"/>
  <c r="AK147" i="8" s="1"/>
  <c r="AK148" i="8" s="1"/>
  <c r="AK149" i="8" s="1"/>
  <c r="AK150" i="8" s="1"/>
  <c r="AK151" i="8" s="1"/>
  <c r="AK152" i="8" s="1"/>
  <c r="AK153" i="8" s="1"/>
  <c r="AK154" i="8" s="1"/>
  <c r="AK155" i="8" s="1"/>
  <c r="AK156" i="8" s="1"/>
  <c r="AK157" i="8" s="1"/>
  <c r="AK158" i="8" s="1"/>
  <c r="AK159" i="8" s="1"/>
  <c r="AK160" i="8" s="1"/>
  <c r="AK161" i="8" s="1"/>
  <c r="AK162" i="8" s="1"/>
  <c r="AK163" i="8" s="1"/>
  <c r="AK164" i="8" s="1"/>
  <c r="AK165" i="8" s="1"/>
  <c r="AK166" i="8" s="1"/>
  <c r="AK167" i="8" s="1"/>
  <c r="AK168" i="8" s="1"/>
  <c r="AK169" i="8" s="1"/>
  <c r="AK170" i="8" s="1"/>
  <c r="AK171" i="8" s="1"/>
  <c r="AK172" i="8" s="1"/>
  <c r="AK173" i="8" s="1"/>
  <c r="AK174" i="8" s="1"/>
  <c r="AK175" i="8" s="1"/>
  <c r="AK176" i="8" s="1"/>
  <c r="AK177" i="8" s="1"/>
  <c r="AK178" i="8" s="1"/>
  <c r="AK179" i="8" s="1"/>
  <c r="AK180" i="8" s="1"/>
  <c r="AK181" i="8" s="1"/>
  <c r="AK182" i="8" s="1"/>
  <c r="AK183" i="8" s="1"/>
  <c r="AK184" i="8" s="1"/>
  <c r="AK185" i="8" s="1"/>
  <c r="AK186" i="8" s="1"/>
  <c r="AK187" i="8" s="1"/>
  <c r="AK188" i="8" s="1"/>
  <c r="AK189" i="8" s="1"/>
  <c r="AK190" i="8" s="1"/>
  <c r="AK191" i="8" s="1"/>
  <c r="AK192" i="8" s="1"/>
  <c r="AK193" i="8" s="1"/>
  <c r="AK194" i="8" s="1"/>
  <c r="AK195" i="8" s="1"/>
  <c r="AK196" i="8" s="1"/>
  <c r="AK197" i="8" s="1"/>
  <c r="AK198" i="8" s="1"/>
  <c r="AK199" i="8" s="1"/>
  <c r="AK200" i="8" s="1"/>
  <c r="AK201" i="8" s="1"/>
  <c r="AK202" i="8" s="1"/>
  <c r="AK203" i="8" s="1"/>
  <c r="AK204" i="8" s="1"/>
  <c r="AK205" i="8" s="1"/>
  <c r="AK206" i="8" s="1"/>
  <c r="AK207" i="8" s="1"/>
  <c r="AK208" i="8" s="1"/>
  <c r="AK209" i="8" s="1"/>
  <c r="AK210" i="8" s="1"/>
  <c r="AK211" i="8" s="1"/>
  <c r="AK212" i="8" s="1"/>
  <c r="AK213" i="8" s="1"/>
  <c r="AK214" i="8" s="1"/>
  <c r="AK215" i="8" s="1"/>
  <c r="AK216" i="8" s="1"/>
  <c r="AK217" i="8" s="1"/>
  <c r="AK218" i="8" s="1"/>
  <c r="AK219" i="8" s="1"/>
  <c r="AK220" i="8" s="1"/>
  <c r="AK221" i="8" s="1"/>
  <c r="AK222" i="8" s="1"/>
  <c r="AK223" i="8" s="1"/>
  <c r="AK224" i="8" s="1"/>
  <c r="AK225" i="8" s="1"/>
  <c r="AK226" i="8" s="1"/>
  <c r="AK227" i="8" s="1"/>
  <c r="AK228" i="8" s="1"/>
  <c r="AK229" i="8" s="1"/>
  <c r="AK230" i="8" s="1"/>
  <c r="AK231" i="8" s="1"/>
  <c r="AK232" i="8" s="1"/>
  <c r="AK233" i="8" s="1"/>
  <c r="AK234" i="8" s="1"/>
  <c r="AK235" i="8" s="1"/>
  <c r="AK236" i="8" s="1"/>
  <c r="AK237" i="8" s="1"/>
  <c r="AK238" i="8" s="1"/>
  <c r="AK239" i="8" s="1"/>
  <c r="AK240" i="8" s="1"/>
  <c r="AK241" i="8" s="1"/>
  <c r="AK242" i="8" s="1"/>
  <c r="AK243" i="8" s="1"/>
  <c r="AK244" i="8" s="1"/>
  <c r="AK245" i="8" s="1"/>
  <c r="AK246" i="8" s="1"/>
  <c r="AK247" i="8" s="1"/>
  <c r="AK248" i="8" s="1"/>
  <c r="AK249" i="8" s="1"/>
  <c r="AK250" i="8" s="1"/>
  <c r="AK251" i="8" s="1"/>
  <c r="AK252" i="8" s="1"/>
  <c r="AK253" i="8" s="1"/>
  <c r="AK254" i="8" s="1"/>
  <c r="AK255" i="8" s="1"/>
  <c r="AK256" i="8" s="1"/>
  <c r="AK257" i="8" s="1"/>
  <c r="AK258" i="8" s="1"/>
  <c r="AK259" i="8" s="1"/>
  <c r="AK260" i="8" s="1"/>
  <c r="AK261" i="8" s="1"/>
  <c r="AK262" i="8" s="1"/>
  <c r="AK263" i="8" s="1"/>
  <c r="AK264" i="8" s="1"/>
  <c r="AK265" i="8" s="1"/>
  <c r="AK266" i="8" s="1"/>
  <c r="AK267" i="8" s="1"/>
  <c r="AK268" i="8" s="1"/>
  <c r="AK269" i="8" s="1"/>
  <c r="AK270" i="8" s="1"/>
  <c r="AK271" i="8" s="1"/>
  <c r="AK272" i="8" s="1"/>
  <c r="AK273" i="8" s="1"/>
  <c r="AK274" i="8" s="1"/>
  <c r="AK275" i="8" s="1"/>
  <c r="AK276" i="8" s="1"/>
  <c r="AK277" i="8" s="1"/>
  <c r="AK278" i="8" s="1"/>
  <c r="AK279" i="8" s="1"/>
  <c r="AK280" i="8" s="1"/>
  <c r="AK281" i="8" s="1"/>
  <c r="AK282" i="8" s="1"/>
  <c r="AK283" i="8" s="1"/>
  <c r="AK284" i="8" s="1"/>
  <c r="AK285" i="8" s="1"/>
  <c r="AK286" i="8" s="1"/>
  <c r="AK287" i="8" s="1"/>
  <c r="AK288" i="8" s="1"/>
  <c r="AK289" i="8" s="1"/>
  <c r="AK290" i="8" s="1"/>
  <c r="AK291" i="8" s="1"/>
  <c r="AK292" i="8" s="1"/>
  <c r="AK293" i="8" s="1"/>
  <c r="AK294" i="8" s="1"/>
  <c r="AK295" i="8" s="1"/>
  <c r="AK296" i="8" s="1"/>
  <c r="AK297" i="8" s="1"/>
  <c r="AK298" i="8" s="1"/>
  <c r="AK299" i="8" s="1"/>
  <c r="AK300" i="8" s="1"/>
  <c r="AK301" i="8" s="1"/>
  <c r="AK302" i="8" s="1"/>
  <c r="AK303" i="8" s="1"/>
  <c r="AK304" i="8" s="1"/>
  <c r="AK305" i="8" s="1"/>
  <c r="AK306" i="8" s="1"/>
  <c r="AK307" i="8" s="1"/>
  <c r="AK308" i="8" s="1"/>
  <c r="AK309" i="8" s="1"/>
  <c r="AK310" i="8" s="1"/>
  <c r="AK311" i="8" s="1"/>
  <c r="AK312" i="8" s="1"/>
  <c r="AK313" i="8" s="1"/>
  <c r="AK314" i="8" s="1"/>
  <c r="AK315" i="8" s="1"/>
  <c r="AK316" i="8" s="1"/>
  <c r="AK317" i="8" s="1"/>
  <c r="AK318" i="8" s="1"/>
  <c r="AK319" i="8" s="1"/>
  <c r="AK320" i="8" s="1"/>
  <c r="AK321" i="8" s="1"/>
  <c r="AK322" i="8" s="1"/>
  <c r="AK323" i="8" s="1"/>
  <c r="AK324" i="8" s="1"/>
  <c r="AK325" i="8" s="1"/>
  <c r="AK326" i="8" s="1"/>
  <c r="AK327" i="8" s="1"/>
  <c r="AK328" i="8" s="1"/>
  <c r="AK329" i="8" s="1"/>
  <c r="AK330" i="8" s="1"/>
  <c r="AK331" i="8" s="1"/>
  <c r="AK332" i="8" s="1"/>
  <c r="AK333" i="8" s="1"/>
  <c r="AK334" i="8" s="1"/>
  <c r="AK335" i="8" s="1"/>
  <c r="AK336" i="8" s="1"/>
  <c r="AK337" i="8" s="1"/>
  <c r="AK338" i="8" s="1"/>
  <c r="AK339" i="8" s="1"/>
  <c r="AK340" i="8" s="1"/>
  <c r="AK341" i="8" s="1"/>
  <c r="AK342" i="8" s="1"/>
  <c r="AK343" i="8" s="1"/>
  <c r="AK344" i="8" s="1"/>
  <c r="AK345" i="8" s="1"/>
  <c r="AK346" i="8" s="1"/>
  <c r="AK347" i="8" s="1"/>
  <c r="AK348" i="8" s="1"/>
  <c r="AK349" i="8" s="1"/>
  <c r="AK350" i="8" s="1"/>
  <c r="AK351" i="8" s="1"/>
  <c r="AK352" i="8" s="1"/>
  <c r="AK353" i="8" s="1"/>
  <c r="AK354" i="8" s="1"/>
  <c r="AK355" i="8" s="1"/>
  <c r="AK356" i="8" s="1"/>
  <c r="AK357" i="8" s="1"/>
  <c r="AK358" i="8" s="1"/>
  <c r="AK359" i="8" s="1"/>
  <c r="AK360" i="8" s="1"/>
  <c r="AK361" i="8" s="1"/>
  <c r="AK362" i="8" s="1"/>
  <c r="AK363" i="8" s="1"/>
  <c r="AK364" i="8" s="1"/>
  <c r="AK365" i="8" s="1"/>
  <c r="AK366" i="8" s="1"/>
  <c r="AK367" i="8" s="1"/>
  <c r="AK368" i="8" s="1"/>
  <c r="AK369" i="8" s="1"/>
  <c r="AK370" i="8" s="1"/>
  <c r="AK371" i="8" s="1"/>
  <c r="AK372" i="8" s="1"/>
  <c r="AK373" i="8" s="1"/>
  <c r="AK374" i="8" s="1"/>
  <c r="AK375" i="8" s="1"/>
  <c r="AK376" i="8" s="1"/>
  <c r="AK377" i="8" s="1"/>
  <c r="AK378" i="8" s="1"/>
  <c r="AK379" i="8" s="1"/>
  <c r="AK380" i="8" s="1"/>
  <c r="AK381" i="8" s="1"/>
  <c r="AK382" i="8" s="1"/>
  <c r="AK383" i="8" s="1"/>
  <c r="AK384" i="8" s="1"/>
  <c r="AK385" i="8" s="1"/>
  <c r="AK386" i="8" s="1"/>
  <c r="AK387" i="8" s="1"/>
  <c r="AK388" i="8" s="1"/>
  <c r="AK389" i="8" s="1"/>
  <c r="AK390" i="8" s="1"/>
  <c r="AK391" i="8" s="1"/>
  <c r="AK392" i="8" s="1"/>
  <c r="AK393" i="8" s="1"/>
  <c r="AK394" i="8" s="1"/>
  <c r="AK395" i="8" s="1"/>
  <c r="AK396" i="8" s="1"/>
  <c r="AK397" i="8" s="1"/>
  <c r="AK398" i="8" s="1"/>
  <c r="AK399" i="8" s="1"/>
  <c r="AK400" i="8" s="1"/>
  <c r="AK401" i="8" s="1"/>
  <c r="AK402" i="8" s="1"/>
  <c r="AK403" i="8" s="1"/>
  <c r="AK404" i="8" s="1"/>
  <c r="AK405" i="8" s="1"/>
  <c r="AK406" i="8" s="1"/>
  <c r="AK407" i="8" s="1"/>
  <c r="AK408" i="8" s="1"/>
  <c r="AK409" i="8" s="1"/>
  <c r="AK410" i="8" s="1"/>
  <c r="AK411" i="8" s="1"/>
  <c r="AK412" i="8" s="1"/>
  <c r="AK413" i="8" s="1"/>
  <c r="AK414" i="8" s="1"/>
  <c r="AK415" i="8" s="1"/>
  <c r="AK416" i="8" s="1"/>
  <c r="AK417" i="8" s="1"/>
  <c r="AK418" i="8" s="1"/>
  <c r="AK419" i="8" s="1"/>
  <c r="AK420" i="8" s="1"/>
  <c r="AK421" i="8" s="1"/>
  <c r="AK422" i="8" s="1"/>
  <c r="AK423" i="8" s="1"/>
  <c r="AK424" i="8" s="1"/>
  <c r="AK425" i="8" s="1"/>
  <c r="AK426" i="8" s="1"/>
  <c r="AK427" i="8" s="1"/>
  <c r="AK428" i="8" s="1"/>
  <c r="AK429" i="8" s="1"/>
  <c r="AK430" i="8" s="1"/>
  <c r="AK431" i="8" s="1"/>
  <c r="AK432" i="8" s="1"/>
  <c r="AK433" i="8" s="1"/>
  <c r="AK434" i="8" s="1"/>
  <c r="AK435" i="8" s="1"/>
  <c r="AK436" i="8" s="1"/>
  <c r="AK437" i="8" s="1"/>
  <c r="AK438" i="8" s="1"/>
  <c r="AK439" i="8" s="1"/>
  <c r="AK440" i="8" s="1"/>
  <c r="AK441" i="8" s="1"/>
  <c r="AK442" i="8" s="1"/>
  <c r="AK443" i="8" s="1"/>
  <c r="AK444" i="8" s="1"/>
  <c r="AK445" i="8" s="1"/>
  <c r="AK446" i="8" s="1"/>
  <c r="AK447" i="8" s="1"/>
  <c r="AK448" i="8" s="1"/>
  <c r="AK449" i="8" s="1"/>
  <c r="AK450" i="8" s="1"/>
  <c r="AK451" i="8" s="1"/>
  <c r="AK452" i="8" s="1"/>
  <c r="AK453" i="8" s="1"/>
  <c r="AK454" i="8" s="1"/>
  <c r="AK455" i="8" s="1"/>
  <c r="AK456" i="8" s="1"/>
  <c r="AK457" i="8" s="1"/>
  <c r="AK458" i="8" s="1"/>
  <c r="AK459" i="8" s="1"/>
  <c r="AK460" i="8" s="1"/>
  <c r="AK461" i="8" s="1"/>
  <c r="AK462" i="8" s="1"/>
  <c r="AK463" i="8" s="1"/>
  <c r="AK464" i="8" s="1"/>
  <c r="AK465" i="8" s="1"/>
  <c r="AK466" i="8" s="1"/>
  <c r="AK467" i="8" s="1"/>
  <c r="AK468" i="8" s="1"/>
  <c r="AK469" i="8" s="1"/>
  <c r="AK470" i="8" s="1"/>
  <c r="AK471" i="8" s="1"/>
  <c r="AK472" i="8" s="1"/>
  <c r="AK473" i="8" s="1"/>
  <c r="AK474" i="8" s="1"/>
  <c r="AK475" i="8" s="1"/>
  <c r="AK476" i="8" s="1"/>
  <c r="AK477" i="8" s="1"/>
  <c r="AK478" i="8" s="1"/>
  <c r="AK479" i="8" s="1"/>
  <c r="AK480" i="8" s="1"/>
  <c r="AK481" i="8" s="1"/>
  <c r="AK482" i="8" s="1"/>
  <c r="AK483" i="8" s="1"/>
  <c r="AK484" i="8" s="1"/>
  <c r="AK485" i="8" s="1"/>
  <c r="AK486" i="8" s="1"/>
  <c r="AK487" i="8" s="1"/>
  <c r="AK488" i="8" s="1"/>
  <c r="AK489" i="8" s="1"/>
  <c r="AK490" i="8" s="1"/>
  <c r="AK491" i="8" s="1"/>
  <c r="AK492" i="8" s="1"/>
  <c r="AK493" i="8" s="1"/>
  <c r="AK494" i="8" s="1"/>
  <c r="AK495" i="8" s="1"/>
  <c r="AK496" i="8" s="1"/>
  <c r="AK497" i="8" s="1"/>
  <c r="AK498" i="8" s="1"/>
  <c r="AK499" i="8" s="1"/>
  <c r="AK500" i="8" s="1"/>
  <c r="AK501" i="8" s="1"/>
  <c r="AK502" i="8" s="1"/>
  <c r="AK503" i="8" s="1"/>
  <c r="AK504" i="8" s="1"/>
  <c r="AK505" i="8" s="1"/>
  <c r="AK506" i="8" s="1"/>
  <c r="AK507" i="8" s="1"/>
  <c r="AK508" i="8" s="1"/>
  <c r="AK509" i="8" s="1"/>
  <c r="AK510" i="8" s="1"/>
  <c r="AK511" i="8" s="1"/>
  <c r="AK512" i="8" s="1"/>
  <c r="AK513" i="8" s="1"/>
  <c r="AK514" i="8" s="1"/>
  <c r="AK515" i="8" s="1"/>
  <c r="AK516" i="8" s="1"/>
  <c r="AK517" i="8" s="1"/>
  <c r="AK518" i="8" s="1"/>
  <c r="AK519" i="8" s="1"/>
  <c r="AK520" i="8" s="1"/>
  <c r="AK521" i="8" s="1"/>
  <c r="AK522" i="8" s="1"/>
  <c r="AK523" i="8" s="1"/>
  <c r="AK524" i="8" s="1"/>
  <c r="AK525" i="8" s="1"/>
  <c r="AK526" i="8" s="1"/>
  <c r="AK527" i="8" s="1"/>
  <c r="AK528" i="8" s="1"/>
  <c r="AK529" i="8" s="1"/>
  <c r="AK530" i="8" s="1"/>
  <c r="AK531" i="8" s="1"/>
  <c r="AK532" i="8" s="1"/>
  <c r="AK533" i="8" s="1"/>
  <c r="AK534" i="8" s="1"/>
  <c r="AK535" i="8" s="1"/>
  <c r="AK536" i="8" s="1"/>
  <c r="AK537" i="8" s="1"/>
  <c r="AK538" i="8" s="1"/>
  <c r="AK539" i="8" s="1"/>
  <c r="AK540" i="8" s="1"/>
  <c r="AK541" i="8" s="1"/>
  <c r="AK542" i="8" s="1"/>
  <c r="AK543" i="8" s="1"/>
  <c r="AK544" i="8" s="1"/>
  <c r="AK545" i="8" s="1"/>
  <c r="AK546" i="8" s="1"/>
  <c r="AK547" i="8" s="1"/>
  <c r="AK548" i="8" s="1"/>
  <c r="AK549" i="8" s="1"/>
  <c r="AK550" i="8" s="1"/>
  <c r="AK551" i="8" s="1"/>
  <c r="AK552" i="8" s="1"/>
  <c r="AK553" i="8" s="1"/>
  <c r="AK554" i="8" s="1"/>
  <c r="AK555" i="8" s="1"/>
  <c r="AK556" i="8" s="1"/>
  <c r="AK557" i="8" s="1"/>
  <c r="AK558" i="8" s="1"/>
  <c r="AK559" i="8" s="1"/>
  <c r="AK560" i="8" s="1"/>
  <c r="AK561" i="8" s="1"/>
  <c r="AK562" i="8" s="1"/>
  <c r="AK563" i="8" s="1"/>
  <c r="AK564" i="8" s="1"/>
  <c r="AK565" i="8" s="1"/>
  <c r="AK566" i="8" s="1"/>
  <c r="AK567" i="8" s="1"/>
  <c r="AK568" i="8" s="1"/>
  <c r="AK569" i="8" s="1"/>
  <c r="AK570" i="8" s="1"/>
  <c r="AK571" i="8" s="1"/>
  <c r="AK572" i="8" s="1"/>
  <c r="AK573" i="8" s="1"/>
  <c r="AK574" i="8" s="1"/>
  <c r="AK575" i="8" s="1"/>
  <c r="AK576" i="8" s="1"/>
  <c r="AK577" i="8" s="1"/>
  <c r="AK578" i="8" s="1"/>
  <c r="AK579" i="8" s="1"/>
  <c r="AK580" i="8" s="1"/>
  <c r="AK581" i="8" s="1"/>
  <c r="AK582" i="8" s="1"/>
  <c r="AK583" i="8" s="1"/>
  <c r="AK584" i="8" s="1"/>
  <c r="AK585" i="8" s="1"/>
  <c r="AK586" i="8" s="1"/>
  <c r="AK587" i="8" s="1"/>
  <c r="AK588" i="8" s="1"/>
  <c r="AK589" i="8" s="1"/>
  <c r="AK590" i="8" s="1"/>
  <c r="AK591" i="8" s="1"/>
  <c r="AK592" i="8" s="1"/>
  <c r="AK593" i="8" s="1"/>
  <c r="AK594" i="8" s="1"/>
  <c r="AK595" i="8" s="1"/>
  <c r="AK596" i="8" s="1"/>
  <c r="AK597" i="8" s="1"/>
  <c r="AK598" i="8" s="1"/>
  <c r="AK599" i="8" s="1"/>
  <c r="AK600" i="8" s="1"/>
  <c r="AK601" i="8" s="1"/>
  <c r="AK602" i="8" s="1"/>
  <c r="AK603" i="8" s="1"/>
  <c r="AK604" i="8" s="1"/>
  <c r="AK605" i="8" s="1"/>
  <c r="AK606" i="8" s="1"/>
  <c r="AK607" i="8" s="1"/>
  <c r="AK608" i="8" s="1"/>
  <c r="AK609" i="8" s="1"/>
  <c r="AK610" i="8" s="1"/>
  <c r="AK611" i="8" s="1"/>
  <c r="AK612" i="8" s="1"/>
  <c r="AK613" i="8" s="1"/>
  <c r="AK614" i="8" s="1"/>
  <c r="AK615" i="8" s="1"/>
  <c r="AK616" i="8" s="1"/>
  <c r="AK617" i="8" s="1"/>
  <c r="AK618" i="8" s="1"/>
  <c r="AK619" i="8" s="1"/>
  <c r="AK620" i="8" s="1"/>
  <c r="AK621" i="8" s="1"/>
  <c r="AK622" i="8" s="1"/>
  <c r="AK623" i="8" s="1"/>
  <c r="AK624" i="8" s="1"/>
  <c r="AK625" i="8" s="1"/>
  <c r="AK626" i="8" s="1"/>
  <c r="AK627" i="8" s="1"/>
  <c r="AK628" i="8" s="1"/>
  <c r="AK629" i="8" s="1"/>
  <c r="AK630" i="8" s="1"/>
  <c r="AK631" i="8" s="1"/>
  <c r="AK632" i="8" s="1"/>
  <c r="AK633" i="8" s="1"/>
  <c r="AK634" i="8" s="1"/>
  <c r="AK635" i="8" s="1"/>
  <c r="AK636" i="8" s="1"/>
  <c r="AK637" i="8" s="1"/>
  <c r="AK638" i="8" s="1"/>
  <c r="AK639" i="8" s="1"/>
  <c r="AK640" i="8" s="1"/>
  <c r="AK641" i="8" s="1"/>
  <c r="AK642" i="8" s="1"/>
  <c r="AK643" i="8" s="1"/>
  <c r="AK644" i="8" s="1"/>
  <c r="AK645" i="8" s="1"/>
  <c r="AK646" i="8" s="1"/>
  <c r="AK647" i="8" s="1"/>
  <c r="AK648" i="8" s="1"/>
  <c r="AK649" i="8" s="1"/>
  <c r="AK650" i="8" s="1"/>
  <c r="AK651" i="8" s="1"/>
  <c r="AK652" i="8" s="1"/>
  <c r="AK653" i="8" s="1"/>
  <c r="AK654" i="8" s="1"/>
  <c r="AK655" i="8" s="1"/>
  <c r="AK656" i="8" s="1"/>
  <c r="AK657" i="8" s="1"/>
  <c r="AK658" i="8" s="1"/>
  <c r="AK659" i="8" s="1"/>
  <c r="AK660" i="8" s="1"/>
  <c r="AK661" i="8" s="1"/>
  <c r="AK662" i="8" s="1"/>
  <c r="AK663" i="8" s="1"/>
  <c r="AK664" i="8" s="1"/>
  <c r="AK665" i="8" s="1"/>
  <c r="AK666" i="8" s="1"/>
  <c r="AK667" i="8" s="1"/>
  <c r="AK668" i="8" s="1"/>
  <c r="AK669" i="8" s="1"/>
  <c r="AK670" i="8" s="1"/>
  <c r="AK671" i="8" s="1"/>
  <c r="AK672" i="8" s="1"/>
  <c r="AK673" i="8" s="1"/>
  <c r="AK674" i="8" s="1"/>
  <c r="AK675" i="8" s="1"/>
  <c r="AK676" i="8" s="1"/>
  <c r="AK677" i="8" s="1"/>
  <c r="AK678" i="8" s="1"/>
  <c r="AK679" i="8" s="1"/>
  <c r="AK680" i="8" s="1"/>
  <c r="AK681" i="8" s="1"/>
  <c r="AK682" i="8" s="1"/>
  <c r="AK683" i="8" s="1"/>
  <c r="AK684" i="8" s="1"/>
  <c r="AK685" i="8" s="1"/>
  <c r="AK686" i="8" s="1"/>
  <c r="AK687" i="8" s="1"/>
  <c r="AK688" i="8" s="1"/>
  <c r="AK689" i="8" s="1"/>
  <c r="AK690" i="8" s="1"/>
  <c r="AK691" i="8" s="1"/>
  <c r="AK692" i="8" s="1"/>
  <c r="AK693" i="8" s="1"/>
  <c r="AK694" i="8" s="1"/>
  <c r="AK695" i="8" s="1"/>
  <c r="AK696" i="8" s="1"/>
  <c r="AK697" i="8" s="1"/>
  <c r="AK698" i="8" s="1"/>
  <c r="AK699" i="8" s="1"/>
  <c r="AK700" i="8" s="1"/>
  <c r="AK701" i="8" s="1"/>
  <c r="AK702" i="8" s="1"/>
  <c r="AK703" i="8" s="1"/>
  <c r="AK704" i="8" s="1"/>
  <c r="AK705" i="8" s="1"/>
  <c r="AK706" i="8" s="1"/>
  <c r="AK707" i="8" s="1"/>
  <c r="AK708" i="8" s="1"/>
  <c r="AK709" i="8" s="1"/>
  <c r="AK710" i="8" s="1"/>
  <c r="AK711" i="8" s="1"/>
  <c r="AK712" i="8" s="1"/>
  <c r="AK713" i="8" s="1"/>
  <c r="AK714" i="8" s="1"/>
  <c r="AK715" i="8" s="1"/>
  <c r="AK716" i="8" s="1"/>
  <c r="AK717" i="8" s="1"/>
  <c r="AK718" i="8" s="1"/>
  <c r="AK719" i="8" s="1"/>
  <c r="AK720" i="8" s="1"/>
  <c r="AK721" i="8" s="1"/>
  <c r="AK722" i="8" s="1"/>
  <c r="AK723" i="8" s="1"/>
  <c r="AK724" i="8" s="1"/>
  <c r="AK725" i="8" s="1"/>
  <c r="AK726" i="8" s="1"/>
  <c r="AK727" i="8" s="1"/>
  <c r="AK728" i="8" s="1"/>
  <c r="AK729" i="8" s="1"/>
  <c r="AK730" i="8" s="1"/>
  <c r="AK731" i="8" s="1"/>
  <c r="AK732" i="8" s="1"/>
  <c r="AK733" i="8" s="1"/>
  <c r="AK734" i="8" s="1"/>
  <c r="AK735" i="8" s="1"/>
  <c r="AK736" i="8" s="1"/>
  <c r="AK737" i="8" s="1"/>
  <c r="AK738" i="8" s="1"/>
  <c r="AK739" i="8" s="1"/>
  <c r="AK740" i="8" s="1"/>
  <c r="AK741" i="8" s="1"/>
  <c r="AK742" i="8" s="1"/>
  <c r="AK743" i="8" s="1"/>
  <c r="AK744" i="8" s="1"/>
  <c r="AK745" i="8" s="1"/>
  <c r="AK746" i="8" s="1"/>
  <c r="AK747" i="8" s="1"/>
  <c r="AK748" i="8" s="1"/>
  <c r="AK749" i="8" s="1"/>
  <c r="AK750" i="8" s="1"/>
  <c r="AK751" i="8" s="1"/>
  <c r="AK752" i="8" s="1"/>
  <c r="AK753" i="8" s="1"/>
  <c r="AK754" i="8" s="1"/>
  <c r="AK755" i="8" s="1"/>
  <c r="AK756" i="8" s="1"/>
  <c r="AK757" i="8" s="1"/>
  <c r="AK758" i="8" s="1"/>
  <c r="AK759" i="8" s="1"/>
  <c r="AK760" i="8" s="1"/>
  <c r="AK761" i="8" s="1"/>
  <c r="AK762" i="8" s="1"/>
  <c r="AK763" i="8" s="1"/>
  <c r="AK764" i="8" s="1"/>
  <c r="AK765" i="8" s="1"/>
  <c r="AK766" i="8" s="1"/>
  <c r="AK767" i="8" s="1"/>
  <c r="AK768" i="8" s="1"/>
  <c r="AK769" i="8" s="1"/>
  <c r="AK770" i="8" s="1"/>
  <c r="AK771" i="8" s="1"/>
  <c r="AK772" i="8" s="1"/>
  <c r="AK773" i="8" s="1"/>
  <c r="AK774" i="8" s="1"/>
  <c r="AK775" i="8" s="1"/>
  <c r="AK776" i="8" s="1"/>
  <c r="AK777" i="8" s="1"/>
  <c r="AK778" i="8" s="1"/>
  <c r="AK779" i="8" s="1"/>
  <c r="AK780" i="8" s="1"/>
  <c r="AK781" i="8" s="1"/>
  <c r="AK782" i="8" s="1"/>
  <c r="AK783" i="8" s="1"/>
  <c r="AK784" i="8" s="1"/>
  <c r="AK785" i="8" s="1"/>
  <c r="AK786" i="8" s="1"/>
  <c r="AK787" i="8" s="1"/>
  <c r="AK788" i="8" s="1"/>
  <c r="AK789" i="8" s="1"/>
  <c r="AK790" i="8" s="1"/>
  <c r="AK791" i="8" s="1"/>
  <c r="AK792" i="8" s="1"/>
  <c r="AK793" i="8" s="1"/>
  <c r="AK794" i="8" s="1"/>
  <c r="AK795" i="8" s="1"/>
  <c r="AK796" i="8" s="1"/>
  <c r="AK797" i="8" s="1"/>
  <c r="AK798" i="8" s="1"/>
  <c r="AK799" i="8" s="1"/>
  <c r="AK800" i="8" s="1"/>
  <c r="AK801" i="8" s="1"/>
  <c r="AK802" i="8" s="1"/>
  <c r="AK803" i="8" s="1"/>
  <c r="AK804" i="8" s="1"/>
  <c r="AK805" i="8" s="1"/>
  <c r="AK806" i="8" s="1"/>
  <c r="AK807" i="8" s="1"/>
  <c r="AK808" i="8" s="1"/>
  <c r="AK809" i="8" s="1"/>
  <c r="AK810" i="8" s="1"/>
  <c r="AK811" i="8" s="1"/>
  <c r="AK812" i="8" s="1"/>
  <c r="AK813" i="8" s="1"/>
  <c r="AK814" i="8" s="1"/>
  <c r="AK815" i="8" s="1"/>
  <c r="AK816" i="8" s="1"/>
  <c r="AK817" i="8" s="1"/>
  <c r="AK818" i="8" s="1"/>
  <c r="AK819" i="8" s="1"/>
  <c r="AK820" i="8" s="1"/>
  <c r="AK821" i="8" s="1"/>
  <c r="AK822" i="8" s="1"/>
  <c r="AK823" i="8" s="1"/>
  <c r="AK824" i="8" s="1"/>
  <c r="AK825" i="8" s="1"/>
  <c r="AK826" i="8" s="1"/>
  <c r="AK827" i="8" s="1"/>
  <c r="AK828" i="8" s="1"/>
  <c r="AK829" i="8" s="1"/>
  <c r="AK830" i="8" s="1"/>
  <c r="AK831" i="8" s="1"/>
  <c r="AK832" i="8" s="1"/>
  <c r="AK833" i="8" s="1"/>
  <c r="AK834" i="8" s="1"/>
  <c r="AK835" i="8" s="1"/>
  <c r="AK836" i="8" s="1"/>
  <c r="AK837" i="8" s="1"/>
  <c r="AK838" i="8" s="1"/>
  <c r="AK839" i="8" s="1"/>
  <c r="AK840" i="8" s="1"/>
  <c r="AK841" i="8" s="1"/>
  <c r="AK842" i="8" s="1"/>
  <c r="AK843" i="8" s="1"/>
  <c r="AK844" i="8" s="1"/>
  <c r="AK845" i="8" s="1"/>
  <c r="AK846" i="8" s="1"/>
  <c r="AK847" i="8" s="1"/>
  <c r="AK848" i="8" s="1"/>
  <c r="AK849" i="8" s="1"/>
  <c r="AK850" i="8" s="1"/>
  <c r="AK851" i="8" s="1"/>
  <c r="AK852" i="8" s="1"/>
  <c r="AK853" i="8" s="1"/>
  <c r="AK854" i="8" s="1"/>
  <c r="AK855" i="8" s="1"/>
  <c r="AK856" i="8" s="1"/>
  <c r="AK857" i="8" s="1"/>
  <c r="AK858" i="8" s="1"/>
  <c r="AK859" i="8" s="1"/>
  <c r="AK860" i="8" s="1"/>
  <c r="AK861" i="8" s="1"/>
  <c r="AK862" i="8" s="1"/>
  <c r="AK863" i="8" s="1"/>
  <c r="AK864" i="8" s="1"/>
  <c r="AK865" i="8" s="1"/>
  <c r="AK866" i="8" s="1"/>
  <c r="AK867" i="8" s="1"/>
  <c r="AK868" i="8" s="1"/>
  <c r="AK869" i="8" s="1"/>
  <c r="AK870" i="8" s="1"/>
  <c r="AK871" i="8" s="1"/>
  <c r="AK872" i="8" s="1"/>
  <c r="AK873" i="8" s="1"/>
  <c r="AK874" i="8" s="1"/>
  <c r="AK875" i="8" s="1"/>
  <c r="AK876" i="8" s="1"/>
  <c r="AK877" i="8" s="1"/>
  <c r="AK878" i="8" s="1"/>
  <c r="AK879" i="8" s="1"/>
  <c r="AK880" i="8" s="1"/>
  <c r="AK881" i="8" s="1"/>
  <c r="AK882" i="8" s="1"/>
  <c r="AK883" i="8" s="1"/>
  <c r="AK884" i="8" s="1"/>
  <c r="AK885" i="8" s="1"/>
  <c r="AK886" i="8" s="1"/>
  <c r="AK887" i="8" s="1"/>
  <c r="AK888" i="8" s="1"/>
  <c r="AK889" i="8" s="1"/>
  <c r="AK890" i="8" s="1"/>
  <c r="AK891" i="8" s="1"/>
  <c r="AK892" i="8" s="1"/>
  <c r="AK893" i="8" s="1"/>
  <c r="AK894" i="8" s="1"/>
  <c r="AK895" i="8" s="1"/>
  <c r="AK896" i="8" s="1"/>
  <c r="AK897" i="8" s="1"/>
  <c r="AK898" i="8" s="1"/>
  <c r="AK899" i="8" s="1"/>
  <c r="AK900" i="8" s="1"/>
  <c r="AK901" i="8" s="1"/>
  <c r="AK902" i="8" s="1"/>
  <c r="AK903" i="8" s="1"/>
  <c r="AK904" i="8" s="1"/>
  <c r="AK905" i="8" s="1"/>
  <c r="AK906" i="8" s="1"/>
  <c r="AK907" i="8" s="1"/>
  <c r="AK908" i="8" s="1"/>
  <c r="AK909" i="8" s="1"/>
  <c r="AK910" i="8" s="1"/>
  <c r="AK911" i="8" s="1"/>
  <c r="AK912" i="8" s="1"/>
  <c r="AK913" i="8" s="1"/>
  <c r="AK914" i="8" s="1"/>
  <c r="AK915" i="8" s="1"/>
  <c r="AK916" i="8" s="1"/>
  <c r="AK917" i="8" s="1"/>
  <c r="AK918" i="8" s="1"/>
  <c r="AK919" i="8" s="1"/>
  <c r="AK920" i="8" s="1"/>
  <c r="AK921" i="8" s="1"/>
  <c r="AK922" i="8" s="1"/>
  <c r="AK923" i="8" s="1"/>
  <c r="AK924" i="8" s="1"/>
  <c r="AK925" i="8" s="1"/>
  <c r="AK926" i="8" s="1"/>
  <c r="AK927" i="8" s="1"/>
  <c r="AK928" i="8" s="1"/>
  <c r="AK929" i="8" s="1"/>
  <c r="AK930" i="8" s="1"/>
  <c r="AK931" i="8" s="1"/>
  <c r="AK932" i="8" s="1"/>
  <c r="AK933" i="8" s="1"/>
  <c r="AK934" i="8" s="1"/>
  <c r="AK935" i="8" s="1"/>
  <c r="AK936" i="8" s="1"/>
  <c r="AK937" i="8" s="1"/>
  <c r="AK938" i="8" s="1"/>
  <c r="AK939" i="8" s="1"/>
  <c r="AK940" i="8" s="1"/>
  <c r="AK941" i="8" s="1"/>
  <c r="AK942" i="8" s="1"/>
  <c r="AK943" i="8" s="1"/>
  <c r="AK944" i="8" s="1"/>
  <c r="AK945" i="8" s="1"/>
  <c r="AK946" i="8" s="1"/>
  <c r="AK947" i="8" s="1"/>
  <c r="AK948" i="8" s="1"/>
  <c r="AK949" i="8" s="1"/>
  <c r="AK950" i="8" s="1"/>
  <c r="AK951" i="8" s="1"/>
  <c r="AK952" i="8" s="1"/>
  <c r="AK953" i="8" s="1"/>
  <c r="AK954" i="8" s="1"/>
  <c r="AK955" i="8" s="1"/>
  <c r="AK956" i="8" s="1"/>
  <c r="AK957" i="8" s="1"/>
  <c r="AK958" i="8" s="1"/>
  <c r="AK959" i="8" s="1"/>
  <c r="AK960" i="8" s="1"/>
  <c r="AK961" i="8" s="1"/>
  <c r="AK962" i="8" s="1"/>
  <c r="AK963" i="8" s="1"/>
  <c r="AK964" i="8" s="1"/>
  <c r="AK965" i="8" s="1"/>
  <c r="AK966" i="8" s="1"/>
  <c r="AK967" i="8" s="1"/>
  <c r="AK968" i="8" s="1"/>
  <c r="AK969" i="8" s="1"/>
  <c r="AK970" i="8" s="1"/>
  <c r="AK971" i="8" s="1"/>
  <c r="AK972" i="8" s="1"/>
  <c r="AK973" i="8" s="1"/>
  <c r="AK974" i="8" s="1"/>
  <c r="AK975" i="8" s="1"/>
  <c r="AK976" i="8" s="1"/>
  <c r="AK977" i="8" s="1"/>
  <c r="AK978" i="8" s="1"/>
  <c r="AK979" i="8" s="1"/>
  <c r="AK980" i="8" s="1"/>
  <c r="AK981" i="8" s="1"/>
  <c r="AK982" i="8" s="1"/>
  <c r="AK983" i="8" s="1"/>
  <c r="AK984" i="8" s="1"/>
  <c r="AK985" i="8" s="1"/>
  <c r="AK986" i="8" s="1"/>
  <c r="AK987" i="8" s="1"/>
  <c r="AK988" i="8" s="1"/>
  <c r="AK989" i="8" s="1"/>
  <c r="AK990" i="8" s="1"/>
  <c r="AK991" i="8" s="1"/>
  <c r="AK992" i="8" s="1"/>
  <c r="AK993" i="8" s="1"/>
  <c r="AK994" i="8" s="1"/>
  <c r="AK995" i="8" s="1"/>
  <c r="AK996" i="8" s="1"/>
  <c r="AK997" i="8" s="1"/>
  <c r="AK998" i="8" s="1"/>
  <c r="AK999" i="8" s="1"/>
  <c r="AK1000" i="8" s="1"/>
  <c r="AK1001" i="8" s="1"/>
  <c r="AK1002" i="8" s="1"/>
  <c r="AK1003" i="8" s="1"/>
  <c r="AK1004" i="8" s="1"/>
  <c r="AK1005" i="8" s="1"/>
  <c r="AK1006" i="8" s="1"/>
  <c r="AK1007" i="8" s="1"/>
  <c r="AK1008" i="8" s="1"/>
  <c r="AK1009" i="8" s="1"/>
  <c r="AK1010" i="8" s="1"/>
  <c r="AK1011" i="8" s="1"/>
  <c r="AK1012" i="8" s="1"/>
  <c r="AK1013" i="8" s="1"/>
  <c r="AK1014" i="8" s="1"/>
  <c r="AK1015" i="8" s="1"/>
  <c r="AK1016" i="8" s="1"/>
  <c r="AK1017" i="8" s="1"/>
  <c r="AK1018" i="8" s="1"/>
  <c r="AK1019" i="8" s="1"/>
  <c r="AK1020" i="8" s="1"/>
  <c r="AK1021" i="8" s="1"/>
  <c r="AK1022" i="8" s="1"/>
  <c r="AK1023" i="8" s="1"/>
  <c r="AK1024" i="8" s="1"/>
  <c r="AK1025" i="8" s="1"/>
  <c r="AK1026" i="8" s="1"/>
  <c r="AK1027" i="8" s="1"/>
  <c r="AK1028" i="8" s="1"/>
  <c r="AK1029" i="8" s="1"/>
  <c r="AK1030" i="8" s="1"/>
  <c r="AK1031" i="8" s="1"/>
  <c r="AK1032" i="8" s="1"/>
  <c r="AK1033" i="8" s="1"/>
  <c r="AK1034" i="8" s="1"/>
  <c r="AK1035" i="8" s="1"/>
  <c r="AK1036" i="8" s="1"/>
  <c r="AK1037" i="8" s="1"/>
  <c r="AK1038" i="8" s="1"/>
  <c r="AK1039" i="8" s="1"/>
  <c r="AK1040" i="8" s="1"/>
  <c r="AK1041" i="8" s="1"/>
  <c r="AK1042" i="8" s="1"/>
  <c r="AK1043" i="8" s="1"/>
  <c r="AK1044" i="8" s="1"/>
  <c r="AK1045" i="8" s="1"/>
  <c r="AK1046" i="8" s="1"/>
  <c r="AK1047" i="8" s="1"/>
  <c r="AK1048" i="8" s="1"/>
  <c r="AK1049" i="8" s="1"/>
  <c r="AK1050" i="8" s="1"/>
  <c r="AK1051" i="8" s="1"/>
  <c r="AK1052" i="8" s="1"/>
  <c r="AK1053" i="8" s="1"/>
  <c r="AK1054" i="8" s="1"/>
  <c r="AK1055" i="8" s="1"/>
  <c r="AK1056" i="8" s="1"/>
  <c r="AK1057" i="8" s="1"/>
  <c r="AK1058" i="8" s="1"/>
  <c r="AK1059" i="8" s="1"/>
  <c r="AK1060" i="8" s="1"/>
  <c r="AB2" i="8"/>
  <c r="AB1" i="8"/>
  <c r="AA2" i="8"/>
  <c r="AA3" i="8" s="1"/>
  <c r="AA4" i="8" s="1"/>
  <c r="AA5" i="8" s="1"/>
  <c r="AA6" i="8" s="1"/>
  <c r="AA7" i="8" s="1"/>
  <c r="AA8" i="8" s="1"/>
  <c r="AA9" i="8" s="1"/>
  <c r="AA10" i="8" s="1"/>
  <c r="AA11" i="8" s="1"/>
  <c r="AA12" i="8" s="1"/>
  <c r="AA13" i="8" s="1"/>
  <c r="AA14" i="8" s="1"/>
  <c r="AA15" i="8" s="1"/>
  <c r="AA16" i="8" s="1"/>
  <c r="AA17" i="8" s="1"/>
  <c r="AA18" i="8" s="1"/>
  <c r="AA19" i="8" s="1"/>
  <c r="AA20" i="8" s="1"/>
  <c r="AA21" i="8" s="1"/>
  <c r="AA22" i="8" s="1"/>
  <c r="AA23" i="8" s="1"/>
  <c r="AA24" i="8" s="1"/>
  <c r="AA25" i="8" s="1"/>
  <c r="AA26" i="8" s="1"/>
  <c r="AA27" i="8" s="1"/>
  <c r="AA28" i="8" s="1"/>
  <c r="AA29" i="8" s="1"/>
  <c r="AA30" i="8" s="1"/>
  <c r="AA31" i="8" s="1"/>
  <c r="AA32" i="8" s="1"/>
  <c r="AA33" i="8" s="1"/>
  <c r="AA34" i="8" s="1"/>
  <c r="AA35" i="8" s="1"/>
  <c r="AA36" i="8" s="1"/>
  <c r="AA37" i="8" s="1"/>
  <c r="AA38" i="8" s="1"/>
  <c r="AA39" i="8" s="1"/>
  <c r="AA40" i="8" s="1"/>
  <c r="AA41" i="8" s="1"/>
  <c r="AA42" i="8" s="1"/>
  <c r="AA43" i="8" s="1"/>
  <c r="AA44" i="8" s="1"/>
  <c r="AA45" i="8" s="1"/>
  <c r="AA46" i="8" s="1"/>
  <c r="AA47" i="8" s="1"/>
  <c r="AA48" i="8" s="1"/>
  <c r="AA49" i="8" s="1"/>
  <c r="AA50" i="8" s="1"/>
  <c r="AA51" i="8" s="1"/>
  <c r="AA52" i="8" s="1"/>
  <c r="AA53" i="8" s="1"/>
  <c r="AA54" i="8" s="1"/>
  <c r="AA55" i="8" s="1"/>
  <c r="AA56" i="8" s="1"/>
  <c r="AA57" i="8" s="1"/>
  <c r="AA58" i="8" s="1"/>
  <c r="AA59" i="8" s="1"/>
  <c r="AA60" i="8" s="1"/>
  <c r="AA61" i="8" s="1"/>
  <c r="AA62" i="8" s="1"/>
  <c r="AA63" i="8" s="1"/>
  <c r="AA64" i="8" s="1"/>
  <c r="AA65" i="8" s="1"/>
  <c r="AA66" i="8" s="1"/>
  <c r="AA67" i="8" s="1"/>
  <c r="AA68" i="8" s="1"/>
  <c r="AA69" i="8" s="1"/>
  <c r="AA70" i="8" s="1"/>
  <c r="AA71" i="8" s="1"/>
  <c r="AA72" i="8" s="1"/>
  <c r="AA73" i="8" s="1"/>
  <c r="AA74" i="8" s="1"/>
  <c r="AA75" i="8" s="1"/>
  <c r="AA76" i="8" s="1"/>
  <c r="AA77" i="8" s="1"/>
  <c r="AA78" i="8" s="1"/>
  <c r="AA79" i="8" s="1"/>
  <c r="AA80" i="8" s="1"/>
  <c r="AA81" i="8" s="1"/>
  <c r="AA82" i="8" s="1"/>
  <c r="AA83" i="8" s="1"/>
  <c r="AA84" i="8" s="1"/>
  <c r="AA85" i="8" s="1"/>
  <c r="AA86" i="8" s="1"/>
  <c r="AA87" i="8" s="1"/>
  <c r="AA88" i="8" s="1"/>
  <c r="AA89" i="8" s="1"/>
  <c r="AA90" i="8" s="1"/>
  <c r="AA91" i="8" s="1"/>
  <c r="AA92" i="8" s="1"/>
  <c r="AA93" i="8" s="1"/>
  <c r="AA94" i="8" s="1"/>
  <c r="AA95" i="8" s="1"/>
  <c r="AA96" i="8" s="1"/>
  <c r="AA97" i="8" s="1"/>
  <c r="AA98" i="8" s="1"/>
  <c r="AA99" i="8" s="1"/>
  <c r="AA100" i="8" s="1"/>
  <c r="AA101" i="8" s="1"/>
  <c r="AA102" i="8" s="1"/>
  <c r="AA103" i="8" s="1"/>
  <c r="AA104" i="8" s="1"/>
  <c r="AA105" i="8" s="1"/>
  <c r="AA106" i="8" s="1"/>
  <c r="AA107" i="8" s="1"/>
  <c r="AA108" i="8" s="1"/>
  <c r="AA109" i="8" s="1"/>
  <c r="AA110" i="8" s="1"/>
  <c r="AA111" i="8" s="1"/>
  <c r="AA112" i="8" s="1"/>
  <c r="AA113" i="8" s="1"/>
  <c r="AA114" i="8" s="1"/>
  <c r="AA115" i="8" s="1"/>
  <c r="AA116" i="8" s="1"/>
  <c r="AA117" i="8" s="1"/>
  <c r="AA118" i="8" s="1"/>
  <c r="AA119" i="8" s="1"/>
  <c r="AA120" i="8" s="1"/>
  <c r="AA121" i="8" s="1"/>
  <c r="AA122" i="8" s="1"/>
  <c r="AA123" i="8" s="1"/>
  <c r="AA124" i="8" s="1"/>
  <c r="AA125" i="8" s="1"/>
  <c r="AA126" i="8" s="1"/>
  <c r="AA127" i="8" s="1"/>
  <c r="AA128" i="8" s="1"/>
  <c r="AA129" i="8" s="1"/>
  <c r="AA130" i="8" s="1"/>
  <c r="AA131" i="8" s="1"/>
  <c r="AA132" i="8" s="1"/>
  <c r="AA133" i="8" s="1"/>
  <c r="AA134" i="8" s="1"/>
  <c r="AA135" i="8" s="1"/>
  <c r="AA136" i="8" s="1"/>
  <c r="AA137" i="8" s="1"/>
  <c r="AA138" i="8" s="1"/>
  <c r="AA139" i="8" s="1"/>
  <c r="AA140" i="8" s="1"/>
  <c r="AA141" i="8" s="1"/>
  <c r="AA142" i="8" s="1"/>
  <c r="AA143" i="8" s="1"/>
  <c r="AA144" i="8" s="1"/>
  <c r="AA145" i="8" s="1"/>
  <c r="AA146" i="8" s="1"/>
  <c r="AA147" i="8" s="1"/>
  <c r="AA148" i="8" s="1"/>
  <c r="AA149" i="8" s="1"/>
  <c r="AA150" i="8" s="1"/>
  <c r="AA151" i="8" s="1"/>
  <c r="AA152" i="8" s="1"/>
  <c r="AA153" i="8" s="1"/>
  <c r="AA154" i="8" s="1"/>
  <c r="AA155" i="8" s="1"/>
  <c r="AA156" i="8" s="1"/>
  <c r="AA157" i="8" s="1"/>
  <c r="AA158" i="8" s="1"/>
  <c r="AA159" i="8" s="1"/>
  <c r="AA160" i="8" s="1"/>
  <c r="AA161" i="8" s="1"/>
  <c r="AA162" i="8" s="1"/>
  <c r="AA163" i="8" s="1"/>
  <c r="AA164" i="8" s="1"/>
  <c r="AA165" i="8" s="1"/>
  <c r="AA166" i="8" s="1"/>
  <c r="AA167" i="8" s="1"/>
  <c r="AA168" i="8" s="1"/>
  <c r="AA169" i="8" s="1"/>
  <c r="AA170" i="8" s="1"/>
  <c r="AA171" i="8" s="1"/>
  <c r="AA172" i="8" s="1"/>
  <c r="AA173" i="8" s="1"/>
  <c r="AA174" i="8" s="1"/>
  <c r="AA175" i="8" s="1"/>
  <c r="AA176" i="8" s="1"/>
  <c r="AA177" i="8" s="1"/>
  <c r="AA178" i="8" s="1"/>
  <c r="AA179" i="8" s="1"/>
  <c r="AA180" i="8" s="1"/>
  <c r="AA181" i="8" s="1"/>
  <c r="AA182" i="8" s="1"/>
  <c r="AA183" i="8" s="1"/>
  <c r="AA184" i="8" s="1"/>
  <c r="AA185" i="8" s="1"/>
  <c r="AA186" i="8" s="1"/>
  <c r="AA187" i="8" s="1"/>
  <c r="AA188" i="8" s="1"/>
  <c r="AA189" i="8" s="1"/>
  <c r="AA190" i="8" s="1"/>
  <c r="AA191" i="8" s="1"/>
  <c r="AA192" i="8" s="1"/>
  <c r="AA193" i="8" s="1"/>
  <c r="AA194" i="8" s="1"/>
  <c r="AA195" i="8" s="1"/>
  <c r="AA196" i="8" s="1"/>
  <c r="AA197" i="8" s="1"/>
  <c r="AA198" i="8" s="1"/>
  <c r="AA199" i="8" s="1"/>
  <c r="AA200" i="8" s="1"/>
  <c r="AA201" i="8" s="1"/>
  <c r="AA202" i="8" s="1"/>
  <c r="AA203" i="8" s="1"/>
  <c r="AA204" i="8" s="1"/>
  <c r="AA205" i="8" s="1"/>
  <c r="AA206" i="8" s="1"/>
  <c r="AA207" i="8" s="1"/>
  <c r="AA208" i="8" s="1"/>
  <c r="AA209" i="8" s="1"/>
  <c r="AA210" i="8" s="1"/>
  <c r="AA211" i="8" s="1"/>
  <c r="AA212" i="8" s="1"/>
  <c r="AA213" i="8" s="1"/>
  <c r="AA214" i="8" s="1"/>
  <c r="AA215" i="8" s="1"/>
  <c r="AA216" i="8" s="1"/>
  <c r="AA217" i="8" s="1"/>
  <c r="AA218" i="8" s="1"/>
  <c r="AA219" i="8" s="1"/>
  <c r="AA220" i="8" s="1"/>
  <c r="AA221" i="8" s="1"/>
  <c r="AA222" i="8" s="1"/>
  <c r="AA223" i="8" s="1"/>
  <c r="AA224" i="8" s="1"/>
  <c r="AA225" i="8" s="1"/>
  <c r="AA226" i="8" s="1"/>
  <c r="AA227" i="8" s="1"/>
  <c r="AA228" i="8" s="1"/>
  <c r="AA229" i="8" s="1"/>
  <c r="AA230" i="8" s="1"/>
  <c r="AA231" i="8" s="1"/>
  <c r="AA232" i="8" s="1"/>
  <c r="AA233" i="8" s="1"/>
  <c r="AA234" i="8" s="1"/>
  <c r="AA235" i="8" s="1"/>
  <c r="AA236" i="8" s="1"/>
  <c r="AA237" i="8" s="1"/>
  <c r="AA238" i="8" s="1"/>
  <c r="AA239" i="8" s="1"/>
  <c r="AA240" i="8" s="1"/>
  <c r="AA241" i="8" s="1"/>
  <c r="AA242" i="8" s="1"/>
  <c r="AA243" i="8" s="1"/>
  <c r="AA244" i="8" s="1"/>
  <c r="AA245" i="8" s="1"/>
  <c r="AA246" i="8" s="1"/>
  <c r="AA247" i="8" s="1"/>
  <c r="AA248" i="8" s="1"/>
  <c r="AA249" i="8" s="1"/>
  <c r="AA250" i="8" s="1"/>
  <c r="AA251" i="8" s="1"/>
  <c r="AA252" i="8" s="1"/>
  <c r="AA253" i="8" s="1"/>
  <c r="AA254" i="8" s="1"/>
  <c r="AA255" i="8" s="1"/>
  <c r="AA256" i="8" s="1"/>
  <c r="AA257" i="8" s="1"/>
  <c r="AA258" i="8" s="1"/>
  <c r="AA259" i="8" s="1"/>
  <c r="AA260" i="8" s="1"/>
  <c r="AA261" i="8" s="1"/>
  <c r="AA262" i="8" s="1"/>
  <c r="AA263" i="8" s="1"/>
  <c r="AA264" i="8" s="1"/>
  <c r="AA265" i="8" s="1"/>
  <c r="AA266" i="8" s="1"/>
  <c r="AA267" i="8" s="1"/>
  <c r="AA268" i="8" s="1"/>
  <c r="AA269" i="8" s="1"/>
  <c r="AA270" i="8" s="1"/>
  <c r="AA271" i="8" s="1"/>
  <c r="AA272" i="8" s="1"/>
  <c r="AA273" i="8" s="1"/>
  <c r="AA274" i="8" s="1"/>
  <c r="AA275" i="8" s="1"/>
  <c r="AA276" i="8" s="1"/>
  <c r="AA277" i="8" s="1"/>
  <c r="AA278" i="8" s="1"/>
  <c r="AA279" i="8" s="1"/>
  <c r="AA280" i="8" s="1"/>
  <c r="AA281" i="8" s="1"/>
  <c r="AA282" i="8" s="1"/>
  <c r="AA283" i="8" s="1"/>
  <c r="AA284" i="8" s="1"/>
  <c r="AA285" i="8" s="1"/>
  <c r="AA286" i="8" s="1"/>
  <c r="AA287" i="8" s="1"/>
  <c r="AA288" i="8" s="1"/>
  <c r="AA289" i="8" s="1"/>
  <c r="AA290" i="8" s="1"/>
  <c r="AA291" i="8" s="1"/>
  <c r="AA292" i="8" s="1"/>
  <c r="AA293" i="8" s="1"/>
  <c r="AA294" i="8" s="1"/>
  <c r="AA295" i="8" s="1"/>
  <c r="AA296" i="8" s="1"/>
  <c r="AA297" i="8" s="1"/>
  <c r="AA298" i="8" s="1"/>
  <c r="AA299" i="8" s="1"/>
  <c r="AA300" i="8" s="1"/>
  <c r="AA301" i="8" s="1"/>
  <c r="AA302" i="8" s="1"/>
  <c r="AA303" i="8" s="1"/>
  <c r="AA304" i="8" s="1"/>
  <c r="AA305" i="8" s="1"/>
  <c r="AA306" i="8" s="1"/>
  <c r="AA307" i="8" s="1"/>
  <c r="AA308" i="8" s="1"/>
  <c r="AA309" i="8" s="1"/>
  <c r="AA310" i="8" s="1"/>
  <c r="AA311" i="8" s="1"/>
  <c r="AA312" i="8" s="1"/>
  <c r="AA313" i="8" s="1"/>
  <c r="AA314" i="8" s="1"/>
  <c r="AA315" i="8" s="1"/>
  <c r="AA316" i="8" s="1"/>
  <c r="AA317" i="8" s="1"/>
  <c r="AA318" i="8" s="1"/>
  <c r="AA319" i="8" s="1"/>
  <c r="AA320" i="8" s="1"/>
  <c r="AA321" i="8" s="1"/>
  <c r="AA322" i="8" s="1"/>
  <c r="AA323" i="8" s="1"/>
  <c r="AA324" i="8" s="1"/>
  <c r="AA325" i="8" s="1"/>
  <c r="AA326" i="8" s="1"/>
  <c r="AA327" i="8" s="1"/>
  <c r="AA328" i="8" s="1"/>
  <c r="AA329" i="8" s="1"/>
  <c r="AA330" i="8" s="1"/>
  <c r="AA331" i="8" s="1"/>
  <c r="AA332" i="8" s="1"/>
  <c r="AA333" i="8" s="1"/>
  <c r="AA334" i="8" s="1"/>
  <c r="AA335" i="8" s="1"/>
  <c r="AA336" i="8" s="1"/>
  <c r="AA337" i="8" s="1"/>
  <c r="AA338" i="8" s="1"/>
  <c r="AA339" i="8" s="1"/>
  <c r="AA340" i="8" s="1"/>
  <c r="AA341" i="8" s="1"/>
  <c r="AA342" i="8" s="1"/>
  <c r="AA343" i="8" s="1"/>
  <c r="AA344" i="8" s="1"/>
  <c r="AA345" i="8" s="1"/>
  <c r="AA346" i="8" s="1"/>
  <c r="AA347" i="8" s="1"/>
  <c r="AA348" i="8" s="1"/>
  <c r="AA349" i="8" s="1"/>
  <c r="AA350" i="8" s="1"/>
  <c r="AA351" i="8" s="1"/>
  <c r="AA352" i="8" s="1"/>
  <c r="AA353" i="8" s="1"/>
  <c r="AA354" i="8" s="1"/>
  <c r="AA355" i="8" s="1"/>
  <c r="AA356" i="8" s="1"/>
  <c r="AA357" i="8" s="1"/>
  <c r="AA358" i="8" s="1"/>
  <c r="AA359" i="8" s="1"/>
  <c r="AA360" i="8" s="1"/>
  <c r="AA361" i="8" s="1"/>
  <c r="AA362" i="8" s="1"/>
  <c r="AA363" i="8" s="1"/>
  <c r="AA364" i="8" s="1"/>
  <c r="AA365" i="8" s="1"/>
  <c r="AA366" i="8" s="1"/>
  <c r="AA367" i="8" s="1"/>
  <c r="AA368" i="8" s="1"/>
  <c r="AA369" i="8" s="1"/>
  <c r="AA370" i="8" s="1"/>
  <c r="AA371" i="8" s="1"/>
  <c r="AA372" i="8" s="1"/>
  <c r="AA373" i="8" s="1"/>
  <c r="AA374" i="8" s="1"/>
  <c r="AA375" i="8" s="1"/>
  <c r="AA376" i="8" s="1"/>
  <c r="AA377" i="8" s="1"/>
  <c r="AA378" i="8" s="1"/>
  <c r="AA379" i="8" s="1"/>
  <c r="AA380" i="8" s="1"/>
  <c r="AA381" i="8" s="1"/>
  <c r="AA382" i="8" s="1"/>
  <c r="AA383" i="8" s="1"/>
  <c r="AA384" i="8" s="1"/>
  <c r="AA385" i="8" s="1"/>
  <c r="AA386" i="8" s="1"/>
  <c r="AA387" i="8" s="1"/>
  <c r="AA388" i="8" s="1"/>
  <c r="AA389" i="8" s="1"/>
  <c r="AA390" i="8" s="1"/>
  <c r="AA391" i="8" s="1"/>
  <c r="AA392" i="8" s="1"/>
  <c r="AA393" i="8" s="1"/>
  <c r="AA394" i="8" s="1"/>
  <c r="AA395" i="8" s="1"/>
  <c r="AA396" i="8" s="1"/>
  <c r="AA397" i="8" s="1"/>
  <c r="AA398" i="8" s="1"/>
  <c r="AA399" i="8" s="1"/>
  <c r="AA400" i="8" s="1"/>
  <c r="AA401" i="8" s="1"/>
  <c r="AA402" i="8" s="1"/>
  <c r="AA403" i="8" s="1"/>
  <c r="AA404" i="8" s="1"/>
  <c r="AA405" i="8" s="1"/>
  <c r="AA406" i="8" s="1"/>
  <c r="AA407" i="8" s="1"/>
  <c r="AA408" i="8" s="1"/>
  <c r="AA409" i="8" s="1"/>
  <c r="AA410" i="8" s="1"/>
  <c r="AA411" i="8" s="1"/>
  <c r="AA412" i="8" s="1"/>
  <c r="AA413" i="8" s="1"/>
  <c r="AA414" i="8" s="1"/>
  <c r="AA415" i="8" s="1"/>
  <c r="AA416" i="8" s="1"/>
  <c r="AA417" i="8" s="1"/>
  <c r="AA418" i="8" s="1"/>
  <c r="AA419" i="8" s="1"/>
  <c r="AA420" i="8" s="1"/>
  <c r="AA421" i="8" s="1"/>
  <c r="AA422" i="8" s="1"/>
  <c r="AA423" i="8" s="1"/>
  <c r="AA424" i="8" s="1"/>
  <c r="AA425" i="8" s="1"/>
  <c r="AA426" i="8" s="1"/>
  <c r="AA427" i="8" s="1"/>
  <c r="AA428" i="8" s="1"/>
  <c r="AA429" i="8" s="1"/>
  <c r="AA430" i="8" s="1"/>
  <c r="AA431" i="8" s="1"/>
  <c r="AA432" i="8" s="1"/>
  <c r="AA433" i="8" s="1"/>
  <c r="AA434" i="8" s="1"/>
  <c r="AA435" i="8" s="1"/>
  <c r="AA436" i="8" s="1"/>
  <c r="AA437" i="8" s="1"/>
  <c r="AA438" i="8" s="1"/>
  <c r="AA439" i="8" s="1"/>
  <c r="AA440" i="8" s="1"/>
  <c r="AA441" i="8" s="1"/>
  <c r="AA442" i="8" s="1"/>
  <c r="AA443" i="8" s="1"/>
  <c r="AA444" i="8" s="1"/>
  <c r="AA445" i="8" s="1"/>
  <c r="AA446" i="8" s="1"/>
  <c r="AA447" i="8" s="1"/>
  <c r="AA448" i="8" s="1"/>
  <c r="AA449" i="8" s="1"/>
  <c r="AA450" i="8" s="1"/>
  <c r="AA451" i="8" s="1"/>
  <c r="AA452" i="8" s="1"/>
  <c r="AA453" i="8" s="1"/>
  <c r="AA454" i="8" s="1"/>
  <c r="AA455" i="8" s="1"/>
  <c r="AA456" i="8" s="1"/>
  <c r="AA457" i="8" s="1"/>
  <c r="AA458" i="8" s="1"/>
  <c r="AA459" i="8" s="1"/>
  <c r="AA460" i="8" s="1"/>
  <c r="AA461" i="8" s="1"/>
  <c r="AA462" i="8" s="1"/>
  <c r="AA463" i="8" s="1"/>
  <c r="AA464" i="8" s="1"/>
  <c r="AA465" i="8" s="1"/>
  <c r="AA466" i="8" s="1"/>
  <c r="AA467" i="8" s="1"/>
  <c r="AA468" i="8" s="1"/>
  <c r="AA469" i="8" s="1"/>
  <c r="AA470" i="8" s="1"/>
  <c r="AA471" i="8" s="1"/>
  <c r="AA472" i="8" s="1"/>
  <c r="AA473" i="8" s="1"/>
  <c r="AA474" i="8" s="1"/>
  <c r="AA475" i="8" s="1"/>
  <c r="AA476" i="8" s="1"/>
  <c r="AA477" i="8" s="1"/>
  <c r="AA478" i="8" s="1"/>
  <c r="AA479" i="8" s="1"/>
  <c r="AA480" i="8" s="1"/>
  <c r="AA481" i="8" s="1"/>
  <c r="AA482" i="8" s="1"/>
  <c r="AA483" i="8" s="1"/>
  <c r="AA484" i="8" s="1"/>
  <c r="AA485" i="8" s="1"/>
  <c r="AA486" i="8" s="1"/>
  <c r="AA487" i="8" s="1"/>
  <c r="AA488" i="8" s="1"/>
  <c r="AA489" i="8" s="1"/>
  <c r="AA490" i="8" s="1"/>
  <c r="AA491" i="8" s="1"/>
  <c r="AA492" i="8" s="1"/>
  <c r="AA493" i="8" s="1"/>
  <c r="AA494" i="8" s="1"/>
  <c r="AA495" i="8" s="1"/>
  <c r="AA496" i="8" s="1"/>
  <c r="AA497" i="8" s="1"/>
  <c r="AA498" i="8" s="1"/>
  <c r="AA499" i="8" s="1"/>
  <c r="AA500" i="8" s="1"/>
  <c r="AA501" i="8" s="1"/>
  <c r="AA502" i="8" s="1"/>
  <c r="AA503" i="8" s="1"/>
  <c r="AA504" i="8" s="1"/>
  <c r="AA505" i="8" s="1"/>
  <c r="AA506" i="8" s="1"/>
  <c r="AA507" i="8" s="1"/>
  <c r="AA508" i="8" s="1"/>
  <c r="AA509" i="8" s="1"/>
  <c r="AA510" i="8" s="1"/>
  <c r="AA511" i="8" s="1"/>
  <c r="AA512" i="8" s="1"/>
  <c r="AA513" i="8" s="1"/>
  <c r="AA514" i="8" s="1"/>
  <c r="AA515" i="8" s="1"/>
  <c r="AA516" i="8" s="1"/>
  <c r="AA517" i="8" s="1"/>
  <c r="AA518" i="8" s="1"/>
  <c r="AA519" i="8" s="1"/>
  <c r="AA520" i="8" s="1"/>
  <c r="AA521" i="8" s="1"/>
  <c r="AA522" i="8" s="1"/>
  <c r="AA523" i="8" s="1"/>
  <c r="AA524" i="8" s="1"/>
  <c r="AA525" i="8" s="1"/>
  <c r="AA526" i="8" s="1"/>
  <c r="AA527" i="8" s="1"/>
  <c r="AA528" i="8" s="1"/>
  <c r="AA529" i="8" s="1"/>
  <c r="AA530" i="8" s="1"/>
  <c r="AA531" i="8" s="1"/>
  <c r="AA532" i="8" s="1"/>
  <c r="AA533" i="8" s="1"/>
  <c r="AA534" i="8" s="1"/>
  <c r="AA535" i="8" s="1"/>
  <c r="AA536" i="8" s="1"/>
  <c r="AA537" i="8" s="1"/>
  <c r="AA538" i="8" s="1"/>
  <c r="AA539" i="8" s="1"/>
  <c r="AA540" i="8" s="1"/>
  <c r="AA541" i="8" s="1"/>
  <c r="AA542" i="8" s="1"/>
  <c r="AA543" i="8" s="1"/>
  <c r="AA544" i="8" s="1"/>
  <c r="AA545" i="8" s="1"/>
  <c r="AA546" i="8" s="1"/>
  <c r="AA547" i="8" s="1"/>
  <c r="AA548" i="8" s="1"/>
  <c r="AA549" i="8" s="1"/>
  <c r="AA550" i="8" s="1"/>
  <c r="AA551" i="8" s="1"/>
  <c r="AA552" i="8" s="1"/>
  <c r="AA553" i="8" s="1"/>
  <c r="AA554" i="8" s="1"/>
  <c r="AA555" i="8" s="1"/>
  <c r="AA556" i="8" s="1"/>
  <c r="AA557" i="8" s="1"/>
  <c r="AA558" i="8" s="1"/>
  <c r="AA559" i="8" s="1"/>
  <c r="AA560" i="8" s="1"/>
  <c r="AA561" i="8" s="1"/>
  <c r="AA562" i="8" s="1"/>
  <c r="AA563" i="8" s="1"/>
  <c r="AA564" i="8" s="1"/>
  <c r="AA565" i="8" s="1"/>
  <c r="AA566" i="8" s="1"/>
  <c r="AA567" i="8" s="1"/>
  <c r="AA568" i="8" s="1"/>
  <c r="AA569" i="8" s="1"/>
  <c r="AA570" i="8" s="1"/>
  <c r="AA571" i="8" s="1"/>
  <c r="AA572" i="8" s="1"/>
  <c r="AA573" i="8" s="1"/>
  <c r="AA574" i="8" s="1"/>
  <c r="AA575" i="8" s="1"/>
  <c r="AA576" i="8" s="1"/>
  <c r="AA577" i="8" s="1"/>
  <c r="AA578" i="8" s="1"/>
  <c r="AA579" i="8" s="1"/>
  <c r="AA580" i="8" s="1"/>
  <c r="AA581" i="8" s="1"/>
  <c r="AA582" i="8" s="1"/>
  <c r="AA583" i="8" s="1"/>
  <c r="AA584" i="8" s="1"/>
  <c r="AA585" i="8" s="1"/>
  <c r="AA586" i="8" s="1"/>
  <c r="AA587" i="8" s="1"/>
  <c r="AA588" i="8" s="1"/>
  <c r="AA589" i="8" s="1"/>
  <c r="AA590" i="8" s="1"/>
  <c r="AA591" i="8" s="1"/>
  <c r="AA592" i="8" s="1"/>
  <c r="AA593" i="8" s="1"/>
  <c r="AA594" i="8" s="1"/>
  <c r="AA595" i="8" s="1"/>
  <c r="AA596" i="8" s="1"/>
  <c r="AA597" i="8" s="1"/>
  <c r="AA598" i="8" s="1"/>
  <c r="AA599" i="8" s="1"/>
  <c r="AA600" i="8" s="1"/>
  <c r="AA601" i="8" s="1"/>
  <c r="AA602" i="8" s="1"/>
  <c r="AA603" i="8" s="1"/>
  <c r="AA604" i="8" s="1"/>
  <c r="AA605" i="8" s="1"/>
  <c r="AA606" i="8" s="1"/>
  <c r="AA607" i="8" s="1"/>
  <c r="AA608" i="8" s="1"/>
  <c r="AA609" i="8" s="1"/>
  <c r="AA610" i="8" s="1"/>
  <c r="AA611" i="8" s="1"/>
  <c r="AA612" i="8" s="1"/>
  <c r="AA613" i="8" s="1"/>
  <c r="AA614" i="8" s="1"/>
  <c r="AA615" i="8" s="1"/>
  <c r="AA616" i="8" s="1"/>
  <c r="AA617" i="8" s="1"/>
  <c r="AA618" i="8" s="1"/>
  <c r="AA619" i="8" s="1"/>
  <c r="AA620" i="8" s="1"/>
  <c r="AA621" i="8" s="1"/>
  <c r="AA622" i="8" s="1"/>
  <c r="AA623" i="8" s="1"/>
  <c r="AA624" i="8" s="1"/>
  <c r="AA625" i="8" s="1"/>
  <c r="AA626" i="8" s="1"/>
  <c r="AA627" i="8" s="1"/>
  <c r="AA628" i="8" s="1"/>
  <c r="AA629" i="8" s="1"/>
  <c r="AA630" i="8" s="1"/>
  <c r="AA631" i="8" s="1"/>
  <c r="AA632" i="8" s="1"/>
  <c r="AA633" i="8" s="1"/>
  <c r="AA634" i="8" s="1"/>
  <c r="AA635" i="8" s="1"/>
  <c r="AA636" i="8" s="1"/>
  <c r="AA637" i="8" s="1"/>
  <c r="AA638" i="8" s="1"/>
  <c r="AA639" i="8" s="1"/>
  <c r="AA640" i="8" s="1"/>
  <c r="AA641" i="8" s="1"/>
  <c r="AA642" i="8" s="1"/>
  <c r="AA643" i="8" s="1"/>
  <c r="AA644" i="8" s="1"/>
  <c r="AA645" i="8" s="1"/>
  <c r="AA646" i="8" s="1"/>
  <c r="AA647" i="8" s="1"/>
  <c r="AA648" i="8" s="1"/>
  <c r="AA649" i="8" s="1"/>
  <c r="AA650" i="8" s="1"/>
  <c r="AA651" i="8" s="1"/>
  <c r="AA652" i="8" s="1"/>
  <c r="AA653" i="8" s="1"/>
  <c r="AA654" i="8" s="1"/>
  <c r="AA655" i="8" s="1"/>
  <c r="AA656" i="8" s="1"/>
  <c r="AA657" i="8" s="1"/>
  <c r="AA658" i="8" s="1"/>
  <c r="AA659" i="8" s="1"/>
  <c r="AA660" i="8" s="1"/>
  <c r="AA661" i="8" s="1"/>
  <c r="AA662" i="8" s="1"/>
  <c r="AA663" i="8" s="1"/>
  <c r="AA664" i="8" s="1"/>
  <c r="AA665" i="8" s="1"/>
  <c r="AA666" i="8" s="1"/>
  <c r="AA667" i="8" s="1"/>
  <c r="AA668" i="8" s="1"/>
  <c r="AA669" i="8" s="1"/>
  <c r="AA670" i="8" s="1"/>
  <c r="AA671" i="8" s="1"/>
  <c r="AA672" i="8" s="1"/>
  <c r="AA673" i="8" s="1"/>
  <c r="AA674" i="8" s="1"/>
  <c r="AA675" i="8" s="1"/>
  <c r="AA676" i="8" s="1"/>
  <c r="AA677" i="8" s="1"/>
  <c r="AA678" i="8" s="1"/>
  <c r="AA679" i="8" s="1"/>
  <c r="AA680" i="8" s="1"/>
  <c r="AA681" i="8" s="1"/>
  <c r="AA682" i="8" s="1"/>
  <c r="AA683" i="8" s="1"/>
  <c r="AA684" i="8" s="1"/>
  <c r="AA685" i="8" s="1"/>
  <c r="AA686" i="8" s="1"/>
  <c r="AA687" i="8" s="1"/>
  <c r="AA688" i="8" s="1"/>
  <c r="AA689" i="8" s="1"/>
  <c r="AA690" i="8" s="1"/>
  <c r="AA691" i="8" s="1"/>
  <c r="AA692" i="8" s="1"/>
  <c r="AA693" i="8" s="1"/>
  <c r="AA694" i="8" s="1"/>
  <c r="AA695" i="8" s="1"/>
  <c r="AA696" i="8" s="1"/>
  <c r="AA697" i="8" s="1"/>
  <c r="AA698" i="8" s="1"/>
  <c r="AA699" i="8" s="1"/>
  <c r="AA700" i="8" s="1"/>
  <c r="AA701" i="8" s="1"/>
  <c r="AA702" i="8" s="1"/>
  <c r="AA703" i="8" s="1"/>
  <c r="AA704" i="8" s="1"/>
  <c r="AA705" i="8" s="1"/>
  <c r="AA706" i="8" s="1"/>
  <c r="AA707" i="8" s="1"/>
  <c r="AA708" i="8" s="1"/>
  <c r="AA709" i="8" s="1"/>
  <c r="AA710" i="8" s="1"/>
  <c r="AA711" i="8" s="1"/>
  <c r="AA712" i="8" s="1"/>
  <c r="AA713" i="8" s="1"/>
  <c r="AA714" i="8" s="1"/>
  <c r="AA715" i="8" s="1"/>
  <c r="AA716" i="8" s="1"/>
  <c r="AA717" i="8" s="1"/>
  <c r="AA718" i="8" s="1"/>
  <c r="AA719" i="8" s="1"/>
  <c r="AA720" i="8" s="1"/>
  <c r="AA721" i="8" s="1"/>
  <c r="AA722" i="8" s="1"/>
  <c r="AA723" i="8" s="1"/>
  <c r="AA724" i="8" s="1"/>
  <c r="AA725" i="8" s="1"/>
  <c r="AA726" i="8" s="1"/>
  <c r="AA727" i="8" s="1"/>
  <c r="AA728" i="8" s="1"/>
  <c r="AA729" i="8" s="1"/>
  <c r="AA730" i="8" s="1"/>
  <c r="AA731" i="8" s="1"/>
  <c r="AA732" i="8" s="1"/>
  <c r="AA733" i="8" s="1"/>
  <c r="AA734" i="8" s="1"/>
  <c r="AA735" i="8" s="1"/>
  <c r="AA736" i="8" s="1"/>
  <c r="AA737" i="8" s="1"/>
  <c r="AA738" i="8" s="1"/>
  <c r="AA739" i="8" s="1"/>
  <c r="AA740" i="8" s="1"/>
  <c r="AA741" i="8" s="1"/>
  <c r="AA742" i="8" s="1"/>
  <c r="AA743" i="8" s="1"/>
  <c r="AA744" i="8" s="1"/>
  <c r="AA745" i="8" s="1"/>
  <c r="AA746" i="8" s="1"/>
  <c r="AA747" i="8" s="1"/>
  <c r="AA748" i="8" s="1"/>
  <c r="AA749" i="8" s="1"/>
  <c r="AA750" i="8" s="1"/>
  <c r="AA751" i="8" s="1"/>
  <c r="AA752" i="8" s="1"/>
  <c r="AA753" i="8" s="1"/>
  <c r="AA754" i="8" s="1"/>
  <c r="AA755" i="8" s="1"/>
  <c r="AA756" i="8" s="1"/>
  <c r="AA757" i="8" s="1"/>
  <c r="AA758" i="8" s="1"/>
  <c r="AA759" i="8" s="1"/>
  <c r="AA760" i="8" s="1"/>
  <c r="AA761" i="8" s="1"/>
  <c r="AA762" i="8" s="1"/>
  <c r="AA763" i="8" s="1"/>
  <c r="AA764" i="8" s="1"/>
  <c r="AA765" i="8" s="1"/>
  <c r="AA766" i="8" s="1"/>
  <c r="AA767" i="8" s="1"/>
  <c r="AA768" i="8" s="1"/>
  <c r="AA769" i="8" s="1"/>
  <c r="AA770" i="8" s="1"/>
  <c r="AA771" i="8" s="1"/>
  <c r="AA772" i="8" s="1"/>
  <c r="AA773" i="8" s="1"/>
  <c r="AA774" i="8" s="1"/>
  <c r="AA775" i="8" s="1"/>
  <c r="AA776" i="8" s="1"/>
  <c r="AA777" i="8" s="1"/>
  <c r="AA778" i="8" s="1"/>
  <c r="AA779" i="8" s="1"/>
  <c r="AA780" i="8" s="1"/>
  <c r="AA781" i="8" s="1"/>
  <c r="AA782" i="8" s="1"/>
  <c r="AA783" i="8" s="1"/>
  <c r="AA784" i="8" s="1"/>
  <c r="AA785" i="8" s="1"/>
  <c r="AA786" i="8" s="1"/>
  <c r="AA787" i="8" s="1"/>
  <c r="AA788" i="8" s="1"/>
  <c r="AA789" i="8" s="1"/>
  <c r="AA790" i="8" s="1"/>
  <c r="AA791" i="8" s="1"/>
  <c r="AA792" i="8" s="1"/>
  <c r="AA793" i="8" s="1"/>
  <c r="AA794" i="8" s="1"/>
  <c r="AA795" i="8" s="1"/>
  <c r="AA796" i="8" s="1"/>
  <c r="AA797" i="8" s="1"/>
  <c r="AA798" i="8" s="1"/>
  <c r="AA799" i="8" s="1"/>
  <c r="AA800" i="8" s="1"/>
  <c r="AA801" i="8" s="1"/>
  <c r="AA802" i="8" s="1"/>
  <c r="AA803" i="8" s="1"/>
  <c r="AA804" i="8" s="1"/>
  <c r="AA805" i="8" s="1"/>
  <c r="AA806" i="8" s="1"/>
  <c r="AA807" i="8" s="1"/>
  <c r="AA808" i="8" s="1"/>
  <c r="AA809" i="8" s="1"/>
  <c r="AA810" i="8" s="1"/>
  <c r="AA811" i="8" s="1"/>
  <c r="AA812" i="8" s="1"/>
  <c r="AA813" i="8" s="1"/>
  <c r="AA814" i="8" s="1"/>
  <c r="AA815" i="8" s="1"/>
  <c r="AA816" i="8" s="1"/>
  <c r="AA817" i="8" s="1"/>
  <c r="AA818" i="8" s="1"/>
  <c r="AA819" i="8" s="1"/>
  <c r="AA820" i="8" s="1"/>
  <c r="AA821" i="8" s="1"/>
  <c r="AA822" i="8" s="1"/>
  <c r="AA823" i="8" s="1"/>
  <c r="AA824" i="8" s="1"/>
  <c r="AA825" i="8" s="1"/>
  <c r="AA826" i="8" s="1"/>
  <c r="AA827" i="8" s="1"/>
  <c r="AA828" i="8" s="1"/>
  <c r="AA829" i="8" s="1"/>
  <c r="AA830" i="8" s="1"/>
  <c r="AA831" i="8" s="1"/>
  <c r="AA832" i="8" s="1"/>
  <c r="AA833" i="8" s="1"/>
  <c r="AA834" i="8" s="1"/>
  <c r="AA835" i="8" s="1"/>
  <c r="AA836" i="8" s="1"/>
  <c r="AA837" i="8" s="1"/>
  <c r="AA838" i="8" s="1"/>
  <c r="AA839" i="8" s="1"/>
  <c r="AA840" i="8" s="1"/>
  <c r="AA841" i="8" s="1"/>
  <c r="AA842" i="8" s="1"/>
  <c r="AA843" i="8" s="1"/>
  <c r="AA844" i="8" s="1"/>
  <c r="AA845" i="8" s="1"/>
  <c r="AA846" i="8" s="1"/>
  <c r="AA847" i="8" s="1"/>
  <c r="AA848" i="8" s="1"/>
  <c r="AA849" i="8" s="1"/>
  <c r="AA850" i="8" s="1"/>
  <c r="AA851" i="8" s="1"/>
  <c r="AA852" i="8" s="1"/>
  <c r="AA853" i="8" s="1"/>
  <c r="AA854" i="8" s="1"/>
  <c r="AA855" i="8" s="1"/>
  <c r="AA856" i="8" s="1"/>
  <c r="AA857" i="8" s="1"/>
  <c r="AA858" i="8" s="1"/>
  <c r="AA859" i="8" s="1"/>
  <c r="AA860" i="8" s="1"/>
  <c r="AA861" i="8" s="1"/>
  <c r="AA862" i="8" s="1"/>
  <c r="AA863" i="8" s="1"/>
  <c r="AA864" i="8" s="1"/>
  <c r="AA865" i="8" s="1"/>
  <c r="AA866" i="8" s="1"/>
  <c r="AA867" i="8" s="1"/>
  <c r="AA868" i="8" s="1"/>
  <c r="AA869" i="8" s="1"/>
  <c r="AA870" i="8" s="1"/>
  <c r="AA871" i="8" s="1"/>
  <c r="AA872" i="8" s="1"/>
  <c r="AA873" i="8" s="1"/>
  <c r="AA874" i="8" s="1"/>
  <c r="AA875" i="8" s="1"/>
  <c r="AA876" i="8" s="1"/>
  <c r="AA877" i="8" s="1"/>
  <c r="AA878" i="8" s="1"/>
  <c r="AA879" i="8" s="1"/>
  <c r="AA880" i="8" s="1"/>
  <c r="AA881" i="8" s="1"/>
  <c r="AA882" i="8" s="1"/>
  <c r="AA883" i="8" s="1"/>
  <c r="AA884" i="8" s="1"/>
  <c r="AA885" i="8" s="1"/>
  <c r="AA886" i="8" s="1"/>
  <c r="AA887" i="8" s="1"/>
  <c r="AA888" i="8" s="1"/>
  <c r="AA889" i="8" s="1"/>
  <c r="AA890" i="8" s="1"/>
  <c r="AA891" i="8" s="1"/>
  <c r="AA892" i="8" s="1"/>
  <c r="AA893" i="8" s="1"/>
  <c r="AA894" i="8" s="1"/>
  <c r="AA895" i="8" s="1"/>
  <c r="AA896" i="8" s="1"/>
  <c r="AA897" i="8" s="1"/>
  <c r="AA898" i="8" s="1"/>
  <c r="AA899" i="8" s="1"/>
  <c r="AA900" i="8" s="1"/>
  <c r="AA901" i="8" s="1"/>
  <c r="AA902" i="8" s="1"/>
  <c r="AA903" i="8" s="1"/>
  <c r="AA904" i="8" s="1"/>
  <c r="AA905" i="8" s="1"/>
  <c r="AA906" i="8" s="1"/>
  <c r="AA907" i="8" s="1"/>
  <c r="AA908" i="8" s="1"/>
  <c r="AA909" i="8" s="1"/>
  <c r="AA910" i="8" s="1"/>
  <c r="AA911" i="8" s="1"/>
  <c r="AA912" i="8" s="1"/>
  <c r="AA913" i="8" s="1"/>
  <c r="AA914" i="8" s="1"/>
  <c r="AA915" i="8" s="1"/>
  <c r="AA916" i="8" s="1"/>
  <c r="AA917" i="8" s="1"/>
  <c r="AA918" i="8" s="1"/>
  <c r="AA919" i="8" s="1"/>
  <c r="AA920" i="8" s="1"/>
  <c r="AA921" i="8" s="1"/>
  <c r="AA922" i="8" s="1"/>
  <c r="AA923" i="8" s="1"/>
  <c r="AA924" i="8" s="1"/>
  <c r="AA925" i="8" s="1"/>
  <c r="AA926" i="8" s="1"/>
  <c r="AA927" i="8" s="1"/>
  <c r="AA928" i="8" s="1"/>
  <c r="AA929" i="8" s="1"/>
  <c r="AA930" i="8" s="1"/>
  <c r="AA931" i="8" s="1"/>
  <c r="AA932" i="8" s="1"/>
  <c r="AA933" i="8" s="1"/>
  <c r="AA934" i="8" s="1"/>
  <c r="AA935" i="8" s="1"/>
  <c r="AA936" i="8" s="1"/>
  <c r="AA937" i="8" s="1"/>
  <c r="AA938" i="8" s="1"/>
  <c r="AA939" i="8" s="1"/>
  <c r="AA940" i="8" s="1"/>
  <c r="AA941" i="8" s="1"/>
  <c r="AA942" i="8" s="1"/>
  <c r="AA943" i="8" s="1"/>
  <c r="AA944" i="8" s="1"/>
  <c r="AA945" i="8" s="1"/>
  <c r="AA946" i="8" s="1"/>
  <c r="AA947" i="8" s="1"/>
  <c r="AA948" i="8" s="1"/>
  <c r="AA949" i="8" s="1"/>
  <c r="AA950" i="8" s="1"/>
  <c r="AA951" i="8" s="1"/>
  <c r="AA952" i="8" s="1"/>
  <c r="AA953" i="8" s="1"/>
  <c r="AA954" i="8" s="1"/>
  <c r="AA955" i="8" s="1"/>
  <c r="AA956" i="8" s="1"/>
  <c r="AA957" i="8" s="1"/>
  <c r="AA958" i="8" s="1"/>
  <c r="AA959" i="8" s="1"/>
  <c r="AA960" i="8" s="1"/>
  <c r="AA961" i="8" s="1"/>
  <c r="AA962" i="8" s="1"/>
  <c r="AA963" i="8" s="1"/>
  <c r="AA964" i="8" s="1"/>
  <c r="AA965" i="8" s="1"/>
  <c r="AA966" i="8" s="1"/>
  <c r="AA967" i="8" s="1"/>
  <c r="AA968" i="8" s="1"/>
  <c r="AA969" i="8" s="1"/>
  <c r="AA970" i="8" s="1"/>
  <c r="AA971" i="8" s="1"/>
  <c r="AA972" i="8" s="1"/>
  <c r="AA973" i="8" s="1"/>
  <c r="AA974" i="8" s="1"/>
  <c r="AA975" i="8" s="1"/>
  <c r="AA976" i="8" s="1"/>
  <c r="AA977" i="8" s="1"/>
  <c r="AA978" i="8" s="1"/>
  <c r="AA979" i="8" s="1"/>
  <c r="AA980" i="8" s="1"/>
  <c r="AA981" i="8" s="1"/>
  <c r="AA982" i="8" s="1"/>
  <c r="AA983" i="8" s="1"/>
  <c r="AA984" i="8" s="1"/>
  <c r="AA985" i="8" s="1"/>
  <c r="AA986" i="8" s="1"/>
  <c r="AA987" i="8" s="1"/>
  <c r="AA988" i="8" s="1"/>
  <c r="AA989" i="8" s="1"/>
  <c r="AA990" i="8" s="1"/>
  <c r="AA991" i="8" s="1"/>
  <c r="AA992" i="8" s="1"/>
  <c r="AA993" i="8" s="1"/>
  <c r="AA994" i="8" s="1"/>
  <c r="AA995" i="8" s="1"/>
  <c r="AA996" i="8" s="1"/>
  <c r="AA997" i="8" s="1"/>
  <c r="AA998" i="8" s="1"/>
  <c r="AA999" i="8" s="1"/>
  <c r="AA1000" i="8" s="1"/>
  <c r="AA1001" i="8" s="1"/>
  <c r="AA1002" i="8" s="1"/>
  <c r="AA1003" i="8" s="1"/>
  <c r="AA1004" i="8" s="1"/>
  <c r="AA1005" i="8" s="1"/>
  <c r="AA1006" i="8" s="1"/>
  <c r="AA1007" i="8" s="1"/>
  <c r="AA1008" i="8" s="1"/>
  <c r="AA1009" i="8" s="1"/>
  <c r="AA1010" i="8" s="1"/>
  <c r="AA1011" i="8" s="1"/>
  <c r="AA1012" i="8" s="1"/>
  <c r="AA1013" i="8" s="1"/>
  <c r="AA1014" i="8" s="1"/>
  <c r="AA1015" i="8" s="1"/>
  <c r="AA1016" i="8" s="1"/>
  <c r="AA1017" i="8" s="1"/>
  <c r="AA1018" i="8" s="1"/>
  <c r="AA1019" i="8" s="1"/>
  <c r="AA1020" i="8" s="1"/>
  <c r="AA1021" i="8" s="1"/>
  <c r="AA1022" i="8" s="1"/>
  <c r="AA1023" i="8" s="1"/>
  <c r="AA1024" i="8" s="1"/>
  <c r="AA1025" i="8" s="1"/>
  <c r="AA1026" i="8" s="1"/>
  <c r="AA1027" i="8" s="1"/>
  <c r="AA1028" i="8" s="1"/>
  <c r="AA1029" i="8" s="1"/>
  <c r="AA1030" i="8" s="1"/>
  <c r="AA1031" i="8" s="1"/>
  <c r="AA1032" i="8" s="1"/>
  <c r="AA1033" i="8" s="1"/>
  <c r="AA1034" i="8" s="1"/>
  <c r="AA1035" i="8" s="1"/>
  <c r="AA1036" i="8" s="1"/>
  <c r="AA1037" i="8" s="1"/>
  <c r="AA1038" i="8" s="1"/>
  <c r="AA1039" i="8" s="1"/>
  <c r="AA1040" i="8" s="1"/>
  <c r="AA1041" i="8" s="1"/>
  <c r="AA1042" i="8" s="1"/>
  <c r="AA1043" i="8" s="1"/>
  <c r="AA1044" i="8" s="1"/>
  <c r="AA1045" i="8" s="1"/>
  <c r="AA1046" i="8" s="1"/>
  <c r="AA1047" i="8" s="1"/>
  <c r="AA1048" i="8" s="1"/>
  <c r="AA1049" i="8" s="1"/>
  <c r="AA1050" i="8" s="1"/>
  <c r="AA1051" i="8" s="1"/>
  <c r="AA1052" i="8" s="1"/>
  <c r="AA1053" i="8" s="1"/>
  <c r="AA1054" i="8" s="1"/>
  <c r="AA1055" i="8" s="1"/>
  <c r="AA1056" i="8" s="1"/>
  <c r="AA1057" i="8" s="1"/>
  <c r="AA1058" i="8" s="1"/>
  <c r="AA1059" i="8" s="1"/>
  <c r="AA1060" i="8" s="1"/>
  <c r="X2" i="8"/>
  <c r="Z2" i="8"/>
  <c r="Z1" i="8"/>
  <c r="Y2" i="8"/>
  <c r="Y3" i="8" s="1"/>
  <c r="Y4" i="8" s="1"/>
  <c r="Y5" i="8" s="1"/>
  <c r="Y6" i="8" s="1"/>
  <c r="Y7" i="8" s="1"/>
  <c r="Y8" i="8" s="1"/>
  <c r="Y9" i="8" s="1"/>
  <c r="Y10" i="8" s="1"/>
  <c r="Y11" i="8" s="1"/>
  <c r="Y12" i="8" s="1"/>
  <c r="Y13" i="8" s="1"/>
  <c r="Y14" i="8" s="1"/>
  <c r="Y15" i="8" s="1"/>
  <c r="Y16" i="8" s="1"/>
  <c r="Y17" i="8" s="1"/>
  <c r="Y18" i="8" s="1"/>
  <c r="Y19" i="8" s="1"/>
  <c r="Y20" i="8" s="1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Y38" i="8" s="1"/>
  <c r="Y39" i="8" s="1"/>
  <c r="Y40" i="8" s="1"/>
  <c r="Y41" i="8" s="1"/>
  <c r="Y42" i="8" s="1"/>
  <c r="Y43" i="8" s="1"/>
  <c r="Y44" i="8" s="1"/>
  <c r="Y45" i="8" s="1"/>
  <c r="Y46" i="8" s="1"/>
  <c r="Y47" i="8" s="1"/>
  <c r="Y48" i="8" s="1"/>
  <c r="Y49" i="8" s="1"/>
  <c r="Y50" i="8" s="1"/>
  <c r="Y51" i="8" s="1"/>
  <c r="Y52" i="8" s="1"/>
  <c r="Y53" i="8" s="1"/>
  <c r="Y54" i="8" s="1"/>
  <c r="Y55" i="8" s="1"/>
  <c r="Y56" i="8" s="1"/>
  <c r="Y57" i="8" s="1"/>
  <c r="Y58" i="8" s="1"/>
  <c r="Y59" i="8" s="1"/>
  <c r="Y60" i="8" s="1"/>
  <c r="Y61" i="8" s="1"/>
  <c r="Y62" i="8" s="1"/>
  <c r="Y63" i="8" s="1"/>
  <c r="Y64" i="8" s="1"/>
  <c r="Y65" i="8" s="1"/>
  <c r="Y66" i="8" s="1"/>
  <c r="Y67" i="8" s="1"/>
  <c r="Y68" i="8" s="1"/>
  <c r="Y69" i="8" s="1"/>
  <c r="Y70" i="8" s="1"/>
  <c r="Y71" i="8" s="1"/>
  <c r="Y72" i="8" s="1"/>
  <c r="Y73" i="8" s="1"/>
  <c r="Y74" i="8" s="1"/>
  <c r="Y75" i="8" s="1"/>
  <c r="Y76" i="8" s="1"/>
  <c r="Y77" i="8" s="1"/>
  <c r="Y78" i="8" s="1"/>
  <c r="Y79" i="8" s="1"/>
  <c r="Y80" i="8" s="1"/>
  <c r="Y81" i="8" s="1"/>
  <c r="Y82" i="8" s="1"/>
  <c r="Y83" i="8" s="1"/>
  <c r="Y84" i="8" s="1"/>
  <c r="Y85" i="8" s="1"/>
  <c r="Y86" i="8" s="1"/>
  <c r="Y87" i="8" s="1"/>
  <c r="Y88" i="8" s="1"/>
  <c r="Y89" i="8" s="1"/>
  <c r="Y90" i="8" s="1"/>
  <c r="Y91" i="8" s="1"/>
  <c r="Y92" i="8" s="1"/>
  <c r="Y93" i="8" s="1"/>
  <c r="Y94" i="8" s="1"/>
  <c r="Y95" i="8" s="1"/>
  <c r="Y96" i="8" s="1"/>
  <c r="Y97" i="8" s="1"/>
  <c r="Y98" i="8" s="1"/>
  <c r="Y99" i="8" s="1"/>
  <c r="Y100" i="8" s="1"/>
  <c r="Y101" i="8" s="1"/>
  <c r="Y102" i="8" s="1"/>
  <c r="Y103" i="8" s="1"/>
  <c r="Y104" i="8" s="1"/>
  <c r="Y105" i="8" s="1"/>
  <c r="Y106" i="8" s="1"/>
  <c r="Y107" i="8" s="1"/>
  <c r="Y108" i="8" s="1"/>
  <c r="Y109" i="8" s="1"/>
  <c r="Y110" i="8" s="1"/>
  <c r="Y111" i="8" s="1"/>
  <c r="Y112" i="8" s="1"/>
  <c r="Y113" i="8" s="1"/>
  <c r="Y114" i="8" s="1"/>
  <c r="Y115" i="8" s="1"/>
  <c r="Y116" i="8" s="1"/>
  <c r="Y117" i="8" s="1"/>
  <c r="Y118" i="8" s="1"/>
  <c r="Y119" i="8" s="1"/>
  <c r="Y120" i="8" s="1"/>
  <c r="Y121" i="8" s="1"/>
  <c r="Y122" i="8" s="1"/>
  <c r="Y123" i="8" s="1"/>
  <c r="Y124" i="8" s="1"/>
  <c r="Y125" i="8" s="1"/>
  <c r="Y126" i="8" s="1"/>
  <c r="Y127" i="8" s="1"/>
  <c r="Y128" i="8" s="1"/>
  <c r="Y129" i="8" s="1"/>
  <c r="Y130" i="8" s="1"/>
  <c r="Y131" i="8" s="1"/>
  <c r="Y132" i="8" s="1"/>
  <c r="Y133" i="8" s="1"/>
  <c r="Y134" i="8" s="1"/>
  <c r="Y135" i="8" s="1"/>
  <c r="Y136" i="8" s="1"/>
  <c r="Y137" i="8" s="1"/>
  <c r="Y138" i="8" s="1"/>
  <c r="Y139" i="8" s="1"/>
  <c r="Y140" i="8" s="1"/>
  <c r="Y141" i="8" s="1"/>
  <c r="Y142" i="8" s="1"/>
  <c r="Y143" i="8" s="1"/>
  <c r="Y144" i="8" s="1"/>
  <c r="Y145" i="8" s="1"/>
  <c r="Y146" i="8" s="1"/>
  <c r="Y147" i="8" s="1"/>
  <c r="Y148" i="8" s="1"/>
  <c r="Y149" i="8" s="1"/>
  <c r="Y150" i="8" s="1"/>
  <c r="Y151" i="8" s="1"/>
  <c r="Y152" i="8" s="1"/>
  <c r="Y153" i="8" s="1"/>
  <c r="Y154" i="8" s="1"/>
  <c r="Y155" i="8" s="1"/>
  <c r="Y156" i="8" s="1"/>
  <c r="Y157" i="8" s="1"/>
  <c r="Y158" i="8" s="1"/>
  <c r="Y159" i="8" s="1"/>
  <c r="Y160" i="8" s="1"/>
  <c r="Y161" i="8" s="1"/>
  <c r="Y162" i="8" s="1"/>
  <c r="Y163" i="8" s="1"/>
  <c r="Y164" i="8" s="1"/>
  <c r="Y165" i="8" s="1"/>
  <c r="Y166" i="8" s="1"/>
  <c r="Y167" i="8" s="1"/>
  <c r="Y168" i="8" s="1"/>
  <c r="Y169" i="8" s="1"/>
  <c r="Y170" i="8" s="1"/>
  <c r="Y171" i="8" s="1"/>
  <c r="Y172" i="8" s="1"/>
  <c r="Y173" i="8" s="1"/>
  <c r="Y174" i="8" s="1"/>
  <c r="Y175" i="8" s="1"/>
  <c r="Y176" i="8" s="1"/>
  <c r="Y177" i="8" s="1"/>
  <c r="Y178" i="8" s="1"/>
  <c r="Y179" i="8" s="1"/>
  <c r="Y180" i="8" s="1"/>
  <c r="Y181" i="8" s="1"/>
  <c r="Y182" i="8" s="1"/>
  <c r="Y183" i="8" s="1"/>
  <c r="Y184" i="8" s="1"/>
  <c r="Y185" i="8" s="1"/>
  <c r="Y186" i="8" s="1"/>
  <c r="Y187" i="8" s="1"/>
  <c r="Y188" i="8" s="1"/>
  <c r="Y189" i="8" s="1"/>
  <c r="Y190" i="8" s="1"/>
  <c r="Y191" i="8" s="1"/>
  <c r="Y192" i="8" s="1"/>
  <c r="Y193" i="8" s="1"/>
  <c r="Y194" i="8" s="1"/>
  <c r="Y195" i="8" s="1"/>
  <c r="Y196" i="8" s="1"/>
  <c r="Y197" i="8" s="1"/>
  <c r="Y198" i="8" s="1"/>
  <c r="Y199" i="8" s="1"/>
  <c r="Y200" i="8" s="1"/>
  <c r="Y201" i="8" s="1"/>
  <c r="Y202" i="8" s="1"/>
  <c r="Y203" i="8" s="1"/>
  <c r="Y204" i="8" s="1"/>
  <c r="Y205" i="8" s="1"/>
  <c r="Y206" i="8" s="1"/>
  <c r="Y207" i="8" s="1"/>
  <c r="Y208" i="8" s="1"/>
  <c r="Y209" i="8" s="1"/>
  <c r="Y210" i="8" s="1"/>
  <c r="Y211" i="8" s="1"/>
  <c r="Y212" i="8" s="1"/>
  <c r="Y213" i="8" s="1"/>
  <c r="Y214" i="8" s="1"/>
  <c r="Y215" i="8" s="1"/>
  <c r="Y216" i="8" s="1"/>
  <c r="Y217" i="8" s="1"/>
  <c r="Y218" i="8" s="1"/>
  <c r="Y219" i="8" s="1"/>
  <c r="Y220" i="8" s="1"/>
  <c r="Y221" i="8" s="1"/>
  <c r="Y222" i="8" s="1"/>
  <c r="Y223" i="8" s="1"/>
  <c r="Y224" i="8" s="1"/>
  <c r="Y225" i="8" s="1"/>
  <c r="Y226" i="8" s="1"/>
  <c r="Y227" i="8" s="1"/>
  <c r="Y228" i="8" s="1"/>
  <c r="Y229" i="8" s="1"/>
  <c r="Y230" i="8" s="1"/>
  <c r="Y231" i="8" s="1"/>
  <c r="Y232" i="8" s="1"/>
  <c r="Y233" i="8" s="1"/>
  <c r="Y234" i="8" s="1"/>
  <c r="Y235" i="8" s="1"/>
  <c r="Y236" i="8" s="1"/>
  <c r="Y237" i="8" s="1"/>
  <c r="Y238" i="8" s="1"/>
  <c r="Y239" i="8" s="1"/>
  <c r="Y240" i="8" s="1"/>
  <c r="Y241" i="8" s="1"/>
  <c r="Y242" i="8" s="1"/>
  <c r="Y243" i="8" s="1"/>
  <c r="Y244" i="8" s="1"/>
  <c r="Y245" i="8" s="1"/>
  <c r="Y246" i="8" s="1"/>
  <c r="Y247" i="8" s="1"/>
  <c r="Y248" i="8" s="1"/>
  <c r="Y249" i="8" s="1"/>
  <c r="Y250" i="8" s="1"/>
  <c r="Y251" i="8" s="1"/>
  <c r="Y252" i="8" s="1"/>
  <c r="Y253" i="8" s="1"/>
  <c r="Y254" i="8" s="1"/>
  <c r="Y255" i="8" s="1"/>
  <c r="Y256" i="8" s="1"/>
  <c r="Y257" i="8" s="1"/>
  <c r="Y258" i="8" s="1"/>
  <c r="Y259" i="8" s="1"/>
  <c r="Y260" i="8" s="1"/>
  <c r="Y261" i="8" s="1"/>
  <c r="Y262" i="8" s="1"/>
  <c r="Y263" i="8" s="1"/>
  <c r="Y264" i="8" s="1"/>
  <c r="Y265" i="8" s="1"/>
  <c r="Y266" i="8" s="1"/>
  <c r="Y267" i="8" s="1"/>
  <c r="Y268" i="8" s="1"/>
  <c r="Y269" i="8" s="1"/>
  <c r="Y270" i="8" s="1"/>
  <c r="Y271" i="8" s="1"/>
  <c r="Y272" i="8" s="1"/>
  <c r="Y273" i="8" s="1"/>
  <c r="Y274" i="8" s="1"/>
  <c r="Y275" i="8" s="1"/>
  <c r="Y276" i="8" s="1"/>
  <c r="Y277" i="8" s="1"/>
  <c r="Y278" i="8" s="1"/>
  <c r="Y279" i="8" s="1"/>
  <c r="Y280" i="8" s="1"/>
  <c r="Y281" i="8" s="1"/>
  <c r="Y282" i="8" s="1"/>
  <c r="Y283" i="8" s="1"/>
  <c r="Y284" i="8" s="1"/>
  <c r="Y285" i="8" s="1"/>
  <c r="Y286" i="8" s="1"/>
  <c r="Y287" i="8" s="1"/>
  <c r="Y288" i="8" s="1"/>
  <c r="Y289" i="8" s="1"/>
  <c r="Y290" i="8" s="1"/>
  <c r="Y291" i="8" s="1"/>
  <c r="Y292" i="8" s="1"/>
  <c r="Y293" i="8" s="1"/>
  <c r="Y294" i="8" s="1"/>
  <c r="Y295" i="8" s="1"/>
  <c r="Y296" i="8" s="1"/>
  <c r="Y297" i="8" s="1"/>
  <c r="Y298" i="8" s="1"/>
  <c r="Y299" i="8" s="1"/>
  <c r="Y300" i="8" s="1"/>
  <c r="Y301" i="8" s="1"/>
  <c r="Y302" i="8" s="1"/>
  <c r="Y303" i="8" s="1"/>
  <c r="Y304" i="8" s="1"/>
  <c r="Y305" i="8" s="1"/>
  <c r="Y306" i="8" s="1"/>
  <c r="Y307" i="8" s="1"/>
  <c r="Y308" i="8" s="1"/>
  <c r="Y309" i="8" s="1"/>
  <c r="Y310" i="8" s="1"/>
  <c r="Y311" i="8" s="1"/>
  <c r="Y312" i="8" s="1"/>
  <c r="Y313" i="8" s="1"/>
  <c r="Y314" i="8" s="1"/>
  <c r="Y315" i="8" s="1"/>
  <c r="Y316" i="8" s="1"/>
  <c r="Y317" i="8" s="1"/>
  <c r="Y318" i="8" s="1"/>
  <c r="Y319" i="8" s="1"/>
  <c r="Y320" i="8" s="1"/>
  <c r="Y321" i="8" s="1"/>
  <c r="Y322" i="8" s="1"/>
  <c r="Y323" i="8" s="1"/>
  <c r="Y324" i="8" s="1"/>
  <c r="Y325" i="8" s="1"/>
  <c r="Y326" i="8" s="1"/>
  <c r="Y327" i="8" s="1"/>
  <c r="Y328" i="8" s="1"/>
  <c r="Y329" i="8" s="1"/>
  <c r="Y330" i="8" s="1"/>
  <c r="Y331" i="8" s="1"/>
  <c r="Y332" i="8" s="1"/>
  <c r="Y333" i="8" s="1"/>
  <c r="Y334" i="8" s="1"/>
  <c r="Y335" i="8" s="1"/>
  <c r="Y336" i="8" s="1"/>
  <c r="Y337" i="8" s="1"/>
  <c r="Y338" i="8" s="1"/>
  <c r="Y339" i="8" s="1"/>
  <c r="Y340" i="8" s="1"/>
  <c r="Y341" i="8" s="1"/>
  <c r="Y342" i="8" s="1"/>
  <c r="Y343" i="8" s="1"/>
  <c r="Y344" i="8" s="1"/>
  <c r="Y345" i="8" s="1"/>
  <c r="Y346" i="8" s="1"/>
  <c r="Y347" i="8" s="1"/>
  <c r="Y348" i="8" s="1"/>
  <c r="Y349" i="8" s="1"/>
  <c r="Y350" i="8" s="1"/>
  <c r="Y351" i="8" s="1"/>
  <c r="Y352" i="8" s="1"/>
  <c r="Y353" i="8" s="1"/>
  <c r="Y354" i="8" s="1"/>
  <c r="Y355" i="8" s="1"/>
  <c r="Y356" i="8" s="1"/>
  <c r="Y357" i="8" s="1"/>
  <c r="Y358" i="8" s="1"/>
  <c r="Y359" i="8" s="1"/>
  <c r="Y360" i="8" s="1"/>
  <c r="Y361" i="8" s="1"/>
  <c r="Y362" i="8" s="1"/>
  <c r="Y363" i="8" s="1"/>
  <c r="Y364" i="8" s="1"/>
  <c r="Y365" i="8" s="1"/>
  <c r="Y366" i="8" s="1"/>
  <c r="Y367" i="8" s="1"/>
  <c r="Y368" i="8" s="1"/>
  <c r="Y369" i="8" s="1"/>
  <c r="Y370" i="8" s="1"/>
  <c r="Y371" i="8" s="1"/>
  <c r="Y372" i="8" s="1"/>
  <c r="Y373" i="8" s="1"/>
  <c r="Y374" i="8" s="1"/>
  <c r="Y375" i="8" s="1"/>
  <c r="Y376" i="8" s="1"/>
  <c r="Y377" i="8" s="1"/>
  <c r="Y378" i="8" s="1"/>
  <c r="Y379" i="8" s="1"/>
  <c r="Y380" i="8" s="1"/>
  <c r="Y381" i="8" s="1"/>
  <c r="Y382" i="8" s="1"/>
  <c r="Y383" i="8" s="1"/>
  <c r="Y384" i="8" s="1"/>
  <c r="Y385" i="8" s="1"/>
  <c r="Y386" i="8" s="1"/>
  <c r="Y387" i="8" s="1"/>
  <c r="Y388" i="8" s="1"/>
  <c r="Y389" i="8" s="1"/>
  <c r="Y390" i="8" s="1"/>
  <c r="Y391" i="8" s="1"/>
  <c r="Y392" i="8" s="1"/>
  <c r="Y393" i="8" s="1"/>
  <c r="Y394" i="8" s="1"/>
  <c r="Y395" i="8" s="1"/>
  <c r="Y396" i="8" s="1"/>
  <c r="Y397" i="8" s="1"/>
  <c r="Y398" i="8" s="1"/>
  <c r="Y399" i="8" s="1"/>
  <c r="Y400" i="8" s="1"/>
  <c r="Y401" i="8" s="1"/>
  <c r="Y402" i="8" s="1"/>
  <c r="Y403" i="8" s="1"/>
  <c r="Y404" i="8" s="1"/>
  <c r="Y405" i="8" s="1"/>
  <c r="Y406" i="8" s="1"/>
  <c r="Y407" i="8" s="1"/>
  <c r="Y408" i="8" s="1"/>
  <c r="Y409" i="8" s="1"/>
  <c r="Y410" i="8" s="1"/>
  <c r="Y411" i="8" s="1"/>
  <c r="Y412" i="8" s="1"/>
  <c r="Y413" i="8" s="1"/>
  <c r="Y414" i="8" s="1"/>
  <c r="Y415" i="8" s="1"/>
  <c r="Y416" i="8" s="1"/>
  <c r="Y417" i="8" s="1"/>
  <c r="Y418" i="8" s="1"/>
  <c r="Y419" i="8" s="1"/>
  <c r="Y420" i="8" s="1"/>
  <c r="Y421" i="8" s="1"/>
  <c r="Y422" i="8" s="1"/>
  <c r="Y423" i="8" s="1"/>
  <c r="Y424" i="8" s="1"/>
  <c r="Y425" i="8" s="1"/>
  <c r="Y426" i="8" s="1"/>
  <c r="Y427" i="8" s="1"/>
  <c r="Y428" i="8" s="1"/>
  <c r="Y429" i="8" s="1"/>
  <c r="Y430" i="8" s="1"/>
  <c r="Y431" i="8" s="1"/>
  <c r="Y432" i="8" s="1"/>
  <c r="Y433" i="8" s="1"/>
  <c r="Y434" i="8" s="1"/>
  <c r="Y435" i="8" s="1"/>
  <c r="Y436" i="8" s="1"/>
  <c r="Y437" i="8" s="1"/>
  <c r="Y438" i="8" s="1"/>
  <c r="Y439" i="8" s="1"/>
  <c r="Y440" i="8" s="1"/>
  <c r="Y441" i="8" s="1"/>
  <c r="Y442" i="8" s="1"/>
  <c r="Y443" i="8" s="1"/>
  <c r="Y444" i="8" s="1"/>
  <c r="Y445" i="8" s="1"/>
  <c r="Y446" i="8" s="1"/>
  <c r="Y447" i="8" s="1"/>
  <c r="Y448" i="8" s="1"/>
  <c r="Y449" i="8" s="1"/>
  <c r="Y450" i="8" s="1"/>
  <c r="Y451" i="8" s="1"/>
  <c r="Y452" i="8" s="1"/>
  <c r="Y453" i="8" s="1"/>
  <c r="Y454" i="8" s="1"/>
  <c r="Y455" i="8" s="1"/>
  <c r="Y456" i="8" s="1"/>
  <c r="Y457" i="8" s="1"/>
  <c r="Y458" i="8" s="1"/>
  <c r="Y459" i="8" s="1"/>
  <c r="Y460" i="8" s="1"/>
  <c r="Y461" i="8" s="1"/>
  <c r="Y462" i="8" s="1"/>
  <c r="Y463" i="8" s="1"/>
  <c r="Y464" i="8" s="1"/>
  <c r="Y465" i="8" s="1"/>
  <c r="Y466" i="8" s="1"/>
  <c r="Y467" i="8" s="1"/>
  <c r="Y468" i="8" s="1"/>
  <c r="Y469" i="8" s="1"/>
  <c r="Y470" i="8" s="1"/>
  <c r="Y471" i="8" s="1"/>
  <c r="Y472" i="8" s="1"/>
  <c r="Y473" i="8" s="1"/>
  <c r="Y474" i="8" s="1"/>
  <c r="Y475" i="8" s="1"/>
  <c r="Y476" i="8" s="1"/>
  <c r="Y477" i="8" s="1"/>
  <c r="Y478" i="8" s="1"/>
  <c r="Y479" i="8" s="1"/>
  <c r="Y480" i="8" s="1"/>
  <c r="Y481" i="8" s="1"/>
  <c r="Y482" i="8" s="1"/>
  <c r="Y483" i="8" s="1"/>
  <c r="Y484" i="8" s="1"/>
  <c r="Y485" i="8" s="1"/>
  <c r="Y486" i="8" s="1"/>
  <c r="Y487" i="8" s="1"/>
  <c r="Y488" i="8" s="1"/>
  <c r="Y489" i="8" s="1"/>
  <c r="Y490" i="8" s="1"/>
  <c r="Y491" i="8" s="1"/>
  <c r="Y492" i="8" s="1"/>
  <c r="Y493" i="8" s="1"/>
  <c r="Y494" i="8" s="1"/>
  <c r="Y495" i="8" s="1"/>
  <c r="Y496" i="8" s="1"/>
  <c r="Y497" i="8" s="1"/>
  <c r="Y498" i="8" s="1"/>
  <c r="Y499" i="8" s="1"/>
  <c r="Y500" i="8" s="1"/>
  <c r="Y501" i="8" s="1"/>
  <c r="Y502" i="8" s="1"/>
  <c r="Y503" i="8" s="1"/>
  <c r="Y504" i="8" s="1"/>
  <c r="Y505" i="8" s="1"/>
  <c r="Y506" i="8" s="1"/>
  <c r="Y507" i="8" s="1"/>
  <c r="Y508" i="8" s="1"/>
  <c r="Y509" i="8" s="1"/>
  <c r="Y510" i="8" s="1"/>
  <c r="Y511" i="8" s="1"/>
  <c r="Y512" i="8" s="1"/>
  <c r="Y513" i="8" s="1"/>
  <c r="Y514" i="8" s="1"/>
  <c r="Y515" i="8" s="1"/>
  <c r="Y516" i="8" s="1"/>
  <c r="Y517" i="8" s="1"/>
  <c r="Y518" i="8" s="1"/>
  <c r="Y519" i="8" s="1"/>
  <c r="Y520" i="8" s="1"/>
  <c r="Y521" i="8" s="1"/>
  <c r="Y522" i="8" s="1"/>
  <c r="Y523" i="8" s="1"/>
  <c r="Y524" i="8" s="1"/>
  <c r="Y525" i="8" s="1"/>
  <c r="Y526" i="8" s="1"/>
  <c r="Y527" i="8" s="1"/>
  <c r="Y528" i="8" s="1"/>
  <c r="Y529" i="8" s="1"/>
  <c r="Y530" i="8" s="1"/>
  <c r="Y531" i="8" s="1"/>
  <c r="Y532" i="8" s="1"/>
  <c r="Y533" i="8" s="1"/>
  <c r="Y534" i="8" s="1"/>
  <c r="Y535" i="8" s="1"/>
  <c r="Y536" i="8" s="1"/>
  <c r="Y537" i="8" s="1"/>
  <c r="Y538" i="8" s="1"/>
  <c r="Y539" i="8" s="1"/>
  <c r="Y540" i="8" s="1"/>
  <c r="Y541" i="8" s="1"/>
  <c r="Y542" i="8" s="1"/>
  <c r="Y543" i="8" s="1"/>
  <c r="Y544" i="8" s="1"/>
  <c r="Y545" i="8" s="1"/>
  <c r="Y546" i="8" s="1"/>
  <c r="Y547" i="8" s="1"/>
  <c r="Y548" i="8" s="1"/>
  <c r="Y549" i="8" s="1"/>
  <c r="Y550" i="8" s="1"/>
  <c r="Y551" i="8" s="1"/>
  <c r="Y552" i="8" s="1"/>
  <c r="Y553" i="8" s="1"/>
  <c r="Y554" i="8" s="1"/>
  <c r="Y555" i="8" s="1"/>
  <c r="Y556" i="8" s="1"/>
  <c r="Y557" i="8" s="1"/>
  <c r="Y558" i="8" s="1"/>
  <c r="Y559" i="8" s="1"/>
  <c r="Y560" i="8" s="1"/>
  <c r="Y561" i="8" s="1"/>
  <c r="Y562" i="8" s="1"/>
  <c r="Y563" i="8" s="1"/>
  <c r="Y564" i="8" s="1"/>
  <c r="Y565" i="8" s="1"/>
  <c r="Y566" i="8" s="1"/>
  <c r="Y567" i="8" s="1"/>
  <c r="Y568" i="8" s="1"/>
  <c r="Y569" i="8" s="1"/>
  <c r="Y570" i="8" s="1"/>
  <c r="Y571" i="8" s="1"/>
  <c r="Y572" i="8" s="1"/>
  <c r="Y573" i="8" s="1"/>
  <c r="Y574" i="8" s="1"/>
  <c r="Y575" i="8" s="1"/>
  <c r="Y576" i="8" s="1"/>
  <c r="Y577" i="8" s="1"/>
  <c r="Y578" i="8" s="1"/>
  <c r="Y579" i="8" s="1"/>
  <c r="Y580" i="8" s="1"/>
  <c r="Y581" i="8" s="1"/>
  <c r="Y582" i="8" s="1"/>
  <c r="Y583" i="8" s="1"/>
  <c r="Y584" i="8" s="1"/>
  <c r="Y585" i="8" s="1"/>
  <c r="Y586" i="8" s="1"/>
  <c r="Y587" i="8" s="1"/>
  <c r="Y588" i="8" s="1"/>
  <c r="Y589" i="8" s="1"/>
  <c r="Y590" i="8" s="1"/>
  <c r="Y591" i="8" s="1"/>
  <c r="Y592" i="8" s="1"/>
  <c r="Y593" i="8" s="1"/>
  <c r="Y594" i="8" s="1"/>
  <c r="Y595" i="8" s="1"/>
  <c r="Y596" i="8" s="1"/>
  <c r="Y597" i="8" s="1"/>
  <c r="Y598" i="8" s="1"/>
  <c r="Y599" i="8" s="1"/>
  <c r="Y600" i="8" s="1"/>
  <c r="Y601" i="8" s="1"/>
  <c r="Y602" i="8" s="1"/>
  <c r="Y603" i="8" s="1"/>
  <c r="Y604" i="8" s="1"/>
  <c r="Y605" i="8" s="1"/>
  <c r="Y606" i="8" s="1"/>
  <c r="Y607" i="8" s="1"/>
  <c r="Y608" i="8" s="1"/>
  <c r="Y609" i="8" s="1"/>
  <c r="Y610" i="8" s="1"/>
  <c r="Y611" i="8" s="1"/>
  <c r="Y612" i="8" s="1"/>
  <c r="Y613" i="8" s="1"/>
  <c r="Y614" i="8" s="1"/>
  <c r="Y615" i="8" s="1"/>
  <c r="Y616" i="8" s="1"/>
  <c r="Y617" i="8" s="1"/>
  <c r="Y618" i="8" s="1"/>
  <c r="Y619" i="8" s="1"/>
  <c r="Y620" i="8" s="1"/>
  <c r="Y621" i="8" s="1"/>
  <c r="Y622" i="8" s="1"/>
  <c r="Y623" i="8" s="1"/>
  <c r="Y624" i="8" s="1"/>
  <c r="Y625" i="8" s="1"/>
  <c r="Y626" i="8" s="1"/>
  <c r="Y627" i="8" s="1"/>
  <c r="Y628" i="8" s="1"/>
  <c r="Y629" i="8" s="1"/>
  <c r="Y630" i="8" s="1"/>
  <c r="Y631" i="8" s="1"/>
  <c r="Y632" i="8" s="1"/>
  <c r="Y633" i="8" s="1"/>
  <c r="Y634" i="8" s="1"/>
  <c r="Y635" i="8" s="1"/>
  <c r="Y636" i="8" s="1"/>
  <c r="Y637" i="8" s="1"/>
  <c r="Y638" i="8" s="1"/>
  <c r="Y639" i="8" s="1"/>
  <c r="Y640" i="8" s="1"/>
  <c r="Y641" i="8" s="1"/>
  <c r="Y642" i="8" s="1"/>
  <c r="Y643" i="8" s="1"/>
  <c r="Y644" i="8" s="1"/>
  <c r="Y645" i="8" s="1"/>
  <c r="Y646" i="8" s="1"/>
  <c r="Y647" i="8" s="1"/>
  <c r="Y648" i="8" s="1"/>
  <c r="Y649" i="8" s="1"/>
  <c r="Y650" i="8" s="1"/>
  <c r="Y651" i="8" s="1"/>
  <c r="Y652" i="8" s="1"/>
  <c r="Y653" i="8" s="1"/>
  <c r="Y654" i="8" s="1"/>
  <c r="Y655" i="8" s="1"/>
  <c r="Y656" i="8" s="1"/>
  <c r="Y657" i="8" s="1"/>
  <c r="Y658" i="8" s="1"/>
  <c r="Y659" i="8" s="1"/>
  <c r="Y660" i="8" s="1"/>
  <c r="Y661" i="8" s="1"/>
  <c r="Y662" i="8" s="1"/>
  <c r="Y663" i="8" s="1"/>
  <c r="Y664" i="8" s="1"/>
  <c r="Y665" i="8" s="1"/>
  <c r="Y666" i="8" s="1"/>
  <c r="Y667" i="8" s="1"/>
  <c r="Y668" i="8" s="1"/>
  <c r="Y669" i="8" s="1"/>
  <c r="Y670" i="8" s="1"/>
  <c r="Y671" i="8" s="1"/>
  <c r="Y672" i="8" s="1"/>
  <c r="Y673" i="8" s="1"/>
  <c r="Y674" i="8" s="1"/>
  <c r="Y675" i="8" s="1"/>
  <c r="Y676" i="8" s="1"/>
  <c r="Y677" i="8" s="1"/>
  <c r="Y678" i="8" s="1"/>
  <c r="Y679" i="8" s="1"/>
  <c r="Y680" i="8" s="1"/>
  <c r="Y681" i="8" s="1"/>
  <c r="Y682" i="8" s="1"/>
  <c r="Y683" i="8" s="1"/>
  <c r="Y684" i="8" s="1"/>
  <c r="Y685" i="8" s="1"/>
  <c r="Y686" i="8" s="1"/>
  <c r="Y687" i="8" s="1"/>
  <c r="Y688" i="8" s="1"/>
  <c r="Y689" i="8" s="1"/>
  <c r="Y690" i="8" s="1"/>
  <c r="Y691" i="8" s="1"/>
  <c r="Y692" i="8" s="1"/>
  <c r="Y693" i="8" s="1"/>
  <c r="Y694" i="8" s="1"/>
  <c r="Y695" i="8" s="1"/>
  <c r="Y696" i="8" s="1"/>
  <c r="Y697" i="8" s="1"/>
  <c r="Y698" i="8" s="1"/>
  <c r="Y699" i="8" s="1"/>
  <c r="Y700" i="8" s="1"/>
  <c r="Y701" i="8" s="1"/>
  <c r="Y702" i="8" s="1"/>
  <c r="Y703" i="8" s="1"/>
  <c r="Y704" i="8" s="1"/>
  <c r="Y705" i="8" s="1"/>
  <c r="Y706" i="8" s="1"/>
  <c r="Y707" i="8" s="1"/>
  <c r="Y708" i="8" s="1"/>
  <c r="Y709" i="8" s="1"/>
  <c r="Y710" i="8" s="1"/>
  <c r="Y711" i="8" s="1"/>
  <c r="Y712" i="8" s="1"/>
  <c r="Y713" i="8" s="1"/>
  <c r="Y714" i="8" s="1"/>
  <c r="Y715" i="8" s="1"/>
  <c r="Y716" i="8" s="1"/>
  <c r="Y717" i="8" s="1"/>
  <c r="Y718" i="8" s="1"/>
  <c r="Y719" i="8" s="1"/>
  <c r="Y720" i="8" s="1"/>
  <c r="Y721" i="8" s="1"/>
  <c r="Y722" i="8" s="1"/>
  <c r="Y723" i="8" s="1"/>
  <c r="Y724" i="8" s="1"/>
  <c r="Y725" i="8" s="1"/>
  <c r="Y726" i="8" s="1"/>
  <c r="Y727" i="8" s="1"/>
  <c r="Y728" i="8" s="1"/>
  <c r="Y729" i="8" s="1"/>
  <c r="Y730" i="8" s="1"/>
  <c r="Y731" i="8" s="1"/>
  <c r="Y732" i="8" s="1"/>
  <c r="Y733" i="8" s="1"/>
  <c r="Y734" i="8" s="1"/>
  <c r="Y735" i="8" s="1"/>
  <c r="Y736" i="8" s="1"/>
  <c r="Y737" i="8" s="1"/>
  <c r="Y738" i="8" s="1"/>
  <c r="Y739" i="8" s="1"/>
  <c r="Y740" i="8" s="1"/>
  <c r="Y741" i="8" s="1"/>
  <c r="Y742" i="8" s="1"/>
  <c r="Y743" i="8" s="1"/>
  <c r="Y744" i="8" s="1"/>
  <c r="Y745" i="8" s="1"/>
  <c r="Y746" i="8" s="1"/>
  <c r="Y747" i="8" s="1"/>
  <c r="Y748" i="8" s="1"/>
  <c r="Y749" i="8" s="1"/>
  <c r="Y750" i="8" s="1"/>
  <c r="Y751" i="8" s="1"/>
  <c r="Y752" i="8" s="1"/>
  <c r="Y753" i="8" s="1"/>
  <c r="Y754" i="8" s="1"/>
  <c r="Y755" i="8" s="1"/>
  <c r="Y756" i="8" s="1"/>
  <c r="Y757" i="8" s="1"/>
  <c r="Y758" i="8" s="1"/>
  <c r="Y759" i="8" s="1"/>
  <c r="Y760" i="8" s="1"/>
  <c r="Y761" i="8" s="1"/>
  <c r="Y762" i="8" s="1"/>
  <c r="Y763" i="8" s="1"/>
  <c r="Y764" i="8" s="1"/>
  <c r="Y765" i="8" s="1"/>
  <c r="Y766" i="8" s="1"/>
  <c r="Y767" i="8" s="1"/>
  <c r="Y768" i="8" s="1"/>
  <c r="Y769" i="8" s="1"/>
  <c r="Y770" i="8" s="1"/>
  <c r="Y771" i="8" s="1"/>
  <c r="Y772" i="8" s="1"/>
  <c r="Y773" i="8" s="1"/>
  <c r="Y774" i="8" s="1"/>
  <c r="Y775" i="8" s="1"/>
  <c r="Y776" i="8" s="1"/>
  <c r="Y777" i="8" s="1"/>
  <c r="Y778" i="8" s="1"/>
  <c r="Y779" i="8" s="1"/>
  <c r="Y780" i="8" s="1"/>
  <c r="Y781" i="8" s="1"/>
  <c r="Y782" i="8" s="1"/>
  <c r="Y783" i="8" s="1"/>
  <c r="Y784" i="8" s="1"/>
  <c r="Y785" i="8" s="1"/>
  <c r="Y786" i="8" s="1"/>
  <c r="Y787" i="8" s="1"/>
  <c r="Y788" i="8" s="1"/>
  <c r="Y789" i="8" s="1"/>
  <c r="Y790" i="8" s="1"/>
  <c r="Y791" i="8" s="1"/>
  <c r="Y792" i="8" s="1"/>
  <c r="Y793" i="8" s="1"/>
  <c r="Y794" i="8" s="1"/>
  <c r="Y795" i="8" s="1"/>
  <c r="Y796" i="8" s="1"/>
  <c r="Y797" i="8" s="1"/>
  <c r="Y798" i="8" s="1"/>
  <c r="Y799" i="8" s="1"/>
  <c r="Y800" i="8" s="1"/>
  <c r="Y801" i="8" s="1"/>
  <c r="Y802" i="8" s="1"/>
  <c r="Y803" i="8" s="1"/>
  <c r="Y804" i="8" s="1"/>
  <c r="Y805" i="8" s="1"/>
  <c r="Y806" i="8" s="1"/>
  <c r="Y807" i="8" s="1"/>
  <c r="Y808" i="8" s="1"/>
  <c r="Y809" i="8" s="1"/>
  <c r="Y810" i="8" s="1"/>
  <c r="Y811" i="8" s="1"/>
  <c r="Y812" i="8" s="1"/>
  <c r="Y813" i="8" s="1"/>
  <c r="Y814" i="8" s="1"/>
  <c r="Y815" i="8" s="1"/>
  <c r="Y816" i="8" s="1"/>
  <c r="Y817" i="8" s="1"/>
  <c r="Y818" i="8" s="1"/>
  <c r="Y819" i="8" s="1"/>
  <c r="Y820" i="8" s="1"/>
  <c r="Y821" i="8" s="1"/>
  <c r="Y822" i="8" s="1"/>
  <c r="Y823" i="8" s="1"/>
  <c r="Y824" i="8" s="1"/>
  <c r="Y825" i="8" s="1"/>
  <c r="Y826" i="8" s="1"/>
  <c r="Y827" i="8" s="1"/>
  <c r="Y828" i="8" s="1"/>
  <c r="Y829" i="8" s="1"/>
  <c r="Y830" i="8" s="1"/>
  <c r="Y831" i="8" s="1"/>
  <c r="Y832" i="8" s="1"/>
  <c r="Y833" i="8" s="1"/>
  <c r="Y834" i="8" s="1"/>
  <c r="Y835" i="8" s="1"/>
  <c r="Y836" i="8" s="1"/>
  <c r="Y837" i="8" s="1"/>
  <c r="Y838" i="8" s="1"/>
  <c r="Y839" i="8" s="1"/>
  <c r="Y840" i="8" s="1"/>
  <c r="Y841" i="8" s="1"/>
  <c r="Y842" i="8" s="1"/>
  <c r="Y843" i="8" s="1"/>
  <c r="Y844" i="8" s="1"/>
  <c r="Y845" i="8" s="1"/>
  <c r="Y846" i="8" s="1"/>
  <c r="Y847" i="8" s="1"/>
  <c r="Y848" i="8" s="1"/>
  <c r="Y849" i="8" s="1"/>
  <c r="Y850" i="8" s="1"/>
  <c r="Y851" i="8" s="1"/>
  <c r="Y852" i="8" s="1"/>
  <c r="Y853" i="8" s="1"/>
  <c r="Y854" i="8" s="1"/>
  <c r="Y855" i="8" s="1"/>
  <c r="Y856" i="8" s="1"/>
  <c r="Y857" i="8" s="1"/>
  <c r="Y858" i="8" s="1"/>
  <c r="Y859" i="8" s="1"/>
  <c r="Y860" i="8" s="1"/>
  <c r="Y861" i="8" s="1"/>
  <c r="Y862" i="8" s="1"/>
  <c r="Y863" i="8" s="1"/>
  <c r="Y864" i="8" s="1"/>
  <c r="Y865" i="8" s="1"/>
  <c r="Y866" i="8" s="1"/>
  <c r="Y867" i="8" s="1"/>
  <c r="Y868" i="8" s="1"/>
  <c r="Y869" i="8" s="1"/>
  <c r="Y870" i="8" s="1"/>
  <c r="Y871" i="8" s="1"/>
  <c r="Y872" i="8" s="1"/>
  <c r="Y873" i="8" s="1"/>
  <c r="Y874" i="8" s="1"/>
  <c r="Y875" i="8" s="1"/>
  <c r="Y876" i="8" s="1"/>
  <c r="Y877" i="8" s="1"/>
  <c r="Y878" i="8" s="1"/>
  <c r="Y879" i="8" s="1"/>
  <c r="Y880" i="8" s="1"/>
  <c r="Y881" i="8" s="1"/>
  <c r="Y882" i="8" s="1"/>
  <c r="Y883" i="8" s="1"/>
  <c r="Y884" i="8" s="1"/>
  <c r="Y885" i="8" s="1"/>
  <c r="Y886" i="8" s="1"/>
  <c r="Y887" i="8" s="1"/>
  <c r="Y888" i="8" s="1"/>
  <c r="Y889" i="8" s="1"/>
  <c r="Y890" i="8" s="1"/>
  <c r="Y891" i="8" s="1"/>
  <c r="Y892" i="8" s="1"/>
  <c r="Y893" i="8" s="1"/>
  <c r="Y894" i="8" s="1"/>
  <c r="Y895" i="8" s="1"/>
  <c r="Y896" i="8" s="1"/>
  <c r="Y897" i="8" s="1"/>
  <c r="Y898" i="8" s="1"/>
  <c r="Y899" i="8" s="1"/>
  <c r="Y900" i="8" s="1"/>
  <c r="Y901" i="8" s="1"/>
  <c r="Y902" i="8" s="1"/>
  <c r="Y903" i="8" s="1"/>
  <c r="Y904" i="8" s="1"/>
  <c r="Y905" i="8" s="1"/>
  <c r="Y906" i="8" s="1"/>
  <c r="Y907" i="8" s="1"/>
  <c r="Y908" i="8" s="1"/>
  <c r="Y909" i="8" s="1"/>
  <c r="Y910" i="8" s="1"/>
  <c r="Y911" i="8" s="1"/>
  <c r="Y912" i="8" s="1"/>
  <c r="Y913" i="8" s="1"/>
  <c r="Y914" i="8" s="1"/>
  <c r="Y915" i="8" s="1"/>
  <c r="Y916" i="8" s="1"/>
  <c r="Y917" i="8" s="1"/>
  <c r="Y918" i="8" s="1"/>
  <c r="Y919" i="8" s="1"/>
  <c r="Y920" i="8" s="1"/>
  <c r="Y921" i="8" s="1"/>
  <c r="Y922" i="8" s="1"/>
  <c r="Y923" i="8" s="1"/>
  <c r="Y924" i="8" s="1"/>
  <c r="Y925" i="8" s="1"/>
  <c r="Y926" i="8" s="1"/>
  <c r="Y927" i="8" s="1"/>
  <c r="Y928" i="8" s="1"/>
  <c r="Y929" i="8" s="1"/>
  <c r="Y930" i="8" s="1"/>
  <c r="Y931" i="8" s="1"/>
  <c r="Y932" i="8" s="1"/>
  <c r="Y933" i="8" s="1"/>
  <c r="Y934" i="8" s="1"/>
  <c r="Y935" i="8" s="1"/>
  <c r="Y936" i="8" s="1"/>
  <c r="Y937" i="8" s="1"/>
  <c r="Y938" i="8" s="1"/>
  <c r="Y939" i="8" s="1"/>
  <c r="Y940" i="8" s="1"/>
  <c r="Y941" i="8" s="1"/>
  <c r="Y942" i="8" s="1"/>
  <c r="Y943" i="8" s="1"/>
  <c r="Y944" i="8" s="1"/>
  <c r="Y945" i="8" s="1"/>
  <c r="Y946" i="8" s="1"/>
  <c r="Y947" i="8" s="1"/>
  <c r="Y948" i="8" s="1"/>
  <c r="Y949" i="8" s="1"/>
  <c r="Y950" i="8" s="1"/>
  <c r="Y951" i="8" s="1"/>
  <c r="Y952" i="8" s="1"/>
  <c r="Y953" i="8" s="1"/>
  <c r="Y954" i="8" s="1"/>
  <c r="Y955" i="8" s="1"/>
  <c r="Y956" i="8" s="1"/>
  <c r="Y957" i="8" s="1"/>
  <c r="Y958" i="8" s="1"/>
  <c r="Y959" i="8" s="1"/>
  <c r="Y960" i="8" s="1"/>
  <c r="Y961" i="8" s="1"/>
  <c r="Y962" i="8" s="1"/>
  <c r="Y963" i="8" s="1"/>
  <c r="Y964" i="8" s="1"/>
  <c r="Y965" i="8" s="1"/>
  <c r="Y966" i="8" s="1"/>
  <c r="Y967" i="8" s="1"/>
  <c r="Y968" i="8" s="1"/>
  <c r="Y969" i="8" s="1"/>
  <c r="Y970" i="8" s="1"/>
  <c r="Y971" i="8" s="1"/>
  <c r="Y972" i="8" s="1"/>
  <c r="Y973" i="8" s="1"/>
  <c r="Y974" i="8" s="1"/>
  <c r="Y975" i="8" s="1"/>
  <c r="Y976" i="8" s="1"/>
  <c r="Y977" i="8" s="1"/>
  <c r="Y978" i="8" s="1"/>
  <c r="Y979" i="8" s="1"/>
  <c r="Y980" i="8" s="1"/>
  <c r="Y981" i="8" s="1"/>
  <c r="Y982" i="8" s="1"/>
  <c r="Y983" i="8" s="1"/>
  <c r="Y984" i="8" s="1"/>
  <c r="Y985" i="8" s="1"/>
  <c r="Y986" i="8" s="1"/>
  <c r="Y987" i="8" s="1"/>
  <c r="Y988" i="8" s="1"/>
  <c r="Y989" i="8" s="1"/>
  <c r="Y990" i="8" s="1"/>
  <c r="Y991" i="8" s="1"/>
  <c r="Y992" i="8" s="1"/>
  <c r="Y993" i="8" s="1"/>
  <c r="Y994" i="8" s="1"/>
  <c r="Y995" i="8" s="1"/>
  <c r="Y996" i="8" s="1"/>
  <c r="Y997" i="8" s="1"/>
  <c r="Y998" i="8" s="1"/>
  <c r="Y999" i="8" s="1"/>
  <c r="Y1000" i="8" s="1"/>
  <c r="Y1001" i="8" s="1"/>
  <c r="Y1002" i="8" s="1"/>
  <c r="Y1003" i="8" s="1"/>
  <c r="Y1004" i="8" s="1"/>
  <c r="Y1005" i="8" s="1"/>
  <c r="Y1006" i="8" s="1"/>
  <c r="Y1007" i="8" s="1"/>
  <c r="Y1008" i="8" s="1"/>
  <c r="Y1009" i="8" s="1"/>
  <c r="Y1010" i="8" s="1"/>
  <c r="Y1011" i="8" s="1"/>
  <c r="Y1012" i="8" s="1"/>
  <c r="Y1013" i="8" s="1"/>
  <c r="Y1014" i="8" s="1"/>
  <c r="Y1015" i="8" s="1"/>
  <c r="Y1016" i="8" s="1"/>
  <c r="Y1017" i="8" s="1"/>
  <c r="Y1018" i="8" s="1"/>
  <c r="Y1019" i="8" s="1"/>
  <c r="Y1020" i="8" s="1"/>
  <c r="Y1021" i="8" s="1"/>
  <c r="Y1022" i="8" s="1"/>
  <c r="Y1023" i="8" s="1"/>
  <c r="Y1024" i="8" s="1"/>
  <c r="Y1025" i="8" s="1"/>
  <c r="Y1026" i="8" s="1"/>
  <c r="Y1027" i="8" s="1"/>
  <c r="Y1028" i="8" s="1"/>
  <c r="Y1029" i="8" s="1"/>
  <c r="Y1030" i="8" s="1"/>
  <c r="Y1031" i="8" s="1"/>
  <c r="Y1032" i="8" s="1"/>
  <c r="Y1033" i="8" s="1"/>
  <c r="Y1034" i="8" s="1"/>
  <c r="Y1035" i="8" s="1"/>
  <c r="Y1036" i="8" s="1"/>
  <c r="Y1037" i="8" s="1"/>
  <c r="Y1038" i="8" s="1"/>
  <c r="Y1039" i="8" s="1"/>
  <c r="Y1040" i="8" s="1"/>
  <c r="Y1041" i="8" s="1"/>
  <c r="Y1042" i="8" s="1"/>
  <c r="Y1043" i="8" s="1"/>
  <c r="Y1044" i="8" s="1"/>
  <c r="Y1045" i="8" s="1"/>
  <c r="Y1046" i="8" s="1"/>
  <c r="Y1047" i="8" s="1"/>
  <c r="Y1048" i="8" s="1"/>
  <c r="Y1049" i="8" s="1"/>
  <c r="Y1050" i="8" s="1"/>
  <c r="Y1051" i="8" s="1"/>
  <c r="Y1052" i="8" s="1"/>
  <c r="Y1053" i="8" s="1"/>
  <c r="Y1054" i="8" s="1"/>
  <c r="Y1055" i="8" s="1"/>
  <c r="Y1056" i="8" s="1"/>
  <c r="Y1057" i="8" s="1"/>
  <c r="Y1058" i="8" s="1"/>
  <c r="Y1059" i="8" s="1"/>
  <c r="Y1060" i="8" s="1"/>
  <c r="X1" i="8"/>
  <c r="W2" i="8"/>
  <c r="W3" i="8" s="1"/>
  <c r="W4" i="8" s="1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V2" i="8"/>
  <c r="V1" i="8"/>
  <c r="U2" i="8"/>
  <c r="U3" i="8" s="1"/>
  <c r="U4" i="8" s="1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U24" i="8" s="1"/>
  <c r="U25" i="8" s="1"/>
  <c r="U26" i="8" s="1"/>
  <c r="U27" i="8" s="1"/>
  <c r="U28" i="8" s="1"/>
  <c r="U29" i="8" s="1"/>
  <c r="U30" i="8" s="1"/>
  <c r="U31" i="8" s="1"/>
  <c r="U32" i="8" s="1"/>
  <c r="U33" i="8" s="1"/>
  <c r="U34" i="8" s="1"/>
  <c r="U35" i="8" s="1"/>
  <c r="U36" i="8" s="1"/>
  <c r="U37" i="8" s="1"/>
  <c r="U38" i="8" s="1"/>
  <c r="U39" i="8" s="1"/>
  <c r="U40" i="8" s="1"/>
  <c r="U41" i="8" s="1"/>
  <c r="U42" i="8" s="1"/>
  <c r="U43" i="8" s="1"/>
  <c r="U44" i="8" s="1"/>
  <c r="U45" i="8" s="1"/>
  <c r="U46" i="8" s="1"/>
  <c r="U47" i="8" s="1"/>
  <c r="U48" i="8" s="1"/>
  <c r="U49" i="8" s="1"/>
  <c r="U50" i="8" s="1"/>
  <c r="U51" i="8" s="1"/>
  <c r="U52" i="8" s="1"/>
  <c r="U53" i="8" s="1"/>
  <c r="U54" i="8" s="1"/>
  <c r="U55" i="8" s="1"/>
  <c r="U56" i="8" s="1"/>
  <c r="U57" i="8" s="1"/>
  <c r="U58" i="8" s="1"/>
  <c r="U59" i="8" s="1"/>
  <c r="U60" i="8" s="1"/>
  <c r="U61" i="8" s="1"/>
  <c r="U62" i="8" s="1"/>
  <c r="U63" i="8" s="1"/>
  <c r="U64" i="8" s="1"/>
  <c r="U65" i="8" s="1"/>
  <c r="U66" i="8" s="1"/>
  <c r="U67" i="8" s="1"/>
  <c r="U68" i="8" s="1"/>
  <c r="U69" i="8" s="1"/>
  <c r="U70" i="8" s="1"/>
  <c r="U71" i="8" s="1"/>
  <c r="U72" i="8" s="1"/>
  <c r="U73" i="8" s="1"/>
  <c r="U74" i="8" s="1"/>
  <c r="U75" i="8" s="1"/>
  <c r="U76" i="8" s="1"/>
  <c r="U77" i="8" s="1"/>
  <c r="U78" i="8" s="1"/>
  <c r="U79" i="8" s="1"/>
  <c r="U80" i="8" s="1"/>
  <c r="U81" i="8" s="1"/>
  <c r="U82" i="8" s="1"/>
  <c r="U83" i="8" s="1"/>
  <c r="U84" i="8" s="1"/>
  <c r="U85" i="8" s="1"/>
  <c r="U86" i="8" s="1"/>
  <c r="U87" i="8" s="1"/>
  <c r="U88" i="8" s="1"/>
  <c r="U89" i="8" s="1"/>
  <c r="U90" i="8" s="1"/>
  <c r="U91" i="8" s="1"/>
  <c r="U92" i="8" s="1"/>
  <c r="U93" i="8" s="1"/>
  <c r="U94" i="8" s="1"/>
  <c r="U95" i="8" s="1"/>
  <c r="U96" i="8" s="1"/>
  <c r="U97" i="8" s="1"/>
  <c r="U98" i="8" s="1"/>
  <c r="U99" i="8" s="1"/>
  <c r="U100" i="8" s="1"/>
  <c r="U101" i="8" s="1"/>
  <c r="U102" i="8" s="1"/>
  <c r="U103" i="8" s="1"/>
  <c r="U104" i="8" s="1"/>
  <c r="U105" i="8" s="1"/>
  <c r="U106" i="8" s="1"/>
  <c r="U107" i="8" s="1"/>
  <c r="U108" i="8" s="1"/>
  <c r="U109" i="8" s="1"/>
  <c r="U110" i="8" s="1"/>
  <c r="U111" i="8" s="1"/>
  <c r="U112" i="8" s="1"/>
  <c r="U113" i="8" s="1"/>
  <c r="U114" i="8" s="1"/>
  <c r="U115" i="8" s="1"/>
  <c r="U116" i="8" s="1"/>
  <c r="U117" i="8" s="1"/>
  <c r="U118" i="8" s="1"/>
  <c r="U119" i="8" s="1"/>
  <c r="U120" i="8" s="1"/>
  <c r="U121" i="8" s="1"/>
  <c r="U122" i="8" s="1"/>
  <c r="U123" i="8" s="1"/>
  <c r="U124" i="8" s="1"/>
  <c r="U125" i="8" s="1"/>
  <c r="U126" i="8" s="1"/>
  <c r="U127" i="8" s="1"/>
  <c r="U128" i="8" s="1"/>
  <c r="U129" i="8" s="1"/>
  <c r="U130" i="8" s="1"/>
  <c r="U131" i="8" s="1"/>
  <c r="U132" i="8" s="1"/>
  <c r="U133" i="8" s="1"/>
  <c r="U134" i="8" s="1"/>
  <c r="U135" i="8" s="1"/>
  <c r="U136" i="8" s="1"/>
  <c r="U137" i="8" s="1"/>
  <c r="U138" i="8" s="1"/>
  <c r="U139" i="8" s="1"/>
  <c r="U140" i="8" s="1"/>
  <c r="U141" i="8" s="1"/>
  <c r="U142" i="8" s="1"/>
  <c r="U143" i="8" s="1"/>
  <c r="U144" i="8" s="1"/>
  <c r="U145" i="8" s="1"/>
  <c r="U146" i="8" s="1"/>
  <c r="U147" i="8" s="1"/>
  <c r="U148" i="8" s="1"/>
  <c r="U149" i="8" s="1"/>
  <c r="U150" i="8" s="1"/>
  <c r="U151" i="8" s="1"/>
  <c r="U152" i="8" s="1"/>
  <c r="U153" i="8" s="1"/>
  <c r="U154" i="8" s="1"/>
  <c r="U155" i="8" s="1"/>
  <c r="U156" i="8" s="1"/>
  <c r="U157" i="8" s="1"/>
  <c r="U158" i="8" s="1"/>
  <c r="U159" i="8" s="1"/>
  <c r="U160" i="8" s="1"/>
  <c r="U161" i="8" s="1"/>
  <c r="U162" i="8" s="1"/>
  <c r="U163" i="8" s="1"/>
  <c r="U164" i="8" s="1"/>
  <c r="U165" i="8" s="1"/>
  <c r="U166" i="8" s="1"/>
  <c r="U167" i="8" s="1"/>
  <c r="U168" i="8" s="1"/>
  <c r="U169" i="8" s="1"/>
  <c r="U170" i="8" s="1"/>
  <c r="U171" i="8" s="1"/>
  <c r="U172" i="8" s="1"/>
  <c r="U173" i="8" s="1"/>
  <c r="U174" i="8" s="1"/>
  <c r="U175" i="8" s="1"/>
  <c r="U176" i="8" s="1"/>
  <c r="U177" i="8" s="1"/>
  <c r="U178" i="8" s="1"/>
  <c r="U179" i="8" s="1"/>
  <c r="U180" i="8" s="1"/>
  <c r="U181" i="8" s="1"/>
  <c r="U182" i="8" s="1"/>
  <c r="U183" i="8" s="1"/>
  <c r="U184" i="8" s="1"/>
  <c r="U185" i="8" s="1"/>
  <c r="U186" i="8" s="1"/>
  <c r="U187" i="8" s="1"/>
  <c r="U188" i="8" s="1"/>
  <c r="U189" i="8" s="1"/>
  <c r="U190" i="8" s="1"/>
  <c r="U191" i="8" s="1"/>
  <c r="U192" i="8" s="1"/>
  <c r="U193" i="8" s="1"/>
  <c r="U194" i="8" s="1"/>
  <c r="U195" i="8" s="1"/>
  <c r="U196" i="8" s="1"/>
  <c r="U197" i="8" s="1"/>
  <c r="U198" i="8" s="1"/>
  <c r="U199" i="8" s="1"/>
  <c r="U200" i="8" s="1"/>
  <c r="U201" i="8" s="1"/>
  <c r="U202" i="8" s="1"/>
  <c r="U203" i="8" s="1"/>
  <c r="U204" i="8" s="1"/>
  <c r="U205" i="8" s="1"/>
  <c r="U206" i="8" s="1"/>
  <c r="U207" i="8" s="1"/>
  <c r="U208" i="8" s="1"/>
  <c r="U209" i="8" s="1"/>
  <c r="U210" i="8" s="1"/>
  <c r="U211" i="8" s="1"/>
  <c r="U212" i="8" s="1"/>
  <c r="U213" i="8" s="1"/>
  <c r="U214" i="8" s="1"/>
  <c r="U215" i="8" s="1"/>
  <c r="U216" i="8" s="1"/>
  <c r="U217" i="8" s="1"/>
  <c r="U218" i="8" s="1"/>
  <c r="U219" i="8" s="1"/>
  <c r="U220" i="8" s="1"/>
  <c r="U221" i="8" s="1"/>
  <c r="U222" i="8" s="1"/>
  <c r="U223" i="8" s="1"/>
  <c r="U224" i="8" s="1"/>
  <c r="U225" i="8" s="1"/>
  <c r="U226" i="8" s="1"/>
  <c r="U227" i="8" s="1"/>
  <c r="U228" i="8" s="1"/>
  <c r="U229" i="8" s="1"/>
  <c r="U230" i="8" s="1"/>
  <c r="U231" i="8" s="1"/>
  <c r="U232" i="8" s="1"/>
  <c r="U233" i="8" s="1"/>
  <c r="U234" i="8" s="1"/>
  <c r="U235" i="8" s="1"/>
  <c r="U236" i="8" s="1"/>
  <c r="U237" i="8" s="1"/>
  <c r="U238" i="8" s="1"/>
  <c r="U239" i="8" s="1"/>
  <c r="U240" i="8" s="1"/>
  <c r="U241" i="8" s="1"/>
  <c r="U242" i="8" s="1"/>
  <c r="U243" i="8" s="1"/>
  <c r="U244" i="8" s="1"/>
  <c r="U245" i="8" s="1"/>
  <c r="U246" i="8" s="1"/>
  <c r="U247" i="8" s="1"/>
  <c r="U248" i="8" s="1"/>
  <c r="U249" i="8" s="1"/>
  <c r="U250" i="8" s="1"/>
  <c r="U251" i="8" s="1"/>
  <c r="U252" i="8" s="1"/>
  <c r="U253" i="8" s="1"/>
  <c r="U254" i="8" s="1"/>
  <c r="U255" i="8" s="1"/>
  <c r="U256" i="8" s="1"/>
  <c r="U257" i="8" s="1"/>
  <c r="U258" i="8" s="1"/>
  <c r="U259" i="8" s="1"/>
  <c r="U260" i="8" s="1"/>
  <c r="U261" i="8" s="1"/>
  <c r="U262" i="8" s="1"/>
  <c r="U263" i="8" s="1"/>
  <c r="U264" i="8" s="1"/>
  <c r="U265" i="8" s="1"/>
  <c r="U266" i="8" s="1"/>
  <c r="U267" i="8" s="1"/>
  <c r="U268" i="8" s="1"/>
  <c r="U269" i="8" s="1"/>
  <c r="U270" i="8" s="1"/>
  <c r="U271" i="8" s="1"/>
  <c r="U272" i="8" s="1"/>
  <c r="U273" i="8" s="1"/>
  <c r="U274" i="8" s="1"/>
  <c r="U275" i="8" s="1"/>
  <c r="U276" i="8" s="1"/>
  <c r="U277" i="8" s="1"/>
  <c r="U278" i="8" s="1"/>
  <c r="U279" i="8" s="1"/>
  <c r="U280" i="8" s="1"/>
  <c r="U281" i="8" s="1"/>
  <c r="U282" i="8" s="1"/>
  <c r="U283" i="8" s="1"/>
  <c r="U284" i="8" s="1"/>
  <c r="U285" i="8" s="1"/>
  <c r="U286" i="8" s="1"/>
  <c r="U287" i="8" s="1"/>
  <c r="U288" i="8" s="1"/>
  <c r="U289" i="8" s="1"/>
  <c r="U290" i="8" s="1"/>
  <c r="U291" i="8" s="1"/>
  <c r="U292" i="8" s="1"/>
  <c r="U293" i="8" s="1"/>
  <c r="U294" i="8" s="1"/>
  <c r="U295" i="8" s="1"/>
  <c r="U296" i="8" s="1"/>
  <c r="U297" i="8" s="1"/>
  <c r="U298" i="8" s="1"/>
  <c r="U299" i="8" s="1"/>
  <c r="U300" i="8" s="1"/>
  <c r="U301" i="8" s="1"/>
  <c r="U302" i="8" s="1"/>
  <c r="U303" i="8" s="1"/>
  <c r="U304" i="8" s="1"/>
  <c r="U305" i="8" s="1"/>
  <c r="U306" i="8" s="1"/>
  <c r="U307" i="8" s="1"/>
  <c r="U308" i="8" s="1"/>
  <c r="U309" i="8" s="1"/>
  <c r="U310" i="8" s="1"/>
  <c r="U311" i="8" s="1"/>
  <c r="U312" i="8" s="1"/>
  <c r="U313" i="8" s="1"/>
  <c r="U314" i="8" s="1"/>
  <c r="U315" i="8" s="1"/>
  <c r="U316" i="8" s="1"/>
  <c r="U317" i="8" s="1"/>
  <c r="U318" i="8" s="1"/>
  <c r="U319" i="8" s="1"/>
  <c r="U320" i="8" s="1"/>
  <c r="U321" i="8" s="1"/>
  <c r="U322" i="8" s="1"/>
  <c r="U323" i="8" s="1"/>
  <c r="U324" i="8" s="1"/>
  <c r="U325" i="8" s="1"/>
  <c r="U326" i="8" s="1"/>
  <c r="U327" i="8" s="1"/>
  <c r="U328" i="8" s="1"/>
  <c r="U329" i="8" s="1"/>
  <c r="U330" i="8" s="1"/>
  <c r="U331" i="8" s="1"/>
  <c r="U332" i="8" s="1"/>
  <c r="U333" i="8" s="1"/>
  <c r="U334" i="8" s="1"/>
  <c r="U335" i="8" s="1"/>
  <c r="U336" i="8" s="1"/>
  <c r="U337" i="8" s="1"/>
  <c r="U338" i="8" s="1"/>
  <c r="U339" i="8" s="1"/>
  <c r="U340" i="8" s="1"/>
  <c r="U341" i="8" s="1"/>
  <c r="U342" i="8" s="1"/>
  <c r="U343" i="8" s="1"/>
  <c r="U344" i="8" s="1"/>
  <c r="U345" i="8" s="1"/>
  <c r="U346" i="8" s="1"/>
  <c r="U347" i="8" s="1"/>
  <c r="U348" i="8" s="1"/>
  <c r="U349" i="8" s="1"/>
  <c r="U350" i="8" s="1"/>
  <c r="U351" i="8" s="1"/>
  <c r="U352" i="8" s="1"/>
  <c r="U353" i="8" s="1"/>
  <c r="U354" i="8" s="1"/>
  <c r="U355" i="8" s="1"/>
  <c r="U356" i="8" s="1"/>
  <c r="U357" i="8" s="1"/>
  <c r="U358" i="8" s="1"/>
  <c r="U359" i="8" s="1"/>
  <c r="U360" i="8" s="1"/>
  <c r="U361" i="8" s="1"/>
  <c r="U362" i="8" s="1"/>
  <c r="U363" i="8" s="1"/>
  <c r="U364" i="8" s="1"/>
  <c r="U365" i="8" s="1"/>
  <c r="U366" i="8" s="1"/>
  <c r="U367" i="8" s="1"/>
  <c r="U368" i="8" s="1"/>
  <c r="U369" i="8" s="1"/>
  <c r="U370" i="8" s="1"/>
  <c r="U371" i="8" s="1"/>
  <c r="U372" i="8" s="1"/>
  <c r="U373" i="8" s="1"/>
  <c r="U374" i="8" s="1"/>
  <c r="U375" i="8" s="1"/>
  <c r="U376" i="8" s="1"/>
  <c r="U377" i="8" s="1"/>
  <c r="U378" i="8" s="1"/>
  <c r="U379" i="8" s="1"/>
  <c r="U380" i="8" s="1"/>
  <c r="U381" i="8" s="1"/>
  <c r="U382" i="8" s="1"/>
  <c r="U383" i="8" s="1"/>
  <c r="U384" i="8" s="1"/>
  <c r="U385" i="8" s="1"/>
  <c r="U386" i="8" s="1"/>
  <c r="U387" i="8" s="1"/>
  <c r="U388" i="8" s="1"/>
  <c r="U389" i="8" s="1"/>
  <c r="U390" i="8" s="1"/>
  <c r="U391" i="8" s="1"/>
  <c r="U392" i="8" s="1"/>
  <c r="U393" i="8" s="1"/>
  <c r="U394" i="8" s="1"/>
  <c r="U395" i="8" s="1"/>
  <c r="U396" i="8" s="1"/>
  <c r="U397" i="8" s="1"/>
  <c r="U398" i="8" s="1"/>
  <c r="U399" i="8" s="1"/>
  <c r="U400" i="8" s="1"/>
  <c r="U401" i="8" s="1"/>
  <c r="U402" i="8" s="1"/>
  <c r="U403" i="8" s="1"/>
  <c r="U404" i="8" s="1"/>
  <c r="U405" i="8" s="1"/>
  <c r="U406" i="8" s="1"/>
  <c r="U407" i="8" s="1"/>
  <c r="U408" i="8" s="1"/>
  <c r="U409" i="8" s="1"/>
  <c r="U410" i="8" s="1"/>
  <c r="U411" i="8" s="1"/>
  <c r="U412" i="8" s="1"/>
  <c r="U413" i="8" s="1"/>
  <c r="U414" i="8" s="1"/>
  <c r="U415" i="8" s="1"/>
  <c r="U416" i="8" s="1"/>
  <c r="U417" i="8" s="1"/>
  <c r="U418" i="8" s="1"/>
  <c r="U419" i="8" s="1"/>
  <c r="U420" i="8" s="1"/>
  <c r="U421" i="8" s="1"/>
  <c r="U422" i="8" s="1"/>
  <c r="U423" i="8" s="1"/>
  <c r="U424" i="8" s="1"/>
  <c r="U425" i="8" s="1"/>
  <c r="U426" i="8" s="1"/>
  <c r="U427" i="8" s="1"/>
  <c r="U428" i="8" s="1"/>
  <c r="U429" i="8" s="1"/>
  <c r="U430" i="8" s="1"/>
  <c r="U431" i="8" s="1"/>
  <c r="U432" i="8" s="1"/>
  <c r="U433" i="8" s="1"/>
  <c r="U434" i="8" s="1"/>
  <c r="U435" i="8" s="1"/>
  <c r="U436" i="8" s="1"/>
  <c r="U437" i="8" s="1"/>
  <c r="U438" i="8" s="1"/>
  <c r="U439" i="8" s="1"/>
  <c r="U440" i="8" s="1"/>
  <c r="U441" i="8" s="1"/>
  <c r="U442" i="8" s="1"/>
  <c r="U443" i="8" s="1"/>
  <c r="U444" i="8" s="1"/>
  <c r="U445" i="8" s="1"/>
  <c r="U446" i="8" s="1"/>
  <c r="U447" i="8" s="1"/>
  <c r="U448" i="8" s="1"/>
  <c r="U449" i="8" s="1"/>
  <c r="U450" i="8" s="1"/>
  <c r="U451" i="8" s="1"/>
  <c r="U452" i="8" s="1"/>
  <c r="U453" i="8" s="1"/>
  <c r="U454" i="8" s="1"/>
  <c r="U455" i="8" s="1"/>
  <c r="U456" i="8" s="1"/>
  <c r="U457" i="8" s="1"/>
  <c r="U458" i="8" s="1"/>
  <c r="U459" i="8" s="1"/>
  <c r="U460" i="8" s="1"/>
  <c r="U461" i="8" s="1"/>
  <c r="U462" i="8" s="1"/>
  <c r="U463" i="8" s="1"/>
  <c r="U464" i="8" s="1"/>
  <c r="U465" i="8" s="1"/>
  <c r="U466" i="8" s="1"/>
  <c r="U467" i="8" s="1"/>
  <c r="U468" i="8" s="1"/>
  <c r="U469" i="8" s="1"/>
  <c r="U470" i="8" s="1"/>
  <c r="U471" i="8" s="1"/>
  <c r="U472" i="8" s="1"/>
  <c r="U473" i="8" s="1"/>
  <c r="U474" i="8" s="1"/>
  <c r="U475" i="8" s="1"/>
  <c r="U476" i="8" s="1"/>
  <c r="U477" i="8" s="1"/>
  <c r="U478" i="8" s="1"/>
  <c r="U479" i="8" s="1"/>
  <c r="U480" i="8" s="1"/>
  <c r="U481" i="8" s="1"/>
  <c r="U482" i="8" s="1"/>
  <c r="U483" i="8" s="1"/>
  <c r="U484" i="8" s="1"/>
  <c r="U485" i="8" s="1"/>
  <c r="U486" i="8" s="1"/>
  <c r="U487" i="8" s="1"/>
  <c r="U488" i="8" s="1"/>
  <c r="U489" i="8" s="1"/>
  <c r="U490" i="8" s="1"/>
  <c r="U491" i="8" s="1"/>
  <c r="U492" i="8" s="1"/>
  <c r="U493" i="8" s="1"/>
  <c r="U494" i="8" s="1"/>
  <c r="U495" i="8" s="1"/>
  <c r="U496" i="8" s="1"/>
  <c r="U497" i="8" s="1"/>
  <c r="U498" i="8" s="1"/>
  <c r="U499" i="8" s="1"/>
  <c r="U500" i="8" s="1"/>
  <c r="U501" i="8" s="1"/>
  <c r="U502" i="8" s="1"/>
  <c r="U503" i="8" s="1"/>
  <c r="U504" i="8" s="1"/>
  <c r="U505" i="8" s="1"/>
  <c r="U506" i="8" s="1"/>
  <c r="U507" i="8" s="1"/>
  <c r="U508" i="8" s="1"/>
  <c r="U509" i="8" s="1"/>
  <c r="U510" i="8" s="1"/>
  <c r="U511" i="8" s="1"/>
  <c r="U512" i="8" s="1"/>
  <c r="U513" i="8" s="1"/>
  <c r="U514" i="8" s="1"/>
  <c r="U515" i="8" s="1"/>
  <c r="U516" i="8" s="1"/>
  <c r="U517" i="8" s="1"/>
  <c r="U518" i="8" s="1"/>
  <c r="U519" i="8" s="1"/>
  <c r="U520" i="8" s="1"/>
  <c r="U521" i="8" s="1"/>
  <c r="U522" i="8" s="1"/>
  <c r="U523" i="8" s="1"/>
  <c r="U524" i="8" s="1"/>
  <c r="U525" i="8" s="1"/>
  <c r="U526" i="8" s="1"/>
  <c r="U527" i="8" s="1"/>
  <c r="U528" i="8" s="1"/>
  <c r="U529" i="8" s="1"/>
  <c r="U530" i="8" s="1"/>
  <c r="U531" i="8" s="1"/>
  <c r="U532" i="8" s="1"/>
  <c r="U533" i="8" s="1"/>
  <c r="U534" i="8" s="1"/>
  <c r="U535" i="8" s="1"/>
  <c r="U536" i="8" s="1"/>
  <c r="U537" i="8" s="1"/>
  <c r="U538" i="8" s="1"/>
  <c r="U539" i="8" s="1"/>
  <c r="U540" i="8" s="1"/>
  <c r="U541" i="8" s="1"/>
  <c r="U542" i="8" s="1"/>
  <c r="U543" i="8" s="1"/>
  <c r="U544" i="8" s="1"/>
  <c r="U545" i="8" s="1"/>
  <c r="U546" i="8" s="1"/>
  <c r="U547" i="8" s="1"/>
  <c r="U548" i="8" s="1"/>
  <c r="U549" i="8" s="1"/>
  <c r="U550" i="8" s="1"/>
  <c r="U551" i="8" s="1"/>
  <c r="U552" i="8" s="1"/>
  <c r="U553" i="8" s="1"/>
  <c r="U554" i="8" s="1"/>
  <c r="U555" i="8" s="1"/>
  <c r="U556" i="8" s="1"/>
  <c r="U557" i="8" s="1"/>
  <c r="U558" i="8" s="1"/>
  <c r="U559" i="8" s="1"/>
  <c r="U560" i="8" s="1"/>
  <c r="U561" i="8" s="1"/>
  <c r="U562" i="8" s="1"/>
  <c r="U563" i="8" s="1"/>
  <c r="U564" i="8" s="1"/>
  <c r="U565" i="8" s="1"/>
  <c r="U566" i="8" s="1"/>
  <c r="U567" i="8" s="1"/>
  <c r="U568" i="8" s="1"/>
  <c r="U569" i="8" s="1"/>
  <c r="U570" i="8" s="1"/>
  <c r="U571" i="8" s="1"/>
  <c r="U572" i="8" s="1"/>
  <c r="U573" i="8" s="1"/>
  <c r="U574" i="8" s="1"/>
  <c r="U575" i="8" s="1"/>
  <c r="U576" i="8" s="1"/>
  <c r="U577" i="8" s="1"/>
  <c r="U578" i="8" s="1"/>
  <c r="U579" i="8" s="1"/>
  <c r="U580" i="8" s="1"/>
  <c r="U581" i="8" s="1"/>
  <c r="U582" i="8" s="1"/>
  <c r="U583" i="8" s="1"/>
  <c r="U584" i="8" s="1"/>
  <c r="U585" i="8" s="1"/>
  <c r="U586" i="8" s="1"/>
  <c r="U587" i="8" s="1"/>
  <c r="U588" i="8" s="1"/>
  <c r="U589" i="8" s="1"/>
  <c r="U590" i="8" s="1"/>
  <c r="U591" i="8" s="1"/>
  <c r="U592" i="8" s="1"/>
  <c r="U593" i="8" s="1"/>
  <c r="U594" i="8" s="1"/>
  <c r="U595" i="8" s="1"/>
  <c r="U596" i="8" s="1"/>
  <c r="U597" i="8" s="1"/>
  <c r="U598" i="8" s="1"/>
  <c r="U599" i="8" s="1"/>
  <c r="U600" i="8" s="1"/>
  <c r="U601" i="8" s="1"/>
  <c r="U602" i="8" s="1"/>
  <c r="U603" i="8" s="1"/>
  <c r="U604" i="8" s="1"/>
  <c r="U605" i="8" s="1"/>
  <c r="U606" i="8" s="1"/>
  <c r="U607" i="8" s="1"/>
  <c r="U608" i="8" s="1"/>
  <c r="U609" i="8" s="1"/>
  <c r="U610" i="8" s="1"/>
  <c r="U611" i="8" s="1"/>
  <c r="U612" i="8" s="1"/>
  <c r="U613" i="8" s="1"/>
  <c r="U614" i="8" s="1"/>
  <c r="U615" i="8" s="1"/>
  <c r="U616" i="8" s="1"/>
  <c r="U617" i="8" s="1"/>
  <c r="U618" i="8" s="1"/>
  <c r="U619" i="8" s="1"/>
  <c r="U620" i="8" s="1"/>
  <c r="U621" i="8" s="1"/>
  <c r="U622" i="8" s="1"/>
  <c r="U623" i="8" s="1"/>
  <c r="U624" i="8" s="1"/>
  <c r="U625" i="8" s="1"/>
  <c r="U626" i="8" s="1"/>
  <c r="U627" i="8" s="1"/>
  <c r="U628" i="8" s="1"/>
  <c r="U629" i="8" s="1"/>
  <c r="U630" i="8" s="1"/>
  <c r="U631" i="8" s="1"/>
  <c r="U632" i="8" s="1"/>
  <c r="U633" i="8" s="1"/>
  <c r="U634" i="8" s="1"/>
  <c r="U635" i="8" s="1"/>
  <c r="U636" i="8" s="1"/>
  <c r="U637" i="8" s="1"/>
  <c r="U638" i="8" s="1"/>
  <c r="U639" i="8" s="1"/>
  <c r="U640" i="8" s="1"/>
  <c r="U641" i="8" s="1"/>
  <c r="U642" i="8" s="1"/>
  <c r="U643" i="8" s="1"/>
  <c r="U644" i="8" s="1"/>
  <c r="U645" i="8" s="1"/>
  <c r="U646" i="8" s="1"/>
  <c r="U647" i="8" s="1"/>
  <c r="U648" i="8" s="1"/>
  <c r="U649" i="8" s="1"/>
  <c r="U650" i="8" s="1"/>
  <c r="U651" i="8" s="1"/>
  <c r="U652" i="8" s="1"/>
  <c r="U653" i="8" s="1"/>
  <c r="U654" i="8" s="1"/>
  <c r="U655" i="8" s="1"/>
  <c r="U656" i="8" s="1"/>
  <c r="U657" i="8" s="1"/>
  <c r="U658" i="8" s="1"/>
  <c r="U659" i="8" s="1"/>
  <c r="U660" i="8" s="1"/>
  <c r="U661" i="8" s="1"/>
  <c r="U662" i="8" s="1"/>
  <c r="U663" i="8" s="1"/>
  <c r="U664" i="8" s="1"/>
  <c r="U665" i="8" s="1"/>
  <c r="U666" i="8" s="1"/>
  <c r="U667" i="8" s="1"/>
  <c r="U668" i="8" s="1"/>
  <c r="U669" i="8" s="1"/>
  <c r="U670" i="8" s="1"/>
  <c r="U671" i="8" s="1"/>
  <c r="U672" i="8" s="1"/>
  <c r="U673" i="8" s="1"/>
  <c r="U674" i="8" s="1"/>
  <c r="U675" i="8" s="1"/>
  <c r="U676" i="8" s="1"/>
  <c r="U677" i="8" s="1"/>
  <c r="U678" i="8" s="1"/>
  <c r="U679" i="8" s="1"/>
  <c r="U680" i="8" s="1"/>
  <c r="U681" i="8" s="1"/>
  <c r="U682" i="8" s="1"/>
  <c r="U683" i="8" s="1"/>
  <c r="U684" i="8" s="1"/>
  <c r="U685" i="8" s="1"/>
  <c r="U686" i="8" s="1"/>
  <c r="U687" i="8" s="1"/>
  <c r="U688" i="8" s="1"/>
  <c r="U689" i="8" s="1"/>
  <c r="U690" i="8" s="1"/>
  <c r="U691" i="8" s="1"/>
  <c r="U692" i="8" s="1"/>
  <c r="U693" i="8" s="1"/>
  <c r="U694" i="8" s="1"/>
  <c r="U695" i="8" s="1"/>
  <c r="U696" i="8" s="1"/>
  <c r="U697" i="8" s="1"/>
  <c r="U698" i="8" s="1"/>
  <c r="U699" i="8" s="1"/>
  <c r="U700" i="8" s="1"/>
  <c r="U701" i="8" s="1"/>
  <c r="U702" i="8" s="1"/>
  <c r="U703" i="8" s="1"/>
  <c r="U704" i="8" s="1"/>
  <c r="U705" i="8" s="1"/>
  <c r="U706" i="8" s="1"/>
  <c r="U707" i="8" s="1"/>
  <c r="U708" i="8" s="1"/>
  <c r="U709" i="8" s="1"/>
  <c r="U710" i="8" s="1"/>
  <c r="U711" i="8" s="1"/>
  <c r="U712" i="8" s="1"/>
  <c r="U713" i="8" s="1"/>
  <c r="U714" i="8" s="1"/>
  <c r="U715" i="8" s="1"/>
  <c r="U716" i="8" s="1"/>
  <c r="U717" i="8" s="1"/>
  <c r="U718" i="8" s="1"/>
  <c r="U719" i="8" s="1"/>
  <c r="U720" i="8" s="1"/>
  <c r="U721" i="8" s="1"/>
  <c r="U722" i="8" s="1"/>
  <c r="U723" i="8" s="1"/>
  <c r="U724" i="8" s="1"/>
  <c r="U725" i="8" s="1"/>
  <c r="U726" i="8" s="1"/>
  <c r="U727" i="8" s="1"/>
  <c r="U728" i="8" s="1"/>
  <c r="U729" i="8" s="1"/>
  <c r="U730" i="8" s="1"/>
  <c r="U731" i="8" s="1"/>
  <c r="U732" i="8" s="1"/>
  <c r="U733" i="8" s="1"/>
  <c r="U734" i="8" s="1"/>
  <c r="U735" i="8" s="1"/>
  <c r="U736" i="8" s="1"/>
  <c r="U737" i="8" s="1"/>
  <c r="U738" i="8" s="1"/>
  <c r="U739" i="8" s="1"/>
  <c r="U740" i="8" s="1"/>
  <c r="U741" i="8" s="1"/>
  <c r="U742" i="8" s="1"/>
  <c r="U743" i="8" s="1"/>
  <c r="U744" i="8" s="1"/>
  <c r="U745" i="8" s="1"/>
  <c r="U746" i="8" s="1"/>
  <c r="U747" i="8" s="1"/>
  <c r="U748" i="8" s="1"/>
  <c r="U749" i="8" s="1"/>
  <c r="U750" i="8" s="1"/>
  <c r="U751" i="8" s="1"/>
  <c r="U752" i="8" s="1"/>
  <c r="U753" i="8" s="1"/>
  <c r="U754" i="8" s="1"/>
  <c r="U755" i="8" s="1"/>
  <c r="U756" i="8" s="1"/>
  <c r="U757" i="8" s="1"/>
  <c r="U758" i="8" s="1"/>
  <c r="U759" i="8" s="1"/>
  <c r="U760" i="8" s="1"/>
  <c r="U761" i="8" s="1"/>
  <c r="U762" i="8" s="1"/>
  <c r="U763" i="8" s="1"/>
  <c r="U764" i="8" s="1"/>
  <c r="U765" i="8" s="1"/>
  <c r="U766" i="8" s="1"/>
  <c r="U767" i="8" s="1"/>
  <c r="U768" i="8" s="1"/>
  <c r="U769" i="8" s="1"/>
  <c r="U770" i="8" s="1"/>
  <c r="U771" i="8" s="1"/>
  <c r="U772" i="8" s="1"/>
  <c r="U773" i="8" s="1"/>
  <c r="U774" i="8" s="1"/>
  <c r="U775" i="8" s="1"/>
  <c r="U776" i="8" s="1"/>
  <c r="U777" i="8" s="1"/>
  <c r="U778" i="8" s="1"/>
  <c r="U779" i="8" s="1"/>
  <c r="U780" i="8" s="1"/>
  <c r="U781" i="8" s="1"/>
  <c r="U782" i="8" s="1"/>
  <c r="U783" i="8" s="1"/>
  <c r="U784" i="8" s="1"/>
  <c r="U785" i="8" s="1"/>
  <c r="U786" i="8" s="1"/>
  <c r="U787" i="8" s="1"/>
  <c r="U788" i="8" s="1"/>
  <c r="U789" i="8" s="1"/>
  <c r="U790" i="8" s="1"/>
  <c r="U791" i="8" s="1"/>
  <c r="U792" i="8" s="1"/>
  <c r="U793" i="8" s="1"/>
  <c r="U794" i="8" s="1"/>
  <c r="U795" i="8" s="1"/>
  <c r="U796" i="8" s="1"/>
  <c r="U797" i="8" s="1"/>
  <c r="U798" i="8" s="1"/>
  <c r="U799" i="8" s="1"/>
  <c r="U800" i="8" s="1"/>
  <c r="U801" i="8" s="1"/>
  <c r="U802" i="8" s="1"/>
  <c r="U803" i="8" s="1"/>
  <c r="U804" i="8" s="1"/>
  <c r="U805" i="8" s="1"/>
  <c r="U806" i="8" s="1"/>
  <c r="U807" i="8" s="1"/>
  <c r="U808" i="8" s="1"/>
  <c r="U809" i="8" s="1"/>
  <c r="U810" i="8" s="1"/>
  <c r="U811" i="8" s="1"/>
  <c r="U812" i="8" s="1"/>
  <c r="U813" i="8" s="1"/>
  <c r="U814" i="8" s="1"/>
  <c r="U815" i="8" s="1"/>
  <c r="U816" i="8" s="1"/>
  <c r="U817" i="8" s="1"/>
  <c r="U818" i="8" s="1"/>
  <c r="U819" i="8" s="1"/>
  <c r="U820" i="8" s="1"/>
  <c r="U821" i="8" s="1"/>
  <c r="U822" i="8" s="1"/>
  <c r="U823" i="8" s="1"/>
  <c r="U824" i="8" s="1"/>
  <c r="U825" i="8" s="1"/>
  <c r="U826" i="8" s="1"/>
  <c r="U827" i="8" s="1"/>
  <c r="U828" i="8" s="1"/>
  <c r="U829" i="8" s="1"/>
  <c r="U830" i="8" s="1"/>
  <c r="U831" i="8" s="1"/>
  <c r="U832" i="8" s="1"/>
  <c r="U833" i="8" s="1"/>
  <c r="U834" i="8" s="1"/>
  <c r="U835" i="8" s="1"/>
  <c r="U836" i="8" s="1"/>
  <c r="U837" i="8" s="1"/>
  <c r="U838" i="8" s="1"/>
  <c r="U839" i="8" s="1"/>
  <c r="U840" i="8" s="1"/>
  <c r="U841" i="8" s="1"/>
  <c r="U842" i="8" s="1"/>
  <c r="U843" i="8" s="1"/>
  <c r="U844" i="8" s="1"/>
  <c r="U845" i="8" s="1"/>
  <c r="U846" i="8" s="1"/>
  <c r="U847" i="8" s="1"/>
  <c r="U848" i="8" s="1"/>
  <c r="U849" i="8" s="1"/>
  <c r="U850" i="8" s="1"/>
  <c r="U851" i="8" s="1"/>
  <c r="U852" i="8" s="1"/>
  <c r="U853" i="8" s="1"/>
  <c r="U854" i="8" s="1"/>
  <c r="U855" i="8" s="1"/>
  <c r="U856" i="8" s="1"/>
  <c r="U857" i="8" s="1"/>
  <c r="U858" i="8" s="1"/>
  <c r="U859" i="8" s="1"/>
  <c r="U860" i="8" s="1"/>
  <c r="U861" i="8" s="1"/>
  <c r="U862" i="8" s="1"/>
  <c r="U863" i="8" s="1"/>
  <c r="U864" i="8" s="1"/>
  <c r="U865" i="8" s="1"/>
  <c r="U866" i="8" s="1"/>
  <c r="U867" i="8" s="1"/>
  <c r="U868" i="8" s="1"/>
  <c r="U869" i="8" s="1"/>
  <c r="U870" i="8" s="1"/>
  <c r="U871" i="8" s="1"/>
  <c r="U872" i="8" s="1"/>
  <c r="U873" i="8" s="1"/>
  <c r="U874" i="8" s="1"/>
  <c r="U875" i="8" s="1"/>
  <c r="U876" i="8" s="1"/>
  <c r="U877" i="8" s="1"/>
  <c r="U878" i="8" s="1"/>
  <c r="U879" i="8" s="1"/>
  <c r="U880" i="8" s="1"/>
  <c r="U881" i="8" s="1"/>
  <c r="U882" i="8" s="1"/>
  <c r="U883" i="8" s="1"/>
  <c r="U884" i="8" s="1"/>
  <c r="U885" i="8" s="1"/>
  <c r="U886" i="8" s="1"/>
  <c r="U887" i="8" s="1"/>
  <c r="U888" i="8" s="1"/>
  <c r="U889" i="8" s="1"/>
  <c r="U890" i="8" s="1"/>
  <c r="U891" i="8" s="1"/>
  <c r="U892" i="8" s="1"/>
  <c r="U893" i="8" s="1"/>
  <c r="U894" i="8" s="1"/>
  <c r="U895" i="8" s="1"/>
  <c r="U896" i="8" s="1"/>
  <c r="U897" i="8" s="1"/>
  <c r="U898" i="8" s="1"/>
  <c r="U899" i="8" s="1"/>
  <c r="U900" i="8" s="1"/>
  <c r="U901" i="8" s="1"/>
  <c r="U902" i="8" s="1"/>
  <c r="U903" i="8" s="1"/>
  <c r="U904" i="8" s="1"/>
  <c r="U905" i="8" s="1"/>
  <c r="U906" i="8" s="1"/>
  <c r="U907" i="8" s="1"/>
  <c r="U908" i="8" s="1"/>
  <c r="U909" i="8" s="1"/>
  <c r="U910" i="8" s="1"/>
  <c r="U911" i="8" s="1"/>
  <c r="U912" i="8" s="1"/>
  <c r="U913" i="8" s="1"/>
  <c r="U914" i="8" s="1"/>
  <c r="U915" i="8" s="1"/>
  <c r="U916" i="8" s="1"/>
  <c r="U917" i="8" s="1"/>
  <c r="U918" i="8" s="1"/>
  <c r="U919" i="8" s="1"/>
  <c r="U920" i="8" s="1"/>
  <c r="U921" i="8" s="1"/>
  <c r="U922" i="8" s="1"/>
  <c r="U923" i="8" s="1"/>
  <c r="U924" i="8" s="1"/>
  <c r="U925" i="8" s="1"/>
  <c r="U926" i="8" s="1"/>
  <c r="U927" i="8" s="1"/>
  <c r="U928" i="8" s="1"/>
  <c r="U929" i="8" s="1"/>
  <c r="U930" i="8" s="1"/>
  <c r="U931" i="8" s="1"/>
  <c r="U932" i="8" s="1"/>
  <c r="U933" i="8" s="1"/>
  <c r="U934" i="8" s="1"/>
  <c r="U935" i="8" s="1"/>
  <c r="U936" i="8" s="1"/>
  <c r="U937" i="8" s="1"/>
  <c r="U938" i="8" s="1"/>
  <c r="U939" i="8" s="1"/>
  <c r="U940" i="8" s="1"/>
  <c r="U941" i="8" s="1"/>
  <c r="U942" i="8" s="1"/>
  <c r="U943" i="8" s="1"/>
  <c r="U944" i="8" s="1"/>
  <c r="U945" i="8" s="1"/>
  <c r="U946" i="8" s="1"/>
  <c r="U947" i="8" s="1"/>
  <c r="U948" i="8" s="1"/>
  <c r="U949" i="8" s="1"/>
  <c r="U950" i="8" s="1"/>
  <c r="U951" i="8" s="1"/>
  <c r="U952" i="8" s="1"/>
  <c r="U953" i="8" s="1"/>
  <c r="U954" i="8" s="1"/>
  <c r="U955" i="8" s="1"/>
  <c r="U956" i="8" s="1"/>
  <c r="U957" i="8" s="1"/>
  <c r="U958" i="8" s="1"/>
  <c r="U959" i="8" s="1"/>
  <c r="U960" i="8" s="1"/>
  <c r="U961" i="8" s="1"/>
  <c r="U962" i="8" s="1"/>
  <c r="U963" i="8" s="1"/>
  <c r="U964" i="8" s="1"/>
  <c r="U965" i="8" s="1"/>
  <c r="U966" i="8" s="1"/>
  <c r="U967" i="8" s="1"/>
  <c r="U968" i="8" s="1"/>
  <c r="U969" i="8" s="1"/>
  <c r="U970" i="8" s="1"/>
  <c r="U971" i="8" s="1"/>
  <c r="U972" i="8" s="1"/>
  <c r="U973" i="8" s="1"/>
  <c r="U974" i="8" s="1"/>
  <c r="U975" i="8" s="1"/>
  <c r="U976" i="8" s="1"/>
  <c r="U977" i="8" s="1"/>
  <c r="U978" i="8" s="1"/>
  <c r="U979" i="8" s="1"/>
  <c r="U980" i="8" s="1"/>
  <c r="U981" i="8" s="1"/>
  <c r="U982" i="8" s="1"/>
  <c r="U983" i="8" s="1"/>
  <c r="U984" i="8" s="1"/>
  <c r="U985" i="8" s="1"/>
  <c r="U986" i="8" s="1"/>
  <c r="U987" i="8" s="1"/>
  <c r="U988" i="8" s="1"/>
  <c r="U989" i="8" s="1"/>
  <c r="U990" i="8" s="1"/>
  <c r="U991" i="8" s="1"/>
  <c r="U992" i="8" s="1"/>
  <c r="U993" i="8" s="1"/>
  <c r="U994" i="8" s="1"/>
  <c r="U995" i="8" s="1"/>
  <c r="U996" i="8" s="1"/>
  <c r="U997" i="8" s="1"/>
  <c r="U998" i="8" s="1"/>
  <c r="U999" i="8" s="1"/>
  <c r="U1000" i="8" s="1"/>
  <c r="U1001" i="8" s="1"/>
  <c r="U1002" i="8" s="1"/>
  <c r="U1003" i="8" s="1"/>
  <c r="U1004" i="8" s="1"/>
  <c r="U1005" i="8" s="1"/>
  <c r="U1006" i="8" s="1"/>
  <c r="U1007" i="8" s="1"/>
  <c r="U1008" i="8" s="1"/>
  <c r="U1009" i="8" s="1"/>
  <c r="U1010" i="8" s="1"/>
  <c r="U1011" i="8" s="1"/>
  <c r="U1012" i="8" s="1"/>
  <c r="U1013" i="8" s="1"/>
  <c r="U1014" i="8" s="1"/>
  <c r="U1015" i="8" s="1"/>
  <c r="U1016" i="8" s="1"/>
  <c r="U1017" i="8" s="1"/>
  <c r="U1018" i="8" s="1"/>
  <c r="U1019" i="8" s="1"/>
  <c r="U1020" i="8" s="1"/>
  <c r="U1021" i="8" s="1"/>
  <c r="U1022" i="8" s="1"/>
  <c r="U1023" i="8" s="1"/>
  <c r="U1024" i="8" s="1"/>
  <c r="U1025" i="8" s="1"/>
  <c r="U1026" i="8" s="1"/>
  <c r="U1027" i="8" s="1"/>
  <c r="U1028" i="8" s="1"/>
  <c r="U1029" i="8" s="1"/>
  <c r="U1030" i="8" s="1"/>
  <c r="U1031" i="8" s="1"/>
  <c r="U1032" i="8" s="1"/>
  <c r="U1033" i="8" s="1"/>
  <c r="U1034" i="8" s="1"/>
  <c r="U1035" i="8" s="1"/>
  <c r="U1036" i="8" s="1"/>
  <c r="U1037" i="8" s="1"/>
  <c r="U1038" i="8" s="1"/>
  <c r="U1039" i="8" s="1"/>
  <c r="U1040" i="8" s="1"/>
  <c r="U1041" i="8" s="1"/>
  <c r="U1042" i="8" s="1"/>
  <c r="U1043" i="8" s="1"/>
  <c r="U1044" i="8" s="1"/>
  <c r="U1045" i="8" s="1"/>
  <c r="U1046" i="8" s="1"/>
  <c r="U1047" i="8" s="1"/>
  <c r="U1048" i="8" s="1"/>
  <c r="U1049" i="8" s="1"/>
  <c r="U1050" i="8" s="1"/>
  <c r="U1051" i="8" s="1"/>
  <c r="U1052" i="8" s="1"/>
  <c r="U1053" i="8" s="1"/>
  <c r="U1054" i="8" s="1"/>
  <c r="U1055" i="8" s="1"/>
  <c r="U1056" i="8" s="1"/>
  <c r="U1057" i="8" s="1"/>
  <c r="U1058" i="8" s="1"/>
  <c r="U1059" i="8" s="1"/>
  <c r="U1060" i="8" s="1"/>
  <c r="T2" i="8"/>
  <c r="T1" i="8"/>
  <c r="S2" i="8"/>
  <c r="S3" i="8" s="1"/>
  <c r="S4" i="8" s="1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S24" i="8" s="1"/>
  <c r="S25" i="8" s="1"/>
  <c r="S26" i="8" s="1"/>
  <c r="S27" i="8" s="1"/>
  <c r="S28" i="8" s="1"/>
  <c r="S29" i="8" s="1"/>
  <c r="S30" i="8" s="1"/>
  <c r="S31" i="8" s="1"/>
  <c r="S32" i="8" s="1"/>
  <c r="S33" i="8" s="1"/>
  <c r="S34" i="8" s="1"/>
  <c r="S35" i="8" s="1"/>
  <c r="S36" i="8" s="1"/>
  <c r="S37" i="8" s="1"/>
  <c r="S38" i="8" s="1"/>
  <c r="S39" i="8" s="1"/>
  <c r="S40" i="8" s="1"/>
  <c r="S41" i="8" s="1"/>
  <c r="S42" i="8" s="1"/>
  <c r="S43" i="8" s="1"/>
  <c r="S44" i="8" s="1"/>
  <c r="S45" i="8" s="1"/>
  <c r="S46" i="8" s="1"/>
  <c r="S47" i="8" s="1"/>
  <c r="S48" i="8" s="1"/>
  <c r="S49" i="8" s="1"/>
  <c r="S50" i="8" s="1"/>
  <c r="S51" i="8" s="1"/>
  <c r="S52" i="8" s="1"/>
  <c r="S53" i="8" s="1"/>
  <c r="S54" i="8" s="1"/>
  <c r="S55" i="8" s="1"/>
  <c r="S56" i="8" s="1"/>
  <c r="S57" i="8" s="1"/>
  <c r="S58" i="8" s="1"/>
  <c r="S59" i="8" s="1"/>
  <c r="S60" i="8" s="1"/>
  <c r="S61" i="8" s="1"/>
  <c r="S62" i="8" s="1"/>
  <c r="S63" i="8" s="1"/>
  <c r="S64" i="8" s="1"/>
  <c r="S65" i="8" s="1"/>
  <c r="S66" i="8" s="1"/>
  <c r="S67" i="8" s="1"/>
  <c r="S68" i="8" s="1"/>
  <c r="S69" i="8" s="1"/>
  <c r="S70" i="8" s="1"/>
  <c r="S71" i="8" s="1"/>
  <c r="S72" i="8" s="1"/>
  <c r="S73" i="8" s="1"/>
  <c r="S74" i="8" s="1"/>
  <c r="S75" i="8" s="1"/>
  <c r="S76" i="8" s="1"/>
  <c r="S77" i="8" s="1"/>
  <c r="S78" i="8" s="1"/>
  <c r="S79" i="8" s="1"/>
  <c r="S80" i="8" s="1"/>
  <c r="S81" i="8" s="1"/>
  <c r="S82" i="8" s="1"/>
  <c r="S83" i="8" s="1"/>
  <c r="S84" i="8" s="1"/>
  <c r="S85" i="8" s="1"/>
  <c r="S86" i="8" s="1"/>
  <c r="S87" i="8" s="1"/>
  <c r="S88" i="8" s="1"/>
  <c r="S89" i="8" s="1"/>
  <c r="S90" i="8" s="1"/>
  <c r="S91" i="8" s="1"/>
  <c r="S92" i="8" s="1"/>
  <c r="S93" i="8" s="1"/>
  <c r="S94" i="8" s="1"/>
  <c r="S95" i="8" s="1"/>
  <c r="S96" i="8" s="1"/>
  <c r="S97" i="8" s="1"/>
  <c r="S98" i="8" s="1"/>
  <c r="S99" i="8" s="1"/>
  <c r="S100" i="8" s="1"/>
  <c r="S101" i="8" s="1"/>
  <c r="S102" i="8" s="1"/>
  <c r="S103" i="8" s="1"/>
  <c r="S104" i="8" s="1"/>
  <c r="S105" i="8" s="1"/>
  <c r="S106" i="8" s="1"/>
  <c r="S107" i="8" s="1"/>
  <c r="S108" i="8" s="1"/>
  <c r="S109" i="8" s="1"/>
  <c r="S110" i="8" s="1"/>
  <c r="S111" i="8" s="1"/>
  <c r="S112" i="8" s="1"/>
  <c r="S113" i="8" s="1"/>
  <c r="S114" i="8" s="1"/>
  <c r="S115" i="8" s="1"/>
  <c r="S116" i="8" s="1"/>
  <c r="S117" i="8" s="1"/>
  <c r="S118" i="8" s="1"/>
  <c r="S119" i="8" s="1"/>
  <c r="S120" i="8" s="1"/>
  <c r="S121" i="8" s="1"/>
  <c r="S122" i="8" s="1"/>
  <c r="S123" i="8" s="1"/>
  <c r="S124" i="8" s="1"/>
  <c r="S125" i="8" s="1"/>
  <c r="S126" i="8" s="1"/>
  <c r="S127" i="8" s="1"/>
  <c r="S128" i="8" s="1"/>
  <c r="S129" i="8" s="1"/>
  <c r="S130" i="8" s="1"/>
  <c r="S131" i="8" s="1"/>
  <c r="S132" i="8" s="1"/>
  <c r="S133" i="8" s="1"/>
  <c r="S134" i="8" s="1"/>
  <c r="S135" i="8" s="1"/>
  <c r="S136" i="8" s="1"/>
  <c r="S137" i="8" s="1"/>
  <c r="S138" i="8" s="1"/>
  <c r="S139" i="8" s="1"/>
  <c r="S140" i="8" s="1"/>
  <c r="S141" i="8" s="1"/>
  <c r="S142" i="8" s="1"/>
  <c r="S143" i="8" s="1"/>
  <c r="S144" i="8" s="1"/>
  <c r="S145" i="8" s="1"/>
  <c r="S146" i="8" s="1"/>
  <c r="S147" i="8" s="1"/>
  <c r="S148" i="8" s="1"/>
  <c r="S149" i="8" s="1"/>
  <c r="S150" i="8" s="1"/>
  <c r="S151" i="8" s="1"/>
  <c r="S152" i="8" s="1"/>
  <c r="S153" i="8" s="1"/>
  <c r="S154" i="8" s="1"/>
  <c r="S155" i="8" s="1"/>
  <c r="S156" i="8" s="1"/>
  <c r="S157" i="8" s="1"/>
  <c r="S158" i="8" s="1"/>
  <c r="S159" i="8" s="1"/>
  <c r="S160" i="8" s="1"/>
  <c r="S161" i="8" s="1"/>
  <c r="S162" i="8" s="1"/>
  <c r="S163" i="8" s="1"/>
  <c r="S164" i="8" s="1"/>
  <c r="S165" i="8" s="1"/>
  <c r="S166" i="8" s="1"/>
  <c r="S167" i="8" s="1"/>
  <c r="S168" i="8" s="1"/>
  <c r="S169" i="8" s="1"/>
  <c r="S170" i="8" s="1"/>
  <c r="S171" i="8" s="1"/>
  <c r="S172" i="8" s="1"/>
  <c r="S173" i="8" s="1"/>
  <c r="S174" i="8" s="1"/>
  <c r="S175" i="8" s="1"/>
  <c r="S176" i="8" s="1"/>
  <c r="S177" i="8" s="1"/>
  <c r="S178" i="8" s="1"/>
  <c r="S179" i="8" s="1"/>
  <c r="S180" i="8" s="1"/>
  <c r="S181" i="8" s="1"/>
  <c r="S182" i="8" s="1"/>
  <c r="S183" i="8" s="1"/>
  <c r="S184" i="8" s="1"/>
  <c r="S185" i="8" s="1"/>
  <c r="S186" i="8" s="1"/>
  <c r="S187" i="8" s="1"/>
  <c r="S188" i="8" s="1"/>
  <c r="S189" i="8" s="1"/>
  <c r="S190" i="8" s="1"/>
  <c r="S191" i="8" s="1"/>
  <c r="S192" i="8" s="1"/>
  <c r="S193" i="8" s="1"/>
  <c r="S194" i="8" s="1"/>
  <c r="S195" i="8" s="1"/>
  <c r="S196" i="8" s="1"/>
  <c r="S197" i="8" s="1"/>
  <c r="S198" i="8" s="1"/>
  <c r="S199" i="8" s="1"/>
  <c r="S200" i="8" s="1"/>
  <c r="S201" i="8" s="1"/>
  <c r="S202" i="8" s="1"/>
  <c r="S203" i="8" s="1"/>
  <c r="S204" i="8" s="1"/>
  <c r="S205" i="8" s="1"/>
  <c r="S206" i="8" s="1"/>
  <c r="S207" i="8" s="1"/>
  <c r="S208" i="8" s="1"/>
  <c r="S209" i="8" s="1"/>
  <c r="S210" i="8" s="1"/>
  <c r="S211" i="8" s="1"/>
  <c r="S212" i="8" s="1"/>
  <c r="S213" i="8" s="1"/>
  <c r="S214" i="8" s="1"/>
  <c r="S215" i="8" s="1"/>
  <c r="S216" i="8" s="1"/>
  <c r="S217" i="8" s="1"/>
  <c r="S218" i="8" s="1"/>
  <c r="S219" i="8" s="1"/>
  <c r="S220" i="8" s="1"/>
  <c r="S221" i="8" s="1"/>
  <c r="S222" i="8" s="1"/>
  <c r="S223" i="8" s="1"/>
  <c r="S224" i="8" s="1"/>
  <c r="S225" i="8" s="1"/>
  <c r="S226" i="8" s="1"/>
  <c r="S227" i="8" s="1"/>
  <c r="S228" i="8" s="1"/>
  <c r="S229" i="8" s="1"/>
  <c r="S230" i="8" s="1"/>
  <c r="S231" i="8" s="1"/>
  <c r="S232" i="8" s="1"/>
  <c r="S233" i="8" s="1"/>
  <c r="S234" i="8" s="1"/>
  <c r="S235" i="8" s="1"/>
  <c r="S236" i="8" s="1"/>
  <c r="S237" i="8" s="1"/>
  <c r="S238" i="8" s="1"/>
  <c r="S239" i="8" s="1"/>
  <c r="S240" i="8" s="1"/>
  <c r="S241" i="8" s="1"/>
  <c r="S242" i="8" s="1"/>
  <c r="S243" i="8" s="1"/>
  <c r="S244" i="8" s="1"/>
  <c r="S245" i="8" s="1"/>
  <c r="S246" i="8" s="1"/>
  <c r="S247" i="8" s="1"/>
  <c r="S248" i="8" s="1"/>
  <c r="S249" i="8" s="1"/>
  <c r="S250" i="8" s="1"/>
  <c r="S251" i="8" s="1"/>
  <c r="S252" i="8" s="1"/>
  <c r="S253" i="8" s="1"/>
  <c r="S254" i="8" s="1"/>
  <c r="S255" i="8" s="1"/>
  <c r="S256" i="8" s="1"/>
  <c r="S257" i="8" s="1"/>
  <c r="S258" i="8" s="1"/>
  <c r="S259" i="8" s="1"/>
  <c r="S260" i="8" s="1"/>
  <c r="S261" i="8" s="1"/>
  <c r="S262" i="8" s="1"/>
  <c r="S263" i="8" s="1"/>
  <c r="S264" i="8" s="1"/>
  <c r="S265" i="8" s="1"/>
  <c r="S266" i="8" s="1"/>
  <c r="S267" i="8" s="1"/>
  <c r="S268" i="8" s="1"/>
  <c r="S269" i="8" s="1"/>
  <c r="S270" i="8" s="1"/>
  <c r="S271" i="8" s="1"/>
  <c r="S272" i="8" s="1"/>
  <c r="S273" i="8" s="1"/>
  <c r="S274" i="8" s="1"/>
  <c r="S275" i="8" s="1"/>
  <c r="S276" i="8" s="1"/>
  <c r="S277" i="8" s="1"/>
  <c r="S278" i="8" s="1"/>
  <c r="S279" i="8" s="1"/>
  <c r="S280" i="8" s="1"/>
  <c r="S281" i="8" s="1"/>
  <c r="S282" i="8" s="1"/>
  <c r="S283" i="8" s="1"/>
  <c r="S284" i="8" s="1"/>
  <c r="S285" i="8" s="1"/>
  <c r="S286" i="8" s="1"/>
  <c r="S287" i="8" s="1"/>
  <c r="S288" i="8" s="1"/>
  <c r="S289" i="8" s="1"/>
  <c r="S290" i="8" s="1"/>
  <c r="S291" i="8" s="1"/>
  <c r="S292" i="8" s="1"/>
  <c r="S293" i="8" s="1"/>
  <c r="S294" i="8" s="1"/>
  <c r="S295" i="8" s="1"/>
  <c r="S296" i="8" s="1"/>
  <c r="S297" i="8" s="1"/>
  <c r="S298" i="8" s="1"/>
  <c r="S299" i="8" s="1"/>
  <c r="S300" i="8" s="1"/>
  <c r="S301" i="8" s="1"/>
  <c r="S302" i="8" s="1"/>
  <c r="S303" i="8" s="1"/>
  <c r="S304" i="8" s="1"/>
  <c r="S305" i="8" s="1"/>
  <c r="S306" i="8" s="1"/>
  <c r="S307" i="8" s="1"/>
  <c r="S308" i="8" s="1"/>
  <c r="S309" i="8" s="1"/>
  <c r="S310" i="8" s="1"/>
  <c r="S311" i="8" s="1"/>
  <c r="S312" i="8" s="1"/>
  <c r="S313" i="8" s="1"/>
  <c r="S314" i="8" s="1"/>
  <c r="S315" i="8" s="1"/>
  <c r="S316" i="8" s="1"/>
  <c r="S317" i="8" s="1"/>
  <c r="S318" i="8" s="1"/>
  <c r="S319" i="8" s="1"/>
  <c r="S320" i="8" s="1"/>
  <c r="S321" i="8" s="1"/>
  <c r="S322" i="8" s="1"/>
  <c r="S323" i="8" s="1"/>
  <c r="S324" i="8" s="1"/>
  <c r="S325" i="8" s="1"/>
  <c r="S326" i="8" s="1"/>
  <c r="S327" i="8" s="1"/>
  <c r="S328" i="8" s="1"/>
  <c r="S329" i="8" s="1"/>
  <c r="S330" i="8" s="1"/>
  <c r="S331" i="8" s="1"/>
  <c r="S332" i="8" s="1"/>
  <c r="S333" i="8" s="1"/>
  <c r="S334" i="8" s="1"/>
  <c r="S335" i="8" s="1"/>
  <c r="S336" i="8" s="1"/>
  <c r="S337" i="8" s="1"/>
  <c r="S338" i="8" s="1"/>
  <c r="S339" i="8" s="1"/>
  <c r="S340" i="8" s="1"/>
  <c r="S341" i="8" s="1"/>
  <c r="S342" i="8" s="1"/>
  <c r="S343" i="8" s="1"/>
  <c r="S344" i="8" s="1"/>
  <c r="S345" i="8" s="1"/>
  <c r="S346" i="8" s="1"/>
  <c r="S347" i="8" s="1"/>
  <c r="S348" i="8" s="1"/>
  <c r="S349" i="8" s="1"/>
  <c r="S350" i="8" s="1"/>
  <c r="S351" i="8" s="1"/>
  <c r="S352" i="8" s="1"/>
  <c r="S353" i="8" s="1"/>
  <c r="S354" i="8" s="1"/>
  <c r="S355" i="8" s="1"/>
  <c r="S356" i="8" s="1"/>
  <c r="S357" i="8" s="1"/>
  <c r="S358" i="8" s="1"/>
  <c r="S359" i="8" s="1"/>
  <c r="S360" i="8" s="1"/>
  <c r="S361" i="8" s="1"/>
  <c r="S362" i="8" s="1"/>
  <c r="S363" i="8" s="1"/>
  <c r="S364" i="8" s="1"/>
  <c r="S365" i="8" s="1"/>
  <c r="S366" i="8" s="1"/>
  <c r="S367" i="8" s="1"/>
  <c r="S368" i="8" s="1"/>
  <c r="S369" i="8" s="1"/>
  <c r="S370" i="8" s="1"/>
  <c r="S371" i="8" s="1"/>
  <c r="S372" i="8" s="1"/>
  <c r="S373" i="8" s="1"/>
  <c r="S374" i="8" s="1"/>
  <c r="S375" i="8" s="1"/>
  <c r="S376" i="8" s="1"/>
  <c r="S377" i="8" s="1"/>
  <c r="S378" i="8" s="1"/>
  <c r="S379" i="8" s="1"/>
  <c r="S380" i="8" s="1"/>
  <c r="S381" i="8" s="1"/>
  <c r="S382" i="8" s="1"/>
  <c r="S383" i="8" s="1"/>
  <c r="S384" i="8" s="1"/>
  <c r="S385" i="8" s="1"/>
  <c r="S386" i="8" s="1"/>
  <c r="S387" i="8" s="1"/>
  <c r="S388" i="8" s="1"/>
  <c r="S389" i="8" s="1"/>
  <c r="S390" i="8" s="1"/>
  <c r="S391" i="8" s="1"/>
  <c r="S392" i="8" s="1"/>
  <c r="S393" i="8" s="1"/>
  <c r="S394" i="8" s="1"/>
  <c r="S395" i="8" s="1"/>
  <c r="S396" i="8" s="1"/>
  <c r="S397" i="8" s="1"/>
  <c r="S398" i="8" s="1"/>
  <c r="S399" i="8" s="1"/>
  <c r="S400" i="8" s="1"/>
  <c r="S401" i="8" s="1"/>
  <c r="S402" i="8" s="1"/>
  <c r="S403" i="8" s="1"/>
  <c r="S404" i="8" s="1"/>
  <c r="S405" i="8" s="1"/>
  <c r="S406" i="8" s="1"/>
  <c r="S407" i="8" s="1"/>
  <c r="S408" i="8" s="1"/>
  <c r="S409" i="8" s="1"/>
  <c r="S410" i="8" s="1"/>
  <c r="S411" i="8" s="1"/>
  <c r="S412" i="8" s="1"/>
  <c r="S413" i="8" s="1"/>
  <c r="S414" i="8" s="1"/>
  <c r="S415" i="8" s="1"/>
  <c r="S416" i="8" s="1"/>
  <c r="S417" i="8" s="1"/>
  <c r="S418" i="8" s="1"/>
  <c r="S419" i="8" s="1"/>
  <c r="S420" i="8" s="1"/>
  <c r="S421" i="8" s="1"/>
  <c r="S422" i="8" s="1"/>
  <c r="S423" i="8" s="1"/>
  <c r="S424" i="8" s="1"/>
  <c r="S425" i="8" s="1"/>
  <c r="S426" i="8" s="1"/>
  <c r="S427" i="8" s="1"/>
  <c r="S428" i="8" s="1"/>
  <c r="S429" i="8" s="1"/>
  <c r="S430" i="8" s="1"/>
  <c r="S431" i="8" s="1"/>
  <c r="S432" i="8" s="1"/>
  <c r="S433" i="8" s="1"/>
  <c r="S434" i="8" s="1"/>
  <c r="S435" i="8" s="1"/>
  <c r="S436" i="8" s="1"/>
  <c r="S437" i="8" s="1"/>
  <c r="S438" i="8" s="1"/>
  <c r="S439" i="8" s="1"/>
  <c r="S440" i="8" s="1"/>
  <c r="S441" i="8" s="1"/>
  <c r="S442" i="8" s="1"/>
  <c r="S443" i="8" s="1"/>
  <c r="S444" i="8" s="1"/>
  <c r="S445" i="8" s="1"/>
  <c r="S446" i="8" s="1"/>
  <c r="S447" i="8" s="1"/>
  <c r="S448" i="8" s="1"/>
  <c r="S449" i="8" s="1"/>
  <c r="S450" i="8" s="1"/>
  <c r="S451" i="8" s="1"/>
  <c r="S452" i="8" s="1"/>
  <c r="S453" i="8" s="1"/>
  <c r="S454" i="8" s="1"/>
  <c r="S455" i="8" s="1"/>
  <c r="S456" i="8" s="1"/>
  <c r="S457" i="8" s="1"/>
  <c r="S458" i="8" s="1"/>
  <c r="S459" i="8" s="1"/>
  <c r="S460" i="8" s="1"/>
  <c r="S461" i="8" s="1"/>
  <c r="S462" i="8" s="1"/>
  <c r="S463" i="8" s="1"/>
  <c r="S464" i="8" s="1"/>
  <c r="S465" i="8" s="1"/>
  <c r="S466" i="8" s="1"/>
  <c r="S467" i="8" s="1"/>
  <c r="S468" i="8" s="1"/>
  <c r="S469" i="8" s="1"/>
  <c r="S470" i="8" s="1"/>
  <c r="S471" i="8" s="1"/>
  <c r="S472" i="8" s="1"/>
  <c r="S473" i="8" s="1"/>
  <c r="S474" i="8" s="1"/>
  <c r="S475" i="8" s="1"/>
  <c r="S476" i="8" s="1"/>
  <c r="S477" i="8" s="1"/>
  <c r="S478" i="8" s="1"/>
  <c r="S479" i="8" s="1"/>
  <c r="S480" i="8" s="1"/>
  <c r="S481" i="8" s="1"/>
  <c r="S482" i="8" s="1"/>
  <c r="S483" i="8" s="1"/>
  <c r="S484" i="8" s="1"/>
  <c r="S485" i="8" s="1"/>
  <c r="S486" i="8" s="1"/>
  <c r="S487" i="8" s="1"/>
  <c r="S488" i="8" s="1"/>
  <c r="S489" i="8" s="1"/>
  <c r="S490" i="8" s="1"/>
  <c r="S491" i="8" s="1"/>
  <c r="S492" i="8" s="1"/>
  <c r="S493" i="8" s="1"/>
  <c r="S494" i="8" s="1"/>
  <c r="S495" i="8" s="1"/>
  <c r="S496" i="8" s="1"/>
  <c r="S497" i="8" s="1"/>
  <c r="S498" i="8" s="1"/>
  <c r="S499" i="8" s="1"/>
  <c r="S500" i="8" s="1"/>
  <c r="S501" i="8" s="1"/>
  <c r="S502" i="8" s="1"/>
  <c r="S503" i="8" s="1"/>
  <c r="S504" i="8" s="1"/>
  <c r="S505" i="8" s="1"/>
  <c r="S506" i="8" s="1"/>
  <c r="S507" i="8" s="1"/>
  <c r="S508" i="8" s="1"/>
  <c r="S509" i="8" s="1"/>
  <c r="S510" i="8" s="1"/>
  <c r="S511" i="8" s="1"/>
  <c r="S512" i="8" s="1"/>
  <c r="S513" i="8" s="1"/>
  <c r="S514" i="8" s="1"/>
  <c r="S515" i="8" s="1"/>
  <c r="S516" i="8" s="1"/>
  <c r="S517" i="8" s="1"/>
  <c r="S518" i="8" s="1"/>
  <c r="S519" i="8" s="1"/>
  <c r="S520" i="8" s="1"/>
  <c r="S521" i="8" s="1"/>
  <c r="S522" i="8" s="1"/>
  <c r="S523" i="8" s="1"/>
  <c r="S524" i="8" s="1"/>
  <c r="S525" i="8" s="1"/>
  <c r="S526" i="8" s="1"/>
  <c r="S527" i="8" s="1"/>
  <c r="S528" i="8" s="1"/>
  <c r="S529" i="8" s="1"/>
  <c r="S530" i="8" s="1"/>
  <c r="S531" i="8" s="1"/>
  <c r="S532" i="8" s="1"/>
  <c r="S533" i="8" s="1"/>
  <c r="S534" i="8" s="1"/>
  <c r="S535" i="8" s="1"/>
  <c r="S536" i="8" s="1"/>
  <c r="S537" i="8" s="1"/>
  <c r="S538" i="8" s="1"/>
  <c r="S539" i="8" s="1"/>
  <c r="S540" i="8" s="1"/>
  <c r="S541" i="8" s="1"/>
  <c r="S542" i="8" s="1"/>
  <c r="S543" i="8" s="1"/>
  <c r="S544" i="8" s="1"/>
  <c r="S545" i="8" s="1"/>
  <c r="S546" i="8" s="1"/>
  <c r="S547" i="8" s="1"/>
  <c r="S548" i="8" s="1"/>
  <c r="S549" i="8" s="1"/>
  <c r="S550" i="8" s="1"/>
  <c r="S551" i="8" s="1"/>
  <c r="S552" i="8" s="1"/>
  <c r="S553" i="8" s="1"/>
  <c r="S554" i="8" s="1"/>
  <c r="S555" i="8" s="1"/>
  <c r="S556" i="8" s="1"/>
  <c r="S557" i="8" s="1"/>
  <c r="S558" i="8" s="1"/>
  <c r="S559" i="8" s="1"/>
  <c r="S560" i="8" s="1"/>
  <c r="S561" i="8" s="1"/>
  <c r="S562" i="8" s="1"/>
  <c r="S563" i="8" s="1"/>
  <c r="S564" i="8" s="1"/>
  <c r="S565" i="8" s="1"/>
  <c r="S566" i="8" s="1"/>
  <c r="S567" i="8" s="1"/>
  <c r="S568" i="8" s="1"/>
  <c r="S569" i="8" s="1"/>
  <c r="S570" i="8" s="1"/>
  <c r="S571" i="8" s="1"/>
  <c r="S572" i="8" s="1"/>
  <c r="S573" i="8" s="1"/>
  <c r="S574" i="8" s="1"/>
  <c r="S575" i="8" s="1"/>
  <c r="S576" i="8" s="1"/>
  <c r="S577" i="8" s="1"/>
  <c r="S578" i="8" s="1"/>
  <c r="S579" i="8" s="1"/>
  <c r="S580" i="8" s="1"/>
  <c r="S581" i="8" s="1"/>
  <c r="S582" i="8" s="1"/>
  <c r="S583" i="8" s="1"/>
  <c r="S584" i="8" s="1"/>
  <c r="S585" i="8" s="1"/>
  <c r="S586" i="8" s="1"/>
  <c r="S587" i="8" s="1"/>
  <c r="S588" i="8" s="1"/>
  <c r="S589" i="8" s="1"/>
  <c r="S590" i="8" s="1"/>
  <c r="S591" i="8" s="1"/>
  <c r="S592" i="8" s="1"/>
  <c r="S593" i="8" s="1"/>
  <c r="S594" i="8" s="1"/>
  <c r="S595" i="8" s="1"/>
  <c r="S596" i="8" s="1"/>
  <c r="S597" i="8" s="1"/>
  <c r="S598" i="8" s="1"/>
  <c r="S599" i="8" s="1"/>
  <c r="S600" i="8" s="1"/>
  <c r="S601" i="8" s="1"/>
  <c r="S602" i="8" s="1"/>
  <c r="S603" i="8" s="1"/>
  <c r="S604" i="8" s="1"/>
  <c r="S605" i="8" s="1"/>
  <c r="S606" i="8" s="1"/>
  <c r="S607" i="8" s="1"/>
  <c r="S608" i="8" s="1"/>
  <c r="S609" i="8" s="1"/>
  <c r="S610" i="8" s="1"/>
  <c r="S611" i="8" s="1"/>
  <c r="S612" i="8" s="1"/>
  <c r="S613" i="8" s="1"/>
  <c r="S614" i="8" s="1"/>
  <c r="S615" i="8" s="1"/>
  <c r="S616" i="8" s="1"/>
  <c r="S617" i="8" s="1"/>
  <c r="S618" i="8" s="1"/>
  <c r="S619" i="8" s="1"/>
  <c r="S620" i="8" s="1"/>
  <c r="S621" i="8" s="1"/>
  <c r="S622" i="8" s="1"/>
  <c r="S623" i="8" s="1"/>
  <c r="S624" i="8" s="1"/>
  <c r="S625" i="8" s="1"/>
  <c r="S626" i="8" s="1"/>
  <c r="S627" i="8" s="1"/>
  <c r="S628" i="8" s="1"/>
  <c r="S629" i="8" s="1"/>
  <c r="S630" i="8" s="1"/>
  <c r="S631" i="8" s="1"/>
  <c r="S632" i="8" s="1"/>
  <c r="S633" i="8" s="1"/>
  <c r="S634" i="8" s="1"/>
  <c r="S635" i="8" s="1"/>
  <c r="S636" i="8" s="1"/>
  <c r="S637" i="8" s="1"/>
  <c r="S638" i="8" s="1"/>
  <c r="S639" i="8" s="1"/>
  <c r="S640" i="8" s="1"/>
  <c r="S641" i="8" s="1"/>
  <c r="S642" i="8" s="1"/>
  <c r="S643" i="8" s="1"/>
  <c r="S644" i="8" s="1"/>
  <c r="S645" i="8" s="1"/>
  <c r="S646" i="8" s="1"/>
  <c r="S647" i="8" s="1"/>
  <c r="S648" i="8" s="1"/>
  <c r="S649" i="8" s="1"/>
  <c r="S650" i="8" s="1"/>
  <c r="S651" i="8" s="1"/>
  <c r="S652" i="8" s="1"/>
  <c r="S653" i="8" s="1"/>
  <c r="S654" i="8" s="1"/>
  <c r="S655" i="8" s="1"/>
  <c r="S656" i="8" s="1"/>
  <c r="S657" i="8" s="1"/>
  <c r="S658" i="8" s="1"/>
  <c r="S659" i="8" s="1"/>
  <c r="S660" i="8" s="1"/>
  <c r="S661" i="8" s="1"/>
  <c r="S662" i="8" s="1"/>
  <c r="S663" i="8" s="1"/>
  <c r="S664" i="8" s="1"/>
  <c r="S665" i="8" s="1"/>
  <c r="S666" i="8" s="1"/>
  <c r="S667" i="8" s="1"/>
  <c r="S668" i="8" s="1"/>
  <c r="S669" i="8" s="1"/>
  <c r="S670" i="8" s="1"/>
  <c r="S671" i="8" s="1"/>
  <c r="S672" i="8" s="1"/>
  <c r="S673" i="8" s="1"/>
  <c r="S674" i="8" s="1"/>
  <c r="S675" i="8" s="1"/>
  <c r="S676" i="8" s="1"/>
  <c r="S677" i="8" s="1"/>
  <c r="S678" i="8" s="1"/>
  <c r="S679" i="8" s="1"/>
  <c r="S680" i="8" s="1"/>
  <c r="S681" i="8" s="1"/>
  <c r="S682" i="8" s="1"/>
  <c r="S683" i="8" s="1"/>
  <c r="S684" i="8" s="1"/>
  <c r="S685" i="8" s="1"/>
  <c r="S686" i="8" s="1"/>
  <c r="S687" i="8" s="1"/>
  <c r="S688" i="8" s="1"/>
  <c r="S689" i="8" s="1"/>
  <c r="S690" i="8" s="1"/>
  <c r="S691" i="8" s="1"/>
  <c r="S692" i="8" s="1"/>
  <c r="S693" i="8" s="1"/>
  <c r="S694" i="8" s="1"/>
  <c r="S695" i="8" s="1"/>
  <c r="S696" i="8" s="1"/>
  <c r="S697" i="8" s="1"/>
  <c r="S698" i="8" s="1"/>
  <c r="S699" i="8" s="1"/>
  <c r="S700" i="8" s="1"/>
  <c r="S701" i="8" s="1"/>
  <c r="S702" i="8" s="1"/>
  <c r="S703" i="8" s="1"/>
  <c r="S704" i="8" s="1"/>
  <c r="S705" i="8" s="1"/>
  <c r="S706" i="8" s="1"/>
  <c r="S707" i="8" s="1"/>
  <c r="S708" i="8" s="1"/>
  <c r="S709" i="8" s="1"/>
  <c r="S710" i="8" s="1"/>
  <c r="S711" i="8" s="1"/>
  <c r="S712" i="8" s="1"/>
  <c r="S713" i="8" s="1"/>
  <c r="S714" i="8" s="1"/>
  <c r="S715" i="8" s="1"/>
  <c r="S716" i="8" s="1"/>
  <c r="S717" i="8" s="1"/>
  <c r="S718" i="8" s="1"/>
  <c r="S719" i="8" s="1"/>
  <c r="S720" i="8" s="1"/>
  <c r="S721" i="8" s="1"/>
  <c r="S722" i="8" s="1"/>
  <c r="S723" i="8" s="1"/>
  <c r="S724" i="8" s="1"/>
  <c r="S725" i="8" s="1"/>
  <c r="S726" i="8" s="1"/>
  <c r="S727" i="8" s="1"/>
  <c r="S728" i="8" s="1"/>
  <c r="S729" i="8" s="1"/>
  <c r="S730" i="8" s="1"/>
  <c r="S731" i="8" s="1"/>
  <c r="S732" i="8" s="1"/>
  <c r="S733" i="8" s="1"/>
  <c r="S734" i="8" s="1"/>
  <c r="S735" i="8" s="1"/>
  <c r="S736" i="8" s="1"/>
  <c r="S737" i="8" s="1"/>
  <c r="S738" i="8" s="1"/>
  <c r="S739" i="8" s="1"/>
  <c r="S740" i="8" s="1"/>
  <c r="S741" i="8" s="1"/>
  <c r="S742" i="8" s="1"/>
  <c r="S743" i="8" s="1"/>
  <c r="S744" i="8" s="1"/>
  <c r="S745" i="8" s="1"/>
  <c r="S746" i="8" s="1"/>
  <c r="S747" i="8" s="1"/>
  <c r="S748" i="8" s="1"/>
  <c r="S749" i="8" s="1"/>
  <c r="S750" i="8" s="1"/>
  <c r="S751" i="8" s="1"/>
  <c r="S752" i="8" s="1"/>
  <c r="S753" i="8" s="1"/>
  <c r="S754" i="8" s="1"/>
  <c r="S755" i="8" s="1"/>
  <c r="S756" i="8" s="1"/>
  <c r="S757" i="8" s="1"/>
  <c r="S758" i="8" s="1"/>
  <c r="S759" i="8" s="1"/>
  <c r="S760" i="8" s="1"/>
  <c r="S761" i="8" s="1"/>
  <c r="S762" i="8" s="1"/>
  <c r="S763" i="8" s="1"/>
  <c r="S764" i="8" s="1"/>
  <c r="S765" i="8" s="1"/>
  <c r="S766" i="8" s="1"/>
  <c r="S767" i="8" s="1"/>
  <c r="S768" i="8" s="1"/>
  <c r="S769" i="8" s="1"/>
  <c r="S770" i="8" s="1"/>
  <c r="S771" i="8" s="1"/>
  <c r="S772" i="8" s="1"/>
  <c r="S773" i="8" s="1"/>
  <c r="S774" i="8" s="1"/>
  <c r="S775" i="8" s="1"/>
  <c r="S776" i="8" s="1"/>
  <c r="S777" i="8" s="1"/>
  <c r="S778" i="8" s="1"/>
  <c r="S779" i="8" s="1"/>
  <c r="S780" i="8" s="1"/>
  <c r="S781" i="8" s="1"/>
  <c r="S782" i="8" s="1"/>
  <c r="S783" i="8" s="1"/>
  <c r="S784" i="8" s="1"/>
  <c r="S785" i="8" s="1"/>
  <c r="S786" i="8" s="1"/>
  <c r="S787" i="8" s="1"/>
  <c r="S788" i="8" s="1"/>
  <c r="S789" i="8" s="1"/>
  <c r="S790" i="8" s="1"/>
  <c r="S791" i="8" s="1"/>
  <c r="S792" i="8" s="1"/>
  <c r="S793" i="8" s="1"/>
  <c r="S794" i="8" s="1"/>
  <c r="S795" i="8" s="1"/>
  <c r="S796" i="8" s="1"/>
  <c r="S797" i="8" s="1"/>
  <c r="S798" i="8" s="1"/>
  <c r="S799" i="8" s="1"/>
  <c r="S800" i="8" s="1"/>
  <c r="S801" i="8" s="1"/>
  <c r="S802" i="8" s="1"/>
  <c r="S803" i="8" s="1"/>
  <c r="S804" i="8" s="1"/>
  <c r="S805" i="8" s="1"/>
  <c r="S806" i="8" s="1"/>
  <c r="S807" i="8" s="1"/>
  <c r="S808" i="8" s="1"/>
  <c r="S809" i="8" s="1"/>
  <c r="S810" i="8" s="1"/>
  <c r="S811" i="8" s="1"/>
  <c r="S812" i="8" s="1"/>
  <c r="S813" i="8" s="1"/>
  <c r="S814" i="8" s="1"/>
  <c r="S815" i="8" s="1"/>
  <c r="S816" i="8" s="1"/>
  <c r="S817" i="8" s="1"/>
  <c r="S818" i="8" s="1"/>
  <c r="S819" i="8" s="1"/>
  <c r="S820" i="8" s="1"/>
  <c r="S821" i="8" s="1"/>
  <c r="S822" i="8" s="1"/>
  <c r="S823" i="8" s="1"/>
  <c r="S824" i="8" s="1"/>
  <c r="S825" i="8" s="1"/>
  <c r="S826" i="8" s="1"/>
  <c r="S827" i="8" s="1"/>
  <c r="S828" i="8" s="1"/>
  <c r="S829" i="8" s="1"/>
  <c r="S830" i="8" s="1"/>
  <c r="S831" i="8" s="1"/>
  <c r="S832" i="8" s="1"/>
  <c r="S833" i="8" s="1"/>
  <c r="S834" i="8" s="1"/>
  <c r="S835" i="8" s="1"/>
  <c r="S836" i="8" s="1"/>
  <c r="S837" i="8" s="1"/>
  <c r="S838" i="8" s="1"/>
  <c r="S839" i="8" s="1"/>
  <c r="S840" i="8" s="1"/>
  <c r="S841" i="8" s="1"/>
  <c r="S842" i="8" s="1"/>
  <c r="S843" i="8" s="1"/>
  <c r="S844" i="8" s="1"/>
  <c r="S845" i="8" s="1"/>
  <c r="S846" i="8" s="1"/>
  <c r="S847" i="8" s="1"/>
  <c r="S848" i="8" s="1"/>
  <c r="S849" i="8" s="1"/>
  <c r="S850" i="8" s="1"/>
  <c r="S851" i="8" s="1"/>
  <c r="S852" i="8" s="1"/>
  <c r="S853" i="8" s="1"/>
  <c r="S854" i="8" s="1"/>
  <c r="S855" i="8" s="1"/>
  <c r="S856" i="8" s="1"/>
  <c r="S857" i="8" s="1"/>
  <c r="S858" i="8" s="1"/>
  <c r="S859" i="8" s="1"/>
  <c r="S860" i="8" s="1"/>
  <c r="S861" i="8" s="1"/>
  <c r="S862" i="8" s="1"/>
  <c r="S863" i="8" s="1"/>
  <c r="S864" i="8" s="1"/>
  <c r="S865" i="8" s="1"/>
  <c r="S866" i="8" s="1"/>
  <c r="S867" i="8" s="1"/>
  <c r="S868" i="8" s="1"/>
  <c r="S869" i="8" s="1"/>
  <c r="S870" i="8" s="1"/>
  <c r="S871" i="8" s="1"/>
  <c r="S872" i="8" s="1"/>
  <c r="S873" i="8" s="1"/>
  <c r="S874" i="8" s="1"/>
  <c r="S875" i="8" s="1"/>
  <c r="S876" i="8" s="1"/>
  <c r="S877" i="8" s="1"/>
  <c r="S878" i="8" s="1"/>
  <c r="S879" i="8" s="1"/>
  <c r="S880" i="8" s="1"/>
  <c r="S881" i="8" s="1"/>
  <c r="S882" i="8" s="1"/>
  <c r="S883" i="8" s="1"/>
  <c r="S884" i="8" s="1"/>
  <c r="S885" i="8" s="1"/>
  <c r="S886" i="8" s="1"/>
  <c r="S887" i="8" s="1"/>
  <c r="S888" i="8" s="1"/>
  <c r="S889" i="8" s="1"/>
  <c r="S890" i="8" s="1"/>
  <c r="S891" i="8" s="1"/>
  <c r="S892" i="8" s="1"/>
  <c r="S893" i="8" s="1"/>
  <c r="S894" i="8" s="1"/>
  <c r="S895" i="8" s="1"/>
  <c r="S896" i="8" s="1"/>
  <c r="S897" i="8" s="1"/>
  <c r="S898" i="8" s="1"/>
  <c r="S899" i="8" s="1"/>
  <c r="S900" i="8" s="1"/>
  <c r="S901" i="8" s="1"/>
  <c r="S902" i="8" s="1"/>
  <c r="S903" i="8" s="1"/>
  <c r="S904" i="8" s="1"/>
  <c r="S905" i="8" s="1"/>
  <c r="S906" i="8" s="1"/>
  <c r="S907" i="8" s="1"/>
  <c r="S908" i="8" s="1"/>
  <c r="S909" i="8" s="1"/>
  <c r="S910" i="8" s="1"/>
  <c r="S911" i="8" s="1"/>
  <c r="S912" i="8" s="1"/>
  <c r="S913" i="8" s="1"/>
  <c r="S914" i="8" s="1"/>
  <c r="S915" i="8" s="1"/>
  <c r="S916" i="8" s="1"/>
  <c r="S917" i="8" s="1"/>
  <c r="S918" i="8" s="1"/>
  <c r="S919" i="8" s="1"/>
  <c r="S920" i="8" s="1"/>
  <c r="S921" i="8" s="1"/>
  <c r="S922" i="8" s="1"/>
  <c r="S923" i="8" s="1"/>
  <c r="S924" i="8" s="1"/>
  <c r="S925" i="8" s="1"/>
  <c r="S926" i="8" s="1"/>
  <c r="S927" i="8" s="1"/>
  <c r="S928" i="8" s="1"/>
  <c r="S929" i="8" s="1"/>
  <c r="S930" i="8" s="1"/>
  <c r="S931" i="8" s="1"/>
  <c r="S932" i="8" s="1"/>
  <c r="S933" i="8" s="1"/>
  <c r="S934" i="8" s="1"/>
  <c r="S935" i="8" s="1"/>
  <c r="S936" i="8" s="1"/>
  <c r="S937" i="8" s="1"/>
  <c r="S938" i="8" s="1"/>
  <c r="S939" i="8" s="1"/>
  <c r="S940" i="8" s="1"/>
  <c r="S941" i="8" s="1"/>
  <c r="S942" i="8" s="1"/>
  <c r="S943" i="8" s="1"/>
  <c r="S944" i="8" s="1"/>
  <c r="S945" i="8" s="1"/>
  <c r="S946" i="8" s="1"/>
  <c r="S947" i="8" s="1"/>
  <c r="S948" i="8" s="1"/>
  <c r="S949" i="8" s="1"/>
  <c r="S950" i="8" s="1"/>
  <c r="S951" i="8" s="1"/>
  <c r="S952" i="8" s="1"/>
  <c r="S953" i="8" s="1"/>
  <c r="S954" i="8" s="1"/>
  <c r="S955" i="8" s="1"/>
  <c r="S956" i="8" s="1"/>
  <c r="S957" i="8" s="1"/>
  <c r="S958" i="8" s="1"/>
  <c r="S959" i="8" s="1"/>
  <c r="S960" i="8" s="1"/>
  <c r="S961" i="8" s="1"/>
  <c r="S962" i="8" s="1"/>
  <c r="S963" i="8" s="1"/>
  <c r="S964" i="8" s="1"/>
  <c r="S965" i="8" s="1"/>
  <c r="S966" i="8" s="1"/>
  <c r="S967" i="8" s="1"/>
  <c r="S968" i="8" s="1"/>
  <c r="S969" i="8" s="1"/>
  <c r="S970" i="8" s="1"/>
  <c r="S971" i="8" s="1"/>
  <c r="S972" i="8" s="1"/>
  <c r="S973" i="8" s="1"/>
  <c r="S974" i="8" s="1"/>
  <c r="S975" i="8" s="1"/>
  <c r="S976" i="8" s="1"/>
  <c r="S977" i="8" s="1"/>
  <c r="S978" i="8" s="1"/>
  <c r="S979" i="8" s="1"/>
  <c r="S980" i="8" s="1"/>
  <c r="S981" i="8" s="1"/>
  <c r="S982" i="8" s="1"/>
  <c r="S983" i="8" s="1"/>
  <c r="S984" i="8" s="1"/>
  <c r="S985" i="8" s="1"/>
  <c r="S986" i="8" s="1"/>
  <c r="S987" i="8" s="1"/>
  <c r="S988" i="8" s="1"/>
  <c r="S989" i="8" s="1"/>
  <c r="S990" i="8" s="1"/>
  <c r="S991" i="8" s="1"/>
  <c r="S992" i="8" s="1"/>
  <c r="S993" i="8" s="1"/>
  <c r="S994" i="8" s="1"/>
  <c r="S995" i="8" s="1"/>
  <c r="S996" i="8" s="1"/>
  <c r="S997" i="8" s="1"/>
  <c r="S998" i="8" s="1"/>
  <c r="S999" i="8" s="1"/>
  <c r="S1000" i="8" s="1"/>
  <c r="S1001" i="8" s="1"/>
  <c r="S1002" i="8" s="1"/>
  <c r="S1003" i="8" s="1"/>
  <c r="S1004" i="8" s="1"/>
  <c r="S1005" i="8" s="1"/>
  <c r="S1006" i="8" s="1"/>
  <c r="S1007" i="8" s="1"/>
  <c r="S1008" i="8" s="1"/>
  <c r="S1009" i="8" s="1"/>
  <c r="S1010" i="8" s="1"/>
  <c r="S1011" i="8" s="1"/>
  <c r="S1012" i="8" s="1"/>
  <c r="S1013" i="8" s="1"/>
  <c r="S1014" i="8" s="1"/>
  <c r="S1015" i="8" s="1"/>
  <c r="S1016" i="8" s="1"/>
  <c r="S1017" i="8" s="1"/>
  <c r="S1018" i="8" s="1"/>
  <c r="S1019" i="8" s="1"/>
  <c r="S1020" i="8" s="1"/>
  <c r="S1021" i="8" s="1"/>
  <c r="S1022" i="8" s="1"/>
  <c r="S1023" i="8" s="1"/>
  <c r="S1024" i="8" s="1"/>
  <c r="S1025" i="8" s="1"/>
  <c r="S1026" i="8" s="1"/>
  <c r="S1027" i="8" s="1"/>
  <c r="S1028" i="8" s="1"/>
  <c r="S1029" i="8" s="1"/>
  <c r="S1030" i="8" s="1"/>
  <c r="S1031" i="8" s="1"/>
  <c r="S1032" i="8" s="1"/>
  <c r="S1033" i="8" s="1"/>
  <c r="S1034" i="8" s="1"/>
  <c r="S1035" i="8" s="1"/>
  <c r="S1036" i="8" s="1"/>
  <c r="S1037" i="8" s="1"/>
  <c r="S1038" i="8" s="1"/>
  <c r="S1039" i="8" s="1"/>
  <c r="S1040" i="8" s="1"/>
  <c r="S1041" i="8" s="1"/>
  <c r="S1042" i="8" s="1"/>
  <c r="S1043" i="8" s="1"/>
  <c r="S1044" i="8" s="1"/>
  <c r="S1045" i="8" s="1"/>
  <c r="S1046" i="8" s="1"/>
  <c r="S1047" i="8" s="1"/>
  <c r="S1048" i="8" s="1"/>
  <c r="S1049" i="8" s="1"/>
  <c r="S1050" i="8" s="1"/>
  <c r="S1051" i="8" s="1"/>
  <c r="S1052" i="8" s="1"/>
  <c r="S1053" i="8" s="1"/>
  <c r="S1054" i="8" s="1"/>
  <c r="S1055" i="8" s="1"/>
  <c r="S1056" i="8" s="1"/>
  <c r="S1057" i="8" s="1"/>
  <c r="S1058" i="8" s="1"/>
  <c r="S1059" i="8" s="1"/>
  <c r="S1060" i="8" s="1"/>
  <c r="R2" i="8"/>
  <c r="R1" i="8"/>
  <c r="P2" i="8"/>
  <c r="P1" i="8"/>
  <c r="Q2" i="8"/>
  <c r="Q3" i="8" s="1"/>
  <c r="Q4" i="8" s="1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Q24" i="8" s="1"/>
  <c r="Q25" i="8" s="1"/>
  <c r="Q26" i="8" s="1"/>
  <c r="Q27" i="8" s="1"/>
  <c r="Q28" i="8" s="1"/>
  <c r="Q29" i="8" s="1"/>
  <c r="Q30" i="8" s="1"/>
  <c r="Q31" i="8" s="1"/>
  <c r="Q32" i="8" s="1"/>
  <c r="Q33" i="8" s="1"/>
  <c r="Q34" i="8" s="1"/>
  <c r="Q35" i="8" s="1"/>
  <c r="Q36" i="8" s="1"/>
  <c r="Q37" i="8" s="1"/>
  <c r="Q38" i="8" s="1"/>
  <c r="Q39" i="8" s="1"/>
  <c r="Q40" i="8" s="1"/>
  <c r="Q41" i="8" s="1"/>
  <c r="Q42" i="8" s="1"/>
  <c r="Q43" i="8" s="1"/>
  <c r="Q44" i="8" s="1"/>
  <c r="Q45" i="8" s="1"/>
  <c r="Q46" i="8" s="1"/>
  <c r="Q47" i="8" s="1"/>
  <c r="Q48" i="8" s="1"/>
  <c r="Q49" i="8" s="1"/>
  <c r="Q50" i="8" s="1"/>
  <c r="Q51" i="8" s="1"/>
  <c r="Q52" i="8" s="1"/>
  <c r="Q53" i="8" s="1"/>
  <c r="Q54" i="8" s="1"/>
  <c r="Q55" i="8" s="1"/>
  <c r="Q56" i="8" s="1"/>
  <c r="Q57" i="8" s="1"/>
  <c r="Q58" i="8" s="1"/>
  <c r="Q59" i="8" s="1"/>
  <c r="Q60" i="8" s="1"/>
  <c r="Q61" i="8" s="1"/>
  <c r="Q62" i="8" s="1"/>
  <c r="Q63" i="8" s="1"/>
  <c r="Q64" i="8" s="1"/>
  <c r="Q65" i="8" s="1"/>
  <c r="Q66" i="8" s="1"/>
  <c r="Q67" i="8" s="1"/>
  <c r="Q68" i="8" s="1"/>
  <c r="Q69" i="8" s="1"/>
  <c r="Q70" i="8" s="1"/>
  <c r="Q71" i="8" s="1"/>
  <c r="Q72" i="8" s="1"/>
  <c r="Q73" i="8" s="1"/>
  <c r="Q74" i="8" s="1"/>
  <c r="Q75" i="8" s="1"/>
  <c r="Q76" i="8" s="1"/>
  <c r="Q77" i="8" s="1"/>
  <c r="Q78" i="8" s="1"/>
  <c r="Q79" i="8" s="1"/>
  <c r="Q80" i="8" s="1"/>
  <c r="Q81" i="8" s="1"/>
  <c r="Q82" i="8" s="1"/>
  <c r="Q83" i="8" s="1"/>
  <c r="Q84" i="8" s="1"/>
  <c r="Q85" i="8" s="1"/>
  <c r="Q86" i="8" s="1"/>
  <c r="Q87" i="8" s="1"/>
  <c r="Q88" i="8" s="1"/>
  <c r="Q89" i="8" s="1"/>
  <c r="Q90" i="8" s="1"/>
  <c r="Q91" i="8" s="1"/>
  <c r="Q92" i="8" s="1"/>
  <c r="Q93" i="8" s="1"/>
  <c r="Q94" i="8" s="1"/>
  <c r="Q95" i="8" s="1"/>
  <c r="Q96" i="8" s="1"/>
  <c r="Q97" i="8" s="1"/>
  <c r="Q98" i="8" s="1"/>
  <c r="Q99" i="8" s="1"/>
  <c r="Q100" i="8" s="1"/>
  <c r="Q101" i="8" s="1"/>
  <c r="Q102" i="8" s="1"/>
  <c r="Q103" i="8" s="1"/>
  <c r="Q104" i="8" s="1"/>
  <c r="Q105" i="8" s="1"/>
  <c r="Q106" i="8" s="1"/>
  <c r="Q107" i="8" s="1"/>
  <c r="Q108" i="8" s="1"/>
  <c r="Q109" i="8" s="1"/>
  <c r="Q110" i="8" s="1"/>
  <c r="Q111" i="8" s="1"/>
  <c r="Q112" i="8" s="1"/>
  <c r="Q113" i="8" s="1"/>
  <c r="Q114" i="8" s="1"/>
  <c r="Q115" i="8" s="1"/>
  <c r="Q116" i="8" s="1"/>
  <c r="Q117" i="8" s="1"/>
  <c r="Q118" i="8" s="1"/>
  <c r="Q119" i="8" s="1"/>
  <c r="Q120" i="8" s="1"/>
  <c r="Q121" i="8" s="1"/>
  <c r="Q122" i="8" s="1"/>
  <c r="Q123" i="8" s="1"/>
  <c r="Q124" i="8" s="1"/>
  <c r="Q125" i="8" s="1"/>
  <c r="Q126" i="8" s="1"/>
  <c r="Q127" i="8" s="1"/>
  <c r="Q128" i="8" s="1"/>
  <c r="Q129" i="8" s="1"/>
  <c r="Q130" i="8" s="1"/>
  <c r="Q131" i="8" s="1"/>
  <c r="Q132" i="8" s="1"/>
  <c r="Q133" i="8" s="1"/>
  <c r="Q134" i="8" s="1"/>
  <c r="Q135" i="8" s="1"/>
  <c r="Q136" i="8" s="1"/>
  <c r="Q137" i="8" s="1"/>
  <c r="Q138" i="8" s="1"/>
  <c r="Q139" i="8" s="1"/>
  <c r="Q140" i="8" s="1"/>
  <c r="Q141" i="8" s="1"/>
  <c r="Q142" i="8" s="1"/>
  <c r="Q143" i="8" s="1"/>
  <c r="Q144" i="8" s="1"/>
  <c r="Q145" i="8" s="1"/>
  <c r="Q146" i="8" s="1"/>
  <c r="Q147" i="8" s="1"/>
  <c r="Q148" i="8" s="1"/>
  <c r="Q149" i="8" s="1"/>
  <c r="Q150" i="8" s="1"/>
  <c r="Q151" i="8" s="1"/>
  <c r="Q152" i="8" s="1"/>
  <c r="Q153" i="8" s="1"/>
  <c r="Q154" i="8" s="1"/>
  <c r="Q155" i="8" s="1"/>
  <c r="Q156" i="8" s="1"/>
  <c r="Q157" i="8" s="1"/>
  <c r="Q158" i="8" s="1"/>
  <c r="Q159" i="8" s="1"/>
  <c r="Q160" i="8" s="1"/>
  <c r="Q161" i="8" s="1"/>
  <c r="Q162" i="8" s="1"/>
  <c r="Q163" i="8" s="1"/>
  <c r="Q164" i="8" s="1"/>
  <c r="Q165" i="8" s="1"/>
  <c r="Q166" i="8" s="1"/>
  <c r="Q167" i="8" s="1"/>
  <c r="Q168" i="8" s="1"/>
  <c r="Q169" i="8" s="1"/>
  <c r="Q170" i="8" s="1"/>
  <c r="Q171" i="8" s="1"/>
  <c r="Q172" i="8" s="1"/>
  <c r="Q173" i="8" s="1"/>
  <c r="Q174" i="8" s="1"/>
  <c r="Q175" i="8" s="1"/>
  <c r="Q176" i="8" s="1"/>
  <c r="Q177" i="8" s="1"/>
  <c r="Q178" i="8" s="1"/>
  <c r="Q179" i="8" s="1"/>
  <c r="Q180" i="8" s="1"/>
  <c r="Q181" i="8" s="1"/>
  <c r="Q182" i="8" s="1"/>
  <c r="Q183" i="8" s="1"/>
  <c r="Q184" i="8" s="1"/>
  <c r="Q185" i="8" s="1"/>
  <c r="Q186" i="8" s="1"/>
  <c r="Q187" i="8" s="1"/>
  <c r="Q188" i="8" s="1"/>
  <c r="Q189" i="8" s="1"/>
  <c r="Q190" i="8" s="1"/>
  <c r="Q191" i="8" s="1"/>
  <c r="Q192" i="8" s="1"/>
  <c r="Q193" i="8" s="1"/>
  <c r="Q194" i="8" s="1"/>
  <c r="Q195" i="8" s="1"/>
  <c r="Q196" i="8" s="1"/>
  <c r="Q197" i="8" s="1"/>
  <c r="Q198" i="8" s="1"/>
  <c r="Q199" i="8" s="1"/>
  <c r="Q200" i="8" s="1"/>
  <c r="Q201" i="8" s="1"/>
  <c r="Q202" i="8" s="1"/>
  <c r="Q203" i="8" s="1"/>
  <c r="Q204" i="8" s="1"/>
  <c r="Q205" i="8" s="1"/>
  <c r="Q206" i="8" s="1"/>
  <c r="Q207" i="8" s="1"/>
  <c r="Q208" i="8" s="1"/>
  <c r="Q209" i="8" s="1"/>
  <c r="Q210" i="8" s="1"/>
  <c r="Q211" i="8" s="1"/>
  <c r="Q212" i="8" s="1"/>
  <c r="Q213" i="8" s="1"/>
  <c r="Q214" i="8" s="1"/>
  <c r="Q215" i="8" s="1"/>
  <c r="Q216" i="8" s="1"/>
  <c r="Q217" i="8" s="1"/>
  <c r="Q218" i="8" s="1"/>
  <c r="Q219" i="8" s="1"/>
  <c r="Q220" i="8" s="1"/>
  <c r="Q221" i="8" s="1"/>
  <c r="Q222" i="8" s="1"/>
  <c r="Q223" i="8" s="1"/>
  <c r="Q224" i="8" s="1"/>
  <c r="Q225" i="8" s="1"/>
  <c r="Q226" i="8" s="1"/>
  <c r="Q227" i="8" s="1"/>
  <c r="Q228" i="8" s="1"/>
  <c r="Q229" i="8" s="1"/>
  <c r="Q230" i="8" s="1"/>
  <c r="Q231" i="8" s="1"/>
  <c r="Q232" i="8" s="1"/>
  <c r="Q233" i="8" s="1"/>
  <c r="Q234" i="8" s="1"/>
  <c r="Q235" i="8" s="1"/>
  <c r="Q236" i="8" s="1"/>
  <c r="Q237" i="8" s="1"/>
  <c r="Q238" i="8" s="1"/>
  <c r="Q239" i="8" s="1"/>
  <c r="Q240" i="8" s="1"/>
  <c r="Q241" i="8" s="1"/>
  <c r="Q242" i="8" s="1"/>
  <c r="Q243" i="8" s="1"/>
  <c r="Q244" i="8" s="1"/>
  <c r="Q245" i="8" s="1"/>
  <c r="Q246" i="8" s="1"/>
  <c r="Q247" i="8" s="1"/>
  <c r="Q248" i="8" s="1"/>
  <c r="Q249" i="8" s="1"/>
  <c r="Q250" i="8" s="1"/>
  <c r="Q251" i="8" s="1"/>
  <c r="Q252" i="8" s="1"/>
  <c r="Q253" i="8" s="1"/>
  <c r="Q254" i="8" s="1"/>
  <c r="Q255" i="8" s="1"/>
  <c r="Q256" i="8" s="1"/>
  <c r="Q257" i="8" s="1"/>
  <c r="Q258" i="8" s="1"/>
  <c r="Q259" i="8" s="1"/>
  <c r="Q260" i="8" s="1"/>
  <c r="Q261" i="8" s="1"/>
  <c r="Q262" i="8" s="1"/>
  <c r="Q263" i="8" s="1"/>
  <c r="Q264" i="8" s="1"/>
  <c r="Q265" i="8" s="1"/>
  <c r="Q266" i="8" s="1"/>
  <c r="Q267" i="8" s="1"/>
  <c r="Q268" i="8" s="1"/>
  <c r="Q269" i="8" s="1"/>
  <c r="Q270" i="8" s="1"/>
  <c r="Q271" i="8" s="1"/>
  <c r="Q272" i="8" s="1"/>
  <c r="Q273" i="8" s="1"/>
  <c r="Q274" i="8" s="1"/>
  <c r="Q275" i="8" s="1"/>
  <c r="Q276" i="8" s="1"/>
  <c r="Q277" i="8" s="1"/>
  <c r="Q278" i="8" s="1"/>
  <c r="Q279" i="8" s="1"/>
  <c r="Q280" i="8" s="1"/>
  <c r="Q281" i="8" s="1"/>
  <c r="Q282" i="8" s="1"/>
  <c r="Q283" i="8" s="1"/>
  <c r="Q284" i="8" s="1"/>
  <c r="Q285" i="8" s="1"/>
  <c r="Q286" i="8" s="1"/>
  <c r="Q287" i="8" s="1"/>
  <c r="Q288" i="8" s="1"/>
  <c r="Q289" i="8" s="1"/>
  <c r="Q290" i="8" s="1"/>
  <c r="Q291" i="8" s="1"/>
  <c r="Q292" i="8" s="1"/>
  <c r="Q293" i="8" s="1"/>
  <c r="Q294" i="8" s="1"/>
  <c r="Q295" i="8" s="1"/>
  <c r="Q296" i="8" s="1"/>
  <c r="Q297" i="8" s="1"/>
  <c r="Q298" i="8" s="1"/>
  <c r="Q299" i="8" s="1"/>
  <c r="Q300" i="8" s="1"/>
  <c r="Q301" i="8" s="1"/>
  <c r="Q302" i="8" s="1"/>
  <c r="Q303" i="8" s="1"/>
  <c r="Q304" i="8" s="1"/>
  <c r="Q305" i="8" s="1"/>
  <c r="Q306" i="8" s="1"/>
  <c r="Q307" i="8" s="1"/>
  <c r="Q308" i="8" s="1"/>
  <c r="Q309" i="8" s="1"/>
  <c r="Q310" i="8" s="1"/>
  <c r="Q311" i="8" s="1"/>
  <c r="Q312" i="8" s="1"/>
  <c r="Q313" i="8" s="1"/>
  <c r="Q314" i="8" s="1"/>
  <c r="Q315" i="8" s="1"/>
  <c r="Q316" i="8" s="1"/>
  <c r="Q317" i="8" s="1"/>
  <c r="Q318" i="8" s="1"/>
  <c r="Q319" i="8" s="1"/>
  <c r="Q320" i="8" s="1"/>
  <c r="Q321" i="8" s="1"/>
  <c r="Q322" i="8" s="1"/>
  <c r="Q323" i="8" s="1"/>
  <c r="Q324" i="8" s="1"/>
  <c r="Q325" i="8" s="1"/>
  <c r="Q326" i="8" s="1"/>
  <c r="Q327" i="8" s="1"/>
  <c r="Q328" i="8" s="1"/>
  <c r="Q329" i="8" s="1"/>
  <c r="Q330" i="8" s="1"/>
  <c r="Q331" i="8" s="1"/>
  <c r="Q332" i="8" s="1"/>
  <c r="Q333" i="8" s="1"/>
  <c r="Q334" i="8" s="1"/>
  <c r="Q335" i="8" s="1"/>
  <c r="Q336" i="8" s="1"/>
  <c r="Q337" i="8" s="1"/>
  <c r="Q338" i="8" s="1"/>
  <c r="Q339" i="8" s="1"/>
  <c r="Q340" i="8" s="1"/>
  <c r="Q341" i="8" s="1"/>
  <c r="Q342" i="8" s="1"/>
  <c r="Q343" i="8" s="1"/>
  <c r="Q344" i="8" s="1"/>
  <c r="Q345" i="8" s="1"/>
  <c r="Q346" i="8" s="1"/>
  <c r="Q347" i="8" s="1"/>
  <c r="Q348" i="8" s="1"/>
  <c r="Q349" i="8" s="1"/>
  <c r="Q350" i="8" s="1"/>
  <c r="Q351" i="8" s="1"/>
  <c r="Q352" i="8" s="1"/>
  <c r="Q353" i="8" s="1"/>
  <c r="Q354" i="8" s="1"/>
  <c r="Q355" i="8" s="1"/>
  <c r="Q356" i="8" s="1"/>
  <c r="Q357" i="8" s="1"/>
  <c r="Q358" i="8" s="1"/>
  <c r="Q359" i="8" s="1"/>
  <c r="Q360" i="8" s="1"/>
  <c r="Q361" i="8" s="1"/>
  <c r="Q362" i="8" s="1"/>
  <c r="Q363" i="8" s="1"/>
  <c r="Q364" i="8" s="1"/>
  <c r="Q365" i="8" s="1"/>
  <c r="Q366" i="8" s="1"/>
  <c r="Q367" i="8" s="1"/>
  <c r="Q368" i="8" s="1"/>
  <c r="Q369" i="8" s="1"/>
  <c r="Q370" i="8" s="1"/>
  <c r="Q371" i="8" s="1"/>
  <c r="Q372" i="8" s="1"/>
  <c r="Q373" i="8" s="1"/>
  <c r="Q374" i="8" s="1"/>
  <c r="Q375" i="8" s="1"/>
  <c r="Q376" i="8" s="1"/>
  <c r="Q377" i="8" s="1"/>
  <c r="Q378" i="8" s="1"/>
  <c r="Q379" i="8" s="1"/>
  <c r="Q380" i="8" s="1"/>
  <c r="Q381" i="8" s="1"/>
  <c r="Q382" i="8" s="1"/>
  <c r="Q383" i="8" s="1"/>
  <c r="Q384" i="8" s="1"/>
  <c r="Q385" i="8" s="1"/>
  <c r="Q386" i="8" s="1"/>
  <c r="Q387" i="8" s="1"/>
  <c r="Q388" i="8" s="1"/>
  <c r="Q389" i="8" s="1"/>
  <c r="Q390" i="8" s="1"/>
  <c r="Q391" i="8" s="1"/>
  <c r="Q392" i="8" s="1"/>
  <c r="Q393" i="8" s="1"/>
  <c r="Q394" i="8" s="1"/>
  <c r="Q395" i="8" s="1"/>
  <c r="Q396" i="8" s="1"/>
  <c r="Q397" i="8" s="1"/>
  <c r="Q398" i="8" s="1"/>
  <c r="Q399" i="8" s="1"/>
  <c r="Q400" i="8" s="1"/>
  <c r="Q401" i="8" s="1"/>
  <c r="Q402" i="8" s="1"/>
  <c r="Q403" i="8" s="1"/>
  <c r="Q404" i="8" s="1"/>
  <c r="Q405" i="8" s="1"/>
  <c r="Q406" i="8" s="1"/>
  <c r="Q407" i="8" s="1"/>
  <c r="Q408" i="8" s="1"/>
  <c r="Q409" i="8" s="1"/>
  <c r="Q410" i="8" s="1"/>
  <c r="Q411" i="8" s="1"/>
  <c r="Q412" i="8" s="1"/>
  <c r="Q413" i="8" s="1"/>
  <c r="Q414" i="8" s="1"/>
  <c r="Q415" i="8" s="1"/>
  <c r="Q416" i="8" s="1"/>
  <c r="Q417" i="8" s="1"/>
  <c r="Q418" i="8" s="1"/>
  <c r="Q419" i="8" s="1"/>
  <c r="Q420" i="8" s="1"/>
  <c r="Q421" i="8" s="1"/>
  <c r="Q422" i="8" s="1"/>
  <c r="Q423" i="8" s="1"/>
  <c r="Q424" i="8" s="1"/>
  <c r="Q425" i="8" s="1"/>
  <c r="Q426" i="8" s="1"/>
  <c r="Q427" i="8" s="1"/>
  <c r="Q428" i="8" s="1"/>
  <c r="Q429" i="8" s="1"/>
  <c r="Q430" i="8" s="1"/>
  <c r="Q431" i="8" s="1"/>
  <c r="Q432" i="8" s="1"/>
  <c r="Q433" i="8" s="1"/>
  <c r="Q434" i="8" s="1"/>
  <c r="Q435" i="8" s="1"/>
  <c r="Q436" i="8" s="1"/>
  <c r="Q437" i="8" s="1"/>
  <c r="Q438" i="8" s="1"/>
  <c r="Q439" i="8" s="1"/>
  <c r="Q440" i="8" s="1"/>
  <c r="Q441" i="8" s="1"/>
  <c r="Q442" i="8" s="1"/>
  <c r="Q443" i="8" s="1"/>
  <c r="Q444" i="8" s="1"/>
  <c r="Q445" i="8" s="1"/>
  <c r="Q446" i="8" s="1"/>
  <c r="Q447" i="8" s="1"/>
  <c r="Q448" i="8" s="1"/>
  <c r="Q449" i="8" s="1"/>
  <c r="Q450" i="8" s="1"/>
  <c r="Q451" i="8" s="1"/>
  <c r="Q452" i="8" s="1"/>
  <c r="Q453" i="8" s="1"/>
  <c r="Q454" i="8" s="1"/>
  <c r="Q455" i="8" s="1"/>
  <c r="Q456" i="8" s="1"/>
  <c r="Q457" i="8" s="1"/>
  <c r="Q458" i="8" s="1"/>
  <c r="Q459" i="8" s="1"/>
  <c r="Q460" i="8" s="1"/>
  <c r="Q461" i="8" s="1"/>
  <c r="Q462" i="8" s="1"/>
  <c r="Q463" i="8" s="1"/>
  <c r="Q464" i="8" s="1"/>
  <c r="Q465" i="8" s="1"/>
  <c r="Q466" i="8" s="1"/>
  <c r="Q467" i="8" s="1"/>
  <c r="Q468" i="8" s="1"/>
  <c r="Q469" i="8" s="1"/>
  <c r="Q470" i="8" s="1"/>
  <c r="Q471" i="8" s="1"/>
  <c r="Q472" i="8" s="1"/>
  <c r="Q473" i="8" s="1"/>
  <c r="Q474" i="8" s="1"/>
  <c r="Q475" i="8" s="1"/>
  <c r="Q476" i="8" s="1"/>
  <c r="Q477" i="8" s="1"/>
  <c r="Q478" i="8" s="1"/>
  <c r="Q479" i="8" s="1"/>
  <c r="Q480" i="8" s="1"/>
  <c r="Q481" i="8" s="1"/>
  <c r="Q482" i="8" s="1"/>
  <c r="Q483" i="8" s="1"/>
  <c r="Q484" i="8" s="1"/>
  <c r="Q485" i="8" s="1"/>
  <c r="Q486" i="8" s="1"/>
  <c r="Q487" i="8" s="1"/>
  <c r="Q488" i="8" s="1"/>
  <c r="Q489" i="8" s="1"/>
  <c r="Q490" i="8" s="1"/>
  <c r="Q491" i="8" s="1"/>
  <c r="Q492" i="8" s="1"/>
  <c r="Q493" i="8" s="1"/>
  <c r="Q494" i="8" s="1"/>
  <c r="Q495" i="8" s="1"/>
  <c r="Q496" i="8" s="1"/>
  <c r="Q497" i="8" s="1"/>
  <c r="Q498" i="8" s="1"/>
  <c r="Q499" i="8" s="1"/>
  <c r="Q500" i="8" s="1"/>
  <c r="Q501" i="8" s="1"/>
  <c r="Q502" i="8" s="1"/>
  <c r="Q503" i="8" s="1"/>
  <c r="Q504" i="8" s="1"/>
  <c r="Q505" i="8" s="1"/>
  <c r="Q506" i="8" s="1"/>
  <c r="Q507" i="8" s="1"/>
  <c r="Q508" i="8" s="1"/>
  <c r="Q509" i="8" s="1"/>
  <c r="Q510" i="8" s="1"/>
  <c r="Q511" i="8" s="1"/>
  <c r="Q512" i="8" s="1"/>
  <c r="Q513" i="8" s="1"/>
  <c r="Q514" i="8" s="1"/>
  <c r="Q515" i="8" s="1"/>
  <c r="Q516" i="8" s="1"/>
  <c r="Q517" i="8" s="1"/>
  <c r="Q518" i="8" s="1"/>
  <c r="Q519" i="8" s="1"/>
  <c r="Q520" i="8" s="1"/>
  <c r="Q521" i="8" s="1"/>
  <c r="Q522" i="8" s="1"/>
  <c r="Q523" i="8" s="1"/>
  <c r="Q524" i="8" s="1"/>
  <c r="Q525" i="8" s="1"/>
  <c r="Q526" i="8" s="1"/>
  <c r="Q527" i="8" s="1"/>
  <c r="Q528" i="8" s="1"/>
  <c r="Q529" i="8" s="1"/>
  <c r="Q530" i="8" s="1"/>
  <c r="Q531" i="8" s="1"/>
  <c r="Q532" i="8" s="1"/>
  <c r="Q533" i="8" s="1"/>
  <c r="Q534" i="8" s="1"/>
  <c r="Q535" i="8" s="1"/>
  <c r="Q536" i="8" s="1"/>
  <c r="Q537" i="8" s="1"/>
  <c r="Q538" i="8" s="1"/>
  <c r="Q539" i="8" s="1"/>
  <c r="Q540" i="8" s="1"/>
  <c r="Q541" i="8" s="1"/>
  <c r="Q542" i="8" s="1"/>
  <c r="Q543" i="8" s="1"/>
  <c r="Q544" i="8" s="1"/>
  <c r="Q545" i="8" s="1"/>
  <c r="Q546" i="8" s="1"/>
  <c r="Q547" i="8" s="1"/>
  <c r="Q548" i="8" s="1"/>
  <c r="Q549" i="8" s="1"/>
  <c r="Q550" i="8" s="1"/>
  <c r="Q551" i="8" s="1"/>
  <c r="Q552" i="8" s="1"/>
  <c r="Q553" i="8" s="1"/>
  <c r="Q554" i="8" s="1"/>
  <c r="Q555" i="8" s="1"/>
  <c r="Q556" i="8" s="1"/>
  <c r="Q557" i="8" s="1"/>
  <c r="Q558" i="8" s="1"/>
  <c r="Q559" i="8" s="1"/>
  <c r="Q560" i="8" s="1"/>
  <c r="Q561" i="8" s="1"/>
  <c r="Q562" i="8" s="1"/>
  <c r="Q563" i="8" s="1"/>
  <c r="Q564" i="8" s="1"/>
  <c r="Q565" i="8" s="1"/>
  <c r="Q566" i="8" s="1"/>
  <c r="Q567" i="8" s="1"/>
  <c r="Q568" i="8" s="1"/>
  <c r="Q569" i="8" s="1"/>
  <c r="Q570" i="8" s="1"/>
  <c r="Q571" i="8" s="1"/>
  <c r="Q572" i="8" s="1"/>
  <c r="Q573" i="8" s="1"/>
  <c r="Q574" i="8" s="1"/>
  <c r="Q575" i="8" s="1"/>
  <c r="Q576" i="8" s="1"/>
  <c r="Q577" i="8" s="1"/>
  <c r="Q578" i="8" s="1"/>
  <c r="Q579" i="8" s="1"/>
  <c r="Q580" i="8" s="1"/>
  <c r="Q581" i="8" s="1"/>
  <c r="Q582" i="8" s="1"/>
  <c r="Q583" i="8" s="1"/>
  <c r="Q584" i="8" s="1"/>
  <c r="Q585" i="8" s="1"/>
  <c r="Q586" i="8" s="1"/>
  <c r="Q587" i="8" s="1"/>
  <c r="Q588" i="8" s="1"/>
  <c r="Q589" i="8" s="1"/>
  <c r="Q590" i="8" s="1"/>
  <c r="Q591" i="8" s="1"/>
  <c r="Q592" i="8" s="1"/>
  <c r="Q593" i="8" s="1"/>
  <c r="Q594" i="8" s="1"/>
  <c r="Q595" i="8" s="1"/>
  <c r="Q596" i="8" s="1"/>
  <c r="Q597" i="8" s="1"/>
  <c r="Q598" i="8" s="1"/>
  <c r="Q599" i="8" s="1"/>
  <c r="Q600" i="8" s="1"/>
  <c r="Q601" i="8" s="1"/>
  <c r="Q602" i="8" s="1"/>
  <c r="Q603" i="8" s="1"/>
  <c r="Q604" i="8" s="1"/>
  <c r="Q605" i="8" s="1"/>
  <c r="Q606" i="8" s="1"/>
  <c r="Q607" i="8" s="1"/>
  <c r="Q608" i="8" s="1"/>
  <c r="Q609" i="8" s="1"/>
  <c r="Q610" i="8" s="1"/>
  <c r="Q611" i="8" s="1"/>
  <c r="Q612" i="8" s="1"/>
  <c r="Q613" i="8" s="1"/>
  <c r="Q614" i="8" s="1"/>
  <c r="Q615" i="8" s="1"/>
  <c r="Q616" i="8" s="1"/>
  <c r="Q617" i="8" s="1"/>
  <c r="Q618" i="8" s="1"/>
  <c r="Q619" i="8" s="1"/>
  <c r="Q620" i="8" s="1"/>
  <c r="Q621" i="8" s="1"/>
  <c r="Q622" i="8" s="1"/>
  <c r="Q623" i="8" s="1"/>
  <c r="Q624" i="8" s="1"/>
  <c r="Q625" i="8" s="1"/>
  <c r="Q626" i="8" s="1"/>
  <c r="Q627" i="8" s="1"/>
  <c r="Q628" i="8" s="1"/>
  <c r="Q629" i="8" s="1"/>
  <c r="Q630" i="8" s="1"/>
  <c r="Q631" i="8" s="1"/>
  <c r="Q632" i="8" s="1"/>
  <c r="Q633" i="8" s="1"/>
  <c r="Q634" i="8" s="1"/>
  <c r="Q635" i="8" s="1"/>
  <c r="Q636" i="8" s="1"/>
  <c r="Q637" i="8" s="1"/>
  <c r="Q638" i="8" s="1"/>
  <c r="Q639" i="8" s="1"/>
  <c r="Q640" i="8" s="1"/>
  <c r="Q641" i="8" s="1"/>
  <c r="Q642" i="8" s="1"/>
  <c r="Q643" i="8" s="1"/>
  <c r="Q644" i="8" s="1"/>
  <c r="Q645" i="8" s="1"/>
  <c r="Q646" i="8" s="1"/>
  <c r="Q647" i="8" s="1"/>
  <c r="Q648" i="8" s="1"/>
  <c r="Q649" i="8" s="1"/>
  <c r="Q650" i="8" s="1"/>
  <c r="Q651" i="8" s="1"/>
  <c r="Q652" i="8" s="1"/>
  <c r="Q653" i="8" s="1"/>
  <c r="Q654" i="8" s="1"/>
  <c r="Q655" i="8" s="1"/>
  <c r="Q656" i="8" s="1"/>
  <c r="Q657" i="8" s="1"/>
  <c r="Q658" i="8" s="1"/>
  <c r="Q659" i="8" s="1"/>
  <c r="Q660" i="8" s="1"/>
  <c r="Q661" i="8" s="1"/>
  <c r="Q662" i="8" s="1"/>
  <c r="Q663" i="8" s="1"/>
  <c r="Q664" i="8" s="1"/>
  <c r="Q665" i="8" s="1"/>
  <c r="Q666" i="8" s="1"/>
  <c r="Q667" i="8" s="1"/>
  <c r="Q668" i="8" s="1"/>
  <c r="Q669" i="8" s="1"/>
  <c r="Q670" i="8" s="1"/>
  <c r="Q671" i="8" s="1"/>
  <c r="Q672" i="8" s="1"/>
  <c r="Q673" i="8" s="1"/>
  <c r="Q674" i="8" s="1"/>
  <c r="Q675" i="8" s="1"/>
  <c r="Q676" i="8" s="1"/>
  <c r="Q677" i="8" s="1"/>
  <c r="Q678" i="8" s="1"/>
  <c r="Q679" i="8" s="1"/>
  <c r="Q680" i="8" s="1"/>
  <c r="Q681" i="8" s="1"/>
  <c r="Q682" i="8" s="1"/>
  <c r="Q683" i="8" s="1"/>
  <c r="Q684" i="8" s="1"/>
  <c r="Q685" i="8" s="1"/>
  <c r="Q686" i="8" s="1"/>
  <c r="Q687" i="8" s="1"/>
  <c r="Q688" i="8" s="1"/>
  <c r="Q689" i="8" s="1"/>
  <c r="Q690" i="8" s="1"/>
  <c r="Q691" i="8" s="1"/>
  <c r="Q692" i="8" s="1"/>
  <c r="Q693" i="8" s="1"/>
  <c r="Q694" i="8" s="1"/>
  <c r="Q695" i="8" s="1"/>
  <c r="Q696" i="8" s="1"/>
  <c r="Q697" i="8" s="1"/>
  <c r="Q698" i="8" s="1"/>
  <c r="Q699" i="8" s="1"/>
  <c r="Q700" i="8" s="1"/>
  <c r="Q701" i="8" s="1"/>
  <c r="Q702" i="8" s="1"/>
  <c r="Q703" i="8" s="1"/>
  <c r="Q704" i="8" s="1"/>
  <c r="Q705" i="8" s="1"/>
  <c r="Q706" i="8" s="1"/>
  <c r="Q707" i="8" s="1"/>
  <c r="Q708" i="8" s="1"/>
  <c r="Q709" i="8" s="1"/>
  <c r="Q710" i="8" s="1"/>
  <c r="Q711" i="8" s="1"/>
  <c r="Q712" i="8" s="1"/>
  <c r="Q713" i="8" s="1"/>
  <c r="Q714" i="8" s="1"/>
  <c r="Q715" i="8" s="1"/>
  <c r="Q716" i="8" s="1"/>
  <c r="Q717" i="8" s="1"/>
  <c r="Q718" i="8" s="1"/>
  <c r="Q719" i="8" s="1"/>
  <c r="Q720" i="8" s="1"/>
  <c r="Q721" i="8" s="1"/>
  <c r="Q722" i="8" s="1"/>
  <c r="Q723" i="8" s="1"/>
  <c r="Q724" i="8" s="1"/>
  <c r="Q725" i="8" s="1"/>
  <c r="Q726" i="8" s="1"/>
  <c r="Q727" i="8" s="1"/>
  <c r="Q728" i="8" s="1"/>
  <c r="Q729" i="8" s="1"/>
  <c r="Q730" i="8" s="1"/>
  <c r="Q731" i="8" s="1"/>
  <c r="Q732" i="8" s="1"/>
  <c r="Q733" i="8" s="1"/>
  <c r="Q734" i="8" s="1"/>
  <c r="Q735" i="8" s="1"/>
  <c r="Q736" i="8" s="1"/>
  <c r="Q737" i="8" s="1"/>
  <c r="Q738" i="8" s="1"/>
  <c r="Q739" i="8" s="1"/>
  <c r="Q740" i="8" s="1"/>
  <c r="Q741" i="8" s="1"/>
  <c r="Q742" i="8" s="1"/>
  <c r="Q743" i="8" s="1"/>
  <c r="Q744" i="8" s="1"/>
  <c r="Q745" i="8" s="1"/>
  <c r="Q746" i="8" s="1"/>
  <c r="Q747" i="8" s="1"/>
  <c r="Q748" i="8" s="1"/>
  <c r="Q749" i="8" s="1"/>
  <c r="Q750" i="8" s="1"/>
  <c r="Q751" i="8" s="1"/>
  <c r="Q752" i="8" s="1"/>
  <c r="Q753" i="8" s="1"/>
  <c r="Q754" i="8" s="1"/>
  <c r="Q755" i="8" s="1"/>
  <c r="Q756" i="8" s="1"/>
  <c r="Q757" i="8" s="1"/>
  <c r="Q758" i="8" s="1"/>
  <c r="Q759" i="8" s="1"/>
  <c r="Q760" i="8" s="1"/>
  <c r="Q761" i="8" s="1"/>
  <c r="Q762" i="8" s="1"/>
  <c r="Q763" i="8" s="1"/>
  <c r="Q764" i="8" s="1"/>
  <c r="Q765" i="8" s="1"/>
  <c r="Q766" i="8" s="1"/>
  <c r="Q767" i="8" s="1"/>
  <c r="Q768" i="8" s="1"/>
  <c r="Q769" i="8" s="1"/>
  <c r="Q770" i="8" s="1"/>
  <c r="Q771" i="8" s="1"/>
  <c r="Q772" i="8" s="1"/>
  <c r="Q773" i="8" s="1"/>
  <c r="Q774" i="8" s="1"/>
  <c r="Q775" i="8" s="1"/>
  <c r="Q776" i="8" s="1"/>
  <c r="Q777" i="8" s="1"/>
  <c r="Q778" i="8" s="1"/>
  <c r="Q779" i="8" s="1"/>
  <c r="Q780" i="8" s="1"/>
  <c r="Q781" i="8" s="1"/>
  <c r="Q782" i="8" s="1"/>
  <c r="Q783" i="8" s="1"/>
  <c r="Q784" i="8" s="1"/>
  <c r="Q785" i="8" s="1"/>
  <c r="Q786" i="8" s="1"/>
  <c r="Q787" i="8" s="1"/>
  <c r="Q788" i="8" s="1"/>
  <c r="Q789" i="8" s="1"/>
  <c r="Q790" i="8" s="1"/>
  <c r="Q791" i="8" s="1"/>
  <c r="Q792" i="8" s="1"/>
  <c r="Q793" i="8" s="1"/>
  <c r="Q794" i="8" s="1"/>
  <c r="Q795" i="8" s="1"/>
  <c r="Q796" i="8" s="1"/>
  <c r="Q797" i="8" s="1"/>
  <c r="Q798" i="8" s="1"/>
  <c r="Q799" i="8" s="1"/>
  <c r="Q800" i="8" s="1"/>
  <c r="Q801" i="8" s="1"/>
  <c r="Q802" i="8" s="1"/>
  <c r="Q803" i="8" s="1"/>
  <c r="Q804" i="8" s="1"/>
  <c r="Q805" i="8" s="1"/>
  <c r="Q806" i="8" s="1"/>
  <c r="Q807" i="8" s="1"/>
  <c r="Q808" i="8" s="1"/>
  <c r="Q809" i="8" s="1"/>
  <c r="Q810" i="8" s="1"/>
  <c r="Q811" i="8" s="1"/>
  <c r="Q812" i="8" s="1"/>
  <c r="Q813" i="8" s="1"/>
  <c r="Q814" i="8" s="1"/>
  <c r="Q815" i="8" s="1"/>
  <c r="Q816" i="8" s="1"/>
  <c r="Q817" i="8" s="1"/>
  <c r="Q818" i="8" s="1"/>
  <c r="Q819" i="8" s="1"/>
  <c r="Q820" i="8" s="1"/>
  <c r="Q821" i="8" s="1"/>
  <c r="Q822" i="8" s="1"/>
  <c r="Q823" i="8" s="1"/>
  <c r="Q824" i="8" s="1"/>
  <c r="Q825" i="8" s="1"/>
  <c r="Q826" i="8" s="1"/>
  <c r="Q827" i="8" s="1"/>
  <c r="Q828" i="8" s="1"/>
  <c r="Q829" i="8" s="1"/>
  <c r="Q830" i="8" s="1"/>
  <c r="Q831" i="8" s="1"/>
  <c r="Q832" i="8" s="1"/>
  <c r="Q833" i="8" s="1"/>
  <c r="Q834" i="8" s="1"/>
  <c r="Q835" i="8" s="1"/>
  <c r="Q836" i="8" s="1"/>
  <c r="Q837" i="8" s="1"/>
  <c r="Q838" i="8" s="1"/>
  <c r="Q839" i="8" s="1"/>
  <c r="Q840" i="8" s="1"/>
  <c r="Q841" i="8" s="1"/>
  <c r="Q842" i="8" s="1"/>
  <c r="Q843" i="8" s="1"/>
  <c r="Q844" i="8" s="1"/>
  <c r="Q845" i="8" s="1"/>
  <c r="Q846" i="8" s="1"/>
  <c r="Q847" i="8" s="1"/>
  <c r="Q848" i="8" s="1"/>
  <c r="Q849" i="8" s="1"/>
  <c r="Q850" i="8" s="1"/>
  <c r="Q851" i="8" s="1"/>
  <c r="Q852" i="8" s="1"/>
  <c r="Q853" i="8" s="1"/>
  <c r="Q854" i="8" s="1"/>
  <c r="Q855" i="8" s="1"/>
  <c r="Q856" i="8" s="1"/>
  <c r="Q857" i="8" s="1"/>
  <c r="Q858" i="8" s="1"/>
  <c r="Q859" i="8" s="1"/>
  <c r="Q860" i="8" s="1"/>
  <c r="Q861" i="8" s="1"/>
  <c r="Q862" i="8" s="1"/>
  <c r="Q863" i="8" s="1"/>
  <c r="Q864" i="8" s="1"/>
  <c r="Q865" i="8" s="1"/>
  <c r="Q866" i="8" s="1"/>
  <c r="Q867" i="8" s="1"/>
  <c r="Q868" i="8" s="1"/>
  <c r="Q869" i="8" s="1"/>
  <c r="Q870" i="8" s="1"/>
  <c r="Q871" i="8" s="1"/>
  <c r="Q872" i="8" s="1"/>
  <c r="Q873" i="8" s="1"/>
  <c r="Q874" i="8" s="1"/>
  <c r="Q875" i="8" s="1"/>
  <c r="Q876" i="8" s="1"/>
  <c r="Q877" i="8" s="1"/>
  <c r="Q878" i="8" s="1"/>
  <c r="Q879" i="8" s="1"/>
  <c r="Q880" i="8" s="1"/>
  <c r="Q881" i="8" s="1"/>
  <c r="Q882" i="8" s="1"/>
  <c r="Q883" i="8" s="1"/>
  <c r="Q884" i="8" s="1"/>
  <c r="Q885" i="8" s="1"/>
  <c r="Q886" i="8" s="1"/>
  <c r="Q887" i="8" s="1"/>
  <c r="Q888" i="8" s="1"/>
  <c r="Q889" i="8" s="1"/>
  <c r="Q890" i="8" s="1"/>
  <c r="Q891" i="8" s="1"/>
  <c r="Q892" i="8" s="1"/>
  <c r="Q893" i="8" s="1"/>
  <c r="Q894" i="8" s="1"/>
  <c r="Q895" i="8" s="1"/>
  <c r="Q896" i="8" s="1"/>
  <c r="Q897" i="8" s="1"/>
  <c r="Q898" i="8" s="1"/>
  <c r="Q899" i="8" s="1"/>
  <c r="Q900" i="8" s="1"/>
  <c r="Q901" i="8" s="1"/>
  <c r="Q902" i="8" s="1"/>
  <c r="Q903" i="8" s="1"/>
  <c r="Q904" i="8" s="1"/>
  <c r="Q905" i="8" s="1"/>
  <c r="Q906" i="8" s="1"/>
  <c r="Q907" i="8" s="1"/>
  <c r="Q908" i="8" s="1"/>
  <c r="Q909" i="8" s="1"/>
  <c r="Q910" i="8" s="1"/>
  <c r="Q911" i="8" s="1"/>
  <c r="Q912" i="8" s="1"/>
  <c r="Q913" i="8" s="1"/>
  <c r="Q914" i="8" s="1"/>
  <c r="Q915" i="8" s="1"/>
  <c r="Q916" i="8" s="1"/>
  <c r="Q917" i="8" s="1"/>
  <c r="Q918" i="8" s="1"/>
  <c r="Q919" i="8" s="1"/>
  <c r="Q920" i="8" s="1"/>
  <c r="Q921" i="8" s="1"/>
  <c r="Q922" i="8" s="1"/>
  <c r="Q923" i="8" s="1"/>
  <c r="Q924" i="8" s="1"/>
  <c r="Q925" i="8" s="1"/>
  <c r="Q926" i="8" s="1"/>
  <c r="Q927" i="8" s="1"/>
  <c r="Q928" i="8" s="1"/>
  <c r="Q929" i="8" s="1"/>
  <c r="Q930" i="8" s="1"/>
  <c r="Q931" i="8" s="1"/>
  <c r="Q932" i="8" s="1"/>
  <c r="Q933" i="8" s="1"/>
  <c r="Q934" i="8" s="1"/>
  <c r="Q935" i="8" s="1"/>
  <c r="Q936" i="8" s="1"/>
  <c r="Q937" i="8" s="1"/>
  <c r="Q938" i="8" s="1"/>
  <c r="Q939" i="8" s="1"/>
  <c r="Q940" i="8" s="1"/>
  <c r="Q941" i="8" s="1"/>
  <c r="Q942" i="8" s="1"/>
  <c r="Q943" i="8" s="1"/>
  <c r="Q944" i="8" s="1"/>
  <c r="Q945" i="8" s="1"/>
  <c r="Q946" i="8" s="1"/>
  <c r="Q947" i="8" s="1"/>
  <c r="Q948" i="8" s="1"/>
  <c r="Q949" i="8" s="1"/>
  <c r="Q950" i="8" s="1"/>
  <c r="Q951" i="8" s="1"/>
  <c r="Q952" i="8" s="1"/>
  <c r="Q953" i="8" s="1"/>
  <c r="Q954" i="8" s="1"/>
  <c r="Q955" i="8" s="1"/>
  <c r="Q956" i="8" s="1"/>
  <c r="Q957" i="8" s="1"/>
  <c r="Q958" i="8" s="1"/>
  <c r="Q959" i="8" s="1"/>
  <c r="Q960" i="8" s="1"/>
  <c r="Q961" i="8" s="1"/>
  <c r="Q962" i="8" s="1"/>
  <c r="Q963" i="8" s="1"/>
  <c r="Q964" i="8" s="1"/>
  <c r="Q965" i="8" s="1"/>
  <c r="Q966" i="8" s="1"/>
  <c r="Q967" i="8" s="1"/>
  <c r="Q968" i="8" s="1"/>
  <c r="Q969" i="8" s="1"/>
  <c r="Q970" i="8" s="1"/>
  <c r="Q971" i="8" s="1"/>
  <c r="Q972" i="8" s="1"/>
  <c r="Q973" i="8" s="1"/>
  <c r="Q974" i="8" s="1"/>
  <c r="Q975" i="8" s="1"/>
  <c r="Q976" i="8" s="1"/>
  <c r="Q977" i="8" s="1"/>
  <c r="Q978" i="8" s="1"/>
  <c r="Q979" i="8" s="1"/>
  <c r="Q980" i="8" s="1"/>
  <c r="Q981" i="8" s="1"/>
  <c r="Q982" i="8" s="1"/>
  <c r="Q983" i="8" s="1"/>
  <c r="Q984" i="8" s="1"/>
  <c r="Q985" i="8" s="1"/>
  <c r="Q986" i="8" s="1"/>
  <c r="Q987" i="8" s="1"/>
  <c r="Q988" i="8" s="1"/>
  <c r="Q989" i="8" s="1"/>
  <c r="Q990" i="8" s="1"/>
  <c r="Q991" i="8" s="1"/>
  <c r="Q992" i="8" s="1"/>
  <c r="Q993" i="8" s="1"/>
  <c r="Q994" i="8" s="1"/>
  <c r="Q995" i="8" s="1"/>
  <c r="Q996" i="8" s="1"/>
  <c r="Q997" i="8" s="1"/>
  <c r="Q998" i="8" s="1"/>
  <c r="Q999" i="8" s="1"/>
  <c r="Q1000" i="8" s="1"/>
  <c r="Q1001" i="8" s="1"/>
  <c r="Q1002" i="8" s="1"/>
  <c r="Q1003" i="8" s="1"/>
  <c r="Q1004" i="8" s="1"/>
  <c r="Q1005" i="8" s="1"/>
  <c r="Q1006" i="8" s="1"/>
  <c r="Q1007" i="8" s="1"/>
  <c r="Q1008" i="8" s="1"/>
  <c r="Q1009" i="8" s="1"/>
  <c r="Q1010" i="8" s="1"/>
  <c r="Q1011" i="8" s="1"/>
  <c r="Q1012" i="8" s="1"/>
  <c r="Q1013" i="8" s="1"/>
  <c r="Q1014" i="8" s="1"/>
  <c r="Q1015" i="8" s="1"/>
  <c r="Q1016" i="8" s="1"/>
  <c r="Q1017" i="8" s="1"/>
  <c r="Q1018" i="8" s="1"/>
  <c r="Q1019" i="8" s="1"/>
  <c r="Q1020" i="8" s="1"/>
  <c r="Q1021" i="8" s="1"/>
  <c r="Q1022" i="8" s="1"/>
  <c r="Q1023" i="8" s="1"/>
  <c r="Q1024" i="8" s="1"/>
  <c r="Q1025" i="8" s="1"/>
  <c r="Q1026" i="8" s="1"/>
  <c r="Q1027" i="8" s="1"/>
  <c r="Q1028" i="8" s="1"/>
  <c r="Q1029" i="8" s="1"/>
  <c r="Q1030" i="8" s="1"/>
  <c r="Q1031" i="8" s="1"/>
  <c r="Q1032" i="8" s="1"/>
  <c r="Q1033" i="8" s="1"/>
  <c r="Q1034" i="8" s="1"/>
  <c r="Q1035" i="8" s="1"/>
  <c r="Q1036" i="8" s="1"/>
  <c r="Q1037" i="8" s="1"/>
  <c r="Q1038" i="8" s="1"/>
  <c r="Q1039" i="8" s="1"/>
  <c r="Q1040" i="8" s="1"/>
  <c r="Q1041" i="8" s="1"/>
  <c r="Q1042" i="8" s="1"/>
  <c r="Q1043" i="8" s="1"/>
  <c r="Q1044" i="8" s="1"/>
  <c r="Q1045" i="8" s="1"/>
  <c r="Q1046" i="8" s="1"/>
  <c r="Q1047" i="8" s="1"/>
  <c r="Q1048" i="8" s="1"/>
  <c r="Q1049" i="8" s="1"/>
  <c r="Q1050" i="8" s="1"/>
  <c r="Q1051" i="8" s="1"/>
  <c r="Q1052" i="8" s="1"/>
  <c r="Q1053" i="8" s="1"/>
  <c r="Q1054" i="8" s="1"/>
  <c r="Q1055" i="8" s="1"/>
  <c r="Q1056" i="8" s="1"/>
  <c r="Q1057" i="8" s="1"/>
  <c r="Q1058" i="8" s="1"/>
  <c r="Q1059" i="8" s="1"/>
  <c r="Q1060" i="8" s="1"/>
  <c r="O2" i="8"/>
  <c r="O3" i="8" s="1"/>
  <c r="O4" i="8" s="1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O63" i="8" s="1"/>
  <c r="O64" i="8" s="1"/>
  <c r="O65" i="8" s="1"/>
  <c r="O66" i="8" s="1"/>
  <c r="O67" i="8" s="1"/>
  <c r="O68" i="8" s="1"/>
  <c r="O69" i="8" s="1"/>
  <c r="O70" i="8" s="1"/>
  <c r="O71" i="8" s="1"/>
  <c r="O72" i="8" s="1"/>
  <c r="O73" i="8" s="1"/>
  <c r="O74" i="8" s="1"/>
  <c r="O75" i="8" s="1"/>
  <c r="O76" i="8" s="1"/>
  <c r="O77" i="8" s="1"/>
  <c r="O78" i="8" s="1"/>
  <c r="O79" i="8" s="1"/>
  <c r="O80" i="8" s="1"/>
  <c r="O81" i="8" s="1"/>
  <c r="O82" i="8" s="1"/>
  <c r="O83" i="8" s="1"/>
  <c r="O84" i="8" s="1"/>
  <c r="O85" i="8" s="1"/>
  <c r="O86" i="8" s="1"/>
  <c r="O87" i="8" s="1"/>
  <c r="O88" i="8" s="1"/>
  <c r="O89" i="8" s="1"/>
  <c r="O90" i="8" s="1"/>
  <c r="O91" i="8" s="1"/>
  <c r="O92" i="8" s="1"/>
  <c r="O93" i="8" s="1"/>
  <c r="O94" i="8" s="1"/>
  <c r="O95" i="8" s="1"/>
  <c r="O96" i="8" s="1"/>
  <c r="O97" i="8" s="1"/>
  <c r="O98" i="8" s="1"/>
  <c r="O99" i="8" s="1"/>
  <c r="O100" i="8" s="1"/>
  <c r="O101" i="8" s="1"/>
  <c r="O102" i="8" s="1"/>
  <c r="O103" i="8" s="1"/>
  <c r="O104" i="8" s="1"/>
  <c r="O105" i="8" s="1"/>
  <c r="O106" i="8" s="1"/>
  <c r="O107" i="8" s="1"/>
  <c r="O108" i="8" s="1"/>
  <c r="O109" i="8" s="1"/>
  <c r="O110" i="8" s="1"/>
  <c r="O111" i="8" s="1"/>
  <c r="O112" i="8" s="1"/>
  <c r="O113" i="8" s="1"/>
  <c r="O114" i="8" s="1"/>
  <c r="O115" i="8" s="1"/>
  <c r="O116" i="8" s="1"/>
  <c r="O117" i="8" s="1"/>
  <c r="O118" i="8" s="1"/>
  <c r="O119" i="8" s="1"/>
  <c r="O120" i="8" s="1"/>
  <c r="O121" i="8" s="1"/>
  <c r="O122" i="8" s="1"/>
  <c r="O123" i="8" s="1"/>
  <c r="O124" i="8" s="1"/>
  <c r="O125" i="8" s="1"/>
  <c r="O126" i="8" s="1"/>
  <c r="O127" i="8" s="1"/>
  <c r="O128" i="8" s="1"/>
  <c r="O129" i="8" s="1"/>
  <c r="O130" i="8" s="1"/>
  <c r="O131" i="8" s="1"/>
  <c r="O132" i="8" s="1"/>
  <c r="O133" i="8" s="1"/>
  <c r="O134" i="8" s="1"/>
  <c r="O135" i="8" s="1"/>
  <c r="O136" i="8" s="1"/>
  <c r="O137" i="8" s="1"/>
  <c r="O138" i="8" s="1"/>
  <c r="O139" i="8" s="1"/>
  <c r="O140" i="8" s="1"/>
  <c r="O141" i="8" s="1"/>
  <c r="O142" i="8" s="1"/>
  <c r="O143" i="8" s="1"/>
  <c r="O144" i="8" s="1"/>
  <c r="O145" i="8" s="1"/>
  <c r="O146" i="8" s="1"/>
  <c r="O147" i="8" s="1"/>
  <c r="O148" i="8" s="1"/>
  <c r="O149" i="8" s="1"/>
  <c r="O150" i="8" s="1"/>
  <c r="O151" i="8" s="1"/>
  <c r="O152" i="8" s="1"/>
  <c r="O153" i="8" s="1"/>
  <c r="O154" i="8" s="1"/>
  <c r="O155" i="8" s="1"/>
  <c r="O156" i="8" s="1"/>
  <c r="O157" i="8" s="1"/>
  <c r="O158" i="8" s="1"/>
  <c r="O159" i="8" s="1"/>
  <c r="O160" i="8" s="1"/>
  <c r="O161" i="8" s="1"/>
  <c r="O162" i="8" s="1"/>
  <c r="O163" i="8" s="1"/>
  <c r="O164" i="8" s="1"/>
  <c r="O165" i="8" s="1"/>
  <c r="O166" i="8" s="1"/>
  <c r="O167" i="8" s="1"/>
  <c r="O168" i="8" s="1"/>
  <c r="O169" i="8" s="1"/>
  <c r="O170" i="8" s="1"/>
  <c r="O171" i="8" s="1"/>
  <c r="O172" i="8" s="1"/>
  <c r="O173" i="8" s="1"/>
  <c r="O174" i="8" s="1"/>
  <c r="O175" i="8" s="1"/>
  <c r="O176" i="8" s="1"/>
  <c r="O177" i="8" s="1"/>
  <c r="O178" i="8" s="1"/>
  <c r="O179" i="8" s="1"/>
  <c r="O180" i="8" s="1"/>
  <c r="O181" i="8" s="1"/>
  <c r="O182" i="8" s="1"/>
  <c r="O183" i="8" s="1"/>
  <c r="O184" i="8" s="1"/>
  <c r="O185" i="8" s="1"/>
  <c r="O186" i="8" s="1"/>
  <c r="O187" i="8" s="1"/>
  <c r="O188" i="8" s="1"/>
  <c r="O189" i="8" s="1"/>
  <c r="O190" i="8" s="1"/>
  <c r="O191" i="8" s="1"/>
  <c r="O192" i="8" s="1"/>
  <c r="O193" i="8" s="1"/>
  <c r="O194" i="8" s="1"/>
  <c r="O195" i="8" s="1"/>
  <c r="O196" i="8" s="1"/>
  <c r="O197" i="8" s="1"/>
  <c r="O198" i="8" s="1"/>
  <c r="O199" i="8" s="1"/>
  <c r="O200" i="8" s="1"/>
  <c r="O201" i="8" s="1"/>
  <c r="O202" i="8" s="1"/>
  <c r="O203" i="8" s="1"/>
  <c r="O204" i="8" s="1"/>
  <c r="O205" i="8" s="1"/>
  <c r="O206" i="8" s="1"/>
  <c r="O207" i="8" s="1"/>
  <c r="O208" i="8" s="1"/>
  <c r="O209" i="8" s="1"/>
  <c r="O210" i="8" s="1"/>
  <c r="O211" i="8" s="1"/>
  <c r="O212" i="8" s="1"/>
  <c r="O213" i="8" s="1"/>
  <c r="O214" i="8" s="1"/>
  <c r="O215" i="8" s="1"/>
  <c r="O216" i="8" s="1"/>
  <c r="O217" i="8" s="1"/>
  <c r="O218" i="8" s="1"/>
  <c r="O219" i="8" s="1"/>
  <c r="O220" i="8" s="1"/>
  <c r="O221" i="8" s="1"/>
  <c r="O222" i="8" s="1"/>
  <c r="O223" i="8" s="1"/>
  <c r="O224" i="8" s="1"/>
  <c r="O225" i="8" s="1"/>
  <c r="O226" i="8" s="1"/>
  <c r="O227" i="8" s="1"/>
  <c r="O228" i="8" s="1"/>
  <c r="O229" i="8" s="1"/>
  <c r="O230" i="8" s="1"/>
  <c r="O231" i="8" s="1"/>
  <c r="O232" i="8" s="1"/>
  <c r="O233" i="8" s="1"/>
  <c r="O234" i="8" s="1"/>
  <c r="O235" i="8" s="1"/>
  <c r="O236" i="8" s="1"/>
  <c r="O237" i="8" s="1"/>
  <c r="O238" i="8" s="1"/>
  <c r="O239" i="8" s="1"/>
  <c r="O240" i="8" s="1"/>
  <c r="O241" i="8" s="1"/>
  <c r="O242" i="8" s="1"/>
  <c r="O243" i="8" s="1"/>
  <c r="O244" i="8" s="1"/>
  <c r="O245" i="8" s="1"/>
  <c r="O246" i="8" s="1"/>
  <c r="O247" i="8" s="1"/>
  <c r="O248" i="8" s="1"/>
  <c r="O249" i="8" s="1"/>
  <c r="O250" i="8" s="1"/>
  <c r="O251" i="8" s="1"/>
  <c r="O252" i="8" s="1"/>
  <c r="O253" i="8" s="1"/>
  <c r="O254" i="8" s="1"/>
  <c r="O255" i="8" s="1"/>
  <c r="O256" i="8" s="1"/>
  <c r="O257" i="8" s="1"/>
  <c r="O258" i="8" s="1"/>
  <c r="O259" i="8" s="1"/>
  <c r="O260" i="8" s="1"/>
  <c r="O261" i="8" s="1"/>
  <c r="O262" i="8" s="1"/>
  <c r="O263" i="8" s="1"/>
  <c r="O264" i="8" s="1"/>
  <c r="O265" i="8" s="1"/>
  <c r="O266" i="8" s="1"/>
  <c r="O267" i="8" s="1"/>
  <c r="O268" i="8" s="1"/>
  <c r="O269" i="8" s="1"/>
  <c r="O270" i="8" s="1"/>
  <c r="O271" i="8" s="1"/>
  <c r="O272" i="8" s="1"/>
  <c r="O273" i="8" s="1"/>
  <c r="O274" i="8" s="1"/>
  <c r="O275" i="8" s="1"/>
  <c r="O276" i="8" s="1"/>
  <c r="O277" i="8" s="1"/>
  <c r="O278" i="8" s="1"/>
  <c r="O279" i="8" s="1"/>
  <c r="O280" i="8" s="1"/>
  <c r="O281" i="8" s="1"/>
  <c r="O282" i="8" s="1"/>
  <c r="O283" i="8" s="1"/>
  <c r="O284" i="8" s="1"/>
  <c r="O285" i="8" s="1"/>
  <c r="O286" i="8" s="1"/>
  <c r="O287" i="8" s="1"/>
  <c r="O288" i="8" s="1"/>
  <c r="O289" i="8" s="1"/>
  <c r="O290" i="8" s="1"/>
  <c r="O291" i="8" s="1"/>
  <c r="O292" i="8" s="1"/>
  <c r="O293" i="8" s="1"/>
  <c r="O294" i="8" s="1"/>
  <c r="O295" i="8" s="1"/>
  <c r="O296" i="8" s="1"/>
  <c r="O297" i="8" s="1"/>
  <c r="O298" i="8" s="1"/>
  <c r="O299" i="8" s="1"/>
  <c r="O300" i="8" s="1"/>
  <c r="O301" i="8" s="1"/>
  <c r="O302" i="8" s="1"/>
  <c r="O303" i="8" s="1"/>
  <c r="O304" i="8" s="1"/>
  <c r="O305" i="8" s="1"/>
  <c r="O306" i="8" s="1"/>
  <c r="O307" i="8" s="1"/>
  <c r="O308" i="8" s="1"/>
  <c r="O309" i="8" s="1"/>
  <c r="O310" i="8" s="1"/>
  <c r="O311" i="8" s="1"/>
  <c r="O312" i="8" s="1"/>
  <c r="O313" i="8" s="1"/>
  <c r="O314" i="8" s="1"/>
  <c r="O315" i="8" s="1"/>
  <c r="O316" i="8" s="1"/>
  <c r="O317" i="8" s="1"/>
  <c r="O318" i="8" s="1"/>
  <c r="O319" i="8" s="1"/>
  <c r="O320" i="8" s="1"/>
  <c r="O321" i="8" s="1"/>
  <c r="O322" i="8" s="1"/>
  <c r="O323" i="8" s="1"/>
  <c r="O324" i="8" s="1"/>
  <c r="O325" i="8" s="1"/>
  <c r="O326" i="8" s="1"/>
  <c r="O327" i="8" s="1"/>
  <c r="O328" i="8" s="1"/>
  <c r="O329" i="8" s="1"/>
  <c r="O330" i="8" s="1"/>
  <c r="O331" i="8" s="1"/>
  <c r="O332" i="8" s="1"/>
  <c r="O333" i="8" s="1"/>
  <c r="O334" i="8" s="1"/>
  <c r="O335" i="8" s="1"/>
  <c r="O336" i="8" s="1"/>
  <c r="O337" i="8" s="1"/>
  <c r="O338" i="8" s="1"/>
  <c r="O339" i="8" s="1"/>
  <c r="O340" i="8" s="1"/>
  <c r="O341" i="8" s="1"/>
  <c r="O342" i="8" s="1"/>
  <c r="O343" i="8" s="1"/>
  <c r="O344" i="8" s="1"/>
  <c r="O345" i="8" s="1"/>
  <c r="O346" i="8" s="1"/>
  <c r="O347" i="8" s="1"/>
  <c r="O348" i="8" s="1"/>
  <c r="O349" i="8" s="1"/>
  <c r="O350" i="8" s="1"/>
  <c r="O351" i="8" s="1"/>
  <c r="O352" i="8" s="1"/>
  <c r="O353" i="8" s="1"/>
  <c r="O354" i="8" s="1"/>
  <c r="O355" i="8" s="1"/>
  <c r="O356" i="8" s="1"/>
  <c r="O357" i="8" s="1"/>
  <c r="O358" i="8" s="1"/>
  <c r="O359" i="8" s="1"/>
  <c r="O360" i="8" s="1"/>
  <c r="O361" i="8" s="1"/>
  <c r="O362" i="8" s="1"/>
  <c r="O363" i="8" s="1"/>
  <c r="O364" i="8" s="1"/>
  <c r="O365" i="8" s="1"/>
  <c r="O366" i="8" s="1"/>
  <c r="O367" i="8" s="1"/>
  <c r="O368" i="8" s="1"/>
  <c r="O369" i="8" s="1"/>
  <c r="O370" i="8" s="1"/>
  <c r="O371" i="8" s="1"/>
  <c r="O372" i="8" s="1"/>
  <c r="O373" i="8" s="1"/>
  <c r="O374" i="8" s="1"/>
  <c r="O375" i="8" s="1"/>
  <c r="O376" i="8" s="1"/>
  <c r="O377" i="8" s="1"/>
  <c r="O378" i="8" s="1"/>
  <c r="O379" i="8" s="1"/>
  <c r="O380" i="8" s="1"/>
  <c r="O381" i="8" s="1"/>
  <c r="O382" i="8" s="1"/>
  <c r="O383" i="8" s="1"/>
  <c r="O384" i="8" s="1"/>
  <c r="O385" i="8" s="1"/>
  <c r="O386" i="8" s="1"/>
  <c r="O387" i="8" s="1"/>
  <c r="O388" i="8" s="1"/>
  <c r="O389" i="8" s="1"/>
  <c r="O390" i="8" s="1"/>
  <c r="O391" i="8" s="1"/>
  <c r="O392" i="8" s="1"/>
  <c r="O393" i="8" s="1"/>
  <c r="O394" i="8" s="1"/>
  <c r="O395" i="8" s="1"/>
  <c r="O396" i="8" s="1"/>
  <c r="O397" i="8" s="1"/>
  <c r="O398" i="8" s="1"/>
  <c r="O399" i="8" s="1"/>
  <c r="O400" i="8" s="1"/>
  <c r="O401" i="8" s="1"/>
  <c r="O402" i="8" s="1"/>
  <c r="O403" i="8" s="1"/>
  <c r="O404" i="8" s="1"/>
  <c r="O405" i="8" s="1"/>
  <c r="O406" i="8" s="1"/>
  <c r="O407" i="8" s="1"/>
  <c r="O408" i="8" s="1"/>
  <c r="O409" i="8" s="1"/>
  <c r="O410" i="8" s="1"/>
  <c r="O411" i="8" s="1"/>
  <c r="O412" i="8" s="1"/>
  <c r="O413" i="8" s="1"/>
  <c r="O414" i="8" s="1"/>
  <c r="O415" i="8" s="1"/>
  <c r="O416" i="8" s="1"/>
  <c r="O417" i="8" s="1"/>
  <c r="O418" i="8" s="1"/>
  <c r="O419" i="8" s="1"/>
  <c r="O420" i="8" s="1"/>
  <c r="O421" i="8" s="1"/>
  <c r="O422" i="8" s="1"/>
  <c r="O423" i="8" s="1"/>
  <c r="O424" i="8" s="1"/>
  <c r="O425" i="8" s="1"/>
  <c r="O426" i="8" s="1"/>
  <c r="O427" i="8" s="1"/>
  <c r="O428" i="8" s="1"/>
  <c r="O429" i="8" s="1"/>
  <c r="O430" i="8" s="1"/>
  <c r="O431" i="8" s="1"/>
  <c r="O432" i="8" s="1"/>
  <c r="O433" i="8" s="1"/>
  <c r="O434" i="8" s="1"/>
  <c r="O435" i="8" s="1"/>
  <c r="O436" i="8" s="1"/>
  <c r="O437" i="8" s="1"/>
  <c r="O438" i="8" s="1"/>
  <c r="O439" i="8" s="1"/>
  <c r="O440" i="8" s="1"/>
  <c r="O441" i="8" s="1"/>
  <c r="O442" i="8" s="1"/>
  <c r="O443" i="8" s="1"/>
  <c r="O444" i="8" s="1"/>
  <c r="O445" i="8" s="1"/>
  <c r="O446" i="8" s="1"/>
  <c r="O447" i="8" s="1"/>
  <c r="O448" i="8" s="1"/>
  <c r="O449" i="8" s="1"/>
  <c r="O450" i="8" s="1"/>
  <c r="O451" i="8" s="1"/>
  <c r="O452" i="8" s="1"/>
  <c r="O453" i="8" s="1"/>
  <c r="O454" i="8" s="1"/>
  <c r="O455" i="8" s="1"/>
  <c r="O456" i="8" s="1"/>
  <c r="O457" i="8" s="1"/>
  <c r="O458" i="8" s="1"/>
  <c r="O459" i="8" s="1"/>
  <c r="O460" i="8" s="1"/>
  <c r="O461" i="8" s="1"/>
  <c r="O462" i="8" s="1"/>
  <c r="O463" i="8" s="1"/>
  <c r="O464" i="8" s="1"/>
  <c r="O465" i="8" s="1"/>
  <c r="O466" i="8" s="1"/>
  <c r="O467" i="8" s="1"/>
  <c r="O468" i="8" s="1"/>
  <c r="O469" i="8" s="1"/>
  <c r="O470" i="8" s="1"/>
  <c r="O471" i="8" s="1"/>
  <c r="O472" i="8" s="1"/>
  <c r="O473" i="8" s="1"/>
  <c r="O474" i="8" s="1"/>
  <c r="O475" i="8" s="1"/>
  <c r="O476" i="8" s="1"/>
  <c r="O477" i="8" s="1"/>
  <c r="O478" i="8" s="1"/>
  <c r="O479" i="8" s="1"/>
  <c r="O480" i="8" s="1"/>
  <c r="O481" i="8" s="1"/>
  <c r="O482" i="8" s="1"/>
  <c r="O483" i="8" s="1"/>
  <c r="O484" i="8" s="1"/>
  <c r="O485" i="8" s="1"/>
  <c r="O486" i="8" s="1"/>
  <c r="O487" i="8" s="1"/>
  <c r="O488" i="8" s="1"/>
  <c r="O489" i="8" s="1"/>
  <c r="O490" i="8" s="1"/>
  <c r="O491" i="8" s="1"/>
  <c r="O492" i="8" s="1"/>
  <c r="O493" i="8" s="1"/>
  <c r="O494" i="8" s="1"/>
  <c r="O495" i="8" s="1"/>
  <c r="O496" i="8" s="1"/>
  <c r="O497" i="8" s="1"/>
  <c r="O498" i="8" s="1"/>
  <c r="O499" i="8" s="1"/>
  <c r="O500" i="8" s="1"/>
  <c r="O501" i="8" s="1"/>
  <c r="O502" i="8" s="1"/>
  <c r="O503" i="8" s="1"/>
  <c r="O504" i="8" s="1"/>
  <c r="O505" i="8" s="1"/>
  <c r="O506" i="8" s="1"/>
  <c r="O507" i="8" s="1"/>
  <c r="O508" i="8" s="1"/>
  <c r="O509" i="8" s="1"/>
  <c r="O510" i="8" s="1"/>
  <c r="O511" i="8" s="1"/>
  <c r="O512" i="8" s="1"/>
  <c r="O513" i="8" s="1"/>
  <c r="O514" i="8" s="1"/>
  <c r="O515" i="8" s="1"/>
  <c r="O516" i="8" s="1"/>
  <c r="O517" i="8" s="1"/>
  <c r="O518" i="8" s="1"/>
  <c r="O519" i="8" s="1"/>
  <c r="O520" i="8" s="1"/>
  <c r="O521" i="8" s="1"/>
  <c r="O522" i="8" s="1"/>
  <c r="O523" i="8" s="1"/>
  <c r="O524" i="8" s="1"/>
  <c r="O525" i="8" s="1"/>
  <c r="O526" i="8" s="1"/>
  <c r="O527" i="8" s="1"/>
  <c r="O528" i="8" s="1"/>
  <c r="O529" i="8" s="1"/>
  <c r="O530" i="8" s="1"/>
  <c r="O531" i="8" s="1"/>
  <c r="O532" i="8" s="1"/>
  <c r="O533" i="8" s="1"/>
  <c r="O534" i="8" s="1"/>
  <c r="O535" i="8" s="1"/>
  <c r="O536" i="8" s="1"/>
  <c r="O537" i="8" s="1"/>
  <c r="O538" i="8" s="1"/>
  <c r="O539" i="8" s="1"/>
  <c r="O540" i="8" s="1"/>
  <c r="O541" i="8" s="1"/>
  <c r="O542" i="8" s="1"/>
  <c r="O543" i="8" s="1"/>
  <c r="O544" i="8" s="1"/>
  <c r="O545" i="8" s="1"/>
  <c r="O546" i="8" s="1"/>
  <c r="O547" i="8" s="1"/>
  <c r="O548" i="8" s="1"/>
  <c r="O549" i="8" s="1"/>
  <c r="O550" i="8" s="1"/>
  <c r="O551" i="8" s="1"/>
  <c r="O552" i="8" s="1"/>
  <c r="O553" i="8" s="1"/>
  <c r="O554" i="8" s="1"/>
  <c r="O555" i="8" s="1"/>
  <c r="O556" i="8" s="1"/>
  <c r="O557" i="8" s="1"/>
  <c r="O558" i="8" s="1"/>
  <c r="O559" i="8" s="1"/>
  <c r="O560" i="8" s="1"/>
  <c r="O561" i="8" s="1"/>
  <c r="O562" i="8" s="1"/>
  <c r="O563" i="8" s="1"/>
  <c r="O564" i="8" s="1"/>
  <c r="O565" i="8" s="1"/>
  <c r="O566" i="8" s="1"/>
  <c r="O567" i="8" s="1"/>
  <c r="O568" i="8" s="1"/>
  <c r="O569" i="8" s="1"/>
  <c r="O570" i="8" s="1"/>
  <c r="O571" i="8" s="1"/>
  <c r="O572" i="8" s="1"/>
  <c r="O573" i="8" s="1"/>
  <c r="O574" i="8" s="1"/>
  <c r="O575" i="8" s="1"/>
  <c r="O576" i="8" s="1"/>
  <c r="O577" i="8" s="1"/>
  <c r="O578" i="8" s="1"/>
  <c r="O579" i="8" s="1"/>
  <c r="O580" i="8" s="1"/>
  <c r="O581" i="8" s="1"/>
  <c r="O582" i="8" s="1"/>
  <c r="O583" i="8" s="1"/>
  <c r="O584" i="8" s="1"/>
  <c r="O585" i="8" s="1"/>
  <c r="O586" i="8" s="1"/>
  <c r="O587" i="8" s="1"/>
  <c r="O588" i="8" s="1"/>
  <c r="O589" i="8" s="1"/>
  <c r="O590" i="8" s="1"/>
  <c r="O591" i="8" s="1"/>
  <c r="O592" i="8" s="1"/>
  <c r="O593" i="8" s="1"/>
  <c r="O594" i="8" s="1"/>
  <c r="O595" i="8" s="1"/>
  <c r="O596" i="8" s="1"/>
  <c r="O597" i="8" s="1"/>
  <c r="O598" i="8" s="1"/>
  <c r="O599" i="8" s="1"/>
  <c r="O600" i="8" s="1"/>
  <c r="O601" i="8" s="1"/>
  <c r="O602" i="8" s="1"/>
  <c r="O603" i="8" s="1"/>
  <c r="O604" i="8" s="1"/>
  <c r="O605" i="8" s="1"/>
  <c r="O606" i="8" s="1"/>
  <c r="O607" i="8" s="1"/>
  <c r="O608" i="8" s="1"/>
  <c r="O609" i="8" s="1"/>
  <c r="O610" i="8" s="1"/>
  <c r="O611" i="8" s="1"/>
  <c r="O612" i="8" s="1"/>
  <c r="O613" i="8" s="1"/>
  <c r="O614" i="8" s="1"/>
  <c r="O615" i="8" s="1"/>
  <c r="O616" i="8" s="1"/>
  <c r="O617" i="8" s="1"/>
  <c r="O618" i="8" s="1"/>
  <c r="O619" i="8" s="1"/>
  <c r="O620" i="8" s="1"/>
  <c r="O621" i="8" s="1"/>
  <c r="O622" i="8" s="1"/>
  <c r="O623" i="8" s="1"/>
  <c r="O624" i="8" s="1"/>
  <c r="O625" i="8" s="1"/>
  <c r="O626" i="8" s="1"/>
  <c r="O627" i="8" s="1"/>
  <c r="O628" i="8" s="1"/>
  <c r="O629" i="8" s="1"/>
  <c r="O630" i="8" s="1"/>
  <c r="O631" i="8" s="1"/>
  <c r="O632" i="8" s="1"/>
  <c r="O633" i="8" s="1"/>
  <c r="O634" i="8" s="1"/>
  <c r="O635" i="8" s="1"/>
  <c r="O636" i="8" s="1"/>
  <c r="O637" i="8" s="1"/>
  <c r="O638" i="8" s="1"/>
  <c r="O639" i="8" s="1"/>
  <c r="O640" i="8" s="1"/>
  <c r="O641" i="8" s="1"/>
  <c r="O642" i="8" s="1"/>
  <c r="O643" i="8" s="1"/>
  <c r="O644" i="8" s="1"/>
  <c r="O645" i="8" s="1"/>
  <c r="O646" i="8" s="1"/>
  <c r="O647" i="8" s="1"/>
  <c r="O648" i="8" s="1"/>
  <c r="O649" i="8" s="1"/>
  <c r="O650" i="8" s="1"/>
  <c r="O651" i="8" s="1"/>
  <c r="O652" i="8" s="1"/>
  <c r="O653" i="8" s="1"/>
  <c r="O654" i="8" s="1"/>
  <c r="O655" i="8" s="1"/>
  <c r="O656" i="8" s="1"/>
  <c r="O657" i="8" s="1"/>
  <c r="O658" i="8" s="1"/>
  <c r="O659" i="8" s="1"/>
  <c r="O660" i="8" s="1"/>
  <c r="O661" i="8" s="1"/>
  <c r="O662" i="8" s="1"/>
  <c r="O663" i="8" s="1"/>
  <c r="O664" i="8" s="1"/>
  <c r="O665" i="8" s="1"/>
  <c r="O666" i="8" s="1"/>
  <c r="O667" i="8" s="1"/>
  <c r="O668" i="8" s="1"/>
  <c r="O669" i="8" s="1"/>
  <c r="O670" i="8" s="1"/>
  <c r="O671" i="8" s="1"/>
  <c r="O672" i="8" s="1"/>
  <c r="O673" i="8" s="1"/>
  <c r="O674" i="8" s="1"/>
  <c r="O675" i="8" s="1"/>
  <c r="O676" i="8" s="1"/>
  <c r="O677" i="8" s="1"/>
  <c r="O678" i="8" s="1"/>
  <c r="O679" i="8" s="1"/>
  <c r="O680" i="8" s="1"/>
  <c r="O681" i="8" s="1"/>
  <c r="O682" i="8" s="1"/>
  <c r="O683" i="8" s="1"/>
  <c r="O684" i="8" s="1"/>
  <c r="O685" i="8" s="1"/>
  <c r="O686" i="8" s="1"/>
  <c r="O687" i="8" s="1"/>
  <c r="O688" i="8" s="1"/>
  <c r="O689" i="8" s="1"/>
  <c r="O690" i="8" s="1"/>
  <c r="O691" i="8" s="1"/>
  <c r="O692" i="8" s="1"/>
  <c r="O693" i="8" s="1"/>
  <c r="O694" i="8" s="1"/>
  <c r="O695" i="8" s="1"/>
  <c r="O696" i="8" s="1"/>
  <c r="O697" i="8" s="1"/>
  <c r="O698" i="8" s="1"/>
  <c r="O699" i="8" s="1"/>
  <c r="O700" i="8" s="1"/>
  <c r="O701" i="8" s="1"/>
  <c r="O702" i="8" s="1"/>
  <c r="O703" i="8" s="1"/>
  <c r="O704" i="8" s="1"/>
  <c r="O705" i="8" s="1"/>
  <c r="O706" i="8" s="1"/>
  <c r="O707" i="8" s="1"/>
  <c r="O708" i="8" s="1"/>
  <c r="O709" i="8" s="1"/>
  <c r="O710" i="8" s="1"/>
  <c r="O711" i="8" s="1"/>
  <c r="O712" i="8" s="1"/>
  <c r="O713" i="8" s="1"/>
  <c r="O714" i="8" s="1"/>
  <c r="O715" i="8" s="1"/>
  <c r="O716" i="8" s="1"/>
  <c r="O717" i="8" s="1"/>
  <c r="O718" i="8" s="1"/>
  <c r="O719" i="8" s="1"/>
  <c r="O720" i="8" s="1"/>
  <c r="O721" i="8" s="1"/>
  <c r="O722" i="8" s="1"/>
  <c r="O723" i="8" s="1"/>
  <c r="O724" i="8" s="1"/>
  <c r="O725" i="8" s="1"/>
  <c r="O726" i="8" s="1"/>
  <c r="O727" i="8" s="1"/>
  <c r="O728" i="8" s="1"/>
  <c r="O729" i="8" s="1"/>
  <c r="O730" i="8" s="1"/>
  <c r="O731" i="8" s="1"/>
  <c r="O732" i="8" s="1"/>
  <c r="O733" i="8" s="1"/>
  <c r="O734" i="8" s="1"/>
  <c r="O735" i="8" s="1"/>
  <c r="O736" i="8" s="1"/>
  <c r="O737" i="8" s="1"/>
  <c r="O738" i="8" s="1"/>
  <c r="O739" i="8" s="1"/>
  <c r="O740" i="8" s="1"/>
  <c r="O741" i="8" s="1"/>
  <c r="O742" i="8" s="1"/>
  <c r="O743" i="8" s="1"/>
  <c r="O744" i="8" s="1"/>
  <c r="O745" i="8" s="1"/>
  <c r="O746" i="8" s="1"/>
  <c r="O747" i="8" s="1"/>
  <c r="O748" i="8" s="1"/>
  <c r="O749" i="8" s="1"/>
  <c r="O750" i="8" s="1"/>
  <c r="O751" i="8" s="1"/>
  <c r="O752" i="8" s="1"/>
  <c r="O753" i="8" s="1"/>
  <c r="O754" i="8" s="1"/>
  <c r="O755" i="8" s="1"/>
  <c r="O756" i="8" s="1"/>
  <c r="O757" i="8" s="1"/>
  <c r="O758" i="8" s="1"/>
  <c r="O759" i="8" s="1"/>
  <c r="O760" i="8" s="1"/>
  <c r="O761" i="8" s="1"/>
  <c r="O762" i="8" s="1"/>
  <c r="O763" i="8" s="1"/>
  <c r="O764" i="8" s="1"/>
  <c r="O765" i="8" s="1"/>
  <c r="O766" i="8" s="1"/>
  <c r="O767" i="8" s="1"/>
  <c r="O768" i="8" s="1"/>
  <c r="O769" i="8" s="1"/>
  <c r="O770" i="8" s="1"/>
  <c r="O771" i="8" s="1"/>
  <c r="O772" i="8" s="1"/>
  <c r="O773" i="8" s="1"/>
  <c r="O774" i="8" s="1"/>
  <c r="O775" i="8" s="1"/>
  <c r="O776" i="8" s="1"/>
  <c r="O777" i="8" s="1"/>
  <c r="O778" i="8" s="1"/>
  <c r="O779" i="8" s="1"/>
  <c r="O780" i="8" s="1"/>
  <c r="O781" i="8" s="1"/>
  <c r="O782" i="8" s="1"/>
  <c r="O783" i="8" s="1"/>
  <c r="O784" i="8" s="1"/>
  <c r="O785" i="8" s="1"/>
  <c r="O786" i="8" s="1"/>
  <c r="O787" i="8" s="1"/>
  <c r="O788" i="8" s="1"/>
  <c r="O789" i="8" s="1"/>
  <c r="O790" i="8" s="1"/>
  <c r="O791" i="8" s="1"/>
  <c r="O792" i="8" s="1"/>
  <c r="O793" i="8" s="1"/>
  <c r="O794" i="8" s="1"/>
  <c r="O795" i="8" s="1"/>
  <c r="O796" i="8" s="1"/>
  <c r="O797" i="8" s="1"/>
  <c r="O798" i="8" s="1"/>
  <c r="O799" i="8" s="1"/>
  <c r="O800" i="8" s="1"/>
  <c r="O801" i="8" s="1"/>
  <c r="O802" i="8" s="1"/>
  <c r="O803" i="8" s="1"/>
  <c r="O804" i="8" s="1"/>
  <c r="O805" i="8" s="1"/>
  <c r="O806" i="8" s="1"/>
  <c r="O807" i="8" s="1"/>
  <c r="O808" i="8" s="1"/>
  <c r="O809" i="8" s="1"/>
  <c r="O810" i="8" s="1"/>
  <c r="O811" i="8" s="1"/>
  <c r="O812" i="8" s="1"/>
  <c r="O813" i="8" s="1"/>
  <c r="O814" i="8" s="1"/>
  <c r="O815" i="8" s="1"/>
  <c r="O816" i="8" s="1"/>
  <c r="O817" i="8" s="1"/>
  <c r="O818" i="8" s="1"/>
  <c r="O819" i="8" s="1"/>
  <c r="O820" i="8" s="1"/>
  <c r="O821" i="8" s="1"/>
  <c r="O822" i="8" s="1"/>
  <c r="O823" i="8" s="1"/>
  <c r="O824" i="8" s="1"/>
  <c r="O825" i="8" s="1"/>
  <c r="O826" i="8" s="1"/>
  <c r="O827" i="8" s="1"/>
  <c r="O828" i="8" s="1"/>
  <c r="O829" i="8" s="1"/>
  <c r="O830" i="8" s="1"/>
  <c r="O831" i="8" s="1"/>
  <c r="O832" i="8" s="1"/>
  <c r="O833" i="8" s="1"/>
  <c r="O834" i="8" s="1"/>
  <c r="O835" i="8" s="1"/>
  <c r="O836" i="8" s="1"/>
  <c r="O837" i="8" s="1"/>
  <c r="O838" i="8" s="1"/>
  <c r="O839" i="8" s="1"/>
  <c r="O840" i="8" s="1"/>
  <c r="O841" i="8" s="1"/>
  <c r="O842" i="8" s="1"/>
  <c r="O843" i="8" s="1"/>
  <c r="O844" i="8" s="1"/>
  <c r="O845" i="8" s="1"/>
  <c r="O846" i="8" s="1"/>
  <c r="O847" i="8" s="1"/>
  <c r="O848" i="8" s="1"/>
  <c r="O849" i="8" s="1"/>
  <c r="O850" i="8" s="1"/>
  <c r="O851" i="8" s="1"/>
  <c r="O852" i="8" s="1"/>
  <c r="O853" i="8" s="1"/>
  <c r="O854" i="8" s="1"/>
  <c r="O855" i="8" s="1"/>
  <c r="O856" i="8" s="1"/>
  <c r="O857" i="8" s="1"/>
  <c r="O858" i="8" s="1"/>
  <c r="O859" i="8" s="1"/>
  <c r="O860" i="8" s="1"/>
  <c r="O861" i="8" s="1"/>
  <c r="O862" i="8" s="1"/>
  <c r="O863" i="8" s="1"/>
  <c r="O864" i="8" s="1"/>
  <c r="O865" i="8" s="1"/>
  <c r="O866" i="8" s="1"/>
  <c r="O867" i="8" s="1"/>
  <c r="O868" i="8" s="1"/>
  <c r="O869" i="8" s="1"/>
  <c r="O870" i="8" s="1"/>
  <c r="O871" i="8" s="1"/>
  <c r="O872" i="8" s="1"/>
  <c r="O873" i="8" s="1"/>
  <c r="O874" i="8" s="1"/>
  <c r="O875" i="8" s="1"/>
  <c r="O876" i="8" s="1"/>
  <c r="O877" i="8" s="1"/>
  <c r="O878" i="8" s="1"/>
  <c r="O879" i="8" s="1"/>
  <c r="O880" i="8" s="1"/>
  <c r="O881" i="8" s="1"/>
  <c r="O882" i="8" s="1"/>
  <c r="O883" i="8" s="1"/>
  <c r="O884" i="8" s="1"/>
  <c r="O885" i="8" s="1"/>
  <c r="O886" i="8" s="1"/>
  <c r="O887" i="8" s="1"/>
  <c r="O888" i="8" s="1"/>
  <c r="O889" i="8" s="1"/>
  <c r="O890" i="8" s="1"/>
  <c r="O891" i="8" s="1"/>
  <c r="O892" i="8" s="1"/>
  <c r="O893" i="8" s="1"/>
  <c r="O894" i="8" s="1"/>
  <c r="O895" i="8" s="1"/>
  <c r="O896" i="8" s="1"/>
  <c r="O897" i="8" s="1"/>
  <c r="O898" i="8" s="1"/>
  <c r="O899" i="8" s="1"/>
  <c r="O900" i="8" s="1"/>
  <c r="O901" i="8" s="1"/>
  <c r="O902" i="8" s="1"/>
  <c r="O903" i="8" s="1"/>
  <c r="O904" i="8" s="1"/>
  <c r="O905" i="8" s="1"/>
  <c r="O906" i="8" s="1"/>
  <c r="O907" i="8" s="1"/>
  <c r="O908" i="8" s="1"/>
  <c r="O909" i="8" s="1"/>
  <c r="O910" i="8" s="1"/>
  <c r="O911" i="8" s="1"/>
  <c r="O912" i="8" s="1"/>
  <c r="O913" i="8" s="1"/>
  <c r="O914" i="8" s="1"/>
  <c r="O915" i="8" s="1"/>
  <c r="O916" i="8" s="1"/>
  <c r="O917" i="8" s="1"/>
  <c r="O918" i="8" s="1"/>
  <c r="O919" i="8" s="1"/>
  <c r="O920" i="8" s="1"/>
  <c r="O921" i="8" s="1"/>
  <c r="O922" i="8" s="1"/>
  <c r="O923" i="8" s="1"/>
  <c r="O924" i="8" s="1"/>
  <c r="O925" i="8" s="1"/>
  <c r="O926" i="8" s="1"/>
  <c r="O927" i="8" s="1"/>
  <c r="O928" i="8" s="1"/>
  <c r="O929" i="8" s="1"/>
  <c r="O930" i="8" s="1"/>
  <c r="O931" i="8" s="1"/>
  <c r="O932" i="8" s="1"/>
  <c r="O933" i="8" s="1"/>
  <c r="O934" i="8" s="1"/>
  <c r="O935" i="8" s="1"/>
  <c r="O936" i="8" s="1"/>
  <c r="O937" i="8" s="1"/>
  <c r="O938" i="8" s="1"/>
  <c r="O939" i="8" s="1"/>
  <c r="O940" i="8" s="1"/>
  <c r="O941" i="8" s="1"/>
  <c r="O942" i="8" s="1"/>
  <c r="O943" i="8" s="1"/>
  <c r="O944" i="8" s="1"/>
  <c r="O945" i="8" s="1"/>
  <c r="O946" i="8" s="1"/>
  <c r="O947" i="8" s="1"/>
  <c r="O948" i="8" s="1"/>
  <c r="O949" i="8" s="1"/>
  <c r="O950" i="8" s="1"/>
  <c r="O951" i="8" s="1"/>
  <c r="O952" i="8" s="1"/>
  <c r="O953" i="8" s="1"/>
  <c r="O954" i="8" s="1"/>
  <c r="O955" i="8" s="1"/>
  <c r="O956" i="8" s="1"/>
  <c r="O957" i="8" s="1"/>
  <c r="O958" i="8" s="1"/>
  <c r="O959" i="8" s="1"/>
  <c r="O960" i="8" s="1"/>
  <c r="O961" i="8" s="1"/>
  <c r="O962" i="8" s="1"/>
  <c r="O963" i="8" s="1"/>
  <c r="O964" i="8" s="1"/>
  <c r="O965" i="8" s="1"/>
  <c r="O966" i="8" s="1"/>
  <c r="O967" i="8" s="1"/>
  <c r="O968" i="8" s="1"/>
  <c r="O969" i="8" s="1"/>
  <c r="O970" i="8" s="1"/>
  <c r="O971" i="8" s="1"/>
  <c r="O972" i="8" s="1"/>
  <c r="O973" i="8" s="1"/>
  <c r="O974" i="8" s="1"/>
  <c r="O975" i="8" s="1"/>
  <c r="O976" i="8" s="1"/>
  <c r="O977" i="8" s="1"/>
  <c r="O978" i="8" s="1"/>
  <c r="O979" i="8" s="1"/>
  <c r="O980" i="8" s="1"/>
  <c r="O981" i="8" s="1"/>
  <c r="O982" i="8" s="1"/>
  <c r="O983" i="8" s="1"/>
  <c r="O984" i="8" s="1"/>
  <c r="O985" i="8" s="1"/>
  <c r="O986" i="8" s="1"/>
  <c r="O987" i="8" s="1"/>
  <c r="O988" i="8" s="1"/>
  <c r="O989" i="8" s="1"/>
  <c r="O990" i="8" s="1"/>
  <c r="O991" i="8" s="1"/>
  <c r="O992" i="8" s="1"/>
  <c r="O993" i="8" s="1"/>
  <c r="O994" i="8" s="1"/>
  <c r="O995" i="8" s="1"/>
  <c r="O996" i="8" s="1"/>
  <c r="O997" i="8" s="1"/>
  <c r="O998" i="8" s="1"/>
  <c r="O999" i="8" s="1"/>
  <c r="O1000" i="8" s="1"/>
  <c r="O1001" i="8" s="1"/>
  <c r="O1002" i="8" s="1"/>
  <c r="O1003" i="8" s="1"/>
  <c r="O1004" i="8" s="1"/>
  <c r="O1005" i="8" s="1"/>
  <c r="O1006" i="8" s="1"/>
  <c r="O1007" i="8" s="1"/>
  <c r="O1008" i="8" s="1"/>
  <c r="O1009" i="8" s="1"/>
  <c r="O1010" i="8" s="1"/>
  <c r="O1011" i="8" s="1"/>
  <c r="O1012" i="8" s="1"/>
  <c r="O1013" i="8" s="1"/>
  <c r="O1014" i="8" s="1"/>
  <c r="O1015" i="8" s="1"/>
  <c r="O1016" i="8" s="1"/>
  <c r="O1017" i="8" s="1"/>
  <c r="O1018" i="8" s="1"/>
  <c r="O1019" i="8" s="1"/>
  <c r="O1020" i="8" s="1"/>
  <c r="O1021" i="8" s="1"/>
  <c r="O1022" i="8" s="1"/>
  <c r="O1023" i="8" s="1"/>
  <c r="O1024" i="8" s="1"/>
  <c r="O1025" i="8" s="1"/>
  <c r="O1026" i="8" s="1"/>
  <c r="O1027" i="8" s="1"/>
  <c r="O1028" i="8" s="1"/>
  <c r="O1029" i="8" s="1"/>
  <c r="O1030" i="8" s="1"/>
  <c r="O1031" i="8" s="1"/>
  <c r="O1032" i="8" s="1"/>
  <c r="O1033" i="8" s="1"/>
  <c r="O1034" i="8" s="1"/>
  <c r="O1035" i="8" s="1"/>
  <c r="O1036" i="8" s="1"/>
  <c r="O1037" i="8" s="1"/>
  <c r="O1038" i="8" s="1"/>
  <c r="O1039" i="8" s="1"/>
  <c r="O1040" i="8" s="1"/>
  <c r="O1041" i="8" s="1"/>
  <c r="O1042" i="8" s="1"/>
  <c r="O1043" i="8" s="1"/>
  <c r="O1044" i="8" s="1"/>
  <c r="O1045" i="8" s="1"/>
  <c r="O1046" i="8" s="1"/>
  <c r="O1047" i="8" s="1"/>
  <c r="O1048" i="8" s="1"/>
  <c r="O1049" i="8" s="1"/>
  <c r="O1050" i="8" s="1"/>
  <c r="O1051" i="8" s="1"/>
  <c r="O1052" i="8" s="1"/>
  <c r="O1053" i="8" s="1"/>
  <c r="O1054" i="8" s="1"/>
  <c r="O1055" i="8" s="1"/>
  <c r="O1056" i="8" s="1"/>
  <c r="O1057" i="8" s="1"/>
  <c r="O1058" i="8" s="1"/>
  <c r="O1059" i="8" s="1"/>
  <c r="O1060" i="8" s="1"/>
  <c r="N2" i="8"/>
  <c r="N1" i="8"/>
  <c r="M2" i="8"/>
  <c r="M3" i="8" s="1"/>
  <c r="M4" i="8" s="1"/>
  <c r="M5" i="8" s="1"/>
  <c r="M6" i="8" s="1"/>
  <c r="M7" i="8" s="1"/>
  <c r="M8" i="8" s="1"/>
  <c r="M9" i="8" s="1"/>
  <c r="M10" i="8" s="1"/>
  <c r="M11" i="8" s="1"/>
  <c r="M12" i="8" s="1"/>
  <c r="M13" i="8" s="1"/>
  <c r="M14" i="8" s="1"/>
  <c r="M15" i="8" s="1"/>
  <c r="M16" i="8" s="1"/>
  <c r="M17" i="8" s="1"/>
  <c r="M18" i="8" s="1"/>
  <c r="M19" i="8" s="1"/>
  <c r="M20" i="8" s="1"/>
  <c r="M21" i="8" s="1"/>
  <c r="M22" i="8" s="1"/>
  <c r="M23" i="8" s="1"/>
  <c r="M24" i="8" s="1"/>
  <c r="M25" i="8" s="1"/>
  <c r="M26" i="8" s="1"/>
  <c r="M27" i="8" s="1"/>
  <c r="M28" i="8" s="1"/>
  <c r="M29" i="8" s="1"/>
  <c r="M30" i="8" s="1"/>
  <c r="M31" i="8" s="1"/>
  <c r="M32" i="8" s="1"/>
  <c r="M33" i="8" s="1"/>
  <c r="M34" i="8" s="1"/>
  <c r="M35" i="8" s="1"/>
  <c r="M36" i="8" s="1"/>
  <c r="M37" i="8" s="1"/>
  <c r="M38" i="8" s="1"/>
  <c r="M39" i="8" s="1"/>
  <c r="M40" i="8" s="1"/>
  <c r="M41" i="8" s="1"/>
  <c r="M42" i="8" s="1"/>
  <c r="M43" i="8" s="1"/>
  <c r="M44" i="8" s="1"/>
  <c r="M45" i="8" s="1"/>
  <c r="M46" i="8" s="1"/>
  <c r="M47" i="8" s="1"/>
  <c r="M48" i="8" s="1"/>
  <c r="M49" i="8" s="1"/>
  <c r="M50" i="8" s="1"/>
  <c r="M51" i="8" s="1"/>
  <c r="M52" i="8" s="1"/>
  <c r="M53" i="8" s="1"/>
  <c r="M54" i="8" s="1"/>
  <c r="M55" i="8" s="1"/>
  <c r="M56" i="8" s="1"/>
  <c r="M57" i="8" s="1"/>
  <c r="M58" i="8" s="1"/>
  <c r="M59" i="8" s="1"/>
  <c r="M60" i="8" s="1"/>
  <c r="M61" i="8" s="1"/>
  <c r="M62" i="8" s="1"/>
  <c r="M63" i="8" s="1"/>
  <c r="M64" i="8" s="1"/>
  <c r="M65" i="8" s="1"/>
  <c r="M66" i="8" s="1"/>
  <c r="M67" i="8" s="1"/>
  <c r="M68" i="8" s="1"/>
  <c r="M69" i="8" s="1"/>
  <c r="M70" i="8" s="1"/>
  <c r="M71" i="8" s="1"/>
  <c r="M72" i="8" s="1"/>
  <c r="M73" i="8" s="1"/>
  <c r="M74" i="8" s="1"/>
  <c r="M75" i="8" s="1"/>
  <c r="M76" i="8" s="1"/>
  <c r="M77" i="8" s="1"/>
  <c r="M78" i="8" s="1"/>
  <c r="M79" i="8" s="1"/>
  <c r="M80" i="8" s="1"/>
  <c r="M81" i="8" s="1"/>
  <c r="M82" i="8" s="1"/>
  <c r="M83" i="8" s="1"/>
  <c r="M84" i="8" s="1"/>
  <c r="M85" i="8" s="1"/>
  <c r="M86" i="8" s="1"/>
  <c r="M87" i="8" s="1"/>
  <c r="M88" i="8" s="1"/>
  <c r="M89" i="8" s="1"/>
  <c r="M90" i="8" s="1"/>
  <c r="M91" i="8" s="1"/>
  <c r="M92" i="8" s="1"/>
  <c r="M93" i="8" s="1"/>
  <c r="M94" i="8" s="1"/>
  <c r="M95" i="8" s="1"/>
  <c r="M96" i="8" s="1"/>
  <c r="M97" i="8" s="1"/>
  <c r="M98" i="8" s="1"/>
  <c r="M99" i="8" s="1"/>
  <c r="M100" i="8" s="1"/>
  <c r="M101" i="8" s="1"/>
  <c r="M102" i="8" s="1"/>
  <c r="M103" i="8" s="1"/>
  <c r="M104" i="8" s="1"/>
  <c r="M105" i="8" s="1"/>
  <c r="M106" i="8" s="1"/>
  <c r="M107" i="8" s="1"/>
  <c r="M108" i="8" s="1"/>
  <c r="M109" i="8" s="1"/>
  <c r="M110" i="8" s="1"/>
  <c r="M111" i="8" s="1"/>
  <c r="M112" i="8" s="1"/>
  <c r="M113" i="8" s="1"/>
  <c r="M114" i="8" s="1"/>
  <c r="M115" i="8" s="1"/>
  <c r="M116" i="8" s="1"/>
  <c r="M117" i="8" s="1"/>
  <c r="M118" i="8" s="1"/>
  <c r="M119" i="8" s="1"/>
  <c r="M120" i="8" s="1"/>
  <c r="M121" i="8" s="1"/>
  <c r="M122" i="8" s="1"/>
  <c r="M123" i="8" s="1"/>
  <c r="M124" i="8" s="1"/>
  <c r="M125" i="8" s="1"/>
  <c r="M126" i="8" s="1"/>
  <c r="M127" i="8" s="1"/>
  <c r="M128" i="8" s="1"/>
  <c r="M129" i="8" s="1"/>
  <c r="M130" i="8" s="1"/>
  <c r="M131" i="8" s="1"/>
  <c r="M132" i="8" s="1"/>
  <c r="M133" i="8" s="1"/>
  <c r="M134" i="8" s="1"/>
  <c r="M135" i="8" s="1"/>
  <c r="M136" i="8" s="1"/>
  <c r="M137" i="8" s="1"/>
  <c r="M138" i="8" s="1"/>
  <c r="M139" i="8" s="1"/>
  <c r="M140" i="8" s="1"/>
  <c r="M141" i="8" s="1"/>
  <c r="M142" i="8" s="1"/>
  <c r="M143" i="8" s="1"/>
  <c r="M144" i="8" s="1"/>
  <c r="M145" i="8" s="1"/>
  <c r="M146" i="8" s="1"/>
  <c r="M147" i="8" s="1"/>
  <c r="M148" i="8" s="1"/>
  <c r="M149" i="8" s="1"/>
  <c r="M150" i="8" s="1"/>
  <c r="M151" i="8" s="1"/>
  <c r="M152" i="8" s="1"/>
  <c r="M153" i="8" s="1"/>
  <c r="M154" i="8" s="1"/>
  <c r="M155" i="8" s="1"/>
  <c r="M156" i="8" s="1"/>
  <c r="M157" i="8" s="1"/>
  <c r="M158" i="8" s="1"/>
  <c r="M159" i="8" s="1"/>
  <c r="M160" i="8" s="1"/>
  <c r="M161" i="8" s="1"/>
  <c r="M162" i="8" s="1"/>
  <c r="M163" i="8" s="1"/>
  <c r="M164" i="8" s="1"/>
  <c r="M165" i="8" s="1"/>
  <c r="M166" i="8" s="1"/>
  <c r="M167" i="8" s="1"/>
  <c r="M168" i="8" s="1"/>
  <c r="M169" i="8" s="1"/>
  <c r="M170" i="8" s="1"/>
  <c r="M171" i="8" s="1"/>
  <c r="M172" i="8" s="1"/>
  <c r="M173" i="8" s="1"/>
  <c r="M174" i="8" s="1"/>
  <c r="M175" i="8" s="1"/>
  <c r="M176" i="8" s="1"/>
  <c r="M177" i="8" s="1"/>
  <c r="M178" i="8" s="1"/>
  <c r="M179" i="8" s="1"/>
  <c r="M180" i="8" s="1"/>
  <c r="M181" i="8" s="1"/>
  <c r="M182" i="8" s="1"/>
  <c r="M183" i="8" s="1"/>
  <c r="M184" i="8" s="1"/>
  <c r="M185" i="8" s="1"/>
  <c r="M186" i="8" s="1"/>
  <c r="M187" i="8" s="1"/>
  <c r="M188" i="8" s="1"/>
  <c r="M189" i="8" s="1"/>
  <c r="M190" i="8" s="1"/>
  <c r="M191" i="8" s="1"/>
  <c r="M192" i="8" s="1"/>
  <c r="M193" i="8" s="1"/>
  <c r="M194" i="8" s="1"/>
  <c r="M195" i="8" s="1"/>
  <c r="M196" i="8" s="1"/>
  <c r="M197" i="8" s="1"/>
  <c r="M198" i="8" s="1"/>
  <c r="M199" i="8" s="1"/>
  <c r="M200" i="8" s="1"/>
  <c r="M201" i="8" s="1"/>
  <c r="M202" i="8" s="1"/>
  <c r="M203" i="8" s="1"/>
  <c r="M204" i="8" s="1"/>
  <c r="M205" i="8" s="1"/>
  <c r="M206" i="8" s="1"/>
  <c r="M207" i="8" s="1"/>
  <c r="M208" i="8" s="1"/>
  <c r="M209" i="8" s="1"/>
  <c r="M210" i="8" s="1"/>
  <c r="M211" i="8" s="1"/>
  <c r="M212" i="8" s="1"/>
  <c r="M213" i="8" s="1"/>
  <c r="M214" i="8" s="1"/>
  <c r="M215" i="8" s="1"/>
  <c r="M216" i="8" s="1"/>
  <c r="M217" i="8" s="1"/>
  <c r="M218" i="8" s="1"/>
  <c r="M219" i="8" s="1"/>
  <c r="M220" i="8" s="1"/>
  <c r="M221" i="8" s="1"/>
  <c r="M222" i="8" s="1"/>
  <c r="M223" i="8" s="1"/>
  <c r="M224" i="8" s="1"/>
  <c r="M225" i="8" s="1"/>
  <c r="M226" i="8" s="1"/>
  <c r="M227" i="8" s="1"/>
  <c r="M228" i="8" s="1"/>
  <c r="M229" i="8" s="1"/>
  <c r="M230" i="8" s="1"/>
  <c r="M231" i="8" s="1"/>
  <c r="M232" i="8" s="1"/>
  <c r="M233" i="8" s="1"/>
  <c r="M234" i="8" s="1"/>
  <c r="M235" i="8" s="1"/>
  <c r="M236" i="8" s="1"/>
  <c r="M237" i="8" s="1"/>
  <c r="M238" i="8" s="1"/>
  <c r="M239" i="8" s="1"/>
  <c r="M240" i="8" s="1"/>
  <c r="M241" i="8" s="1"/>
  <c r="M242" i="8" s="1"/>
  <c r="M243" i="8" s="1"/>
  <c r="M244" i="8" s="1"/>
  <c r="M245" i="8" s="1"/>
  <c r="M246" i="8" s="1"/>
  <c r="M247" i="8" s="1"/>
  <c r="M248" i="8" s="1"/>
  <c r="M249" i="8" s="1"/>
  <c r="M250" i="8" s="1"/>
  <c r="M251" i="8" s="1"/>
  <c r="M252" i="8" s="1"/>
  <c r="M253" i="8" s="1"/>
  <c r="M254" i="8" s="1"/>
  <c r="M255" i="8" s="1"/>
  <c r="M256" i="8" s="1"/>
  <c r="M257" i="8" s="1"/>
  <c r="M258" i="8" s="1"/>
  <c r="M259" i="8" s="1"/>
  <c r="M260" i="8" s="1"/>
  <c r="M261" i="8" s="1"/>
  <c r="M262" i="8" s="1"/>
  <c r="M263" i="8" s="1"/>
  <c r="M264" i="8" s="1"/>
  <c r="M265" i="8" s="1"/>
  <c r="M266" i="8" s="1"/>
  <c r="M267" i="8" s="1"/>
  <c r="M268" i="8" s="1"/>
  <c r="M269" i="8" s="1"/>
  <c r="M270" i="8" s="1"/>
  <c r="M271" i="8" s="1"/>
  <c r="M272" i="8" s="1"/>
  <c r="M273" i="8" s="1"/>
  <c r="M274" i="8" s="1"/>
  <c r="M275" i="8" s="1"/>
  <c r="M276" i="8" s="1"/>
  <c r="M277" i="8" s="1"/>
  <c r="M278" i="8" s="1"/>
  <c r="M279" i="8" s="1"/>
  <c r="M280" i="8" s="1"/>
  <c r="M281" i="8" s="1"/>
  <c r="M282" i="8" s="1"/>
  <c r="M283" i="8" s="1"/>
  <c r="M284" i="8" s="1"/>
  <c r="M285" i="8" s="1"/>
  <c r="M286" i="8" s="1"/>
  <c r="M287" i="8" s="1"/>
  <c r="M288" i="8" s="1"/>
  <c r="M289" i="8" s="1"/>
  <c r="M290" i="8" s="1"/>
  <c r="M291" i="8" s="1"/>
  <c r="M292" i="8" s="1"/>
  <c r="M293" i="8" s="1"/>
  <c r="M294" i="8" s="1"/>
  <c r="M295" i="8" s="1"/>
  <c r="M296" i="8" s="1"/>
  <c r="M297" i="8" s="1"/>
  <c r="M298" i="8" s="1"/>
  <c r="M299" i="8" s="1"/>
  <c r="M300" i="8" s="1"/>
  <c r="M301" i="8" s="1"/>
  <c r="M302" i="8" s="1"/>
  <c r="M303" i="8" s="1"/>
  <c r="M304" i="8" s="1"/>
  <c r="M305" i="8" s="1"/>
  <c r="M306" i="8" s="1"/>
  <c r="M307" i="8" s="1"/>
  <c r="M308" i="8" s="1"/>
  <c r="M309" i="8" s="1"/>
  <c r="M310" i="8" s="1"/>
  <c r="M311" i="8" s="1"/>
  <c r="M312" i="8" s="1"/>
  <c r="M313" i="8" s="1"/>
  <c r="M314" i="8" s="1"/>
  <c r="M315" i="8" s="1"/>
  <c r="M316" i="8" s="1"/>
  <c r="M317" i="8" s="1"/>
  <c r="M318" i="8" s="1"/>
  <c r="M319" i="8" s="1"/>
  <c r="M320" i="8" s="1"/>
  <c r="M321" i="8" s="1"/>
  <c r="M322" i="8" s="1"/>
  <c r="M323" i="8" s="1"/>
  <c r="M324" i="8" s="1"/>
  <c r="M325" i="8" s="1"/>
  <c r="M326" i="8" s="1"/>
  <c r="M327" i="8" s="1"/>
  <c r="M328" i="8" s="1"/>
  <c r="M329" i="8" s="1"/>
  <c r="M330" i="8" s="1"/>
  <c r="M331" i="8" s="1"/>
  <c r="M332" i="8" s="1"/>
  <c r="M333" i="8" s="1"/>
  <c r="M334" i="8" s="1"/>
  <c r="M335" i="8" s="1"/>
  <c r="M336" i="8" s="1"/>
  <c r="M337" i="8" s="1"/>
  <c r="M338" i="8" s="1"/>
  <c r="M339" i="8" s="1"/>
  <c r="M340" i="8" s="1"/>
  <c r="M341" i="8" s="1"/>
  <c r="M342" i="8" s="1"/>
  <c r="M343" i="8" s="1"/>
  <c r="M344" i="8" s="1"/>
  <c r="M345" i="8" s="1"/>
  <c r="M346" i="8" s="1"/>
  <c r="M347" i="8" s="1"/>
  <c r="M348" i="8" s="1"/>
  <c r="M349" i="8" s="1"/>
  <c r="M350" i="8" s="1"/>
  <c r="M351" i="8" s="1"/>
  <c r="M352" i="8" s="1"/>
  <c r="M353" i="8" s="1"/>
  <c r="M354" i="8" s="1"/>
  <c r="M355" i="8" s="1"/>
  <c r="M356" i="8" s="1"/>
  <c r="M357" i="8" s="1"/>
  <c r="M358" i="8" s="1"/>
  <c r="M359" i="8" s="1"/>
  <c r="M360" i="8" s="1"/>
  <c r="M361" i="8" s="1"/>
  <c r="M362" i="8" s="1"/>
  <c r="M363" i="8" s="1"/>
  <c r="M364" i="8" s="1"/>
  <c r="M365" i="8" s="1"/>
  <c r="M366" i="8" s="1"/>
  <c r="M367" i="8" s="1"/>
  <c r="M368" i="8" s="1"/>
  <c r="M369" i="8" s="1"/>
  <c r="M370" i="8" s="1"/>
  <c r="M371" i="8" s="1"/>
  <c r="M372" i="8" s="1"/>
  <c r="M373" i="8" s="1"/>
  <c r="M374" i="8" s="1"/>
  <c r="M375" i="8" s="1"/>
  <c r="M376" i="8" s="1"/>
  <c r="M377" i="8" s="1"/>
  <c r="M378" i="8" s="1"/>
  <c r="M379" i="8" s="1"/>
  <c r="M380" i="8" s="1"/>
  <c r="M381" i="8" s="1"/>
  <c r="M382" i="8" s="1"/>
  <c r="M383" i="8" s="1"/>
  <c r="M384" i="8" s="1"/>
  <c r="M385" i="8" s="1"/>
  <c r="M386" i="8" s="1"/>
  <c r="M387" i="8" s="1"/>
  <c r="M388" i="8" s="1"/>
  <c r="M389" i="8" s="1"/>
  <c r="M390" i="8" s="1"/>
  <c r="M391" i="8" s="1"/>
  <c r="M392" i="8" s="1"/>
  <c r="M393" i="8" s="1"/>
  <c r="M394" i="8" s="1"/>
  <c r="M395" i="8" s="1"/>
  <c r="M396" i="8" s="1"/>
  <c r="M397" i="8" s="1"/>
  <c r="M398" i="8" s="1"/>
  <c r="M399" i="8" s="1"/>
  <c r="M400" i="8" s="1"/>
  <c r="M401" i="8" s="1"/>
  <c r="M402" i="8" s="1"/>
  <c r="M403" i="8" s="1"/>
  <c r="M404" i="8" s="1"/>
  <c r="M405" i="8" s="1"/>
  <c r="M406" i="8" s="1"/>
  <c r="M407" i="8" s="1"/>
  <c r="M408" i="8" s="1"/>
  <c r="M409" i="8" s="1"/>
  <c r="M410" i="8" s="1"/>
  <c r="M411" i="8" s="1"/>
  <c r="M412" i="8" s="1"/>
  <c r="M413" i="8" s="1"/>
  <c r="M414" i="8" s="1"/>
  <c r="M415" i="8" s="1"/>
  <c r="M416" i="8" s="1"/>
  <c r="M417" i="8" s="1"/>
  <c r="M418" i="8" s="1"/>
  <c r="M419" i="8" s="1"/>
  <c r="M420" i="8" s="1"/>
  <c r="M421" i="8" s="1"/>
  <c r="M422" i="8" s="1"/>
  <c r="M423" i="8" s="1"/>
  <c r="M424" i="8" s="1"/>
  <c r="M425" i="8" s="1"/>
  <c r="M426" i="8" s="1"/>
  <c r="M427" i="8" s="1"/>
  <c r="M428" i="8" s="1"/>
  <c r="M429" i="8" s="1"/>
  <c r="M430" i="8" s="1"/>
  <c r="M431" i="8" s="1"/>
  <c r="M432" i="8" s="1"/>
  <c r="M433" i="8" s="1"/>
  <c r="M434" i="8" s="1"/>
  <c r="M435" i="8" s="1"/>
  <c r="M436" i="8" s="1"/>
  <c r="M437" i="8" s="1"/>
  <c r="M438" i="8" s="1"/>
  <c r="M439" i="8" s="1"/>
  <c r="M440" i="8" s="1"/>
  <c r="M441" i="8" s="1"/>
  <c r="M442" i="8" s="1"/>
  <c r="M443" i="8" s="1"/>
  <c r="M444" i="8" s="1"/>
  <c r="M445" i="8" s="1"/>
  <c r="M446" i="8" s="1"/>
  <c r="M447" i="8" s="1"/>
  <c r="M448" i="8" s="1"/>
  <c r="M449" i="8" s="1"/>
  <c r="M450" i="8" s="1"/>
  <c r="M451" i="8" s="1"/>
  <c r="M452" i="8" s="1"/>
  <c r="M453" i="8" s="1"/>
  <c r="M454" i="8" s="1"/>
  <c r="M455" i="8" s="1"/>
  <c r="M456" i="8" s="1"/>
  <c r="M457" i="8" s="1"/>
  <c r="M458" i="8" s="1"/>
  <c r="M459" i="8" s="1"/>
  <c r="M460" i="8" s="1"/>
  <c r="M461" i="8" s="1"/>
  <c r="M462" i="8" s="1"/>
  <c r="M463" i="8" s="1"/>
  <c r="M464" i="8" s="1"/>
  <c r="M465" i="8" s="1"/>
  <c r="M466" i="8" s="1"/>
  <c r="M467" i="8" s="1"/>
  <c r="M468" i="8" s="1"/>
  <c r="M469" i="8" s="1"/>
  <c r="M470" i="8" s="1"/>
  <c r="M471" i="8" s="1"/>
  <c r="M472" i="8" s="1"/>
  <c r="M473" i="8" s="1"/>
  <c r="M474" i="8" s="1"/>
  <c r="M475" i="8" s="1"/>
  <c r="M476" i="8" s="1"/>
  <c r="M477" i="8" s="1"/>
  <c r="M478" i="8" s="1"/>
  <c r="M479" i="8" s="1"/>
  <c r="M480" i="8" s="1"/>
  <c r="M481" i="8" s="1"/>
  <c r="M482" i="8" s="1"/>
  <c r="M483" i="8" s="1"/>
  <c r="M484" i="8" s="1"/>
  <c r="M485" i="8" s="1"/>
  <c r="M486" i="8" s="1"/>
  <c r="M487" i="8" s="1"/>
  <c r="M488" i="8" s="1"/>
  <c r="M489" i="8" s="1"/>
  <c r="M490" i="8" s="1"/>
  <c r="M491" i="8" s="1"/>
  <c r="M492" i="8" s="1"/>
  <c r="M493" i="8" s="1"/>
  <c r="M494" i="8" s="1"/>
  <c r="M495" i="8" s="1"/>
  <c r="M496" i="8" s="1"/>
  <c r="M497" i="8" s="1"/>
  <c r="M498" i="8" s="1"/>
  <c r="M499" i="8" s="1"/>
  <c r="M500" i="8" s="1"/>
  <c r="M501" i="8" s="1"/>
  <c r="M502" i="8" s="1"/>
  <c r="M503" i="8" s="1"/>
  <c r="M504" i="8" s="1"/>
  <c r="M505" i="8" s="1"/>
  <c r="M506" i="8" s="1"/>
  <c r="M507" i="8" s="1"/>
  <c r="M508" i="8" s="1"/>
  <c r="M509" i="8" s="1"/>
  <c r="M510" i="8" s="1"/>
  <c r="M511" i="8" s="1"/>
  <c r="M512" i="8" s="1"/>
  <c r="M513" i="8" s="1"/>
  <c r="M514" i="8" s="1"/>
  <c r="M515" i="8" s="1"/>
  <c r="M516" i="8" s="1"/>
  <c r="M517" i="8" s="1"/>
  <c r="M518" i="8" s="1"/>
  <c r="M519" i="8" s="1"/>
  <c r="M520" i="8" s="1"/>
  <c r="M521" i="8" s="1"/>
  <c r="M522" i="8" s="1"/>
  <c r="M523" i="8" s="1"/>
  <c r="M524" i="8" s="1"/>
  <c r="M525" i="8" s="1"/>
  <c r="M526" i="8" s="1"/>
  <c r="M527" i="8" s="1"/>
  <c r="M528" i="8" s="1"/>
  <c r="M529" i="8" s="1"/>
  <c r="M530" i="8" s="1"/>
  <c r="M531" i="8" s="1"/>
  <c r="M532" i="8" s="1"/>
  <c r="M533" i="8" s="1"/>
  <c r="M534" i="8" s="1"/>
  <c r="M535" i="8" s="1"/>
  <c r="M536" i="8" s="1"/>
  <c r="M537" i="8" s="1"/>
  <c r="M538" i="8" s="1"/>
  <c r="M539" i="8" s="1"/>
  <c r="M540" i="8" s="1"/>
  <c r="M541" i="8" s="1"/>
  <c r="M542" i="8" s="1"/>
  <c r="M543" i="8" s="1"/>
  <c r="M544" i="8" s="1"/>
  <c r="M545" i="8" s="1"/>
  <c r="M546" i="8" s="1"/>
  <c r="M547" i="8" s="1"/>
  <c r="M548" i="8" s="1"/>
  <c r="M549" i="8" s="1"/>
  <c r="M550" i="8" s="1"/>
  <c r="M551" i="8" s="1"/>
  <c r="M552" i="8" s="1"/>
  <c r="M553" i="8" s="1"/>
  <c r="M554" i="8" s="1"/>
  <c r="M555" i="8" s="1"/>
  <c r="M556" i="8" s="1"/>
  <c r="M557" i="8" s="1"/>
  <c r="M558" i="8" s="1"/>
  <c r="M559" i="8" s="1"/>
  <c r="M560" i="8" s="1"/>
  <c r="M561" i="8" s="1"/>
  <c r="M562" i="8" s="1"/>
  <c r="M563" i="8" s="1"/>
  <c r="M564" i="8" s="1"/>
  <c r="M565" i="8" s="1"/>
  <c r="M566" i="8" s="1"/>
  <c r="M567" i="8" s="1"/>
  <c r="M568" i="8" s="1"/>
  <c r="M569" i="8" s="1"/>
  <c r="M570" i="8" s="1"/>
  <c r="M571" i="8" s="1"/>
  <c r="M572" i="8" s="1"/>
  <c r="M573" i="8" s="1"/>
  <c r="M574" i="8" s="1"/>
  <c r="M575" i="8" s="1"/>
  <c r="M576" i="8" s="1"/>
  <c r="M577" i="8" s="1"/>
  <c r="M578" i="8" s="1"/>
  <c r="M579" i="8" s="1"/>
  <c r="M580" i="8" s="1"/>
  <c r="M581" i="8" s="1"/>
  <c r="M582" i="8" s="1"/>
  <c r="M583" i="8" s="1"/>
  <c r="M584" i="8" s="1"/>
  <c r="M585" i="8" s="1"/>
  <c r="M586" i="8" s="1"/>
  <c r="M587" i="8" s="1"/>
  <c r="M588" i="8" s="1"/>
  <c r="M589" i="8" s="1"/>
  <c r="M590" i="8" s="1"/>
  <c r="M591" i="8" s="1"/>
  <c r="M592" i="8" s="1"/>
  <c r="M593" i="8" s="1"/>
  <c r="M594" i="8" s="1"/>
  <c r="M595" i="8" s="1"/>
  <c r="M596" i="8" s="1"/>
  <c r="M597" i="8" s="1"/>
  <c r="M598" i="8" s="1"/>
  <c r="M599" i="8" s="1"/>
  <c r="M600" i="8" s="1"/>
  <c r="M601" i="8" s="1"/>
  <c r="M602" i="8" s="1"/>
  <c r="M603" i="8" s="1"/>
  <c r="M604" i="8" s="1"/>
  <c r="M605" i="8" s="1"/>
  <c r="M606" i="8" s="1"/>
  <c r="M607" i="8" s="1"/>
  <c r="M608" i="8" s="1"/>
  <c r="M609" i="8" s="1"/>
  <c r="M610" i="8" s="1"/>
  <c r="M611" i="8" s="1"/>
  <c r="M612" i="8" s="1"/>
  <c r="M613" i="8" s="1"/>
  <c r="M614" i="8" s="1"/>
  <c r="M615" i="8" s="1"/>
  <c r="M616" i="8" s="1"/>
  <c r="M617" i="8" s="1"/>
  <c r="M618" i="8" s="1"/>
  <c r="M619" i="8" s="1"/>
  <c r="M620" i="8" s="1"/>
  <c r="M621" i="8" s="1"/>
  <c r="M622" i="8" s="1"/>
  <c r="M623" i="8" s="1"/>
  <c r="M624" i="8" s="1"/>
  <c r="M625" i="8" s="1"/>
  <c r="M626" i="8" s="1"/>
  <c r="M627" i="8" s="1"/>
  <c r="M628" i="8" s="1"/>
  <c r="M629" i="8" s="1"/>
  <c r="M630" i="8" s="1"/>
  <c r="M631" i="8" s="1"/>
  <c r="M632" i="8" s="1"/>
  <c r="M633" i="8" s="1"/>
  <c r="M634" i="8" s="1"/>
  <c r="M635" i="8" s="1"/>
  <c r="M636" i="8" s="1"/>
  <c r="M637" i="8" s="1"/>
  <c r="M638" i="8" s="1"/>
  <c r="M639" i="8" s="1"/>
  <c r="M640" i="8" s="1"/>
  <c r="M641" i="8" s="1"/>
  <c r="M642" i="8" s="1"/>
  <c r="M643" i="8" s="1"/>
  <c r="M644" i="8" s="1"/>
  <c r="M645" i="8" s="1"/>
  <c r="M646" i="8" s="1"/>
  <c r="M647" i="8" s="1"/>
  <c r="M648" i="8" s="1"/>
  <c r="M649" i="8" s="1"/>
  <c r="M650" i="8" s="1"/>
  <c r="M651" i="8" s="1"/>
  <c r="M652" i="8" s="1"/>
  <c r="M653" i="8" s="1"/>
  <c r="M654" i="8" s="1"/>
  <c r="M655" i="8" s="1"/>
  <c r="M656" i="8" s="1"/>
  <c r="M657" i="8" s="1"/>
  <c r="M658" i="8" s="1"/>
  <c r="M659" i="8" s="1"/>
  <c r="M660" i="8" s="1"/>
  <c r="M661" i="8" s="1"/>
  <c r="M662" i="8" s="1"/>
  <c r="M663" i="8" s="1"/>
  <c r="M664" i="8" s="1"/>
  <c r="M665" i="8" s="1"/>
  <c r="M666" i="8" s="1"/>
  <c r="M667" i="8" s="1"/>
  <c r="M668" i="8" s="1"/>
  <c r="M669" i="8" s="1"/>
  <c r="M670" i="8" s="1"/>
  <c r="M671" i="8" s="1"/>
  <c r="M672" i="8" s="1"/>
  <c r="M673" i="8" s="1"/>
  <c r="M674" i="8" s="1"/>
  <c r="M675" i="8" s="1"/>
  <c r="M676" i="8" s="1"/>
  <c r="M677" i="8" s="1"/>
  <c r="M678" i="8" s="1"/>
  <c r="M679" i="8" s="1"/>
  <c r="M680" i="8" s="1"/>
  <c r="M681" i="8" s="1"/>
  <c r="M682" i="8" s="1"/>
  <c r="M683" i="8" s="1"/>
  <c r="M684" i="8" s="1"/>
  <c r="M685" i="8" s="1"/>
  <c r="M686" i="8" s="1"/>
  <c r="M687" i="8" s="1"/>
  <c r="M688" i="8" s="1"/>
  <c r="M689" i="8" s="1"/>
  <c r="M690" i="8" s="1"/>
  <c r="M691" i="8" s="1"/>
  <c r="M692" i="8" s="1"/>
  <c r="M693" i="8" s="1"/>
  <c r="M694" i="8" s="1"/>
  <c r="M695" i="8" s="1"/>
  <c r="M696" i="8" s="1"/>
  <c r="M697" i="8" s="1"/>
  <c r="M698" i="8" s="1"/>
  <c r="M699" i="8" s="1"/>
  <c r="M700" i="8" s="1"/>
  <c r="M701" i="8" s="1"/>
  <c r="M702" i="8" s="1"/>
  <c r="M703" i="8" s="1"/>
  <c r="M704" i="8" s="1"/>
  <c r="M705" i="8" s="1"/>
  <c r="M706" i="8" s="1"/>
  <c r="M707" i="8" s="1"/>
  <c r="M708" i="8" s="1"/>
  <c r="M709" i="8" s="1"/>
  <c r="M710" i="8" s="1"/>
  <c r="M711" i="8" s="1"/>
  <c r="M712" i="8" s="1"/>
  <c r="M713" i="8" s="1"/>
  <c r="M714" i="8" s="1"/>
  <c r="M715" i="8" s="1"/>
  <c r="M716" i="8" s="1"/>
  <c r="M717" i="8" s="1"/>
  <c r="M718" i="8" s="1"/>
  <c r="M719" i="8" s="1"/>
  <c r="M720" i="8" s="1"/>
  <c r="M721" i="8" s="1"/>
  <c r="M722" i="8" s="1"/>
  <c r="M723" i="8" s="1"/>
  <c r="M724" i="8" s="1"/>
  <c r="M725" i="8" s="1"/>
  <c r="M726" i="8" s="1"/>
  <c r="M727" i="8" s="1"/>
  <c r="M728" i="8" s="1"/>
  <c r="M729" i="8" s="1"/>
  <c r="M730" i="8" s="1"/>
  <c r="M731" i="8" s="1"/>
  <c r="M732" i="8" s="1"/>
  <c r="M733" i="8" s="1"/>
  <c r="M734" i="8" s="1"/>
  <c r="M735" i="8" s="1"/>
  <c r="M736" i="8" s="1"/>
  <c r="M737" i="8" s="1"/>
  <c r="M738" i="8" s="1"/>
  <c r="M739" i="8" s="1"/>
  <c r="M740" i="8" s="1"/>
  <c r="M741" i="8" s="1"/>
  <c r="M742" i="8" s="1"/>
  <c r="M743" i="8" s="1"/>
  <c r="M744" i="8" s="1"/>
  <c r="M745" i="8" s="1"/>
  <c r="M746" i="8" s="1"/>
  <c r="M747" i="8" s="1"/>
  <c r="M748" i="8" s="1"/>
  <c r="M749" i="8" s="1"/>
  <c r="M750" i="8" s="1"/>
  <c r="M751" i="8" s="1"/>
  <c r="M752" i="8" s="1"/>
  <c r="M753" i="8" s="1"/>
  <c r="M754" i="8" s="1"/>
  <c r="M755" i="8" s="1"/>
  <c r="M756" i="8" s="1"/>
  <c r="M757" i="8" s="1"/>
  <c r="M758" i="8" s="1"/>
  <c r="M759" i="8" s="1"/>
  <c r="M760" i="8" s="1"/>
  <c r="M761" i="8" s="1"/>
  <c r="M762" i="8" s="1"/>
  <c r="M763" i="8" s="1"/>
  <c r="M764" i="8" s="1"/>
  <c r="M765" i="8" s="1"/>
  <c r="M766" i="8" s="1"/>
  <c r="M767" i="8" s="1"/>
  <c r="M768" i="8" s="1"/>
  <c r="M769" i="8" s="1"/>
  <c r="M770" i="8" s="1"/>
  <c r="M771" i="8" s="1"/>
  <c r="M772" i="8" s="1"/>
  <c r="M773" i="8" s="1"/>
  <c r="M774" i="8" s="1"/>
  <c r="M775" i="8" s="1"/>
  <c r="M776" i="8" s="1"/>
  <c r="M777" i="8" s="1"/>
  <c r="M778" i="8" s="1"/>
  <c r="M779" i="8" s="1"/>
  <c r="M780" i="8" s="1"/>
  <c r="M781" i="8" s="1"/>
  <c r="M782" i="8" s="1"/>
  <c r="M783" i="8" s="1"/>
  <c r="M784" i="8" s="1"/>
  <c r="M785" i="8" s="1"/>
  <c r="M786" i="8" s="1"/>
  <c r="M787" i="8" s="1"/>
  <c r="M788" i="8" s="1"/>
  <c r="M789" i="8" s="1"/>
  <c r="M790" i="8" s="1"/>
  <c r="M791" i="8" s="1"/>
  <c r="M792" i="8" s="1"/>
  <c r="M793" i="8" s="1"/>
  <c r="M794" i="8" s="1"/>
  <c r="M795" i="8" s="1"/>
  <c r="M796" i="8" s="1"/>
  <c r="M797" i="8" s="1"/>
  <c r="M798" i="8" s="1"/>
  <c r="M799" i="8" s="1"/>
  <c r="M800" i="8" s="1"/>
  <c r="M801" i="8" s="1"/>
  <c r="M802" i="8" s="1"/>
  <c r="M803" i="8" s="1"/>
  <c r="M804" i="8" s="1"/>
  <c r="M805" i="8" s="1"/>
  <c r="M806" i="8" s="1"/>
  <c r="M807" i="8" s="1"/>
  <c r="M808" i="8" s="1"/>
  <c r="M809" i="8" s="1"/>
  <c r="M810" i="8" s="1"/>
  <c r="M811" i="8" s="1"/>
  <c r="M812" i="8" s="1"/>
  <c r="M813" i="8" s="1"/>
  <c r="M814" i="8" s="1"/>
  <c r="M815" i="8" s="1"/>
  <c r="M816" i="8" s="1"/>
  <c r="M817" i="8" s="1"/>
  <c r="M818" i="8" s="1"/>
  <c r="M819" i="8" s="1"/>
  <c r="M820" i="8" s="1"/>
  <c r="M821" i="8" s="1"/>
  <c r="M822" i="8" s="1"/>
  <c r="M823" i="8" s="1"/>
  <c r="M824" i="8" s="1"/>
  <c r="M825" i="8" s="1"/>
  <c r="M826" i="8" s="1"/>
  <c r="M827" i="8" s="1"/>
  <c r="M828" i="8" s="1"/>
  <c r="M829" i="8" s="1"/>
  <c r="M830" i="8" s="1"/>
  <c r="M831" i="8" s="1"/>
  <c r="M832" i="8" s="1"/>
  <c r="M833" i="8" s="1"/>
  <c r="M834" i="8" s="1"/>
  <c r="M835" i="8" s="1"/>
  <c r="M836" i="8" s="1"/>
  <c r="M837" i="8" s="1"/>
  <c r="M838" i="8" s="1"/>
  <c r="M839" i="8" s="1"/>
  <c r="M840" i="8" s="1"/>
  <c r="M841" i="8" s="1"/>
  <c r="M842" i="8" s="1"/>
  <c r="M843" i="8" s="1"/>
  <c r="M844" i="8" s="1"/>
  <c r="M845" i="8" s="1"/>
  <c r="M846" i="8" s="1"/>
  <c r="M847" i="8" s="1"/>
  <c r="M848" i="8" s="1"/>
  <c r="M849" i="8" s="1"/>
  <c r="M850" i="8" s="1"/>
  <c r="M851" i="8" s="1"/>
  <c r="M852" i="8" s="1"/>
  <c r="M853" i="8" s="1"/>
  <c r="M854" i="8" s="1"/>
  <c r="M855" i="8" s="1"/>
  <c r="M856" i="8" s="1"/>
  <c r="M857" i="8" s="1"/>
  <c r="M858" i="8" s="1"/>
  <c r="M859" i="8" s="1"/>
  <c r="M860" i="8" s="1"/>
  <c r="M861" i="8" s="1"/>
  <c r="M862" i="8" s="1"/>
  <c r="M863" i="8" s="1"/>
  <c r="M864" i="8" s="1"/>
  <c r="M865" i="8" s="1"/>
  <c r="M866" i="8" s="1"/>
  <c r="M867" i="8" s="1"/>
  <c r="M868" i="8" s="1"/>
  <c r="M869" i="8" s="1"/>
  <c r="M870" i="8" s="1"/>
  <c r="M871" i="8" s="1"/>
  <c r="M872" i="8" s="1"/>
  <c r="M873" i="8" s="1"/>
  <c r="M874" i="8" s="1"/>
  <c r="M875" i="8" s="1"/>
  <c r="M876" i="8" s="1"/>
  <c r="M877" i="8" s="1"/>
  <c r="M878" i="8" s="1"/>
  <c r="M879" i="8" s="1"/>
  <c r="M880" i="8" s="1"/>
  <c r="M881" i="8" s="1"/>
  <c r="M882" i="8" s="1"/>
  <c r="M883" i="8" s="1"/>
  <c r="M884" i="8" s="1"/>
  <c r="M885" i="8" s="1"/>
  <c r="M886" i="8" s="1"/>
  <c r="M887" i="8" s="1"/>
  <c r="M888" i="8" s="1"/>
  <c r="M889" i="8" s="1"/>
  <c r="M890" i="8" s="1"/>
  <c r="M891" i="8" s="1"/>
  <c r="M892" i="8" s="1"/>
  <c r="M893" i="8" s="1"/>
  <c r="M894" i="8" s="1"/>
  <c r="M895" i="8" s="1"/>
  <c r="M896" i="8" s="1"/>
  <c r="M897" i="8" s="1"/>
  <c r="M898" i="8" s="1"/>
  <c r="M899" i="8" s="1"/>
  <c r="M900" i="8" s="1"/>
  <c r="M901" i="8" s="1"/>
  <c r="M902" i="8" s="1"/>
  <c r="M903" i="8" s="1"/>
  <c r="M904" i="8" s="1"/>
  <c r="M905" i="8" s="1"/>
  <c r="M906" i="8" s="1"/>
  <c r="M907" i="8" s="1"/>
  <c r="M908" i="8" s="1"/>
  <c r="M909" i="8" s="1"/>
  <c r="M910" i="8" s="1"/>
  <c r="M911" i="8" s="1"/>
  <c r="M912" i="8" s="1"/>
  <c r="M913" i="8" s="1"/>
  <c r="M914" i="8" s="1"/>
  <c r="M915" i="8" s="1"/>
  <c r="M916" i="8" s="1"/>
  <c r="M917" i="8" s="1"/>
  <c r="M918" i="8" s="1"/>
  <c r="M919" i="8" s="1"/>
  <c r="M920" i="8" s="1"/>
  <c r="M921" i="8" s="1"/>
  <c r="M922" i="8" s="1"/>
  <c r="M923" i="8" s="1"/>
  <c r="M924" i="8" s="1"/>
  <c r="M925" i="8" s="1"/>
  <c r="M926" i="8" s="1"/>
  <c r="M927" i="8" s="1"/>
  <c r="M928" i="8" s="1"/>
  <c r="M929" i="8" s="1"/>
  <c r="M930" i="8" s="1"/>
  <c r="M931" i="8" s="1"/>
  <c r="M932" i="8" s="1"/>
  <c r="M933" i="8" s="1"/>
  <c r="M934" i="8" s="1"/>
  <c r="M935" i="8" s="1"/>
  <c r="M936" i="8" s="1"/>
  <c r="M937" i="8" s="1"/>
  <c r="M938" i="8" s="1"/>
  <c r="M939" i="8" s="1"/>
  <c r="M940" i="8" s="1"/>
  <c r="M941" i="8" s="1"/>
  <c r="M942" i="8" s="1"/>
  <c r="M943" i="8" s="1"/>
  <c r="M944" i="8" s="1"/>
  <c r="M945" i="8" s="1"/>
  <c r="M946" i="8" s="1"/>
  <c r="M947" i="8" s="1"/>
  <c r="M948" i="8" s="1"/>
  <c r="M949" i="8" s="1"/>
  <c r="M950" i="8" s="1"/>
  <c r="M951" i="8" s="1"/>
  <c r="M952" i="8" s="1"/>
  <c r="M953" i="8" s="1"/>
  <c r="M954" i="8" s="1"/>
  <c r="M955" i="8" s="1"/>
  <c r="M956" i="8" s="1"/>
  <c r="M957" i="8" s="1"/>
  <c r="M958" i="8" s="1"/>
  <c r="M959" i="8" s="1"/>
  <c r="M960" i="8" s="1"/>
  <c r="M961" i="8" s="1"/>
  <c r="M962" i="8" s="1"/>
  <c r="M963" i="8" s="1"/>
  <c r="M964" i="8" s="1"/>
  <c r="M965" i="8" s="1"/>
  <c r="M966" i="8" s="1"/>
  <c r="M967" i="8" s="1"/>
  <c r="M968" i="8" s="1"/>
  <c r="M969" i="8" s="1"/>
  <c r="M970" i="8" s="1"/>
  <c r="M971" i="8" s="1"/>
  <c r="M972" i="8" s="1"/>
  <c r="M973" i="8" s="1"/>
  <c r="M974" i="8" s="1"/>
  <c r="M975" i="8" s="1"/>
  <c r="M976" i="8" s="1"/>
  <c r="M977" i="8" s="1"/>
  <c r="M978" i="8" s="1"/>
  <c r="M979" i="8" s="1"/>
  <c r="M980" i="8" s="1"/>
  <c r="M981" i="8" s="1"/>
  <c r="M982" i="8" s="1"/>
  <c r="M983" i="8" s="1"/>
  <c r="M984" i="8" s="1"/>
  <c r="M985" i="8" s="1"/>
  <c r="M986" i="8" s="1"/>
  <c r="M987" i="8" s="1"/>
  <c r="M988" i="8" s="1"/>
  <c r="M989" i="8" s="1"/>
  <c r="M990" i="8" s="1"/>
  <c r="M991" i="8" s="1"/>
  <c r="M992" i="8" s="1"/>
  <c r="M993" i="8" s="1"/>
  <c r="M994" i="8" s="1"/>
  <c r="M995" i="8" s="1"/>
  <c r="M996" i="8" s="1"/>
  <c r="M997" i="8" s="1"/>
  <c r="M998" i="8" s="1"/>
  <c r="M999" i="8" s="1"/>
  <c r="M1000" i="8" s="1"/>
  <c r="M1001" i="8" s="1"/>
  <c r="M1002" i="8" s="1"/>
  <c r="M1003" i="8" s="1"/>
  <c r="M1004" i="8" s="1"/>
  <c r="M1005" i="8" s="1"/>
  <c r="M1006" i="8" s="1"/>
  <c r="M1007" i="8" s="1"/>
  <c r="M1008" i="8" s="1"/>
  <c r="M1009" i="8" s="1"/>
  <c r="M1010" i="8" s="1"/>
  <c r="M1011" i="8" s="1"/>
  <c r="M1012" i="8" s="1"/>
  <c r="M1013" i="8" s="1"/>
  <c r="M1014" i="8" s="1"/>
  <c r="M1015" i="8" s="1"/>
  <c r="M1016" i="8" s="1"/>
  <c r="M1017" i="8" s="1"/>
  <c r="M1018" i="8" s="1"/>
  <c r="M1019" i="8" s="1"/>
  <c r="M1020" i="8" s="1"/>
  <c r="M1021" i="8" s="1"/>
  <c r="M1022" i="8" s="1"/>
  <c r="M1023" i="8" s="1"/>
  <c r="M1024" i="8" s="1"/>
  <c r="M1025" i="8" s="1"/>
  <c r="M1026" i="8" s="1"/>
  <c r="M1027" i="8" s="1"/>
  <c r="M1028" i="8" s="1"/>
  <c r="M1029" i="8" s="1"/>
  <c r="M1030" i="8" s="1"/>
  <c r="M1031" i="8" s="1"/>
  <c r="M1032" i="8" s="1"/>
  <c r="M1033" i="8" s="1"/>
  <c r="M1034" i="8" s="1"/>
  <c r="M1035" i="8" s="1"/>
  <c r="M1036" i="8" s="1"/>
  <c r="M1037" i="8" s="1"/>
  <c r="M1038" i="8" s="1"/>
  <c r="M1039" i="8" s="1"/>
  <c r="M1040" i="8" s="1"/>
  <c r="M1041" i="8" s="1"/>
  <c r="M1042" i="8" s="1"/>
  <c r="M1043" i="8" s="1"/>
  <c r="M1044" i="8" s="1"/>
  <c r="M1045" i="8" s="1"/>
  <c r="M1046" i="8" s="1"/>
  <c r="M1047" i="8" s="1"/>
  <c r="M1048" i="8" s="1"/>
  <c r="M1049" i="8" s="1"/>
  <c r="M1050" i="8" s="1"/>
  <c r="M1051" i="8" s="1"/>
  <c r="M1052" i="8" s="1"/>
  <c r="M1053" i="8" s="1"/>
  <c r="M1054" i="8" s="1"/>
  <c r="M1055" i="8" s="1"/>
  <c r="M1056" i="8" s="1"/>
  <c r="M1057" i="8" s="1"/>
  <c r="M1058" i="8" s="1"/>
  <c r="M1059" i="8" s="1"/>
  <c r="M1060" i="8" s="1"/>
  <c r="L2" i="8"/>
  <c r="L1" i="8"/>
  <c r="K2" i="8"/>
  <c r="K3" i="8" s="1"/>
  <c r="K4" i="8" s="1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K103" i="8" s="1"/>
  <c r="K104" i="8" s="1"/>
  <c r="K105" i="8" s="1"/>
  <c r="K106" i="8" s="1"/>
  <c r="K107" i="8" s="1"/>
  <c r="K108" i="8" s="1"/>
  <c r="K109" i="8" s="1"/>
  <c r="K110" i="8" s="1"/>
  <c r="K111" i="8" s="1"/>
  <c r="K112" i="8" s="1"/>
  <c r="K113" i="8" s="1"/>
  <c r="K114" i="8" s="1"/>
  <c r="K115" i="8" s="1"/>
  <c r="K116" i="8" s="1"/>
  <c r="K117" i="8" s="1"/>
  <c r="K118" i="8" s="1"/>
  <c r="K119" i="8" s="1"/>
  <c r="K120" i="8" s="1"/>
  <c r="K121" i="8" s="1"/>
  <c r="K122" i="8" s="1"/>
  <c r="K123" i="8" s="1"/>
  <c r="K124" i="8" s="1"/>
  <c r="K125" i="8" s="1"/>
  <c r="K126" i="8" s="1"/>
  <c r="K127" i="8" s="1"/>
  <c r="K128" i="8" s="1"/>
  <c r="K129" i="8" s="1"/>
  <c r="K130" i="8" s="1"/>
  <c r="K131" i="8" s="1"/>
  <c r="K132" i="8" s="1"/>
  <c r="K133" i="8" s="1"/>
  <c r="K134" i="8" s="1"/>
  <c r="K135" i="8" s="1"/>
  <c r="K136" i="8" s="1"/>
  <c r="K137" i="8" s="1"/>
  <c r="K138" i="8" s="1"/>
  <c r="K139" i="8" s="1"/>
  <c r="K140" i="8" s="1"/>
  <c r="K141" i="8" s="1"/>
  <c r="K142" i="8" s="1"/>
  <c r="K143" i="8" s="1"/>
  <c r="K144" i="8" s="1"/>
  <c r="K145" i="8" s="1"/>
  <c r="K146" i="8" s="1"/>
  <c r="K147" i="8" s="1"/>
  <c r="K148" i="8" s="1"/>
  <c r="K149" i="8" s="1"/>
  <c r="K150" i="8" s="1"/>
  <c r="K151" i="8" s="1"/>
  <c r="K152" i="8" s="1"/>
  <c r="K153" i="8" s="1"/>
  <c r="K154" i="8" s="1"/>
  <c r="K155" i="8" s="1"/>
  <c r="K156" i="8" s="1"/>
  <c r="K157" i="8" s="1"/>
  <c r="K158" i="8" s="1"/>
  <c r="K159" i="8" s="1"/>
  <c r="K160" i="8" s="1"/>
  <c r="K161" i="8" s="1"/>
  <c r="K162" i="8" s="1"/>
  <c r="K163" i="8" s="1"/>
  <c r="K164" i="8" s="1"/>
  <c r="K165" i="8" s="1"/>
  <c r="K166" i="8" s="1"/>
  <c r="K167" i="8" s="1"/>
  <c r="K168" i="8" s="1"/>
  <c r="K169" i="8" s="1"/>
  <c r="K170" i="8" s="1"/>
  <c r="K171" i="8" s="1"/>
  <c r="K172" i="8" s="1"/>
  <c r="K173" i="8" s="1"/>
  <c r="K174" i="8" s="1"/>
  <c r="K175" i="8" s="1"/>
  <c r="K176" i="8" s="1"/>
  <c r="K177" i="8" s="1"/>
  <c r="K178" i="8" s="1"/>
  <c r="K179" i="8" s="1"/>
  <c r="K180" i="8" s="1"/>
  <c r="K181" i="8" s="1"/>
  <c r="K182" i="8" s="1"/>
  <c r="K183" i="8" s="1"/>
  <c r="K184" i="8" s="1"/>
  <c r="K185" i="8" s="1"/>
  <c r="K186" i="8" s="1"/>
  <c r="K187" i="8" s="1"/>
  <c r="K188" i="8" s="1"/>
  <c r="K189" i="8" s="1"/>
  <c r="K190" i="8" s="1"/>
  <c r="K191" i="8" s="1"/>
  <c r="K192" i="8" s="1"/>
  <c r="K193" i="8" s="1"/>
  <c r="K194" i="8" s="1"/>
  <c r="K195" i="8" s="1"/>
  <c r="K196" i="8" s="1"/>
  <c r="K197" i="8" s="1"/>
  <c r="K198" i="8" s="1"/>
  <c r="K199" i="8" s="1"/>
  <c r="K200" i="8" s="1"/>
  <c r="K201" i="8" s="1"/>
  <c r="K202" i="8" s="1"/>
  <c r="K203" i="8" s="1"/>
  <c r="K204" i="8" s="1"/>
  <c r="K205" i="8" s="1"/>
  <c r="K206" i="8" s="1"/>
  <c r="K207" i="8" s="1"/>
  <c r="K208" i="8" s="1"/>
  <c r="K209" i="8" s="1"/>
  <c r="K210" i="8" s="1"/>
  <c r="K211" i="8" s="1"/>
  <c r="K212" i="8" s="1"/>
  <c r="K213" i="8" s="1"/>
  <c r="K214" i="8" s="1"/>
  <c r="K215" i="8" s="1"/>
  <c r="K216" i="8" s="1"/>
  <c r="K217" i="8" s="1"/>
  <c r="K218" i="8" s="1"/>
  <c r="K219" i="8" s="1"/>
  <c r="K220" i="8" s="1"/>
  <c r="K221" i="8" s="1"/>
  <c r="K222" i="8" s="1"/>
  <c r="K223" i="8" s="1"/>
  <c r="K224" i="8" s="1"/>
  <c r="K225" i="8" s="1"/>
  <c r="K226" i="8" s="1"/>
  <c r="K227" i="8" s="1"/>
  <c r="K228" i="8" s="1"/>
  <c r="K229" i="8" s="1"/>
  <c r="K230" i="8" s="1"/>
  <c r="K231" i="8" s="1"/>
  <c r="K232" i="8" s="1"/>
  <c r="K233" i="8" s="1"/>
  <c r="K234" i="8" s="1"/>
  <c r="K235" i="8" s="1"/>
  <c r="K236" i="8" s="1"/>
  <c r="K237" i="8" s="1"/>
  <c r="K238" i="8" s="1"/>
  <c r="K239" i="8" s="1"/>
  <c r="K240" i="8" s="1"/>
  <c r="K241" i="8" s="1"/>
  <c r="K242" i="8" s="1"/>
  <c r="K243" i="8" s="1"/>
  <c r="K244" i="8" s="1"/>
  <c r="K245" i="8" s="1"/>
  <c r="K246" i="8" s="1"/>
  <c r="K247" i="8" s="1"/>
  <c r="K248" i="8" s="1"/>
  <c r="K249" i="8" s="1"/>
  <c r="K250" i="8" s="1"/>
  <c r="K251" i="8" s="1"/>
  <c r="K252" i="8" s="1"/>
  <c r="K253" i="8" s="1"/>
  <c r="K254" i="8" s="1"/>
  <c r="K255" i="8" s="1"/>
  <c r="K256" i="8" s="1"/>
  <c r="K257" i="8" s="1"/>
  <c r="K258" i="8" s="1"/>
  <c r="K259" i="8" s="1"/>
  <c r="K260" i="8" s="1"/>
  <c r="K261" i="8" s="1"/>
  <c r="K262" i="8" s="1"/>
  <c r="K263" i="8" s="1"/>
  <c r="K264" i="8" s="1"/>
  <c r="K265" i="8" s="1"/>
  <c r="K266" i="8" s="1"/>
  <c r="K267" i="8" s="1"/>
  <c r="K268" i="8" s="1"/>
  <c r="K269" i="8" s="1"/>
  <c r="K270" i="8" s="1"/>
  <c r="K271" i="8" s="1"/>
  <c r="K272" i="8" s="1"/>
  <c r="K273" i="8" s="1"/>
  <c r="K274" i="8" s="1"/>
  <c r="K275" i="8" s="1"/>
  <c r="K276" i="8" s="1"/>
  <c r="K277" i="8" s="1"/>
  <c r="K278" i="8" s="1"/>
  <c r="K279" i="8" s="1"/>
  <c r="K280" i="8" s="1"/>
  <c r="K281" i="8" s="1"/>
  <c r="K282" i="8" s="1"/>
  <c r="K283" i="8" s="1"/>
  <c r="K284" i="8" s="1"/>
  <c r="K285" i="8" s="1"/>
  <c r="K286" i="8" s="1"/>
  <c r="K287" i="8" s="1"/>
  <c r="K288" i="8" s="1"/>
  <c r="K289" i="8" s="1"/>
  <c r="K290" i="8" s="1"/>
  <c r="K291" i="8" s="1"/>
  <c r="K292" i="8" s="1"/>
  <c r="K293" i="8" s="1"/>
  <c r="K294" i="8" s="1"/>
  <c r="K295" i="8" s="1"/>
  <c r="K296" i="8" s="1"/>
  <c r="K297" i="8" s="1"/>
  <c r="K298" i="8" s="1"/>
  <c r="K299" i="8" s="1"/>
  <c r="K300" i="8" s="1"/>
  <c r="K301" i="8" s="1"/>
  <c r="K302" i="8" s="1"/>
  <c r="K303" i="8" s="1"/>
  <c r="K304" i="8" s="1"/>
  <c r="K305" i="8" s="1"/>
  <c r="K306" i="8" s="1"/>
  <c r="K307" i="8" s="1"/>
  <c r="K308" i="8" s="1"/>
  <c r="K309" i="8" s="1"/>
  <c r="K310" i="8" s="1"/>
  <c r="K311" i="8" s="1"/>
  <c r="K312" i="8" s="1"/>
  <c r="K313" i="8" s="1"/>
  <c r="K314" i="8" s="1"/>
  <c r="K315" i="8" s="1"/>
  <c r="K316" i="8" s="1"/>
  <c r="K317" i="8" s="1"/>
  <c r="K318" i="8" s="1"/>
  <c r="K319" i="8" s="1"/>
  <c r="K320" i="8" s="1"/>
  <c r="K321" i="8" s="1"/>
  <c r="K322" i="8" s="1"/>
  <c r="K323" i="8" s="1"/>
  <c r="K324" i="8" s="1"/>
  <c r="K325" i="8" s="1"/>
  <c r="K326" i="8" s="1"/>
  <c r="K327" i="8" s="1"/>
  <c r="K328" i="8" s="1"/>
  <c r="K329" i="8" s="1"/>
  <c r="K330" i="8" s="1"/>
  <c r="K331" i="8" s="1"/>
  <c r="K332" i="8" s="1"/>
  <c r="K333" i="8" s="1"/>
  <c r="K334" i="8" s="1"/>
  <c r="K335" i="8" s="1"/>
  <c r="K336" i="8" s="1"/>
  <c r="K337" i="8" s="1"/>
  <c r="K338" i="8" s="1"/>
  <c r="K339" i="8" s="1"/>
  <c r="K340" i="8" s="1"/>
  <c r="K341" i="8" s="1"/>
  <c r="K342" i="8" s="1"/>
  <c r="K343" i="8" s="1"/>
  <c r="K344" i="8" s="1"/>
  <c r="K345" i="8" s="1"/>
  <c r="K346" i="8" s="1"/>
  <c r="K347" i="8" s="1"/>
  <c r="K348" i="8" s="1"/>
  <c r="K349" i="8" s="1"/>
  <c r="K350" i="8" s="1"/>
  <c r="K351" i="8" s="1"/>
  <c r="K352" i="8" s="1"/>
  <c r="K353" i="8" s="1"/>
  <c r="K354" i="8" s="1"/>
  <c r="K355" i="8" s="1"/>
  <c r="K356" i="8" s="1"/>
  <c r="K357" i="8" s="1"/>
  <c r="K358" i="8" s="1"/>
  <c r="K359" i="8" s="1"/>
  <c r="K360" i="8" s="1"/>
  <c r="K361" i="8" s="1"/>
  <c r="K362" i="8" s="1"/>
  <c r="K363" i="8" s="1"/>
  <c r="K364" i="8" s="1"/>
  <c r="K365" i="8" s="1"/>
  <c r="K366" i="8" s="1"/>
  <c r="K367" i="8" s="1"/>
  <c r="K368" i="8" s="1"/>
  <c r="K369" i="8" s="1"/>
  <c r="K370" i="8" s="1"/>
  <c r="K371" i="8" s="1"/>
  <c r="K372" i="8" s="1"/>
  <c r="K373" i="8" s="1"/>
  <c r="K374" i="8" s="1"/>
  <c r="K375" i="8" s="1"/>
  <c r="K376" i="8" s="1"/>
  <c r="K377" i="8" s="1"/>
  <c r="K378" i="8" s="1"/>
  <c r="K379" i="8" s="1"/>
  <c r="K380" i="8" s="1"/>
  <c r="K381" i="8" s="1"/>
  <c r="K382" i="8" s="1"/>
  <c r="K383" i="8" s="1"/>
  <c r="K384" i="8" s="1"/>
  <c r="K385" i="8" s="1"/>
  <c r="K386" i="8" s="1"/>
  <c r="K387" i="8" s="1"/>
  <c r="K388" i="8" s="1"/>
  <c r="K389" i="8" s="1"/>
  <c r="K390" i="8" s="1"/>
  <c r="K391" i="8" s="1"/>
  <c r="K392" i="8" s="1"/>
  <c r="K393" i="8" s="1"/>
  <c r="K394" i="8" s="1"/>
  <c r="K395" i="8" s="1"/>
  <c r="K396" i="8" s="1"/>
  <c r="K397" i="8" s="1"/>
  <c r="K398" i="8" s="1"/>
  <c r="K399" i="8" s="1"/>
  <c r="K400" i="8" s="1"/>
  <c r="K401" i="8" s="1"/>
  <c r="K402" i="8" s="1"/>
  <c r="K403" i="8" s="1"/>
  <c r="K404" i="8" s="1"/>
  <c r="K405" i="8" s="1"/>
  <c r="K406" i="8" s="1"/>
  <c r="K407" i="8" s="1"/>
  <c r="K408" i="8" s="1"/>
  <c r="K409" i="8" s="1"/>
  <c r="K410" i="8" s="1"/>
  <c r="K411" i="8" s="1"/>
  <c r="K412" i="8" s="1"/>
  <c r="K413" i="8" s="1"/>
  <c r="K414" i="8" s="1"/>
  <c r="K415" i="8" s="1"/>
  <c r="K416" i="8" s="1"/>
  <c r="K417" i="8" s="1"/>
  <c r="K418" i="8" s="1"/>
  <c r="K419" i="8" s="1"/>
  <c r="K420" i="8" s="1"/>
  <c r="K421" i="8" s="1"/>
  <c r="K422" i="8" s="1"/>
  <c r="K423" i="8" s="1"/>
  <c r="K424" i="8" s="1"/>
  <c r="K425" i="8" s="1"/>
  <c r="K426" i="8" s="1"/>
  <c r="K427" i="8" s="1"/>
  <c r="K428" i="8" s="1"/>
  <c r="K429" i="8" s="1"/>
  <c r="K430" i="8" s="1"/>
  <c r="K431" i="8" s="1"/>
  <c r="K432" i="8" s="1"/>
  <c r="K433" i="8" s="1"/>
  <c r="K434" i="8" s="1"/>
  <c r="K435" i="8" s="1"/>
  <c r="K436" i="8" s="1"/>
  <c r="K437" i="8" s="1"/>
  <c r="K438" i="8" s="1"/>
  <c r="K439" i="8" s="1"/>
  <c r="K440" i="8" s="1"/>
  <c r="K441" i="8" s="1"/>
  <c r="K442" i="8" s="1"/>
  <c r="K443" i="8" s="1"/>
  <c r="K444" i="8" s="1"/>
  <c r="K445" i="8" s="1"/>
  <c r="K446" i="8" s="1"/>
  <c r="K447" i="8" s="1"/>
  <c r="K448" i="8" s="1"/>
  <c r="K449" i="8" s="1"/>
  <c r="K450" i="8" s="1"/>
  <c r="K451" i="8" s="1"/>
  <c r="K452" i="8" s="1"/>
  <c r="K453" i="8" s="1"/>
  <c r="K454" i="8" s="1"/>
  <c r="K455" i="8" s="1"/>
  <c r="K456" i="8" s="1"/>
  <c r="K457" i="8" s="1"/>
  <c r="K458" i="8" s="1"/>
  <c r="K459" i="8" s="1"/>
  <c r="K460" i="8" s="1"/>
  <c r="K461" i="8" s="1"/>
  <c r="K462" i="8" s="1"/>
  <c r="K463" i="8" s="1"/>
  <c r="K464" i="8" s="1"/>
  <c r="K465" i="8" s="1"/>
  <c r="K466" i="8" s="1"/>
  <c r="K467" i="8" s="1"/>
  <c r="K468" i="8" s="1"/>
  <c r="K469" i="8" s="1"/>
  <c r="K470" i="8" s="1"/>
  <c r="K471" i="8" s="1"/>
  <c r="K472" i="8" s="1"/>
  <c r="K473" i="8" s="1"/>
  <c r="K474" i="8" s="1"/>
  <c r="K475" i="8" s="1"/>
  <c r="K476" i="8" s="1"/>
  <c r="K477" i="8" s="1"/>
  <c r="K478" i="8" s="1"/>
  <c r="K479" i="8" s="1"/>
  <c r="K480" i="8" s="1"/>
  <c r="K481" i="8" s="1"/>
  <c r="K482" i="8" s="1"/>
  <c r="K483" i="8" s="1"/>
  <c r="K484" i="8" s="1"/>
  <c r="K485" i="8" s="1"/>
  <c r="K486" i="8" s="1"/>
  <c r="K487" i="8" s="1"/>
  <c r="K488" i="8" s="1"/>
  <c r="K489" i="8" s="1"/>
  <c r="K490" i="8" s="1"/>
  <c r="K491" i="8" s="1"/>
  <c r="K492" i="8" s="1"/>
  <c r="K493" i="8" s="1"/>
  <c r="K494" i="8" s="1"/>
  <c r="K495" i="8" s="1"/>
  <c r="K496" i="8" s="1"/>
  <c r="K497" i="8" s="1"/>
  <c r="K498" i="8" s="1"/>
  <c r="K499" i="8" s="1"/>
  <c r="K500" i="8" s="1"/>
  <c r="K501" i="8" s="1"/>
  <c r="K502" i="8" s="1"/>
  <c r="K503" i="8" s="1"/>
  <c r="K504" i="8" s="1"/>
  <c r="K505" i="8" s="1"/>
  <c r="K506" i="8" s="1"/>
  <c r="K507" i="8" s="1"/>
  <c r="K508" i="8" s="1"/>
  <c r="K509" i="8" s="1"/>
  <c r="K510" i="8" s="1"/>
  <c r="K511" i="8" s="1"/>
  <c r="K512" i="8" s="1"/>
  <c r="K513" i="8" s="1"/>
  <c r="K514" i="8" s="1"/>
  <c r="K515" i="8" s="1"/>
  <c r="K516" i="8" s="1"/>
  <c r="K517" i="8" s="1"/>
  <c r="K518" i="8" s="1"/>
  <c r="K519" i="8" s="1"/>
  <c r="K520" i="8" s="1"/>
  <c r="K521" i="8" s="1"/>
  <c r="K522" i="8" s="1"/>
  <c r="K523" i="8" s="1"/>
  <c r="K524" i="8" s="1"/>
  <c r="K525" i="8" s="1"/>
  <c r="K526" i="8" s="1"/>
  <c r="K527" i="8" s="1"/>
  <c r="K528" i="8" s="1"/>
  <c r="K529" i="8" s="1"/>
  <c r="K530" i="8" s="1"/>
  <c r="K531" i="8" s="1"/>
  <c r="K532" i="8" s="1"/>
  <c r="K533" i="8" s="1"/>
  <c r="K534" i="8" s="1"/>
  <c r="K535" i="8" s="1"/>
  <c r="K536" i="8" s="1"/>
  <c r="K537" i="8" s="1"/>
  <c r="K538" i="8" s="1"/>
  <c r="K539" i="8" s="1"/>
  <c r="K540" i="8" s="1"/>
  <c r="K541" i="8" s="1"/>
  <c r="K542" i="8" s="1"/>
  <c r="K543" i="8" s="1"/>
  <c r="K544" i="8" s="1"/>
  <c r="K545" i="8" s="1"/>
  <c r="K546" i="8" s="1"/>
  <c r="K547" i="8" s="1"/>
  <c r="K548" i="8" s="1"/>
  <c r="K549" i="8" s="1"/>
  <c r="K550" i="8" s="1"/>
  <c r="K551" i="8" s="1"/>
  <c r="K552" i="8" s="1"/>
  <c r="K553" i="8" s="1"/>
  <c r="K554" i="8" s="1"/>
  <c r="K555" i="8" s="1"/>
  <c r="K556" i="8" s="1"/>
  <c r="K557" i="8" s="1"/>
  <c r="K558" i="8" s="1"/>
  <c r="K559" i="8" s="1"/>
  <c r="K560" i="8" s="1"/>
  <c r="K561" i="8" s="1"/>
  <c r="K562" i="8" s="1"/>
  <c r="K563" i="8" s="1"/>
  <c r="K564" i="8" s="1"/>
  <c r="K565" i="8" s="1"/>
  <c r="K566" i="8" s="1"/>
  <c r="K567" i="8" s="1"/>
  <c r="K568" i="8" s="1"/>
  <c r="K569" i="8" s="1"/>
  <c r="K570" i="8" s="1"/>
  <c r="K571" i="8" s="1"/>
  <c r="K572" i="8" s="1"/>
  <c r="K573" i="8" s="1"/>
  <c r="K574" i="8" s="1"/>
  <c r="K575" i="8" s="1"/>
  <c r="K576" i="8" s="1"/>
  <c r="K577" i="8" s="1"/>
  <c r="K578" i="8" s="1"/>
  <c r="K579" i="8" s="1"/>
  <c r="K580" i="8" s="1"/>
  <c r="K581" i="8" s="1"/>
  <c r="K582" i="8" s="1"/>
  <c r="K583" i="8" s="1"/>
  <c r="K584" i="8" s="1"/>
  <c r="K585" i="8" s="1"/>
  <c r="K586" i="8" s="1"/>
  <c r="K587" i="8" s="1"/>
  <c r="K588" i="8" s="1"/>
  <c r="K589" i="8" s="1"/>
  <c r="K590" i="8" s="1"/>
  <c r="K591" i="8" s="1"/>
  <c r="K592" i="8" s="1"/>
  <c r="K593" i="8" s="1"/>
  <c r="K594" i="8" s="1"/>
  <c r="K595" i="8" s="1"/>
  <c r="K596" i="8" s="1"/>
  <c r="K597" i="8" s="1"/>
  <c r="K598" i="8" s="1"/>
  <c r="K599" i="8" s="1"/>
  <c r="K600" i="8" s="1"/>
  <c r="K601" i="8" s="1"/>
  <c r="K602" i="8" s="1"/>
  <c r="K603" i="8" s="1"/>
  <c r="K604" i="8" s="1"/>
  <c r="K605" i="8" s="1"/>
  <c r="K606" i="8" s="1"/>
  <c r="K607" i="8" s="1"/>
  <c r="K608" i="8" s="1"/>
  <c r="K609" i="8" s="1"/>
  <c r="K610" i="8" s="1"/>
  <c r="K611" i="8" s="1"/>
  <c r="K612" i="8" s="1"/>
  <c r="K613" i="8" s="1"/>
  <c r="K614" i="8" s="1"/>
  <c r="K615" i="8" s="1"/>
  <c r="K616" i="8" s="1"/>
  <c r="K617" i="8" s="1"/>
  <c r="K618" i="8" s="1"/>
  <c r="K619" i="8" s="1"/>
  <c r="K620" i="8" s="1"/>
  <c r="K621" i="8" s="1"/>
  <c r="K622" i="8" s="1"/>
  <c r="K623" i="8" s="1"/>
  <c r="K624" i="8" s="1"/>
  <c r="K625" i="8" s="1"/>
  <c r="K626" i="8" s="1"/>
  <c r="K627" i="8" s="1"/>
  <c r="K628" i="8" s="1"/>
  <c r="K629" i="8" s="1"/>
  <c r="K630" i="8" s="1"/>
  <c r="K631" i="8" s="1"/>
  <c r="K632" i="8" s="1"/>
  <c r="K633" i="8" s="1"/>
  <c r="K634" i="8" s="1"/>
  <c r="K635" i="8" s="1"/>
  <c r="K636" i="8" s="1"/>
  <c r="K637" i="8" s="1"/>
  <c r="K638" i="8" s="1"/>
  <c r="K639" i="8" s="1"/>
  <c r="K640" i="8" s="1"/>
  <c r="K641" i="8" s="1"/>
  <c r="K642" i="8" s="1"/>
  <c r="K643" i="8" s="1"/>
  <c r="K644" i="8" s="1"/>
  <c r="K645" i="8" s="1"/>
  <c r="K646" i="8" s="1"/>
  <c r="K647" i="8" s="1"/>
  <c r="K648" i="8" s="1"/>
  <c r="K649" i="8" s="1"/>
  <c r="K650" i="8" s="1"/>
  <c r="K651" i="8" s="1"/>
  <c r="K652" i="8" s="1"/>
  <c r="K653" i="8" s="1"/>
  <c r="K654" i="8" s="1"/>
  <c r="K655" i="8" s="1"/>
  <c r="K656" i="8" s="1"/>
  <c r="K657" i="8" s="1"/>
  <c r="K658" i="8" s="1"/>
  <c r="K659" i="8" s="1"/>
  <c r="K660" i="8" s="1"/>
  <c r="K661" i="8" s="1"/>
  <c r="K662" i="8" s="1"/>
  <c r="K663" i="8" s="1"/>
  <c r="K664" i="8" s="1"/>
  <c r="K665" i="8" s="1"/>
  <c r="K666" i="8" s="1"/>
  <c r="K667" i="8" s="1"/>
  <c r="K668" i="8" s="1"/>
  <c r="K669" i="8" s="1"/>
  <c r="K670" i="8" s="1"/>
  <c r="K671" i="8" s="1"/>
  <c r="K672" i="8" s="1"/>
  <c r="K673" i="8" s="1"/>
  <c r="K674" i="8" s="1"/>
  <c r="K675" i="8" s="1"/>
  <c r="K676" i="8" s="1"/>
  <c r="K677" i="8" s="1"/>
  <c r="K678" i="8" s="1"/>
  <c r="K679" i="8" s="1"/>
  <c r="K680" i="8" s="1"/>
  <c r="K681" i="8" s="1"/>
  <c r="K682" i="8" s="1"/>
  <c r="K683" i="8" s="1"/>
  <c r="K684" i="8" s="1"/>
  <c r="K685" i="8" s="1"/>
  <c r="K686" i="8" s="1"/>
  <c r="K687" i="8" s="1"/>
  <c r="K688" i="8" s="1"/>
  <c r="K689" i="8" s="1"/>
  <c r="K690" i="8" s="1"/>
  <c r="K691" i="8" s="1"/>
  <c r="K692" i="8" s="1"/>
  <c r="K693" i="8" s="1"/>
  <c r="K694" i="8" s="1"/>
  <c r="K695" i="8" s="1"/>
  <c r="K696" i="8" s="1"/>
  <c r="K697" i="8" s="1"/>
  <c r="K698" i="8" s="1"/>
  <c r="K699" i="8" s="1"/>
  <c r="K700" i="8" s="1"/>
  <c r="K701" i="8" s="1"/>
  <c r="K702" i="8" s="1"/>
  <c r="K703" i="8" s="1"/>
  <c r="K704" i="8" s="1"/>
  <c r="K705" i="8" s="1"/>
  <c r="K706" i="8" s="1"/>
  <c r="K707" i="8" s="1"/>
  <c r="K708" i="8" s="1"/>
  <c r="K709" i="8" s="1"/>
  <c r="K710" i="8" s="1"/>
  <c r="K711" i="8" s="1"/>
  <c r="K712" i="8" s="1"/>
  <c r="K713" i="8" s="1"/>
  <c r="K714" i="8" s="1"/>
  <c r="K715" i="8" s="1"/>
  <c r="K716" i="8" s="1"/>
  <c r="K717" i="8" s="1"/>
  <c r="K718" i="8" s="1"/>
  <c r="K719" i="8" s="1"/>
  <c r="K720" i="8" s="1"/>
  <c r="K721" i="8" s="1"/>
  <c r="K722" i="8" s="1"/>
  <c r="K723" i="8" s="1"/>
  <c r="K724" i="8" s="1"/>
  <c r="K725" i="8" s="1"/>
  <c r="K726" i="8" s="1"/>
  <c r="K727" i="8" s="1"/>
  <c r="K728" i="8" s="1"/>
  <c r="K729" i="8" s="1"/>
  <c r="K730" i="8" s="1"/>
  <c r="K731" i="8" s="1"/>
  <c r="K732" i="8" s="1"/>
  <c r="K733" i="8" s="1"/>
  <c r="K734" i="8" s="1"/>
  <c r="K735" i="8" s="1"/>
  <c r="K736" i="8" s="1"/>
  <c r="K737" i="8" s="1"/>
  <c r="K738" i="8" s="1"/>
  <c r="K739" i="8" s="1"/>
  <c r="K740" i="8" s="1"/>
  <c r="K741" i="8" s="1"/>
  <c r="K742" i="8" s="1"/>
  <c r="K743" i="8" s="1"/>
  <c r="K744" i="8" s="1"/>
  <c r="K745" i="8" s="1"/>
  <c r="K746" i="8" s="1"/>
  <c r="K747" i="8" s="1"/>
  <c r="K748" i="8" s="1"/>
  <c r="K749" i="8" s="1"/>
  <c r="K750" i="8" s="1"/>
  <c r="K751" i="8" s="1"/>
  <c r="K752" i="8" s="1"/>
  <c r="K753" i="8" s="1"/>
  <c r="K754" i="8" s="1"/>
  <c r="K755" i="8" s="1"/>
  <c r="K756" i="8" s="1"/>
  <c r="K757" i="8" s="1"/>
  <c r="K758" i="8" s="1"/>
  <c r="K759" i="8" s="1"/>
  <c r="K760" i="8" s="1"/>
  <c r="K761" i="8" s="1"/>
  <c r="K762" i="8" s="1"/>
  <c r="K763" i="8" s="1"/>
  <c r="K764" i="8" s="1"/>
  <c r="K765" i="8" s="1"/>
  <c r="K766" i="8" s="1"/>
  <c r="K767" i="8" s="1"/>
  <c r="K768" i="8" s="1"/>
  <c r="K769" i="8" s="1"/>
  <c r="K770" i="8" s="1"/>
  <c r="K771" i="8" s="1"/>
  <c r="K772" i="8" s="1"/>
  <c r="K773" i="8" s="1"/>
  <c r="K774" i="8" s="1"/>
  <c r="K775" i="8" s="1"/>
  <c r="K776" i="8" s="1"/>
  <c r="K777" i="8" s="1"/>
  <c r="K778" i="8" s="1"/>
  <c r="K779" i="8" s="1"/>
  <c r="K780" i="8" s="1"/>
  <c r="K781" i="8" s="1"/>
  <c r="K782" i="8" s="1"/>
  <c r="K783" i="8" s="1"/>
  <c r="K784" i="8" s="1"/>
  <c r="K785" i="8" s="1"/>
  <c r="K786" i="8" s="1"/>
  <c r="K787" i="8" s="1"/>
  <c r="K788" i="8" s="1"/>
  <c r="K789" i="8" s="1"/>
  <c r="K790" i="8" s="1"/>
  <c r="K791" i="8" s="1"/>
  <c r="K792" i="8" s="1"/>
  <c r="K793" i="8" s="1"/>
  <c r="K794" i="8" s="1"/>
  <c r="K795" i="8" s="1"/>
  <c r="K796" i="8" s="1"/>
  <c r="K797" i="8" s="1"/>
  <c r="K798" i="8" s="1"/>
  <c r="K799" i="8" s="1"/>
  <c r="K800" i="8" s="1"/>
  <c r="K801" i="8" s="1"/>
  <c r="K802" i="8" s="1"/>
  <c r="K803" i="8" s="1"/>
  <c r="K804" i="8" s="1"/>
  <c r="K805" i="8" s="1"/>
  <c r="K806" i="8" s="1"/>
  <c r="K807" i="8" s="1"/>
  <c r="K808" i="8" s="1"/>
  <c r="K809" i="8" s="1"/>
  <c r="K810" i="8" s="1"/>
  <c r="K811" i="8" s="1"/>
  <c r="K812" i="8" s="1"/>
  <c r="K813" i="8" s="1"/>
  <c r="K814" i="8" s="1"/>
  <c r="K815" i="8" s="1"/>
  <c r="K816" i="8" s="1"/>
  <c r="K817" i="8" s="1"/>
  <c r="K818" i="8" s="1"/>
  <c r="K819" i="8" s="1"/>
  <c r="K820" i="8" s="1"/>
  <c r="K821" i="8" s="1"/>
  <c r="K822" i="8" s="1"/>
  <c r="K823" i="8" s="1"/>
  <c r="K824" i="8" s="1"/>
  <c r="K825" i="8" s="1"/>
  <c r="K826" i="8" s="1"/>
  <c r="K827" i="8" s="1"/>
  <c r="K828" i="8" s="1"/>
  <c r="K829" i="8" s="1"/>
  <c r="K830" i="8" s="1"/>
  <c r="K831" i="8" s="1"/>
  <c r="K832" i="8" s="1"/>
  <c r="K833" i="8" s="1"/>
  <c r="K834" i="8" s="1"/>
  <c r="K835" i="8" s="1"/>
  <c r="K836" i="8" s="1"/>
  <c r="K837" i="8" s="1"/>
  <c r="K838" i="8" s="1"/>
  <c r="K839" i="8" s="1"/>
  <c r="K840" i="8" s="1"/>
  <c r="K841" i="8" s="1"/>
  <c r="K842" i="8" s="1"/>
  <c r="K843" i="8" s="1"/>
  <c r="K844" i="8" s="1"/>
  <c r="K845" i="8" s="1"/>
  <c r="K846" i="8" s="1"/>
  <c r="K847" i="8" s="1"/>
  <c r="K848" i="8" s="1"/>
  <c r="K849" i="8" s="1"/>
  <c r="K850" i="8" s="1"/>
  <c r="K851" i="8" s="1"/>
  <c r="K852" i="8" s="1"/>
  <c r="K853" i="8" s="1"/>
  <c r="K854" i="8" s="1"/>
  <c r="K855" i="8" s="1"/>
  <c r="K856" i="8" s="1"/>
  <c r="K857" i="8" s="1"/>
  <c r="K858" i="8" s="1"/>
  <c r="K859" i="8" s="1"/>
  <c r="K860" i="8" s="1"/>
  <c r="K861" i="8" s="1"/>
  <c r="K862" i="8" s="1"/>
  <c r="K863" i="8" s="1"/>
  <c r="K864" i="8" s="1"/>
  <c r="K865" i="8" s="1"/>
  <c r="K866" i="8" s="1"/>
  <c r="K867" i="8" s="1"/>
  <c r="K868" i="8" s="1"/>
  <c r="K869" i="8" s="1"/>
  <c r="K870" i="8" s="1"/>
  <c r="K871" i="8" s="1"/>
  <c r="K872" i="8" s="1"/>
  <c r="K873" i="8" s="1"/>
  <c r="K874" i="8" s="1"/>
  <c r="K875" i="8" s="1"/>
  <c r="K876" i="8" s="1"/>
  <c r="K877" i="8" s="1"/>
  <c r="K878" i="8" s="1"/>
  <c r="K879" i="8" s="1"/>
  <c r="K880" i="8" s="1"/>
  <c r="K881" i="8" s="1"/>
  <c r="K882" i="8" s="1"/>
  <c r="K883" i="8" s="1"/>
  <c r="K884" i="8" s="1"/>
  <c r="K885" i="8" s="1"/>
  <c r="K886" i="8" s="1"/>
  <c r="K887" i="8" s="1"/>
  <c r="K888" i="8" s="1"/>
  <c r="K889" i="8" s="1"/>
  <c r="K890" i="8" s="1"/>
  <c r="K891" i="8" s="1"/>
  <c r="K892" i="8" s="1"/>
  <c r="K893" i="8" s="1"/>
  <c r="K894" i="8" s="1"/>
  <c r="K895" i="8" s="1"/>
  <c r="K896" i="8" s="1"/>
  <c r="K897" i="8" s="1"/>
  <c r="K898" i="8" s="1"/>
  <c r="K899" i="8" s="1"/>
  <c r="K900" i="8" s="1"/>
  <c r="K901" i="8" s="1"/>
  <c r="K902" i="8" s="1"/>
  <c r="K903" i="8" s="1"/>
  <c r="K904" i="8" s="1"/>
  <c r="K905" i="8" s="1"/>
  <c r="K906" i="8" s="1"/>
  <c r="K907" i="8" s="1"/>
  <c r="K908" i="8" s="1"/>
  <c r="K909" i="8" s="1"/>
  <c r="K910" i="8" s="1"/>
  <c r="K911" i="8" s="1"/>
  <c r="K912" i="8" s="1"/>
  <c r="K913" i="8" s="1"/>
  <c r="K914" i="8" s="1"/>
  <c r="K915" i="8" s="1"/>
  <c r="K916" i="8" s="1"/>
  <c r="K917" i="8" s="1"/>
  <c r="K918" i="8" s="1"/>
  <c r="K919" i="8" s="1"/>
  <c r="K920" i="8" s="1"/>
  <c r="K921" i="8" s="1"/>
  <c r="K922" i="8" s="1"/>
  <c r="K923" i="8" s="1"/>
  <c r="K924" i="8" s="1"/>
  <c r="K925" i="8" s="1"/>
  <c r="K926" i="8" s="1"/>
  <c r="K927" i="8" s="1"/>
  <c r="K928" i="8" s="1"/>
  <c r="K929" i="8" s="1"/>
  <c r="K930" i="8" s="1"/>
  <c r="K931" i="8" s="1"/>
  <c r="K932" i="8" s="1"/>
  <c r="K933" i="8" s="1"/>
  <c r="K934" i="8" s="1"/>
  <c r="K935" i="8" s="1"/>
  <c r="K936" i="8" s="1"/>
  <c r="K937" i="8" s="1"/>
  <c r="K938" i="8" s="1"/>
  <c r="K939" i="8" s="1"/>
  <c r="K940" i="8" s="1"/>
  <c r="K941" i="8" s="1"/>
  <c r="K942" i="8" s="1"/>
  <c r="K943" i="8" s="1"/>
  <c r="K944" i="8" s="1"/>
  <c r="K945" i="8" s="1"/>
  <c r="K946" i="8" s="1"/>
  <c r="K947" i="8" s="1"/>
  <c r="K948" i="8" s="1"/>
  <c r="K949" i="8" s="1"/>
  <c r="K950" i="8" s="1"/>
  <c r="K951" i="8" s="1"/>
  <c r="K952" i="8" s="1"/>
  <c r="K953" i="8" s="1"/>
  <c r="K954" i="8" s="1"/>
  <c r="K955" i="8" s="1"/>
  <c r="K956" i="8" s="1"/>
  <c r="K957" i="8" s="1"/>
  <c r="K958" i="8" s="1"/>
  <c r="K959" i="8" s="1"/>
  <c r="K960" i="8" s="1"/>
  <c r="K961" i="8" s="1"/>
  <c r="K962" i="8" s="1"/>
  <c r="K963" i="8" s="1"/>
  <c r="K964" i="8" s="1"/>
  <c r="K965" i="8" s="1"/>
  <c r="K966" i="8" s="1"/>
  <c r="K967" i="8" s="1"/>
  <c r="K968" i="8" s="1"/>
  <c r="K969" i="8" s="1"/>
  <c r="K970" i="8" s="1"/>
  <c r="K971" i="8" s="1"/>
  <c r="K972" i="8" s="1"/>
  <c r="K973" i="8" s="1"/>
  <c r="K974" i="8" s="1"/>
  <c r="K975" i="8" s="1"/>
  <c r="K976" i="8" s="1"/>
  <c r="K977" i="8" s="1"/>
  <c r="K978" i="8" s="1"/>
  <c r="K979" i="8" s="1"/>
  <c r="K980" i="8" s="1"/>
  <c r="K981" i="8" s="1"/>
  <c r="K982" i="8" s="1"/>
  <c r="K983" i="8" s="1"/>
  <c r="K984" i="8" s="1"/>
  <c r="K985" i="8" s="1"/>
  <c r="K986" i="8" s="1"/>
  <c r="K987" i="8" s="1"/>
  <c r="K988" i="8" s="1"/>
  <c r="K989" i="8" s="1"/>
  <c r="K990" i="8" s="1"/>
  <c r="K991" i="8" s="1"/>
  <c r="K992" i="8" s="1"/>
  <c r="K993" i="8" s="1"/>
  <c r="K994" i="8" s="1"/>
  <c r="K995" i="8" s="1"/>
  <c r="K996" i="8" s="1"/>
  <c r="K997" i="8" s="1"/>
  <c r="K998" i="8" s="1"/>
  <c r="K999" i="8" s="1"/>
  <c r="K1000" i="8" s="1"/>
  <c r="K1001" i="8" s="1"/>
  <c r="K1002" i="8" s="1"/>
  <c r="K1003" i="8" s="1"/>
  <c r="K1004" i="8" s="1"/>
  <c r="K1005" i="8" s="1"/>
  <c r="K1006" i="8" s="1"/>
  <c r="K1007" i="8" s="1"/>
  <c r="K1008" i="8" s="1"/>
  <c r="K1009" i="8" s="1"/>
  <c r="K1010" i="8" s="1"/>
  <c r="K1011" i="8" s="1"/>
  <c r="K1012" i="8" s="1"/>
  <c r="K1013" i="8" s="1"/>
  <c r="K1014" i="8" s="1"/>
  <c r="K1015" i="8" s="1"/>
  <c r="K1016" i="8" s="1"/>
  <c r="K1017" i="8" s="1"/>
  <c r="K1018" i="8" s="1"/>
  <c r="K1019" i="8" s="1"/>
  <c r="K1020" i="8" s="1"/>
  <c r="K1021" i="8" s="1"/>
  <c r="K1022" i="8" s="1"/>
  <c r="K1023" i="8" s="1"/>
  <c r="K1024" i="8" s="1"/>
  <c r="K1025" i="8" s="1"/>
  <c r="K1026" i="8" s="1"/>
  <c r="K1027" i="8" s="1"/>
  <c r="K1028" i="8" s="1"/>
  <c r="K1029" i="8" s="1"/>
  <c r="K1030" i="8" s="1"/>
  <c r="K1031" i="8" s="1"/>
  <c r="K1032" i="8" s="1"/>
  <c r="K1033" i="8" s="1"/>
  <c r="K1034" i="8" s="1"/>
  <c r="K1035" i="8" s="1"/>
  <c r="K1036" i="8" s="1"/>
  <c r="K1037" i="8" s="1"/>
  <c r="K1038" i="8" s="1"/>
  <c r="K1039" i="8" s="1"/>
  <c r="K1040" i="8" s="1"/>
  <c r="K1041" i="8" s="1"/>
  <c r="K1042" i="8" s="1"/>
  <c r="K1043" i="8" s="1"/>
  <c r="K1044" i="8" s="1"/>
  <c r="K1045" i="8" s="1"/>
  <c r="K1046" i="8" s="1"/>
  <c r="K1047" i="8" s="1"/>
  <c r="K1048" i="8" s="1"/>
  <c r="K1049" i="8" s="1"/>
  <c r="K1050" i="8" s="1"/>
  <c r="K1051" i="8" s="1"/>
  <c r="K1052" i="8" s="1"/>
  <c r="K1053" i="8" s="1"/>
  <c r="K1054" i="8" s="1"/>
  <c r="K1055" i="8" s="1"/>
  <c r="K1056" i="8" s="1"/>
  <c r="K1057" i="8" s="1"/>
  <c r="K1058" i="8" s="1"/>
  <c r="K1059" i="8" s="1"/>
  <c r="K1060" i="8" s="1"/>
  <c r="J2" i="8"/>
  <c r="J1" i="8"/>
  <c r="I2" i="8"/>
  <c r="I3" i="8" s="1"/>
  <c r="I4" i="8" s="1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I24" i="8" s="1"/>
  <c r="I25" i="8" s="1"/>
  <c r="I26" i="8" s="1"/>
  <c r="I27" i="8" s="1"/>
  <c r="I28" i="8" s="1"/>
  <c r="I29" i="8" s="1"/>
  <c r="I30" i="8" s="1"/>
  <c r="I31" i="8" s="1"/>
  <c r="I32" i="8" s="1"/>
  <c r="I33" i="8" s="1"/>
  <c r="I34" i="8" s="1"/>
  <c r="I35" i="8" s="1"/>
  <c r="I36" i="8" s="1"/>
  <c r="I37" i="8" s="1"/>
  <c r="I38" i="8" s="1"/>
  <c r="I39" i="8" s="1"/>
  <c r="I40" i="8" s="1"/>
  <c r="I41" i="8" s="1"/>
  <c r="I42" i="8" s="1"/>
  <c r="I43" i="8" s="1"/>
  <c r="I44" i="8" s="1"/>
  <c r="I45" i="8" s="1"/>
  <c r="I46" i="8" s="1"/>
  <c r="I47" i="8" s="1"/>
  <c r="I48" i="8" s="1"/>
  <c r="I49" i="8" s="1"/>
  <c r="I50" i="8" s="1"/>
  <c r="I51" i="8" s="1"/>
  <c r="I52" i="8" s="1"/>
  <c r="I53" i="8" s="1"/>
  <c r="I54" i="8" s="1"/>
  <c r="I55" i="8" s="1"/>
  <c r="I56" i="8" s="1"/>
  <c r="I57" i="8" s="1"/>
  <c r="I58" i="8" s="1"/>
  <c r="I59" i="8" s="1"/>
  <c r="I60" i="8" s="1"/>
  <c r="I61" i="8" s="1"/>
  <c r="I62" i="8" s="1"/>
  <c r="I63" i="8" s="1"/>
  <c r="I64" i="8" s="1"/>
  <c r="I65" i="8" s="1"/>
  <c r="I66" i="8" s="1"/>
  <c r="I67" i="8" s="1"/>
  <c r="I68" i="8" s="1"/>
  <c r="I69" i="8" s="1"/>
  <c r="I70" i="8" s="1"/>
  <c r="I71" i="8" s="1"/>
  <c r="I72" i="8" s="1"/>
  <c r="I73" i="8" s="1"/>
  <c r="I74" i="8" s="1"/>
  <c r="I75" i="8" s="1"/>
  <c r="I76" i="8" s="1"/>
  <c r="I77" i="8" s="1"/>
  <c r="I78" i="8" s="1"/>
  <c r="I79" i="8" s="1"/>
  <c r="I80" i="8" s="1"/>
  <c r="I81" i="8" s="1"/>
  <c r="I82" i="8" s="1"/>
  <c r="I83" i="8" s="1"/>
  <c r="I84" i="8" s="1"/>
  <c r="I85" i="8" s="1"/>
  <c r="I86" i="8" s="1"/>
  <c r="I87" i="8" s="1"/>
  <c r="I88" i="8" s="1"/>
  <c r="I89" i="8" s="1"/>
  <c r="I90" i="8" s="1"/>
  <c r="I91" i="8" s="1"/>
  <c r="I92" i="8" s="1"/>
  <c r="I93" i="8" s="1"/>
  <c r="I94" i="8" s="1"/>
  <c r="I95" i="8" s="1"/>
  <c r="I96" i="8" s="1"/>
  <c r="I97" i="8" s="1"/>
  <c r="I98" i="8" s="1"/>
  <c r="I99" i="8" s="1"/>
  <c r="I100" i="8" s="1"/>
  <c r="I101" i="8" s="1"/>
  <c r="I102" i="8" s="1"/>
  <c r="I103" i="8" s="1"/>
  <c r="I104" i="8" s="1"/>
  <c r="I105" i="8" s="1"/>
  <c r="I106" i="8" s="1"/>
  <c r="I107" i="8" s="1"/>
  <c r="I108" i="8" s="1"/>
  <c r="I109" i="8" s="1"/>
  <c r="I110" i="8" s="1"/>
  <c r="I111" i="8" s="1"/>
  <c r="I112" i="8" s="1"/>
  <c r="I113" i="8" s="1"/>
  <c r="I114" i="8" s="1"/>
  <c r="I115" i="8" s="1"/>
  <c r="I116" i="8" s="1"/>
  <c r="I117" i="8" s="1"/>
  <c r="I118" i="8" s="1"/>
  <c r="I119" i="8" s="1"/>
  <c r="I120" i="8" s="1"/>
  <c r="I121" i="8" s="1"/>
  <c r="I122" i="8" s="1"/>
  <c r="I123" i="8" s="1"/>
  <c r="I124" i="8" s="1"/>
  <c r="I125" i="8" s="1"/>
  <c r="I126" i="8" s="1"/>
  <c r="I127" i="8" s="1"/>
  <c r="I128" i="8" s="1"/>
  <c r="I129" i="8" s="1"/>
  <c r="I130" i="8" s="1"/>
  <c r="I131" i="8" s="1"/>
  <c r="I132" i="8" s="1"/>
  <c r="I133" i="8" s="1"/>
  <c r="I134" i="8" s="1"/>
  <c r="I135" i="8" s="1"/>
  <c r="I136" i="8" s="1"/>
  <c r="I137" i="8" s="1"/>
  <c r="I138" i="8" s="1"/>
  <c r="I139" i="8" s="1"/>
  <c r="I140" i="8" s="1"/>
  <c r="I141" i="8" s="1"/>
  <c r="I142" i="8" s="1"/>
  <c r="I143" i="8" s="1"/>
  <c r="I144" i="8" s="1"/>
  <c r="I145" i="8" s="1"/>
  <c r="I146" i="8" s="1"/>
  <c r="I147" i="8" s="1"/>
  <c r="I148" i="8" s="1"/>
  <c r="I149" i="8" s="1"/>
  <c r="I150" i="8" s="1"/>
  <c r="I151" i="8" s="1"/>
  <c r="I152" i="8" s="1"/>
  <c r="I153" i="8" s="1"/>
  <c r="I154" i="8" s="1"/>
  <c r="I155" i="8" s="1"/>
  <c r="I156" i="8" s="1"/>
  <c r="I157" i="8" s="1"/>
  <c r="I158" i="8" s="1"/>
  <c r="I159" i="8" s="1"/>
  <c r="I160" i="8" s="1"/>
  <c r="I161" i="8" s="1"/>
  <c r="I162" i="8" s="1"/>
  <c r="I163" i="8" s="1"/>
  <c r="I164" i="8" s="1"/>
  <c r="I165" i="8" s="1"/>
  <c r="I166" i="8" s="1"/>
  <c r="I167" i="8" s="1"/>
  <c r="I168" i="8" s="1"/>
  <c r="I169" i="8" s="1"/>
  <c r="I170" i="8" s="1"/>
  <c r="I171" i="8" s="1"/>
  <c r="I172" i="8" s="1"/>
  <c r="I173" i="8" s="1"/>
  <c r="I174" i="8" s="1"/>
  <c r="I175" i="8" s="1"/>
  <c r="I176" i="8" s="1"/>
  <c r="I177" i="8" s="1"/>
  <c r="I178" i="8" s="1"/>
  <c r="I179" i="8" s="1"/>
  <c r="I180" i="8" s="1"/>
  <c r="I181" i="8" s="1"/>
  <c r="I182" i="8" s="1"/>
  <c r="I183" i="8" s="1"/>
  <c r="I184" i="8" s="1"/>
  <c r="I185" i="8" s="1"/>
  <c r="I186" i="8" s="1"/>
  <c r="I187" i="8" s="1"/>
  <c r="I188" i="8" s="1"/>
  <c r="I189" i="8" s="1"/>
  <c r="I190" i="8" s="1"/>
  <c r="I191" i="8" s="1"/>
  <c r="I192" i="8" s="1"/>
  <c r="I193" i="8" s="1"/>
  <c r="I194" i="8" s="1"/>
  <c r="I195" i="8" s="1"/>
  <c r="I196" i="8" s="1"/>
  <c r="I197" i="8" s="1"/>
  <c r="I198" i="8" s="1"/>
  <c r="I199" i="8" s="1"/>
  <c r="I200" i="8" s="1"/>
  <c r="I201" i="8" s="1"/>
  <c r="I202" i="8" s="1"/>
  <c r="I203" i="8" s="1"/>
  <c r="I204" i="8" s="1"/>
  <c r="I205" i="8" s="1"/>
  <c r="I206" i="8" s="1"/>
  <c r="I207" i="8" s="1"/>
  <c r="I208" i="8" s="1"/>
  <c r="I209" i="8" s="1"/>
  <c r="I210" i="8" s="1"/>
  <c r="I211" i="8" s="1"/>
  <c r="I212" i="8" s="1"/>
  <c r="I213" i="8" s="1"/>
  <c r="I214" i="8" s="1"/>
  <c r="I215" i="8" s="1"/>
  <c r="I216" i="8" s="1"/>
  <c r="I217" i="8" s="1"/>
  <c r="I218" i="8" s="1"/>
  <c r="I219" i="8" s="1"/>
  <c r="I220" i="8" s="1"/>
  <c r="I221" i="8" s="1"/>
  <c r="I222" i="8" s="1"/>
  <c r="I223" i="8" s="1"/>
  <c r="I224" i="8" s="1"/>
  <c r="I225" i="8" s="1"/>
  <c r="I226" i="8" s="1"/>
  <c r="I227" i="8" s="1"/>
  <c r="I228" i="8" s="1"/>
  <c r="I229" i="8" s="1"/>
  <c r="I230" i="8" s="1"/>
  <c r="I231" i="8" s="1"/>
  <c r="I232" i="8" s="1"/>
  <c r="I233" i="8" s="1"/>
  <c r="I234" i="8" s="1"/>
  <c r="I235" i="8" s="1"/>
  <c r="I236" i="8" s="1"/>
  <c r="I237" i="8" s="1"/>
  <c r="I238" i="8" s="1"/>
  <c r="I239" i="8" s="1"/>
  <c r="I240" i="8" s="1"/>
  <c r="I241" i="8" s="1"/>
  <c r="I242" i="8" s="1"/>
  <c r="I243" i="8" s="1"/>
  <c r="I244" i="8" s="1"/>
  <c r="I245" i="8" s="1"/>
  <c r="I246" i="8" s="1"/>
  <c r="I247" i="8" s="1"/>
  <c r="I248" i="8" s="1"/>
  <c r="I249" i="8" s="1"/>
  <c r="I250" i="8" s="1"/>
  <c r="I251" i="8" s="1"/>
  <c r="I252" i="8" s="1"/>
  <c r="I253" i="8" s="1"/>
  <c r="I254" i="8" s="1"/>
  <c r="I255" i="8" s="1"/>
  <c r="I256" i="8" s="1"/>
  <c r="I257" i="8" s="1"/>
  <c r="I258" i="8" s="1"/>
  <c r="I259" i="8" s="1"/>
  <c r="I260" i="8" s="1"/>
  <c r="I261" i="8" s="1"/>
  <c r="I262" i="8" s="1"/>
  <c r="I263" i="8" s="1"/>
  <c r="I264" i="8" s="1"/>
  <c r="I265" i="8" s="1"/>
  <c r="I266" i="8" s="1"/>
  <c r="I267" i="8" s="1"/>
  <c r="I268" i="8" s="1"/>
  <c r="I269" i="8" s="1"/>
  <c r="I270" i="8" s="1"/>
  <c r="I271" i="8" s="1"/>
  <c r="I272" i="8" s="1"/>
  <c r="I273" i="8" s="1"/>
  <c r="I274" i="8" s="1"/>
  <c r="I275" i="8" s="1"/>
  <c r="I276" i="8" s="1"/>
  <c r="I277" i="8" s="1"/>
  <c r="I278" i="8" s="1"/>
  <c r="I279" i="8" s="1"/>
  <c r="I280" i="8" s="1"/>
  <c r="I281" i="8" s="1"/>
  <c r="I282" i="8" s="1"/>
  <c r="I283" i="8" s="1"/>
  <c r="I284" i="8" s="1"/>
  <c r="I285" i="8" s="1"/>
  <c r="I286" i="8" s="1"/>
  <c r="I287" i="8" s="1"/>
  <c r="I288" i="8" s="1"/>
  <c r="I289" i="8" s="1"/>
  <c r="I290" i="8" s="1"/>
  <c r="I291" i="8" s="1"/>
  <c r="I292" i="8" s="1"/>
  <c r="I293" i="8" s="1"/>
  <c r="I294" i="8" s="1"/>
  <c r="I295" i="8" s="1"/>
  <c r="I296" i="8" s="1"/>
  <c r="I297" i="8" s="1"/>
  <c r="I298" i="8" s="1"/>
  <c r="I299" i="8" s="1"/>
  <c r="I300" i="8" s="1"/>
  <c r="I301" i="8" s="1"/>
  <c r="I302" i="8" s="1"/>
  <c r="I303" i="8" s="1"/>
  <c r="I304" i="8" s="1"/>
  <c r="I305" i="8" s="1"/>
  <c r="I306" i="8" s="1"/>
  <c r="I307" i="8" s="1"/>
  <c r="I308" i="8" s="1"/>
  <c r="I309" i="8" s="1"/>
  <c r="I310" i="8" s="1"/>
  <c r="I311" i="8" s="1"/>
  <c r="I312" i="8" s="1"/>
  <c r="I313" i="8" s="1"/>
  <c r="I314" i="8" s="1"/>
  <c r="I315" i="8" s="1"/>
  <c r="I316" i="8" s="1"/>
  <c r="I317" i="8" s="1"/>
  <c r="I318" i="8" s="1"/>
  <c r="I319" i="8" s="1"/>
  <c r="I320" i="8" s="1"/>
  <c r="I321" i="8" s="1"/>
  <c r="I322" i="8" s="1"/>
  <c r="I323" i="8" s="1"/>
  <c r="I324" i="8" s="1"/>
  <c r="I325" i="8" s="1"/>
  <c r="I326" i="8" s="1"/>
  <c r="I327" i="8" s="1"/>
  <c r="I328" i="8" s="1"/>
  <c r="I329" i="8" s="1"/>
  <c r="I330" i="8" s="1"/>
  <c r="I331" i="8" s="1"/>
  <c r="I332" i="8" s="1"/>
  <c r="I333" i="8" s="1"/>
  <c r="I334" i="8" s="1"/>
  <c r="I335" i="8" s="1"/>
  <c r="I336" i="8" s="1"/>
  <c r="I337" i="8" s="1"/>
  <c r="I338" i="8" s="1"/>
  <c r="I339" i="8" s="1"/>
  <c r="I340" i="8" s="1"/>
  <c r="I341" i="8" s="1"/>
  <c r="I342" i="8" s="1"/>
  <c r="I343" i="8" s="1"/>
  <c r="I344" i="8" s="1"/>
  <c r="I345" i="8" s="1"/>
  <c r="I346" i="8" s="1"/>
  <c r="I347" i="8" s="1"/>
  <c r="I348" i="8" s="1"/>
  <c r="I349" i="8" s="1"/>
  <c r="I350" i="8" s="1"/>
  <c r="I351" i="8" s="1"/>
  <c r="I352" i="8" s="1"/>
  <c r="I353" i="8" s="1"/>
  <c r="I354" i="8" s="1"/>
  <c r="I355" i="8" s="1"/>
  <c r="I356" i="8" s="1"/>
  <c r="I357" i="8" s="1"/>
  <c r="I358" i="8" s="1"/>
  <c r="I359" i="8" s="1"/>
  <c r="I360" i="8" s="1"/>
  <c r="I361" i="8" s="1"/>
  <c r="I362" i="8" s="1"/>
  <c r="I363" i="8" s="1"/>
  <c r="I364" i="8" s="1"/>
  <c r="I365" i="8" s="1"/>
  <c r="I366" i="8" s="1"/>
  <c r="I367" i="8" s="1"/>
  <c r="I368" i="8" s="1"/>
  <c r="I369" i="8" s="1"/>
  <c r="I370" i="8" s="1"/>
  <c r="I371" i="8" s="1"/>
  <c r="I372" i="8" s="1"/>
  <c r="I373" i="8" s="1"/>
  <c r="I374" i="8" s="1"/>
  <c r="I375" i="8" s="1"/>
  <c r="I376" i="8" s="1"/>
  <c r="I377" i="8" s="1"/>
  <c r="I378" i="8" s="1"/>
  <c r="I379" i="8" s="1"/>
  <c r="I380" i="8" s="1"/>
  <c r="I381" i="8" s="1"/>
  <c r="I382" i="8" s="1"/>
  <c r="I383" i="8" s="1"/>
  <c r="I384" i="8" s="1"/>
  <c r="I385" i="8" s="1"/>
  <c r="I386" i="8" s="1"/>
  <c r="I387" i="8" s="1"/>
  <c r="I388" i="8" s="1"/>
  <c r="I389" i="8" s="1"/>
  <c r="I390" i="8" s="1"/>
  <c r="I391" i="8" s="1"/>
  <c r="I392" i="8" s="1"/>
  <c r="I393" i="8" s="1"/>
  <c r="I394" i="8" s="1"/>
  <c r="I395" i="8" s="1"/>
  <c r="I396" i="8" s="1"/>
  <c r="I397" i="8" s="1"/>
  <c r="I398" i="8" s="1"/>
  <c r="I399" i="8" s="1"/>
  <c r="I400" i="8" s="1"/>
  <c r="I401" i="8" s="1"/>
  <c r="I402" i="8" s="1"/>
  <c r="I403" i="8" s="1"/>
  <c r="I404" i="8" s="1"/>
  <c r="I405" i="8" s="1"/>
  <c r="I406" i="8" s="1"/>
  <c r="I407" i="8" s="1"/>
  <c r="I408" i="8" s="1"/>
  <c r="I409" i="8" s="1"/>
  <c r="I410" i="8" s="1"/>
  <c r="I411" i="8" s="1"/>
  <c r="I412" i="8" s="1"/>
  <c r="I413" i="8" s="1"/>
  <c r="I414" i="8" s="1"/>
  <c r="I415" i="8" s="1"/>
  <c r="I416" i="8" s="1"/>
  <c r="I417" i="8" s="1"/>
  <c r="I418" i="8" s="1"/>
  <c r="I419" i="8" s="1"/>
  <c r="I420" i="8" s="1"/>
  <c r="I421" i="8" s="1"/>
  <c r="I422" i="8" s="1"/>
  <c r="I423" i="8" s="1"/>
  <c r="I424" i="8" s="1"/>
  <c r="I425" i="8" s="1"/>
  <c r="I426" i="8" s="1"/>
  <c r="I427" i="8" s="1"/>
  <c r="I428" i="8" s="1"/>
  <c r="I429" i="8" s="1"/>
  <c r="I430" i="8" s="1"/>
  <c r="I431" i="8" s="1"/>
  <c r="I432" i="8" s="1"/>
  <c r="I433" i="8" s="1"/>
  <c r="I434" i="8" s="1"/>
  <c r="I435" i="8" s="1"/>
  <c r="I436" i="8" s="1"/>
  <c r="I437" i="8" s="1"/>
  <c r="I438" i="8" s="1"/>
  <c r="I439" i="8" s="1"/>
  <c r="I440" i="8" s="1"/>
  <c r="I441" i="8" s="1"/>
  <c r="I442" i="8" s="1"/>
  <c r="I443" i="8" s="1"/>
  <c r="I444" i="8" s="1"/>
  <c r="I445" i="8" s="1"/>
  <c r="I446" i="8" s="1"/>
  <c r="I447" i="8" s="1"/>
  <c r="I448" i="8" s="1"/>
  <c r="I449" i="8" s="1"/>
  <c r="I450" i="8" s="1"/>
  <c r="I451" i="8" s="1"/>
  <c r="I452" i="8" s="1"/>
  <c r="I453" i="8" s="1"/>
  <c r="I454" i="8" s="1"/>
  <c r="I455" i="8" s="1"/>
  <c r="I456" i="8" s="1"/>
  <c r="I457" i="8" s="1"/>
  <c r="I458" i="8" s="1"/>
  <c r="I459" i="8" s="1"/>
  <c r="I460" i="8" s="1"/>
  <c r="I461" i="8" s="1"/>
  <c r="I462" i="8" s="1"/>
  <c r="I463" i="8" s="1"/>
  <c r="I464" i="8" s="1"/>
  <c r="I465" i="8" s="1"/>
  <c r="I466" i="8" s="1"/>
  <c r="I467" i="8" s="1"/>
  <c r="I468" i="8" s="1"/>
  <c r="I469" i="8" s="1"/>
  <c r="I470" i="8" s="1"/>
  <c r="I471" i="8" s="1"/>
  <c r="I472" i="8" s="1"/>
  <c r="I473" i="8" s="1"/>
  <c r="I474" i="8" s="1"/>
  <c r="I475" i="8" s="1"/>
  <c r="I476" i="8" s="1"/>
  <c r="I477" i="8" s="1"/>
  <c r="I478" i="8" s="1"/>
  <c r="I479" i="8" s="1"/>
  <c r="I480" i="8" s="1"/>
  <c r="I481" i="8" s="1"/>
  <c r="I482" i="8" s="1"/>
  <c r="I483" i="8" s="1"/>
  <c r="I484" i="8" s="1"/>
  <c r="I485" i="8" s="1"/>
  <c r="I486" i="8" s="1"/>
  <c r="I487" i="8" s="1"/>
  <c r="I488" i="8" s="1"/>
  <c r="I489" i="8" s="1"/>
  <c r="I490" i="8" s="1"/>
  <c r="I491" i="8" s="1"/>
  <c r="I492" i="8" s="1"/>
  <c r="I493" i="8" s="1"/>
  <c r="I494" i="8" s="1"/>
  <c r="I495" i="8" s="1"/>
  <c r="I496" i="8" s="1"/>
  <c r="I497" i="8" s="1"/>
  <c r="I498" i="8" s="1"/>
  <c r="I499" i="8" s="1"/>
  <c r="I500" i="8" s="1"/>
  <c r="I501" i="8" s="1"/>
  <c r="I502" i="8" s="1"/>
  <c r="I503" i="8" s="1"/>
  <c r="I504" i="8" s="1"/>
  <c r="I505" i="8" s="1"/>
  <c r="I506" i="8" s="1"/>
  <c r="I507" i="8" s="1"/>
  <c r="I508" i="8" s="1"/>
  <c r="I509" i="8" s="1"/>
  <c r="I510" i="8" s="1"/>
  <c r="I511" i="8" s="1"/>
  <c r="I512" i="8" s="1"/>
  <c r="I513" i="8" s="1"/>
  <c r="I514" i="8" s="1"/>
  <c r="I515" i="8" s="1"/>
  <c r="I516" i="8" s="1"/>
  <c r="I517" i="8" s="1"/>
  <c r="I518" i="8" s="1"/>
  <c r="I519" i="8" s="1"/>
  <c r="I520" i="8" s="1"/>
  <c r="I521" i="8" s="1"/>
  <c r="I522" i="8" s="1"/>
  <c r="I523" i="8" s="1"/>
  <c r="I524" i="8" s="1"/>
  <c r="I525" i="8" s="1"/>
  <c r="I526" i="8" s="1"/>
  <c r="I527" i="8" s="1"/>
  <c r="I528" i="8" s="1"/>
  <c r="I529" i="8" s="1"/>
  <c r="I530" i="8" s="1"/>
  <c r="I531" i="8" s="1"/>
  <c r="I532" i="8" s="1"/>
  <c r="I533" i="8" s="1"/>
  <c r="I534" i="8" s="1"/>
  <c r="I535" i="8" s="1"/>
  <c r="I536" i="8" s="1"/>
  <c r="I537" i="8" s="1"/>
  <c r="I538" i="8" s="1"/>
  <c r="I539" i="8" s="1"/>
  <c r="I540" i="8" s="1"/>
  <c r="I541" i="8" s="1"/>
  <c r="I542" i="8" s="1"/>
  <c r="I543" i="8" s="1"/>
  <c r="I544" i="8" s="1"/>
  <c r="I545" i="8" s="1"/>
  <c r="I546" i="8" s="1"/>
  <c r="I547" i="8" s="1"/>
  <c r="I548" i="8" s="1"/>
  <c r="I549" i="8" s="1"/>
  <c r="I550" i="8" s="1"/>
  <c r="I551" i="8" s="1"/>
  <c r="I552" i="8" s="1"/>
  <c r="I553" i="8" s="1"/>
  <c r="I554" i="8" s="1"/>
  <c r="I555" i="8" s="1"/>
  <c r="I556" i="8" s="1"/>
  <c r="I557" i="8" s="1"/>
  <c r="I558" i="8" s="1"/>
  <c r="I559" i="8" s="1"/>
  <c r="I560" i="8" s="1"/>
  <c r="I561" i="8" s="1"/>
  <c r="I562" i="8" s="1"/>
  <c r="I563" i="8" s="1"/>
  <c r="I564" i="8" s="1"/>
  <c r="I565" i="8" s="1"/>
  <c r="I566" i="8" s="1"/>
  <c r="I567" i="8" s="1"/>
  <c r="I568" i="8" s="1"/>
  <c r="I569" i="8" s="1"/>
  <c r="I570" i="8" s="1"/>
  <c r="I571" i="8" s="1"/>
  <c r="I572" i="8" s="1"/>
  <c r="I573" i="8" s="1"/>
  <c r="I574" i="8" s="1"/>
  <c r="I575" i="8" s="1"/>
  <c r="I576" i="8" s="1"/>
  <c r="I577" i="8" s="1"/>
  <c r="I578" i="8" s="1"/>
  <c r="I579" i="8" s="1"/>
  <c r="I580" i="8" s="1"/>
  <c r="I581" i="8" s="1"/>
  <c r="I582" i="8" s="1"/>
  <c r="I583" i="8" s="1"/>
  <c r="I584" i="8" s="1"/>
  <c r="I585" i="8" s="1"/>
  <c r="I586" i="8" s="1"/>
  <c r="I587" i="8" s="1"/>
  <c r="I588" i="8" s="1"/>
  <c r="I589" i="8" s="1"/>
  <c r="I590" i="8" s="1"/>
  <c r="I591" i="8" s="1"/>
  <c r="I592" i="8" s="1"/>
  <c r="I593" i="8" s="1"/>
  <c r="I594" i="8" s="1"/>
  <c r="I595" i="8" s="1"/>
  <c r="I596" i="8" s="1"/>
  <c r="I597" i="8" s="1"/>
  <c r="I598" i="8" s="1"/>
  <c r="I599" i="8" s="1"/>
  <c r="I600" i="8" s="1"/>
  <c r="I601" i="8" s="1"/>
  <c r="I602" i="8" s="1"/>
  <c r="I603" i="8" s="1"/>
  <c r="I604" i="8" s="1"/>
  <c r="I605" i="8" s="1"/>
  <c r="I606" i="8" s="1"/>
  <c r="I607" i="8" s="1"/>
  <c r="I608" i="8" s="1"/>
  <c r="I609" i="8" s="1"/>
  <c r="I610" i="8" s="1"/>
  <c r="I611" i="8" s="1"/>
  <c r="I612" i="8" s="1"/>
  <c r="I613" i="8" s="1"/>
  <c r="I614" i="8" s="1"/>
  <c r="I615" i="8" s="1"/>
  <c r="I616" i="8" s="1"/>
  <c r="I617" i="8" s="1"/>
  <c r="I618" i="8" s="1"/>
  <c r="I619" i="8" s="1"/>
  <c r="I620" i="8" s="1"/>
  <c r="I621" i="8" s="1"/>
  <c r="I622" i="8" s="1"/>
  <c r="I623" i="8" s="1"/>
  <c r="I624" i="8" s="1"/>
  <c r="I625" i="8" s="1"/>
  <c r="I626" i="8" s="1"/>
  <c r="I627" i="8" s="1"/>
  <c r="I628" i="8" s="1"/>
  <c r="I629" i="8" s="1"/>
  <c r="I630" i="8" s="1"/>
  <c r="I631" i="8" s="1"/>
  <c r="I632" i="8" s="1"/>
  <c r="I633" i="8" s="1"/>
  <c r="I634" i="8" s="1"/>
  <c r="I635" i="8" s="1"/>
  <c r="I636" i="8" s="1"/>
  <c r="I637" i="8" s="1"/>
  <c r="I638" i="8" s="1"/>
  <c r="I639" i="8" s="1"/>
  <c r="I640" i="8" s="1"/>
  <c r="I641" i="8" s="1"/>
  <c r="I642" i="8" s="1"/>
  <c r="I643" i="8" s="1"/>
  <c r="I644" i="8" s="1"/>
  <c r="I645" i="8" s="1"/>
  <c r="I646" i="8" s="1"/>
  <c r="I647" i="8" s="1"/>
  <c r="I648" i="8" s="1"/>
  <c r="I649" i="8" s="1"/>
  <c r="I650" i="8" s="1"/>
  <c r="I651" i="8" s="1"/>
  <c r="I652" i="8" s="1"/>
  <c r="I653" i="8" s="1"/>
  <c r="I654" i="8" s="1"/>
  <c r="I655" i="8" s="1"/>
  <c r="I656" i="8" s="1"/>
  <c r="I657" i="8" s="1"/>
  <c r="I658" i="8" s="1"/>
  <c r="I659" i="8" s="1"/>
  <c r="I660" i="8" s="1"/>
  <c r="I661" i="8" s="1"/>
  <c r="I662" i="8" s="1"/>
  <c r="I663" i="8" s="1"/>
  <c r="I664" i="8" s="1"/>
  <c r="I665" i="8" s="1"/>
  <c r="I666" i="8" s="1"/>
  <c r="I667" i="8" s="1"/>
  <c r="I668" i="8" s="1"/>
  <c r="I669" i="8" s="1"/>
  <c r="I670" i="8" s="1"/>
  <c r="I671" i="8" s="1"/>
  <c r="I672" i="8" s="1"/>
  <c r="I673" i="8" s="1"/>
  <c r="I674" i="8" s="1"/>
  <c r="I675" i="8" s="1"/>
  <c r="I676" i="8" s="1"/>
  <c r="I677" i="8" s="1"/>
  <c r="I678" i="8" s="1"/>
  <c r="I679" i="8" s="1"/>
  <c r="I680" i="8" s="1"/>
  <c r="I681" i="8" s="1"/>
  <c r="I682" i="8" s="1"/>
  <c r="I683" i="8" s="1"/>
  <c r="I684" i="8" s="1"/>
  <c r="I685" i="8" s="1"/>
  <c r="I686" i="8" s="1"/>
  <c r="I687" i="8" s="1"/>
  <c r="I688" i="8" s="1"/>
  <c r="I689" i="8" s="1"/>
  <c r="I690" i="8" s="1"/>
  <c r="I691" i="8" s="1"/>
  <c r="I692" i="8" s="1"/>
  <c r="I693" i="8" s="1"/>
  <c r="I694" i="8" s="1"/>
  <c r="I695" i="8" s="1"/>
  <c r="I696" i="8" s="1"/>
  <c r="I697" i="8" s="1"/>
  <c r="I698" i="8" s="1"/>
  <c r="I699" i="8" s="1"/>
  <c r="I700" i="8" s="1"/>
  <c r="I701" i="8" s="1"/>
  <c r="I702" i="8" s="1"/>
  <c r="I703" i="8" s="1"/>
  <c r="I704" i="8" s="1"/>
  <c r="I705" i="8" s="1"/>
  <c r="I706" i="8" s="1"/>
  <c r="I707" i="8" s="1"/>
  <c r="I708" i="8" s="1"/>
  <c r="I709" i="8" s="1"/>
  <c r="I710" i="8" s="1"/>
  <c r="I711" i="8" s="1"/>
  <c r="I712" i="8" s="1"/>
  <c r="I713" i="8" s="1"/>
  <c r="I714" i="8" s="1"/>
  <c r="I715" i="8" s="1"/>
  <c r="I716" i="8" s="1"/>
  <c r="I717" i="8" s="1"/>
  <c r="I718" i="8" s="1"/>
  <c r="I719" i="8" s="1"/>
  <c r="I720" i="8" s="1"/>
  <c r="I721" i="8" s="1"/>
  <c r="I722" i="8" s="1"/>
  <c r="I723" i="8" s="1"/>
  <c r="I724" i="8" s="1"/>
  <c r="I725" i="8" s="1"/>
  <c r="I726" i="8" s="1"/>
  <c r="I727" i="8" s="1"/>
  <c r="I728" i="8" s="1"/>
  <c r="I729" i="8" s="1"/>
  <c r="I730" i="8" s="1"/>
  <c r="I731" i="8" s="1"/>
  <c r="I732" i="8" s="1"/>
  <c r="I733" i="8" s="1"/>
  <c r="I734" i="8" s="1"/>
  <c r="I735" i="8" s="1"/>
  <c r="I736" i="8" s="1"/>
  <c r="I737" i="8" s="1"/>
  <c r="I738" i="8" s="1"/>
  <c r="I739" i="8" s="1"/>
  <c r="I740" i="8" s="1"/>
  <c r="I741" i="8" s="1"/>
  <c r="I742" i="8" s="1"/>
  <c r="I743" i="8" s="1"/>
  <c r="I744" i="8" s="1"/>
  <c r="I745" i="8" s="1"/>
  <c r="I746" i="8" s="1"/>
  <c r="I747" i="8" s="1"/>
  <c r="I748" i="8" s="1"/>
  <c r="I749" i="8" s="1"/>
  <c r="I750" i="8" s="1"/>
  <c r="I751" i="8" s="1"/>
  <c r="I752" i="8" s="1"/>
  <c r="I753" i="8" s="1"/>
  <c r="I754" i="8" s="1"/>
  <c r="I755" i="8" s="1"/>
  <c r="I756" i="8" s="1"/>
  <c r="I757" i="8" s="1"/>
  <c r="I758" i="8" s="1"/>
  <c r="I759" i="8" s="1"/>
  <c r="I760" i="8" s="1"/>
  <c r="I761" i="8" s="1"/>
  <c r="I762" i="8" s="1"/>
  <c r="I763" i="8" s="1"/>
  <c r="I764" i="8" s="1"/>
  <c r="I765" i="8" s="1"/>
  <c r="I766" i="8" s="1"/>
  <c r="I767" i="8" s="1"/>
  <c r="I768" i="8" s="1"/>
  <c r="I769" i="8" s="1"/>
  <c r="I770" i="8" s="1"/>
  <c r="I771" i="8" s="1"/>
  <c r="I772" i="8" s="1"/>
  <c r="I773" i="8" s="1"/>
  <c r="I774" i="8" s="1"/>
  <c r="I775" i="8" s="1"/>
  <c r="I776" i="8" s="1"/>
  <c r="I777" i="8" s="1"/>
  <c r="I778" i="8" s="1"/>
  <c r="I779" i="8" s="1"/>
  <c r="I780" i="8" s="1"/>
  <c r="I781" i="8" s="1"/>
  <c r="I782" i="8" s="1"/>
  <c r="I783" i="8" s="1"/>
  <c r="I784" i="8" s="1"/>
  <c r="I785" i="8" s="1"/>
  <c r="I786" i="8" s="1"/>
  <c r="I787" i="8" s="1"/>
  <c r="I788" i="8" s="1"/>
  <c r="I789" i="8" s="1"/>
  <c r="I790" i="8" s="1"/>
  <c r="I791" i="8" s="1"/>
  <c r="I792" i="8" s="1"/>
  <c r="I793" i="8" s="1"/>
  <c r="I794" i="8" s="1"/>
  <c r="I795" i="8" s="1"/>
  <c r="I796" i="8" s="1"/>
  <c r="I797" i="8" s="1"/>
  <c r="I798" i="8" s="1"/>
  <c r="I799" i="8" s="1"/>
  <c r="I800" i="8" s="1"/>
  <c r="I801" i="8" s="1"/>
  <c r="I802" i="8" s="1"/>
  <c r="I803" i="8" s="1"/>
  <c r="I804" i="8" s="1"/>
  <c r="I805" i="8" s="1"/>
  <c r="I806" i="8" s="1"/>
  <c r="I807" i="8" s="1"/>
  <c r="I808" i="8" s="1"/>
  <c r="I809" i="8" s="1"/>
  <c r="I810" i="8" s="1"/>
  <c r="I811" i="8" s="1"/>
  <c r="I812" i="8" s="1"/>
  <c r="I813" i="8" s="1"/>
  <c r="I814" i="8" s="1"/>
  <c r="I815" i="8" s="1"/>
  <c r="I816" i="8" s="1"/>
  <c r="I817" i="8" s="1"/>
  <c r="I818" i="8" s="1"/>
  <c r="I819" i="8" s="1"/>
  <c r="I820" i="8" s="1"/>
  <c r="I821" i="8" s="1"/>
  <c r="I822" i="8" s="1"/>
  <c r="I823" i="8" s="1"/>
  <c r="I824" i="8" s="1"/>
  <c r="I825" i="8" s="1"/>
  <c r="I826" i="8" s="1"/>
  <c r="I827" i="8" s="1"/>
  <c r="I828" i="8" s="1"/>
  <c r="I829" i="8" s="1"/>
  <c r="I830" i="8" s="1"/>
  <c r="I831" i="8" s="1"/>
  <c r="I832" i="8" s="1"/>
  <c r="I833" i="8" s="1"/>
  <c r="I834" i="8" s="1"/>
  <c r="I835" i="8" s="1"/>
  <c r="I836" i="8" s="1"/>
  <c r="I837" i="8" s="1"/>
  <c r="I838" i="8" s="1"/>
  <c r="I839" i="8" s="1"/>
  <c r="I840" i="8" s="1"/>
  <c r="I841" i="8" s="1"/>
  <c r="I842" i="8" s="1"/>
  <c r="I843" i="8" s="1"/>
  <c r="I844" i="8" s="1"/>
  <c r="I845" i="8" s="1"/>
  <c r="I846" i="8" s="1"/>
  <c r="I847" i="8" s="1"/>
  <c r="I848" i="8" s="1"/>
  <c r="I849" i="8" s="1"/>
  <c r="I850" i="8" s="1"/>
  <c r="I851" i="8" s="1"/>
  <c r="I852" i="8" s="1"/>
  <c r="I853" i="8" s="1"/>
  <c r="I854" i="8" s="1"/>
  <c r="I855" i="8" s="1"/>
  <c r="I856" i="8" s="1"/>
  <c r="I857" i="8" s="1"/>
  <c r="I858" i="8" s="1"/>
  <c r="I859" i="8" s="1"/>
  <c r="I860" i="8" s="1"/>
  <c r="I861" i="8" s="1"/>
  <c r="I862" i="8" s="1"/>
  <c r="I863" i="8" s="1"/>
  <c r="I864" i="8" s="1"/>
  <c r="I865" i="8" s="1"/>
  <c r="I866" i="8" s="1"/>
  <c r="I867" i="8" s="1"/>
  <c r="I868" i="8" s="1"/>
  <c r="I869" i="8" s="1"/>
  <c r="I870" i="8" s="1"/>
  <c r="I871" i="8" s="1"/>
  <c r="I872" i="8" s="1"/>
  <c r="I873" i="8" s="1"/>
  <c r="I874" i="8" s="1"/>
  <c r="I875" i="8" s="1"/>
  <c r="I876" i="8" s="1"/>
  <c r="I877" i="8" s="1"/>
  <c r="I878" i="8" s="1"/>
  <c r="I879" i="8" s="1"/>
  <c r="I880" i="8" s="1"/>
  <c r="I881" i="8" s="1"/>
  <c r="I882" i="8" s="1"/>
  <c r="I883" i="8" s="1"/>
  <c r="I884" i="8" s="1"/>
  <c r="I885" i="8" s="1"/>
  <c r="I886" i="8" s="1"/>
  <c r="I887" i="8" s="1"/>
  <c r="I888" i="8" s="1"/>
  <c r="I889" i="8" s="1"/>
  <c r="I890" i="8" s="1"/>
  <c r="I891" i="8" s="1"/>
  <c r="I892" i="8" s="1"/>
  <c r="I893" i="8" s="1"/>
  <c r="I894" i="8" s="1"/>
  <c r="I895" i="8" s="1"/>
  <c r="I896" i="8" s="1"/>
  <c r="I897" i="8" s="1"/>
  <c r="I898" i="8" s="1"/>
  <c r="I899" i="8" s="1"/>
  <c r="I900" i="8" s="1"/>
  <c r="I901" i="8" s="1"/>
  <c r="I902" i="8" s="1"/>
  <c r="I903" i="8" s="1"/>
  <c r="I904" i="8" s="1"/>
  <c r="I905" i="8" s="1"/>
  <c r="I906" i="8" s="1"/>
  <c r="I907" i="8" s="1"/>
  <c r="I908" i="8" s="1"/>
  <c r="I909" i="8" s="1"/>
  <c r="I910" i="8" s="1"/>
  <c r="I911" i="8" s="1"/>
  <c r="I912" i="8" s="1"/>
  <c r="I913" i="8" s="1"/>
  <c r="I914" i="8" s="1"/>
  <c r="I915" i="8" s="1"/>
  <c r="I916" i="8" s="1"/>
  <c r="I917" i="8" s="1"/>
  <c r="I918" i="8" s="1"/>
  <c r="I919" i="8" s="1"/>
  <c r="I920" i="8" s="1"/>
  <c r="I921" i="8" s="1"/>
  <c r="I922" i="8" s="1"/>
  <c r="I923" i="8" s="1"/>
  <c r="I924" i="8" s="1"/>
  <c r="I925" i="8" s="1"/>
  <c r="I926" i="8" s="1"/>
  <c r="I927" i="8" s="1"/>
  <c r="I928" i="8" s="1"/>
  <c r="I929" i="8" s="1"/>
  <c r="I930" i="8" s="1"/>
  <c r="I931" i="8" s="1"/>
  <c r="I932" i="8" s="1"/>
  <c r="I933" i="8" s="1"/>
  <c r="I934" i="8" s="1"/>
  <c r="I935" i="8" s="1"/>
  <c r="I936" i="8" s="1"/>
  <c r="I937" i="8" s="1"/>
  <c r="I938" i="8" s="1"/>
  <c r="I939" i="8" s="1"/>
  <c r="I940" i="8" s="1"/>
  <c r="I941" i="8" s="1"/>
  <c r="I942" i="8" s="1"/>
  <c r="I943" i="8" s="1"/>
  <c r="I944" i="8" s="1"/>
  <c r="I945" i="8" s="1"/>
  <c r="I946" i="8" s="1"/>
  <c r="I947" i="8" s="1"/>
  <c r="I948" i="8" s="1"/>
  <c r="I949" i="8" s="1"/>
  <c r="I950" i="8" s="1"/>
  <c r="I951" i="8" s="1"/>
  <c r="I952" i="8" s="1"/>
  <c r="I953" i="8" s="1"/>
  <c r="I954" i="8" s="1"/>
  <c r="I955" i="8" s="1"/>
  <c r="I956" i="8" s="1"/>
  <c r="I957" i="8" s="1"/>
  <c r="I958" i="8" s="1"/>
  <c r="I959" i="8" s="1"/>
  <c r="I960" i="8" s="1"/>
  <c r="I961" i="8" s="1"/>
  <c r="I962" i="8" s="1"/>
  <c r="I963" i="8" s="1"/>
  <c r="I964" i="8" s="1"/>
  <c r="I965" i="8" s="1"/>
  <c r="I966" i="8" s="1"/>
  <c r="I967" i="8" s="1"/>
  <c r="I968" i="8" s="1"/>
  <c r="I969" i="8" s="1"/>
  <c r="I970" i="8" s="1"/>
  <c r="I971" i="8" s="1"/>
  <c r="I972" i="8" s="1"/>
  <c r="I973" i="8" s="1"/>
  <c r="I974" i="8" s="1"/>
  <c r="I975" i="8" s="1"/>
  <c r="I976" i="8" s="1"/>
  <c r="I977" i="8" s="1"/>
  <c r="I978" i="8" s="1"/>
  <c r="I979" i="8" s="1"/>
  <c r="I980" i="8" s="1"/>
  <c r="I981" i="8" s="1"/>
  <c r="I982" i="8" s="1"/>
  <c r="I983" i="8" s="1"/>
  <c r="I984" i="8" s="1"/>
  <c r="I985" i="8" s="1"/>
  <c r="I986" i="8" s="1"/>
  <c r="I987" i="8" s="1"/>
  <c r="I988" i="8" s="1"/>
  <c r="I989" i="8" s="1"/>
  <c r="I990" i="8" s="1"/>
  <c r="I991" i="8" s="1"/>
  <c r="I992" i="8" s="1"/>
  <c r="I993" i="8" s="1"/>
  <c r="I994" i="8" s="1"/>
  <c r="I995" i="8" s="1"/>
  <c r="I996" i="8" s="1"/>
  <c r="I997" i="8" s="1"/>
  <c r="I998" i="8" s="1"/>
  <c r="I999" i="8" s="1"/>
  <c r="I1000" i="8" s="1"/>
  <c r="I1001" i="8" s="1"/>
  <c r="I1002" i="8" s="1"/>
  <c r="I1003" i="8" s="1"/>
  <c r="I1004" i="8" s="1"/>
  <c r="I1005" i="8" s="1"/>
  <c r="I1006" i="8" s="1"/>
  <c r="I1007" i="8" s="1"/>
  <c r="I1008" i="8" s="1"/>
  <c r="I1009" i="8" s="1"/>
  <c r="I1010" i="8" s="1"/>
  <c r="I1011" i="8" s="1"/>
  <c r="I1012" i="8" s="1"/>
  <c r="I1013" i="8" s="1"/>
  <c r="I1014" i="8" s="1"/>
  <c r="I1015" i="8" s="1"/>
  <c r="I1016" i="8" s="1"/>
  <c r="I1017" i="8" s="1"/>
  <c r="I1018" i="8" s="1"/>
  <c r="I1019" i="8" s="1"/>
  <c r="I1020" i="8" s="1"/>
  <c r="I1021" i="8" s="1"/>
  <c r="I1022" i="8" s="1"/>
  <c r="I1023" i="8" s="1"/>
  <c r="I1024" i="8" s="1"/>
  <c r="I1025" i="8" s="1"/>
  <c r="I1026" i="8" s="1"/>
  <c r="I1027" i="8" s="1"/>
  <c r="I1028" i="8" s="1"/>
  <c r="I1029" i="8" s="1"/>
  <c r="I1030" i="8" s="1"/>
  <c r="I1031" i="8" s="1"/>
  <c r="I1032" i="8" s="1"/>
  <c r="I1033" i="8" s="1"/>
  <c r="I1034" i="8" s="1"/>
  <c r="I1035" i="8" s="1"/>
  <c r="I1036" i="8" s="1"/>
  <c r="I1037" i="8" s="1"/>
  <c r="I1038" i="8" s="1"/>
  <c r="I1039" i="8" s="1"/>
  <c r="I1040" i="8" s="1"/>
  <c r="I1041" i="8" s="1"/>
  <c r="I1042" i="8" s="1"/>
  <c r="I1043" i="8" s="1"/>
  <c r="I1044" i="8" s="1"/>
  <c r="I1045" i="8" s="1"/>
  <c r="I1046" i="8" s="1"/>
  <c r="I1047" i="8" s="1"/>
  <c r="I1048" i="8" s="1"/>
  <c r="I1049" i="8" s="1"/>
  <c r="I1050" i="8" s="1"/>
  <c r="I1051" i="8" s="1"/>
  <c r="I1052" i="8" s="1"/>
  <c r="I1053" i="8" s="1"/>
  <c r="I1054" i="8" s="1"/>
  <c r="I1055" i="8" s="1"/>
  <c r="I1056" i="8" s="1"/>
  <c r="I1057" i="8" s="1"/>
  <c r="I1058" i="8" s="1"/>
  <c r="I1059" i="8" s="1"/>
  <c r="I1060" i="8" s="1"/>
  <c r="F2" i="8"/>
  <c r="E2" i="8"/>
  <c r="E3" i="8" s="1"/>
  <c r="E4" i="8" s="1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E39" i="8" s="1"/>
  <c r="E40" i="8" s="1"/>
  <c r="E41" i="8" s="1"/>
  <c r="E42" i="8" s="1"/>
  <c r="E43" i="8" s="1"/>
  <c r="E44" i="8" s="1"/>
  <c r="E45" i="8" s="1"/>
  <c r="E46" i="8" s="1"/>
  <c r="E47" i="8" s="1"/>
  <c r="E48" i="8" s="1"/>
  <c r="E49" i="8" s="1"/>
  <c r="E50" i="8" s="1"/>
  <c r="E51" i="8" s="1"/>
  <c r="E52" i="8" s="1"/>
  <c r="E53" i="8" s="1"/>
  <c r="E54" i="8" s="1"/>
  <c r="E55" i="8" s="1"/>
  <c r="E56" i="8" s="1"/>
  <c r="E57" i="8" s="1"/>
  <c r="E58" i="8" s="1"/>
  <c r="E59" i="8" s="1"/>
  <c r="E60" i="8" s="1"/>
  <c r="E61" i="8" s="1"/>
  <c r="E62" i="8" s="1"/>
  <c r="E63" i="8" s="1"/>
  <c r="E64" i="8" s="1"/>
  <c r="E65" i="8" s="1"/>
  <c r="E66" i="8" s="1"/>
  <c r="E67" i="8" s="1"/>
  <c r="E68" i="8" s="1"/>
  <c r="E69" i="8" s="1"/>
  <c r="E70" i="8" s="1"/>
  <c r="E71" i="8" s="1"/>
  <c r="E72" i="8" s="1"/>
  <c r="E73" i="8" s="1"/>
  <c r="E74" i="8" s="1"/>
  <c r="E75" i="8" s="1"/>
  <c r="E76" i="8" s="1"/>
  <c r="E77" i="8" s="1"/>
  <c r="E78" i="8" s="1"/>
  <c r="E79" i="8" s="1"/>
  <c r="E80" i="8" s="1"/>
  <c r="E81" i="8" s="1"/>
  <c r="E82" i="8" s="1"/>
  <c r="E83" i="8" s="1"/>
  <c r="E84" i="8" s="1"/>
  <c r="E85" i="8" s="1"/>
  <c r="E86" i="8" s="1"/>
  <c r="E87" i="8" s="1"/>
  <c r="E88" i="8" s="1"/>
  <c r="E89" i="8" s="1"/>
  <c r="E90" i="8" s="1"/>
  <c r="E91" i="8" s="1"/>
  <c r="E92" i="8" s="1"/>
  <c r="E93" i="8" s="1"/>
  <c r="E94" i="8" s="1"/>
  <c r="E95" i="8" s="1"/>
  <c r="E96" i="8" s="1"/>
  <c r="E97" i="8" s="1"/>
  <c r="E98" i="8" s="1"/>
  <c r="E99" i="8" s="1"/>
  <c r="E100" i="8" s="1"/>
  <c r="E101" i="8" s="1"/>
  <c r="E102" i="8" s="1"/>
  <c r="E103" i="8" s="1"/>
  <c r="E104" i="8" s="1"/>
  <c r="E105" i="8" s="1"/>
  <c r="E106" i="8" s="1"/>
  <c r="E107" i="8" s="1"/>
  <c r="E108" i="8" s="1"/>
  <c r="E109" i="8" s="1"/>
  <c r="E110" i="8" s="1"/>
  <c r="E111" i="8" s="1"/>
  <c r="E112" i="8" s="1"/>
  <c r="E113" i="8" s="1"/>
  <c r="E114" i="8" s="1"/>
  <c r="E115" i="8" s="1"/>
  <c r="E116" i="8" s="1"/>
  <c r="E117" i="8" s="1"/>
  <c r="E118" i="8" s="1"/>
  <c r="E119" i="8" s="1"/>
  <c r="E120" i="8" s="1"/>
  <c r="E121" i="8" s="1"/>
  <c r="E122" i="8" s="1"/>
  <c r="E123" i="8" s="1"/>
  <c r="E124" i="8" s="1"/>
  <c r="E125" i="8" s="1"/>
  <c r="E126" i="8" s="1"/>
  <c r="E127" i="8" s="1"/>
  <c r="E128" i="8" s="1"/>
  <c r="E129" i="8" s="1"/>
  <c r="E130" i="8" s="1"/>
  <c r="E131" i="8" s="1"/>
  <c r="E132" i="8" s="1"/>
  <c r="E133" i="8" s="1"/>
  <c r="E134" i="8" s="1"/>
  <c r="E135" i="8" s="1"/>
  <c r="E136" i="8" s="1"/>
  <c r="E137" i="8" s="1"/>
  <c r="E138" i="8" s="1"/>
  <c r="E139" i="8" s="1"/>
  <c r="E140" i="8" s="1"/>
  <c r="E141" i="8" s="1"/>
  <c r="E142" i="8" s="1"/>
  <c r="E143" i="8" s="1"/>
  <c r="E144" i="8" s="1"/>
  <c r="E145" i="8" s="1"/>
  <c r="E146" i="8" s="1"/>
  <c r="E147" i="8" s="1"/>
  <c r="E148" i="8" s="1"/>
  <c r="E149" i="8" s="1"/>
  <c r="E150" i="8" s="1"/>
  <c r="E151" i="8" s="1"/>
  <c r="E152" i="8" s="1"/>
  <c r="E153" i="8" s="1"/>
  <c r="E154" i="8" s="1"/>
  <c r="E155" i="8" s="1"/>
  <c r="E156" i="8" s="1"/>
  <c r="E157" i="8" s="1"/>
  <c r="E158" i="8" s="1"/>
  <c r="E159" i="8" s="1"/>
  <c r="E160" i="8" s="1"/>
  <c r="E161" i="8" s="1"/>
  <c r="E162" i="8" s="1"/>
  <c r="E163" i="8" s="1"/>
  <c r="E164" i="8" s="1"/>
  <c r="E165" i="8" s="1"/>
  <c r="E166" i="8" s="1"/>
  <c r="E167" i="8" s="1"/>
  <c r="E168" i="8" s="1"/>
  <c r="E169" i="8" s="1"/>
  <c r="E170" i="8" s="1"/>
  <c r="E171" i="8" s="1"/>
  <c r="E172" i="8" s="1"/>
  <c r="E173" i="8" s="1"/>
  <c r="E174" i="8" s="1"/>
  <c r="E175" i="8" s="1"/>
  <c r="E176" i="8" s="1"/>
  <c r="E177" i="8" s="1"/>
  <c r="E178" i="8" s="1"/>
  <c r="E179" i="8" s="1"/>
  <c r="E180" i="8" s="1"/>
  <c r="E181" i="8" s="1"/>
  <c r="E182" i="8" s="1"/>
  <c r="E183" i="8" s="1"/>
  <c r="E184" i="8" s="1"/>
  <c r="E185" i="8" s="1"/>
  <c r="E186" i="8" s="1"/>
  <c r="E187" i="8" s="1"/>
  <c r="E188" i="8" s="1"/>
  <c r="E189" i="8" s="1"/>
  <c r="E190" i="8" s="1"/>
  <c r="E191" i="8" s="1"/>
  <c r="E192" i="8" s="1"/>
  <c r="E193" i="8" s="1"/>
  <c r="E194" i="8" s="1"/>
  <c r="E195" i="8" s="1"/>
  <c r="E196" i="8" s="1"/>
  <c r="E197" i="8" s="1"/>
  <c r="E198" i="8" s="1"/>
  <c r="E199" i="8" s="1"/>
  <c r="E200" i="8" s="1"/>
  <c r="E201" i="8" s="1"/>
  <c r="E202" i="8" s="1"/>
  <c r="E203" i="8" s="1"/>
  <c r="E204" i="8" s="1"/>
  <c r="E205" i="8" s="1"/>
  <c r="E206" i="8" s="1"/>
  <c r="E207" i="8" s="1"/>
  <c r="E208" i="8" s="1"/>
  <c r="E209" i="8" s="1"/>
  <c r="E210" i="8" s="1"/>
  <c r="E211" i="8" s="1"/>
  <c r="E212" i="8" s="1"/>
  <c r="E213" i="8" s="1"/>
  <c r="E214" i="8" s="1"/>
  <c r="E215" i="8" s="1"/>
  <c r="E216" i="8" s="1"/>
  <c r="E217" i="8" s="1"/>
  <c r="E218" i="8" s="1"/>
  <c r="E219" i="8" s="1"/>
  <c r="E220" i="8" s="1"/>
  <c r="E221" i="8" s="1"/>
  <c r="E222" i="8" s="1"/>
  <c r="E223" i="8" s="1"/>
  <c r="E224" i="8" s="1"/>
  <c r="E225" i="8" s="1"/>
  <c r="E226" i="8" s="1"/>
  <c r="E227" i="8" s="1"/>
  <c r="E228" i="8" s="1"/>
  <c r="E229" i="8" s="1"/>
  <c r="E230" i="8" s="1"/>
  <c r="E231" i="8" s="1"/>
  <c r="E232" i="8" s="1"/>
  <c r="E233" i="8" s="1"/>
  <c r="E234" i="8" s="1"/>
  <c r="E235" i="8" s="1"/>
  <c r="E236" i="8" s="1"/>
  <c r="E237" i="8" s="1"/>
  <c r="E238" i="8" s="1"/>
  <c r="E239" i="8" s="1"/>
  <c r="E240" i="8" s="1"/>
  <c r="E241" i="8" s="1"/>
  <c r="E242" i="8" s="1"/>
  <c r="E243" i="8" s="1"/>
  <c r="E244" i="8" s="1"/>
  <c r="E245" i="8" s="1"/>
  <c r="E246" i="8" s="1"/>
  <c r="E247" i="8" s="1"/>
  <c r="E248" i="8" s="1"/>
  <c r="E249" i="8" s="1"/>
  <c r="E250" i="8" s="1"/>
  <c r="E251" i="8" s="1"/>
  <c r="E252" i="8" s="1"/>
  <c r="E253" i="8" s="1"/>
  <c r="E254" i="8" s="1"/>
  <c r="E255" i="8" s="1"/>
  <c r="E256" i="8" s="1"/>
  <c r="E257" i="8" s="1"/>
  <c r="E258" i="8" s="1"/>
  <c r="E259" i="8" s="1"/>
  <c r="E260" i="8" s="1"/>
  <c r="E261" i="8" s="1"/>
  <c r="E262" i="8" s="1"/>
  <c r="E263" i="8" s="1"/>
  <c r="E264" i="8" s="1"/>
  <c r="E265" i="8" s="1"/>
  <c r="E266" i="8" s="1"/>
  <c r="E267" i="8" s="1"/>
  <c r="E268" i="8" s="1"/>
  <c r="E269" i="8" s="1"/>
  <c r="E270" i="8" s="1"/>
  <c r="E271" i="8" s="1"/>
  <c r="E272" i="8" s="1"/>
  <c r="E273" i="8" s="1"/>
  <c r="E274" i="8" s="1"/>
  <c r="E275" i="8" s="1"/>
  <c r="E276" i="8" s="1"/>
  <c r="E277" i="8" s="1"/>
  <c r="E278" i="8" s="1"/>
  <c r="E279" i="8" s="1"/>
  <c r="E280" i="8" s="1"/>
  <c r="E281" i="8" s="1"/>
  <c r="E282" i="8" s="1"/>
  <c r="E283" i="8" s="1"/>
  <c r="E284" i="8" s="1"/>
  <c r="E285" i="8" s="1"/>
  <c r="E286" i="8" s="1"/>
  <c r="E287" i="8" s="1"/>
  <c r="E288" i="8" s="1"/>
  <c r="E289" i="8" s="1"/>
  <c r="E290" i="8" s="1"/>
  <c r="E291" i="8" s="1"/>
  <c r="E292" i="8" s="1"/>
  <c r="E293" i="8" s="1"/>
  <c r="E294" i="8" s="1"/>
  <c r="E295" i="8" s="1"/>
  <c r="E296" i="8" s="1"/>
  <c r="E297" i="8" s="1"/>
  <c r="E298" i="8" s="1"/>
  <c r="E299" i="8" s="1"/>
  <c r="E300" i="8" s="1"/>
  <c r="E301" i="8" s="1"/>
  <c r="E302" i="8" s="1"/>
  <c r="E303" i="8" s="1"/>
  <c r="E304" i="8" s="1"/>
  <c r="E305" i="8" s="1"/>
  <c r="E306" i="8" s="1"/>
  <c r="E307" i="8" s="1"/>
  <c r="E308" i="8" s="1"/>
  <c r="E309" i="8" s="1"/>
  <c r="E310" i="8" s="1"/>
  <c r="E311" i="8" s="1"/>
  <c r="E312" i="8" s="1"/>
  <c r="E313" i="8" s="1"/>
  <c r="E314" i="8" s="1"/>
  <c r="E315" i="8" s="1"/>
  <c r="E316" i="8" s="1"/>
  <c r="E317" i="8" s="1"/>
  <c r="E318" i="8" s="1"/>
  <c r="E319" i="8" s="1"/>
  <c r="E320" i="8" s="1"/>
  <c r="E321" i="8" s="1"/>
  <c r="E322" i="8" s="1"/>
  <c r="E323" i="8" s="1"/>
  <c r="E324" i="8" s="1"/>
  <c r="E325" i="8" s="1"/>
  <c r="E326" i="8" s="1"/>
  <c r="E327" i="8" s="1"/>
  <c r="E328" i="8" s="1"/>
  <c r="E329" i="8" s="1"/>
  <c r="E330" i="8" s="1"/>
  <c r="E331" i="8" s="1"/>
  <c r="E332" i="8" s="1"/>
  <c r="E333" i="8" s="1"/>
  <c r="E334" i="8" s="1"/>
  <c r="E335" i="8" s="1"/>
  <c r="E336" i="8" s="1"/>
  <c r="E337" i="8" s="1"/>
  <c r="E338" i="8" s="1"/>
  <c r="E339" i="8" s="1"/>
  <c r="E340" i="8" s="1"/>
  <c r="E341" i="8" s="1"/>
  <c r="E342" i="8" s="1"/>
  <c r="E343" i="8" s="1"/>
  <c r="E344" i="8" s="1"/>
  <c r="E345" i="8" s="1"/>
  <c r="E346" i="8" s="1"/>
  <c r="E347" i="8" s="1"/>
  <c r="E348" i="8" s="1"/>
  <c r="E349" i="8" s="1"/>
  <c r="E350" i="8" s="1"/>
  <c r="E351" i="8" s="1"/>
  <c r="E352" i="8" s="1"/>
  <c r="E353" i="8" s="1"/>
  <c r="E354" i="8" s="1"/>
  <c r="E355" i="8" s="1"/>
  <c r="E356" i="8" s="1"/>
  <c r="E357" i="8" s="1"/>
  <c r="E358" i="8" s="1"/>
  <c r="E359" i="8" s="1"/>
  <c r="E360" i="8" s="1"/>
  <c r="E361" i="8" s="1"/>
  <c r="E362" i="8" s="1"/>
  <c r="E363" i="8" s="1"/>
  <c r="E364" i="8" s="1"/>
  <c r="E365" i="8" s="1"/>
  <c r="E366" i="8" s="1"/>
  <c r="E367" i="8" s="1"/>
  <c r="E368" i="8" s="1"/>
  <c r="E369" i="8" s="1"/>
  <c r="E370" i="8" s="1"/>
  <c r="E371" i="8" s="1"/>
  <c r="E372" i="8" s="1"/>
  <c r="E373" i="8" s="1"/>
  <c r="E374" i="8" s="1"/>
  <c r="E375" i="8" s="1"/>
  <c r="E376" i="8" s="1"/>
  <c r="E377" i="8" s="1"/>
  <c r="E378" i="8" s="1"/>
  <c r="E379" i="8" s="1"/>
  <c r="E380" i="8" s="1"/>
  <c r="E381" i="8" s="1"/>
  <c r="E382" i="8" s="1"/>
  <c r="E383" i="8" s="1"/>
  <c r="E384" i="8" s="1"/>
  <c r="E385" i="8" s="1"/>
  <c r="E386" i="8" s="1"/>
  <c r="E387" i="8" s="1"/>
  <c r="E388" i="8" s="1"/>
  <c r="E389" i="8" s="1"/>
  <c r="E390" i="8" s="1"/>
  <c r="E391" i="8" s="1"/>
  <c r="E392" i="8" s="1"/>
  <c r="E393" i="8" s="1"/>
  <c r="E394" i="8" s="1"/>
  <c r="E395" i="8" s="1"/>
  <c r="E396" i="8" s="1"/>
  <c r="E397" i="8" s="1"/>
  <c r="E398" i="8" s="1"/>
  <c r="E399" i="8" s="1"/>
  <c r="E400" i="8" s="1"/>
  <c r="E401" i="8" s="1"/>
  <c r="E402" i="8" s="1"/>
  <c r="E403" i="8" s="1"/>
  <c r="E404" i="8" s="1"/>
  <c r="E405" i="8" s="1"/>
  <c r="E406" i="8" s="1"/>
  <c r="E407" i="8" s="1"/>
  <c r="E408" i="8" s="1"/>
  <c r="E409" i="8" s="1"/>
  <c r="E410" i="8" s="1"/>
  <c r="E411" i="8" s="1"/>
  <c r="E412" i="8" s="1"/>
  <c r="E413" i="8" s="1"/>
  <c r="E414" i="8" s="1"/>
  <c r="E415" i="8" s="1"/>
  <c r="E416" i="8" s="1"/>
  <c r="E417" i="8" s="1"/>
  <c r="E418" i="8" s="1"/>
  <c r="E419" i="8" s="1"/>
  <c r="E420" i="8" s="1"/>
  <c r="E421" i="8" s="1"/>
  <c r="E422" i="8" s="1"/>
  <c r="E423" i="8" s="1"/>
  <c r="E424" i="8" s="1"/>
  <c r="E425" i="8" s="1"/>
  <c r="E426" i="8" s="1"/>
  <c r="E427" i="8" s="1"/>
  <c r="E428" i="8" s="1"/>
  <c r="E429" i="8" s="1"/>
  <c r="E430" i="8" s="1"/>
  <c r="E431" i="8" s="1"/>
  <c r="E432" i="8" s="1"/>
  <c r="E433" i="8" s="1"/>
  <c r="E434" i="8" s="1"/>
  <c r="E435" i="8" s="1"/>
  <c r="E436" i="8" s="1"/>
  <c r="E437" i="8" s="1"/>
  <c r="E438" i="8" s="1"/>
  <c r="E439" i="8" s="1"/>
  <c r="E440" i="8" s="1"/>
  <c r="E441" i="8" s="1"/>
  <c r="E442" i="8" s="1"/>
  <c r="E443" i="8" s="1"/>
  <c r="E444" i="8" s="1"/>
  <c r="E445" i="8" s="1"/>
  <c r="E446" i="8" s="1"/>
  <c r="E447" i="8" s="1"/>
  <c r="E448" i="8" s="1"/>
  <c r="E449" i="8" s="1"/>
  <c r="E450" i="8" s="1"/>
  <c r="E451" i="8" s="1"/>
  <c r="E452" i="8" s="1"/>
  <c r="E453" i="8" s="1"/>
  <c r="E454" i="8" s="1"/>
  <c r="E455" i="8" s="1"/>
  <c r="E456" i="8" s="1"/>
  <c r="E457" i="8" s="1"/>
  <c r="E458" i="8" s="1"/>
  <c r="E459" i="8" s="1"/>
  <c r="E460" i="8" s="1"/>
  <c r="E461" i="8" s="1"/>
  <c r="E462" i="8" s="1"/>
  <c r="E463" i="8" s="1"/>
  <c r="E464" i="8" s="1"/>
  <c r="E465" i="8" s="1"/>
  <c r="E466" i="8" s="1"/>
  <c r="E467" i="8" s="1"/>
  <c r="E468" i="8" s="1"/>
  <c r="E469" i="8" s="1"/>
  <c r="E470" i="8" s="1"/>
  <c r="E471" i="8" s="1"/>
  <c r="E472" i="8" s="1"/>
  <c r="E473" i="8" s="1"/>
  <c r="E474" i="8" s="1"/>
  <c r="E475" i="8" s="1"/>
  <c r="E476" i="8" s="1"/>
  <c r="E477" i="8" s="1"/>
  <c r="E478" i="8" s="1"/>
  <c r="E479" i="8" s="1"/>
  <c r="E480" i="8" s="1"/>
  <c r="E481" i="8" s="1"/>
  <c r="E482" i="8" s="1"/>
  <c r="E483" i="8" s="1"/>
  <c r="E484" i="8" s="1"/>
  <c r="E485" i="8" s="1"/>
  <c r="E486" i="8" s="1"/>
  <c r="E487" i="8" s="1"/>
  <c r="E488" i="8" s="1"/>
  <c r="E489" i="8" s="1"/>
  <c r="E490" i="8" s="1"/>
  <c r="E491" i="8" s="1"/>
  <c r="E492" i="8" s="1"/>
  <c r="E493" i="8" s="1"/>
  <c r="E494" i="8" s="1"/>
  <c r="E495" i="8" s="1"/>
  <c r="E496" i="8" s="1"/>
  <c r="E497" i="8" s="1"/>
  <c r="E498" i="8" s="1"/>
  <c r="E499" i="8" s="1"/>
  <c r="E500" i="8" s="1"/>
  <c r="E501" i="8" s="1"/>
  <c r="E502" i="8" s="1"/>
  <c r="E503" i="8" s="1"/>
  <c r="E504" i="8" s="1"/>
  <c r="E505" i="8" s="1"/>
  <c r="E506" i="8" s="1"/>
  <c r="E507" i="8" s="1"/>
  <c r="E508" i="8" s="1"/>
  <c r="E509" i="8" s="1"/>
  <c r="E510" i="8" s="1"/>
  <c r="E511" i="8" s="1"/>
  <c r="E512" i="8" s="1"/>
  <c r="E513" i="8" s="1"/>
  <c r="E514" i="8" s="1"/>
  <c r="E515" i="8" s="1"/>
  <c r="E516" i="8" s="1"/>
  <c r="E517" i="8" s="1"/>
  <c r="E518" i="8" s="1"/>
  <c r="E519" i="8" s="1"/>
  <c r="E520" i="8" s="1"/>
  <c r="E521" i="8" s="1"/>
  <c r="E522" i="8" s="1"/>
  <c r="E523" i="8" s="1"/>
  <c r="E524" i="8" s="1"/>
  <c r="E525" i="8" s="1"/>
  <c r="E526" i="8" s="1"/>
  <c r="E527" i="8" s="1"/>
  <c r="E528" i="8" s="1"/>
  <c r="E529" i="8" s="1"/>
  <c r="E530" i="8" s="1"/>
  <c r="E531" i="8" s="1"/>
  <c r="E532" i="8" s="1"/>
  <c r="E533" i="8" s="1"/>
  <c r="E534" i="8" s="1"/>
  <c r="E535" i="8" s="1"/>
  <c r="E536" i="8" s="1"/>
  <c r="E537" i="8" s="1"/>
  <c r="E538" i="8" s="1"/>
  <c r="E539" i="8" s="1"/>
  <c r="E540" i="8" s="1"/>
  <c r="E541" i="8" s="1"/>
  <c r="E542" i="8" s="1"/>
  <c r="E543" i="8" s="1"/>
  <c r="E544" i="8" s="1"/>
  <c r="E545" i="8" s="1"/>
  <c r="E546" i="8" s="1"/>
  <c r="E547" i="8" s="1"/>
  <c r="E548" i="8" s="1"/>
  <c r="E549" i="8" s="1"/>
  <c r="E550" i="8" s="1"/>
  <c r="E551" i="8" s="1"/>
  <c r="E552" i="8" s="1"/>
  <c r="E553" i="8" s="1"/>
  <c r="E554" i="8" s="1"/>
  <c r="E555" i="8" s="1"/>
  <c r="E556" i="8" s="1"/>
  <c r="E557" i="8" s="1"/>
  <c r="E558" i="8" s="1"/>
  <c r="E559" i="8" s="1"/>
  <c r="E560" i="8" s="1"/>
  <c r="E561" i="8" s="1"/>
  <c r="E562" i="8" s="1"/>
  <c r="E563" i="8" s="1"/>
  <c r="E564" i="8" s="1"/>
  <c r="E565" i="8" s="1"/>
  <c r="E566" i="8" s="1"/>
  <c r="E567" i="8" s="1"/>
  <c r="E568" i="8" s="1"/>
  <c r="E569" i="8" s="1"/>
  <c r="E570" i="8" s="1"/>
  <c r="E571" i="8" s="1"/>
  <c r="E572" i="8" s="1"/>
  <c r="E573" i="8" s="1"/>
  <c r="E574" i="8" s="1"/>
  <c r="E575" i="8" s="1"/>
  <c r="E576" i="8" s="1"/>
  <c r="E577" i="8" s="1"/>
  <c r="E578" i="8" s="1"/>
  <c r="E579" i="8" s="1"/>
  <c r="E580" i="8" s="1"/>
  <c r="E581" i="8" s="1"/>
  <c r="E582" i="8" s="1"/>
  <c r="E583" i="8" s="1"/>
  <c r="E584" i="8" s="1"/>
  <c r="E585" i="8" s="1"/>
  <c r="E586" i="8" s="1"/>
  <c r="E587" i="8" s="1"/>
  <c r="E588" i="8" s="1"/>
  <c r="E589" i="8" s="1"/>
  <c r="E590" i="8" s="1"/>
  <c r="E591" i="8" s="1"/>
  <c r="E592" i="8" s="1"/>
  <c r="E593" i="8" s="1"/>
  <c r="E594" i="8" s="1"/>
  <c r="E595" i="8" s="1"/>
  <c r="E596" i="8" s="1"/>
  <c r="E597" i="8" s="1"/>
  <c r="E598" i="8" s="1"/>
  <c r="E599" i="8" s="1"/>
  <c r="E600" i="8" s="1"/>
  <c r="E601" i="8" s="1"/>
  <c r="E602" i="8" s="1"/>
  <c r="E603" i="8" s="1"/>
  <c r="E604" i="8" s="1"/>
  <c r="E605" i="8" s="1"/>
  <c r="E606" i="8" s="1"/>
  <c r="E607" i="8" s="1"/>
  <c r="E608" i="8" s="1"/>
  <c r="E609" i="8" s="1"/>
  <c r="E610" i="8" s="1"/>
  <c r="E611" i="8" s="1"/>
  <c r="E612" i="8" s="1"/>
  <c r="E613" i="8" s="1"/>
  <c r="E614" i="8" s="1"/>
  <c r="E615" i="8" s="1"/>
  <c r="E616" i="8" s="1"/>
  <c r="E617" i="8" s="1"/>
  <c r="E618" i="8" s="1"/>
  <c r="E619" i="8" s="1"/>
  <c r="E620" i="8" s="1"/>
  <c r="E621" i="8" s="1"/>
  <c r="E622" i="8" s="1"/>
  <c r="E623" i="8" s="1"/>
  <c r="E624" i="8" s="1"/>
  <c r="E625" i="8" s="1"/>
  <c r="E626" i="8" s="1"/>
  <c r="E627" i="8" s="1"/>
  <c r="E628" i="8" s="1"/>
  <c r="E629" i="8" s="1"/>
  <c r="E630" i="8" s="1"/>
  <c r="E631" i="8" s="1"/>
  <c r="E632" i="8" s="1"/>
  <c r="E633" i="8" s="1"/>
  <c r="E634" i="8" s="1"/>
  <c r="E635" i="8" s="1"/>
  <c r="E636" i="8" s="1"/>
  <c r="E637" i="8" s="1"/>
  <c r="E638" i="8" s="1"/>
  <c r="E639" i="8" s="1"/>
  <c r="E640" i="8" s="1"/>
  <c r="E641" i="8" s="1"/>
  <c r="E642" i="8" s="1"/>
  <c r="E643" i="8" s="1"/>
  <c r="E644" i="8" s="1"/>
  <c r="E645" i="8" s="1"/>
  <c r="E646" i="8" s="1"/>
  <c r="E647" i="8" s="1"/>
  <c r="E648" i="8" s="1"/>
  <c r="E649" i="8" s="1"/>
  <c r="E650" i="8" s="1"/>
  <c r="E651" i="8" s="1"/>
  <c r="E652" i="8" s="1"/>
  <c r="E653" i="8" s="1"/>
  <c r="E654" i="8" s="1"/>
  <c r="E655" i="8" s="1"/>
  <c r="E656" i="8" s="1"/>
  <c r="E657" i="8" s="1"/>
  <c r="E658" i="8" s="1"/>
  <c r="E659" i="8" s="1"/>
  <c r="E660" i="8" s="1"/>
  <c r="E661" i="8" s="1"/>
  <c r="E662" i="8" s="1"/>
  <c r="E663" i="8" s="1"/>
  <c r="E664" i="8" s="1"/>
  <c r="E665" i="8" s="1"/>
  <c r="E666" i="8" s="1"/>
  <c r="E667" i="8" s="1"/>
  <c r="E668" i="8" s="1"/>
  <c r="E669" i="8" s="1"/>
  <c r="E670" i="8" s="1"/>
  <c r="E671" i="8" s="1"/>
  <c r="E672" i="8" s="1"/>
  <c r="E673" i="8" s="1"/>
  <c r="E674" i="8" s="1"/>
  <c r="E675" i="8" s="1"/>
  <c r="E676" i="8" s="1"/>
  <c r="E677" i="8" s="1"/>
  <c r="E678" i="8" s="1"/>
  <c r="E679" i="8" s="1"/>
  <c r="E680" i="8" s="1"/>
  <c r="E681" i="8" s="1"/>
  <c r="E682" i="8" s="1"/>
  <c r="E683" i="8" s="1"/>
  <c r="E684" i="8" s="1"/>
  <c r="E685" i="8" s="1"/>
  <c r="E686" i="8" s="1"/>
  <c r="E687" i="8" s="1"/>
  <c r="E688" i="8" s="1"/>
  <c r="E689" i="8" s="1"/>
  <c r="E690" i="8" s="1"/>
  <c r="E691" i="8" s="1"/>
  <c r="E692" i="8" s="1"/>
  <c r="E693" i="8" s="1"/>
  <c r="E694" i="8" s="1"/>
  <c r="E695" i="8" s="1"/>
  <c r="E696" i="8" s="1"/>
  <c r="E697" i="8" s="1"/>
  <c r="E698" i="8" s="1"/>
  <c r="E699" i="8" s="1"/>
  <c r="E700" i="8" s="1"/>
  <c r="E701" i="8" s="1"/>
  <c r="E702" i="8" s="1"/>
  <c r="E703" i="8" s="1"/>
  <c r="E704" i="8" s="1"/>
  <c r="E705" i="8" s="1"/>
  <c r="E706" i="8" s="1"/>
  <c r="E707" i="8" s="1"/>
  <c r="E708" i="8" s="1"/>
  <c r="E709" i="8" s="1"/>
  <c r="E710" i="8" s="1"/>
  <c r="E711" i="8" s="1"/>
  <c r="E712" i="8" s="1"/>
  <c r="E713" i="8" s="1"/>
  <c r="E714" i="8" s="1"/>
  <c r="E715" i="8" s="1"/>
  <c r="E716" i="8" s="1"/>
  <c r="E717" i="8" s="1"/>
  <c r="E718" i="8" s="1"/>
  <c r="E719" i="8" s="1"/>
  <c r="E720" i="8" s="1"/>
  <c r="E721" i="8" s="1"/>
  <c r="E722" i="8" s="1"/>
  <c r="E723" i="8" s="1"/>
  <c r="E724" i="8" s="1"/>
  <c r="E725" i="8" s="1"/>
  <c r="E726" i="8" s="1"/>
  <c r="E727" i="8" s="1"/>
  <c r="E728" i="8" s="1"/>
  <c r="E729" i="8" s="1"/>
  <c r="E730" i="8" s="1"/>
  <c r="E731" i="8" s="1"/>
  <c r="E732" i="8" s="1"/>
  <c r="E733" i="8" s="1"/>
  <c r="E734" i="8" s="1"/>
  <c r="E735" i="8" s="1"/>
  <c r="E736" i="8" s="1"/>
  <c r="E737" i="8" s="1"/>
  <c r="E738" i="8" s="1"/>
  <c r="E739" i="8" s="1"/>
  <c r="E740" i="8" s="1"/>
  <c r="E741" i="8" s="1"/>
  <c r="E742" i="8" s="1"/>
  <c r="E743" i="8" s="1"/>
  <c r="E744" i="8" s="1"/>
  <c r="E745" i="8" s="1"/>
  <c r="E746" i="8" s="1"/>
  <c r="E747" i="8" s="1"/>
  <c r="E748" i="8" s="1"/>
  <c r="E749" i="8" s="1"/>
  <c r="E750" i="8" s="1"/>
  <c r="E751" i="8" s="1"/>
  <c r="E752" i="8" s="1"/>
  <c r="E753" i="8" s="1"/>
  <c r="E754" i="8" s="1"/>
  <c r="E755" i="8" s="1"/>
  <c r="E756" i="8" s="1"/>
  <c r="E757" i="8" s="1"/>
  <c r="E758" i="8" s="1"/>
  <c r="E759" i="8" s="1"/>
  <c r="E760" i="8" s="1"/>
  <c r="E761" i="8" s="1"/>
  <c r="E762" i="8" s="1"/>
  <c r="E763" i="8" s="1"/>
  <c r="E764" i="8" s="1"/>
  <c r="E765" i="8" s="1"/>
  <c r="E766" i="8" s="1"/>
  <c r="E767" i="8" s="1"/>
  <c r="E768" i="8" s="1"/>
  <c r="E769" i="8" s="1"/>
  <c r="E770" i="8" s="1"/>
  <c r="E771" i="8" s="1"/>
  <c r="E772" i="8" s="1"/>
  <c r="E773" i="8" s="1"/>
  <c r="E774" i="8" s="1"/>
  <c r="E775" i="8" s="1"/>
  <c r="E776" i="8" s="1"/>
  <c r="E777" i="8" s="1"/>
  <c r="E778" i="8" s="1"/>
  <c r="E779" i="8" s="1"/>
  <c r="E780" i="8" s="1"/>
  <c r="E781" i="8" s="1"/>
  <c r="E782" i="8" s="1"/>
  <c r="E783" i="8" s="1"/>
  <c r="E784" i="8" s="1"/>
  <c r="E785" i="8" s="1"/>
  <c r="E786" i="8" s="1"/>
  <c r="E787" i="8" s="1"/>
  <c r="E788" i="8" s="1"/>
  <c r="E789" i="8" s="1"/>
  <c r="E790" i="8" s="1"/>
  <c r="E791" i="8" s="1"/>
  <c r="E792" i="8" s="1"/>
  <c r="E793" i="8" s="1"/>
  <c r="E794" i="8" s="1"/>
  <c r="E795" i="8" s="1"/>
  <c r="E796" i="8" s="1"/>
  <c r="E797" i="8" s="1"/>
  <c r="E798" i="8" s="1"/>
  <c r="E799" i="8" s="1"/>
  <c r="E800" i="8" s="1"/>
  <c r="E801" i="8" s="1"/>
  <c r="E802" i="8" s="1"/>
  <c r="E803" i="8" s="1"/>
  <c r="E804" i="8" s="1"/>
  <c r="E805" i="8" s="1"/>
  <c r="E806" i="8" s="1"/>
  <c r="E807" i="8" s="1"/>
  <c r="E808" i="8" s="1"/>
  <c r="E809" i="8" s="1"/>
  <c r="E810" i="8" s="1"/>
  <c r="E811" i="8" s="1"/>
  <c r="E812" i="8" s="1"/>
  <c r="E813" i="8" s="1"/>
  <c r="E814" i="8" s="1"/>
  <c r="E815" i="8" s="1"/>
  <c r="E816" i="8" s="1"/>
  <c r="E817" i="8" s="1"/>
  <c r="E818" i="8" s="1"/>
  <c r="E819" i="8" s="1"/>
  <c r="E820" i="8" s="1"/>
  <c r="E821" i="8" s="1"/>
  <c r="E822" i="8" s="1"/>
  <c r="E823" i="8" s="1"/>
  <c r="E824" i="8" s="1"/>
  <c r="E825" i="8" s="1"/>
  <c r="E826" i="8" s="1"/>
  <c r="E827" i="8" s="1"/>
  <c r="E828" i="8" s="1"/>
  <c r="E829" i="8" s="1"/>
  <c r="E830" i="8" s="1"/>
  <c r="E831" i="8" s="1"/>
  <c r="E832" i="8" s="1"/>
  <c r="E833" i="8" s="1"/>
  <c r="E834" i="8" s="1"/>
  <c r="E835" i="8" s="1"/>
  <c r="E836" i="8" s="1"/>
  <c r="E837" i="8" s="1"/>
  <c r="E838" i="8" s="1"/>
  <c r="E839" i="8" s="1"/>
  <c r="E840" i="8" s="1"/>
  <c r="E841" i="8" s="1"/>
  <c r="E842" i="8" s="1"/>
  <c r="E843" i="8" s="1"/>
  <c r="E844" i="8" s="1"/>
  <c r="E845" i="8" s="1"/>
  <c r="E846" i="8" s="1"/>
  <c r="E847" i="8" s="1"/>
  <c r="E848" i="8" s="1"/>
  <c r="E849" i="8" s="1"/>
  <c r="E850" i="8" s="1"/>
  <c r="E851" i="8" s="1"/>
  <c r="E852" i="8" s="1"/>
  <c r="E853" i="8" s="1"/>
  <c r="E854" i="8" s="1"/>
  <c r="E855" i="8" s="1"/>
  <c r="E856" i="8" s="1"/>
  <c r="E857" i="8" s="1"/>
  <c r="E858" i="8" s="1"/>
  <c r="E859" i="8" s="1"/>
  <c r="E860" i="8" s="1"/>
  <c r="E861" i="8" s="1"/>
  <c r="E862" i="8" s="1"/>
  <c r="E863" i="8" s="1"/>
  <c r="E864" i="8" s="1"/>
  <c r="E865" i="8" s="1"/>
  <c r="E866" i="8" s="1"/>
  <c r="E867" i="8" s="1"/>
  <c r="E868" i="8" s="1"/>
  <c r="E869" i="8" s="1"/>
  <c r="E870" i="8" s="1"/>
  <c r="E871" i="8" s="1"/>
  <c r="E872" i="8" s="1"/>
  <c r="E873" i="8" s="1"/>
  <c r="E874" i="8" s="1"/>
  <c r="E875" i="8" s="1"/>
  <c r="E876" i="8" s="1"/>
  <c r="E877" i="8" s="1"/>
  <c r="E878" i="8" s="1"/>
  <c r="E879" i="8" s="1"/>
  <c r="E880" i="8" s="1"/>
  <c r="E881" i="8" s="1"/>
  <c r="E882" i="8" s="1"/>
  <c r="E883" i="8" s="1"/>
  <c r="E884" i="8" s="1"/>
  <c r="E885" i="8" s="1"/>
  <c r="E886" i="8" s="1"/>
  <c r="E887" i="8" s="1"/>
  <c r="E888" i="8" s="1"/>
  <c r="E889" i="8" s="1"/>
  <c r="E890" i="8" s="1"/>
  <c r="E891" i="8" s="1"/>
  <c r="E892" i="8" s="1"/>
  <c r="E893" i="8" s="1"/>
  <c r="E894" i="8" s="1"/>
  <c r="E895" i="8" s="1"/>
  <c r="E896" i="8" s="1"/>
  <c r="E897" i="8" s="1"/>
  <c r="E898" i="8" s="1"/>
  <c r="E899" i="8" s="1"/>
  <c r="E900" i="8" s="1"/>
  <c r="E901" i="8" s="1"/>
  <c r="E902" i="8" s="1"/>
  <c r="E903" i="8" s="1"/>
  <c r="E904" i="8" s="1"/>
  <c r="E905" i="8" s="1"/>
  <c r="E906" i="8" s="1"/>
  <c r="E907" i="8" s="1"/>
  <c r="E908" i="8" s="1"/>
  <c r="E909" i="8" s="1"/>
  <c r="E910" i="8" s="1"/>
  <c r="E911" i="8" s="1"/>
  <c r="E912" i="8" s="1"/>
  <c r="E913" i="8" s="1"/>
  <c r="E914" i="8" s="1"/>
  <c r="E915" i="8" s="1"/>
  <c r="E916" i="8" s="1"/>
  <c r="E917" i="8" s="1"/>
  <c r="E918" i="8" s="1"/>
  <c r="E919" i="8" s="1"/>
  <c r="E920" i="8" s="1"/>
  <c r="E921" i="8" s="1"/>
  <c r="E922" i="8" s="1"/>
  <c r="E923" i="8" s="1"/>
  <c r="E924" i="8" s="1"/>
  <c r="E925" i="8" s="1"/>
  <c r="E926" i="8" s="1"/>
  <c r="E927" i="8" s="1"/>
  <c r="E928" i="8" s="1"/>
  <c r="E929" i="8" s="1"/>
  <c r="E930" i="8" s="1"/>
  <c r="E931" i="8" s="1"/>
  <c r="E932" i="8" s="1"/>
  <c r="E933" i="8" s="1"/>
  <c r="E934" i="8" s="1"/>
  <c r="E935" i="8" s="1"/>
  <c r="E936" i="8" s="1"/>
  <c r="E937" i="8" s="1"/>
  <c r="E938" i="8" s="1"/>
  <c r="E939" i="8" s="1"/>
  <c r="E940" i="8" s="1"/>
  <c r="E941" i="8" s="1"/>
  <c r="E942" i="8" s="1"/>
  <c r="E943" i="8" s="1"/>
  <c r="E944" i="8" s="1"/>
  <c r="E945" i="8" s="1"/>
  <c r="E946" i="8" s="1"/>
  <c r="E947" i="8" s="1"/>
  <c r="E948" i="8" s="1"/>
  <c r="E949" i="8" s="1"/>
  <c r="E950" i="8" s="1"/>
  <c r="E951" i="8" s="1"/>
  <c r="E952" i="8" s="1"/>
  <c r="E953" i="8" s="1"/>
  <c r="E954" i="8" s="1"/>
  <c r="E955" i="8" s="1"/>
  <c r="E956" i="8" s="1"/>
  <c r="E957" i="8" s="1"/>
  <c r="E958" i="8" s="1"/>
  <c r="E959" i="8" s="1"/>
  <c r="E960" i="8" s="1"/>
  <c r="E961" i="8" s="1"/>
  <c r="E962" i="8" s="1"/>
  <c r="E963" i="8" s="1"/>
  <c r="E964" i="8" s="1"/>
  <c r="E965" i="8" s="1"/>
  <c r="E966" i="8" s="1"/>
  <c r="E967" i="8" s="1"/>
  <c r="E968" i="8" s="1"/>
  <c r="E969" i="8" s="1"/>
  <c r="E970" i="8" s="1"/>
  <c r="E971" i="8" s="1"/>
  <c r="E972" i="8" s="1"/>
  <c r="E973" i="8" s="1"/>
  <c r="E974" i="8" s="1"/>
  <c r="E975" i="8" s="1"/>
  <c r="E976" i="8" s="1"/>
  <c r="E977" i="8" s="1"/>
  <c r="E978" i="8" s="1"/>
  <c r="E979" i="8" s="1"/>
  <c r="E980" i="8" s="1"/>
  <c r="E981" i="8" s="1"/>
  <c r="E982" i="8" s="1"/>
  <c r="E983" i="8" s="1"/>
  <c r="E984" i="8" s="1"/>
  <c r="E985" i="8" s="1"/>
  <c r="E986" i="8" s="1"/>
  <c r="E987" i="8" s="1"/>
  <c r="E988" i="8" s="1"/>
  <c r="E989" i="8" s="1"/>
  <c r="E990" i="8" s="1"/>
  <c r="E991" i="8" s="1"/>
  <c r="E992" i="8" s="1"/>
  <c r="E993" i="8" s="1"/>
  <c r="E994" i="8" s="1"/>
  <c r="E995" i="8" s="1"/>
  <c r="E996" i="8" s="1"/>
  <c r="E997" i="8" s="1"/>
  <c r="E998" i="8" s="1"/>
  <c r="E999" i="8" s="1"/>
  <c r="E1000" i="8" s="1"/>
  <c r="E1001" i="8" s="1"/>
  <c r="E1002" i="8" s="1"/>
  <c r="E1003" i="8" s="1"/>
  <c r="E1004" i="8" s="1"/>
  <c r="E1005" i="8" s="1"/>
  <c r="E1006" i="8" s="1"/>
  <c r="E1007" i="8" s="1"/>
  <c r="E1008" i="8" s="1"/>
  <c r="E1009" i="8" s="1"/>
  <c r="E1010" i="8" s="1"/>
  <c r="E1011" i="8" s="1"/>
  <c r="E1012" i="8" s="1"/>
  <c r="E1013" i="8" s="1"/>
  <c r="E1014" i="8" s="1"/>
  <c r="E1015" i="8" s="1"/>
  <c r="E1016" i="8" s="1"/>
  <c r="E1017" i="8" s="1"/>
  <c r="E1018" i="8" s="1"/>
  <c r="E1019" i="8" s="1"/>
  <c r="E1020" i="8" s="1"/>
  <c r="E1021" i="8" s="1"/>
  <c r="E1022" i="8" s="1"/>
  <c r="E1023" i="8" s="1"/>
  <c r="E1024" i="8" s="1"/>
  <c r="E1025" i="8" s="1"/>
  <c r="E1026" i="8" s="1"/>
  <c r="E1027" i="8" s="1"/>
  <c r="E1028" i="8" s="1"/>
  <c r="E1029" i="8" s="1"/>
  <c r="E1030" i="8" s="1"/>
  <c r="E1031" i="8" s="1"/>
  <c r="E1032" i="8" s="1"/>
  <c r="E1033" i="8" s="1"/>
  <c r="E1034" i="8" s="1"/>
  <c r="E1035" i="8" s="1"/>
  <c r="E1036" i="8" s="1"/>
  <c r="E1037" i="8" s="1"/>
  <c r="E1038" i="8" s="1"/>
  <c r="E1039" i="8" s="1"/>
  <c r="E1040" i="8" s="1"/>
  <c r="E1041" i="8" s="1"/>
  <c r="E1042" i="8" s="1"/>
  <c r="E1043" i="8" s="1"/>
  <c r="E1044" i="8" s="1"/>
  <c r="E1045" i="8" s="1"/>
  <c r="E1046" i="8" s="1"/>
  <c r="E1047" i="8" s="1"/>
  <c r="E1048" i="8" s="1"/>
  <c r="E1049" i="8" s="1"/>
  <c r="E1050" i="8" s="1"/>
  <c r="E1051" i="8" s="1"/>
  <c r="E1052" i="8" s="1"/>
  <c r="E1053" i="8" s="1"/>
  <c r="E1054" i="8" s="1"/>
  <c r="E1055" i="8" s="1"/>
  <c r="E1056" i="8" s="1"/>
  <c r="E1057" i="8" s="1"/>
  <c r="E1058" i="8" s="1"/>
  <c r="E1059" i="8" s="1"/>
  <c r="E1060" i="8" s="1"/>
  <c r="D2" i="8"/>
  <c r="C2" i="8"/>
  <c r="C3" i="8" s="1"/>
  <c r="C4" i="8" s="1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C97" i="8" s="1"/>
  <c r="C98" i="8" s="1"/>
  <c r="C99" i="8" s="1"/>
  <c r="C100" i="8" s="1"/>
  <c r="C101" i="8" s="1"/>
  <c r="C102" i="8" s="1"/>
  <c r="C103" i="8" s="1"/>
  <c r="C104" i="8" s="1"/>
  <c r="C105" i="8" s="1"/>
  <c r="C106" i="8" s="1"/>
  <c r="C107" i="8" s="1"/>
  <c r="C108" i="8" s="1"/>
  <c r="C109" i="8" s="1"/>
  <c r="C110" i="8" s="1"/>
  <c r="C111" i="8" s="1"/>
  <c r="C112" i="8" s="1"/>
  <c r="C113" i="8" s="1"/>
  <c r="C114" i="8" s="1"/>
  <c r="C115" i="8" s="1"/>
  <c r="C116" i="8" s="1"/>
  <c r="C117" i="8" s="1"/>
  <c r="C118" i="8" s="1"/>
  <c r="C119" i="8" s="1"/>
  <c r="C120" i="8" s="1"/>
  <c r="C121" i="8" s="1"/>
  <c r="C122" i="8" s="1"/>
  <c r="C123" i="8" s="1"/>
  <c r="C124" i="8" s="1"/>
  <c r="C125" i="8" s="1"/>
  <c r="C126" i="8" s="1"/>
  <c r="C127" i="8" s="1"/>
  <c r="C128" i="8" s="1"/>
  <c r="C129" i="8" s="1"/>
  <c r="C130" i="8" s="1"/>
  <c r="C131" i="8" s="1"/>
  <c r="C132" i="8" s="1"/>
  <c r="C133" i="8" s="1"/>
  <c r="C134" i="8" s="1"/>
  <c r="C135" i="8" s="1"/>
  <c r="C136" i="8" s="1"/>
  <c r="C137" i="8" s="1"/>
  <c r="C138" i="8" s="1"/>
  <c r="C139" i="8" s="1"/>
  <c r="C140" i="8" s="1"/>
  <c r="C141" i="8" s="1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C152" i="8" s="1"/>
  <c r="C153" i="8" s="1"/>
  <c r="C154" i="8" s="1"/>
  <c r="C155" i="8" s="1"/>
  <c r="C156" i="8" s="1"/>
  <c r="C157" i="8" s="1"/>
  <c r="C158" i="8" s="1"/>
  <c r="C159" i="8" s="1"/>
  <c r="C160" i="8" s="1"/>
  <c r="C161" i="8" s="1"/>
  <c r="C162" i="8" s="1"/>
  <c r="C163" i="8" s="1"/>
  <c r="C164" i="8" s="1"/>
  <c r="C165" i="8" s="1"/>
  <c r="C166" i="8" s="1"/>
  <c r="C167" i="8" s="1"/>
  <c r="C168" i="8" s="1"/>
  <c r="C169" i="8" s="1"/>
  <c r="C170" i="8" s="1"/>
  <c r="C171" i="8" s="1"/>
  <c r="C172" i="8" s="1"/>
  <c r="C173" i="8" s="1"/>
  <c r="C174" i="8" s="1"/>
  <c r="C175" i="8" s="1"/>
  <c r="C176" i="8" s="1"/>
  <c r="C177" i="8" s="1"/>
  <c r="C178" i="8" s="1"/>
  <c r="C179" i="8" s="1"/>
  <c r="C180" i="8" s="1"/>
  <c r="C181" i="8" s="1"/>
  <c r="C182" i="8" s="1"/>
  <c r="C183" i="8" s="1"/>
  <c r="C184" i="8" s="1"/>
  <c r="C185" i="8" s="1"/>
  <c r="C186" i="8" s="1"/>
  <c r="C187" i="8" s="1"/>
  <c r="C188" i="8" s="1"/>
  <c r="C189" i="8" s="1"/>
  <c r="C190" i="8" s="1"/>
  <c r="C191" i="8" s="1"/>
  <c r="C192" i="8" s="1"/>
  <c r="C193" i="8" s="1"/>
  <c r="C194" i="8" s="1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C212" i="8" s="1"/>
  <c r="C213" i="8" s="1"/>
  <c r="C214" i="8" s="1"/>
  <c r="C215" i="8" s="1"/>
  <c r="C216" i="8" s="1"/>
  <c r="C217" i="8" s="1"/>
  <c r="C218" i="8" s="1"/>
  <c r="C219" i="8" s="1"/>
  <c r="C220" i="8" s="1"/>
  <c r="C221" i="8" s="1"/>
  <c r="C222" i="8" s="1"/>
  <c r="C223" i="8" s="1"/>
  <c r="C224" i="8" s="1"/>
  <c r="C225" i="8" s="1"/>
  <c r="C226" i="8" s="1"/>
  <c r="C227" i="8" s="1"/>
  <c r="C228" i="8" s="1"/>
  <c r="C229" i="8" s="1"/>
  <c r="C230" i="8" s="1"/>
  <c r="C231" i="8" s="1"/>
  <c r="C232" i="8" s="1"/>
  <c r="C233" i="8" s="1"/>
  <c r="C234" i="8" s="1"/>
  <c r="C235" i="8" s="1"/>
  <c r="C236" i="8" s="1"/>
  <c r="C237" i="8" s="1"/>
  <c r="C238" i="8" s="1"/>
  <c r="C239" i="8" s="1"/>
  <c r="C240" i="8" s="1"/>
  <c r="C241" i="8" s="1"/>
  <c r="C242" i="8" s="1"/>
  <c r="C243" i="8" s="1"/>
  <c r="C244" i="8" s="1"/>
  <c r="C245" i="8" s="1"/>
  <c r="C246" i="8" s="1"/>
  <c r="C247" i="8" s="1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C260" i="8" s="1"/>
  <c r="C261" i="8" s="1"/>
  <c r="C262" i="8" s="1"/>
  <c r="C263" i="8" s="1"/>
  <c r="C264" i="8" s="1"/>
  <c r="C265" i="8" s="1"/>
  <c r="C266" i="8" s="1"/>
  <c r="C267" i="8" s="1"/>
  <c r="C268" i="8" s="1"/>
  <c r="C269" i="8" s="1"/>
  <c r="C270" i="8" s="1"/>
  <c r="C271" i="8" s="1"/>
  <c r="C272" i="8" s="1"/>
  <c r="C273" i="8" s="1"/>
  <c r="C274" i="8" s="1"/>
  <c r="C275" i="8" s="1"/>
  <c r="C276" i="8" s="1"/>
  <c r="C277" i="8" s="1"/>
  <c r="C278" i="8" s="1"/>
  <c r="C279" i="8" s="1"/>
  <c r="C280" i="8" s="1"/>
  <c r="C281" i="8" s="1"/>
  <c r="C282" i="8" s="1"/>
  <c r="C283" i="8" s="1"/>
  <c r="C284" i="8" s="1"/>
  <c r="C285" i="8" s="1"/>
  <c r="C286" i="8" s="1"/>
  <c r="C287" i="8" s="1"/>
  <c r="C288" i="8" s="1"/>
  <c r="C289" i="8" s="1"/>
  <c r="C290" i="8" s="1"/>
  <c r="C291" i="8" s="1"/>
  <c r="C292" i="8" s="1"/>
  <c r="C293" i="8" s="1"/>
  <c r="C294" i="8" s="1"/>
  <c r="C295" i="8" s="1"/>
  <c r="C296" i="8" s="1"/>
  <c r="C297" i="8" s="1"/>
  <c r="C298" i="8" s="1"/>
  <c r="C299" i="8" s="1"/>
  <c r="C300" i="8" s="1"/>
  <c r="C301" i="8" s="1"/>
  <c r="C302" i="8" s="1"/>
  <c r="C303" i="8" s="1"/>
  <c r="C304" i="8" s="1"/>
  <c r="C305" i="8" s="1"/>
  <c r="C306" i="8" s="1"/>
  <c r="C307" i="8" s="1"/>
  <c r="C308" i="8" s="1"/>
  <c r="C309" i="8" s="1"/>
  <c r="C310" i="8" s="1"/>
  <c r="C311" i="8" s="1"/>
  <c r="C312" i="8" s="1"/>
  <c r="C313" i="8" s="1"/>
  <c r="C314" i="8" s="1"/>
  <c r="C315" i="8" s="1"/>
  <c r="C316" i="8" s="1"/>
  <c r="C317" i="8" s="1"/>
  <c r="C318" i="8" s="1"/>
  <c r="C319" i="8" s="1"/>
  <c r="C320" i="8" s="1"/>
  <c r="C321" i="8" s="1"/>
  <c r="C322" i="8" s="1"/>
  <c r="C323" i="8" s="1"/>
  <c r="C324" i="8" s="1"/>
  <c r="C325" i="8" s="1"/>
  <c r="C326" i="8" s="1"/>
  <c r="C327" i="8" s="1"/>
  <c r="C328" i="8" s="1"/>
  <c r="C329" i="8" s="1"/>
  <c r="C330" i="8" s="1"/>
  <c r="C331" i="8" s="1"/>
  <c r="C332" i="8" s="1"/>
  <c r="C333" i="8" s="1"/>
  <c r="C334" i="8" s="1"/>
  <c r="C335" i="8" s="1"/>
  <c r="C336" i="8" s="1"/>
  <c r="C337" i="8" s="1"/>
  <c r="C338" i="8" s="1"/>
  <c r="C339" i="8" s="1"/>
  <c r="C340" i="8" s="1"/>
  <c r="C341" i="8" s="1"/>
  <c r="C342" i="8" s="1"/>
  <c r="C343" i="8" s="1"/>
  <c r="C344" i="8" s="1"/>
  <c r="C345" i="8" s="1"/>
  <c r="C346" i="8" s="1"/>
  <c r="C347" i="8" s="1"/>
  <c r="C348" i="8" s="1"/>
  <c r="C349" i="8" s="1"/>
  <c r="C350" i="8" s="1"/>
  <c r="C351" i="8" s="1"/>
  <c r="C352" i="8" s="1"/>
  <c r="C353" i="8" s="1"/>
  <c r="C354" i="8" s="1"/>
  <c r="C355" i="8" s="1"/>
  <c r="C356" i="8" s="1"/>
  <c r="C357" i="8" s="1"/>
  <c r="C358" i="8" s="1"/>
  <c r="C359" i="8" s="1"/>
  <c r="C360" i="8" s="1"/>
  <c r="C361" i="8" s="1"/>
  <c r="C362" i="8" s="1"/>
  <c r="C363" i="8" s="1"/>
  <c r="C364" i="8" s="1"/>
  <c r="C365" i="8" s="1"/>
  <c r="C366" i="8" s="1"/>
  <c r="C367" i="8" s="1"/>
  <c r="C368" i="8" s="1"/>
  <c r="C369" i="8" s="1"/>
  <c r="C370" i="8" s="1"/>
  <c r="C371" i="8" s="1"/>
  <c r="C372" i="8" s="1"/>
  <c r="C373" i="8" s="1"/>
  <c r="C374" i="8" s="1"/>
  <c r="C375" i="8" s="1"/>
  <c r="C376" i="8" s="1"/>
  <c r="C377" i="8" s="1"/>
  <c r="C378" i="8" s="1"/>
  <c r="C379" i="8" s="1"/>
  <c r="C380" i="8" s="1"/>
  <c r="C381" i="8" s="1"/>
  <c r="C382" i="8" s="1"/>
  <c r="C383" i="8" s="1"/>
  <c r="C384" i="8" s="1"/>
  <c r="C385" i="8" s="1"/>
  <c r="C386" i="8" s="1"/>
  <c r="C387" i="8" s="1"/>
  <c r="C388" i="8" s="1"/>
  <c r="C389" i="8" s="1"/>
  <c r="C390" i="8" s="1"/>
  <c r="C391" i="8" s="1"/>
  <c r="C392" i="8" s="1"/>
  <c r="C393" i="8" s="1"/>
  <c r="C394" i="8" s="1"/>
  <c r="C395" i="8" s="1"/>
  <c r="C396" i="8" s="1"/>
  <c r="C397" i="8" s="1"/>
  <c r="C398" i="8" s="1"/>
  <c r="C399" i="8" s="1"/>
  <c r="C400" i="8" s="1"/>
  <c r="C401" i="8" s="1"/>
  <c r="C402" i="8" s="1"/>
  <c r="C403" i="8" s="1"/>
  <c r="C404" i="8" s="1"/>
  <c r="C405" i="8" s="1"/>
  <c r="C406" i="8" s="1"/>
  <c r="C407" i="8" s="1"/>
  <c r="C408" i="8" s="1"/>
  <c r="C409" i="8" s="1"/>
  <c r="C410" i="8" s="1"/>
  <c r="C411" i="8" s="1"/>
  <c r="C412" i="8" s="1"/>
  <c r="C413" i="8" s="1"/>
  <c r="C414" i="8" s="1"/>
  <c r="C415" i="8" s="1"/>
  <c r="C416" i="8" s="1"/>
  <c r="C417" i="8" s="1"/>
  <c r="C418" i="8" s="1"/>
  <c r="C419" i="8" s="1"/>
  <c r="C420" i="8" s="1"/>
  <c r="C421" i="8" s="1"/>
  <c r="C422" i="8" s="1"/>
  <c r="C423" i="8" s="1"/>
  <c r="C424" i="8" s="1"/>
  <c r="C425" i="8" s="1"/>
  <c r="C426" i="8" s="1"/>
  <c r="C427" i="8" s="1"/>
  <c r="C428" i="8" s="1"/>
  <c r="C429" i="8" s="1"/>
  <c r="C430" i="8" s="1"/>
  <c r="C431" i="8" s="1"/>
  <c r="C432" i="8" s="1"/>
  <c r="C433" i="8" s="1"/>
  <c r="C434" i="8" s="1"/>
  <c r="C435" i="8" s="1"/>
  <c r="C436" i="8" s="1"/>
  <c r="C437" i="8" s="1"/>
  <c r="C438" i="8" s="1"/>
  <c r="C439" i="8" s="1"/>
  <c r="C440" i="8" s="1"/>
  <c r="C441" i="8" s="1"/>
  <c r="C442" i="8" s="1"/>
  <c r="C443" i="8" s="1"/>
  <c r="C444" i="8" s="1"/>
  <c r="C445" i="8" s="1"/>
  <c r="C446" i="8" s="1"/>
  <c r="C447" i="8" s="1"/>
  <c r="C448" i="8" s="1"/>
  <c r="C449" i="8" s="1"/>
  <c r="C450" i="8" s="1"/>
  <c r="C451" i="8" s="1"/>
  <c r="C452" i="8" s="1"/>
  <c r="C453" i="8" s="1"/>
  <c r="C454" i="8" s="1"/>
  <c r="C455" i="8" s="1"/>
  <c r="C456" i="8" s="1"/>
  <c r="C457" i="8" s="1"/>
  <c r="C458" i="8" s="1"/>
  <c r="C459" i="8" s="1"/>
  <c r="C460" i="8" s="1"/>
  <c r="C461" i="8" s="1"/>
  <c r="C462" i="8" s="1"/>
  <c r="C463" i="8" s="1"/>
  <c r="C464" i="8" s="1"/>
  <c r="C465" i="8" s="1"/>
  <c r="C466" i="8" s="1"/>
  <c r="C467" i="8" s="1"/>
  <c r="C468" i="8" s="1"/>
  <c r="C469" i="8" s="1"/>
  <c r="C470" i="8" s="1"/>
  <c r="C471" i="8" s="1"/>
  <c r="C472" i="8" s="1"/>
  <c r="C473" i="8" s="1"/>
  <c r="C474" i="8" s="1"/>
  <c r="C475" i="8" s="1"/>
  <c r="C476" i="8" s="1"/>
  <c r="C477" i="8" s="1"/>
  <c r="C478" i="8" s="1"/>
  <c r="C479" i="8" s="1"/>
  <c r="C480" i="8" s="1"/>
  <c r="C481" i="8" s="1"/>
  <c r="C482" i="8" s="1"/>
  <c r="C483" i="8" s="1"/>
  <c r="C484" i="8" s="1"/>
  <c r="C485" i="8" s="1"/>
  <c r="C486" i="8" s="1"/>
  <c r="C487" i="8" s="1"/>
  <c r="C488" i="8" s="1"/>
  <c r="C489" i="8" s="1"/>
  <c r="C490" i="8" s="1"/>
  <c r="C491" i="8" s="1"/>
  <c r="C492" i="8" s="1"/>
  <c r="C493" i="8" s="1"/>
  <c r="C494" i="8" s="1"/>
  <c r="C495" i="8" s="1"/>
  <c r="C496" i="8" s="1"/>
  <c r="C497" i="8" s="1"/>
  <c r="C498" i="8" s="1"/>
  <c r="C499" i="8" s="1"/>
  <c r="C500" i="8" s="1"/>
  <c r="C501" i="8" s="1"/>
  <c r="C502" i="8" s="1"/>
  <c r="C503" i="8" s="1"/>
  <c r="C504" i="8" s="1"/>
  <c r="C505" i="8" s="1"/>
  <c r="C506" i="8" s="1"/>
  <c r="C507" i="8" s="1"/>
  <c r="C508" i="8" s="1"/>
  <c r="C509" i="8" s="1"/>
  <c r="C510" i="8" s="1"/>
  <c r="C511" i="8" s="1"/>
  <c r="C512" i="8" s="1"/>
  <c r="C513" i="8" s="1"/>
  <c r="C514" i="8" s="1"/>
  <c r="C515" i="8" s="1"/>
  <c r="C516" i="8" s="1"/>
  <c r="C517" i="8" s="1"/>
  <c r="C518" i="8" s="1"/>
  <c r="C519" i="8" s="1"/>
  <c r="C520" i="8" s="1"/>
  <c r="C521" i="8" s="1"/>
  <c r="C522" i="8" s="1"/>
  <c r="C523" i="8" s="1"/>
  <c r="C524" i="8" s="1"/>
  <c r="C525" i="8" s="1"/>
  <c r="C526" i="8" s="1"/>
  <c r="C527" i="8" s="1"/>
  <c r="C528" i="8" s="1"/>
  <c r="C529" i="8" s="1"/>
  <c r="C530" i="8" s="1"/>
  <c r="C531" i="8" s="1"/>
  <c r="C532" i="8" s="1"/>
  <c r="C533" i="8" s="1"/>
  <c r="C534" i="8" s="1"/>
  <c r="C535" i="8" s="1"/>
  <c r="C536" i="8" s="1"/>
  <c r="C537" i="8" s="1"/>
  <c r="C538" i="8" s="1"/>
  <c r="C539" i="8" s="1"/>
  <c r="C540" i="8" s="1"/>
  <c r="C541" i="8" s="1"/>
  <c r="C542" i="8" s="1"/>
  <c r="C543" i="8" s="1"/>
  <c r="C544" i="8" s="1"/>
  <c r="C545" i="8" s="1"/>
  <c r="C546" i="8" s="1"/>
  <c r="C547" i="8" s="1"/>
  <c r="C548" i="8" s="1"/>
  <c r="C549" i="8" s="1"/>
  <c r="C550" i="8" s="1"/>
  <c r="C551" i="8" s="1"/>
  <c r="C552" i="8" s="1"/>
  <c r="C553" i="8" s="1"/>
  <c r="C554" i="8" s="1"/>
  <c r="C555" i="8" s="1"/>
  <c r="C556" i="8" s="1"/>
  <c r="C557" i="8" s="1"/>
  <c r="C558" i="8" s="1"/>
  <c r="C559" i="8" s="1"/>
  <c r="C560" i="8" s="1"/>
  <c r="C561" i="8" s="1"/>
  <c r="C562" i="8" s="1"/>
  <c r="C563" i="8" s="1"/>
  <c r="C564" i="8" s="1"/>
  <c r="C565" i="8" s="1"/>
  <c r="C566" i="8" s="1"/>
  <c r="C567" i="8" s="1"/>
  <c r="C568" i="8" s="1"/>
  <c r="C569" i="8" s="1"/>
  <c r="C570" i="8" s="1"/>
  <c r="C571" i="8" s="1"/>
  <c r="C572" i="8" s="1"/>
  <c r="C573" i="8" s="1"/>
  <c r="C574" i="8" s="1"/>
  <c r="C575" i="8" s="1"/>
  <c r="C576" i="8" s="1"/>
  <c r="C577" i="8" s="1"/>
  <c r="C578" i="8" s="1"/>
  <c r="C579" i="8" s="1"/>
  <c r="C580" i="8" s="1"/>
  <c r="C581" i="8" s="1"/>
  <c r="C582" i="8" s="1"/>
  <c r="C583" i="8" s="1"/>
  <c r="C584" i="8" s="1"/>
  <c r="C585" i="8" s="1"/>
  <c r="C586" i="8" s="1"/>
  <c r="C587" i="8" s="1"/>
  <c r="C588" i="8" s="1"/>
  <c r="C589" i="8" s="1"/>
  <c r="C590" i="8" s="1"/>
  <c r="C591" i="8" s="1"/>
  <c r="C592" i="8" s="1"/>
  <c r="C593" i="8" s="1"/>
  <c r="C594" i="8" s="1"/>
  <c r="C595" i="8" s="1"/>
  <c r="C596" i="8" s="1"/>
  <c r="C597" i="8" s="1"/>
  <c r="C598" i="8" s="1"/>
  <c r="C599" i="8" s="1"/>
  <c r="C600" i="8" s="1"/>
  <c r="C601" i="8" s="1"/>
  <c r="C602" i="8" s="1"/>
  <c r="C603" i="8" s="1"/>
  <c r="C604" i="8" s="1"/>
  <c r="C605" i="8" s="1"/>
  <c r="C606" i="8" s="1"/>
  <c r="C607" i="8" s="1"/>
  <c r="C608" i="8" s="1"/>
  <c r="C609" i="8" s="1"/>
  <c r="C610" i="8" s="1"/>
  <c r="C611" i="8" s="1"/>
  <c r="C612" i="8" s="1"/>
  <c r="C613" i="8" s="1"/>
  <c r="C614" i="8" s="1"/>
  <c r="C615" i="8" s="1"/>
  <c r="C616" i="8" s="1"/>
  <c r="C617" i="8" s="1"/>
  <c r="C618" i="8" s="1"/>
  <c r="C619" i="8" s="1"/>
  <c r="C620" i="8" s="1"/>
  <c r="C621" i="8" s="1"/>
  <c r="C622" i="8" s="1"/>
  <c r="C623" i="8" s="1"/>
  <c r="C624" i="8" s="1"/>
  <c r="C625" i="8" s="1"/>
  <c r="C626" i="8" s="1"/>
  <c r="C627" i="8" s="1"/>
  <c r="C628" i="8" s="1"/>
  <c r="C629" i="8" s="1"/>
  <c r="C630" i="8" s="1"/>
  <c r="C631" i="8" s="1"/>
  <c r="C632" i="8" s="1"/>
  <c r="C633" i="8" s="1"/>
  <c r="C634" i="8" s="1"/>
  <c r="C635" i="8" s="1"/>
  <c r="C636" i="8" s="1"/>
  <c r="C637" i="8" s="1"/>
  <c r="C638" i="8" s="1"/>
  <c r="C639" i="8" s="1"/>
  <c r="C640" i="8" s="1"/>
  <c r="C641" i="8" s="1"/>
  <c r="C642" i="8" s="1"/>
  <c r="C643" i="8" s="1"/>
  <c r="C644" i="8" s="1"/>
  <c r="C645" i="8" s="1"/>
  <c r="C646" i="8" s="1"/>
  <c r="C647" i="8" s="1"/>
  <c r="C648" i="8" s="1"/>
  <c r="C649" i="8" s="1"/>
  <c r="C650" i="8" s="1"/>
  <c r="C651" i="8" s="1"/>
  <c r="C652" i="8" s="1"/>
  <c r="C653" i="8" s="1"/>
  <c r="C654" i="8" s="1"/>
  <c r="C655" i="8" s="1"/>
  <c r="C656" i="8" s="1"/>
  <c r="C657" i="8" s="1"/>
  <c r="C658" i="8" s="1"/>
  <c r="C659" i="8" s="1"/>
  <c r="C660" i="8" s="1"/>
  <c r="C661" i="8" s="1"/>
  <c r="C662" i="8" s="1"/>
  <c r="C663" i="8" s="1"/>
  <c r="C664" i="8" s="1"/>
  <c r="C665" i="8" s="1"/>
  <c r="C666" i="8" s="1"/>
  <c r="C667" i="8" s="1"/>
  <c r="C668" i="8" s="1"/>
  <c r="C669" i="8" s="1"/>
  <c r="C670" i="8" s="1"/>
  <c r="C671" i="8" s="1"/>
  <c r="C672" i="8" s="1"/>
  <c r="C673" i="8" s="1"/>
  <c r="C674" i="8" s="1"/>
  <c r="C675" i="8" s="1"/>
  <c r="C676" i="8" s="1"/>
  <c r="C677" i="8" s="1"/>
  <c r="C678" i="8" s="1"/>
  <c r="C679" i="8" s="1"/>
  <c r="C680" i="8" s="1"/>
  <c r="C681" i="8" s="1"/>
  <c r="C682" i="8" s="1"/>
  <c r="C683" i="8" s="1"/>
  <c r="C684" i="8" s="1"/>
  <c r="C685" i="8" s="1"/>
  <c r="C686" i="8" s="1"/>
  <c r="C687" i="8" s="1"/>
  <c r="C688" i="8" s="1"/>
  <c r="C689" i="8" s="1"/>
  <c r="C690" i="8" s="1"/>
  <c r="C691" i="8" s="1"/>
  <c r="C692" i="8" s="1"/>
  <c r="C693" i="8" s="1"/>
  <c r="C694" i="8" s="1"/>
  <c r="C695" i="8" s="1"/>
  <c r="C696" i="8" s="1"/>
  <c r="C697" i="8" s="1"/>
  <c r="C698" i="8" s="1"/>
  <c r="C699" i="8" s="1"/>
  <c r="C700" i="8" s="1"/>
  <c r="C701" i="8" s="1"/>
  <c r="C702" i="8" s="1"/>
  <c r="C703" i="8" s="1"/>
  <c r="C704" i="8" s="1"/>
  <c r="C705" i="8" s="1"/>
  <c r="C706" i="8" s="1"/>
  <c r="C707" i="8" s="1"/>
  <c r="C708" i="8" s="1"/>
  <c r="C709" i="8" s="1"/>
  <c r="C710" i="8" s="1"/>
  <c r="C711" i="8" s="1"/>
  <c r="C712" i="8" s="1"/>
  <c r="C713" i="8" s="1"/>
  <c r="C714" i="8" s="1"/>
  <c r="C715" i="8" s="1"/>
  <c r="C716" i="8" s="1"/>
  <c r="C717" i="8" s="1"/>
  <c r="C718" i="8" s="1"/>
  <c r="C719" i="8" s="1"/>
  <c r="C720" i="8" s="1"/>
  <c r="C721" i="8" s="1"/>
  <c r="C722" i="8" s="1"/>
  <c r="C723" i="8" s="1"/>
  <c r="C724" i="8" s="1"/>
  <c r="C725" i="8" s="1"/>
  <c r="C726" i="8" s="1"/>
  <c r="C727" i="8" s="1"/>
  <c r="C728" i="8" s="1"/>
  <c r="C729" i="8" s="1"/>
  <c r="C730" i="8" s="1"/>
  <c r="C731" i="8" s="1"/>
  <c r="C732" i="8" s="1"/>
  <c r="C733" i="8" s="1"/>
  <c r="C734" i="8" s="1"/>
  <c r="C735" i="8" s="1"/>
  <c r="C736" i="8" s="1"/>
  <c r="C737" i="8" s="1"/>
  <c r="C738" i="8" s="1"/>
  <c r="C739" i="8" s="1"/>
  <c r="C740" i="8" s="1"/>
  <c r="C741" i="8" s="1"/>
  <c r="C742" i="8" s="1"/>
  <c r="C743" i="8" s="1"/>
  <c r="C744" i="8" s="1"/>
  <c r="C745" i="8" s="1"/>
  <c r="C746" i="8" s="1"/>
  <c r="C747" i="8" s="1"/>
  <c r="C748" i="8" s="1"/>
  <c r="C749" i="8" s="1"/>
  <c r="C750" i="8" s="1"/>
  <c r="C751" i="8" s="1"/>
  <c r="C752" i="8" s="1"/>
  <c r="C753" i="8" s="1"/>
  <c r="C754" i="8" s="1"/>
  <c r="C755" i="8" s="1"/>
  <c r="C756" i="8" s="1"/>
  <c r="C757" i="8" s="1"/>
  <c r="C758" i="8" s="1"/>
  <c r="C759" i="8" s="1"/>
  <c r="C760" i="8" s="1"/>
  <c r="C761" i="8" s="1"/>
  <c r="C762" i="8" s="1"/>
  <c r="C763" i="8" s="1"/>
  <c r="C764" i="8" s="1"/>
  <c r="C765" i="8" s="1"/>
  <c r="C766" i="8" s="1"/>
  <c r="C767" i="8" s="1"/>
  <c r="C768" i="8" s="1"/>
  <c r="C769" i="8" s="1"/>
  <c r="C770" i="8" s="1"/>
  <c r="C771" i="8" s="1"/>
  <c r="C772" i="8" s="1"/>
  <c r="C773" i="8" s="1"/>
  <c r="C774" i="8" s="1"/>
  <c r="C775" i="8" s="1"/>
  <c r="C776" i="8" s="1"/>
  <c r="C777" i="8" s="1"/>
  <c r="C778" i="8" s="1"/>
  <c r="C779" i="8" s="1"/>
  <c r="C780" i="8" s="1"/>
  <c r="C781" i="8" s="1"/>
  <c r="C782" i="8" s="1"/>
  <c r="C783" i="8" s="1"/>
  <c r="C784" i="8" s="1"/>
  <c r="C785" i="8" s="1"/>
  <c r="C786" i="8" s="1"/>
  <c r="C787" i="8" s="1"/>
  <c r="C788" i="8" s="1"/>
  <c r="C789" i="8" s="1"/>
  <c r="C790" i="8" s="1"/>
  <c r="C791" i="8" s="1"/>
  <c r="C792" i="8" s="1"/>
  <c r="C793" i="8" s="1"/>
  <c r="C794" i="8" s="1"/>
  <c r="C795" i="8" s="1"/>
  <c r="C796" i="8" s="1"/>
  <c r="C797" i="8" s="1"/>
  <c r="C798" i="8" s="1"/>
  <c r="C799" i="8" s="1"/>
  <c r="C800" i="8" s="1"/>
  <c r="C801" i="8" s="1"/>
  <c r="C802" i="8" s="1"/>
  <c r="C803" i="8" s="1"/>
  <c r="C804" i="8" s="1"/>
  <c r="C805" i="8" s="1"/>
  <c r="C806" i="8" s="1"/>
  <c r="C807" i="8" s="1"/>
  <c r="C808" i="8" s="1"/>
  <c r="C809" i="8" s="1"/>
  <c r="C810" i="8" s="1"/>
  <c r="C811" i="8" s="1"/>
  <c r="C812" i="8" s="1"/>
  <c r="C813" i="8" s="1"/>
  <c r="C814" i="8" s="1"/>
  <c r="C815" i="8" s="1"/>
  <c r="C816" i="8" s="1"/>
  <c r="C817" i="8" s="1"/>
  <c r="C818" i="8" s="1"/>
  <c r="C819" i="8" s="1"/>
  <c r="C820" i="8" s="1"/>
  <c r="C821" i="8" s="1"/>
  <c r="C822" i="8" s="1"/>
  <c r="C823" i="8" s="1"/>
  <c r="C824" i="8" s="1"/>
  <c r="C825" i="8" s="1"/>
  <c r="C826" i="8" s="1"/>
  <c r="C827" i="8" s="1"/>
  <c r="C828" i="8" s="1"/>
  <c r="C829" i="8" s="1"/>
  <c r="C830" i="8" s="1"/>
  <c r="C831" i="8" s="1"/>
  <c r="C832" i="8" s="1"/>
  <c r="C833" i="8" s="1"/>
  <c r="C834" i="8" s="1"/>
  <c r="C835" i="8" s="1"/>
  <c r="C836" i="8" s="1"/>
  <c r="C837" i="8" s="1"/>
  <c r="C838" i="8" s="1"/>
  <c r="C839" i="8" s="1"/>
  <c r="C840" i="8" s="1"/>
  <c r="C841" i="8" s="1"/>
  <c r="C842" i="8" s="1"/>
  <c r="C843" i="8" s="1"/>
  <c r="C844" i="8" s="1"/>
  <c r="C845" i="8" s="1"/>
  <c r="C846" i="8" s="1"/>
  <c r="C847" i="8" s="1"/>
  <c r="C848" i="8" s="1"/>
  <c r="C849" i="8" s="1"/>
  <c r="C850" i="8" s="1"/>
  <c r="C851" i="8" s="1"/>
  <c r="C852" i="8" s="1"/>
  <c r="C853" i="8" s="1"/>
  <c r="C854" i="8" s="1"/>
  <c r="C855" i="8" s="1"/>
  <c r="C856" i="8" s="1"/>
  <c r="C857" i="8" s="1"/>
  <c r="C858" i="8" s="1"/>
  <c r="C859" i="8" s="1"/>
  <c r="C860" i="8" s="1"/>
  <c r="C861" i="8" s="1"/>
  <c r="C862" i="8" s="1"/>
  <c r="C863" i="8" s="1"/>
  <c r="C864" i="8" s="1"/>
  <c r="C865" i="8" s="1"/>
  <c r="C866" i="8" s="1"/>
  <c r="C867" i="8" s="1"/>
  <c r="C868" i="8" s="1"/>
  <c r="C869" i="8" s="1"/>
  <c r="C870" i="8" s="1"/>
  <c r="C871" i="8" s="1"/>
  <c r="C872" i="8" s="1"/>
  <c r="C873" i="8" s="1"/>
  <c r="C874" i="8" s="1"/>
  <c r="C875" i="8" s="1"/>
  <c r="C876" i="8" s="1"/>
  <c r="C877" i="8" s="1"/>
  <c r="C878" i="8" s="1"/>
  <c r="C879" i="8" s="1"/>
  <c r="C880" i="8" s="1"/>
  <c r="C881" i="8" s="1"/>
  <c r="C882" i="8" s="1"/>
  <c r="C883" i="8" s="1"/>
  <c r="C884" i="8" s="1"/>
  <c r="C885" i="8" s="1"/>
  <c r="C886" i="8" s="1"/>
  <c r="C887" i="8" s="1"/>
  <c r="C888" i="8" s="1"/>
  <c r="C889" i="8" s="1"/>
  <c r="C890" i="8" s="1"/>
  <c r="C891" i="8" s="1"/>
  <c r="C892" i="8" s="1"/>
  <c r="C893" i="8" s="1"/>
  <c r="C894" i="8" s="1"/>
  <c r="C895" i="8" s="1"/>
  <c r="C896" i="8" s="1"/>
  <c r="C897" i="8" s="1"/>
  <c r="C898" i="8" s="1"/>
  <c r="C899" i="8" s="1"/>
  <c r="C900" i="8" s="1"/>
  <c r="C901" i="8" s="1"/>
  <c r="C902" i="8" s="1"/>
  <c r="C903" i="8" s="1"/>
  <c r="C904" i="8" s="1"/>
  <c r="C905" i="8" s="1"/>
  <c r="C906" i="8" s="1"/>
  <c r="C907" i="8" s="1"/>
  <c r="C908" i="8" s="1"/>
  <c r="C909" i="8" s="1"/>
  <c r="C910" i="8" s="1"/>
  <c r="C911" i="8" s="1"/>
  <c r="C912" i="8" s="1"/>
  <c r="C913" i="8" s="1"/>
  <c r="C914" i="8" s="1"/>
  <c r="C915" i="8" s="1"/>
  <c r="C916" i="8" s="1"/>
  <c r="C917" i="8" s="1"/>
  <c r="C918" i="8" s="1"/>
  <c r="C919" i="8" s="1"/>
  <c r="C920" i="8" s="1"/>
  <c r="C921" i="8" s="1"/>
  <c r="C922" i="8" s="1"/>
  <c r="C923" i="8" s="1"/>
  <c r="C924" i="8" s="1"/>
  <c r="C925" i="8" s="1"/>
  <c r="C926" i="8" s="1"/>
  <c r="C927" i="8" s="1"/>
  <c r="C928" i="8" s="1"/>
  <c r="C929" i="8" s="1"/>
  <c r="C930" i="8" s="1"/>
  <c r="C931" i="8" s="1"/>
  <c r="C932" i="8" s="1"/>
  <c r="C933" i="8" s="1"/>
  <c r="C934" i="8" s="1"/>
  <c r="C935" i="8" s="1"/>
  <c r="C936" i="8" s="1"/>
  <c r="C937" i="8" s="1"/>
  <c r="C938" i="8" s="1"/>
  <c r="C939" i="8" s="1"/>
  <c r="C940" i="8" s="1"/>
  <c r="C941" i="8" s="1"/>
  <c r="C942" i="8" s="1"/>
  <c r="C943" i="8" s="1"/>
  <c r="C944" i="8" s="1"/>
  <c r="C945" i="8" s="1"/>
  <c r="C946" i="8" s="1"/>
  <c r="C947" i="8" s="1"/>
  <c r="C948" i="8" s="1"/>
  <c r="C949" i="8" s="1"/>
  <c r="C950" i="8" s="1"/>
  <c r="C951" i="8" s="1"/>
  <c r="C952" i="8" s="1"/>
  <c r="C953" i="8" s="1"/>
  <c r="C954" i="8" s="1"/>
  <c r="C955" i="8" s="1"/>
  <c r="C956" i="8" s="1"/>
  <c r="C957" i="8" s="1"/>
  <c r="C958" i="8" s="1"/>
  <c r="C959" i="8" s="1"/>
  <c r="C960" i="8" s="1"/>
  <c r="C961" i="8" s="1"/>
  <c r="C962" i="8" s="1"/>
  <c r="C963" i="8" s="1"/>
  <c r="C964" i="8" s="1"/>
  <c r="C965" i="8" s="1"/>
  <c r="C966" i="8" s="1"/>
  <c r="C967" i="8" s="1"/>
  <c r="C968" i="8" s="1"/>
  <c r="C969" i="8" s="1"/>
  <c r="C970" i="8" s="1"/>
  <c r="C971" i="8" s="1"/>
  <c r="C972" i="8" s="1"/>
  <c r="C973" i="8" s="1"/>
  <c r="C974" i="8" s="1"/>
  <c r="C975" i="8" s="1"/>
  <c r="C976" i="8" s="1"/>
  <c r="C977" i="8" s="1"/>
  <c r="C978" i="8" s="1"/>
  <c r="C979" i="8" s="1"/>
  <c r="C980" i="8" s="1"/>
  <c r="C981" i="8" s="1"/>
  <c r="C982" i="8" s="1"/>
  <c r="C983" i="8" s="1"/>
  <c r="C984" i="8" s="1"/>
  <c r="C985" i="8" s="1"/>
  <c r="C986" i="8" s="1"/>
  <c r="C987" i="8" s="1"/>
  <c r="C988" i="8" s="1"/>
  <c r="C989" i="8" s="1"/>
  <c r="C990" i="8" s="1"/>
  <c r="C991" i="8" s="1"/>
  <c r="C992" i="8" s="1"/>
  <c r="C993" i="8" s="1"/>
  <c r="C994" i="8" s="1"/>
  <c r="C995" i="8" s="1"/>
  <c r="C996" i="8" s="1"/>
  <c r="C997" i="8" s="1"/>
  <c r="C998" i="8" s="1"/>
  <c r="C999" i="8" s="1"/>
  <c r="C1000" i="8" s="1"/>
  <c r="C1001" i="8" s="1"/>
  <c r="C1002" i="8" s="1"/>
  <c r="C1003" i="8" s="1"/>
  <c r="C1004" i="8" s="1"/>
  <c r="C1005" i="8" s="1"/>
  <c r="C1006" i="8" s="1"/>
  <c r="C1007" i="8" s="1"/>
  <c r="C1008" i="8" s="1"/>
  <c r="C1009" i="8" s="1"/>
  <c r="C1010" i="8" s="1"/>
  <c r="C1011" i="8" s="1"/>
  <c r="C1012" i="8" s="1"/>
  <c r="C1013" i="8" s="1"/>
  <c r="C1014" i="8" s="1"/>
  <c r="C1015" i="8" s="1"/>
  <c r="C1016" i="8" s="1"/>
  <c r="C1017" i="8" s="1"/>
  <c r="C1018" i="8" s="1"/>
  <c r="C1019" i="8" s="1"/>
  <c r="C1020" i="8" s="1"/>
  <c r="C1021" i="8" s="1"/>
  <c r="C1022" i="8" s="1"/>
  <c r="C1023" i="8" s="1"/>
  <c r="C1024" i="8" s="1"/>
  <c r="C1025" i="8" s="1"/>
  <c r="C1026" i="8" s="1"/>
  <c r="C1027" i="8" s="1"/>
  <c r="C1028" i="8" s="1"/>
  <c r="C1029" i="8" s="1"/>
  <c r="C1030" i="8" s="1"/>
  <c r="C1031" i="8" s="1"/>
  <c r="C1032" i="8" s="1"/>
  <c r="C1033" i="8" s="1"/>
  <c r="C1034" i="8" s="1"/>
  <c r="C1035" i="8" s="1"/>
  <c r="C1036" i="8" s="1"/>
  <c r="C1037" i="8" s="1"/>
  <c r="C1038" i="8" s="1"/>
  <c r="C1039" i="8" s="1"/>
  <c r="C1040" i="8" s="1"/>
  <c r="C1041" i="8" s="1"/>
  <c r="C1042" i="8" s="1"/>
  <c r="C1043" i="8" s="1"/>
  <c r="C1044" i="8" s="1"/>
  <c r="C1045" i="8" s="1"/>
  <c r="C1046" i="8" s="1"/>
  <c r="C1047" i="8" s="1"/>
  <c r="C1048" i="8" s="1"/>
  <c r="C1049" i="8" s="1"/>
  <c r="C1050" i="8" s="1"/>
  <c r="C1051" i="8" s="1"/>
  <c r="C1052" i="8" s="1"/>
  <c r="C1053" i="8" s="1"/>
  <c r="C1054" i="8" s="1"/>
  <c r="C1055" i="8" s="1"/>
  <c r="C1056" i="8" s="1"/>
  <c r="C1057" i="8" s="1"/>
  <c r="C1058" i="8" s="1"/>
  <c r="C1059" i="8" s="1"/>
  <c r="C1060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D1" i="8"/>
  <c r="H216" i="4"/>
  <c r="H217" i="4"/>
  <c r="H218" i="4"/>
  <c r="H219" i="4"/>
  <c r="H220" i="4"/>
  <c r="F216" i="4"/>
  <c r="F217" i="4"/>
  <c r="F218" i="4"/>
  <c r="F219" i="4"/>
  <c r="F220" i="4"/>
  <c r="C2" i="7"/>
  <c r="H223" i="7"/>
  <c r="J223" i="7"/>
  <c r="F223" i="7" l="1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7" i="6"/>
  <c r="T108" i="6"/>
  <c r="T109" i="6"/>
  <c r="T104" i="6"/>
  <c r="T105" i="6"/>
  <c r="T103" i="6"/>
  <c r="T106" i="6"/>
  <c r="T110" i="6"/>
  <c r="T116" i="6"/>
  <c r="T111" i="6"/>
  <c r="T113" i="6"/>
  <c r="T112" i="6"/>
  <c r="T114" i="6"/>
  <c r="T115" i="6"/>
  <c r="T118" i="6"/>
  <c r="T117" i="6"/>
  <c r="T123" i="6"/>
  <c r="T125" i="6"/>
  <c r="T120" i="6"/>
  <c r="T124" i="6"/>
  <c r="T121" i="6"/>
  <c r="T119" i="6"/>
  <c r="T126" i="6"/>
  <c r="T122" i="6"/>
  <c r="T129" i="6"/>
  <c r="T127" i="6"/>
  <c r="T131" i="6"/>
  <c r="T128" i="6"/>
  <c r="T130" i="6"/>
  <c r="T133" i="6"/>
  <c r="T134" i="6"/>
  <c r="T132" i="6"/>
  <c r="T136" i="6"/>
  <c r="T135" i="6"/>
  <c r="T137" i="6"/>
  <c r="T140" i="6"/>
  <c r="T138" i="6"/>
  <c r="T141" i="6"/>
  <c r="T139" i="6"/>
  <c r="T143" i="6"/>
  <c r="T142" i="6"/>
  <c r="T144" i="6"/>
  <c r="T145" i="6"/>
  <c r="T146" i="6"/>
  <c r="T149" i="6"/>
  <c r="T148" i="6"/>
  <c r="T147" i="6"/>
  <c r="T150" i="6"/>
  <c r="T151" i="6"/>
  <c r="T152" i="6"/>
  <c r="T153" i="6"/>
  <c r="T156" i="6"/>
  <c r="T154" i="6"/>
  <c r="T155" i="6"/>
  <c r="T157" i="6"/>
  <c r="T160" i="6"/>
  <c r="T158" i="6"/>
  <c r="T159" i="6"/>
  <c r="T161" i="6"/>
  <c r="T162" i="6"/>
  <c r="T163" i="6"/>
  <c r="T164" i="6"/>
  <c r="T165" i="6"/>
  <c r="T167" i="6"/>
  <c r="T166" i="6"/>
  <c r="T168" i="6"/>
  <c r="T169" i="6"/>
  <c r="T170" i="6"/>
  <c r="T171" i="6"/>
  <c r="T172" i="6"/>
  <c r="T173" i="6"/>
  <c r="T174" i="6"/>
  <c r="T176" i="6"/>
  <c r="T175" i="6"/>
  <c r="T177" i="6"/>
  <c r="T178" i="6"/>
  <c r="T180" i="6"/>
  <c r="T179" i="6"/>
  <c r="T181" i="6"/>
  <c r="T185" i="6"/>
  <c r="T182" i="6"/>
  <c r="T183" i="6"/>
  <c r="T184" i="6"/>
  <c r="T186" i="6"/>
  <c r="T187" i="6"/>
  <c r="T188" i="6"/>
  <c r="T189" i="6"/>
  <c r="T190" i="6"/>
  <c r="T193" i="6"/>
  <c r="T191" i="6"/>
  <c r="T192" i="6"/>
  <c r="T196" i="6"/>
  <c r="T197" i="6"/>
  <c r="T194" i="6"/>
  <c r="T195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3" i="6"/>
  <c r="T212" i="6"/>
  <c r="T214" i="6"/>
  <c r="T215" i="6"/>
  <c r="T217" i="6"/>
  <c r="T216" i="6"/>
  <c r="T218" i="6"/>
  <c r="T221" i="6"/>
  <c r="T220" i="6"/>
  <c r="T219" i="6"/>
  <c r="T222" i="6"/>
  <c r="T223" i="6"/>
  <c r="T225" i="6"/>
  <c r="T224" i="6"/>
  <c r="T226" i="6"/>
  <c r="T229" i="6"/>
  <c r="T228" i="6"/>
  <c r="T227" i="6"/>
  <c r="T230" i="6"/>
  <c r="T231" i="6"/>
  <c r="T232" i="6"/>
  <c r="T233" i="6"/>
  <c r="T234" i="6"/>
  <c r="T235" i="6"/>
  <c r="T236" i="6"/>
  <c r="T237" i="6"/>
  <c r="T239" i="6"/>
  <c r="T238" i="6"/>
  <c r="T241" i="6"/>
  <c r="T240" i="6"/>
  <c r="T242" i="6"/>
  <c r="T244" i="6"/>
  <c r="T243" i="6"/>
  <c r="T245" i="6"/>
  <c r="T246" i="6"/>
  <c r="T247" i="6"/>
  <c r="T249" i="6"/>
  <c r="T248" i="6"/>
  <c r="T250" i="6"/>
  <c r="T253" i="6"/>
  <c r="T251" i="6"/>
  <c r="T252" i="6"/>
  <c r="T257" i="6"/>
  <c r="T254" i="6"/>
  <c r="T255" i="6"/>
  <c r="T256" i="6"/>
  <c r="T261" i="6"/>
  <c r="T260" i="6"/>
  <c r="T258" i="6"/>
  <c r="T259" i="6"/>
  <c r="T263" i="6"/>
  <c r="T264" i="6"/>
  <c r="T262" i="6"/>
  <c r="T265" i="6"/>
  <c r="T268" i="6"/>
  <c r="T267" i="6"/>
  <c r="T266" i="6"/>
  <c r="T269" i="6"/>
  <c r="T270" i="6"/>
  <c r="T271" i="6"/>
  <c r="T272" i="6"/>
  <c r="T273" i="6"/>
  <c r="T275" i="6"/>
  <c r="T274" i="6"/>
  <c r="T276" i="6"/>
  <c r="T277" i="6"/>
  <c r="T279" i="6"/>
  <c r="T278" i="6"/>
  <c r="T280" i="6"/>
  <c r="T283" i="6"/>
  <c r="T281" i="6"/>
  <c r="T282" i="6"/>
  <c r="T285" i="6"/>
  <c r="T284" i="6"/>
  <c r="T287" i="6"/>
  <c r="T286" i="6"/>
  <c r="T288" i="6"/>
  <c r="T291" i="6"/>
  <c r="T290" i="6"/>
  <c r="T289" i="6"/>
  <c r="T293" i="6"/>
  <c r="T292" i="6"/>
  <c r="T294" i="6"/>
  <c r="T295" i="6"/>
  <c r="T296" i="6"/>
  <c r="T297" i="6"/>
  <c r="T298" i="6"/>
  <c r="T299" i="6"/>
  <c r="T301" i="6"/>
  <c r="T302" i="6"/>
  <c r="T300" i="6"/>
  <c r="T303" i="6"/>
  <c r="T304" i="6"/>
  <c r="T305" i="6"/>
  <c r="T306" i="6"/>
  <c r="T307" i="6"/>
  <c r="T308" i="6"/>
  <c r="T309" i="6"/>
  <c r="T310" i="6"/>
  <c r="T311" i="6"/>
  <c r="T312" i="6"/>
  <c r="T313" i="6"/>
  <c r="T315" i="6"/>
  <c r="T314" i="6"/>
  <c r="T317" i="6"/>
  <c r="T316" i="6"/>
  <c r="T318" i="6"/>
  <c r="T319" i="6"/>
  <c r="T320" i="6"/>
  <c r="T321" i="6"/>
  <c r="T322" i="6"/>
  <c r="T323" i="6"/>
  <c r="T324" i="6"/>
  <c r="T325" i="6"/>
  <c r="T326" i="6"/>
  <c r="T327" i="6"/>
  <c r="T328" i="6"/>
  <c r="T329" i="6"/>
  <c r="T330" i="6"/>
  <c r="T331" i="6"/>
  <c r="T332" i="6"/>
  <c r="T333" i="6"/>
  <c r="T334" i="6"/>
  <c r="T335" i="6"/>
  <c r="T336" i="6"/>
  <c r="T337" i="6"/>
  <c r="T338" i="6"/>
  <c r="T339" i="6"/>
  <c r="T340" i="6"/>
  <c r="T341" i="6"/>
  <c r="T342" i="6"/>
  <c r="T343" i="6"/>
  <c r="T344" i="6"/>
  <c r="T345" i="6"/>
  <c r="T347" i="6"/>
  <c r="T346" i="6"/>
  <c r="T349" i="6"/>
  <c r="T348" i="6"/>
  <c r="T351" i="6"/>
  <c r="T350" i="6"/>
  <c r="T353" i="6"/>
  <c r="T352" i="6"/>
  <c r="T355" i="6"/>
  <c r="T354" i="6"/>
  <c r="T357" i="6"/>
  <c r="T356" i="6"/>
  <c r="T358" i="6"/>
  <c r="T359" i="6"/>
  <c r="T360" i="6"/>
  <c r="T361" i="6"/>
  <c r="T362" i="6"/>
  <c r="T364" i="6"/>
  <c r="T363" i="6"/>
  <c r="T365" i="6"/>
  <c r="T366" i="6"/>
  <c r="T367" i="6"/>
  <c r="T368" i="6"/>
  <c r="T369" i="6"/>
  <c r="T370" i="6"/>
  <c r="T371" i="6"/>
  <c r="T372" i="6"/>
  <c r="T373" i="6"/>
  <c r="T374" i="6"/>
  <c r="T376" i="6"/>
  <c r="T375" i="6"/>
  <c r="T377" i="6"/>
  <c r="T378" i="6"/>
  <c r="T379" i="6"/>
  <c r="T380" i="6"/>
  <c r="T381" i="6"/>
  <c r="T382" i="6"/>
  <c r="T384" i="6"/>
  <c r="T383" i="6"/>
  <c r="T385" i="6"/>
  <c r="T387" i="6"/>
  <c r="T386" i="6"/>
  <c r="T389" i="6"/>
  <c r="T388" i="6"/>
  <c r="T390" i="6"/>
  <c r="T391" i="6"/>
  <c r="T392" i="6"/>
  <c r="T393" i="6"/>
  <c r="T395" i="6"/>
  <c r="T394" i="6"/>
  <c r="T396" i="6"/>
  <c r="T397" i="6"/>
  <c r="T398" i="6"/>
  <c r="T399" i="6"/>
  <c r="T400" i="6"/>
  <c r="T401" i="6"/>
  <c r="T402" i="6"/>
  <c r="T403" i="6"/>
  <c r="T404" i="6"/>
  <c r="T405" i="6"/>
  <c r="T406" i="6"/>
  <c r="T407" i="6"/>
  <c r="T408" i="6"/>
  <c r="T409" i="6"/>
  <c r="T410" i="6"/>
  <c r="T411" i="6"/>
  <c r="T412" i="6"/>
  <c r="T413" i="6"/>
  <c r="T414" i="6"/>
  <c r="T417" i="6"/>
  <c r="T416" i="6"/>
  <c r="T415" i="6"/>
  <c r="T418" i="6"/>
  <c r="T419" i="6"/>
  <c r="T420" i="6"/>
  <c r="T421" i="6"/>
  <c r="T422" i="6"/>
  <c r="T423" i="6"/>
  <c r="T424" i="6"/>
  <c r="T426" i="6"/>
  <c r="T425" i="6"/>
  <c r="T429" i="6"/>
  <c r="T428" i="6"/>
  <c r="T430" i="6"/>
  <c r="T427" i="6"/>
  <c r="T431" i="6"/>
  <c r="T432" i="6"/>
  <c r="T433" i="6"/>
  <c r="T434" i="6"/>
  <c r="T437" i="6"/>
  <c r="T436" i="6"/>
  <c r="T435" i="6"/>
  <c r="T438" i="6"/>
  <c r="T439" i="6"/>
  <c r="T442" i="6"/>
  <c r="T443" i="6"/>
  <c r="T440" i="6"/>
  <c r="T441" i="6"/>
  <c r="T444" i="6"/>
  <c r="T445" i="6"/>
  <c r="T447" i="6"/>
  <c r="T446" i="6"/>
  <c r="T448" i="6"/>
  <c r="T449" i="6"/>
  <c r="T450" i="6"/>
  <c r="T451" i="6"/>
  <c r="T452" i="6"/>
  <c r="T453" i="6"/>
  <c r="T454" i="6"/>
  <c r="T455" i="6"/>
  <c r="T456" i="6"/>
  <c r="T457" i="6"/>
  <c r="T458" i="6"/>
  <c r="T459" i="6"/>
  <c r="T460" i="6"/>
  <c r="T461" i="6"/>
  <c r="T462" i="6"/>
  <c r="T463" i="6"/>
  <c r="T464" i="6"/>
  <c r="T465" i="6"/>
  <c r="T466" i="6"/>
  <c r="T467" i="6"/>
  <c r="T468" i="6"/>
  <c r="T470" i="6"/>
  <c r="T469" i="6"/>
  <c r="T473" i="6"/>
  <c r="T472" i="6"/>
  <c r="T471" i="6"/>
  <c r="T474" i="6"/>
  <c r="T475" i="6"/>
  <c r="T477" i="6"/>
  <c r="T476" i="6"/>
  <c r="T478" i="6"/>
  <c r="T479" i="6"/>
  <c r="T480" i="6"/>
  <c r="T482" i="6"/>
  <c r="T481" i="6"/>
  <c r="T484" i="6"/>
  <c r="T485" i="6"/>
  <c r="T483" i="6"/>
  <c r="T488" i="6"/>
  <c r="T487" i="6"/>
  <c r="T486" i="6"/>
  <c r="T491" i="6"/>
  <c r="T490" i="6"/>
  <c r="T489" i="6"/>
  <c r="T492" i="6"/>
  <c r="T493" i="6"/>
  <c r="T497" i="6"/>
  <c r="T496" i="6"/>
  <c r="T494" i="6"/>
  <c r="T495" i="6"/>
  <c r="T498" i="6"/>
  <c r="T499" i="6"/>
  <c r="T501" i="6"/>
  <c r="T500" i="6"/>
  <c r="T502" i="6"/>
  <c r="T503" i="6"/>
  <c r="T504" i="6"/>
  <c r="T505" i="6"/>
  <c r="T506" i="6"/>
  <c r="T507" i="6"/>
  <c r="T508" i="6"/>
  <c r="T509" i="6"/>
  <c r="T510" i="6"/>
  <c r="T511" i="6"/>
  <c r="T512" i="6"/>
  <c r="T513" i="6"/>
  <c r="T514" i="6"/>
  <c r="T515" i="6"/>
  <c r="T516" i="6"/>
  <c r="T517" i="6"/>
  <c r="T518" i="6"/>
  <c r="T519" i="6"/>
  <c r="T520" i="6"/>
  <c r="T521" i="6"/>
  <c r="T523" i="6"/>
  <c r="T524" i="6"/>
  <c r="T522" i="6"/>
  <c r="T525" i="6"/>
  <c r="T526" i="6"/>
  <c r="T527" i="6"/>
  <c r="T529" i="6"/>
  <c r="T528" i="6"/>
  <c r="T530" i="6"/>
  <c r="T533" i="6"/>
  <c r="T531" i="6"/>
  <c r="T532" i="6"/>
  <c r="T534" i="6"/>
  <c r="T535" i="6"/>
  <c r="T536" i="6"/>
  <c r="T537" i="6"/>
  <c r="T538" i="6"/>
  <c r="T539" i="6"/>
  <c r="T540" i="6"/>
  <c r="T541" i="6"/>
  <c r="T543" i="6"/>
  <c r="T544" i="6"/>
  <c r="T542" i="6"/>
  <c r="T545" i="6"/>
  <c r="T547" i="6"/>
  <c r="T546" i="6"/>
  <c r="T548" i="6"/>
  <c r="T549" i="6"/>
  <c r="T553" i="6"/>
  <c r="T552" i="6"/>
  <c r="T550" i="6"/>
  <c r="T551" i="6"/>
  <c r="T555" i="6"/>
  <c r="T554" i="6"/>
  <c r="T556" i="6"/>
  <c r="T557" i="6"/>
  <c r="T559" i="6"/>
  <c r="T558" i="6"/>
  <c r="T561" i="6"/>
  <c r="T560" i="6"/>
  <c r="T565" i="6"/>
  <c r="T564" i="6"/>
  <c r="T563" i="6"/>
  <c r="T562" i="6"/>
  <c r="T566" i="6"/>
  <c r="T567" i="6"/>
  <c r="T568" i="6"/>
  <c r="T569" i="6"/>
  <c r="T570" i="6"/>
  <c r="T571" i="6"/>
  <c r="T572" i="6"/>
  <c r="T573" i="6"/>
  <c r="T574" i="6"/>
  <c r="T575" i="6"/>
  <c r="T576" i="6"/>
  <c r="T577" i="6"/>
  <c r="T578" i="6"/>
  <c r="T579" i="6"/>
  <c r="T580" i="6"/>
  <c r="T581" i="6"/>
  <c r="T582" i="6"/>
  <c r="T584" i="6"/>
  <c r="T583" i="6"/>
  <c r="T585" i="6"/>
  <c r="T587" i="6"/>
  <c r="T589" i="6"/>
  <c r="T586" i="6"/>
  <c r="T588" i="6"/>
  <c r="T591" i="6"/>
  <c r="T590" i="6"/>
  <c r="T592" i="6"/>
  <c r="T593" i="6"/>
  <c r="T595" i="6"/>
  <c r="T594" i="6"/>
  <c r="T597" i="6"/>
  <c r="T598" i="6"/>
  <c r="T596" i="6"/>
  <c r="T599" i="6"/>
  <c r="T601" i="6"/>
  <c r="T600" i="6"/>
  <c r="T603" i="6"/>
  <c r="T602" i="6"/>
  <c r="T604" i="6"/>
  <c r="T605" i="6"/>
  <c r="T607" i="6"/>
  <c r="T606" i="6"/>
  <c r="T609" i="6"/>
  <c r="T608" i="6"/>
  <c r="T610" i="6"/>
  <c r="T611" i="6"/>
  <c r="T613" i="6"/>
  <c r="T612" i="6"/>
  <c r="T615" i="6"/>
  <c r="T614" i="6"/>
  <c r="T617" i="6"/>
  <c r="T616" i="6"/>
  <c r="T620" i="6"/>
  <c r="T621" i="6"/>
  <c r="T619" i="6"/>
  <c r="T618" i="6"/>
  <c r="T623" i="6"/>
  <c r="T622" i="6"/>
  <c r="T624" i="6"/>
  <c r="T625" i="6"/>
  <c r="T628" i="6"/>
  <c r="T629" i="6"/>
  <c r="T626" i="6"/>
  <c r="T627" i="6"/>
  <c r="T630" i="6"/>
  <c r="T631" i="6"/>
  <c r="T632" i="6"/>
  <c r="T633" i="6"/>
  <c r="T634" i="6"/>
  <c r="T635" i="6"/>
  <c r="T636" i="6"/>
  <c r="T637" i="6"/>
  <c r="T638" i="6"/>
  <c r="T639" i="6"/>
  <c r="T640" i="6"/>
  <c r="T641" i="6"/>
  <c r="T642" i="6"/>
  <c r="T643" i="6"/>
  <c r="T644" i="6"/>
  <c r="T645" i="6"/>
  <c r="T646" i="6"/>
  <c r="T647" i="6"/>
  <c r="T648" i="6"/>
  <c r="T649" i="6"/>
  <c r="T650" i="6"/>
  <c r="T651" i="6"/>
  <c r="T652" i="6"/>
  <c r="T653" i="6"/>
  <c r="T655" i="6"/>
  <c r="T656" i="6"/>
  <c r="T654" i="6"/>
  <c r="T659" i="6"/>
  <c r="T657" i="6"/>
  <c r="T658" i="6"/>
  <c r="T662" i="6"/>
  <c r="T660" i="6"/>
  <c r="T661" i="6"/>
  <c r="T663" i="6"/>
  <c r="T664" i="6"/>
  <c r="T665" i="6"/>
  <c r="T666" i="6"/>
  <c r="T667" i="6"/>
  <c r="T668" i="6"/>
  <c r="T669" i="6"/>
  <c r="T670" i="6"/>
  <c r="T671" i="6"/>
  <c r="T672" i="6"/>
  <c r="T673" i="6"/>
  <c r="T674" i="6"/>
  <c r="T675" i="6"/>
  <c r="T676" i="6"/>
  <c r="T677" i="6"/>
  <c r="T678" i="6"/>
  <c r="T679" i="6"/>
  <c r="T681" i="6"/>
  <c r="T680" i="6"/>
  <c r="T685" i="6"/>
  <c r="T684" i="6"/>
  <c r="T683" i="6"/>
  <c r="T682" i="6"/>
  <c r="T686" i="6"/>
  <c r="T687" i="6"/>
  <c r="T689" i="6"/>
  <c r="T688" i="6"/>
  <c r="T692" i="6"/>
  <c r="T693" i="6"/>
  <c r="T691" i="6"/>
  <c r="T690" i="6"/>
  <c r="T694" i="6"/>
  <c r="T695" i="6"/>
  <c r="T696" i="6"/>
  <c r="T697" i="6"/>
  <c r="T699" i="6"/>
  <c r="T698" i="6"/>
  <c r="T700" i="6"/>
  <c r="T701" i="6"/>
  <c r="T702" i="6"/>
  <c r="T703" i="6"/>
  <c r="T704" i="6"/>
  <c r="T705" i="6"/>
  <c r="T706" i="6"/>
  <c r="T707" i="6"/>
  <c r="T708" i="6"/>
  <c r="T709" i="6"/>
  <c r="T710" i="6"/>
  <c r="T711" i="6"/>
  <c r="T712" i="6"/>
  <c r="T713" i="6"/>
  <c r="T714" i="6"/>
  <c r="T715" i="6"/>
  <c r="T716" i="6"/>
  <c r="T717" i="6"/>
  <c r="T718" i="6"/>
  <c r="T719" i="6"/>
  <c r="T720" i="6"/>
  <c r="T721" i="6"/>
  <c r="T722" i="6"/>
  <c r="T723" i="6"/>
  <c r="T726" i="6"/>
  <c r="T724" i="6"/>
  <c r="T725" i="6"/>
  <c r="T729" i="6"/>
  <c r="T727" i="6"/>
  <c r="T728" i="6"/>
  <c r="T731" i="6"/>
  <c r="T732" i="6"/>
  <c r="T730" i="6"/>
  <c r="T734" i="6"/>
  <c r="T733" i="6"/>
  <c r="T735" i="6"/>
  <c r="T736" i="6"/>
  <c r="T737" i="6"/>
  <c r="T738" i="6"/>
  <c r="T739" i="6"/>
  <c r="T740" i="6"/>
  <c r="T741" i="6"/>
  <c r="T742" i="6"/>
  <c r="T743" i="6"/>
  <c r="T745" i="6"/>
  <c r="T744" i="6"/>
  <c r="T747" i="6"/>
  <c r="T746" i="6"/>
  <c r="T749" i="6"/>
  <c r="T748" i="6"/>
  <c r="T752" i="6"/>
  <c r="T753" i="6"/>
  <c r="T750" i="6"/>
  <c r="T751" i="6"/>
  <c r="T754" i="6"/>
  <c r="T755" i="6"/>
  <c r="T757" i="6"/>
  <c r="T756" i="6"/>
  <c r="T758" i="6"/>
  <c r="T759" i="6"/>
  <c r="T760" i="6"/>
  <c r="T761" i="6"/>
  <c r="T762" i="6"/>
  <c r="T763" i="6"/>
  <c r="T764" i="6"/>
  <c r="T765" i="6"/>
  <c r="T766" i="6"/>
  <c r="T767" i="6"/>
  <c r="T768" i="6"/>
  <c r="T769" i="6"/>
  <c r="T770" i="6"/>
  <c r="T771" i="6"/>
  <c r="T772" i="6"/>
  <c r="T773" i="6"/>
  <c r="T774" i="6"/>
  <c r="T776" i="6"/>
  <c r="T777" i="6"/>
  <c r="T775" i="6"/>
  <c r="T780" i="6"/>
  <c r="T779" i="6"/>
  <c r="T781" i="6"/>
  <c r="T778" i="6"/>
  <c r="T782" i="6"/>
  <c r="T783" i="6"/>
  <c r="T784" i="6"/>
  <c r="T786" i="6"/>
  <c r="T785" i="6"/>
  <c r="T787" i="6"/>
  <c r="T790" i="6"/>
  <c r="T789" i="6"/>
  <c r="T788" i="6"/>
  <c r="T793" i="6"/>
  <c r="T792" i="6"/>
  <c r="T791" i="6"/>
  <c r="T794" i="6"/>
  <c r="T796" i="6"/>
  <c r="T795" i="6"/>
  <c r="T797" i="6"/>
  <c r="T798" i="6"/>
  <c r="T799" i="6"/>
  <c r="T800" i="6"/>
  <c r="T802" i="6"/>
  <c r="T801" i="6"/>
  <c r="T805" i="6"/>
  <c r="T803" i="6"/>
  <c r="T804" i="6"/>
  <c r="T808" i="6"/>
  <c r="T809" i="6"/>
  <c r="T807" i="6"/>
  <c r="T806" i="6"/>
  <c r="T813" i="6"/>
  <c r="T812" i="6"/>
  <c r="T810" i="6"/>
  <c r="T811" i="6"/>
  <c r="T816" i="6"/>
  <c r="T817" i="6"/>
  <c r="T814" i="6"/>
  <c r="T815" i="6"/>
  <c r="T818" i="6"/>
  <c r="T819" i="6"/>
  <c r="T821" i="6"/>
  <c r="T820" i="6"/>
  <c r="T822" i="6"/>
  <c r="T823" i="6"/>
  <c r="T824" i="6"/>
  <c r="T825" i="6"/>
  <c r="T826" i="6"/>
  <c r="T827" i="6"/>
  <c r="T828" i="6"/>
  <c r="T829" i="6"/>
  <c r="T830" i="6"/>
  <c r="T831" i="6"/>
  <c r="T832" i="6"/>
  <c r="T833" i="6"/>
  <c r="T834" i="6"/>
  <c r="T835" i="6"/>
  <c r="T836" i="6"/>
  <c r="T837" i="6"/>
  <c r="T838" i="6"/>
  <c r="T839" i="6"/>
  <c r="T841" i="6"/>
  <c r="T840" i="6"/>
  <c r="T842" i="6"/>
  <c r="T844" i="6"/>
  <c r="T843" i="6"/>
  <c r="T845" i="6"/>
  <c r="T848" i="6"/>
  <c r="T846" i="6"/>
  <c r="T847" i="6"/>
  <c r="T849" i="6"/>
  <c r="T850" i="6"/>
  <c r="T851" i="6"/>
  <c r="T853" i="6"/>
  <c r="T852" i="6"/>
  <c r="T854" i="6"/>
  <c r="T856" i="6"/>
  <c r="T855" i="6"/>
  <c r="T857" i="6"/>
  <c r="T859" i="6"/>
  <c r="T858" i="6"/>
  <c r="T860" i="6"/>
  <c r="T861" i="6"/>
  <c r="T862" i="6"/>
  <c r="T863" i="6"/>
  <c r="T866" i="6"/>
  <c r="T865" i="6"/>
  <c r="T864" i="6"/>
  <c r="T867" i="6"/>
  <c r="T869" i="6"/>
  <c r="T868" i="6"/>
  <c r="T870" i="6"/>
  <c r="T871" i="6"/>
  <c r="T873" i="6"/>
  <c r="T872" i="6"/>
  <c r="T875" i="6"/>
  <c r="T874" i="6"/>
  <c r="T876" i="6"/>
  <c r="T877" i="6"/>
  <c r="T880" i="6"/>
  <c r="T881" i="6"/>
  <c r="T878" i="6"/>
  <c r="T879" i="6"/>
  <c r="T884" i="6"/>
  <c r="T885" i="6"/>
  <c r="T882" i="6"/>
  <c r="T883" i="6"/>
  <c r="T886" i="6"/>
  <c r="T887" i="6"/>
  <c r="T888" i="6"/>
  <c r="T889" i="6"/>
  <c r="T890" i="6"/>
  <c r="T891" i="6"/>
  <c r="T892" i="6"/>
  <c r="T893" i="6"/>
  <c r="T894" i="6"/>
  <c r="T895" i="6"/>
  <c r="T896" i="6"/>
  <c r="T897" i="6"/>
  <c r="T898" i="6"/>
  <c r="T899" i="6"/>
  <c r="T900" i="6"/>
  <c r="T901" i="6"/>
  <c r="T2" i="6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7" i="6"/>
  <c r="S108" i="6"/>
  <c r="S109" i="6"/>
  <c r="S104" i="6"/>
  <c r="S105" i="6"/>
  <c r="S103" i="6"/>
  <c r="S106" i="6"/>
  <c r="S110" i="6"/>
  <c r="S116" i="6"/>
  <c r="S111" i="6"/>
  <c r="S113" i="6"/>
  <c r="S112" i="6"/>
  <c r="S114" i="6"/>
  <c r="S115" i="6"/>
  <c r="S118" i="6"/>
  <c r="S117" i="6"/>
  <c r="S123" i="6"/>
  <c r="S125" i="6"/>
  <c r="S120" i="6"/>
  <c r="S124" i="6"/>
  <c r="S121" i="6"/>
  <c r="S119" i="6"/>
  <c r="S126" i="6"/>
  <c r="S122" i="6"/>
  <c r="S129" i="6"/>
  <c r="S127" i="6"/>
  <c r="S131" i="6"/>
  <c r="S128" i="6"/>
  <c r="S130" i="6"/>
  <c r="S133" i="6"/>
  <c r="S134" i="6"/>
  <c r="S132" i="6"/>
  <c r="S136" i="6"/>
  <c r="S135" i="6"/>
  <c r="S137" i="6"/>
  <c r="S140" i="6"/>
  <c r="S138" i="6"/>
  <c r="S141" i="6"/>
  <c r="S139" i="6"/>
  <c r="S143" i="6"/>
  <c r="S142" i="6"/>
  <c r="S144" i="6"/>
  <c r="S145" i="6"/>
  <c r="S146" i="6"/>
  <c r="S149" i="6"/>
  <c r="S148" i="6"/>
  <c r="S147" i="6"/>
  <c r="S150" i="6"/>
  <c r="S151" i="6"/>
  <c r="S152" i="6"/>
  <c r="S153" i="6"/>
  <c r="S156" i="6"/>
  <c r="S154" i="6"/>
  <c r="S155" i="6"/>
  <c r="S157" i="6"/>
  <c r="S160" i="6"/>
  <c r="S158" i="6"/>
  <c r="S159" i="6"/>
  <c r="S161" i="6"/>
  <c r="S162" i="6"/>
  <c r="S163" i="6"/>
  <c r="S164" i="6"/>
  <c r="S165" i="6"/>
  <c r="S167" i="6"/>
  <c r="S166" i="6"/>
  <c r="S168" i="6"/>
  <c r="S169" i="6"/>
  <c r="S170" i="6"/>
  <c r="S171" i="6"/>
  <c r="S172" i="6"/>
  <c r="S173" i="6"/>
  <c r="S174" i="6"/>
  <c r="S176" i="6"/>
  <c r="S175" i="6"/>
  <c r="S177" i="6"/>
  <c r="S178" i="6"/>
  <c r="S180" i="6"/>
  <c r="S179" i="6"/>
  <c r="S181" i="6"/>
  <c r="S185" i="6"/>
  <c r="S182" i="6"/>
  <c r="S183" i="6"/>
  <c r="S184" i="6"/>
  <c r="S186" i="6"/>
  <c r="S187" i="6"/>
  <c r="S188" i="6"/>
  <c r="S189" i="6"/>
  <c r="S190" i="6"/>
  <c r="S193" i="6"/>
  <c r="S191" i="6"/>
  <c r="S192" i="6"/>
  <c r="S196" i="6"/>
  <c r="S197" i="6"/>
  <c r="S194" i="6"/>
  <c r="S195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3" i="6"/>
  <c r="S212" i="6"/>
  <c r="S214" i="6"/>
  <c r="S215" i="6"/>
  <c r="S217" i="6"/>
  <c r="S216" i="6"/>
  <c r="S218" i="6"/>
  <c r="S221" i="6"/>
  <c r="S220" i="6"/>
  <c r="S219" i="6"/>
  <c r="S222" i="6"/>
  <c r="S223" i="6"/>
  <c r="S225" i="6"/>
  <c r="S224" i="6"/>
  <c r="S226" i="6"/>
  <c r="S229" i="6"/>
  <c r="S228" i="6"/>
  <c r="S227" i="6"/>
  <c r="S230" i="6"/>
  <c r="S231" i="6"/>
  <c r="S232" i="6"/>
  <c r="S233" i="6"/>
  <c r="S234" i="6"/>
  <c r="S235" i="6"/>
  <c r="S236" i="6"/>
  <c r="S237" i="6"/>
  <c r="S239" i="6"/>
  <c r="S238" i="6"/>
  <c r="S241" i="6"/>
  <c r="S240" i="6"/>
  <c r="S242" i="6"/>
  <c r="S244" i="6"/>
  <c r="S243" i="6"/>
  <c r="S245" i="6"/>
  <c r="S246" i="6"/>
  <c r="S247" i="6"/>
  <c r="S249" i="6"/>
  <c r="S248" i="6"/>
  <c r="S250" i="6"/>
  <c r="S253" i="6"/>
  <c r="S251" i="6"/>
  <c r="S252" i="6"/>
  <c r="S257" i="6"/>
  <c r="S254" i="6"/>
  <c r="S255" i="6"/>
  <c r="S256" i="6"/>
  <c r="S261" i="6"/>
  <c r="S260" i="6"/>
  <c r="S258" i="6"/>
  <c r="S259" i="6"/>
  <c r="S263" i="6"/>
  <c r="S264" i="6"/>
  <c r="S262" i="6"/>
  <c r="S265" i="6"/>
  <c r="S268" i="6"/>
  <c r="S267" i="6"/>
  <c r="S266" i="6"/>
  <c r="S269" i="6"/>
  <c r="S270" i="6"/>
  <c r="S271" i="6"/>
  <c r="S272" i="6"/>
  <c r="S273" i="6"/>
  <c r="S275" i="6"/>
  <c r="S274" i="6"/>
  <c r="S276" i="6"/>
  <c r="S277" i="6"/>
  <c r="S279" i="6"/>
  <c r="S278" i="6"/>
  <c r="S280" i="6"/>
  <c r="S283" i="6"/>
  <c r="S281" i="6"/>
  <c r="S282" i="6"/>
  <c r="S285" i="6"/>
  <c r="S284" i="6"/>
  <c r="S287" i="6"/>
  <c r="S286" i="6"/>
  <c r="S288" i="6"/>
  <c r="S291" i="6"/>
  <c r="S290" i="6"/>
  <c r="S289" i="6"/>
  <c r="S293" i="6"/>
  <c r="S292" i="6"/>
  <c r="S294" i="6"/>
  <c r="S295" i="6"/>
  <c r="S296" i="6"/>
  <c r="S297" i="6"/>
  <c r="S298" i="6"/>
  <c r="S299" i="6"/>
  <c r="S301" i="6"/>
  <c r="S302" i="6"/>
  <c r="S300" i="6"/>
  <c r="S303" i="6"/>
  <c r="S304" i="6"/>
  <c r="S305" i="6"/>
  <c r="S306" i="6"/>
  <c r="S307" i="6"/>
  <c r="S308" i="6"/>
  <c r="S309" i="6"/>
  <c r="S310" i="6"/>
  <c r="S311" i="6"/>
  <c r="S312" i="6"/>
  <c r="S313" i="6"/>
  <c r="S315" i="6"/>
  <c r="S314" i="6"/>
  <c r="S317" i="6"/>
  <c r="S316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7" i="6"/>
  <c r="S346" i="6"/>
  <c r="S349" i="6"/>
  <c r="S348" i="6"/>
  <c r="S351" i="6"/>
  <c r="S350" i="6"/>
  <c r="S353" i="6"/>
  <c r="S352" i="6"/>
  <c r="S355" i="6"/>
  <c r="S354" i="6"/>
  <c r="S357" i="6"/>
  <c r="S356" i="6"/>
  <c r="S358" i="6"/>
  <c r="S359" i="6"/>
  <c r="S360" i="6"/>
  <c r="S361" i="6"/>
  <c r="S362" i="6"/>
  <c r="S364" i="6"/>
  <c r="S363" i="6"/>
  <c r="S365" i="6"/>
  <c r="S366" i="6"/>
  <c r="S367" i="6"/>
  <c r="S368" i="6"/>
  <c r="S369" i="6"/>
  <c r="S370" i="6"/>
  <c r="S371" i="6"/>
  <c r="S372" i="6"/>
  <c r="S373" i="6"/>
  <c r="S374" i="6"/>
  <c r="S376" i="6"/>
  <c r="S375" i="6"/>
  <c r="S377" i="6"/>
  <c r="S378" i="6"/>
  <c r="S379" i="6"/>
  <c r="S380" i="6"/>
  <c r="S381" i="6"/>
  <c r="S382" i="6"/>
  <c r="S384" i="6"/>
  <c r="S383" i="6"/>
  <c r="S385" i="6"/>
  <c r="S387" i="6"/>
  <c r="S386" i="6"/>
  <c r="S389" i="6"/>
  <c r="S388" i="6"/>
  <c r="S390" i="6"/>
  <c r="S391" i="6"/>
  <c r="S392" i="6"/>
  <c r="S393" i="6"/>
  <c r="S395" i="6"/>
  <c r="S394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7" i="6"/>
  <c r="S416" i="6"/>
  <c r="S415" i="6"/>
  <c r="S418" i="6"/>
  <c r="S419" i="6"/>
  <c r="S420" i="6"/>
  <c r="S421" i="6"/>
  <c r="S422" i="6"/>
  <c r="S423" i="6"/>
  <c r="S424" i="6"/>
  <c r="S426" i="6"/>
  <c r="S425" i="6"/>
  <c r="S429" i="6"/>
  <c r="S428" i="6"/>
  <c r="S430" i="6"/>
  <c r="S427" i="6"/>
  <c r="S431" i="6"/>
  <c r="S432" i="6"/>
  <c r="S433" i="6"/>
  <c r="S434" i="6"/>
  <c r="S437" i="6"/>
  <c r="S436" i="6"/>
  <c r="S435" i="6"/>
  <c r="S438" i="6"/>
  <c r="S439" i="6"/>
  <c r="S442" i="6"/>
  <c r="S443" i="6"/>
  <c r="S440" i="6"/>
  <c r="S441" i="6"/>
  <c r="S444" i="6"/>
  <c r="S445" i="6"/>
  <c r="S447" i="6"/>
  <c r="S446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70" i="6"/>
  <c r="S469" i="6"/>
  <c r="S473" i="6"/>
  <c r="S472" i="6"/>
  <c r="S471" i="6"/>
  <c r="S474" i="6"/>
  <c r="S475" i="6"/>
  <c r="S477" i="6"/>
  <c r="S476" i="6"/>
  <c r="S478" i="6"/>
  <c r="S479" i="6"/>
  <c r="S480" i="6"/>
  <c r="S482" i="6"/>
  <c r="S481" i="6"/>
  <c r="S484" i="6"/>
  <c r="S485" i="6"/>
  <c r="S483" i="6"/>
  <c r="S488" i="6"/>
  <c r="S487" i="6"/>
  <c r="S486" i="6"/>
  <c r="S491" i="6"/>
  <c r="S490" i="6"/>
  <c r="S489" i="6"/>
  <c r="S492" i="6"/>
  <c r="S493" i="6"/>
  <c r="S497" i="6"/>
  <c r="S496" i="6"/>
  <c r="S494" i="6"/>
  <c r="S495" i="6"/>
  <c r="S498" i="6"/>
  <c r="S499" i="6"/>
  <c r="S501" i="6"/>
  <c r="S500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3" i="6"/>
  <c r="S524" i="6"/>
  <c r="S522" i="6"/>
  <c r="S525" i="6"/>
  <c r="S526" i="6"/>
  <c r="S527" i="6"/>
  <c r="S529" i="6"/>
  <c r="S528" i="6"/>
  <c r="S530" i="6"/>
  <c r="S533" i="6"/>
  <c r="S531" i="6"/>
  <c r="S532" i="6"/>
  <c r="S534" i="6"/>
  <c r="S535" i="6"/>
  <c r="S536" i="6"/>
  <c r="S537" i="6"/>
  <c r="S538" i="6"/>
  <c r="S539" i="6"/>
  <c r="S540" i="6"/>
  <c r="S541" i="6"/>
  <c r="S543" i="6"/>
  <c r="S544" i="6"/>
  <c r="S542" i="6"/>
  <c r="S545" i="6"/>
  <c r="S547" i="6"/>
  <c r="S546" i="6"/>
  <c r="S548" i="6"/>
  <c r="S549" i="6"/>
  <c r="S553" i="6"/>
  <c r="S552" i="6"/>
  <c r="S550" i="6"/>
  <c r="S551" i="6"/>
  <c r="S555" i="6"/>
  <c r="S554" i="6"/>
  <c r="S556" i="6"/>
  <c r="S557" i="6"/>
  <c r="S559" i="6"/>
  <c r="S558" i="6"/>
  <c r="S561" i="6"/>
  <c r="S560" i="6"/>
  <c r="S565" i="6"/>
  <c r="S564" i="6"/>
  <c r="S563" i="6"/>
  <c r="S562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4" i="6"/>
  <c r="S583" i="6"/>
  <c r="S585" i="6"/>
  <c r="S587" i="6"/>
  <c r="S589" i="6"/>
  <c r="S586" i="6"/>
  <c r="S588" i="6"/>
  <c r="S591" i="6"/>
  <c r="S590" i="6"/>
  <c r="S592" i="6"/>
  <c r="S593" i="6"/>
  <c r="S595" i="6"/>
  <c r="S594" i="6"/>
  <c r="S597" i="6"/>
  <c r="S598" i="6"/>
  <c r="S596" i="6"/>
  <c r="S599" i="6"/>
  <c r="S601" i="6"/>
  <c r="S600" i="6"/>
  <c r="S603" i="6"/>
  <c r="S602" i="6"/>
  <c r="S604" i="6"/>
  <c r="S605" i="6"/>
  <c r="S607" i="6"/>
  <c r="S606" i="6"/>
  <c r="S609" i="6"/>
  <c r="S608" i="6"/>
  <c r="S610" i="6"/>
  <c r="S611" i="6"/>
  <c r="S613" i="6"/>
  <c r="S612" i="6"/>
  <c r="S615" i="6"/>
  <c r="S614" i="6"/>
  <c r="S617" i="6"/>
  <c r="S616" i="6"/>
  <c r="S620" i="6"/>
  <c r="S621" i="6"/>
  <c r="S619" i="6"/>
  <c r="S618" i="6"/>
  <c r="S623" i="6"/>
  <c r="S622" i="6"/>
  <c r="S624" i="6"/>
  <c r="S625" i="6"/>
  <c r="S628" i="6"/>
  <c r="S629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2" i="6"/>
  <c r="S653" i="6"/>
  <c r="S655" i="6"/>
  <c r="S656" i="6"/>
  <c r="S654" i="6"/>
  <c r="S659" i="6"/>
  <c r="S657" i="6"/>
  <c r="S658" i="6"/>
  <c r="S662" i="6"/>
  <c r="S660" i="6"/>
  <c r="S661" i="6"/>
  <c r="S663" i="6"/>
  <c r="S664" i="6"/>
  <c r="S665" i="6"/>
  <c r="S666" i="6"/>
  <c r="S667" i="6"/>
  <c r="S668" i="6"/>
  <c r="S669" i="6"/>
  <c r="S670" i="6"/>
  <c r="S671" i="6"/>
  <c r="S672" i="6"/>
  <c r="S673" i="6"/>
  <c r="S674" i="6"/>
  <c r="S675" i="6"/>
  <c r="S676" i="6"/>
  <c r="S677" i="6"/>
  <c r="S678" i="6"/>
  <c r="S679" i="6"/>
  <c r="S681" i="6"/>
  <c r="S680" i="6"/>
  <c r="S685" i="6"/>
  <c r="S684" i="6"/>
  <c r="S683" i="6"/>
  <c r="S682" i="6"/>
  <c r="S686" i="6"/>
  <c r="S687" i="6"/>
  <c r="S689" i="6"/>
  <c r="S688" i="6"/>
  <c r="S692" i="6"/>
  <c r="S693" i="6"/>
  <c r="S691" i="6"/>
  <c r="S690" i="6"/>
  <c r="S694" i="6"/>
  <c r="S695" i="6"/>
  <c r="S696" i="6"/>
  <c r="S697" i="6"/>
  <c r="S699" i="6"/>
  <c r="S698" i="6"/>
  <c r="S700" i="6"/>
  <c r="S701" i="6"/>
  <c r="S702" i="6"/>
  <c r="S703" i="6"/>
  <c r="S704" i="6"/>
  <c r="S705" i="6"/>
  <c r="S706" i="6"/>
  <c r="S707" i="6"/>
  <c r="S708" i="6"/>
  <c r="S709" i="6"/>
  <c r="S710" i="6"/>
  <c r="S711" i="6"/>
  <c r="S712" i="6"/>
  <c r="S713" i="6"/>
  <c r="S714" i="6"/>
  <c r="S715" i="6"/>
  <c r="S716" i="6"/>
  <c r="S717" i="6"/>
  <c r="S718" i="6"/>
  <c r="S719" i="6"/>
  <c r="S720" i="6"/>
  <c r="S721" i="6"/>
  <c r="S722" i="6"/>
  <c r="S723" i="6"/>
  <c r="S726" i="6"/>
  <c r="S724" i="6"/>
  <c r="S725" i="6"/>
  <c r="S729" i="6"/>
  <c r="S727" i="6"/>
  <c r="S728" i="6"/>
  <c r="S731" i="6"/>
  <c r="S732" i="6"/>
  <c r="S730" i="6"/>
  <c r="S734" i="6"/>
  <c r="S733" i="6"/>
  <c r="S735" i="6"/>
  <c r="S736" i="6"/>
  <c r="S737" i="6"/>
  <c r="S738" i="6"/>
  <c r="S739" i="6"/>
  <c r="S740" i="6"/>
  <c r="S741" i="6"/>
  <c r="S742" i="6"/>
  <c r="S743" i="6"/>
  <c r="S745" i="6"/>
  <c r="S744" i="6"/>
  <c r="S747" i="6"/>
  <c r="S746" i="6"/>
  <c r="S749" i="6"/>
  <c r="S748" i="6"/>
  <c r="S752" i="6"/>
  <c r="S753" i="6"/>
  <c r="S750" i="6"/>
  <c r="S751" i="6"/>
  <c r="S754" i="6"/>
  <c r="S755" i="6"/>
  <c r="S757" i="6"/>
  <c r="S756" i="6"/>
  <c r="S758" i="6"/>
  <c r="S759" i="6"/>
  <c r="S760" i="6"/>
  <c r="S761" i="6"/>
  <c r="S762" i="6"/>
  <c r="S763" i="6"/>
  <c r="S764" i="6"/>
  <c r="S765" i="6"/>
  <c r="S766" i="6"/>
  <c r="S767" i="6"/>
  <c r="S768" i="6"/>
  <c r="S769" i="6"/>
  <c r="S770" i="6"/>
  <c r="S771" i="6"/>
  <c r="S772" i="6"/>
  <c r="S773" i="6"/>
  <c r="S774" i="6"/>
  <c r="S776" i="6"/>
  <c r="S777" i="6"/>
  <c r="S775" i="6"/>
  <c r="S780" i="6"/>
  <c r="S779" i="6"/>
  <c r="S781" i="6"/>
  <c r="S778" i="6"/>
  <c r="S782" i="6"/>
  <c r="S783" i="6"/>
  <c r="S784" i="6"/>
  <c r="S786" i="6"/>
  <c r="S785" i="6"/>
  <c r="S787" i="6"/>
  <c r="S790" i="6"/>
  <c r="S789" i="6"/>
  <c r="S788" i="6"/>
  <c r="S793" i="6"/>
  <c r="S792" i="6"/>
  <c r="S791" i="6"/>
  <c r="S794" i="6"/>
  <c r="S796" i="6"/>
  <c r="S795" i="6"/>
  <c r="S797" i="6"/>
  <c r="S798" i="6"/>
  <c r="S799" i="6"/>
  <c r="S800" i="6"/>
  <c r="S802" i="6"/>
  <c r="S801" i="6"/>
  <c r="S805" i="6"/>
  <c r="S803" i="6"/>
  <c r="S804" i="6"/>
  <c r="S808" i="6"/>
  <c r="S809" i="6"/>
  <c r="S807" i="6"/>
  <c r="S806" i="6"/>
  <c r="S813" i="6"/>
  <c r="S812" i="6"/>
  <c r="S810" i="6"/>
  <c r="S811" i="6"/>
  <c r="S816" i="6"/>
  <c r="S817" i="6"/>
  <c r="S814" i="6"/>
  <c r="S815" i="6"/>
  <c r="S818" i="6"/>
  <c r="S819" i="6"/>
  <c r="S821" i="6"/>
  <c r="S820" i="6"/>
  <c r="S822" i="6"/>
  <c r="S823" i="6"/>
  <c r="S824" i="6"/>
  <c r="S825" i="6"/>
  <c r="S826" i="6"/>
  <c r="S827" i="6"/>
  <c r="S828" i="6"/>
  <c r="S829" i="6"/>
  <c r="S830" i="6"/>
  <c r="S831" i="6"/>
  <c r="S832" i="6"/>
  <c r="S833" i="6"/>
  <c r="S834" i="6"/>
  <c r="S835" i="6"/>
  <c r="S836" i="6"/>
  <c r="S837" i="6"/>
  <c r="S838" i="6"/>
  <c r="S839" i="6"/>
  <c r="S841" i="6"/>
  <c r="S840" i="6"/>
  <c r="S842" i="6"/>
  <c r="S844" i="6"/>
  <c r="S843" i="6"/>
  <c r="S845" i="6"/>
  <c r="S848" i="6"/>
  <c r="S846" i="6"/>
  <c r="S847" i="6"/>
  <c r="S849" i="6"/>
  <c r="S850" i="6"/>
  <c r="S851" i="6"/>
  <c r="S853" i="6"/>
  <c r="S852" i="6"/>
  <c r="S854" i="6"/>
  <c r="S856" i="6"/>
  <c r="S855" i="6"/>
  <c r="S857" i="6"/>
  <c r="S859" i="6"/>
  <c r="S858" i="6"/>
  <c r="S860" i="6"/>
  <c r="S861" i="6"/>
  <c r="S862" i="6"/>
  <c r="S863" i="6"/>
  <c r="S866" i="6"/>
  <c r="S865" i="6"/>
  <c r="S864" i="6"/>
  <c r="S867" i="6"/>
  <c r="S869" i="6"/>
  <c r="S868" i="6"/>
  <c r="S870" i="6"/>
  <c r="S871" i="6"/>
  <c r="S873" i="6"/>
  <c r="S872" i="6"/>
  <c r="S875" i="6"/>
  <c r="S874" i="6"/>
  <c r="S876" i="6"/>
  <c r="S877" i="6"/>
  <c r="S880" i="6"/>
  <c r="S881" i="6"/>
  <c r="S878" i="6"/>
  <c r="S879" i="6"/>
  <c r="S884" i="6"/>
  <c r="S885" i="6"/>
  <c r="S882" i="6"/>
  <c r="S883" i="6"/>
  <c r="S886" i="6"/>
  <c r="S887" i="6"/>
  <c r="S888" i="6"/>
  <c r="S889" i="6"/>
  <c r="S890" i="6"/>
  <c r="S891" i="6"/>
  <c r="S892" i="6"/>
  <c r="S893" i="6"/>
  <c r="S894" i="6"/>
  <c r="S895" i="6"/>
  <c r="S896" i="6"/>
  <c r="S897" i="6"/>
  <c r="S898" i="6"/>
  <c r="S899" i="6"/>
  <c r="S900" i="6"/>
  <c r="S901" i="6"/>
  <c r="S2" i="6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3" i="7"/>
  <c r="J4" i="7"/>
  <c r="J5" i="7"/>
  <c r="J6" i="7"/>
  <c r="F4" i="7"/>
  <c r="H4" i="7"/>
  <c r="F5" i="7"/>
  <c r="H5" i="7"/>
  <c r="F6" i="7"/>
  <c r="H6" i="7"/>
  <c r="F7" i="7"/>
  <c r="H7" i="7"/>
  <c r="F8" i="7"/>
  <c r="H8" i="7"/>
  <c r="F9" i="7"/>
  <c r="H9" i="7"/>
  <c r="F10" i="7"/>
  <c r="H10" i="7"/>
  <c r="F11" i="7"/>
  <c r="H11" i="7"/>
  <c r="F12" i="7"/>
  <c r="H12" i="7"/>
  <c r="F13" i="7"/>
  <c r="H13" i="7"/>
  <c r="F14" i="7"/>
  <c r="H14" i="7"/>
  <c r="F15" i="7"/>
  <c r="H15" i="7"/>
  <c r="F16" i="7"/>
  <c r="H16" i="7"/>
  <c r="F17" i="7"/>
  <c r="H17" i="7"/>
  <c r="F18" i="7"/>
  <c r="H18" i="7"/>
  <c r="F19" i="7"/>
  <c r="H19" i="7"/>
  <c r="F20" i="7"/>
  <c r="H20" i="7"/>
  <c r="F21" i="7"/>
  <c r="H21" i="7"/>
  <c r="F22" i="7"/>
  <c r="H22" i="7"/>
  <c r="F23" i="7"/>
  <c r="H23" i="7"/>
  <c r="F24" i="7"/>
  <c r="H24" i="7"/>
  <c r="F25" i="7"/>
  <c r="H25" i="7"/>
  <c r="F26" i="7"/>
  <c r="H26" i="7"/>
  <c r="F27" i="7"/>
  <c r="H27" i="7"/>
  <c r="F28" i="7"/>
  <c r="H28" i="7"/>
  <c r="F29" i="7"/>
  <c r="H29" i="7"/>
  <c r="F30" i="7"/>
  <c r="H30" i="7"/>
  <c r="F31" i="7"/>
  <c r="H31" i="7"/>
  <c r="F32" i="7"/>
  <c r="H32" i="7"/>
  <c r="F33" i="7"/>
  <c r="H33" i="7"/>
  <c r="F34" i="7"/>
  <c r="H34" i="7"/>
  <c r="F35" i="7"/>
  <c r="H35" i="7"/>
  <c r="F36" i="7"/>
  <c r="H36" i="7"/>
  <c r="F37" i="7"/>
  <c r="H37" i="7"/>
  <c r="F38" i="7"/>
  <c r="H38" i="7"/>
  <c r="F39" i="7"/>
  <c r="H39" i="7"/>
  <c r="F40" i="7"/>
  <c r="H40" i="7"/>
  <c r="F41" i="7"/>
  <c r="H41" i="7"/>
  <c r="F42" i="7"/>
  <c r="H42" i="7"/>
  <c r="F43" i="7"/>
  <c r="H43" i="7"/>
  <c r="F44" i="7"/>
  <c r="H44" i="7"/>
  <c r="F45" i="7"/>
  <c r="H45" i="7"/>
  <c r="F46" i="7"/>
  <c r="H46" i="7"/>
  <c r="F47" i="7"/>
  <c r="H47" i="7"/>
  <c r="F48" i="7"/>
  <c r="H48" i="7"/>
  <c r="F49" i="7"/>
  <c r="H49" i="7"/>
  <c r="F50" i="7"/>
  <c r="H50" i="7"/>
  <c r="F51" i="7"/>
  <c r="H51" i="7"/>
  <c r="F52" i="7"/>
  <c r="H52" i="7"/>
  <c r="F53" i="7"/>
  <c r="H53" i="7"/>
  <c r="F54" i="7"/>
  <c r="H54" i="7"/>
  <c r="F55" i="7"/>
  <c r="H55" i="7"/>
  <c r="F56" i="7"/>
  <c r="H56" i="7"/>
  <c r="F57" i="7"/>
  <c r="H57" i="7"/>
  <c r="F58" i="7"/>
  <c r="H58" i="7"/>
  <c r="F59" i="7"/>
  <c r="H59" i="7"/>
  <c r="F60" i="7"/>
  <c r="H60" i="7"/>
  <c r="F61" i="7"/>
  <c r="H61" i="7"/>
  <c r="F62" i="7"/>
  <c r="H62" i="7"/>
  <c r="F63" i="7"/>
  <c r="H63" i="7"/>
  <c r="F64" i="7"/>
  <c r="H64" i="7"/>
  <c r="F65" i="7"/>
  <c r="H65" i="7"/>
  <c r="F66" i="7"/>
  <c r="H66" i="7"/>
  <c r="F67" i="7"/>
  <c r="H67" i="7"/>
  <c r="F68" i="7"/>
  <c r="H68" i="7"/>
  <c r="F69" i="7"/>
  <c r="H69" i="7"/>
  <c r="F70" i="7"/>
  <c r="H70" i="7"/>
  <c r="F71" i="7"/>
  <c r="H71" i="7"/>
  <c r="F72" i="7"/>
  <c r="H72" i="7"/>
  <c r="F73" i="7"/>
  <c r="H73" i="7"/>
  <c r="F74" i="7"/>
  <c r="H74" i="7"/>
  <c r="F75" i="7"/>
  <c r="H75" i="7"/>
  <c r="F76" i="7"/>
  <c r="H76" i="7"/>
  <c r="F77" i="7"/>
  <c r="H77" i="7"/>
  <c r="F78" i="7"/>
  <c r="H78" i="7"/>
  <c r="F79" i="7"/>
  <c r="H79" i="7"/>
  <c r="F80" i="7"/>
  <c r="H80" i="7"/>
  <c r="F81" i="7"/>
  <c r="H81" i="7"/>
  <c r="F82" i="7"/>
  <c r="H82" i="7"/>
  <c r="F83" i="7"/>
  <c r="H83" i="7"/>
  <c r="F84" i="7"/>
  <c r="H84" i="7"/>
  <c r="F85" i="7"/>
  <c r="H85" i="7"/>
  <c r="F86" i="7"/>
  <c r="H86" i="7"/>
  <c r="F87" i="7"/>
  <c r="H87" i="7"/>
  <c r="F88" i="7"/>
  <c r="H88" i="7"/>
  <c r="F89" i="7"/>
  <c r="H89" i="7"/>
  <c r="F90" i="7"/>
  <c r="H90" i="7"/>
  <c r="F91" i="7"/>
  <c r="H91" i="7"/>
  <c r="F92" i="7"/>
  <c r="H92" i="7"/>
  <c r="F93" i="7"/>
  <c r="H93" i="7"/>
  <c r="F94" i="7"/>
  <c r="H94" i="7"/>
  <c r="F95" i="7"/>
  <c r="H95" i="7"/>
  <c r="F96" i="7"/>
  <c r="H96" i="7"/>
  <c r="F97" i="7"/>
  <c r="H97" i="7"/>
  <c r="F98" i="7"/>
  <c r="H98" i="7"/>
  <c r="F99" i="7"/>
  <c r="H99" i="7"/>
  <c r="F100" i="7"/>
  <c r="H100" i="7"/>
  <c r="F101" i="7"/>
  <c r="H101" i="7"/>
  <c r="F102" i="7"/>
  <c r="H102" i="7"/>
  <c r="F103" i="7"/>
  <c r="H103" i="7"/>
  <c r="F104" i="7"/>
  <c r="H104" i="7"/>
  <c r="F105" i="7"/>
  <c r="H105" i="7"/>
  <c r="F106" i="7"/>
  <c r="H106" i="7"/>
  <c r="F107" i="7"/>
  <c r="H107" i="7"/>
  <c r="F108" i="7"/>
  <c r="H108" i="7"/>
  <c r="F109" i="7"/>
  <c r="H109" i="7"/>
  <c r="F110" i="7"/>
  <c r="H110" i="7"/>
  <c r="F111" i="7"/>
  <c r="H111" i="7"/>
  <c r="F112" i="7"/>
  <c r="H112" i="7"/>
  <c r="F113" i="7"/>
  <c r="H113" i="7"/>
  <c r="F114" i="7"/>
  <c r="H114" i="7"/>
  <c r="F115" i="7"/>
  <c r="H115" i="7"/>
  <c r="F116" i="7"/>
  <c r="H116" i="7"/>
  <c r="F117" i="7"/>
  <c r="H117" i="7"/>
  <c r="F118" i="7"/>
  <c r="H118" i="7"/>
  <c r="F119" i="7"/>
  <c r="H119" i="7"/>
  <c r="F120" i="7"/>
  <c r="H120" i="7"/>
  <c r="F121" i="7"/>
  <c r="H121" i="7"/>
  <c r="F122" i="7"/>
  <c r="H122" i="7"/>
  <c r="F123" i="7"/>
  <c r="H123" i="7"/>
  <c r="F124" i="7"/>
  <c r="H124" i="7"/>
  <c r="F125" i="7"/>
  <c r="H125" i="7"/>
  <c r="F126" i="7"/>
  <c r="H126" i="7"/>
  <c r="F127" i="7"/>
  <c r="H127" i="7"/>
  <c r="F128" i="7"/>
  <c r="H128" i="7"/>
  <c r="F129" i="7"/>
  <c r="H129" i="7"/>
  <c r="F130" i="7"/>
  <c r="H130" i="7"/>
  <c r="F131" i="7"/>
  <c r="H131" i="7"/>
  <c r="F132" i="7"/>
  <c r="H132" i="7"/>
  <c r="F133" i="7"/>
  <c r="H133" i="7"/>
  <c r="F134" i="7"/>
  <c r="H134" i="7"/>
  <c r="F135" i="7"/>
  <c r="H135" i="7"/>
  <c r="F136" i="7"/>
  <c r="H136" i="7"/>
  <c r="F137" i="7"/>
  <c r="H137" i="7"/>
  <c r="F138" i="7"/>
  <c r="H138" i="7"/>
  <c r="F139" i="7"/>
  <c r="H139" i="7"/>
  <c r="F140" i="7"/>
  <c r="H140" i="7"/>
  <c r="F141" i="7"/>
  <c r="H141" i="7"/>
  <c r="F142" i="7"/>
  <c r="H142" i="7"/>
  <c r="F143" i="7"/>
  <c r="H143" i="7"/>
  <c r="F144" i="7"/>
  <c r="H144" i="7"/>
  <c r="F145" i="7"/>
  <c r="H145" i="7"/>
  <c r="F146" i="7"/>
  <c r="H146" i="7"/>
  <c r="F147" i="7"/>
  <c r="H147" i="7"/>
  <c r="F148" i="7"/>
  <c r="H148" i="7"/>
  <c r="F149" i="7"/>
  <c r="H149" i="7"/>
  <c r="F150" i="7"/>
  <c r="H150" i="7"/>
  <c r="F151" i="7"/>
  <c r="H151" i="7"/>
  <c r="F152" i="7"/>
  <c r="H152" i="7"/>
  <c r="F153" i="7"/>
  <c r="H153" i="7"/>
  <c r="F154" i="7"/>
  <c r="H154" i="7"/>
  <c r="F155" i="7"/>
  <c r="H155" i="7"/>
  <c r="F156" i="7"/>
  <c r="H156" i="7"/>
  <c r="F157" i="7"/>
  <c r="H157" i="7"/>
  <c r="F158" i="7"/>
  <c r="H158" i="7"/>
  <c r="F159" i="7"/>
  <c r="H159" i="7"/>
  <c r="F160" i="7"/>
  <c r="H160" i="7"/>
  <c r="F161" i="7"/>
  <c r="H161" i="7"/>
  <c r="F162" i="7"/>
  <c r="H162" i="7"/>
  <c r="F163" i="7"/>
  <c r="H163" i="7"/>
  <c r="F164" i="7"/>
  <c r="H164" i="7"/>
  <c r="F165" i="7"/>
  <c r="H165" i="7"/>
  <c r="F166" i="7"/>
  <c r="H166" i="7"/>
  <c r="F167" i="7"/>
  <c r="H167" i="7"/>
  <c r="F168" i="7"/>
  <c r="H168" i="7"/>
  <c r="F169" i="7"/>
  <c r="H169" i="7"/>
  <c r="F170" i="7"/>
  <c r="H170" i="7"/>
  <c r="F171" i="7"/>
  <c r="H171" i="7"/>
  <c r="F172" i="7"/>
  <c r="H172" i="7"/>
  <c r="F173" i="7"/>
  <c r="H173" i="7"/>
  <c r="F174" i="7"/>
  <c r="H174" i="7"/>
  <c r="F175" i="7"/>
  <c r="H175" i="7"/>
  <c r="F176" i="7"/>
  <c r="H176" i="7"/>
  <c r="F177" i="7"/>
  <c r="H177" i="7"/>
  <c r="F178" i="7"/>
  <c r="H178" i="7"/>
  <c r="F179" i="7"/>
  <c r="H179" i="7"/>
  <c r="F180" i="7"/>
  <c r="H180" i="7"/>
  <c r="F181" i="7"/>
  <c r="H181" i="7"/>
  <c r="F182" i="7"/>
  <c r="H182" i="7"/>
  <c r="F183" i="7"/>
  <c r="H183" i="7"/>
  <c r="F184" i="7"/>
  <c r="H184" i="7"/>
  <c r="F185" i="7"/>
  <c r="H185" i="7"/>
  <c r="F186" i="7"/>
  <c r="H186" i="7"/>
  <c r="F187" i="7"/>
  <c r="H187" i="7"/>
  <c r="F188" i="7"/>
  <c r="H188" i="7"/>
  <c r="F189" i="7"/>
  <c r="H189" i="7"/>
  <c r="F190" i="7"/>
  <c r="H190" i="7"/>
  <c r="F191" i="7"/>
  <c r="H191" i="7"/>
  <c r="F192" i="7"/>
  <c r="H192" i="7"/>
  <c r="F193" i="7"/>
  <c r="H193" i="7"/>
  <c r="F194" i="7"/>
  <c r="H194" i="7"/>
  <c r="F195" i="7"/>
  <c r="H195" i="7"/>
  <c r="F196" i="7"/>
  <c r="H196" i="7"/>
  <c r="F197" i="7"/>
  <c r="H197" i="7"/>
  <c r="F198" i="7"/>
  <c r="H198" i="7"/>
  <c r="F199" i="7"/>
  <c r="H199" i="7"/>
  <c r="F200" i="7"/>
  <c r="H200" i="7"/>
  <c r="F201" i="7"/>
  <c r="H201" i="7"/>
  <c r="F202" i="7"/>
  <c r="H202" i="7"/>
  <c r="F203" i="7"/>
  <c r="H203" i="7"/>
  <c r="F204" i="7"/>
  <c r="H204" i="7"/>
  <c r="F205" i="7"/>
  <c r="H205" i="7"/>
  <c r="F206" i="7"/>
  <c r="H206" i="7"/>
  <c r="F207" i="7"/>
  <c r="H207" i="7"/>
  <c r="F208" i="7"/>
  <c r="H208" i="7"/>
  <c r="F209" i="7"/>
  <c r="H209" i="7"/>
  <c r="F210" i="7"/>
  <c r="H210" i="7"/>
  <c r="F211" i="7"/>
  <c r="H211" i="7"/>
  <c r="F212" i="7"/>
  <c r="H212" i="7"/>
  <c r="F213" i="7"/>
  <c r="H213" i="7"/>
  <c r="F214" i="7"/>
  <c r="H214" i="7"/>
  <c r="F215" i="7"/>
  <c r="H215" i="7"/>
  <c r="F216" i="7"/>
  <c r="H216" i="7"/>
  <c r="F217" i="7"/>
  <c r="H217" i="7"/>
  <c r="F218" i="7"/>
  <c r="H218" i="7"/>
  <c r="F219" i="7"/>
  <c r="H219" i="7"/>
  <c r="F220" i="7"/>
  <c r="H220" i="7"/>
  <c r="F221" i="7"/>
  <c r="H221" i="7"/>
  <c r="F222" i="7"/>
  <c r="H222" i="7"/>
  <c r="K3" i="7"/>
  <c r="K4" i="7" s="1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K113" i="7" s="1"/>
  <c r="K114" i="7" s="1"/>
  <c r="K115" i="7" s="1"/>
  <c r="K116" i="7" s="1"/>
  <c r="K117" i="7" s="1"/>
  <c r="K118" i="7" s="1"/>
  <c r="K119" i="7" s="1"/>
  <c r="K120" i="7" s="1"/>
  <c r="K121" i="7" s="1"/>
  <c r="K122" i="7" s="1"/>
  <c r="K123" i="7" s="1"/>
  <c r="K124" i="7" s="1"/>
  <c r="K125" i="7" s="1"/>
  <c r="K126" i="7" s="1"/>
  <c r="K127" i="7" s="1"/>
  <c r="K128" i="7" s="1"/>
  <c r="K129" i="7" s="1"/>
  <c r="K130" i="7" s="1"/>
  <c r="K131" i="7" s="1"/>
  <c r="K132" i="7" s="1"/>
  <c r="K133" i="7" s="1"/>
  <c r="K134" i="7" s="1"/>
  <c r="K135" i="7" s="1"/>
  <c r="K136" i="7" s="1"/>
  <c r="K137" i="7" s="1"/>
  <c r="K138" i="7" s="1"/>
  <c r="K139" i="7" s="1"/>
  <c r="K140" i="7" s="1"/>
  <c r="K141" i="7" s="1"/>
  <c r="K142" i="7" s="1"/>
  <c r="K143" i="7" s="1"/>
  <c r="K144" i="7" s="1"/>
  <c r="K145" i="7" s="1"/>
  <c r="K146" i="7" s="1"/>
  <c r="K147" i="7" s="1"/>
  <c r="K148" i="7" s="1"/>
  <c r="K149" i="7" s="1"/>
  <c r="K150" i="7" s="1"/>
  <c r="K151" i="7" s="1"/>
  <c r="K152" i="7" s="1"/>
  <c r="K153" i="7" s="1"/>
  <c r="K154" i="7" s="1"/>
  <c r="K155" i="7" s="1"/>
  <c r="K156" i="7" s="1"/>
  <c r="K157" i="7" s="1"/>
  <c r="K158" i="7" s="1"/>
  <c r="K159" i="7" s="1"/>
  <c r="K160" i="7" s="1"/>
  <c r="K161" i="7" s="1"/>
  <c r="K162" i="7" s="1"/>
  <c r="K163" i="7" s="1"/>
  <c r="K164" i="7" s="1"/>
  <c r="K165" i="7" s="1"/>
  <c r="K166" i="7" s="1"/>
  <c r="K167" i="7" s="1"/>
  <c r="K168" i="7" s="1"/>
  <c r="K169" i="7" s="1"/>
  <c r="K170" i="7" s="1"/>
  <c r="K171" i="7" s="1"/>
  <c r="K172" i="7" s="1"/>
  <c r="K173" i="7" s="1"/>
  <c r="K174" i="7" s="1"/>
  <c r="K175" i="7" s="1"/>
  <c r="K176" i="7" s="1"/>
  <c r="K177" i="7" s="1"/>
  <c r="K178" i="7" s="1"/>
  <c r="K179" i="7" s="1"/>
  <c r="K180" i="7" s="1"/>
  <c r="K181" i="7" s="1"/>
  <c r="K182" i="7" s="1"/>
  <c r="K183" i="7" s="1"/>
  <c r="K184" i="7" s="1"/>
  <c r="K185" i="7" s="1"/>
  <c r="K186" i="7" s="1"/>
  <c r="K187" i="7" s="1"/>
  <c r="K188" i="7" s="1"/>
  <c r="K189" i="7" s="1"/>
  <c r="K190" i="7" s="1"/>
  <c r="K191" i="7" s="1"/>
  <c r="K192" i="7" s="1"/>
  <c r="K193" i="7" s="1"/>
  <c r="K194" i="7" s="1"/>
  <c r="K195" i="7" s="1"/>
  <c r="K196" i="7" s="1"/>
  <c r="K197" i="7" s="1"/>
  <c r="K198" i="7" s="1"/>
  <c r="K199" i="7" s="1"/>
  <c r="K200" i="7" s="1"/>
  <c r="K201" i="7" s="1"/>
  <c r="K202" i="7" s="1"/>
  <c r="K203" i="7" s="1"/>
  <c r="K204" i="7" s="1"/>
  <c r="K205" i="7" s="1"/>
  <c r="K206" i="7" s="1"/>
  <c r="K207" i="7" s="1"/>
  <c r="K208" i="7" s="1"/>
  <c r="K209" i="7" s="1"/>
  <c r="K210" i="7" s="1"/>
  <c r="K211" i="7" s="1"/>
  <c r="K212" i="7" s="1"/>
  <c r="K213" i="7" s="1"/>
  <c r="K214" i="7" s="1"/>
  <c r="K215" i="7" s="1"/>
  <c r="K216" i="7" s="1"/>
  <c r="K217" i="7" s="1"/>
  <c r="K218" i="7" s="1"/>
  <c r="K219" i="7" s="1"/>
  <c r="K220" i="7" s="1"/>
  <c r="K221" i="7" s="1"/>
  <c r="K222" i="7" s="1"/>
  <c r="K223" i="7" s="1"/>
  <c r="J2" i="7"/>
  <c r="I3" i="7"/>
  <c r="I4" i="7" s="1"/>
  <c r="I5" i="7" s="1"/>
  <c r="I6" i="7" s="1"/>
  <c r="I7" i="7" s="1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56" i="7" s="1"/>
  <c r="I57" i="7" s="1"/>
  <c r="I58" i="7" s="1"/>
  <c r="I59" i="7" s="1"/>
  <c r="I60" i="7" s="1"/>
  <c r="I61" i="7" s="1"/>
  <c r="I62" i="7" s="1"/>
  <c r="I63" i="7" s="1"/>
  <c r="I64" i="7" s="1"/>
  <c r="I65" i="7" s="1"/>
  <c r="I66" i="7" s="1"/>
  <c r="I67" i="7" s="1"/>
  <c r="I68" i="7" s="1"/>
  <c r="I69" i="7" s="1"/>
  <c r="I70" i="7" s="1"/>
  <c r="I71" i="7" s="1"/>
  <c r="I72" i="7" s="1"/>
  <c r="I73" i="7" s="1"/>
  <c r="I74" i="7" s="1"/>
  <c r="I75" i="7" s="1"/>
  <c r="I76" i="7" s="1"/>
  <c r="I77" i="7" s="1"/>
  <c r="I78" i="7" s="1"/>
  <c r="I79" i="7" s="1"/>
  <c r="I80" i="7" s="1"/>
  <c r="I81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7" i="7" s="1"/>
  <c r="I118" i="7" s="1"/>
  <c r="I119" i="7" s="1"/>
  <c r="I120" i="7" s="1"/>
  <c r="I121" i="7" s="1"/>
  <c r="I122" i="7" s="1"/>
  <c r="I123" i="7" s="1"/>
  <c r="I124" i="7" s="1"/>
  <c r="I125" i="7" s="1"/>
  <c r="I126" i="7" s="1"/>
  <c r="I127" i="7" s="1"/>
  <c r="I128" i="7" s="1"/>
  <c r="I129" i="7" s="1"/>
  <c r="I130" i="7" s="1"/>
  <c r="I131" i="7" s="1"/>
  <c r="I132" i="7" s="1"/>
  <c r="I133" i="7" s="1"/>
  <c r="I134" i="7" s="1"/>
  <c r="I135" i="7" s="1"/>
  <c r="I136" i="7" s="1"/>
  <c r="I137" i="7" s="1"/>
  <c r="I138" i="7" s="1"/>
  <c r="I139" i="7" s="1"/>
  <c r="I140" i="7" s="1"/>
  <c r="I141" i="7" s="1"/>
  <c r="I142" i="7" s="1"/>
  <c r="I143" i="7" s="1"/>
  <c r="I144" i="7" s="1"/>
  <c r="I145" i="7" s="1"/>
  <c r="I146" i="7" s="1"/>
  <c r="I147" i="7" s="1"/>
  <c r="I148" i="7" s="1"/>
  <c r="I149" i="7" s="1"/>
  <c r="I150" i="7" s="1"/>
  <c r="I151" i="7" s="1"/>
  <c r="I152" i="7" s="1"/>
  <c r="I153" i="7" s="1"/>
  <c r="I154" i="7" s="1"/>
  <c r="I155" i="7" s="1"/>
  <c r="I156" i="7" s="1"/>
  <c r="I157" i="7" s="1"/>
  <c r="I158" i="7" s="1"/>
  <c r="I159" i="7" s="1"/>
  <c r="I160" i="7" s="1"/>
  <c r="I161" i="7" s="1"/>
  <c r="I162" i="7" s="1"/>
  <c r="I163" i="7" s="1"/>
  <c r="I164" i="7" s="1"/>
  <c r="I165" i="7" s="1"/>
  <c r="I166" i="7" s="1"/>
  <c r="I167" i="7" s="1"/>
  <c r="I168" i="7" s="1"/>
  <c r="I169" i="7" s="1"/>
  <c r="I170" i="7" s="1"/>
  <c r="I171" i="7" s="1"/>
  <c r="I172" i="7" s="1"/>
  <c r="I173" i="7" s="1"/>
  <c r="I174" i="7" s="1"/>
  <c r="I175" i="7" s="1"/>
  <c r="I176" i="7" s="1"/>
  <c r="I177" i="7" s="1"/>
  <c r="I178" i="7" s="1"/>
  <c r="I179" i="7" s="1"/>
  <c r="I180" i="7" s="1"/>
  <c r="I181" i="7" s="1"/>
  <c r="I182" i="7" s="1"/>
  <c r="I183" i="7" s="1"/>
  <c r="I184" i="7" s="1"/>
  <c r="I185" i="7" s="1"/>
  <c r="I186" i="7" s="1"/>
  <c r="I187" i="7" s="1"/>
  <c r="I188" i="7" s="1"/>
  <c r="I189" i="7" s="1"/>
  <c r="I190" i="7" s="1"/>
  <c r="I191" i="7" s="1"/>
  <c r="I192" i="7" s="1"/>
  <c r="I193" i="7" s="1"/>
  <c r="I194" i="7" s="1"/>
  <c r="I195" i="7" s="1"/>
  <c r="I196" i="7" s="1"/>
  <c r="I197" i="7" s="1"/>
  <c r="I198" i="7" s="1"/>
  <c r="I199" i="7" s="1"/>
  <c r="I200" i="7" s="1"/>
  <c r="I201" i="7" s="1"/>
  <c r="I202" i="7" s="1"/>
  <c r="I203" i="7" s="1"/>
  <c r="I204" i="7" s="1"/>
  <c r="I205" i="7" s="1"/>
  <c r="I206" i="7" s="1"/>
  <c r="I207" i="7" s="1"/>
  <c r="I208" i="7" s="1"/>
  <c r="I209" i="7" s="1"/>
  <c r="I210" i="7" s="1"/>
  <c r="I211" i="7" s="1"/>
  <c r="I212" i="7" s="1"/>
  <c r="I213" i="7" s="1"/>
  <c r="I214" i="7" s="1"/>
  <c r="I215" i="7" s="1"/>
  <c r="I216" i="7" s="1"/>
  <c r="I217" i="7" s="1"/>
  <c r="I218" i="7" s="1"/>
  <c r="I219" i="7" s="1"/>
  <c r="I220" i="7" s="1"/>
  <c r="I221" i="7" s="1"/>
  <c r="I222" i="7" s="1"/>
  <c r="I223" i="7" s="1"/>
  <c r="H3" i="7"/>
  <c r="H2" i="7"/>
  <c r="G3" i="7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F3" i="7"/>
  <c r="F2" i="7"/>
  <c r="E3" i="7"/>
  <c r="E4" i="7" s="1"/>
  <c r="E5" i="7" s="1"/>
  <c r="E6" i="7" s="1"/>
  <c r="E7" i="7" s="1"/>
  <c r="E8" i="7" s="1"/>
  <c r="E9" i="7" s="1"/>
  <c r="E10" i="7" s="1"/>
  <c r="E11" i="7" s="1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E54" i="7" s="1"/>
  <c r="E55" i="7" s="1"/>
  <c r="E56" i="7" s="1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E108" i="7" s="1"/>
  <c r="E109" i="7" s="1"/>
  <c r="E110" i="7" s="1"/>
  <c r="E111" i="7" s="1"/>
  <c r="E112" i="7" s="1"/>
  <c r="E113" i="7" s="1"/>
  <c r="E114" i="7" s="1"/>
  <c r="E115" i="7" s="1"/>
  <c r="E116" i="7" s="1"/>
  <c r="E117" i="7" s="1"/>
  <c r="E118" i="7" s="1"/>
  <c r="E119" i="7" s="1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E138" i="7" s="1"/>
  <c r="E139" i="7" s="1"/>
  <c r="E140" i="7" s="1"/>
  <c r="E141" i="7" s="1"/>
  <c r="E142" i="7" s="1"/>
  <c r="E143" i="7" s="1"/>
  <c r="E144" i="7" s="1"/>
  <c r="E145" i="7" s="1"/>
  <c r="E146" i="7" s="1"/>
  <c r="E147" i="7" s="1"/>
  <c r="E148" i="7" s="1"/>
  <c r="E149" i="7" s="1"/>
  <c r="E150" i="7" s="1"/>
  <c r="E151" i="7" s="1"/>
  <c r="E152" i="7" s="1"/>
  <c r="E153" i="7" s="1"/>
  <c r="E154" i="7" s="1"/>
  <c r="E155" i="7" s="1"/>
  <c r="E156" i="7" s="1"/>
  <c r="E157" i="7" s="1"/>
  <c r="E158" i="7" s="1"/>
  <c r="E159" i="7" s="1"/>
  <c r="E160" i="7" s="1"/>
  <c r="E161" i="7" s="1"/>
  <c r="E162" i="7" s="1"/>
  <c r="E163" i="7" s="1"/>
  <c r="E164" i="7" s="1"/>
  <c r="E165" i="7" s="1"/>
  <c r="E166" i="7" s="1"/>
  <c r="E167" i="7" s="1"/>
  <c r="E168" i="7" s="1"/>
  <c r="E169" i="7" s="1"/>
  <c r="E170" i="7" s="1"/>
  <c r="E171" i="7" s="1"/>
  <c r="E172" i="7" s="1"/>
  <c r="E173" i="7" s="1"/>
  <c r="E174" i="7" s="1"/>
  <c r="E175" i="7" s="1"/>
  <c r="E176" i="7" s="1"/>
  <c r="E177" i="7" s="1"/>
  <c r="E178" i="7" s="1"/>
  <c r="E179" i="7" s="1"/>
  <c r="E180" i="7" s="1"/>
  <c r="E181" i="7" s="1"/>
  <c r="E182" i="7" s="1"/>
  <c r="E183" i="7" s="1"/>
  <c r="E184" i="7" s="1"/>
  <c r="E185" i="7" s="1"/>
  <c r="E186" i="7" s="1"/>
  <c r="E187" i="7" s="1"/>
  <c r="E188" i="7" s="1"/>
  <c r="E189" i="7" s="1"/>
  <c r="E190" i="7" s="1"/>
  <c r="E191" i="7" s="1"/>
  <c r="E192" i="7" s="1"/>
  <c r="E193" i="7" s="1"/>
  <c r="E194" i="7" s="1"/>
  <c r="E195" i="7" s="1"/>
  <c r="E196" i="7" s="1"/>
  <c r="E197" i="7" s="1"/>
  <c r="E198" i="7" s="1"/>
  <c r="E199" i="7" s="1"/>
  <c r="E200" i="7" s="1"/>
  <c r="E201" i="7" s="1"/>
  <c r="E202" i="7" s="1"/>
  <c r="E203" i="7" s="1"/>
  <c r="E204" i="7" s="1"/>
  <c r="E205" i="7" s="1"/>
  <c r="E206" i="7" s="1"/>
  <c r="E207" i="7" s="1"/>
  <c r="E208" i="7" s="1"/>
  <c r="E209" i="7" s="1"/>
  <c r="E210" i="7" s="1"/>
  <c r="E211" i="7" s="1"/>
  <c r="E212" i="7" s="1"/>
  <c r="E213" i="7" s="1"/>
  <c r="E214" i="7" s="1"/>
  <c r="E215" i="7" s="1"/>
  <c r="E216" i="7" s="1"/>
  <c r="E217" i="7" s="1"/>
  <c r="E218" i="7" s="1"/>
  <c r="E219" i="7" s="1"/>
  <c r="E220" i="7" s="1"/>
  <c r="E221" i="7" s="1"/>
  <c r="E222" i="7" s="1"/>
  <c r="E223" i="7" s="1"/>
  <c r="F215" i="4"/>
  <c r="H215" i="4"/>
  <c r="A887" i="6"/>
  <c r="B886" i="8" s="1"/>
  <c r="A888" i="6"/>
  <c r="B887" i="8" s="1"/>
  <c r="A889" i="6"/>
  <c r="B888" i="8" s="1"/>
  <c r="A890" i="6"/>
  <c r="B889" i="8" s="1"/>
  <c r="A891" i="6"/>
  <c r="B890" i="8" s="1"/>
  <c r="A892" i="6"/>
  <c r="B891" i="8" s="1"/>
  <c r="A893" i="6"/>
  <c r="B892" i="8" s="1"/>
  <c r="A894" i="6"/>
  <c r="B893" i="8" s="1"/>
  <c r="A895" i="6"/>
  <c r="B894" i="8" s="1"/>
  <c r="A896" i="6"/>
  <c r="B895" i="8" s="1"/>
  <c r="A897" i="6"/>
  <c r="B896" i="8" s="1"/>
  <c r="A898" i="6"/>
  <c r="B897" i="8" s="1"/>
  <c r="A899" i="6"/>
  <c r="B898" i="8" s="1"/>
  <c r="A900" i="6"/>
  <c r="B899" i="8" s="1"/>
  <c r="A901" i="6"/>
  <c r="B900" i="8" s="1"/>
  <c r="A838" i="6"/>
  <c r="B837" i="8" s="1"/>
  <c r="A839" i="6"/>
  <c r="B838" i="8" s="1"/>
  <c r="A840" i="6"/>
  <c r="B840" i="8" s="1"/>
  <c r="A841" i="6"/>
  <c r="B839" i="8" s="1"/>
  <c r="A842" i="6"/>
  <c r="B841" i="8" s="1"/>
  <c r="A844" i="6"/>
  <c r="B842" i="8" s="1"/>
  <c r="A843" i="6"/>
  <c r="B843" i="8" s="1"/>
  <c r="A845" i="6"/>
  <c r="B844" i="8" s="1"/>
  <c r="A848" i="6"/>
  <c r="B845" i="8" s="1"/>
  <c r="A846" i="6"/>
  <c r="B846" i="8" s="1"/>
  <c r="A847" i="6"/>
  <c r="B847" i="8" s="1"/>
  <c r="A849" i="6"/>
  <c r="B848" i="8" s="1"/>
  <c r="A850" i="6"/>
  <c r="B849" i="8" s="1"/>
  <c r="A851" i="6"/>
  <c r="B850" i="8" s="1"/>
  <c r="A853" i="6"/>
  <c r="B851" i="8" s="1"/>
  <c r="A852" i="6"/>
  <c r="B852" i="8" s="1"/>
  <c r="A854" i="6"/>
  <c r="B853" i="8" s="1"/>
  <c r="A856" i="6"/>
  <c r="B854" i="8" s="1"/>
  <c r="A855" i="6"/>
  <c r="B855" i="8" s="1"/>
  <c r="A857" i="6"/>
  <c r="B856" i="8" s="1"/>
  <c r="A859" i="6"/>
  <c r="B857" i="8" s="1"/>
  <c r="A858" i="6"/>
  <c r="B858" i="8" s="1"/>
  <c r="A860" i="6"/>
  <c r="B859" i="8" s="1"/>
  <c r="A861" i="6"/>
  <c r="B860" i="8" s="1"/>
  <c r="A862" i="6"/>
  <c r="B861" i="8" s="1"/>
  <c r="A863" i="6"/>
  <c r="B862" i="8" s="1"/>
  <c r="A866" i="6"/>
  <c r="B863" i="8" s="1"/>
  <c r="A865" i="6"/>
  <c r="B864" i="8" s="1"/>
  <c r="A864" i="6"/>
  <c r="B865" i="8" s="1"/>
  <c r="A867" i="6"/>
  <c r="B866" i="8" s="1"/>
  <c r="A869" i="6"/>
  <c r="B867" i="8" s="1"/>
  <c r="A868" i="6"/>
  <c r="B868" i="8" s="1"/>
  <c r="A870" i="6"/>
  <c r="B869" i="8" s="1"/>
  <c r="A871" i="6"/>
  <c r="B870" i="8" s="1"/>
  <c r="A873" i="6"/>
  <c r="B871" i="8" s="1"/>
  <c r="A872" i="6"/>
  <c r="B872" i="8" s="1"/>
  <c r="A875" i="6"/>
  <c r="B873" i="8" s="1"/>
  <c r="A874" i="6"/>
  <c r="B874" i="8" s="1"/>
  <c r="A876" i="6"/>
  <c r="B875" i="8" s="1"/>
  <c r="A877" i="6"/>
  <c r="B876" i="8" s="1"/>
  <c r="A880" i="6"/>
  <c r="B877" i="8" s="1"/>
  <c r="A881" i="6"/>
  <c r="B878" i="8" s="1"/>
  <c r="A878" i="6"/>
  <c r="B879" i="8" s="1"/>
  <c r="A879" i="6"/>
  <c r="B880" i="8" s="1"/>
  <c r="A884" i="6"/>
  <c r="B881" i="8" s="1"/>
  <c r="A885" i="6"/>
  <c r="B882" i="8" s="1"/>
  <c r="A882" i="6"/>
  <c r="B883" i="8" s="1"/>
  <c r="A883" i="6"/>
  <c r="B884" i="8" s="1"/>
  <c r="A822" i="6"/>
  <c r="B821" i="8" s="1"/>
  <c r="A837" i="6"/>
  <c r="B836" i="8" s="1"/>
  <c r="A836" i="6"/>
  <c r="B835" i="8" s="1"/>
  <c r="A835" i="6"/>
  <c r="B834" i="8" s="1"/>
  <c r="A834" i="6"/>
  <c r="B833" i="8" s="1"/>
  <c r="A833" i="6"/>
  <c r="B832" i="8" s="1"/>
  <c r="A832" i="6"/>
  <c r="B831" i="8" s="1"/>
  <c r="A831" i="6"/>
  <c r="B830" i="8" s="1"/>
  <c r="A830" i="6"/>
  <c r="B829" i="8" s="1"/>
  <c r="A829" i="6"/>
  <c r="B828" i="8" s="1"/>
  <c r="A828" i="6"/>
  <c r="B827" i="8" s="1"/>
  <c r="A827" i="6"/>
  <c r="B826" i="8" s="1"/>
  <c r="A826" i="6"/>
  <c r="B825" i="8" s="1"/>
  <c r="A825" i="6"/>
  <c r="B824" i="8" s="1"/>
  <c r="A824" i="6"/>
  <c r="B823" i="8" s="1"/>
  <c r="A823" i="6"/>
  <c r="B822" i="8" s="1"/>
  <c r="A820" i="6"/>
  <c r="B819" i="8" s="1"/>
  <c r="A821" i="6"/>
  <c r="B820" i="8" s="1"/>
  <c r="A819" i="6"/>
  <c r="B818" i="8" s="1"/>
  <c r="A818" i="6"/>
  <c r="B817" i="8" s="1"/>
  <c r="A815" i="6"/>
  <c r="B814" i="8" s="1"/>
  <c r="A814" i="6"/>
  <c r="B813" i="8" s="1"/>
  <c r="A817" i="6"/>
  <c r="B816" i="8" s="1"/>
  <c r="A816" i="6"/>
  <c r="B815" i="8" s="1"/>
  <c r="A811" i="6"/>
  <c r="B810" i="8" s="1"/>
  <c r="A810" i="6"/>
  <c r="B809" i="8" s="1"/>
  <c r="A812" i="6"/>
  <c r="B811" i="8" s="1"/>
  <c r="A813" i="6"/>
  <c r="B812" i="8" s="1"/>
  <c r="A806" i="6"/>
  <c r="B805" i="8" s="1"/>
  <c r="A807" i="6"/>
  <c r="B806" i="8" s="1"/>
  <c r="A809" i="6"/>
  <c r="B808" i="8" s="1"/>
  <c r="A808" i="6"/>
  <c r="B807" i="8" s="1"/>
  <c r="A804" i="6"/>
  <c r="B803" i="8" s="1"/>
  <c r="A803" i="6"/>
  <c r="B802" i="8" s="1"/>
  <c r="A805" i="6"/>
  <c r="B804" i="8" s="1"/>
  <c r="A801" i="6"/>
  <c r="B800" i="8" s="1"/>
  <c r="A802" i="6"/>
  <c r="B801" i="8" s="1"/>
  <c r="A800" i="6"/>
  <c r="B799" i="8" s="1"/>
  <c r="A799" i="6"/>
  <c r="B798" i="8" s="1"/>
  <c r="A798" i="6"/>
  <c r="B797" i="8" s="1"/>
  <c r="A797" i="6"/>
  <c r="B796" i="8" s="1"/>
  <c r="A795" i="6"/>
  <c r="B794" i="8" s="1"/>
  <c r="A796" i="6"/>
  <c r="B795" i="8" s="1"/>
  <c r="A794" i="6"/>
  <c r="B793" i="8" s="1"/>
  <c r="A791" i="6"/>
  <c r="B790" i="8" s="1"/>
  <c r="A792" i="6"/>
  <c r="B791" i="8" s="1"/>
  <c r="A793" i="6"/>
  <c r="B792" i="8" s="1"/>
  <c r="A788" i="6"/>
  <c r="B787" i="8" s="1"/>
  <c r="A789" i="6"/>
  <c r="B788" i="8" s="1"/>
  <c r="A790" i="6"/>
  <c r="B789" i="8" s="1"/>
  <c r="A787" i="6"/>
  <c r="B786" i="8" s="1"/>
  <c r="A785" i="6"/>
  <c r="B784" i="8" s="1"/>
  <c r="A786" i="6"/>
  <c r="B785" i="8" s="1"/>
  <c r="A784" i="6"/>
  <c r="B783" i="8" s="1"/>
  <c r="A783" i="6"/>
  <c r="B782" i="8" s="1"/>
  <c r="A782" i="6"/>
  <c r="B781" i="8" s="1"/>
  <c r="A778" i="6"/>
  <c r="B777" i="8" s="1"/>
  <c r="A781" i="6"/>
  <c r="B780" i="8" s="1"/>
  <c r="A779" i="6"/>
  <c r="B778" i="8" s="1"/>
  <c r="A780" i="6"/>
  <c r="B779" i="8" s="1"/>
  <c r="A775" i="6"/>
  <c r="B774" i="8" s="1"/>
  <c r="A777" i="6"/>
  <c r="B776" i="8" s="1"/>
  <c r="A776" i="6"/>
  <c r="B775" i="8" s="1"/>
  <c r="A774" i="6"/>
  <c r="B773" i="8" s="1"/>
  <c r="A773" i="6"/>
  <c r="B772" i="8" s="1"/>
  <c r="A724" i="6"/>
  <c r="B723" i="8" s="1"/>
  <c r="A772" i="6"/>
  <c r="B771" i="8" s="1"/>
  <c r="A771" i="6"/>
  <c r="B770" i="8" s="1"/>
  <c r="A770" i="6"/>
  <c r="B769" i="8" s="1"/>
  <c r="A769" i="6"/>
  <c r="B768" i="8" s="1"/>
  <c r="A768" i="6"/>
  <c r="B767" i="8" s="1"/>
  <c r="A767" i="6"/>
  <c r="B766" i="8" s="1"/>
  <c r="A766" i="6"/>
  <c r="B765" i="8" s="1"/>
  <c r="A765" i="6"/>
  <c r="B764" i="8" s="1"/>
  <c r="A764" i="6"/>
  <c r="B763" i="8" s="1"/>
  <c r="A763" i="6"/>
  <c r="B762" i="8" s="1"/>
  <c r="A762" i="6"/>
  <c r="B761" i="8" s="1"/>
  <c r="A761" i="6"/>
  <c r="B760" i="8" s="1"/>
  <c r="A760" i="6"/>
  <c r="B759" i="8" s="1"/>
  <c r="A759" i="6"/>
  <c r="B758" i="8" s="1"/>
  <c r="A758" i="6"/>
  <c r="B757" i="8" s="1"/>
  <c r="A756" i="6"/>
  <c r="B755" i="8" s="1"/>
  <c r="A757" i="6"/>
  <c r="B756" i="8" s="1"/>
  <c r="A755" i="6"/>
  <c r="B754" i="8" s="1"/>
  <c r="A754" i="6"/>
  <c r="B753" i="8" s="1"/>
  <c r="A751" i="6"/>
  <c r="B750" i="8" s="1"/>
  <c r="A750" i="6"/>
  <c r="B749" i="8" s="1"/>
  <c r="A753" i="6"/>
  <c r="B752" i="8" s="1"/>
  <c r="A752" i="6"/>
  <c r="B751" i="8" s="1"/>
  <c r="A748" i="6"/>
  <c r="B747" i="8" s="1"/>
  <c r="A749" i="6"/>
  <c r="B748" i="8" s="1"/>
  <c r="A746" i="6"/>
  <c r="B745" i="8" s="1"/>
  <c r="A747" i="6"/>
  <c r="B746" i="8" s="1"/>
  <c r="A744" i="6"/>
  <c r="B743" i="8" s="1"/>
  <c r="A745" i="6"/>
  <c r="B744" i="8" s="1"/>
  <c r="A743" i="6"/>
  <c r="B742" i="8" s="1"/>
  <c r="A742" i="6"/>
  <c r="B741" i="8" s="1"/>
  <c r="A741" i="6"/>
  <c r="B740" i="8" s="1"/>
  <c r="A740" i="6"/>
  <c r="B739" i="8" s="1"/>
  <c r="A739" i="6"/>
  <c r="B738" i="8" s="1"/>
  <c r="A738" i="6"/>
  <c r="B737" i="8" s="1"/>
  <c r="A737" i="6"/>
  <c r="B736" i="8" s="1"/>
  <c r="A736" i="6"/>
  <c r="B735" i="8" s="1"/>
  <c r="A735" i="6"/>
  <c r="B734" i="8" s="1"/>
  <c r="A733" i="6"/>
  <c r="B732" i="8" s="1"/>
  <c r="A734" i="6"/>
  <c r="B733" i="8" s="1"/>
  <c r="A730" i="6"/>
  <c r="B729" i="8" s="1"/>
  <c r="A732" i="6"/>
  <c r="B731" i="8" s="1"/>
  <c r="A731" i="6"/>
  <c r="B730" i="8" s="1"/>
  <c r="A728" i="6"/>
  <c r="B727" i="8" s="1"/>
  <c r="A727" i="6"/>
  <c r="B726" i="8" s="1"/>
  <c r="A729" i="6"/>
  <c r="B728" i="8" s="1"/>
  <c r="A725" i="6"/>
  <c r="B724" i="8" s="1"/>
  <c r="A726" i="6"/>
  <c r="B725" i="8" s="1"/>
  <c r="A723" i="6"/>
  <c r="B722" i="8" s="1"/>
  <c r="A722" i="6"/>
  <c r="B721" i="8" s="1"/>
  <c r="A721" i="6"/>
  <c r="B720" i="8" s="1"/>
  <c r="A720" i="6"/>
  <c r="B719" i="8" s="1"/>
  <c r="A719" i="6"/>
  <c r="B718" i="8" s="1"/>
  <c r="A718" i="6"/>
  <c r="B717" i="8" s="1"/>
  <c r="A717" i="6"/>
  <c r="B716" i="8" s="1"/>
  <c r="A716" i="6"/>
  <c r="B715" i="8" s="1"/>
  <c r="A715" i="6"/>
  <c r="B714" i="8" s="1"/>
  <c r="A714" i="6"/>
  <c r="B713" i="8" s="1"/>
  <c r="A713" i="6"/>
  <c r="B712" i="8" s="1"/>
  <c r="A712" i="6"/>
  <c r="B711" i="8" s="1"/>
  <c r="A711" i="6"/>
  <c r="B710" i="8" s="1"/>
  <c r="A710" i="6"/>
  <c r="B709" i="8" s="1"/>
  <c r="A677" i="6"/>
  <c r="B676" i="8" s="1"/>
  <c r="A709" i="6"/>
  <c r="B708" i="8" s="1"/>
  <c r="A708" i="6"/>
  <c r="B707" i="8" s="1"/>
  <c r="A707" i="6"/>
  <c r="B706" i="8" s="1"/>
  <c r="A706" i="6"/>
  <c r="B705" i="8" s="1"/>
  <c r="A705" i="6"/>
  <c r="B704" i="8" s="1"/>
  <c r="A704" i="6"/>
  <c r="B703" i="8" s="1"/>
  <c r="A703" i="6"/>
  <c r="B702" i="8" s="1"/>
  <c r="A702" i="6"/>
  <c r="B701" i="8" s="1"/>
  <c r="A701" i="6"/>
  <c r="B700" i="8" s="1"/>
  <c r="A700" i="6"/>
  <c r="B699" i="8" s="1"/>
  <c r="A698" i="6"/>
  <c r="B697" i="8" s="1"/>
  <c r="A699" i="6"/>
  <c r="B698" i="8" s="1"/>
  <c r="A697" i="6"/>
  <c r="B696" i="8" s="1"/>
  <c r="A696" i="6"/>
  <c r="B695" i="8" s="1"/>
  <c r="A695" i="6"/>
  <c r="B694" i="8" s="1"/>
  <c r="A694" i="6"/>
  <c r="B693" i="8" s="1"/>
  <c r="A690" i="6"/>
  <c r="B689" i="8" s="1"/>
  <c r="A691" i="6"/>
  <c r="B690" i="8" s="1"/>
  <c r="A693" i="6"/>
  <c r="B692" i="8" s="1"/>
  <c r="A692" i="6"/>
  <c r="B691" i="8" s="1"/>
  <c r="A688" i="6"/>
  <c r="B687" i="8" s="1"/>
  <c r="A689" i="6"/>
  <c r="B688" i="8" s="1"/>
  <c r="A687" i="6"/>
  <c r="B686" i="8" s="1"/>
  <c r="A686" i="6"/>
  <c r="B685" i="8" s="1"/>
  <c r="A682" i="6"/>
  <c r="B681" i="8" s="1"/>
  <c r="A683" i="6"/>
  <c r="B682" i="8" s="1"/>
  <c r="A684" i="6"/>
  <c r="B683" i="8" s="1"/>
  <c r="A685" i="6"/>
  <c r="B684" i="8" s="1"/>
  <c r="A680" i="6"/>
  <c r="B679" i="8" s="1"/>
  <c r="A681" i="6"/>
  <c r="B680" i="8" s="1"/>
  <c r="A679" i="6"/>
  <c r="B678" i="8" s="1"/>
  <c r="A678" i="6"/>
  <c r="B677" i="8" s="1"/>
  <c r="A676" i="6"/>
  <c r="B675" i="8" s="1"/>
  <c r="A675" i="6"/>
  <c r="B674" i="8" s="1"/>
  <c r="A674" i="6"/>
  <c r="B673" i="8" s="1"/>
  <c r="A673" i="6"/>
  <c r="B672" i="8" s="1"/>
  <c r="A672" i="6"/>
  <c r="B671" i="8" s="1"/>
  <c r="A671" i="6"/>
  <c r="B670" i="8" s="1"/>
  <c r="A670" i="6"/>
  <c r="B669" i="8" s="1"/>
  <c r="A669" i="6"/>
  <c r="B668" i="8" s="1"/>
  <c r="A668" i="6"/>
  <c r="B667" i="8" s="1"/>
  <c r="A667" i="6"/>
  <c r="B666" i="8" s="1"/>
  <c r="A666" i="6"/>
  <c r="B665" i="8" s="1"/>
  <c r="A665" i="6"/>
  <c r="B664" i="8" s="1"/>
  <c r="A664" i="6"/>
  <c r="B663" i="8" s="1"/>
  <c r="A663" i="6"/>
  <c r="B662" i="8" s="1"/>
  <c r="A661" i="6"/>
  <c r="B660" i="8" s="1"/>
  <c r="A660" i="6"/>
  <c r="B659" i="8" s="1"/>
  <c r="A662" i="6"/>
  <c r="B661" i="8" s="1"/>
  <c r="A658" i="6"/>
  <c r="B657" i="8" s="1"/>
  <c r="A657" i="6"/>
  <c r="B656" i="8" s="1"/>
  <c r="A659" i="6"/>
  <c r="B658" i="8" s="1"/>
  <c r="A654" i="6"/>
  <c r="B653" i="8" s="1"/>
  <c r="A656" i="6"/>
  <c r="B655" i="8" s="1"/>
  <c r="A655" i="6"/>
  <c r="B654" i="8" s="1"/>
  <c r="A653" i="6"/>
  <c r="B652" i="8" s="1"/>
  <c r="A652" i="6"/>
  <c r="B651" i="8" s="1"/>
  <c r="A651" i="6"/>
  <c r="B650" i="8" s="1"/>
  <c r="A650" i="6"/>
  <c r="B649" i="8" s="1"/>
  <c r="A649" i="6"/>
  <c r="B648" i="8" s="1"/>
  <c r="A648" i="6"/>
  <c r="B647" i="8" s="1"/>
  <c r="A647" i="6"/>
  <c r="B646" i="8" s="1"/>
  <c r="A646" i="6"/>
  <c r="B645" i="8" s="1"/>
  <c r="A627" i="6"/>
  <c r="B626" i="8" s="1"/>
  <c r="A645" i="6"/>
  <c r="B644" i="8" s="1"/>
  <c r="A644" i="6"/>
  <c r="B643" i="8" s="1"/>
  <c r="A643" i="6"/>
  <c r="B642" i="8" s="1"/>
  <c r="A642" i="6"/>
  <c r="B641" i="8" s="1"/>
  <c r="A641" i="6"/>
  <c r="B640" i="8" s="1"/>
  <c r="A640" i="6"/>
  <c r="B639" i="8" s="1"/>
  <c r="A639" i="6"/>
  <c r="B638" i="8" s="1"/>
  <c r="A638" i="6"/>
  <c r="B637" i="8" s="1"/>
  <c r="A637" i="6"/>
  <c r="B636" i="8" s="1"/>
  <c r="A636" i="6"/>
  <c r="B635" i="8" s="1"/>
  <c r="A635" i="6"/>
  <c r="B634" i="8" s="1"/>
  <c r="A634" i="6"/>
  <c r="B633" i="8" s="1"/>
  <c r="A633" i="6"/>
  <c r="B632" i="8" s="1"/>
  <c r="A632" i="6"/>
  <c r="B631" i="8" s="1"/>
  <c r="A631" i="6"/>
  <c r="B630" i="8" s="1"/>
  <c r="A630" i="6"/>
  <c r="B629" i="8" s="1"/>
  <c r="A626" i="6"/>
  <c r="B625" i="8" s="1"/>
  <c r="A629" i="6"/>
  <c r="B628" i="8" s="1"/>
  <c r="A628" i="6"/>
  <c r="B627" i="8" s="1"/>
  <c r="A625" i="6"/>
  <c r="B624" i="8" s="1"/>
  <c r="A624" i="6"/>
  <c r="B623" i="8" s="1"/>
  <c r="A622" i="6"/>
  <c r="B621" i="8" s="1"/>
  <c r="A623" i="6"/>
  <c r="B622" i="8" s="1"/>
  <c r="A618" i="6"/>
  <c r="B617" i="8" s="1"/>
  <c r="A619" i="6"/>
  <c r="B618" i="8" s="1"/>
  <c r="A621" i="6"/>
  <c r="B620" i="8" s="1"/>
  <c r="A620" i="6"/>
  <c r="B619" i="8" s="1"/>
  <c r="A616" i="6"/>
  <c r="B615" i="8" s="1"/>
  <c r="A617" i="6"/>
  <c r="B616" i="8" s="1"/>
  <c r="A614" i="6"/>
  <c r="B613" i="8" s="1"/>
  <c r="A615" i="6"/>
  <c r="B614" i="8" s="1"/>
  <c r="A612" i="6"/>
  <c r="B611" i="8" s="1"/>
  <c r="A613" i="6"/>
  <c r="B612" i="8" s="1"/>
  <c r="A611" i="6"/>
  <c r="B610" i="8" s="1"/>
  <c r="A610" i="6"/>
  <c r="B609" i="8" s="1"/>
  <c r="A608" i="6"/>
  <c r="B607" i="8" s="1"/>
  <c r="A609" i="6"/>
  <c r="B608" i="8" s="1"/>
  <c r="A606" i="6"/>
  <c r="B605" i="8" s="1"/>
  <c r="A607" i="6"/>
  <c r="B606" i="8" s="1"/>
  <c r="A605" i="6"/>
  <c r="B604" i="8" s="1"/>
  <c r="A604" i="6"/>
  <c r="B603" i="8" s="1"/>
  <c r="A602" i="6"/>
  <c r="B601" i="8" s="1"/>
  <c r="A603" i="6"/>
  <c r="B602" i="8" s="1"/>
  <c r="A600" i="6"/>
  <c r="B599" i="8" s="1"/>
  <c r="A601" i="6"/>
  <c r="B600" i="8" s="1"/>
  <c r="A599" i="6"/>
  <c r="B598" i="8" s="1"/>
  <c r="A596" i="6"/>
  <c r="B595" i="8" s="1"/>
  <c r="A598" i="6"/>
  <c r="B597" i="8" s="1"/>
  <c r="A597" i="6"/>
  <c r="B596" i="8" s="1"/>
  <c r="A594" i="6"/>
  <c r="B593" i="8" s="1"/>
  <c r="A595" i="6"/>
  <c r="B594" i="8" s="1"/>
  <c r="A593" i="6"/>
  <c r="B592" i="8" s="1"/>
  <c r="A592" i="6"/>
  <c r="B591" i="8" s="1"/>
  <c r="A590" i="6"/>
  <c r="B589" i="8" s="1"/>
  <c r="A591" i="6"/>
  <c r="B590" i="8" s="1"/>
  <c r="A588" i="6"/>
  <c r="B587" i="8" s="1"/>
  <c r="A586" i="6"/>
  <c r="B585" i="8" s="1"/>
  <c r="A589" i="6"/>
  <c r="B588" i="8" s="1"/>
  <c r="A587" i="6"/>
  <c r="B586" i="8" s="1"/>
  <c r="A585" i="6"/>
  <c r="B584" i="8" s="1"/>
  <c r="A583" i="6"/>
  <c r="B582" i="8" s="1"/>
  <c r="A584" i="6"/>
  <c r="B583" i="8" s="1"/>
  <c r="A582" i="6"/>
  <c r="B581" i="8" s="1"/>
  <c r="A580" i="6"/>
  <c r="B579" i="8" s="1"/>
  <c r="A531" i="6"/>
  <c r="B530" i="8" s="1"/>
  <c r="A581" i="6"/>
  <c r="B580" i="8" s="1"/>
  <c r="A579" i="6"/>
  <c r="B578" i="8" s="1"/>
  <c r="A578" i="6"/>
  <c r="B577" i="8" s="1"/>
  <c r="A577" i="6"/>
  <c r="B576" i="8" s="1"/>
  <c r="A576" i="6"/>
  <c r="B575" i="8" s="1"/>
  <c r="A575" i="6"/>
  <c r="B574" i="8" s="1"/>
  <c r="A574" i="6"/>
  <c r="B573" i="8" s="1"/>
  <c r="A573" i="6"/>
  <c r="B572" i="8" s="1"/>
  <c r="A572" i="6"/>
  <c r="B571" i="8" s="1"/>
  <c r="A571" i="6"/>
  <c r="B570" i="8" s="1"/>
  <c r="A570" i="6"/>
  <c r="B569" i="8" s="1"/>
  <c r="A569" i="6"/>
  <c r="B568" i="8" s="1"/>
  <c r="A568" i="6"/>
  <c r="B567" i="8" s="1"/>
  <c r="A567" i="6"/>
  <c r="B566" i="8" s="1"/>
  <c r="A566" i="6"/>
  <c r="B565" i="8" s="1"/>
  <c r="A562" i="6"/>
  <c r="B561" i="8" s="1"/>
  <c r="A563" i="6"/>
  <c r="B562" i="8" s="1"/>
  <c r="A564" i="6"/>
  <c r="B563" i="8" s="1"/>
  <c r="A565" i="6"/>
  <c r="B564" i="8" s="1"/>
  <c r="A560" i="6"/>
  <c r="B559" i="8" s="1"/>
  <c r="A561" i="6"/>
  <c r="B560" i="8" s="1"/>
  <c r="A558" i="6"/>
  <c r="B557" i="8" s="1"/>
  <c r="A559" i="6"/>
  <c r="B558" i="8" s="1"/>
  <c r="A557" i="6"/>
  <c r="B556" i="8" s="1"/>
  <c r="A556" i="6"/>
  <c r="B555" i="8" s="1"/>
  <c r="A554" i="6"/>
  <c r="B553" i="8" s="1"/>
  <c r="A555" i="6"/>
  <c r="B554" i="8" s="1"/>
  <c r="A551" i="6"/>
  <c r="B550" i="8" s="1"/>
  <c r="A550" i="6"/>
  <c r="B549" i="8" s="1"/>
  <c r="A552" i="6"/>
  <c r="B551" i="8" s="1"/>
  <c r="A553" i="6"/>
  <c r="B552" i="8" s="1"/>
  <c r="A549" i="6"/>
  <c r="B548" i="8" s="1"/>
  <c r="A548" i="6"/>
  <c r="B547" i="8" s="1"/>
  <c r="A546" i="6"/>
  <c r="B545" i="8" s="1"/>
  <c r="A547" i="6"/>
  <c r="B546" i="8" s="1"/>
  <c r="A545" i="6"/>
  <c r="B544" i="8" s="1"/>
  <c r="A542" i="6"/>
  <c r="B541" i="8" s="1"/>
  <c r="A544" i="6"/>
  <c r="B543" i="8" s="1"/>
  <c r="A543" i="6"/>
  <c r="B542" i="8" s="1"/>
  <c r="A541" i="6"/>
  <c r="B540" i="8" s="1"/>
  <c r="A540" i="6"/>
  <c r="B539" i="8" s="1"/>
  <c r="A539" i="6"/>
  <c r="B538" i="8" s="1"/>
  <c r="A538" i="6"/>
  <c r="B537" i="8" s="1"/>
  <c r="A537" i="6"/>
  <c r="B536" i="8" s="1"/>
  <c r="A536" i="6"/>
  <c r="B535" i="8" s="1"/>
  <c r="A535" i="6"/>
  <c r="B534" i="8" s="1"/>
  <c r="A534" i="6"/>
  <c r="B533" i="8" s="1"/>
  <c r="A532" i="6"/>
  <c r="B531" i="8" s="1"/>
  <c r="A533" i="6"/>
  <c r="B532" i="8" s="1"/>
  <c r="A530" i="6"/>
  <c r="B529" i="8" s="1"/>
  <c r="A528" i="6"/>
  <c r="B527" i="8" s="1"/>
  <c r="A529" i="6"/>
  <c r="B528" i="8" s="1"/>
  <c r="A527" i="6"/>
  <c r="B526" i="8" s="1"/>
  <c r="A526" i="6"/>
  <c r="B525" i="8" s="1"/>
  <c r="A525" i="6"/>
  <c r="B524" i="8" s="1"/>
  <c r="A522" i="6"/>
  <c r="B521" i="8" s="1"/>
  <c r="A524" i="6"/>
  <c r="B523" i="8" s="1"/>
  <c r="A523" i="6"/>
  <c r="B522" i="8" s="1"/>
  <c r="A521" i="6"/>
  <c r="B520" i="8" s="1"/>
  <c r="A520" i="6"/>
  <c r="B519" i="8" s="1"/>
  <c r="A519" i="6"/>
  <c r="B518" i="8" s="1"/>
  <c r="A518" i="6"/>
  <c r="B517" i="8" s="1"/>
  <c r="A481" i="6"/>
  <c r="B480" i="8" s="1"/>
  <c r="A517" i="6"/>
  <c r="B516" i="8" s="1"/>
  <c r="A516" i="6"/>
  <c r="B515" i="8" s="1"/>
  <c r="A515" i="6"/>
  <c r="B514" i="8" s="1"/>
  <c r="A514" i="6"/>
  <c r="B513" i="8" s="1"/>
  <c r="A513" i="6"/>
  <c r="B512" i="8" s="1"/>
  <c r="A512" i="6"/>
  <c r="B511" i="8" s="1"/>
  <c r="A511" i="6"/>
  <c r="B510" i="8" s="1"/>
  <c r="A510" i="6"/>
  <c r="B509" i="8" s="1"/>
  <c r="A509" i="6"/>
  <c r="B508" i="8" s="1"/>
  <c r="A508" i="6"/>
  <c r="B507" i="8" s="1"/>
  <c r="A507" i="6"/>
  <c r="B506" i="8" s="1"/>
  <c r="A506" i="6"/>
  <c r="B505" i="8" s="1"/>
  <c r="A505" i="6"/>
  <c r="B504" i="8" s="1"/>
  <c r="A504" i="6"/>
  <c r="B503" i="8" s="1"/>
  <c r="A503" i="6"/>
  <c r="B502" i="8" s="1"/>
  <c r="A502" i="6"/>
  <c r="B501" i="8" s="1"/>
  <c r="A500" i="6"/>
  <c r="B499" i="8" s="1"/>
  <c r="A501" i="6"/>
  <c r="B500" i="8" s="1"/>
  <c r="A499" i="6"/>
  <c r="B498" i="8" s="1"/>
  <c r="A498" i="6"/>
  <c r="B497" i="8" s="1"/>
  <c r="A495" i="6"/>
  <c r="B494" i="8" s="1"/>
  <c r="A494" i="6"/>
  <c r="B493" i="8" s="1"/>
  <c r="A496" i="6"/>
  <c r="B495" i="8" s="1"/>
  <c r="A497" i="6"/>
  <c r="B496" i="8" s="1"/>
  <c r="A493" i="6"/>
  <c r="B492" i="8" s="1"/>
  <c r="A492" i="6"/>
  <c r="B491" i="8" s="1"/>
  <c r="A489" i="6"/>
  <c r="B488" i="8" s="1"/>
  <c r="A490" i="6"/>
  <c r="B489" i="8" s="1"/>
  <c r="A491" i="6"/>
  <c r="B490" i="8" s="1"/>
  <c r="A486" i="6"/>
  <c r="B485" i="8" s="1"/>
  <c r="A487" i="6"/>
  <c r="B486" i="8" s="1"/>
  <c r="A488" i="6"/>
  <c r="B487" i="8" s="1"/>
  <c r="A483" i="6"/>
  <c r="B482" i="8" s="1"/>
  <c r="A485" i="6"/>
  <c r="B484" i="8" s="1"/>
  <c r="A484" i="6"/>
  <c r="B483" i="8" s="1"/>
  <c r="A482" i="6"/>
  <c r="B481" i="8" s="1"/>
  <c r="A480" i="6"/>
  <c r="B479" i="8" s="1"/>
  <c r="A479" i="6"/>
  <c r="B478" i="8" s="1"/>
  <c r="A478" i="6"/>
  <c r="B477" i="8" s="1"/>
  <c r="A476" i="6"/>
  <c r="B475" i="8" s="1"/>
  <c r="A477" i="6"/>
  <c r="B476" i="8" s="1"/>
  <c r="A475" i="6"/>
  <c r="B474" i="8" s="1"/>
  <c r="A474" i="6"/>
  <c r="B473" i="8" s="1"/>
  <c r="A471" i="6"/>
  <c r="B470" i="8" s="1"/>
  <c r="A472" i="6"/>
  <c r="B471" i="8" s="1"/>
  <c r="A473" i="6"/>
  <c r="B472" i="8" s="1"/>
  <c r="A469" i="6"/>
  <c r="B468" i="8" s="1"/>
  <c r="A470" i="6"/>
  <c r="B469" i="8" s="1"/>
  <c r="A468" i="6"/>
  <c r="B467" i="8" s="1"/>
  <c r="A467" i="6"/>
  <c r="B466" i="8" s="1"/>
  <c r="A466" i="6"/>
  <c r="B465" i="8" s="1"/>
  <c r="A433" i="6"/>
  <c r="B432" i="8" s="1"/>
  <c r="A432" i="6"/>
  <c r="B431" i="8" s="1"/>
  <c r="A431" i="6"/>
  <c r="B430" i="8" s="1"/>
  <c r="A427" i="6"/>
  <c r="B426" i="8" s="1"/>
  <c r="A430" i="6"/>
  <c r="B429" i="8" s="1"/>
  <c r="A428" i="6"/>
  <c r="B427" i="8" s="1"/>
  <c r="A429" i="6"/>
  <c r="B428" i="8" s="1"/>
  <c r="A425" i="6"/>
  <c r="B424" i="8" s="1"/>
  <c r="A426" i="6"/>
  <c r="B425" i="8" s="1"/>
  <c r="A424" i="6"/>
  <c r="B423" i="8" s="1"/>
  <c r="A423" i="6"/>
  <c r="B422" i="8" s="1"/>
  <c r="A422" i="6"/>
  <c r="B421" i="8" s="1"/>
  <c r="A421" i="6"/>
  <c r="B420" i="8" s="1"/>
  <c r="A420" i="6"/>
  <c r="B419" i="8" s="1"/>
  <c r="A419" i="6"/>
  <c r="B418" i="8" s="1"/>
  <c r="A418" i="6"/>
  <c r="B417" i="8" s="1"/>
  <c r="A415" i="6"/>
  <c r="B414" i="8" s="1"/>
  <c r="A416" i="6"/>
  <c r="B415" i="8" s="1"/>
  <c r="A417" i="6"/>
  <c r="B416" i="8" s="1"/>
  <c r="A414" i="6"/>
  <c r="B413" i="8" s="1"/>
  <c r="A465" i="6"/>
  <c r="B464" i="8" s="1"/>
  <c r="A464" i="6"/>
  <c r="B463" i="8" s="1"/>
  <c r="A463" i="6"/>
  <c r="B462" i="8" s="1"/>
  <c r="A462" i="6"/>
  <c r="B461" i="8" s="1"/>
  <c r="A461" i="6"/>
  <c r="B460" i="8" s="1"/>
  <c r="A460" i="6"/>
  <c r="B459" i="8" s="1"/>
  <c r="A459" i="6"/>
  <c r="B458" i="8" s="1"/>
  <c r="A458" i="6"/>
  <c r="B457" i="8" s="1"/>
  <c r="A457" i="6"/>
  <c r="B456" i="8" s="1"/>
  <c r="A456" i="6"/>
  <c r="B455" i="8" s="1"/>
  <c r="A455" i="6"/>
  <c r="B454" i="8" s="1"/>
  <c r="A454" i="6"/>
  <c r="B453" i="8" s="1"/>
  <c r="A453" i="6"/>
  <c r="B452" i="8" s="1"/>
  <c r="A452" i="6"/>
  <c r="B451" i="8" s="1"/>
  <c r="A451" i="6"/>
  <c r="B450" i="8" s="1"/>
  <c r="A450" i="6"/>
  <c r="B449" i="8" s="1"/>
  <c r="A449" i="6"/>
  <c r="B448" i="8" s="1"/>
  <c r="A448" i="6"/>
  <c r="B447" i="8" s="1"/>
  <c r="A446" i="6"/>
  <c r="B445" i="8" s="1"/>
  <c r="A447" i="6"/>
  <c r="B446" i="8" s="1"/>
  <c r="A445" i="6"/>
  <c r="B444" i="8" s="1"/>
  <c r="A444" i="6"/>
  <c r="B443" i="8" s="1"/>
  <c r="A441" i="6"/>
  <c r="B440" i="8" s="1"/>
  <c r="A440" i="6"/>
  <c r="B439" i="8" s="1"/>
  <c r="A443" i="6"/>
  <c r="B442" i="8" s="1"/>
  <c r="A442" i="6"/>
  <c r="B441" i="8" s="1"/>
  <c r="A439" i="6"/>
  <c r="B438" i="8" s="1"/>
  <c r="A438" i="6"/>
  <c r="B437" i="8" s="1"/>
  <c r="A435" i="6"/>
  <c r="B434" i="8" s="1"/>
  <c r="A436" i="6"/>
  <c r="B435" i="8" s="1"/>
  <c r="A437" i="6"/>
  <c r="B436" i="8" s="1"/>
  <c r="A434" i="6"/>
  <c r="B433" i="8" s="1"/>
  <c r="A383" i="6"/>
  <c r="B382" i="8" s="1"/>
  <c r="A384" i="6"/>
  <c r="B383" i="8" s="1"/>
  <c r="A382" i="6"/>
  <c r="B381" i="8" s="1"/>
  <c r="A381" i="6"/>
  <c r="B380" i="8" s="1"/>
  <c r="A380" i="6"/>
  <c r="B379" i="8" s="1"/>
  <c r="A379" i="6"/>
  <c r="B378" i="8" s="1"/>
  <c r="A378" i="6"/>
  <c r="B377" i="8" s="1"/>
  <c r="A377" i="6"/>
  <c r="B376" i="8" s="1"/>
  <c r="A375" i="6"/>
  <c r="B374" i="8" s="1"/>
  <c r="A376" i="6"/>
  <c r="B375" i="8" s="1"/>
  <c r="A374" i="6"/>
  <c r="B373" i="8" s="1"/>
  <c r="A373" i="6"/>
  <c r="B372" i="8" s="1"/>
  <c r="A372" i="6"/>
  <c r="B371" i="8" s="1"/>
  <c r="A371" i="6"/>
  <c r="B370" i="8" s="1"/>
  <c r="A370" i="6"/>
  <c r="B369" i="8" s="1"/>
  <c r="A369" i="6"/>
  <c r="B368" i="8" s="1"/>
  <c r="A368" i="6"/>
  <c r="B367" i="8" s="1"/>
  <c r="A367" i="6"/>
  <c r="B366" i="8" s="1"/>
  <c r="A366" i="6"/>
  <c r="B365" i="8" s="1"/>
  <c r="A365" i="6"/>
  <c r="B364" i="8" s="1"/>
  <c r="A363" i="6"/>
  <c r="B362" i="8" s="1"/>
  <c r="A364" i="6"/>
  <c r="B363" i="8" s="1"/>
  <c r="A362" i="6"/>
  <c r="B361" i="8" s="1"/>
  <c r="A413" i="6"/>
  <c r="B412" i="8" s="1"/>
  <c r="A412" i="6"/>
  <c r="B411" i="8" s="1"/>
  <c r="A411" i="6"/>
  <c r="B410" i="8" s="1"/>
  <c r="A410" i="6"/>
  <c r="B409" i="8" s="1"/>
  <c r="A409" i="6"/>
  <c r="B408" i="8" s="1"/>
  <c r="A408" i="6"/>
  <c r="B407" i="8" s="1"/>
  <c r="A407" i="6"/>
  <c r="B406" i="8" s="1"/>
  <c r="A406" i="6"/>
  <c r="B405" i="8" s="1"/>
  <c r="A405" i="6"/>
  <c r="B404" i="8" s="1"/>
  <c r="A404" i="6"/>
  <c r="B403" i="8" s="1"/>
  <c r="A403" i="6"/>
  <c r="B402" i="8" s="1"/>
  <c r="A402" i="6"/>
  <c r="B401" i="8" s="1"/>
  <c r="A401" i="6"/>
  <c r="B400" i="8" s="1"/>
  <c r="A400" i="6"/>
  <c r="B399" i="8" s="1"/>
  <c r="A399" i="6"/>
  <c r="B398" i="8" s="1"/>
  <c r="A398" i="6"/>
  <c r="B397" i="8" s="1"/>
  <c r="A397" i="6"/>
  <c r="B396" i="8" s="1"/>
  <c r="A396" i="6"/>
  <c r="B395" i="8" s="1"/>
  <c r="A394" i="6"/>
  <c r="B393" i="8" s="1"/>
  <c r="A395" i="6"/>
  <c r="B394" i="8" s="1"/>
  <c r="A393" i="6"/>
  <c r="B392" i="8" s="1"/>
  <c r="A392" i="6"/>
  <c r="B391" i="8" s="1"/>
  <c r="A391" i="6"/>
  <c r="B390" i="8" s="1"/>
  <c r="A390" i="6"/>
  <c r="B389" i="8" s="1"/>
  <c r="A388" i="6"/>
  <c r="B387" i="8" s="1"/>
  <c r="A389" i="6"/>
  <c r="B388" i="8" s="1"/>
  <c r="A386" i="6"/>
  <c r="B385" i="8" s="1"/>
  <c r="A387" i="6"/>
  <c r="B386" i="8" s="1"/>
  <c r="A385" i="6"/>
  <c r="B384" i="8" s="1"/>
  <c r="A361" i="6"/>
  <c r="B360" i="8" s="1"/>
  <c r="A360" i="6"/>
  <c r="B359" i="8" s="1"/>
  <c r="A359" i="6"/>
  <c r="B358" i="8" s="1"/>
  <c r="A358" i="6"/>
  <c r="B357" i="8" s="1"/>
  <c r="A356" i="6"/>
  <c r="B355" i="8" s="1"/>
  <c r="A357" i="6"/>
  <c r="B356" i="8" s="1"/>
  <c r="A354" i="6"/>
  <c r="B353" i="8" s="1"/>
  <c r="A355" i="6"/>
  <c r="B354" i="8" s="1"/>
  <c r="A352" i="6"/>
  <c r="B351" i="8" s="1"/>
  <c r="A353" i="6"/>
  <c r="B352" i="8" s="1"/>
  <c r="A350" i="6"/>
  <c r="B349" i="8" s="1"/>
  <c r="A351" i="6"/>
  <c r="B350" i="8" s="1"/>
  <c r="A348" i="6"/>
  <c r="B347" i="8" s="1"/>
  <c r="A349" i="6"/>
  <c r="B348" i="8" s="1"/>
  <c r="A346" i="6"/>
  <c r="B345" i="8" s="1"/>
  <c r="A347" i="6"/>
  <c r="B346" i="8" s="1"/>
  <c r="A345" i="6"/>
  <c r="B344" i="8" s="1"/>
  <c r="A344" i="6"/>
  <c r="B343" i="8" s="1"/>
  <c r="A343" i="6"/>
  <c r="B342" i="8" s="1"/>
  <c r="A342" i="6"/>
  <c r="B341" i="8" s="1"/>
  <c r="A341" i="6"/>
  <c r="B340" i="8" s="1"/>
  <c r="A340" i="6"/>
  <c r="B339" i="8" s="1"/>
  <c r="A339" i="6"/>
  <c r="B338" i="8" s="1"/>
  <c r="A338" i="6"/>
  <c r="B337" i="8" s="1"/>
  <c r="A337" i="6"/>
  <c r="B336" i="8" s="1"/>
  <c r="A336" i="6"/>
  <c r="B335" i="8" s="1"/>
  <c r="A335" i="6"/>
  <c r="B334" i="8" s="1"/>
  <c r="A334" i="6"/>
  <c r="B333" i="8" s="1"/>
  <c r="A333" i="6"/>
  <c r="B332" i="8" s="1"/>
  <c r="A332" i="6"/>
  <c r="B331" i="8" s="1"/>
  <c r="A331" i="6"/>
  <c r="B330" i="8" s="1"/>
  <c r="A330" i="6"/>
  <c r="B329" i="8" s="1"/>
  <c r="A329" i="6"/>
  <c r="B328" i="8" s="1"/>
  <c r="A328" i="6"/>
  <c r="B327" i="8" s="1"/>
  <c r="A327" i="6"/>
  <c r="B326" i="8" s="1"/>
  <c r="A326" i="6"/>
  <c r="B325" i="8" s="1"/>
  <c r="A325" i="6"/>
  <c r="B324" i="8" s="1"/>
  <c r="A324" i="6"/>
  <c r="B323" i="8" s="1"/>
  <c r="A323" i="6"/>
  <c r="B322" i="8" s="1"/>
  <c r="A322" i="6"/>
  <c r="B321" i="8" s="1"/>
  <c r="A321" i="6"/>
  <c r="B320" i="8" s="1"/>
  <c r="A320" i="6"/>
  <c r="B319" i="8" s="1"/>
  <c r="A319" i="6"/>
  <c r="B318" i="8" s="1"/>
  <c r="A318" i="6"/>
  <c r="B317" i="8" s="1"/>
  <c r="A316" i="6"/>
  <c r="B315" i="8" s="1"/>
  <c r="A317" i="6"/>
  <c r="B316" i="8" s="1"/>
  <c r="A314" i="6"/>
  <c r="B313" i="8" s="1"/>
  <c r="A315" i="6"/>
  <c r="B314" i="8" s="1"/>
  <c r="A313" i="6"/>
  <c r="B312" i="8" s="1"/>
  <c r="A312" i="6"/>
  <c r="B311" i="8" s="1"/>
  <c r="A311" i="6"/>
  <c r="B310" i="8" s="1"/>
  <c r="A310" i="6"/>
  <c r="B309" i="8" s="1"/>
  <c r="A309" i="6"/>
  <c r="B308" i="8" s="1"/>
  <c r="A308" i="6"/>
  <c r="B307" i="8" s="1"/>
  <c r="A307" i="6"/>
  <c r="B306" i="8" s="1"/>
  <c r="A306" i="6"/>
  <c r="B305" i="8" s="1"/>
  <c r="A305" i="6"/>
  <c r="B304" i="8" s="1"/>
  <c r="A304" i="6"/>
  <c r="B303" i="8" s="1"/>
  <c r="A303" i="6"/>
  <c r="B302" i="8" s="1"/>
  <c r="A300" i="6"/>
  <c r="B299" i="8" s="1"/>
  <c r="A302" i="6"/>
  <c r="B301" i="8" s="1"/>
  <c r="A301" i="6"/>
  <c r="B300" i="8" s="1"/>
  <c r="A299" i="6"/>
  <c r="B298" i="8" s="1"/>
  <c r="A298" i="6"/>
  <c r="B297" i="8" s="1"/>
  <c r="A297" i="6"/>
  <c r="B296" i="8" s="1"/>
  <c r="A296" i="6"/>
  <c r="B295" i="8" s="1"/>
  <c r="A295" i="6"/>
  <c r="B294" i="8" s="1"/>
  <c r="A294" i="6"/>
  <c r="B293" i="8" s="1"/>
  <c r="A292" i="6"/>
  <c r="B291" i="8" s="1"/>
  <c r="A293" i="6"/>
  <c r="B292" i="8" s="1"/>
  <c r="A289" i="6"/>
  <c r="B288" i="8" s="1"/>
  <c r="A290" i="6"/>
  <c r="B289" i="8" s="1"/>
  <c r="A291" i="6"/>
  <c r="B290" i="8" s="1"/>
  <c r="A288" i="6"/>
  <c r="B287" i="8" s="1"/>
  <c r="A286" i="6"/>
  <c r="B285" i="8" s="1"/>
  <c r="A287" i="6"/>
  <c r="B286" i="8" s="1"/>
  <c r="A284" i="6"/>
  <c r="B283" i="8" s="1"/>
  <c r="A285" i="6"/>
  <c r="B284" i="8" s="1"/>
  <c r="A282" i="6"/>
  <c r="B281" i="8" s="1"/>
  <c r="A281" i="6"/>
  <c r="B280" i="8" s="1"/>
  <c r="A283" i="6"/>
  <c r="B282" i="8" s="1"/>
  <c r="A280" i="6"/>
  <c r="B279" i="8" s="1"/>
  <c r="A278" i="6"/>
  <c r="B277" i="8" s="1"/>
  <c r="A279" i="6"/>
  <c r="B278" i="8" s="1"/>
  <c r="A277" i="6"/>
  <c r="B276" i="8" s="1"/>
  <c r="A276" i="6"/>
  <c r="B275" i="8" s="1"/>
  <c r="A274" i="6"/>
  <c r="B273" i="8" s="1"/>
  <c r="A275" i="6"/>
  <c r="B274" i="8" s="1"/>
  <c r="A273" i="6"/>
  <c r="B272" i="8" s="1"/>
  <c r="A272" i="6"/>
  <c r="B271" i="8" s="1"/>
  <c r="A271" i="6"/>
  <c r="B270" i="8" s="1"/>
  <c r="A270" i="6"/>
  <c r="B269" i="8" s="1"/>
  <c r="A269" i="6"/>
  <c r="B268" i="8" s="1"/>
  <c r="A266" i="6"/>
  <c r="B265" i="8" s="1"/>
  <c r="A267" i="6"/>
  <c r="B266" i="8" s="1"/>
  <c r="A268" i="6"/>
  <c r="B267" i="8" s="1"/>
  <c r="A265" i="6"/>
  <c r="B264" i="8" s="1"/>
  <c r="A262" i="6"/>
  <c r="B261" i="8" s="1"/>
  <c r="A264" i="6"/>
  <c r="B263" i="8" s="1"/>
  <c r="A263" i="6"/>
  <c r="B262" i="8" s="1"/>
  <c r="A259" i="6"/>
  <c r="B258" i="8" s="1"/>
  <c r="A258" i="6"/>
  <c r="B257" i="8" s="1"/>
  <c r="A260" i="6"/>
  <c r="B259" i="8" s="1"/>
  <c r="A261" i="6"/>
  <c r="B260" i="8" s="1"/>
  <c r="A256" i="6"/>
  <c r="B255" i="8" s="1"/>
  <c r="A255" i="6"/>
  <c r="B254" i="8" s="1"/>
  <c r="A254" i="6"/>
  <c r="B253" i="8" s="1"/>
  <c r="A257" i="6"/>
  <c r="B256" i="8" s="1"/>
  <c r="A252" i="6"/>
  <c r="B251" i="8" s="1"/>
  <c r="A251" i="6"/>
  <c r="B250" i="8" s="1"/>
  <c r="A253" i="6"/>
  <c r="B252" i="8" s="1"/>
  <c r="A250" i="6"/>
  <c r="B249" i="8" s="1"/>
  <c r="A248" i="6"/>
  <c r="B247" i="8" s="1"/>
  <c r="A249" i="6"/>
  <c r="B248" i="8" s="1"/>
  <c r="A247" i="6"/>
  <c r="B246" i="8" s="1"/>
  <c r="A246" i="6"/>
  <c r="B245" i="8" s="1"/>
  <c r="A245" i="6"/>
  <c r="B244" i="8" s="1"/>
  <c r="A243" i="6"/>
  <c r="B242" i="8" s="1"/>
  <c r="A244" i="6"/>
  <c r="B243" i="8" s="1"/>
  <c r="A242" i="6"/>
  <c r="B241" i="8" s="1"/>
  <c r="A240" i="6"/>
  <c r="B239" i="8" s="1"/>
  <c r="A241" i="6"/>
  <c r="B240" i="8" s="1"/>
  <c r="A238" i="6"/>
  <c r="B237" i="8" s="1"/>
  <c r="A239" i="6"/>
  <c r="B238" i="8" s="1"/>
  <c r="A237" i="6"/>
  <c r="B236" i="8" s="1"/>
  <c r="A236" i="6"/>
  <c r="B235" i="8" s="1"/>
  <c r="A235" i="6"/>
  <c r="B234" i="8" s="1"/>
  <c r="A234" i="6"/>
  <c r="B233" i="8" s="1"/>
  <c r="A233" i="6"/>
  <c r="B232" i="8" s="1"/>
  <c r="A232" i="6"/>
  <c r="B231" i="8" s="1"/>
  <c r="A231" i="6"/>
  <c r="B230" i="8" s="1"/>
  <c r="A230" i="6"/>
  <c r="B229" i="8" s="1"/>
  <c r="A227" i="6"/>
  <c r="B226" i="8" s="1"/>
  <c r="A228" i="6"/>
  <c r="B227" i="8" s="1"/>
  <c r="A229" i="6"/>
  <c r="B228" i="8" s="1"/>
  <c r="A226" i="6"/>
  <c r="B225" i="8" s="1"/>
  <c r="A224" i="6"/>
  <c r="B223" i="8" s="1"/>
  <c r="A225" i="6"/>
  <c r="B224" i="8" s="1"/>
  <c r="A223" i="6"/>
  <c r="B222" i="8" s="1"/>
  <c r="A222" i="6"/>
  <c r="B221" i="8" s="1"/>
  <c r="A219" i="6"/>
  <c r="B218" i="8" s="1"/>
  <c r="A220" i="6"/>
  <c r="B219" i="8" s="1"/>
  <c r="A221" i="6"/>
  <c r="B220" i="8" s="1"/>
  <c r="A218" i="6"/>
  <c r="B217" i="8" s="1"/>
  <c r="A216" i="6"/>
  <c r="B215" i="8" s="1"/>
  <c r="A217" i="6"/>
  <c r="B216" i="8" s="1"/>
  <c r="A215" i="6"/>
  <c r="B214" i="8" s="1"/>
  <c r="A214" i="6"/>
  <c r="B213" i="8" s="1"/>
  <c r="A212" i="6"/>
  <c r="B211" i="8" s="1"/>
  <c r="A213" i="6"/>
  <c r="B212" i="8" s="1"/>
  <c r="A211" i="6"/>
  <c r="B210" i="8" s="1"/>
  <c r="A210" i="6"/>
  <c r="B209" i="8" s="1"/>
  <c r="A209" i="6"/>
  <c r="B208" i="8" s="1"/>
  <c r="A208" i="6"/>
  <c r="B207" i="8" s="1"/>
  <c r="A207" i="6"/>
  <c r="B206" i="8" s="1"/>
  <c r="A206" i="6"/>
  <c r="B205" i="8" s="1"/>
  <c r="A205" i="6"/>
  <c r="B204" i="8" s="1"/>
  <c r="A204" i="6"/>
  <c r="B203" i="8" s="1"/>
  <c r="A203" i="6"/>
  <c r="B202" i="8" s="1"/>
  <c r="A202" i="6"/>
  <c r="B201" i="8" s="1"/>
  <c r="A201" i="6"/>
  <c r="B200" i="8" s="1"/>
  <c r="A200" i="6"/>
  <c r="B199" i="8" s="1"/>
  <c r="A199" i="6"/>
  <c r="B198" i="8" s="1"/>
  <c r="A198" i="6"/>
  <c r="B197" i="8" s="1"/>
  <c r="A195" i="6"/>
  <c r="B194" i="8" s="1"/>
  <c r="A194" i="6"/>
  <c r="B193" i="8" s="1"/>
  <c r="A197" i="6"/>
  <c r="B196" i="8" s="1"/>
  <c r="A196" i="6"/>
  <c r="B195" i="8" s="1"/>
  <c r="A192" i="6"/>
  <c r="B191" i="8" s="1"/>
  <c r="A191" i="6"/>
  <c r="B190" i="8" s="1"/>
  <c r="A193" i="6"/>
  <c r="B192" i="8" s="1"/>
  <c r="A190" i="6"/>
  <c r="B189" i="8" s="1"/>
  <c r="A189" i="6"/>
  <c r="B188" i="8" s="1"/>
  <c r="A188" i="6"/>
  <c r="B187" i="8" s="1"/>
  <c r="A187" i="6"/>
  <c r="B186" i="8" s="1"/>
  <c r="A186" i="6"/>
  <c r="B185" i="8" s="1"/>
  <c r="A184" i="6"/>
  <c r="B183" i="8" s="1"/>
  <c r="A183" i="6"/>
  <c r="B182" i="8" s="1"/>
  <c r="A182" i="6"/>
  <c r="B181" i="8" s="1"/>
  <c r="A185" i="6"/>
  <c r="B184" i="8" s="1"/>
  <c r="A181" i="6"/>
  <c r="B180" i="8" s="1"/>
  <c r="A179" i="6"/>
  <c r="B178" i="8" s="1"/>
  <c r="A180" i="6"/>
  <c r="B179" i="8" s="1"/>
  <c r="A178" i="6"/>
  <c r="B177" i="8" s="1"/>
  <c r="A177" i="6"/>
  <c r="B176" i="8" s="1"/>
  <c r="A175" i="6"/>
  <c r="B174" i="8" s="1"/>
  <c r="A176" i="6"/>
  <c r="B175" i="8" s="1"/>
  <c r="A174" i="6"/>
  <c r="B173" i="8" s="1"/>
  <c r="A173" i="6"/>
  <c r="B172" i="8" s="1"/>
  <c r="A172" i="6"/>
  <c r="B171" i="8" s="1"/>
  <c r="A171" i="6"/>
  <c r="B170" i="8" s="1"/>
  <c r="A170" i="6"/>
  <c r="B169" i="8" s="1"/>
  <c r="A169" i="6"/>
  <c r="B168" i="8" s="1"/>
  <c r="A168" i="6"/>
  <c r="B167" i="8" s="1"/>
  <c r="A166" i="6"/>
  <c r="B165" i="8" s="1"/>
  <c r="A167" i="6"/>
  <c r="B166" i="8" s="1"/>
  <c r="A165" i="6"/>
  <c r="B164" i="8" s="1"/>
  <c r="A164" i="6"/>
  <c r="B163" i="8" s="1"/>
  <c r="A163" i="6"/>
  <c r="B162" i="8" s="1"/>
  <c r="A162" i="6"/>
  <c r="B161" i="8" s="1"/>
  <c r="A161" i="6"/>
  <c r="B160" i="8" s="1"/>
  <c r="A159" i="6"/>
  <c r="B158" i="8" s="1"/>
  <c r="A158" i="6"/>
  <c r="B157" i="8" s="1"/>
  <c r="A160" i="6"/>
  <c r="B159" i="8" s="1"/>
  <c r="A157" i="6"/>
  <c r="B156" i="8" s="1"/>
  <c r="A155" i="6"/>
  <c r="B154" i="8" s="1"/>
  <c r="A154" i="6"/>
  <c r="B153" i="8" s="1"/>
  <c r="A156" i="6"/>
  <c r="B155" i="8" s="1"/>
  <c r="A153" i="6"/>
  <c r="B152" i="8" s="1"/>
  <c r="A152" i="6"/>
  <c r="B151" i="8" s="1"/>
  <c r="A151" i="6"/>
  <c r="B150" i="8" s="1"/>
  <c r="A150" i="6"/>
  <c r="B149" i="8" s="1"/>
  <c r="A147" i="6"/>
  <c r="B146" i="8" s="1"/>
  <c r="A148" i="6"/>
  <c r="B147" i="8" s="1"/>
  <c r="A149" i="6"/>
  <c r="B148" i="8" s="1"/>
  <c r="A146" i="6"/>
  <c r="B145" i="8" s="1"/>
  <c r="A145" i="6"/>
  <c r="B144" i="8" s="1"/>
  <c r="A144" i="6"/>
  <c r="B143" i="8" s="1"/>
  <c r="A142" i="6"/>
  <c r="B141" i="8" s="1"/>
  <c r="A143" i="6"/>
  <c r="B142" i="8" s="1"/>
  <c r="A139" i="6"/>
  <c r="B138" i="8" s="1"/>
  <c r="A141" i="6"/>
  <c r="B140" i="8" s="1"/>
  <c r="A138" i="6"/>
  <c r="B137" i="8" s="1"/>
  <c r="A140" i="6"/>
  <c r="B139" i="8" s="1"/>
  <c r="A137" i="6"/>
  <c r="B136" i="8" s="1"/>
  <c r="A136" i="6"/>
  <c r="B135" i="8" s="1"/>
  <c r="A135" i="6"/>
  <c r="B134" i="8" s="1"/>
  <c r="A134" i="6"/>
  <c r="B133" i="8" s="1"/>
  <c r="A132" i="6"/>
  <c r="B131" i="8" s="1"/>
  <c r="A130" i="6"/>
  <c r="B129" i="8" s="1"/>
  <c r="A133" i="6"/>
  <c r="B132" i="8" s="1"/>
  <c r="A131" i="6"/>
  <c r="B130" i="8" s="1"/>
  <c r="A128" i="6"/>
  <c r="B127" i="8" s="1"/>
  <c r="A129" i="6"/>
  <c r="B128" i="8" s="1"/>
  <c r="A127" i="6"/>
  <c r="B126" i="8" s="1"/>
  <c r="A126" i="6"/>
  <c r="B125" i="8" s="1"/>
  <c r="A122" i="6"/>
  <c r="B121" i="8" s="1"/>
  <c r="A121" i="6"/>
  <c r="B120" i="8" s="1"/>
  <c r="A119" i="6"/>
  <c r="B118" i="8" s="1"/>
  <c r="A120" i="6"/>
  <c r="B119" i="8" s="1"/>
  <c r="A124" i="6"/>
  <c r="B123" i="8" s="1"/>
  <c r="A123" i="6"/>
  <c r="B122" i="8" s="1"/>
  <c r="A125" i="6"/>
  <c r="B124" i="8" s="1"/>
  <c r="A118" i="6"/>
  <c r="B117" i="8" s="1"/>
  <c r="A117" i="6"/>
  <c r="B116" i="8" s="1"/>
  <c r="A114" i="6"/>
  <c r="B113" i="8" s="1"/>
  <c r="A115" i="6"/>
  <c r="B114" i="8" s="1"/>
  <c r="A113" i="6"/>
  <c r="B112" i="8" s="1"/>
  <c r="A112" i="6"/>
  <c r="B111" i="8" s="1"/>
  <c r="A116" i="6"/>
  <c r="B115" i="8" s="1"/>
  <c r="A111" i="6"/>
  <c r="B110" i="8" s="1"/>
  <c r="A106" i="6"/>
  <c r="B105" i="8" s="1"/>
  <c r="A110" i="6"/>
  <c r="B109" i="8" s="1"/>
  <c r="A105" i="6"/>
  <c r="B104" i="8" s="1"/>
  <c r="A103" i="6"/>
  <c r="B102" i="8" s="1"/>
  <c r="A109" i="6"/>
  <c r="B108" i="8" s="1"/>
  <c r="A104" i="6"/>
  <c r="B103" i="8" s="1"/>
  <c r="A107" i="6"/>
  <c r="B106" i="8" s="1"/>
  <c r="A108" i="6"/>
  <c r="B107" i="8" s="1"/>
  <c r="A102" i="6"/>
  <c r="B101" i="8" s="1"/>
  <c r="A101" i="6"/>
  <c r="B100" i="8" s="1"/>
  <c r="A100" i="6"/>
  <c r="B99" i="8" s="1"/>
  <c r="A99" i="6"/>
  <c r="B98" i="8" s="1"/>
  <c r="A98" i="6"/>
  <c r="B97" i="8" s="1"/>
  <c r="A97" i="6"/>
  <c r="B96" i="8" s="1"/>
  <c r="A96" i="6"/>
  <c r="B95" i="8" s="1"/>
  <c r="A95" i="6"/>
  <c r="B94" i="8" s="1"/>
  <c r="A94" i="6"/>
  <c r="B93" i="8" s="1"/>
  <c r="A93" i="6"/>
  <c r="B92" i="8" s="1"/>
  <c r="A92" i="6"/>
  <c r="B91" i="8" s="1"/>
  <c r="A91" i="6"/>
  <c r="B90" i="8" s="1"/>
  <c r="A90" i="6"/>
  <c r="B89" i="8" s="1"/>
  <c r="A89" i="6"/>
  <c r="B88" i="8" s="1"/>
  <c r="A88" i="6"/>
  <c r="B87" i="8" s="1"/>
  <c r="A87" i="6"/>
  <c r="B86" i="8" s="1"/>
  <c r="A86" i="6"/>
  <c r="B85" i="8" s="1"/>
  <c r="A85" i="6"/>
  <c r="B84" i="8" s="1"/>
  <c r="A84" i="6"/>
  <c r="B83" i="8" s="1"/>
  <c r="A83" i="6"/>
  <c r="B82" i="8" s="1"/>
  <c r="A82" i="6"/>
  <c r="B81" i="8" s="1"/>
  <c r="A81" i="6"/>
  <c r="B80" i="8" s="1"/>
  <c r="A80" i="6"/>
  <c r="B79" i="8" s="1"/>
  <c r="A79" i="6"/>
  <c r="B78" i="8" s="1"/>
  <c r="A78" i="6"/>
  <c r="B77" i="8" s="1"/>
  <c r="A77" i="6"/>
  <c r="B76" i="8" s="1"/>
  <c r="A76" i="6"/>
  <c r="B75" i="8" s="1"/>
  <c r="A75" i="6"/>
  <c r="B74" i="8" s="1"/>
  <c r="A73" i="6"/>
  <c r="B72" i="8" s="1"/>
  <c r="A74" i="6"/>
  <c r="B73" i="8" s="1"/>
  <c r="A71" i="6"/>
  <c r="B70" i="8" s="1"/>
  <c r="A72" i="6"/>
  <c r="B71" i="8" s="1"/>
  <c r="A69" i="6"/>
  <c r="B68" i="8" s="1"/>
  <c r="A67" i="6"/>
  <c r="B66" i="8" s="1"/>
  <c r="A68" i="6"/>
  <c r="B67" i="8" s="1"/>
  <c r="A66" i="6"/>
  <c r="B65" i="8" s="1"/>
  <c r="A70" i="6"/>
  <c r="B69" i="8" s="1"/>
  <c r="A65" i="6"/>
  <c r="B64" i="8" s="1"/>
  <c r="A64" i="6"/>
  <c r="B63" i="8" s="1"/>
  <c r="A62" i="6"/>
  <c r="B61" i="8" s="1"/>
  <c r="A63" i="6"/>
  <c r="B62" i="8" s="1"/>
  <c r="A61" i="6"/>
  <c r="B60" i="8" s="1"/>
  <c r="A60" i="6"/>
  <c r="B59" i="8" s="1"/>
  <c r="A58" i="6"/>
  <c r="B57" i="8" s="1"/>
  <c r="A59" i="6"/>
  <c r="B58" i="8" s="1"/>
  <c r="A56" i="6"/>
  <c r="B55" i="8" s="1"/>
  <c r="A57" i="6"/>
  <c r="B56" i="8" s="1"/>
  <c r="A55" i="6"/>
  <c r="B54" i="8" s="1"/>
  <c r="A54" i="6"/>
  <c r="B53" i="8" s="1"/>
  <c r="A53" i="6"/>
  <c r="B52" i="8" s="1"/>
  <c r="A52" i="6"/>
  <c r="B51" i="8" s="1"/>
  <c r="A51" i="6"/>
  <c r="B50" i="8" s="1"/>
  <c r="A50" i="6"/>
  <c r="B49" i="8" s="1"/>
  <c r="A49" i="6"/>
  <c r="B48" i="8" s="1"/>
  <c r="A46" i="6"/>
  <c r="B45" i="8" s="1"/>
  <c r="A48" i="6"/>
  <c r="B47" i="8" s="1"/>
  <c r="A47" i="6"/>
  <c r="B46" i="8" s="1"/>
  <c r="A45" i="6"/>
  <c r="B44" i="8" s="1"/>
  <c r="A38" i="6"/>
  <c r="B37" i="8" s="1"/>
  <c r="A43" i="6"/>
  <c r="B42" i="8" s="1"/>
  <c r="A42" i="6"/>
  <c r="B41" i="8" s="1"/>
  <c r="A40" i="6"/>
  <c r="B39" i="8" s="1"/>
  <c r="A44" i="6"/>
  <c r="B43" i="8" s="1"/>
  <c r="A39" i="6"/>
  <c r="B38" i="8" s="1"/>
  <c r="A41" i="6"/>
  <c r="B40" i="8" s="1"/>
  <c r="A37" i="6"/>
  <c r="B36" i="8" s="1"/>
  <c r="A36" i="6"/>
  <c r="B35" i="8" s="1"/>
  <c r="A35" i="6"/>
  <c r="B34" i="8" s="1"/>
  <c r="A34" i="6"/>
  <c r="B33" i="8" s="1"/>
  <c r="A33" i="6"/>
  <c r="B32" i="8" s="1"/>
  <c r="A32" i="6"/>
  <c r="B31" i="8" s="1"/>
  <c r="A31" i="6"/>
  <c r="B30" i="8" s="1"/>
  <c r="A30" i="6"/>
  <c r="B29" i="8" s="1"/>
  <c r="A29" i="6"/>
  <c r="B28" i="8" s="1"/>
  <c r="A28" i="6"/>
  <c r="B27" i="8" s="1"/>
  <c r="A23" i="6"/>
  <c r="B22" i="8" s="1"/>
  <c r="A21" i="6"/>
  <c r="B20" i="8" s="1"/>
  <c r="A24" i="6"/>
  <c r="B23" i="8" s="1"/>
  <c r="A20" i="6"/>
  <c r="B19" i="8" s="1"/>
  <c r="A27" i="6"/>
  <c r="B26" i="8" s="1"/>
  <c r="A22" i="6"/>
  <c r="B21" i="8" s="1"/>
  <c r="A26" i="6"/>
  <c r="B25" i="8" s="1"/>
  <c r="A25" i="6"/>
  <c r="B24" i="8" s="1"/>
  <c r="A19" i="6"/>
  <c r="B18" i="8" s="1"/>
  <c r="A18" i="6"/>
  <c r="B17" i="8" s="1"/>
  <c r="A17" i="6"/>
  <c r="B16" i="8" s="1"/>
  <c r="A16" i="6"/>
  <c r="B15" i="8" s="1"/>
  <c r="A15" i="6"/>
  <c r="B14" i="8" s="1"/>
  <c r="A14" i="6"/>
  <c r="B13" i="8" s="1"/>
  <c r="A13" i="6"/>
  <c r="B12" i="8" s="1"/>
  <c r="A12" i="6"/>
  <c r="B11" i="8" s="1"/>
  <c r="A11" i="6"/>
  <c r="B10" i="8" s="1"/>
  <c r="A10" i="6"/>
  <c r="B9" i="8" s="1"/>
  <c r="A9" i="6"/>
  <c r="B8" i="8" s="1"/>
  <c r="A8" i="6"/>
  <c r="B7" i="8" s="1"/>
  <c r="A7" i="6"/>
  <c r="B6" i="8" s="1"/>
  <c r="A6" i="6"/>
  <c r="B5" i="8" s="1"/>
  <c r="A5" i="6"/>
  <c r="B4" i="8" s="1"/>
  <c r="A4" i="6"/>
  <c r="B3" i="8" s="1"/>
  <c r="A3" i="6"/>
  <c r="B2" i="8" s="1"/>
  <c r="A2" i="6"/>
  <c r="B1" i="8" s="1"/>
  <c r="A886" i="6"/>
  <c r="B885" i="8" s="1"/>
  <c r="F4" i="4"/>
  <c r="H4" i="4"/>
  <c r="F5" i="4"/>
  <c r="H5" i="4"/>
  <c r="F6" i="4"/>
  <c r="H6" i="4"/>
  <c r="F7" i="4"/>
  <c r="H7" i="4"/>
  <c r="F8" i="4"/>
  <c r="H8" i="4"/>
  <c r="F9" i="4"/>
  <c r="H9" i="4"/>
  <c r="F10" i="4"/>
  <c r="H10" i="4"/>
  <c r="F11" i="4"/>
  <c r="H11" i="4"/>
  <c r="F12" i="4"/>
  <c r="H12" i="4"/>
  <c r="F13" i="4"/>
  <c r="H13" i="4"/>
  <c r="F14" i="4"/>
  <c r="H14" i="4"/>
  <c r="F15" i="4"/>
  <c r="H15" i="4"/>
  <c r="F16" i="4"/>
  <c r="H16" i="4"/>
  <c r="F17" i="4"/>
  <c r="H17" i="4"/>
  <c r="F18" i="4"/>
  <c r="H18" i="4"/>
  <c r="F19" i="4"/>
  <c r="H19" i="4"/>
  <c r="F20" i="4"/>
  <c r="H20" i="4"/>
  <c r="F21" i="4"/>
  <c r="H21" i="4"/>
  <c r="F22" i="4"/>
  <c r="H22" i="4"/>
  <c r="F23" i="4"/>
  <c r="H23" i="4"/>
  <c r="F24" i="4"/>
  <c r="H24" i="4"/>
  <c r="F25" i="4"/>
  <c r="H25" i="4"/>
  <c r="F26" i="4"/>
  <c r="H26" i="4"/>
  <c r="F27" i="4"/>
  <c r="H27" i="4"/>
  <c r="F28" i="4"/>
  <c r="H28" i="4"/>
  <c r="F29" i="4"/>
  <c r="H29" i="4"/>
  <c r="F30" i="4"/>
  <c r="H30" i="4"/>
  <c r="F31" i="4"/>
  <c r="H31" i="4"/>
  <c r="F32" i="4"/>
  <c r="H32" i="4"/>
  <c r="F33" i="4"/>
  <c r="H33" i="4"/>
  <c r="F34" i="4"/>
  <c r="H34" i="4"/>
  <c r="F35" i="4"/>
  <c r="H35" i="4"/>
  <c r="F36" i="4"/>
  <c r="H36" i="4"/>
  <c r="F37" i="4"/>
  <c r="H37" i="4"/>
  <c r="F38" i="4"/>
  <c r="H38" i="4"/>
  <c r="F39" i="4"/>
  <c r="H39" i="4"/>
  <c r="F40" i="4"/>
  <c r="H40" i="4"/>
  <c r="F41" i="4"/>
  <c r="H41" i="4"/>
  <c r="F42" i="4"/>
  <c r="H42" i="4"/>
  <c r="F43" i="4"/>
  <c r="H43" i="4"/>
  <c r="F44" i="4"/>
  <c r="H44" i="4"/>
  <c r="F45" i="4"/>
  <c r="H45" i="4"/>
  <c r="F46" i="4"/>
  <c r="H46" i="4"/>
  <c r="F47" i="4"/>
  <c r="H47" i="4"/>
  <c r="F48" i="4"/>
  <c r="H48" i="4"/>
  <c r="F49" i="4"/>
  <c r="H49" i="4"/>
  <c r="F50" i="4"/>
  <c r="H50" i="4"/>
  <c r="F51" i="4"/>
  <c r="H51" i="4"/>
  <c r="F52" i="4"/>
  <c r="H52" i="4"/>
  <c r="F53" i="4"/>
  <c r="H53" i="4"/>
  <c r="F54" i="4"/>
  <c r="H54" i="4"/>
  <c r="F55" i="4"/>
  <c r="H55" i="4"/>
  <c r="F56" i="4"/>
  <c r="H56" i="4"/>
  <c r="F57" i="4"/>
  <c r="H57" i="4"/>
  <c r="F58" i="4"/>
  <c r="H58" i="4"/>
  <c r="F59" i="4"/>
  <c r="H59" i="4"/>
  <c r="F60" i="4"/>
  <c r="H60" i="4"/>
  <c r="F61" i="4"/>
  <c r="H61" i="4"/>
  <c r="F62" i="4"/>
  <c r="H62" i="4"/>
  <c r="F63" i="4"/>
  <c r="H63" i="4"/>
  <c r="F64" i="4"/>
  <c r="H64" i="4"/>
  <c r="F65" i="4"/>
  <c r="H65" i="4"/>
  <c r="F66" i="4"/>
  <c r="H66" i="4"/>
  <c r="F67" i="4"/>
  <c r="H67" i="4"/>
  <c r="F68" i="4"/>
  <c r="H68" i="4"/>
  <c r="F69" i="4"/>
  <c r="H69" i="4"/>
  <c r="F70" i="4"/>
  <c r="H70" i="4"/>
  <c r="F71" i="4"/>
  <c r="H71" i="4"/>
  <c r="F72" i="4"/>
  <c r="H72" i="4"/>
  <c r="F73" i="4"/>
  <c r="H73" i="4"/>
  <c r="F74" i="4"/>
  <c r="H74" i="4"/>
  <c r="F75" i="4"/>
  <c r="H75" i="4"/>
  <c r="F76" i="4"/>
  <c r="H76" i="4"/>
  <c r="F77" i="4"/>
  <c r="H77" i="4"/>
  <c r="F78" i="4"/>
  <c r="H78" i="4"/>
  <c r="F79" i="4"/>
  <c r="H79" i="4"/>
  <c r="F80" i="4"/>
  <c r="H80" i="4"/>
  <c r="F81" i="4"/>
  <c r="H81" i="4"/>
  <c r="F82" i="4"/>
  <c r="H82" i="4"/>
  <c r="F83" i="4"/>
  <c r="H83" i="4"/>
  <c r="F84" i="4"/>
  <c r="H84" i="4"/>
  <c r="F85" i="4"/>
  <c r="H85" i="4"/>
  <c r="F86" i="4"/>
  <c r="H86" i="4"/>
  <c r="F87" i="4"/>
  <c r="H87" i="4"/>
  <c r="F88" i="4"/>
  <c r="H88" i="4"/>
  <c r="F89" i="4"/>
  <c r="H89" i="4"/>
  <c r="F90" i="4"/>
  <c r="H90" i="4"/>
  <c r="F91" i="4"/>
  <c r="H91" i="4"/>
  <c r="F92" i="4"/>
  <c r="H92" i="4"/>
  <c r="F93" i="4"/>
  <c r="H93" i="4"/>
  <c r="F94" i="4"/>
  <c r="H94" i="4"/>
  <c r="F95" i="4"/>
  <c r="H95" i="4"/>
  <c r="F96" i="4"/>
  <c r="H96" i="4"/>
  <c r="F97" i="4"/>
  <c r="H97" i="4"/>
  <c r="F98" i="4"/>
  <c r="H98" i="4"/>
  <c r="F99" i="4"/>
  <c r="H99" i="4"/>
  <c r="F100" i="4"/>
  <c r="H100" i="4"/>
  <c r="F101" i="4"/>
  <c r="H101" i="4"/>
  <c r="F102" i="4"/>
  <c r="H102" i="4"/>
  <c r="F103" i="4"/>
  <c r="H103" i="4"/>
  <c r="F104" i="4"/>
  <c r="H104" i="4"/>
  <c r="F105" i="4"/>
  <c r="H105" i="4"/>
  <c r="F106" i="4"/>
  <c r="H106" i="4"/>
  <c r="F107" i="4"/>
  <c r="H107" i="4"/>
  <c r="F108" i="4"/>
  <c r="H108" i="4"/>
  <c r="F109" i="4"/>
  <c r="H109" i="4"/>
  <c r="F110" i="4"/>
  <c r="H110" i="4"/>
  <c r="F111" i="4"/>
  <c r="H111" i="4"/>
  <c r="F112" i="4"/>
  <c r="H112" i="4"/>
  <c r="F113" i="4"/>
  <c r="H113" i="4"/>
  <c r="F114" i="4"/>
  <c r="H114" i="4"/>
  <c r="F115" i="4"/>
  <c r="H115" i="4"/>
  <c r="F116" i="4"/>
  <c r="H116" i="4"/>
  <c r="F117" i="4"/>
  <c r="H117" i="4"/>
  <c r="F118" i="4"/>
  <c r="H118" i="4"/>
  <c r="F119" i="4"/>
  <c r="H119" i="4"/>
  <c r="F120" i="4"/>
  <c r="H120" i="4"/>
  <c r="F121" i="4"/>
  <c r="H121" i="4"/>
  <c r="F122" i="4"/>
  <c r="H122" i="4"/>
  <c r="F123" i="4"/>
  <c r="H123" i="4"/>
  <c r="F124" i="4"/>
  <c r="H124" i="4"/>
  <c r="F125" i="4"/>
  <c r="H125" i="4"/>
  <c r="F126" i="4"/>
  <c r="H126" i="4"/>
  <c r="F127" i="4"/>
  <c r="H127" i="4"/>
  <c r="F128" i="4"/>
  <c r="H128" i="4"/>
  <c r="F129" i="4"/>
  <c r="H129" i="4"/>
  <c r="F130" i="4"/>
  <c r="H130" i="4"/>
  <c r="F131" i="4"/>
  <c r="H131" i="4"/>
  <c r="F132" i="4"/>
  <c r="H132" i="4"/>
  <c r="F133" i="4"/>
  <c r="H133" i="4"/>
  <c r="F134" i="4"/>
  <c r="H134" i="4"/>
  <c r="F135" i="4"/>
  <c r="H135" i="4"/>
  <c r="F136" i="4"/>
  <c r="H136" i="4"/>
  <c r="F137" i="4"/>
  <c r="H137" i="4"/>
  <c r="F138" i="4"/>
  <c r="H138" i="4"/>
  <c r="F139" i="4"/>
  <c r="H139" i="4"/>
  <c r="F140" i="4"/>
  <c r="H140" i="4"/>
  <c r="F141" i="4"/>
  <c r="H141" i="4"/>
  <c r="F142" i="4"/>
  <c r="H142" i="4"/>
  <c r="F143" i="4"/>
  <c r="H143" i="4"/>
  <c r="F144" i="4"/>
  <c r="H144" i="4"/>
  <c r="F145" i="4"/>
  <c r="H145" i="4"/>
  <c r="F146" i="4"/>
  <c r="H146" i="4"/>
  <c r="F147" i="4"/>
  <c r="H147" i="4"/>
  <c r="F148" i="4"/>
  <c r="H148" i="4"/>
  <c r="F149" i="4"/>
  <c r="H149" i="4"/>
  <c r="F150" i="4"/>
  <c r="H150" i="4"/>
  <c r="F151" i="4"/>
  <c r="H151" i="4"/>
  <c r="F152" i="4"/>
  <c r="H152" i="4"/>
  <c r="F153" i="4"/>
  <c r="H153" i="4"/>
  <c r="F154" i="4"/>
  <c r="H154" i="4"/>
  <c r="F155" i="4"/>
  <c r="H155" i="4"/>
  <c r="F156" i="4"/>
  <c r="H156" i="4"/>
  <c r="F157" i="4"/>
  <c r="H157" i="4"/>
  <c r="F158" i="4"/>
  <c r="H158" i="4"/>
  <c r="F159" i="4"/>
  <c r="H159" i="4"/>
  <c r="F160" i="4"/>
  <c r="H160" i="4"/>
  <c r="F161" i="4"/>
  <c r="H161" i="4"/>
  <c r="F162" i="4"/>
  <c r="H162" i="4"/>
  <c r="F163" i="4"/>
  <c r="H163" i="4"/>
  <c r="F164" i="4"/>
  <c r="H164" i="4"/>
  <c r="F165" i="4"/>
  <c r="H165" i="4"/>
  <c r="F166" i="4"/>
  <c r="H166" i="4"/>
  <c r="F167" i="4"/>
  <c r="H167" i="4"/>
  <c r="F168" i="4"/>
  <c r="H168" i="4"/>
  <c r="F169" i="4"/>
  <c r="H169" i="4"/>
  <c r="F170" i="4"/>
  <c r="H170" i="4"/>
  <c r="F171" i="4"/>
  <c r="H171" i="4"/>
  <c r="F172" i="4"/>
  <c r="H172" i="4"/>
  <c r="F173" i="4"/>
  <c r="H173" i="4"/>
  <c r="F174" i="4"/>
  <c r="H174" i="4"/>
  <c r="F175" i="4"/>
  <c r="H175" i="4"/>
  <c r="F176" i="4"/>
  <c r="H176" i="4"/>
  <c r="F177" i="4"/>
  <c r="H177" i="4"/>
  <c r="F178" i="4"/>
  <c r="H178" i="4"/>
  <c r="F179" i="4"/>
  <c r="H179" i="4"/>
  <c r="F180" i="4"/>
  <c r="H180" i="4"/>
  <c r="F181" i="4"/>
  <c r="H181" i="4"/>
  <c r="F182" i="4"/>
  <c r="H182" i="4"/>
  <c r="F183" i="4"/>
  <c r="H183" i="4"/>
  <c r="F184" i="4"/>
  <c r="H184" i="4"/>
  <c r="F185" i="4"/>
  <c r="H185" i="4"/>
  <c r="F186" i="4"/>
  <c r="H186" i="4"/>
  <c r="F187" i="4"/>
  <c r="H187" i="4"/>
  <c r="F188" i="4"/>
  <c r="H188" i="4"/>
  <c r="F189" i="4"/>
  <c r="H189" i="4"/>
  <c r="F190" i="4"/>
  <c r="H190" i="4"/>
  <c r="F191" i="4"/>
  <c r="H191" i="4"/>
  <c r="F192" i="4"/>
  <c r="H192" i="4"/>
  <c r="F193" i="4"/>
  <c r="H193" i="4"/>
  <c r="F194" i="4"/>
  <c r="H194" i="4"/>
  <c r="F195" i="4"/>
  <c r="H195" i="4"/>
  <c r="F196" i="4"/>
  <c r="H196" i="4"/>
  <c r="F197" i="4"/>
  <c r="H197" i="4"/>
  <c r="F198" i="4"/>
  <c r="H198" i="4"/>
  <c r="F199" i="4"/>
  <c r="H199" i="4"/>
  <c r="F200" i="4"/>
  <c r="H200" i="4"/>
  <c r="F201" i="4"/>
  <c r="H201" i="4"/>
  <c r="F202" i="4"/>
  <c r="H202" i="4"/>
  <c r="F203" i="4"/>
  <c r="H203" i="4"/>
  <c r="F204" i="4"/>
  <c r="H204" i="4"/>
  <c r="F205" i="4"/>
  <c r="H205" i="4"/>
  <c r="F206" i="4"/>
  <c r="H206" i="4"/>
  <c r="F207" i="4"/>
  <c r="H207" i="4"/>
  <c r="F208" i="4"/>
  <c r="H208" i="4"/>
  <c r="F209" i="4"/>
  <c r="H209" i="4"/>
  <c r="F210" i="4"/>
  <c r="H210" i="4"/>
  <c r="F211" i="4"/>
  <c r="H211" i="4"/>
  <c r="F212" i="4"/>
  <c r="H212" i="4"/>
  <c r="F213" i="4"/>
  <c r="H213" i="4"/>
  <c r="F214" i="4"/>
  <c r="H214" i="4"/>
  <c r="I3" i="4"/>
  <c r="I4" i="4" s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218" i="4" s="1"/>
  <c r="I219" i="4" s="1"/>
  <c r="I220" i="4" s="1"/>
  <c r="H3" i="4"/>
  <c r="H2" i="4"/>
  <c r="F3" i="4"/>
  <c r="G3" i="4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F2" i="4"/>
  <c r="E3" i="4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</calcChain>
</file>

<file path=xl/sharedStrings.xml><?xml version="1.0" encoding="utf-8"?>
<sst xmlns="http://schemas.openxmlformats.org/spreadsheetml/2006/main" count="11592" uniqueCount="1824">
  <si>
    <t>The Islamic Republic of Afghanistan</t>
  </si>
  <si>
    <t>AF</t>
  </si>
  <si>
    <t>AFG</t>
  </si>
  <si>
    <t>Finland</t>
  </si>
  <si>
    <t>The Republic of Albania</t>
  </si>
  <si>
    <t>AL</t>
  </si>
  <si>
    <t>ALB</t>
  </si>
  <si>
    <t>The People's Democratic Republic of Algeria</t>
  </si>
  <si>
    <t>DZ</t>
  </si>
  <si>
    <t>DZA</t>
  </si>
  <si>
    <t>The Territory of American Samoa</t>
  </si>
  <si>
    <t>United States</t>
  </si>
  <si>
    <t>AS</t>
  </si>
  <si>
    <t>ASM</t>
  </si>
  <si>
    <t>The Principality of Andorra</t>
  </si>
  <si>
    <t>AD</t>
  </si>
  <si>
    <t>AND</t>
  </si>
  <si>
    <t>The Republic of Angola</t>
  </si>
  <si>
    <t>AO</t>
  </si>
  <si>
    <t>AGO</t>
  </si>
  <si>
    <t>Anguilla</t>
  </si>
  <si>
    <t>AI</t>
  </si>
  <si>
    <t>AIA</t>
  </si>
  <si>
    <t>Antigua and Barbuda</t>
  </si>
  <si>
    <t>AG</t>
  </si>
  <si>
    <t>ATG</t>
  </si>
  <si>
    <t>The Argentine Republic</t>
  </si>
  <si>
    <t>AR</t>
  </si>
  <si>
    <t>ARG</t>
  </si>
  <si>
    <t>The Republic of Armenia</t>
  </si>
  <si>
    <t>AM</t>
  </si>
  <si>
    <t>ARM</t>
  </si>
  <si>
    <t>Aruba</t>
  </si>
  <si>
    <t>Netherlands</t>
  </si>
  <si>
    <t>AW</t>
  </si>
  <si>
    <t>ABW</t>
  </si>
  <si>
    <t>The Commonwealth of Australia</t>
  </si>
  <si>
    <t>AU</t>
  </si>
  <si>
    <t>AUS</t>
  </si>
  <si>
    <t>The Republic of Austria</t>
  </si>
  <si>
    <t>AT</t>
  </si>
  <si>
    <t>AUT</t>
  </si>
  <si>
    <t>The Republic of Azerbaijan</t>
  </si>
  <si>
    <t>AZ</t>
  </si>
  <si>
    <t>AZE</t>
  </si>
  <si>
    <t>The Commonwealth of The Bahamas</t>
  </si>
  <si>
    <t>BS</t>
  </si>
  <si>
    <t>BHS</t>
  </si>
  <si>
    <t>The Kingdom of Bahrain</t>
  </si>
  <si>
    <t>BH</t>
  </si>
  <si>
    <t>BHR</t>
  </si>
  <si>
    <t>The People's Republic of Bangladesh</t>
  </si>
  <si>
    <t>BD</t>
  </si>
  <si>
    <t>BGD</t>
  </si>
  <si>
    <t>Barbados</t>
  </si>
  <si>
    <t>BB</t>
  </si>
  <si>
    <t>BRB</t>
  </si>
  <si>
    <t>The Republic of Belarus</t>
  </si>
  <si>
    <t>BY</t>
  </si>
  <si>
    <t>BLR</t>
  </si>
  <si>
    <t>The Kingdom of Belgium</t>
  </si>
  <si>
    <t>BE</t>
  </si>
  <si>
    <t>BEL</t>
  </si>
  <si>
    <t>Belize</t>
  </si>
  <si>
    <t>BZ</t>
  </si>
  <si>
    <t>BLZ</t>
  </si>
  <si>
    <t>The Republic of Benin</t>
  </si>
  <si>
    <t>BJ</t>
  </si>
  <si>
    <t>BEN</t>
  </si>
  <si>
    <t>Bermuda</t>
  </si>
  <si>
    <t>BM</t>
  </si>
  <si>
    <t>BMU</t>
  </si>
  <si>
    <t>The Kingdom of Bhutan</t>
  </si>
  <si>
    <t>BT</t>
  </si>
  <si>
    <t>BTN</t>
  </si>
  <si>
    <t>The Plurinational State of Bolivia</t>
  </si>
  <si>
    <t>BO</t>
  </si>
  <si>
    <t>BOL</t>
  </si>
  <si>
    <t>Bosnia and Herzegovina</t>
  </si>
  <si>
    <t>BA</t>
  </si>
  <si>
    <t>BIH</t>
  </si>
  <si>
    <t>The Republic of Botswana</t>
  </si>
  <si>
    <t>BW</t>
  </si>
  <si>
    <t>BWA</t>
  </si>
  <si>
    <t>Norway</t>
  </si>
  <si>
    <t>The Federative Republic of Brazil</t>
  </si>
  <si>
    <t>BR</t>
  </si>
  <si>
    <t>BRA</t>
  </si>
  <si>
    <t>The Nation of Brunei, the Abode of Peace</t>
  </si>
  <si>
    <t>BN</t>
  </si>
  <si>
    <t>BRN</t>
  </si>
  <si>
    <t>The Republic of Bulgaria</t>
  </si>
  <si>
    <t>BG</t>
  </si>
  <si>
    <t>BGR</t>
  </si>
  <si>
    <t>Burkina Faso</t>
  </si>
  <si>
    <t>BF</t>
  </si>
  <si>
    <t>BFA</t>
  </si>
  <si>
    <t>The Republic of Burundi</t>
  </si>
  <si>
    <t>BI</t>
  </si>
  <si>
    <t>BDI</t>
  </si>
  <si>
    <t>The Republic of Cabo Verde</t>
  </si>
  <si>
    <t>CV</t>
  </si>
  <si>
    <t>CPV</t>
  </si>
  <si>
    <t>The Kingdom of Cambodia</t>
  </si>
  <si>
    <t>KH</t>
  </si>
  <si>
    <t>KHM</t>
  </si>
  <si>
    <t>The Republic of Cameroon</t>
  </si>
  <si>
    <t>CM</t>
  </si>
  <si>
    <t>CMR</t>
  </si>
  <si>
    <t>Canada</t>
  </si>
  <si>
    <t>CA</t>
  </si>
  <si>
    <t>CAN</t>
  </si>
  <si>
    <t>The Cayman Islands</t>
  </si>
  <si>
    <t>KY</t>
  </si>
  <si>
    <t>CYM</t>
  </si>
  <si>
    <t>The Central African Republic</t>
  </si>
  <si>
    <t>CF</t>
  </si>
  <si>
    <t>CAF</t>
  </si>
  <si>
    <t>The Republic of Chad</t>
  </si>
  <si>
    <t>TD</t>
  </si>
  <si>
    <t>TCD</t>
  </si>
  <si>
    <t>The Republic of Chile</t>
  </si>
  <si>
    <t>CL</t>
  </si>
  <si>
    <t>CHL</t>
  </si>
  <si>
    <t>The People's Republic of China</t>
  </si>
  <si>
    <t>CN</t>
  </si>
  <si>
    <t>CHN</t>
  </si>
  <si>
    <t>The Territory of Christmas Island</t>
  </si>
  <si>
    <t>Australia</t>
  </si>
  <si>
    <t>CX</t>
  </si>
  <si>
    <t>CXR</t>
  </si>
  <si>
    <t>The Territory of Cocos (Keeling) Islands</t>
  </si>
  <si>
    <t>CC</t>
  </si>
  <si>
    <t>CCK</t>
  </si>
  <si>
    <t>The Republic of Colombia</t>
  </si>
  <si>
    <t>CO</t>
  </si>
  <si>
    <t>COL</t>
  </si>
  <si>
    <t>The Union of the Comoros</t>
  </si>
  <si>
    <t>KM</t>
  </si>
  <si>
    <t>COM</t>
  </si>
  <si>
    <t>The Democratic Republic of the Congo</t>
  </si>
  <si>
    <t>CD</t>
  </si>
  <si>
    <t>COD</t>
  </si>
  <si>
    <t>The Republic of the Congo</t>
  </si>
  <si>
    <t>CG</t>
  </si>
  <si>
    <t>COG</t>
  </si>
  <si>
    <t>The Cook Islands</t>
  </si>
  <si>
    <t>New Zealand</t>
  </si>
  <si>
    <t>CK</t>
  </si>
  <si>
    <t>COK</t>
  </si>
  <si>
    <t>The Republic of Costa Rica</t>
  </si>
  <si>
    <t>CR</t>
  </si>
  <si>
    <t>CRI</t>
  </si>
  <si>
    <t>The Republic of Côte d'Ivoire</t>
  </si>
  <si>
    <t>CI</t>
  </si>
  <si>
    <t>CIV</t>
  </si>
  <si>
    <t>The Republic of Croatia</t>
  </si>
  <si>
    <t>HR</t>
  </si>
  <si>
    <t>HRV</t>
  </si>
  <si>
    <t>The Republic of Cuba</t>
  </si>
  <si>
    <t>CU</t>
  </si>
  <si>
    <t>CUB</t>
  </si>
  <si>
    <t>The Country of Curaçao</t>
  </si>
  <si>
    <t>CW</t>
  </si>
  <si>
    <t>CUW</t>
  </si>
  <si>
    <t>The Republic of Cyprus</t>
  </si>
  <si>
    <t>CY</t>
  </si>
  <si>
    <t>CYP</t>
  </si>
  <si>
    <t>The Czech Republic</t>
  </si>
  <si>
    <t>CZ</t>
  </si>
  <si>
    <t>CZE</t>
  </si>
  <si>
    <t>The Kingdom of Denmark</t>
  </si>
  <si>
    <t>DK</t>
  </si>
  <si>
    <t>DNK</t>
  </si>
  <si>
    <t>The Republic of Djibouti</t>
  </si>
  <si>
    <t>DJ</t>
  </si>
  <si>
    <t>DJI</t>
  </si>
  <si>
    <t>The Commonwealth of Dominica</t>
  </si>
  <si>
    <t>DM</t>
  </si>
  <si>
    <t>DMA</t>
  </si>
  <si>
    <t>The Dominican Republic</t>
  </si>
  <si>
    <t>DO</t>
  </si>
  <si>
    <t>DOM</t>
  </si>
  <si>
    <t>The Republic of Ecuador</t>
  </si>
  <si>
    <t>EC</t>
  </si>
  <si>
    <t>ECU</t>
  </si>
  <si>
    <t>The Arab Republic of Egypt</t>
  </si>
  <si>
    <t>EG</t>
  </si>
  <si>
    <t>EGY</t>
  </si>
  <si>
    <t>The Republic of El Salvador</t>
  </si>
  <si>
    <t>SV</t>
  </si>
  <si>
    <t>SLV</t>
  </si>
  <si>
    <t>The Republic of Equatorial Guinea</t>
  </si>
  <si>
    <t>GQ</t>
  </si>
  <si>
    <t>GNQ</t>
  </si>
  <si>
    <t>The State of Eritrea</t>
  </si>
  <si>
    <t>ER</t>
  </si>
  <si>
    <t>ERI</t>
  </si>
  <si>
    <t>The Republic of Estonia</t>
  </si>
  <si>
    <t>EE</t>
  </si>
  <si>
    <t>EST</t>
  </si>
  <si>
    <t>The Kingdom of Eswatini</t>
  </si>
  <si>
    <t>SZ</t>
  </si>
  <si>
    <t>SWZ</t>
  </si>
  <si>
    <t>The Federal Democratic Republic of Ethiopia</t>
  </si>
  <si>
    <t>ET</t>
  </si>
  <si>
    <t>ETH</t>
  </si>
  <si>
    <t>The Falkland Islands</t>
  </si>
  <si>
    <t>FK</t>
  </si>
  <si>
    <t>FLK</t>
  </si>
  <si>
    <t>The Faroe Islands</t>
  </si>
  <si>
    <t>Denmark</t>
  </si>
  <si>
    <t>FO</t>
  </si>
  <si>
    <t>FRO</t>
  </si>
  <si>
    <t>The Republic of Fiji</t>
  </si>
  <si>
    <t>FJ</t>
  </si>
  <si>
    <t>FJI</t>
  </si>
  <si>
    <t>The Republic of Finland</t>
  </si>
  <si>
    <t>FI</t>
  </si>
  <si>
    <t>FIN</t>
  </si>
  <si>
    <t>The French Republic</t>
  </si>
  <si>
    <t>FR</t>
  </si>
  <si>
    <t>FRA</t>
  </si>
  <si>
    <t>Guyane</t>
  </si>
  <si>
    <t>France</t>
  </si>
  <si>
    <t>GF</t>
  </si>
  <si>
    <t>GUF</t>
  </si>
  <si>
    <t>French Polynesia</t>
  </si>
  <si>
    <t>PF</t>
  </si>
  <si>
    <t>PYF</t>
  </si>
  <si>
    <t>The French Southern and Antarctic Lands</t>
  </si>
  <si>
    <t>TF</t>
  </si>
  <si>
    <t>ATF</t>
  </si>
  <si>
    <t>The Gabonese Republic</t>
  </si>
  <si>
    <t>GA</t>
  </si>
  <si>
    <t>GAB</t>
  </si>
  <si>
    <t>The Republic of The Gambia</t>
  </si>
  <si>
    <t>GM</t>
  </si>
  <si>
    <t>GMB</t>
  </si>
  <si>
    <t>Georgia</t>
  </si>
  <si>
    <t>GE</t>
  </si>
  <si>
    <t>GEO</t>
  </si>
  <si>
    <t>The Federal Republic of Germany</t>
  </si>
  <si>
    <t>DE</t>
  </si>
  <si>
    <t>DEU</t>
  </si>
  <si>
    <t>The Republic of Ghana</t>
  </si>
  <si>
    <t>GH</t>
  </si>
  <si>
    <t>GHA</t>
  </si>
  <si>
    <t>Gibraltar</t>
  </si>
  <si>
    <t>GI</t>
  </si>
  <si>
    <t>GIB</t>
  </si>
  <si>
    <t>The Hellenic Republic</t>
  </si>
  <si>
    <t>GR</t>
  </si>
  <si>
    <t>GRC</t>
  </si>
  <si>
    <t>Kalaallit Nunaat</t>
  </si>
  <si>
    <t>GL</t>
  </si>
  <si>
    <t>GRL</t>
  </si>
  <si>
    <t>Grenada</t>
  </si>
  <si>
    <t>GD</t>
  </si>
  <si>
    <t>GRD</t>
  </si>
  <si>
    <t>Guadeloupe</t>
  </si>
  <si>
    <t>GP</t>
  </si>
  <si>
    <t>GLP</t>
  </si>
  <si>
    <t>The Territory of Guam</t>
  </si>
  <si>
    <t>GU</t>
  </si>
  <si>
    <t>GUM</t>
  </si>
  <si>
    <t>The Republic of Guatemala</t>
  </si>
  <si>
    <t>GT</t>
  </si>
  <si>
    <t>GTM</t>
  </si>
  <si>
    <t>The Bailiwick of Guernsey</t>
  </si>
  <si>
    <t>GG</t>
  </si>
  <si>
    <t>GGY</t>
  </si>
  <si>
    <t>The Republic of Guinea</t>
  </si>
  <si>
    <t>GN</t>
  </si>
  <si>
    <t>GIN</t>
  </si>
  <si>
    <t>The Republic of Guinea-Bissau</t>
  </si>
  <si>
    <t>GW</t>
  </si>
  <si>
    <t>GNB</t>
  </si>
  <si>
    <t>The Co-operative Republic of Guyana</t>
  </si>
  <si>
    <t>GY</t>
  </si>
  <si>
    <t>GUY</t>
  </si>
  <si>
    <t>The Republic of Haiti</t>
  </si>
  <si>
    <t>HT</t>
  </si>
  <si>
    <t>HTI</t>
  </si>
  <si>
    <t>The Territory of Heard Island and McDonald Islands</t>
  </si>
  <si>
    <t>HM</t>
  </si>
  <si>
    <t>HMD</t>
  </si>
  <si>
    <t>The Holy See</t>
  </si>
  <si>
    <t>VA</t>
  </si>
  <si>
    <t>VAT</t>
  </si>
  <si>
    <t>The Republic of Honduras</t>
  </si>
  <si>
    <t>HN</t>
  </si>
  <si>
    <t>HND</t>
  </si>
  <si>
    <t>The Hong Kong Special Administrative Region of China[10]</t>
  </si>
  <si>
    <t>China</t>
  </si>
  <si>
    <t>HK</t>
  </si>
  <si>
    <t>HKG</t>
  </si>
  <si>
    <t>Hungary</t>
  </si>
  <si>
    <t>HU</t>
  </si>
  <si>
    <t>HUN</t>
  </si>
  <si>
    <t>Iceland</t>
  </si>
  <si>
    <t>IS</t>
  </si>
  <si>
    <t>ISL</t>
  </si>
  <si>
    <t>The Republic of India</t>
  </si>
  <si>
    <t>IN</t>
  </si>
  <si>
    <t>IND</t>
  </si>
  <si>
    <t>The Republic of Indonesia</t>
  </si>
  <si>
    <t>ID</t>
  </si>
  <si>
    <t>IDN</t>
  </si>
  <si>
    <t>The Islamic Republic of Iran</t>
  </si>
  <si>
    <t>IR</t>
  </si>
  <si>
    <t>IRN</t>
  </si>
  <si>
    <t>The Republic of Iraq</t>
  </si>
  <si>
    <t>IQ</t>
  </si>
  <si>
    <t>IRQ</t>
  </si>
  <si>
    <t>Ireland</t>
  </si>
  <si>
    <t>IE</t>
  </si>
  <si>
    <t>IRL</t>
  </si>
  <si>
    <t>The Isle of Man</t>
  </si>
  <si>
    <t>IM</t>
  </si>
  <si>
    <t>IMN</t>
  </si>
  <si>
    <t>The State of Israel</t>
  </si>
  <si>
    <t>IL</t>
  </si>
  <si>
    <t>ISR</t>
  </si>
  <si>
    <t>The Italian Republic</t>
  </si>
  <si>
    <t>IT</t>
  </si>
  <si>
    <t>ITA</t>
  </si>
  <si>
    <t>Jamaica</t>
  </si>
  <si>
    <t>JM</t>
  </si>
  <si>
    <t>JAM</t>
  </si>
  <si>
    <t>Japan</t>
  </si>
  <si>
    <t>JP</t>
  </si>
  <si>
    <t>JPN</t>
  </si>
  <si>
    <t>The Bailiwick of Jersey</t>
  </si>
  <si>
    <t>JE</t>
  </si>
  <si>
    <t>JEY</t>
  </si>
  <si>
    <t>The Hashemite Kingdom of Jordan</t>
  </si>
  <si>
    <t>JO</t>
  </si>
  <si>
    <t>JOR</t>
  </si>
  <si>
    <t>The Republic of Kazakhstan</t>
  </si>
  <si>
    <t>KZ</t>
  </si>
  <si>
    <t>KAZ</t>
  </si>
  <si>
    <t>The Republic of Kenya</t>
  </si>
  <si>
    <t>KE</t>
  </si>
  <si>
    <t>KEN</t>
  </si>
  <si>
    <t>The Republic of Kiribati</t>
  </si>
  <si>
    <t>KI</t>
  </si>
  <si>
    <t>KIR</t>
  </si>
  <si>
    <t>The Democratic People's Republic of Korea</t>
  </si>
  <si>
    <t>KP</t>
  </si>
  <si>
    <t>PRK</t>
  </si>
  <si>
    <t>The Republic of Korea</t>
  </si>
  <si>
    <t>KR</t>
  </si>
  <si>
    <t>KOR</t>
  </si>
  <si>
    <t>The State of Kuwait</t>
  </si>
  <si>
    <t>KW</t>
  </si>
  <si>
    <t>KWT</t>
  </si>
  <si>
    <t>The Kyrgyz Republic</t>
  </si>
  <si>
    <t>KG</t>
  </si>
  <si>
    <t>KGZ</t>
  </si>
  <si>
    <t>The Lao People's Democratic Republic</t>
  </si>
  <si>
    <t>LA</t>
  </si>
  <si>
    <t>LAO</t>
  </si>
  <si>
    <t>The Republic of Latvia</t>
  </si>
  <si>
    <t>LV</t>
  </si>
  <si>
    <t>LVA</t>
  </si>
  <si>
    <t>The Lebanese Republic</t>
  </si>
  <si>
    <t>LB</t>
  </si>
  <si>
    <t>LBN</t>
  </si>
  <si>
    <t>The Kingdom of Lesotho</t>
  </si>
  <si>
    <t>LS</t>
  </si>
  <si>
    <t>LSO</t>
  </si>
  <si>
    <t>The Republic of Liberia</t>
  </si>
  <si>
    <t>LR</t>
  </si>
  <si>
    <t>LBR</t>
  </si>
  <si>
    <t>The State of Libya</t>
  </si>
  <si>
    <t>LY</t>
  </si>
  <si>
    <t>LBY</t>
  </si>
  <si>
    <t>The Principality of Liechtenstein</t>
  </si>
  <si>
    <t>LI</t>
  </si>
  <si>
    <t>LIE</t>
  </si>
  <si>
    <t>The Republic of Lithuania</t>
  </si>
  <si>
    <t>LT</t>
  </si>
  <si>
    <t>LTU</t>
  </si>
  <si>
    <t>The Grand Duchy of Luxembourg</t>
  </si>
  <si>
    <t>LU</t>
  </si>
  <si>
    <t>LUX</t>
  </si>
  <si>
    <t>The Macao Special Administrative Region of China[11]</t>
  </si>
  <si>
    <t>MO</t>
  </si>
  <si>
    <t>MAC</t>
  </si>
  <si>
    <t>The Republic of North Macedonia[12]</t>
  </si>
  <si>
    <t>MK</t>
  </si>
  <si>
    <t>MKD</t>
  </si>
  <si>
    <t>The Republic of Madagascar</t>
  </si>
  <si>
    <t>MG</t>
  </si>
  <si>
    <t>MDG</t>
  </si>
  <si>
    <t>The Republic of Malawi</t>
  </si>
  <si>
    <t>MW</t>
  </si>
  <si>
    <t>MWI</t>
  </si>
  <si>
    <t>Malaysia</t>
  </si>
  <si>
    <t>MY</t>
  </si>
  <si>
    <t>MYS</t>
  </si>
  <si>
    <t>The Republic of Maldives</t>
  </si>
  <si>
    <t>MV</t>
  </si>
  <si>
    <t>MDV</t>
  </si>
  <si>
    <t>The Republic of Mali</t>
  </si>
  <si>
    <t>ML</t>
  </si>
  <si>
    <t>MLI</t>
  </si>
  <si>
    <t>The Republic of Malta</t>
  </si>
  <si>
    <t>MT</t>
  </si>
  <si>
    <t>MLT</t>
  </si>
  <si>
    <t>The Republic of the Marshall Islands</t>
  </si>
  <si>
    <t>MH</t>
  </si>
  <si>
    <t>MHL</t>
  </si>
  <si>
    <t>Martinique</t>
  </si>
  <si>
    <t>MQ</t>
  </si>
  <si>
    <t>MTQ</t>
  </si>
  <si>
    <t>The Islamic Republic of Mauritania</t>
  </si>
  <si>
    <t>MR</t>
  </si>
  <si>
    <t>MRT</t>
  </si>
  <si>
    <t>The Republic of Mauritius</t>
  </si>
  <si>
    <t>MU</t>
  </si>
  <si>
    <t>MUS</t>
  </si>
  <si>
    <t>The Department of Mayotte</t>
  </si>
  <si>
    <t>YT</t>
  </si>
  <si>
    <t>MYT</t>
  </si>
  <si>
    <t>The United Mexican States</t>
  </si>
  <si>
    <t>MX</t>
  </si>
  <si>
    <t>MEX</t>
  </si>
  <si>
    <t>The Federated States of Micronesia</t>
  </si>
  <si>
    <t>FM</t>
  </si>
  <si>
    <t>FSM</t>
  </si>
  <si>
    <t>The Republic of Moldova</t>
  </si>
  <si>
    <t>MD</t>
  </si>
  <si>
    <t>MDA</t>
  </si>
  <si>
    <t>The Principality of Monaco</t>
  </si>
  <si>
    <t>MC</t>
  </si>
  <si>
    <t>MCO</t>
  </si>
  <si>
    <t>Mongolia</t>
  </si>
  <si>
    <t>MN</t>
  </si>
  <si>
    <t>MNG</t>
  </si>
  <si>
    <t>Montenegro</t>
  </si>
  <si>
    <t>ME</t>
  </si>
  <si>
    <t>MNE</t>
  </si>
  <si>
    <t>Montserrat</t>
  </si>
  <si>
    <t>MS</t>
  </si>
  <si>
    <t>MSR</t>
  </si>
  <si>
    <t>The Kingdom of Morocco</t>
  </si>
  <si>
    <t>MA</t>
  </si>
  <si>
    <t>MAR</t>
  </si>
  <si>
    <t>The Republic of Mozambique</t>
  </si>
  <si>
    <t>MZ</t>
  </si>
  <si>
    <t>MOZ</t>
  </si>
  <si>
    <t>The Republic of the Union of Myanmar</t>
  </si>
  <si>
    <t>MM</t>
  </si>
  <si>
    <t>MMR</t>
  </si>
  <si>
    <t>The Republic of Namibia</t>
  </si>
  <si>
    <t>NA</t>
  </si>
  <si>
    <t>NAM</t>
  </si>
  <si>
    <t>The Republic of Nauru</t>
  </si>
  <si>
    <t>NR</t>
  </si>
  <si>
    <t>NRU</t>
  </si>
  <si>
    <t>The Federal Democratic Republic of Nepal</t>
  </si>
  <si>
    <t>NP</t>
  </si>
  <si>
    <t>NPL</t>
  </si>
  <si>
    <t>The Kingdom of the Netherlands</t>
  </si>
  <si>
    <t>NL</t>
  </si>
  <si>
    <t>NLD</t>
  </si>
  <si>
    <t>New Caledonia</t>
  </si>
  <si>
    <t>NC</t>
  </si>
  <si>
    <t>NCL</t>
  </si>
  <si>
    <t>NZ</t>
  </si>
  <si>
    <t>NZL</t>
  </si>
  <si>
    <t>The Republic of Nicaragua</t>
  </si>
  <si>
    <t>NI</t>
  </si>
  <si>
    <t>NIC</t>
  </si>
  <si>
    <t>The Republic of the Niger</t>
  </si>
  <si>
    <t>NE</t>
  </si>
  <si>
    <t>NER</t>
  </si>
  <si>
    <t>The Federal Republic of Nigeria</t>
  </si>
  <si>
    <t>NG</t>
  </si>
  <si>
    <t>NGA</t>
  </si>
  <si>
    <t>Niue</t>
  </si>
  <si>
    <t>NU</t>
  </si>
  <si>
    <t>NIU</t>
  </si>
  <si>
    <t>The Territory of Norfolk Island</t>
  </si>
  <si>
    <t>NF</t>
  </si>
  <si>
    <t>NFK</t>
  </si>
  <si>
    <t>The Commonwealth of the Northern Mariana Islands</t>
  </si>
  <si>
    <t>MP</t>
  </si>
  <si>
    <t>MNP</t>
  </si>
  <si>
    <t>The Kingdom of Norway</t>
  </si>
  <si>
    <t>NO</t>
  </si>
  <si>
    <t>NOR</t>
  </si>
  <si>
    <t>The Sultanate of Oman</t>
  </si>
  <si>
    <t>OM</t>
  </si>
  <si>
    <t>OMN</t>
  </si>
  <si>
    <t>The Islamic Republic of Pakistan</t>
  </si>
  <si>
    <t>PK</t>
  </si>
  <si>
    <t>PAK</t>
  </si>
  <si>
    <t>The Republic of Palau</t>
  </si>
  <si>
    <t>PW</t>
  </si>
  <si>
    <t>PLW</t>
  </si>
  <si>
    <t>The State of Palestine</t>
  </si>
  <si>
    <t>PS</t>
  </si>
  <si>
    <t>PSE</t>
  </si>
  <si>
    <t>The Republic of Panamá</t>
  </si>
  <si>
    <t>PA</t>
  </si>
  <si>
    <t>PAN</t>
  </si>
  <si>
    <t>The Independent State of Papua New Guinea</t>
  </si>
  <si>
    <t>PG</t>
  </si>
  <si>
    <t>PNG</t>
  </si>
  <si>
    <t>The Republic of Paraguay</t>
  </si>
  <si>
    <t>PY</t>
  </si>
  <si>
    <t>PRY</t>
  </si>
  <si>
    <t>The Republic of Perú</t>
  </si>
  <si>
    <t>PE</t>
  </si>
  <si>
    <t>PER</t>
  </si>
  <si>
    <t>The Republic of the Philippines</t>
  </si>
  <si>
    <t>PH</t>
  </si>
  <si>
    <t>PHL</t>
  </si>
  <si>
    <t>The Pitcairn, Henderson, Ducie and Oeno Islands</t>
  </si>
  <si>
    <t>PN</t>
  </si>
  <si>
    <t>PCN</t>
  </si>
  <si>
    <t>The Republic of Poland</t>
  </si>
  <si>
    <t>PL</t>
  </si>
  <si>
    <t>POL</t>
  </si>
  <si>
    <t>The Portuguese Republic</t>
  </si>
  <si>
    <t>PT</t>
  </si>
  <si>
    <t>PRT</t>
  </si>
  <si>
    <t>The Commonwealth of Puerto Rico</t>
  </si>
  <si>
    <t>PR</t>
  </si>
  <si>
    <t>PRI</t>
  </si>
  <si>
    <t>The State of Qatar</t>
  </si>
  <si>
    <t>QA</t>
  </si>
  <si>
    <t>QAT</t>
  </si>
  <si>
    <t>Réunion</t>
  </si>
  <si>
    <t>RE</t>
  </si>
  <si>
    <t>REU</t>
  </si>
  <si>
    <t>Romania</t>
  </si>
  <si>
    <t>RO</t>
  </si>
  <si>
    <t>ROU</t>
  </si>
  <si>
    <t>The Russian Federation</t>
  </si>
  <si>
    <t>RU</t>
  </si>
  <si>
    <t>RUS</t>
  </si>
  <si>
    <t>The Republic of Rwanda</t>
  </si>
  <si>
    <t>RW</t>
  </si>
  <si>
    <t>RWA</t>
  </si>
  <si>
    <t>The Collectivity of Saint-Barthélemy</t>
  </si>
  <si>
    <t>BL</t>
  </si>
  <si>
    <t>BLM</t>
  </si>
  <si>
    <t>Saint Helena, Ascension and Tristan da Cunha</t>
  </si>
  <si>
    <t>SH</t>
  </si>
  <si>
    <t>SHN</t>
  </si>
  <si>
    <t>Saint Kitts and Nevis</t>
  </si>
  <si>
    <t>KN</t>
  </si>
  <si>
    <t>KNA</t>
  </si>
  <si>
    <t>Saint Lucia</t>
  </si>
  <si>
    <t>LC</t>
  </si>
  <si>
    <t>LCA</t>
  </si>
  <si>
    <t>The Collectivity of Saint-Martin</t>
  </si>
  <si>
    <t>MF</t>
  </si>
  <si>
    <t>MAF</t>
  </si>
  <si>
    <t>The Overseas Collectivity of Saint-Pierre and Miquelon</t>
  </si>
  <si>
    <t>PM</t>
  </si>
  <si>
    <t>SPM</t>
  </si>
  <si>
    <t>Saint Vincent and the Grenadines</t>
  </si>
  <si>
    <t>VC</t>
  </si>
  <si>
    <t>VCT</t>
  </si>
  <si>
    <t>The Independent State of Samoa</t>
  </si>
  <si>
    <t>WS</t>
  </si>
  <si>
    <t>WSM</t>
  </si>
  <si>
    <t>The Republic of San Marino</t>
  </si>
  <si>
    <t>SM</t>
  </si>
  <si>
    <t>SMR</t>
  </si>
  <si>
    <t>The Democratic Republic of São Tomé and Príncipe</t>
  </si>
  <si>
    <t>ST</t>
  </si>
  <si>
    <t>STP</t>
  </si>
  <si>
    <t>The Kingdom of Saudi Arabia</t>
  </si>
  <si>
    <t>SA</t>
  </si>
  <si>
    <t>SAU</t>
  </si>
  <si>
    <t>The Republic of Senegal</t>
  </si>
  <si>
    <t>SN</t>
  </si>
  <si>
    <t>SEN</t>
  </si>
  <si>
    <t>The Republic of Serbia</t>
  </si>
  <si>
    <t>RS</t>
  </si>
  <si>
    <t>SRB</t>
  </si>
  <si>
    <t>The Republic of Seychelles</t>
  </si>
  <si>
    <t>SC</t>
  </si>
  <si>
    <t>SYC</t>
  </si>
  <si>
    <t>The Republic of Sierra Leone</t>
  </si>
  <si>
    <t>SL</t>
  </si>
  <si>
    <t>SLE</t>
  </si>
  <si>
    <t>The Republic of Singapore</t>
  </si>
  <si>
    <t>SG</t>
  </si>
  <si>
    <t>SGP</t>
  </si>
  <si>
    <t>Sint Maarten</t>
  </si>
  <si>
    <t>SX</t>
  </si>
  <si>
    <t>SXM</t>
  </si>
  <si>
    <t>The Slovak Republic</t>
  </si>
  <si>
    <t>SK</t>
  </si>
  <si>
    <t>SVK</t>
  </si>
  <si>
    <t>The Republic of Slovenia</t>
  </si>
  <si>
    <t>SI</t>
  </si>
  <si>
    <t>SVN</t>
  </si>
  <si>
    <t>The Solomon Islands</t>
  </si>
  <si>
    <t>SB</t>
  </si>
  <si>
    <t>SLB</t>
  </si>
  <si>
    <t>The Federal Republic of Somalia</t>
  </si>
  <si>
    <t>SO</t>
  </si>
  <si>
    <t>SOM</t>
  </si>
  <si>
    <t>The Republic of South Africa</t>
  </si>
  <si>
    <t>ZA</t>
  </si>
  <si>
    <t>ZAF</t>
  </si>
  <si>
    <t>South Georgia and the South Sandwich Islands</t>
  </si>
  <si>
    <t>GS</t>
  </si>
  <si>
    <t>SGS</t>
  </si>
  <si>
    <t>The Republic of South Sudan</t>
  </si>
  <si>
    <t>SS</t>
  </si>
  <si>
    <t>SSD</t>
  </si>
  <si>
    <t>The Kingdom of Spain</t>
  </si>
  <si>
    <t>ES</t>
  </si>
  <si>
    <t>ESP</t>
  </si>
  <si>
    <t>The Democratic Socialist Republic of Sri Lanka</t>
  </si>
  <si>
    <t>LK</t>
  </si>
  <si>
    <t>LKA</t>
  </si>
  <si>
    <t>The Republic of the Sudan</t>
  </si>
  <si>
    <t>SD</t>
  </si>
  <si>
    <t>SDN</t>
  </si>
  <si>
    <t>The Republic of Suriname</t>
  </si>
  <si>
    <t>SR</t>
  </si>
  <si>
    <t>SUR</t>
  </si>
  <si>
    <t>Svalbard and Jan Mayen</t>
  </si>
  <si>
    <t>SJ</t>
  </si>
  <si>
    <t>SJM</t>
  </si>
  <si>
    <t>The Kingdom of Sweden</t>
  </si>
  <si>
    <t>SE</t>
  </si>
  <si>
    <t>SWE</t>
  </si>
  <si>
    <t>The Swiss Confederation</t>
  </si>
  <si>
    <t>CH</t>
  </si>
  <si>
    <t>CHE</t>
  </si>
  <si>
    <t>The Syrian Arab Republic</t>
  </si>
  <si>
    <t>SY</t>
  </si>
  <si>
    <t>SYR</t>
  </si>
  <si>
    <t>The Republic of China</t>
  </si>
  <si>
    <t>TW</t>
  </si>
  <si>
    <t>TWN</t>
  </si>
  <si>
    <t>The Republic of Tajikistan</t>
  </si>
  <si>
    <t>TJ</t>
  </si>
  <si>
    <t>TJK</t>
  </si>
  <si>
    <t>The United Republic of Tanzania</t>
  </si>
  <si>
    <t>TZ</t>
  </si>
  <si>
    <t>TZA</t>
  </si>
  <si>
    <t>The Kingdom of Thailand</t>
  </si>
  <si>
    <t>TH</t>
  </si>
  <si>
    <t>THA</t>
  </si>
  <si>
    <t>The Democratic Republic of Timor-Leste</t>
  </si>
  <si>
    <t>TL</t>
  </si>
  <si>
    <t>TLS</t>
  </si>
  <si>
    <t>The Togolese Republic</t>
  </si>
  <si>
    <t>TG</t>
  </si>
  <si>
    <t>TGO</t>
  </si>
  <si>
    <t>Tokelau</t>
  </si>
  <si>
    <t>TK</t>
  </si>
  <si>
    <t>TKL</t>
  </si>
  <si>
    <t>The Kingdom of Tonga</t>
  </si>
  <si>
    <t>TO</t>
  </si>
  <si>
    <t>TON</t>
  </si>
  <si>
    <t>The Republic of Trinidad and Tobago</t>
  </si>
  <si>
    <t>TT</t>
  </si>
  <si>
    <t>TTO</t>
  </si>
  <si>
    <t>The Republic of Tunisia</t>
  </si>
  <si>
    <t>TN</t>
  </si>
  <si>
    <t>TUN</t>
  </si>
  <si>
    <t>The Republic of Turkey</t>
  </si>
  <si>
    <t>TR</t>
  </si>
  <si>
    <t>TUR</t>
  </si>
  <si>
    <t>Turkmenistan</t>
  </si>
  <si>
    <t>TM</t>
  </si>
  <si>
    <t>TKM</t>
  </si>
  <si>
    <t>The Turks and Caicos Islands</t>
  </si>
  <si>
    <t>TC</t>
  </si>
  <si>
    <t>TCA</t>
  </si>
  <si>
    <t>Tuvalu</t>
  </si>
  <si>
    <t>TV</t>
  </si>
  <si>
    <t>TUV</t>
  </si>
  <si>
    <t>The Republic of Uganda</t>
  </si>
  <si>
    <t>UG</t>
  </si>
  <si>
    <t>UGA</t>
  </si>
  <si>
    <t>Ukraine</t>
  </si>
  <si>
    <t>UA</t>
  </si>
  <si>
    <t>UKR</t>
  </si>
  <si>
    <t>The United Arab Emirates</t>
  </si>
  <si>
    <t>AE</t>
  </si>
  <si>
    <t>ARE</t>
  </si>
  <si>
    <t>GB</t>
  </si>
  <si>
    <t>GBR</t>
  </si>
  <si>
    <t>Baker Island, Howland Island, Jarvis Island, Johnston Atoll, Kingman Reef, Midway Atoll, Navassa Island, Palmyra Atoll, and Wake Island</t>
  </si>
  <si>
    <t>UM</t>
  </si>
  <si>
    <t>UMI</t>
  </si>
  <si>
    <t>The United States of America</t>
  </si>
  <si>
    <t>US</t>
  </si>
  <si>
    <t>USA</t>
  </si>
  <si>
    <t>The Oriental Republic of Uruguay</t>
  </si>
  <si>
    <t>UY</t>
  </si>
  <si>
    <t>URY</t>
  </si>
  <si>
    <t>The Republic of Uzbekistan</t>
  </si>
  <si>
    <t>UZ</t>
  </si>
  <si>
    <t>UZB</t>
  </si>
  <si>
    <t>The Republic of Vanuatu</t>
  </si>
  <si>
    <t>VU</t>
  </si>
  <si>
    <t>VUT</t>
  </si>
  <si>
    <t>The Bolivarian Republic of Venezuela</t>
  </si>
  <si>
    <t>VE</t>
  </si>
  <si>
    <t>VEN</t>
  </si>
  <si>
    <t>The Socialist Republic of Viet Nam</t>
  </si>
  <si>
    <t>VN</t>
  </si>
  <si>
    <t>VNM</t>
  </si>
  <si>
    <t>The Virgin Islands</t>
  </si>
  <si>
    <t>VG</t>
  </si>
  <si>
    <t>VGB</t>
  </si>
  <si>
    <t>The Virgin Islands of the United States</t>
  </si>
  <si>
    <t>VI</t>
  </si>
  <si>
    <t>VIR</t>
  </si>
  <si>
    <t>The Territory of the Wallis and Futuna Islands</t>
  </si>
  <si>
    <t>WF</t>
  </si>
  <si>
    <t>WLF</t>
  </si>
  <si>
    <t>The Sahrawi Arab Democratic Republic</t>
  </si>
  <si>
    <t>EH</t>
  </si>
  <si>
    <t>ESH</t>
  </si>
  <si>
    <t>The Republic of Yemen</t>
  </si>
  <si>
    <t>YE</t>
  </si>
  <si>
    <t>YEM</t>
  </si>
  <si>
    <t>The Republic of Zambia</t>
  </si>
  <si>
    <t>ZM</t>
  </si>
  <si>
    <t>ZMB</t>
  </si>
  <si>
    <t>The Republic of Zimbabwe</t>
  </si>
  <si>
    <t>ZW</t>
  </si>
  <si>
    <t>ZWE</t>
  </si>
  <si>
    <t>CountryName</t>
  </si>
  <si>
    <t>Official Name</t>
  </si>
  <si>
    <t>Alpha-2 Code</t>
  </si>
  <si>
    <t>Alpha-3 Code</t>
  </si>
  <si>
    <t>Afghanistan</t>
  </si>
  <si>
    <t>Albania</t>
  </si>
  <si>
    <t>Algeria</t>
  </si>
  <si>
    <t>American Samoa</t>
  </si>
  <si>
    <t>Andorra</t>
  </si>
  <si>
    <t>Angola</t>
  </si>
  <si>
    <t>Argentina</t>
  </si>
  <si>
    <t>Armenia</t>
  </si>
  <si>
    <t>Austria</t>
  </si>
  <si>
    <t>Azerbaijan</t>
  </si>
  <si>
    <t>Bahrain</t>
  </si>
  <si>
    <t>Bangladesh</t>
  </si>
  <si>
    <t>Belarus</t>
  </si>
  <si>
    <t>Belgium</t>
  </si>
  <si>
    <t>Benin</t>
  </si>
  <si>
    <t>Bhutan</t>
  </si>
  <si>
    <t>Botswana</t>
  </si>
  <si>
    <t>Brazil</t>
  </si>
  <si>
    <t>Bulgaria</t>
  </si>
  <si>
    <t>Burundi</t>
  </si>
  <si>
    <t>Cambodia</t>
  </si>
  <si>
    <t>Cameroon</t>
  </si>
  <si>
    <t>Cayman Islands (the)</t>
  </si>
  <si>
    <t>Central African Republic (the)</t>
  </si>
  <si>
    <t>Chad</t>
  </si>
  <si>
    <t>Chile</t>
  </si>
  <si>
    <t>Christmas Island</t>
  </si>
  <si>
    <t>Cocos (Keeling) Islands (the)</t>
  </si>
  <si>
    <t>Colombia</t>
  </si>
  <si>
    <t>Comoros (the)</t>
  </si>
  <si>
    <t>Cook Islands (the)</t>
  </si>
  <si>
    <t>Costa Rica</t>
  </si>
  <si>
    <t>Croatia</t>
  </si>
  <si>
    <t>Cuba</t>
  </si>
  <si>
    <t>Curaçao</t>
  </si>
  <si>
    <t>Cyprus</t>
  </si>
  <si>
    <t>Djibouti</t>
  </si>
  <si>
    <t>Dominica</t>
  </si>
  <si>
    <t>Dominican Republic (the)</t>
  </si>
  <si>
    <t>Ecuador</t>
  </si>
  <si>
    <t>Egypt</t>
  </si>
  <si>
    <t>El Salvador</t>
  </si>
  <si>
    <t>Equatorial Guinea</t>
  </si>
  <si>
    <t>Eritrea</t>
  </si>
  <si>
    <t>Estonia</t>
  </si>
  <si>
    <t>Eswatini [j]</t>
  </si>
  <si>
    <t>Ethiopia</t>
  </si>
  <si>
    <t>Falkland Islands (the) [Malvinas] [k]</t>
  </si>
  <si>
    <t>Faroe Islands (the)</t>
  </si>
  <si>
    <t>Fiji</t>
  </si>
  <si>
    <t>French Guiana</t>
  </si>
  <si>
    <t>French Southern Territories (the) [m]</t>
  </si>
  <si>
    <t>Gabon</t>
  </si>
  <si>
    <t>Gambia (the)</t>
  </si>
  <si>
    <t>Germany</t>
  </si>
  <si>
    <t>Ghana</t>
  </si>
  <si>
    <t>Greece</t>
  </si>
  <si>
    <t>Greenland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</si>
  <si>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</si>
  <si>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</si>
  <si>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</si>
  <si>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</si>
  <si>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</si>
  <si>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</si>
  <si>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</si>
  <si>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</si>
  <si>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(the) [n]</t>
  </si>
  <si>
    <t>Honduras</t>
  </si>
  <si>
    <t>Hong Kong</t>
  </si>
  <si>
    <t>India</t>
  </si>
  <si>
    <t>Indonesia</t>
  </si>
  <si>
    <t>Iraq</t>
  </si>
  <si>
    <t>Isle of Man</t>
  </si>
  <si>
    <t>Israel</t>
  </si>
  <si>
    <t>Italy</t>
  </si>
  <si>
    <t>Jersey</t>
  </si>
  <si>
    <t>Jordan</t>
  </si>
  <si>
    <t>Kazakhstan</t>
  </si>
  <si>
    <t>Kenya</t>
  </si>
  <si>
    <t>Kiribati</t>
  </si>
  <si>
    <t>Kuwait</t>
  </si>
  <si>
    <t>Kyrgyzstan</t>
  </si>
  <si>
    <t>Lao People's Democratic Republic (the) [q]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</si>
  <si>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</si>
  <si>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</si>
  <si>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</si>
  <si>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</si>
  <si>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</si>
  <si>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</si>
  <si>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</si>
  <si>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</si>
  <si>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Macao [r]</t>
  </si>
  <si>
    <t>North Macedonia [s]</t>
  </si>
  <si>
    <t>Madagascar</t>
  </si>
  <si>
    <t>Malawi</t>
  </si>
  <si>
    <t>Maldives</t>
  </si>
  <si>
    <t>Mali</t>
  </si>
  <si>
    <t>Malta</t>
  </si>
  <si>
    <t>Marshall Islands (the)</t>
  </si>
  <si>
    <t>Mauritania</t>
  </si>
  <si>
    <t>Mauritius</t>
  </si>
  <si>
    <t>Mayotte</t>
  </si>
  <si>
    <t>Mexico</t>
  </si>
  <si>
    <t>Micronesia (Federated States of)</t>
  </si>
  <si>
    <t>Moldova (the Republic of)</t>
  </si>
  <si>
    <t>Monaco</t>
  </si>
  <si>
    <t>Morocco</t>
  </si>
  <si>
    <t>Mozambique</t>
  </si>
  <si>
    <t>Myanmar [t]</t>
  </si>
  <si>
    <t>Namibia</t>
  </si>
  <si>
    <t>Nauru</t>
  </si>
  <si>
    <t>Nepal</t>
  </si>
  <si>
    <t>Nicaragua</t>
  </si>
  <si>
    <t>Niger (the)</t>
  </si>
  <si>
    <t>Nigeria</t>
  </si>
  <si>
    <t>Norfolk Island</t>
  </si>
  <si>
    <t>Northern Mariana Islands (the)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</si>
  <si>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</si>
  <si>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</si>
  <si>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</si>
  <si>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</si>
  <si>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</si>
  <si>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</si>
  <si>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</si>
  <si>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</si>
  <si>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 (the)</t>
  </si>
  <si>
    <t>Pitcairn [u]</t>
  </si>
  <si>
    <t>Poland</t>
  </si>
  <si>
    <t>Portugal</t>
  </si>
  <si>
    <t>Puerto Rico</t>
  </si>
  <si>
    <t>Qatar</t>
  </si>
  <si>
    <t>Rwanda</t>
  </si>
  <si>
    <t>Saint Barthélemy</t>
  </si>
  <si>
    <t>Saint Helena</t>
  </si>
  <si>
    <t>Saint Martin (French part)</t>
  </si>
  <si>
    <t>Saint Pierre and Miquelon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</si>
  <si>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</si>
  <si>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</si>
  <si>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</si>
  <si>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</si>
  <si>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</si>
  <si>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</si>
  <si>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</si>
  <si>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</si>
  <si>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</si>
  <si>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</si>
  <si>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</si>
  <si>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</si>
  <si>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</si>
  <si>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</si>
  <si>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</si>
  <si>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</si>
  <si>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</si>
  <si>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</si>
  <si>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 (the)</t>
  </si>
  <si>
    <t>Suriname</t>
  </si>
  <si>
    <t>Svalbard</t>
  </si>
  <si>
    <t>Sweden</t>
  </si>
  <si>
    <t>Switzerland</t>
  </si>
  <si>
    <t>Syrian Arab Republic (the) [x]</t>
  </si>
  <si>
    <t>Taiwan (Province of China) [y]</t>
  </si>
  <si>
    <t>Tajikistan</t>
  </si>
  <si>
    <t>Tanzania, the United Republic of</t>
  </si>
  <si>
    <t>Thailand</t>
  </si>
  <si>
    <t>Timor-Leste [aa]</t>
  </si>
  <si>
    <t>Togo</t>
  </si>
  <si>
    <t>Tonga</t>
  </si>
  <si>
    <t>Trinidad and Tobago</t>
  </si>
  <si>
    <t>Tunisia</t>
  </si>
  <si>
    <t>Turkey</t>
  </si>
  <si>
    <t>Turks and Caicos Islands (the)</t>
  </si>
  <si>
    <t>Uganda</t>
  </si>
  <si>
    <t>United States Minor Outlying Islands (the) [ac]</t>
  </si>
  <si>
    <t>Uruguay</t>
  </si>
  <si>
    <t>Uzbekistan</t>
  </si>
  <si>
    <t>Vanuatu</t>
  </si>
  <si>
    <t>Venezuela (Bolivarian Republic of)</t>
  </si>
  <si>
    <t>Viet Nam [ae]</t>
  </si>
  <si>
    <t>Virgin Islands (British) [af]</t>
  </si>
  <si>
    <t>Virgin Islands (U.S.) [ag]</t>
  </si>
  <si>
    <t>Wallis and Futuna</t>
  </si>
  <si>
    <t>Western Sahara [ah]</t>
  </si>
  <si>
    <t>Yemen</t>
  </si>
  <si>
    <t>Zambia</t>
  </si>
  <si>
    <t>Zimbabwe</t>
  </si>
  <si>
    <t>Cabo Verde</t>
  </si>
  <si>
    <t>F</t>
  </si>
  <si>
    <t>ALG</t>
  </si>
  <si>
    <t>ASA</t>
  </si>
  <si>
    <t>ANG</t>
  </si>
  <si>
    <t>ARU</t>
  </si>
  <si>
    <t>BAH</t>
  </si>
  <si>
    <t>BAN</t>
  </si>
  <si>
    <t>BER</t>
  </si>
  <si>
    <t>BHU</t>
  </si>
  <si>
    <t>BOT</t>
  </si>
  <si>
    <t>BRU</t>
  </si>
  <si>
    <t>BUL</t>
  </si>
  <si>
    <t>CAM</t>
  </si>
  <si>
    <t>CAY</t>
  </si>
  <si>
    <t>CTA</t>
  </si>
  <si>
    <t>CHA</t>
  </si>
  <si>
    <t>CHI</t>
  </si>
  <si>
    <t>TPE</t>
  </si>
  <si>
    <t>CGO</t>
  </si>
  <si>
    <t>CRC</t>
  </si>
  <si>
    <t>CRO</t>
  </si>
  <si>
    <t>Country</t>
  </si>
  <si>
    <t>Code</t>
  </si>
  <si>
    <t>DEN</t>
  </si>
  <si>
    <t>ENG</t>
  </si>
  <si>
    <t>EQG</t>
  </si>
  <si>
    <t>FIJ</t>
  </si>
  <si>
    <t>GAM</t>
  </si>
  <si>
    <t>GER</t>
  </si>
  <si>
    <t>GRE</t>
  </si>
  <si>
    <t>GRN</t>
  </si>
  <si>
    <t>GUA</t>
  </si>
  <si>
    <t>GUI</t>
  </si>
  <si>
    <t>HAI</t>
  </si>
  <si>
    <t>HON</t>
  </si>
  <si>
    <t>KVX</t>
  </si>
  <si>
    <t>KUW</t>
  </si>
  <si>
    <t>LES</t>
  </si>
  <si>
    <t>MAD</t>
  </si>
  <si>
    <t>MAS</t>
  </si>
  <si>
    <t>MTN</t>
  </si>
  <si>
    <t>MRI</t>
  </si>
  <si>
    <t>MYA</t>
  </si>
  <si>
    <t>NEP</t>
  </si>
  <si>
    <t>NED</t>
  </si>
  <si>
    <t>NCA</t>
  </si>
  <si>
    <t>NIG</t>
  </si>
  <si>
    <t>NIR</t>
  </si>
  <si>
    <t>OMA</t>
  </si>
  <si>
    <t>PLE</t>
  </si>
  <si>
    <t>PAR</t>
  </si>
  <si>
    <t>PHI</t>
  </si>
  <si>
    <t>POR</t>
  </si>
  <si>
    <t>PUR</t>
  </si>
  <si>
    <t>SKN</t>
  </si>
  <si>
    <t>VIN</t>
  </si>
  <si>
    <t>SAM</t>
  </si>
  <si>
    <t>KSA</t>
  </si>
  <si>
    <t>SCO</t>
  </si>
  <si>
    <t>SEY</t>
  </si>
  <si>
    <t>SIN</t>
  </si>
  <si>
    <t>SOL</t>
  </si>
  <si>
    <t>RSA</t>
  </si>
  <si>
    <t>SRI</t>
  </si>
  <si>
    <t>SUI</t>
  </si>
  <si>
    <t>TAH</t>
  </si>
  <si>
    <t>TAN</t>
  </si>
  <si>
    <t>TOG</t>
  </si>
  <si>
    <t>TGA</t>
  </si>
  <si>
    <t>TRI</t>
  </si>
  <si>
    <t>UAE</t>
  </si>
  <si>
    <t>URU</t>
  </si>
  <si>
    <t>VAN</t>
  </si>
  <si>
    <t>VIE</t>
  </si>
  <si>
    <t>WAL</t>
  </si>
  <si>
    <t>ZAM</t>
  </si>
  <si>
    <t>ZIM</t>
  </si>
  <si>
    <t>FifaCountryCode</t>
  </si>
  <si>
    <t>Bahamas</t>
  </si>
  <si>
    <t>Brunei</t>
  </si>
  <si>
    <t>Years</t>
  </si>
  <si>
    <t>Stage</t>
  </si>
  <si>
    <t>State</t>
  </si>
  <si>
    <t>Team1</t>
  </si>
  <si>
    <t xml:space="preserve">round of 16 </t>
  </si>
  <si>
    <t xml:space="preserve">of 16 </t>
  </si>
  <si>
    <t>final</t>
  </si>
  <si>
    <t xml:space="preserve">group H </t>
  </si>
  <si>
    <t xml:space="preserve">H </t>
  </si>
  <si>
    <t>3rd place</t>
  </si>
  <si>
    <t xml:space="preserve">group G </t>
  </si>
  <si>
    <t xml:space="preserve">G </t>
  </si>
  <si>
    <t>England</t>
  </si>
  <si>
    <t xml:space="preserve">group E </t>
  </si>
  <si>
    <t xml:space="preserve">E </t>
  </si>
  <si>
    <t xml:space="preserve">group C </t>
  </si>
  <si>
    <t xml:space="preserve">C </t>
  </si>
  <si>
    <t>Scotland</t>
  </si>
  <si>
    <t xml:space="preserve">group B </t>
  </si>
  <si>
    <t xml:space="preserve">B </t>
  </si>
  <si>
    <t xml:space="preserve">group F </t>
  </si>
  <si>
    <t xml:space="preserve">F </t>
  </si>
  <si>
    <t xml:space="preserve">group D </t>
  </si>
  <si>
    <t xml:space="preserve">D </t>
  </si>
  <si>
    <t>Northern Ireland</t>
  </si>
  <si>
    <t xml:space="preserve">group A </t>
  </si>
  <si>
    <t xml:space="preserve">A </t>
  </si>
  <si>
    <t>semifinal</t>
  </si>
  <si>
    <t>Czechoslovakia</t>
  </si>
  <si>
    <t>quaterfinal</t>
  </si>
  <si>
    <t>of 16</t>
  </si>
  <si>
    <t xml:space="preserve">qf </t>
  </si>
  <si>
    <t>Russia</t>
  </si>
  <si>
    <t xml:space="preserve">sf </t>
  </si>
  <si>
    <t>3rd</t>
  </si>
  <si>
    <t>f</t>
  </si>
  <si>
    <t>group 5</t>
  </si>
  <si>
    <t>group 4</t>
  </si>
  <si>
    <t>group 2</t>
  </si>
  <si>
    <t>group 6</t>
  </si>
  <si>
    <t>group 3</t>
  </si>
  <si>
    <t>group 1</t>
  </si>
  <si>
    <t>Iran</t>
  </si>
  <si>
    <t>East Germany</t>
  </si>
  <si>
    <t>Congo DR</t>
  </si>
  <si>
    <t>U.S.S.R.</t>
  </si>
  <si>
    <t>North Korea</t>
  </si>
  <si>
    <t>South Korea</t>
  </si>
  <si>
    <t>group A</t>
  </si>
  <si>
    <t>A</t>
  </si>
  <si>
    <t>group B</t>
  </si>
  <si>
    <t>B</t>
  </si>
  <si>
    <t>group C</t>
  </si>
  <si>
    <t>C</t>
  </si>
  <si>
    <t>group D</t>
  </si>
  <si>
    <t>D</t>
  </si>
  <si>
    <t>group E</t>
  </si>
  <si>
    <t>E</t>
  </si>
  <si>
    <t>group F</t>
  </si>
  <si>
    <t>group G</t>
  </si>
  <si>
    <t>G</t>
  </si>
  <si>
    <t>group H</t>
  </si>
  <si>
    <t>H</t>
  </si>
  <si>
    <t>Korea Republic</t>
  </si>
  <si>
    <t xml:space="preserve">f </t>
  </si>
  <si>
    <t xml:space="preserve">3p </t>
  </si>
  <si>
    <t>Bolivia</t>
  </si>
  <si>
    <t>Dutch East Indies</t>
  </si>
  <si>
    <t>Côte d'Ivoire</t>
  </si>
  <si>
    <t>Czech Republic</t>
  </si>
  <si>
    <t>United Arab Emirates</t>
  </si>
  <si>
    <t>The United Kingdom</t>
  </si>
  <si>
    <t>TCH</t>
  </si>
  <si>
    <t>Russian</t>
  </si>
  <si>
    <t>GDR</t>
  </si>
  <si>
    <t>Congo</t>
  </si>
  <si>
    <t>Korea</t>
  </si>
  <si>
    <t>British Virgin Islands</t>
  </si>
  <si>
    <t>Cape Verde</t>
  </si>
  <si>
    <t>Cayman Islands</t>
  </si>
  <si>
    <t>Central African Republic</t>
  </si>
  <si>
    <t>China PR</t>
  </si>
  <si>
    <t>Chinese Taipei</t>
  </si>
  <si>
    <t>Comoros</t>
  </si>
  <si>
    <t>Cook Islands</t>
  </si>
  <si>
    <t>Dominican Republic</t>
  </si>
  <si>
    <t>DR Congo</t>
  </si>
  <si>
    <t>Eswatini</t>
  </si>
  <si>
    <t>Faroe Islands</t>
  </si>
  <si>
    <t>Gambia</t>
  </si>
  <si>
    <t>Ivory Coast</t>
  </si>
  <si>
    <t>Kosovo</t>
  </si>
  <si>
    <t>Laos</t>
  </si>
  <si>
    <t>Macau</t>
  </si>
  <si>
    <t>Moldova</t>
  </si>
  <si>
    <t>Myanmar</t>
  </si>
  <si>
    <t>Niger</t>
  </si>
  <si>
    <t>North Macedonia</t>
  </si>
  <si>
    <t>Palestine</t>
  </si>
  <si>
    <t>Philippines</t>
  </si>
  <si>
    <t>Republic of Ireland</t>
  </si>
  <si>
    <t>São Tomé and Príncipe</t>
  </si>
  <si>
    <t>Sudan</t>
  </si>
  <si>
    <t>Syria</t>
  </si>
  <si>
    <t>Tahiti</t>
  </si>
  <si>
    <t>Tanzania</t>
  </si>
  <si>
    <t>Timor-Leste</t>
  </si>
  <si>
    <t>Turks and Caicos Islands</t>
  </si>
  <si>
    <t>U.S. Virgin Islands</t>
  </si>
  <si>
    <t>Venezuela</t>
  </si>
  <si>
    <t>Vietnam</t>
  </si>
  <si>
    <t>Wales</t>
  </si>
  <si>
    <t>West Germany</t>
  </si>
  <si>
    <t>Group</t>
  </si>
  <si>
    <t>Group A</t>
  </si>
  <si>
    <t>Group B</t>
  </si>
  <si>
    <t>Group C</t>
  </si>
  <si>
    <t>Group D</t>
  </si>
  <si>
    <t>Group E</t>
  </si>
  <si>
    <t>Group F</t>
  </si>
  <si>
    <t>Group G</t>
  </si>
  <si>
    <t>Group H</t>
  </si>
  <si>
    <t>Group 1</t>
  </si>
  <si>
    <t>Group 2</t>
  </si>
  <si>
    <t>Group 3</t>
  </si>
  <si>
    <t>Group 4</t>
  </si>
  <si>
    <t>Group 5</t>
  </si>
  <si>
    <t>Group 6</t>
  </si>
  <si>
    <t>Knockout</t>
  </si>
  <si>
    <t xml:space="preserve">Round of 16 </t>
  </si>
  <si>
    <t>Quaterfinal</t>
  </si>
  <si>
    <t>Semifinal</t>
  </si>
  <si>
    <t>Final</t>
  </si>
  <si>
    <t>new Country { FifaAlphaCode = "</t>
  </si>
  <si>
    <t>", CountryName = "</t>
  </si>
  <si>
    <t>"},</t>
  </si>
  <si>
    <t>MatchID</t>
  </si>
  <si>
    <t>Date</t>
  </si>
  <si>
    <t>Time</t>
  </si>
  <si>
    <t>Goal1</t>
  </si>
  <si>
    <t>Goal2</t>
  </si>
  <si>
    <t>Team2</t>
  </si>
  <si>
    <t>Stadium</t>
  </si>
  <si>
    <t>Referee</t>
  </si>
  <si>
    <t>Visistors</t>
  </si>
  <si>
    <t>Status</t>
  </si>
  <si>
    <t xml:space="preserve">Mineirão </t>
  </si>
  <si>
    <t xml:space="preserve">Howard Webb </t>
  </si>
  <si>
    <t>Finished</t>
  </si>
  <si>
    <t xml:space="preserve">Soccer City </t>
  </si>
  <si>
    <t xml:space="preserve">Mbombela Stadium </t>
  </si>
  <si>
    <t xml:space="preserve">Eddy Maillet </t>
  </si>
  <si>
    <t xml:space="preserve">Mercedes-Benz Arena </t>
  </si>
  <si>
    <t xml:space="preserve">Carlos Simon </t>
  </si>
  <si>
    <t xml:space="preserve">Shizuoka Stadium </t>
  </si>
  <si>
    <t xml:space="preserve">Kim Milton Nielsen </t>
  </si>
  <si>
    <t xml:space="preserve">Parc des Princes </t>
  </si>
  <si>
    <t xml:space="preserve">Epifanio González </t>
  </si>
  <si>
    <t xml:space="preserve">Stade Vélodrome </t>
  </si>
  <si>
    <t xml:space="preserve">Masayoshi Okada </t>
  </si>
  <si>
    <t xml:space="preserve">Giants Stadium </t>
  </si>
  <si>
    <t xml:space="preserve">Helmut Krug </t>
  </si>
  <si>
    <t xml:space="preserve">Stadio Luigi Ferraris </t>
  </si>
  <si>
    <t xml:space="preserve">Carlos Maciel </t>
  </si>
  <si>
    <t xml:space="preserve">Estadio Corregidora </t>
  </si>
  <si>
    <t xml:space="preserve">Ioan Igna </t>
  </si>
  <si>
    <t xml:space="preserve">Estadio Nemesio Díez </t>
  </si>
  <si>
    <t xml:space="preserve">Jesús Díaz </t>
  </si>
  <si>
    <t xml:space="preserve">Estadio Universitario de Mo... </t>
  </si>
  <si>
    <t xml:space="preserve">Ali Bin Nassar </t>
  </si>
  <si>
    <t xml:space="preserve">Estadio Tres de Marzo </t>
  </si>
  <si>
    <t xml:space="preserve">Horst Brummeier </t>
  </si>
  <si>
    <t xml:space="preserve">Estadio Azteca </t>
  </si>
  <si>
    <t xml:space="preserve">George Courtney </t>
  </si>
  <si>
    <t xml:space="preserve">Estadio Tecnológico </t>
  </si>
  <si>
    <t xml:space="preserve">Gabriel González </t>
  </si>
  <si>
    <t xml:space="preserve">Estadio Jalisco </t>
  </si>
  <si>
    <t xml:space="preserve">Romulo Mendez </t>
  </si>
  <si>
    <t xml:space="preserve">Estadio Sergio León Chávez </t>
  </si>
  <si>
    <t xml:space="preserve">Jamal Al-Sharif </t>
  </si>
  <si>
    <t xml:space="preserve">Estadio León </t>
  </si>
  <si>
    <t xml:space="preserve">Romualdo Arppi Filho </t>
  </si>
  <si>
    <t xml:space="preserve">Estadio Olímpico Universitario </t>
  </si>
  <si>
    <t xml:space="preserve">Fallaj Al Shanar </t>
  </si>
  <si>
    <t xml:space="preserve">Estadio Cuauhtémoc </t>
  </si>
  <si>
    <t xml:space="preserve">Jan Keizer </t>
  </si>
  <si>
    <t xml:space="preserve">Estadio Neza 86 </t>
  </si>
  <si>
    <t xml:space="preserve">Lajos Nemeth </t>
  </si>
  <si>
    <t xml:space="preserve">Vojtech Christov </t>
  </si>
  <si>
    <t xml:space="preserve">Edwin Picon-Ackong </t>
  </si>
  <si>
    <t xml:space="preserve">Volker Roth </t>
  </si>
  <si>
    <t xml:space="preserve">Valeri Butenko </t>
  </si>
  <si>
    <t xml:space="preserve">Carlos Espósito </t>
  </si>
  <si>
    <t xml:space="preserve">José Luis Martínez Bazán </t>
  </si>
  <si>
    <t xml:space="preserve">Luigi Agnolin </t>
  </si>
  <si>
    <t xml:space="preserve">Victoriano Sanchez Arminio </t>
  </si>
  <si>
    <t xml:space="preserve">Chris Bambridge </t>
  </si>
  <si>
    <t xml:space="preserve">Hernán Silva </t>
  </si>
  <si>
    <t xml:space="preserve">Erik Fredriksson </t>
  </si>
  <si>
    <t xml:space="preserve">Estadio Santiago Bernabéu </t>
  </si>
  <si>
    <t xml:space="preserve">Arnaldo César Coelho </t>
  </si>
  <si>
    <t xml:space="preserve">Estadio José Rico Pérez </t>
  </si>
  <si>
    <t xml:space="preserve">Antonio Garrido </t>
  </si>
  <si>
    <t xml:space="preserve">Estadio Ramón Sánchez Pizjuán </t>
  </si>
  <si>
    <t xml:space="preserve">Charles Corver </t>
  </si>
  <si>
    <t xml:space="preserve">Camp Nou </t>
  </si>
  <si>
    <t xml:space="preserve">Juan Daniel Cardellino </t>
  </si>
  <si>
    <t xml:space="preserve">Estadi de Sarrià </t>
  </si>
  <si>
    <t xml:space="preserve">Abraham Klein </t>
  </si>
  <si>
    <t xml:space="preserve">Alexis Ponnet </t>
  </si>
  <si>
    <t xml:space="preserve">Estadio Vicente Calderón </t>
  </si>
  <si>
    <t xml:space="preserve">Alojzy Jarguz </t>
  </si>
  <si>
    <t xml:space="preserve">Bob Valentine </t>
  </si>
  <si>
    <t xml:space="preserve">Mario Rubio Vazquez </t>
  </si>
  <si>
    <t xml:space="preserve">Paolo Casarin </t>
  </si>
  <si>
    <t xml:space="preserve">Adolf Prokop </t>
  </si>
  <si>
    <t xml:space="preserve">Michel Vautrot </t>
  </si>
  <si>
    <t xml:space="preserve">Nicolae Rainea </t>
  </si>
  <si>
    <t xml:space="preserve">Károly Palotai </t>
  </si>
  <si>
    <t xml:space="preserve">Stadio delle Alpi </t>
  </si>
  <si>
    <t xml:space="preserve">Neji Jouini </t>
  </si>
  <si>
    <t xml:space="preserve">San Siro </t>
  </si>
  <si>
    <t xml:space="preserve">Alexey Spirin </t>
  </si>
  <si>
    <t xml:space="preserve">Stadio Artemio Franchi </t>
  </si>
  <si>
    <t xml:space="preserve">George Smith </t>
  </si>
  <si>
    <t>Yugoslavia</t>
  </si>
  <si>
    <t xml:space="preserve">Stadio Renato Dall'Ara </t>
  </si>
  <si>
    <t xml:space="preserve">Stadio San Nicola </t>
  </si>
  <si>
    <t xml:space="preserve">Stadio Olimpico </t>
  </si>
  <si>
    <t xml:space="preserve">Edgardo Codesal </t>
  </si>
  <si>
    <t xml:space="preserve">Stadio Friuli </t>
  </si>
  <si>
    <t xml:space="preserve">Helmut Kohl </t>
  </si>
  <si>
    <t xml:space="preserve">Stadio San Paolo </t>
  </si>
  <si>
    <t xml:space="preserve">Stadio Renzo Barbera </t>
  </si>
  <si>
    <t xml:space="preserve">Emilio Soriano Aladren </t>
  </si>
  <si>
    <t xml:space="preserve">Stadio Marc'Antonio Bentegodi </t>
  </si>
  <si>
    <t xml:space="preserve">Vince Mauro </t>
  </si>
  <si>
    <t xml:space="preserve">Stadio Sant'Elia </t>
  </si>
  <si>
    <t xml:space="preserve">Aron Schmidhuber </t>
  </si>
  <si>
    <t xml:space="preserve">Juan Carlos Loustau </t>
  </si>
  <si>
    <t xml:space="preserve">Peter Mikkelsen </t>
  </si>
  <si>
    <t xml:space="preserve">Tullio Lanese </t>
  </si>
  <si>
    <t xml:space="preserve">Kurt Röthlisberger </t>
  </si>
  <si>
    <t xml:space="preserve">José Roberto Wright </t>
  </si>
  <si>
    <t xml:space="preserve">Antonio Marquez Ramirez </t>
  </si>
  <si>
    <t xml:space="preserve">Siegfried Kirschen </t>
  </si>
  <si>
    <t xml:space="preserve">Ali Bin Nasser </t>
  </si>
  <si>
    <t xml:space="preserve">Joel Quiniou </t>
  </si>
  <si>
    <t xml:space="preserve">Shizuo Takada </t>
  </si>
  <si>
    <t xml:space="preserve">Alan Snoddy </t>
  </si>
  <si>
    <t xml:space="preserve">Andre Daina </t>
  </si>
  <si>
    <t xml:space="preserve">Zoran Petrovic </t>
  </si>
  <si>
    <t xml:space="preserve">Bogdan Dotchev </t>
  </si>
  <si>
    <t xml:space="preserve">Berny Ulloa Morera </t>
  </si>
  <si>
    <t xml:space="preserve">David Socha </t>
  </si>
  <si>
    <t xml:space="preserve">Idriss Traore </t>
  </si>
  <si>
    <t xml:space="preserve">Carlos Silva Valente </t>
  </si>
  <si>
    <t xml:space="preserve">Luis Paulino Siles </t>
  </si>
  <si>
    <t xml:space="preserve">Estadio de Mestalla </t>
  </si>
  <si>
    <t xml:space="preserve">Héctor Ortíz </t>
  </si>
  <si>
    <t xml:space="preserve">Estadio San Mamés </t>
  </si>
  <si>
    <t xml:space="preserve">Gilberto Aristizábal </t>
  </si>
  <si>
    <t xml:space="preserve">El Molinon </t>
  </si>
  <si>
    <t xml:space="preserve">La Romareda </t>
  </si>
  <si>
    <t xml:space="preserve">Gastón Castro </t>
  </si>
  <si>
    <t xml:space="preserve">Estadio Nuevo José Zorrilla </t>
  </si>
  <si>
    <t xml:space="preserve">Estadio Carlos Tartiere </t>
  </si>
  <si>
    <t xml:space="preserve">Estadio Benito Villamarín </t>
  </si>
  <si>
    <t xml:space="preserve">Damir Matovinovic </t>
  </si>
  <si>
    <t xml:space="preserve">Luis Barrancos </t>
  </si>
  <si>
    <t xml:space="preserve">Balaídos </t>
  </si>
  <si>
    <t xml:space="preserve">Estadio La Rosaleda </t>
  </si>
  <si>
    <t xml:space="preserve">Estadio Manuel Martínez Valero </t>
  </si>
  <si>
    <t xml:space="preserve">Clive White </t>
  </si>
  <si>
    <t xml:space="preserve">Estadio Riazor </t>
  </si>
  <si>
    <t xml:space="preserve">Chan Tam Sun </t>
  </si>
  <si>
    <t xml:space="preserve">Miroslav Stupar </t>
  </si>
  <si>
    <t xml:space="preserve">Tony Boskovic </t>
  </si>
  <si>
    <t xml:space="preserve">Henning Lund-Sorensen </t>
  </si>
  <si>
    <t xml:space="preserve">Bruno Galler </t>
  </si>
  <si>
    <t xml:space="preserve">Yousef El-Ghoul </t>
  </si>
  <si>
    <t xml:space="preserve">Malcolm Moffatt </t>
  </si>
  <si>
    <t xml:space="preserve">Belaid Lacarne </t>
  </si>
  <si>
    <t xml:space="preserve">Walter Eschweiler </t>
  </si>
  <si>
    <t xml:space="preserve">Benjamin Dwomoh </t>
  </si>
  <si>
    <t xml:space="preserve">Arturo Ithurralde </t>
  </si>
  <si>
    <t xml:space="preserve">Enrique Labo Revoredo </t>
  </si>
  <si>
    <t xml:space="preserve">Ibrahim Youssef Al-Doy </t>
  </si>
  <si>
    <t xml:space="preserve">Franz Wohrer </t>
  </si>
  <si>
    <t xml:space="preserve">Augusto Lamo Castillo </t>
  </si>
  <si>
    <t xml:space="preserve">Estadio Monumental Antonio ... </t>
  </si>
  <si>
    <t xml:space="preserve">Sergio Gonella </t>
  </si>
  <si>
    <t xml:space="preserve">Estadio Gigante de Arroyito </t>
  </si>
  <si>
    <t xml:space="preserve">Robert Wurtz </t>
  </si>
  <si>
    <t xml:space="preserve">Estadio Malvinas Argentinas </t>
  </si>
  <si>
    <t xml:space="preserve">Juan Silvagno Cavanna </t>
  </si>
  <si>
    <t xml:space="preserve">Angel Franco Martinez </t>
  </si>
  <si>
    <t xml:space="preserve">Estadio Mario Alberto Kempes </t>
  </si>
  <si>
    <t xml:space="preserve">Pat Partridge </t>
  </si>
  <si>
    <t xml:space="preserve">Francis Rion </t>
  </si>
  <si>
    <t xml:space="preserve">Ramón Barreto </t>
  </si>
  <si>
    <t xml:space="preserve">Ulf Eriksson </t>
  </si>
  <si>
    <t xml:space="preserve">Dusan Maksimovic </t>
  </si>
  <si>
    <t xml:space="preserve">John Gordon </t>
  </si>
  <si>
    <t xml:space="preserve">Erich Linemayr </t>
  </si>
  <si>
    <t xml:space="preserve">Estadio José María Minella </t>
  </si>
  <si>
    <t xml:space="preserve">Estadio Jose Amalfitani </t>
  </si>
  <si>
    <t xml:space="preserve">Ferdinand Biwersi </t>
  </si>
  <si>
    <t xml:space="preserve">Jafar Namdar </t>
  </si>
  <si>
    <t xml:space="preserve">Cesar Guerrero Orosco </t>
  </si>
  <si>
    <t xml:space="preserve">Youssou N'Diaye </t>
  </si>
  <si>
    <t xml:space="preserve">Farouk Bouzo </t>
  </si>
  <si>
    <t xml:space="preserve">Jean Dubach </t>
  </si>
  <si>
    <t xml:space="preserve">Alfonso Gonzalez Archundia </t>
  </si>
  <si>
    <t xml:space="preserve">Clive Thomas </t>
  </si>
  <si>
    <t xml:space="preserve">Ángel Norberto Coerezza </t>
  </si>
  <si>
    <t xml:space="preserve">Olympiastadion </t>
  </si>
  <si>
    <t xml:space="preserve">Jack Taylor </t>
  </si>
  <si>
    <t xml:space="preserve">Aurelio Angonese </t>
  </si>
  <si>
    <t xml:space="preserve">Rheinstadion </t>
  </si>
  <si>
    <t xml:space="preserve">Luis Pestarino </t>
  </si>
  <si>
    <t xml:space="preserve">Commerzbank-Arena </t>
  </si>
  <si>
    <t xml:space="preserve">Westfalenstadion </t>
  </si>
  <si>
    <t xml:space="preserve">Kurt Tschenscher </t>
  </si>
  <si>
    <t xml:space="preserve">Parkstadion </t>
  </si>
  <si>
    <t xml:space="preserve">Pavel Kazakov </t>
  </si>
  <si>
    <t xml:space="preserve">Rudi Glockner </t>
  </si>
  <si>
    <t xml:space="preserve">Rudolf Scheurer </t>
  </si>
  <si>
    <t xml:space="preserve">AWD-Arena </t>
  </si>
  <si>
    <t xml:space="preserve">Vital Loraux </t>
  </si>
  <si>
    <t xml:space="preserve">Armando Marques </t>
  </si>
  <si>
    <t xml:space="preserve">Bob Davidson </t>
  </si>
  <si>
    <t xml:space="preserve">Waldstadion, Frankfurt/Main </t>
  </si>
  <si>
    <t xml:space="preserve">Volksparkstadion </t>
  </si>
  <si>
    <t xml:space="preserve">Antonio Sbardella </t>
  </si>
  <si>
    <t xml:space="preserve">Arturo Yamasaki Maldonado </t>
  </si>
  <si>
    <t xml:space="preserve">José Maria Ortiz de Mendibil </t>
  </si>
  <si>
    <t xml:space="preserve">Laurens van Ravens </t>
  </si>
  <si>
    <t xml:space="preserve">Antonio Ribeiro Saldanha </t>
  </si>
  <si>
    <t xml:space="preserve">Roger Machin </t>
  </si>
  <si>
    <t xml:space="preserve">Antonio De Moraes </t>
  </si>
  <si>
    <t xml:space="preserve">Abel Aguilar Elizalde </t>
  </si>
  <si>
    <t xml:space="preserve">Ferdinand Marschall </t>
  </si>
  <si>
    <t xml:space="preserve">Henry Landauer </t>
  </si>
  <si>
    <t xml:space="preserve">Rafael Hormazabal Diaz </t>
  </si>
  <si>
    <t xml:space="preserve">Seyoum Tarekegn </t>
  </si>
  <si>
    <t xml:space="preserve">Ali Kandil </t>
  </si>
  <si>
    <t xml:space="preserve">Tofik Bakhramov </t>
  </si>
  <si>
    <t xml:space="preserve">Diego de Leo </t>
  </si>
  <si>
    <t xml:space="preserve">Andrei Radulescu </t>
  </si>
  <si>
    <t xml:space="preserve">Vital Lourax </t>
  </si>
  <si>
    <t xml:space="preserve">Wembley Stadium </t>
  </si>
  <si>
    <t xml:space="preserve">Gottfried Dienst </t>
  </si>
  <si>
    <t xml:space="preserve">Pierre Schwinte </t>
  </si>
  <si>
    <t xml:space="preserve">Goodison Park </t>
  </si>
  <si>
    <t xml:space="preserve">Concetto Lo Bello </t>
  </si>
  <si>
    <t xml:space="preserve">Rudolf Kreitlein </t>
  </si>
  <si>
    <t xml:space="preserve">Hillsborough Stadium </t>
  </si>
  <si>
    <t xml:space="preserve">Jim Finney </t>
  </si>
  <si>
    <t xml:space="preserve">Menachem Ashkenazi </t>
  </si>
  <si>
    <t xml:space="preserve">Roker Park </t>
  </si>
  <si>
    <t xml:space="preserve">Juan Gardeazabal Garay </t>
  </si>
  <si>
    <t xml:space="preserve">John Adair </t>
  </si>
  <si>
    <t xml:space="preserve">Arturo Yamasaki </t>
  </si>
  <si>
    <t xml:space="preserve">Old Trafford </t>
  </si>
  <si>
    <t xml:space="preserve">Roberto Goicoechea </t>
  </si>
  <si>
    <t xml:space="preserve">Villa Park </t>
  </si>
  <si>
    <t xml:space="preserve">Ayresome Park </t>
  </si>
  <si>
    <t xml:space="preserve">George McCabe </t>
  </si>
  <si>
    <t xml:space="preserve">Joaquim Campos </t>
  </si>
  <si>
    <t xml:space="preserve">Bertil Loow </t>
  </si>
  <si>
    <t xml:space="preserve">Jose Maria Codesal </t>
  </si>
  <si>
    <t xml:space="preserve">Konstantin Zecevic </t>
  </si>
  <si>
    <t xml:space="preserve">Ken Dagnall </t>
  </si>
  <si>
    <t xml:space="preserve">White City Stadium </t>
  </si>
  <si>
    <t xml:space="preserve">Karol Galba </t>
  </si>
  <si>
    <t xml:space="preserve">Leo Callaghan </t>
  </si>
  <si>
    <t xml:space="preserve">Dimiter Rumentchev </t>
  </si>
  <si>
    <t xml:space="preserve">Hugh Phillips </t>
  </si>
  <si>
    <t xml:space="preserve">Istvan Zsolt </t>
  </si>
  <si>
    <t xml:space="preserve">Estadio Nacional Julio Mart... </t>
  </si>
  <si>
    <t xml:space="preserve">Nikolay Latyshev </t>
  </si>
  <si>
    <t xml:space="preserve">Estadio Sausalito </t>
  </si>
  <si>
    <t xml:space="preserve">Estadio El Teniente </t>
  </si>
  <si>
    <t xml:space="preserve">Estadio Carlos Dittborn </t>
  </si>
  <si>
    <t xml:space="preserve">Leo Horn </t>
  </si>
  <si>
    <t xml:space="preserve">Antoine Blavier </t>
  </si>
  <si>
    <t xml:space="preserve">Carlos Robles </t>
  </si>
  <si>
    <t xml:space="preserve">Sergio Bustamante </t>
  </si>
  <si>
    <t xml:space="preserve">Robert Holley Davidson </t>
  </si>
  <si>
    <t xml:space="preserve">Cesare Jonni </t>
  </si>
  <si>
    <t xml:space="preserve">Branko Tesanic </t>
  </si>
  <si>
    <t xml:space="preserve">João Etzel Filho </t>
  </si>
  <si>
    <t xml:space="preserve">Kenneth Aston </t>
  </si>
  <si>
    <t xml:space="preserve">Carl Erich Steiner </t>
  </si>
  <si>
    <t xml:space="preserve">Albert Dusch </t>
  </si>
  <si>
    <t xml:space="preserve">Juan Gardeazabal </t>
  </si>
  <si>
    <t xml:space="preserve">Andor Dorogi </t>
  </si>
  <si>
    <t xml:space="preserve">Råsunda Stadium </t>
  </si>
  <si>
    <t xml:space="preserve">Maurice Guigue </t>
  </si>
  <si>
    <t xml:space="preserve">Ullevi </t>
  </si>
  <si>
    <t xml:space="preserve">Brozzi </t>
  </si>
  <si>
    <t xml:space="preserve">Zsolt </t>
  </si>
  <si>
    <t xml:space="preserve">Malmö Stadion </t>
  </si>
  <si>
    <t xml:space="preserve">Wyssling </t>
  </si>
  <si>
    <t xml:space="preserve">Seipelt </t>
  </si>
  <si>
    <t xml:space="preserve">Leafe </t>
  </si>
  <si>
    <t xml:space="preserve">Idrottsparken </t>
  </si>
  <si>
    <t xml:space="preserve">Gardeazabal </t>
  </si>
  <si>
    <t xml:space="preserve">Dusch </t>
  </si>
  <si>
    <t xml:space="preserve">Guigue </t>
  </si>
  <si>
    <t xml:space="preserve">Ryavallen </t>
  </si>
  <si>
    <t xml:space="preserve">Bronkhorst </t>
  </si>
  <si>
    <t xml:space="preserve">Jernvallen </t>
  </si>
  <si>
    <t xml:space="preserve">Eriksson </t>
  </si>
  <si>
    <t xml:space="preserve">Van Nuffel </t>
  </si>
  <si>
    <t xml:space="preserve">Tunavallen </t>
  </si>
  <si>
    <t xml:space="preserve">Macko </t>
  </si>
  <si>
    <t xml:space="preserve">Eyravallen </t>
  </si>
  <si>
    <t xml:space="preserve">Ellis </t>
  </si>
  <si>
    <t xml:space="preserve">Campos </t>
  </si>
  <si>
    <t xml:space="preserve">Mowat </t>
  </si>
  <si>
    <t xml:space="preserve">Jorgensen </t>
  </si>
  <si>
    <t xml:space="preserve">Lemesic </t>
  </si>
  <si>
    <t xml:space="preserve">Orlandini </t>
  </si>
  <si>
    <t xml:space="preserve">Arosvallen </t>
  </si>
  <si>
    <t xml:space="preserve">Benjamin Griffiths </t>
  </si>
  <si>
    <t xml:space="preserve">Örjans Vall </t>
  </si>
  <si>
    <t xml:space="preserve">Ahlner </t>
  </si>
  <si>
    <t xml:space="preserve">Rimnersvallen </t>
  </si>
  <si>
    <t xml:space="preserve">Codesal </t>
  </si>
  <si>
    <t xml:space="preserve">Latychev </t>
  </si>
  <si>
    <t xml:space="preserve">Wankdorf Stadium </t>
  </si>
  <si>
    <t xml:space="preserve">William Ling </t>
  </si>
  <si>
    <t xml:space="preserve">Hardturm </t>
  </si>
  <si>
    <t xml:space="preserve">Raymon Wyssling </t>
  </si>
  <si>
    <t xml:space="preserve">St. Jakob-Park </t>
  </si>
  <si>
    <t xml:space="preserve">Vincenzo Orlandini </t>
  </si>
  <si>
    <t xml:space="preserve">Stade Olympique de la Pontaise </t>
  </si>
  <si>
    <t xml:space="preserve">Charmilles Stadium </t>
  </si>
  <si>
    <t xml:space="preserve">Istan Zsolt </t>
  </si>
  <si>
    <t xml:space="preserve">Arthur Edward Ellis </t>
  </si>
  <si>
    <t xml:space="preserve">Charlie Faultless </t>
  </si>
  <si>
    <t xml:space="preserve">Raymond Vincenti </t>
  </si>
  <si>
    <t xml:space="preserve">Cornaredo Stadium </t>
  </si>
  <si>
    <t xml:space="preserve">Esteban Marino </t>
  </si>
  <si>
    <t xml:space="preserve">Ling </t>
  </si>
  <si>
    <t xml:space="preserve">Vasa Stefanovic </t>
  </si>
  <si>
    <t xml:space="preserve">Manuel Asensi </t>
  </si>
  <si>
    <t xml:space="preserve">Emil Schmetzer </t>
  </si>
  <si>
    <t xml:space="preserve">Mario Vianna </t>
  </si>
  <si>
    <t xml:space="preserve">Jose da Costa Vieira </t>
  </si>
  <si>
    <t xml:space="preserve">Laurent Franken </t>
  </si>
  <si>
    <t xml:space="preserve">Estádio do Maracanã </t>
  </si>
  <si>
    <t xml:space="preserve">Nicola Rizzoli </t>
  </si>
  <si>
    <t xml:space="preserve">Estadio Nacional Mane Garrincha </t>
  </si>
  <si>
    <t xml:space="preserve">Djamel Haimoudi </t>
  </si>
  <si>
    <t xml:space="preserve">Arena do Sao Paulo </t>
  </si>
  <si>
    <t xml:space="preserve">Cüneyt Cakir </t>
  </si>
  <si>
    <t xml:space="preserve">Marco Rodríguez </t>
  </si>
  <si>
    <t xml:space="preserve">Arena Fonte Nova </t>
  </si>
  <si>
    <t xml:space="preserve">Ravshan Irmatov </t>
  </si>
  <si>
    <t xml:space="preserve">Estadio Castelao </t>
  </si>
  <si>
    <t xml:space="preserve">Carlos Velasco Carballo </t>
  </si>
  <si>
    <t xml:space="preserve">Nestor Pitana </t>
  </si>
  <si>
    <t xml:space="preserve">Arena de Sao Paulo </t>
  </si>
  <si>
    <t xml:space="preserve">Jonas Eriksson </t>
  </si>
  <si>
    <t xml:space="preserve">Estádio Beira-Rio </t>
  </si>
  <si>
    <t xml:space="preserve">Sandro Ricci </t>
  </si>
  <si>
    <t xml:space="preserve">Mark Geiger </t>
  </si>
  <si>
    <t xml:space="preserve">Arena Pernambucano </t>
  </si>
  <si>
    <t xml:space="preserve">Ben Williams </t>
  </si>
  <si>
    <t xml:space="preserve">Pedro Proenca </t>
  </si>
  <si>
    <t xml:space="preserve">Bjorn Kuipers </t>
  </si>
  <si>
    <t xml:space="preserve">George Reader </t>
  </si>
  <si>
    <t xml:space="preserve">Estádio do Pacaembu </t>
  </si>
  <si>
    <t xml:space="preserve">Karl van der Meer </t>
  </si>
  <si>
    <t xml:space="preserve">Giovanni Galeati </t>
  </si>
  <si>
    <t xml:space="preserve">Reginald Leafe </t>
  </si>
  <si>
    <t xml:space="preserve">Arthur Elis </t>
  </si>
  <si>
    <t xml:space="preserve">Estádio Independência </t>
  </si>
  <si>
    <t xml:space="preserve">Arthur Ellis </t>
  </si>
  <si>
    <t xml:space="preserve">Estádio Ilha do Retiro </t>
  </si>
  <si>
    <t xml:space="preserve">Mario Gardelli </t>
  </si>
  <si>
    <t xml:space="preserve">Estádio dos Eucaliptos </t>
  </si>
  <si>
    <t xml:space="preserve">Ivan Eklind </t>
  </si>
  <si>
    <t xml:space="preserve">Estádio Vila Capanema </t>
  </si>
  <si>
    <t xml:space="preserve">Robert Mitchell </t>
  </si>
  <si>
    <t xml:space="preserve">Generoso Dattilo </t>
  </si>
  <si>
    <t xml:space="preserve">Alberto Malcher </t>
  </si>
  <si>
    <t xml:space="preserve">Reginald Leate </t>
  </si>
  <si>
    <t xml:space="preserve">Ramon Azon Roma </t>
  </si>
  <si>
    <t xml:space="preserve">Jean Lutz </t>
  </si>
  <si>
    <t xml:space="preserve">Karel van der Meer </t>
  </si>
  <si>
    <t xml:space="preserve">Olympique, Paris/Colombes </t>
  </si>
  <si>
    <t xml:space="preserve">Stade Chaban-Delmas </t>
  </si>
  <si>
    <t xml:space="preserve">John Langenus </t>
  </si>
  <si>
    <t xml:space="preserve">H. Wutrich </t>
  </si>
  <si>
    <t xml:space="preserve">G. Capdeville </t>
  </si>
  <si>
    <t xml:space="preserve">Stade du Fort Carré </t>
  </si>
  <si>
    <t xml:space="preserve">Stade Victor Boucquey </t>
  </si>
  <si>
    <t xml:space="preserve">P.V. Hertzka </t>
  </si>
  <si>
    <t xml:space="preserve">Stade Municipal de Toulouse </t>
  </si>
  <si>
    <t xml:space="preserve">Stade de la Cavée verte </t>
  </si>
  <si>
    <t xml:space="preserve">Stade de la Meinau </t>
  </si>
  <si>
    <t xml:space="preserve">I. Eklind </t>
  </si>
  <si>
    <t xml:space="preserve">Velodrome Municipale, Reims </t>
  </si>
  <si>
    <t xml:space="preserve">Stadio Nazionale del PNF </t>
  </si>
  <si>
    <t xml:space="preserve">Stadio Giorgio Ascarelli </t>
  </si>
  <si>
    <t xml:space="preserve">Albino Carraro </t>
  </si>
  <si>
    <t xml:space="preserve">Rinaldo Barlassina </t>
  </si>
  <si>
    <t xml:space="preserve">Rene Mercet </t>
  </si>
  <si>
    <t xml:space="preserve">Stadio Olimpico di Torino </t>
  </si>
  <si>
    <t xml:space="preserve">Alois Beranek </t>
  </si>
  <si>
    <t xml:space="preserve">Louis Baert </t>
  </si>
  <si>
    <t xml:space="preserve">Francesco Mattea </t>
  </si>
  <si>
    <t xml:space="preserve">Arena de Baixada </t>
  </si>
  <si>
    <t xml:space="preserve">Nawaf Shukralla </t>
  </si>
  <si>
    <t xml:space="preserve">Arena Pernambuco </t>
  </si>
  <si>
    <t xml:space="preserve">Noumandiez Doue </t>
  </si>
  <si>
    <t xml:space="preserve">Arena Amazonia </t>
  </si>
  <si>
    <t xml:space="preserve">Arena das Dunas </t>
  </si>
  <si>
    <t xml:space="preserve">Carlos Vera </t>
  </si>
  <si>
    <t xml:space="preserve">Arena Pantanal </t>
  </si>
  <si>
    <t xml:space="preserve">Bakary Gassama </t>
  </si>
  <si>
    <t xml:space="preserve">Wilmar Roldan </t>
  </si>
  <si>
    <t xml:space="preserve">Felix Brych </t>
  </si>
  <si>
    <t xml:space="preserve">Peter O'Leary </t>
  </si>
  <si>
    <t xml:space="preserve">Milorad Mazic </t>
  </si>
  <si>
    <t xml:space="preserve">Enrique Osses </t>
  </si>
  <si>
    <t xml:space="preserve">Joel Aguilar </t>
  </si>
  <si>
    <t xml:space="preserve">Yuichi Nishimura </t>
  </si>
  <si>
    <t xml:space="preserve">Nelson Mandela Bay Stadium </t>
  </si>
  <si>
    <t xml:space="preserve">Benito Archundia </t>
  </si>
  <si>
    <t xml:space="preserve">Moses Mabhida Stadium </t>
  </si>
  <si>
    <t xml:space="preserve">Viktor Kassai </t>
  </si>
  <si>
    <t xml:space="preserve">Cape Town Stadium </t>
  </si>
  <si>
    <t xml:space="preserve">Ellis Park Stadium </t>
  </si>
  <si>
    <t xml:space="preserve">Carlos Batres </t>
  </si>
  <si>
    <t xml:space="preserve">Olegario Benquerenca </t>
  </si>
  <si>
    <t xml:space="preserve">Héctor Baldassi </t>
  </si>
  <si>
    <t xml:space="preserve">Loftus Versfeld Stadium </t>
  </si>
  <si>
    <t xml:space="preserve">Frank de Bleeckere </t>
  </si>
  <si>
    <t xml:space="preserve">Alberto Undiano Mallenco </t>
  </si>
  <si>
    <t xml:space="preserve">Roberto Rosetti </t>
  </si>
  <si>
    <t xml:space="preserve">Free State Stadium </t>
  </si>
  <si>
    <t xml:space="preserve">Jorge Larrionda </t>
  </si>
  <si>
    <t xml:space="preserve">Royal Bafokeng Stadium </t>
  </si>
  <si>
    <t xml:space="preserve">Wolfgang Stark </t>
  </si>
  <si>
    <t xml:space="preserve">Peter Mokoba Stadium </t>
  </si>
  <si>
    <t xml:space="preserve">Yuichi Nishamura </t>
  </si>
  <si>
    <t xml:space="preserve">Pablo Pozo </t>
  </si>
  <si>
    <t xml:space="preserve">Jerome Damon </t>
  </si>
  <si>
    <t xml:space="preserve">Oscar Ruiz </t>
  </si>
  <si>
    <t xml:space="preserve">Khalil Al Ghamdi </t>
  </si>
  <si>
    <t xml:space="preserve">Stephane Lannoy </t>
  </si>
  <si>
    <t xml:space="preserve">Robert Rosetti </t>
  </si>
  <si>
    <t xml:space="preserve">Koman Coulibaly </t>
  </si>
  <si>
    <t xml:space="preserve">Massimo Busacca </t>
  </si>
  <si>
    <t xml:space="preserve">Benito Arcundia </t>
  </si>
  <si>
    <t xml:space="preserve">Marco Antonio Rodríguez </t>
  </si>
  <si>
    <t xml:space="preserve">Michael Hester </t>
  </si>
  <si>
    <t xml:space="preserve">Horacio Elizondo </t>
  </si>
  <si>
    <t xml:space="preserve">Toru Kamikawa </t>
  </si>
  <si>
    <t xml:space="preserve">Allianz Arena </t>
  </si>
  <si>
    <t xml:space="preserve">Luis Medina Cantalejo </t>
  </si>
  <si>
    <t xml:space="preserve">Veltins-Arena </t>
  </si>
  <si>
    <t xml:space="preserve">Horacio Elizondo 52000 </t>
  </si>
  <si>
    <t xml:space="preserve">Lubos Michel </t>
  </si>
  <si>
    <t xml:space="preserve">RheinEnergieStadion </t>
  </si>
  <si>
    <t xml:space="preserve">Fritz-Walter-Stadion </t>
  </si>
  <si>
    <t xml:space="preserve">Frankenstadion </t>
  </si>
  <si>
    <t xml:space="preserve">Valentin Ivanov </t>
  </si>
  <si>
    <t xml:space="preserve">Red Bull Arena (Leipzig) </t>
  </si>
  <si>
    <t xml:space="preserve">Carlos Amarilla </t>
  </si>
  <si>
    <t xml:space="preserve">Graham Poll </t>
  </si>
  <si>
    <t xml:space="preserve">Signal Iduna Park </t>
  </si>
  <si>
    <t xml:space="preserve">Eric Poulat </t>
  </si>
  <si>
    <t xml:space="preserve">Markus Merk </t>
  </si>
  <si>
    <t xml:space="preserve">Mark Shield </t>
  </si>
  <si>
    <t xml:space="preserve">Lubos Michel 52000 </t>
  </si>
  <si>
    <t>Serbia and Montenegro</t>
  </si>
  <si>
    <t xml:space="preserve">Shamsul Maidin </t>
  </si>
  <si>
    <t xml:space="preserve">Coffi Codija </t>
  </si>
  <si>
    <t xml:space="preserve">Essam Abd El Fatah </t>
  </si>
  <si>
    <t xml:space="preserve">International Stadium Yokohama </t>
  </si>
  <si>
    <t xml:space="preserve">Pierluigi Collina </t>
  </si>
  <si>
    <t xml:space="preserve">Daegu World Cup Stadium </t>
  </si>
  <si>
    <t xml:space="preserve">Saad Mane </t>
  </si>
  <si>
    <t xml:space="preserve">Saitama Stadium 2002 </t>
  </si>
  <si>
    <t xml:space="preserve">Seoul World Cup Stadium </t>
  </si>
  <si>
    <t xml:space="preserve">Urs Meier </t>
  </si>
  <si>
    <t xml:space="preserve">Nagai Stadium </t>
  </si>
  <si>
    <t xml:space="preserve">Gwangju World Cup Stadium </t>
  </si>
  <si>
    <t xml:space="preserve">Gamal Al-Ghandour </t>
  </si>
  <si>
    <t xml:space="preserve">Ulsan Munsu Football Stadium </t>
  </si>
  <si>
    <t xml:space="preserve">Hugh Dallas </t>
  </si>
  <si>
    <t xml:space="preserve">Felipe Ramos </t>
  </si>
  <si>
    <t xml:space="preserve">Daejeon World Cup Stadium </t>
  </si>
  <si>
    <t xml:space="preserve">Byron Moreno </t>
  </si>
  <si>
    <t xml:space="preserve">Miyagi Stadium </t>
  </si>
  <si>
    <t xml:space="preserve">Pierluigi Colina </t>
  </si>
  <si>
    <t xml:space="preserve">Home's Stadium Kobe </t>
  </si>
  <si>
    <t xml:space="preserve">Peter Prendergast </t>
  </si>
  <si>
    <t xml:space="preserve">Jeonju World Cup Stadium </t>
  </si>
  <si>
    <t xml:space="preserve">Vitor Melo Pereira </t>
  </si>
  <si>
    <t xml:space="preserve">Suwon World Cup Stadium </t>
  </si>
  <si>
    <t xml:space="preserve">Anders Frisk </t>
  </si>
  <si>
    <t xml:space="preserve">Oita Bank Dome </t>
  </si>
  <si>
    <t xml:space="preserve">Ubaldo Aquino </t>
  </si>
  <si>
    <t xml:space="preserve">Tohoku Electric Power Big S... </t>
  </si>
  <si>
    <t xml:space="preserve">Jeju World Cup Stadium </t>
  </si>
  <si>
    <t xml:space="preserve">Gilles Veissiere </t>
  </si>
  <si>
    <t xml:space="preserve">Lu Jun </t>
  </si>
  <si>
    <t xml:space="preserve">Incheon Munhak Stadium </t>
  </si>
  <si>
    <t xml:space="preserve">Angel Sánchez </t>
  </si>
  <si>
    <t xml:space="preserve">William Mattus </t>
  </si>
  <si>
    <t xml:space="preserve">Brian Hall </t>
  </si>
  <si>
    <t xml:space="preserve">Ali Bujsaim </t>
  </si>
  <si>
    <t xml:space="preserve">Falla N'Doye </t>
  </si>
  <si>
    <t xml:space="preserve">Antonio Lopez Nieto </t>
  </si>
  <si>
    <t xml:space="preserve">Jan Wegereef </t>
  </si>
  <si>
    <t xml:space="preserve">Mourad Daami </t>
  </si>
  <si>
    <t xml:space="preserve">Coffi Codjia </t>
  </si>
  <si>
    <t xml:space="preserve">Kashima Soccer Stadium </t>
  </si>
  <si>
    <t xml:space="preserve">Sapporo Dome </t>
  </si>
  <si>
    <t xml:space="preserve">René Ortubé </t>
  </si>
  <si>
    <t xml:space="preserve">Terje Hauge </t>
  </si>
  <si>
    <t xml:space="preserve">Busan Asiad Main Stadium </t>
  </si>
  <si>
    <t xml:space="preserve">Kyros Vassaras </t>
  </si>
  <si>
    <t xml:space="preserve">Kim Young-Joo </t>
  </si>
  <si>
    <t xml:space="preserve">Mohamed Guezzaz </t>
  </si>
  <si>
    <t xml:space="preserve">Stade de France </t>
  </si>
  <si>
    <t xml:space="preserve">Said Belqola </t>
  </si>
  <si>
    <t xml:space="preserve">Jose Garcia-Aranda </t>
  </si>
  <si>
    <t xml:space="preserve">Stade de Gerland </t>
  </si>
  <si>
    <t xml:space="preserve">Rune Pedersen </t>
  </si>
  <si>
    <t xml:space="preserve">Arturo Brizio Carter </t>
  </si>
  <si>
    <t xml:space="preserve">Stade de la Beaujoire </t>
  </si>
  <si>
    <t xml:space="preserve">Stade Geoffroy-Guichard </t>
  </si>
  <si>
    <t xml:space="preserve">Javier Castrilli </t>
  </si>
  <si>
    <t xml:space="preserve">Stade de la Mosson </t>
  </si>
  <si>
    <t xml:space="preserve">Stade Félix-Bollaert </t>
  </si>
  <si>
    <t xml:space="preserve">Marc Batta </t>
  </si>
  <si>
    <t xml:space="preserve">Bernd Heynemann </t>
  </si>
  <si>
    <t xml:space="preserve">Gunter Benko </t>
  </si>
  <si>
    <t xml:space="preserve">Edward Lennie </t>
  </si>
  <si>
    <t xml:space="preserve">Márcio Rezende de Freitas </t>
  </si>
  <si>
    <t xml:space="preserve">Abdul Rahman Al-Zeid </t>
  </si>
  <si>
    <t xml:space="preserve">Mario van der Ende </t>
  </si>
  <si>
    <t xml:space="preserve">Pirom Un-Prasert </t>
  </si>
  <si>
    <t xml:space="preserve">Mario Sánchez </t>
  </si>
  <si>
    <t xml:space="preserve">Laszlo Vagner </t>
  </si>
  <si>
    <t xml:space="preserve">Paul Durkin </t>
  </si>
  <si>
    <t xml:space="preserve">Esfandiar Baharmast </t>
  </si>
  <si>
    <t xml:space="preserve">Ramesh Ramdhan </t>
  </si>
  <si>
    <t xml:space="preserve">Ryszard Wojcik </t>
  </si>
  <si>
    <t xml:space="preserve">Ian McLeod </t>
  </si>
  <si>
    <t xml:space="preserve">Mario Sanchez Yanten </t>
  </si>
  <si>
    <t xml:space="preserve">John Toro Rendon </t>
  </si>
  <si>
    <t xml:space="preserve">Nikolai Levnikov </t>
  </si>
  <si>
    <t xml:space="preserve">Lim Kee Chong </t>
  </si>
  <si>
    <t xml:space="preserve">Alberto Tejada </t>
  </si>
  <si>
    <t xml:space="preserve">Lucien Bouchardeau </t>
  </si>
  <si>
    <t xml:space="preserve">Jose Garia Aranda </t>
  </si>
  <si>
    <t xml:space="preserve">Rose Bowl </t>
  </si>
  <si>
    <t xml:space="preserve">Sandor Puhl </t>
  </si>
  <si>
    <t xml:space="preserve">Jose Torres Cadena </t>
  </si>
  <si>
    <t xml:space="preserve">Stanford Stadium </t>
  </si>
  <si>
    <t xml:space="preserve">Philip Don </t>
  </si>
  <si>
    <t xml:space="preserve">Cotton Bowl </t>
  </si>
  <si>
    <t xml:space="preserve">Rodrigo Badilla </t>
  </si>
  <si>
    <t xml:space="preserve">Foxboro Stadium </t>
  </si>
  <si>
    <t xml:space="preserve">Citrus Bowl </t>
  </si>
  <si>
    <t xml:space="preserve">Pierluigi Pairetto </t>
  </si>
  <si>
    <t xml:space="preserve">Renato Marsiglia </t>
  </si>
  <si>
    <t xml:space="preserve">RFK Stadium </t>
  </si>
  <si>
    <t xml:space="preserve">Soldier Field </t>
  </si>
  <si>
    <t xml:space="preserve">Leslie Mottram </t>
  </si>
  <si>
    <t xml:space="preserve">Alberto Tejada Noriega </t>
  </si>
  <si>
    <t xml:space="preserve">Francisco Oscar Lamolina </t>
  </si>
  <si>
    <t xml:space="preserve">Silverdome </t>
  </si>
  <si>
    <t xml:space="preserve">Bo Karlsson </t>
  </si>
  <si>
    <t xml:space="preserve">Fabio Baldas </t>
  </si>
  <si>
    <t xml:space="preserve">Arturo Angeles </t>
  </si>
  <si>
    <t xml:space="preserve">Filippi Cavani </t>
  </si>
  <si>
    <t xml:space="preserve">Manuel Diaz Vega </t>
  </si>
  <si>
    <t xml:space="preserve">Tullio Lanense </t>
  </si>
  <si>
    <t xml:space="preserve">Marcel van Langenhove </t>
  </si>
  <si>
    <t xml:space="preserve">Elías Jácome </t>
  </si>
  <si>
    <t xml:space="preserve">Johannes van Moorsel </t>
  </si>
  <si>
    <t xml:space="preserve">Eugen Braun </t>
  </si>
  <si>
    <t xml:space="preserve">Stadio Giuseppe Grezar </t>
  </si>
  <si>
    <t xml:space="preserve">Alfred Birlem </t>
  </si>
  <si>
    <t xml:space="preserve">Estadío Centenario </t>
  </si>
  <si>
    <t xml:space="preserve">Almeida Rego </t>
  </si>
  <si>
    <t xml:space="preserve">Ricardo Vallarino </t>
  </si>
  <si>
    <t xml:space="preserve">Thomas Balvay </t>
  </si>
  <si>
    <t xml:space="preserve">Ulises Saucedo </t>
  </si>
  <si>
    <t xml:space="preserve">Aníbal Tejada </t>
  </si>
  <si>
    <t xml:space="preserve">Parque Central </t>
  </si>
  <si>
    <t xml:space="preserve">Jose Macia </t>
  </si>
  <si>
    <t xml:space="preserve">Francisco Mateucci </t>
  </si>
  <si>
    <t xml:space="preserve">Henri Christophe </t>
  </si>
  <si>
    <t xml:space="preserve">Estadio Pocitos </t>
  </si>
  <si>
    <t xml:space="preserve">Alberto Warnken </t>
  </si>
  <si>
    <t xml:space="preserve">Jose Macias </t>
  </si>
  <si>
    <t xml:space="preserve">Domingo Lombardi </t>
  </si>
  <si>
    <t>MatchNumber</t>
  </si>
  <si>
    <t>Seasons</t>
  </si>
  <si>
    <t>FIFAWC1930</t>
  </si>
  <si>
    <t>FIFAWC1934</t>
  </si>
  <si>
    <t>FIFAWC1938</t>
  </si>
  <si>
    <t>FIFAWC1950</t>
  </si>
  <si>
    <t>FIFAWC1954</t>
  </si>
  <si>
    <t>FIFAWC1958</t>
  </si>
  <si>
    <t>FIFAWC1962</t>
  </si>
  <si>
    <t>FIFAWC1966</t>
  </si>
  <si>
    <t>FIFAWC1970</t>
  </si>
  <si>
    <t>FIFAWC1974</t>
  </si>
  <si>
    <t>FIFAWC1978</t>
  </si>
  <si>
    <t>FIFAWC1982</t>
  </si>
  <si>
    <t>FIFAWC1986</t>
  </si>
  <si>
    <t>FIFAWC1990</t>
  </si>
  <si>
    <t>FIFAWC1994</t>
  </si>
  <si>
    <t>FIFAWC1998</t>
  </si>
  <si>
    <t>FIFAWC2002</t>
  </si>
  <si>
    <t>FIFAWC2006</t>
  </si>
  <si>
    <t>FIFAWC2010</t>
  </si>
  <si>
    <t>FIFAWC2014</t>
  </si>
  <si>
    <t>FIFAWC2018</t>
  </si>
  <si>
    <t>Round</t>
  </si>
  <si>
    <t>Final Round</t>
  </si>
  <si>
    <t xml:space="preserve">Group B </t>
  </si>
  <si>
    <t xml:space="preserve">Group A </t>
  </si>
  <si>
    <t xml:space="preserve">Group C </t>
  </si>
  <si>
    <t xml:space="preserve">Group D </t>
  </si>
  <si>
    <t xml:space="preserve">Group E </t>
  </si>
  <si>
    <t xml:space="preserve">Group F </t>
  </si>
  <si>
    <t xml:space="preserve">Group G </t>
  </si>
  <si>
    <t xml:space="preserve">Group H </t>
  </si>
  <si>
    <t>Winner Note</t>
  </si>
  <si>
    <t>Cote D'Ivoire</t>
  </si>
  <si>
    <t>SCG</t>
  </si>
  <si>
    <t>URS</t>
  </si>
  <si>
    <t>Soviet Union</t>
  </si>
  <si>
    <t>ZAI</t>
  </si>
  <si>
    <t>Zaire</t>
  </si>
  <si>
    <t>YUG</t>
  </si>
  <si>
    <t>INH</t>
  </si>
  <si>
    <t>Knockouts</t>
  </si>
  <si>
    <t>First Round</t>
  </si>
  <si>
    <t>Preliminary Round</t>
  </si>
  <si>
    <t>new Team { TeamName = "</t>
  </si>
  <si>
    <t>", FifaAlphaCode = "</t>
  </si>
  <si>
    <t>",TeamCode="</t>
  </si>
  <si>
    <t>", TeamType= "National" },</t>
  </si>
  <si>
    <t>Belgium win 4 - 5 on penalties</t>
  </si>
  <si>
    <t>Germany win 5 - 4 on penalties</t>
  </si>
  <si>
    <t>Republic of Ireland win 5 - 4 on penalties</t>
  </si>
  <si>
    <t>Argentina win 2 - 3 on penalties</t>
  </si>
  <si>
    <t>Argentina win 3 - 4 on penalties</t>
  </si>
  <si>
    <t>Germany FR win 4 - 3 on penalties</t>
  </si>
  <si>
    <t>Bulgaria win 1 - 3 on penalties</t>
  </si>
  <si>
    <t>Sweden win 4 - 5 on penalties</t>
  </si>
  <si>
    <t>Brazil win 3 - 2 on penalties</t>
  </si>
  <si>
    <t>Brazil win 4 - 2 on penalties</t>
  </si>
  <si>
    <t>Spain win 3 - 2 on penalties</t>
  </si>
  <si>
    <t>Korea Republic win 3 - 5 on penalties</t>
  </si>
  <si>
    <t>Ukraine win 0 - 3 on penalties</t>
  </si>
  <si>
    <t>Germany win 4 - 2 on penalties</t>
  </si>
  <si>
    <t>Portugal win 1 - 3 on penalties</t>
  </si>
  <si>
    <t>Italy win 5 - 3 on penalties</t>
  </si>
  <si>
    <t>Paraguay win 5 - 3 on penalties</t>
  </si>
  <si>
    <t>Uruguay win 4 - 2 on penalties</t>
  </si>
  <si>
    <t>Costa Rica win 5 - 3 on penalties</t>
  </si>
  <si>
    <t>Netherlands win 4 - 3 on penalties</t>
  </si>
  <si>
    <t>Argentina win 2 - 4 on penalties</t>
  </si>
  <si>
    <t>PRG</t>
  </si>
  <si>
    <t>Russia win 3 - 4 on penalties</t>
  </si>
  <si>
    <t>Croatia win 3 - 2 on penalties</t>
  </si>
  <si>
    <t>England win 3 - 4 on penalties</t>
  </si>
  <si>
    <t>Croatia win 3 - 4 on penalties</t>
  </si>
  <si>
    <t>new Match { MatchId= "</t>
  </si>
  <si>
    <t>",MatchNumer=</t>
  </si>
  <si>
    <t>,DateMatch=DateTime.Parse("</t>
  </si>
  <si>
    <t>"),MatchYear=</t>
  </si>
  <si>
    <t>, SeasonId= "</t>
  </si>
  <si>
    <t>",Round= "</t>
  </si>
  <si>
    <t>",Stage= "</t>
  </si>
  <si>
    <t>",SubStage= "</t>
  </si>
  <si>
    <t>",WinNote="</t>
  </si>
  <si>
    <t>" },</t>
  </si>
  <si>
    <t>TeamName</t>
  </si>
  <si>
    <t>",HTeam= "</t>
  </si>
  <si>
    <t>",HGoal=</t>
  </si>
  <si>
    <t>,GGoal=</t>
  </si>
  <si>
    <t>Luzhniki Stadium</t>
  </si>
  <si>
    <t>Ekaterinburg Arena</t>
  </si>
  <si>
    <t>Fisht Stadium</t>
  </si>
  <si>
    <t>Saint Petersburg Stadium</t>
  </si>
  <si>
    <t>Kazan Arena</t>
  </si>
  <si>
    <t>Mordovia Arena</t>
  </si>
  <si>
    <t>Spartak Stadium</t>
  </si>
  <si>
    <t>Kaliningrad Stadium</t>
  </si>
  <si>
    <t>Samara Arena</t>
  </si>
  <si>
    <t>Rostov Arena</t>
  </si>
  <si>
    <t>Nizhny Novgorod Stadium</t>
  </si>
  <si>
    <t>Volgograd Arena</t>
  </si>
  <si>
    <t xml:space="preserve">",Stadium=" </t>
  </si>
  <si>
    <t>",Referee= "</t>
  </si>
  <si>
    <t xml:space="preserve">",Visistors= </t>
  </si>
  <si>
    <t>,Status= "</t>
  </si>
  <si>
    <t>,GTeam= "</t>
  </si>
  <si>
    <t>"),TimeMatch=TimeSpan.Parse("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</si>
</sst>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hh:mm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14" fontId="0" fillId="0" borderId="0" xfId="0" applyNumberFormat="1"/>
    <xf numFmtId="0" fontId="0" fillId="0" borderId="0" xfId="0" applyNumberFormat="1"/>
    <xf numFmtId="0" fontId="0" fillId="2" borderId="0" xfId="0" applyFill="1" applyAlignment="1">
      <alignment textRotation="90"/>
    </xf>
    <xf numFmtId="0" fontId="0" fillId="3" borderId="0" xfId="0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14" fontId="0" fillId="3" borderId="0" xfId="0" applyNumberFormat="1" applyFill="1"/>
    <xf numFmtId="0" fontId="0" fillId="4" borderId="0" xfId="0" applyFill="1"/>
    <xf numFmtId="165" fontId="0" fillId="3" borderId="0" xfId="0" applyNumberFormat="1" applyFill="1"/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51"/>
  <sheetViews>
    <sheetView topLeftCell="A169" workbookViewId="0">
      <selection activeCell="A117" sqref="A117:XFD118"/>
    </sheetView>
  </sheetViews>
  <sheetFormatPr defaultRowHeight="15" x14ac:dyDescent="0.25"/>
  <cols>
    <col min="1" max="1" width="82.28515625" bestFit="1" customWidth="1"/>
    <col min="2" max="2" width="123.5703125" bestFit="1" customWidth="1"/>
  </cols>
  <sheetData>
    <row r="1" spans="1:5" ht="67.5" x14ac:dyDescent="0.25">
      <c r="A1" t="s">
        <v>739</v>
      </c>
      <c r="B1" t="s">
        <v>740</v>
      </c>
      <c r="C1" s="1" t="s">
        <v>741</v>
      </c>
      <c r="D1" s="1" t="s">
        <v>742</v>
      </c>
      <c r="E1" t="s">
        <v>1006</v>
      </c>
    </row>
    <row r="2" spans="1:5" x14ac:dyDescent="0.25">
      <c r="A2" t="s">
        <v>743</v>
      </c>
      <c r="B2" t="s">
        <v>0</v>
      </c>
      <c r="C2" t="s">
        <v>1</v>
      </c>
      <c r="D2" t="s">
        <v>2</v>
      </c>
      <c r="E2" t="s">
        <v>2</v>
      </c>
    </row>
    <row r="3" spans="1:5" x14ac:dyDescent="0.25">
      <c r="A3" t="s">
        <v>744</v>
      </c>
      <c r="B3" t="s">
        <v>4</v>
      </c>
      <c r="C3" t="s">
        <v>5</v>
      </c>
      <c r="D3" t="s">
        <v>6</v>
      </c>
      <c r="E3" t="s">
        <v>6</v>
      </c>
    </row>
    <row r="4" spans="1:5" x14ac:dyDescent="0.25">
      <c r="A4" t="s">
        <v>745</v>
      </c>
      <c r="B4" t="s">
        <v>7</v>
      </c>
      <c r="C4" t="s">
        <v>8</v>
      </c>
      <c r="D4" t="s">
        <v>9</v>
      </c>
      <c r="E4" t="s">
        <v>930</v>
      </c>
    </row>
    <row r="5" spans="1:5" x14ac:dyDescent="0.25">
      <c r="A5" t="s">
        <v>746</v>
      </c>
      <c r="B5" t="s">
        <v>10</v>
      </c>
      <c r="C5" t="s">
        <v>12</v>
      </c>
      <c r="D5" t="s">
        <v>13</v>
      </c>
      <c r="E5" t="s">
        <v>931</v>
      </c>
    </row>
    <row r="6" spans="1:5" x14ac:dyDescent="0.25">
      <c r="A6" t="s">
        <v>747</v>
      </c>
      <c r="B6" t="s">
        <v>14</v>
      </c>
      <c r="C6" t="s">
        <v>15</v>
      </c>
      <c r="D6" t="s">
        <v>16</v>
      </c>
      <c r="E6" t="s">
        <v>16</v>
      </c>
    </row>
    <row r="7" spans="1:5" x14ac:dyDescent="0.25">
      <c r="A7" t="s">
        <v>748</v>
      </c>
      <c r="B7" t="s">
        <v>17</v>
      </c>
      <c r="C7" t="s">
        <v>18</v>
      </c>
      <c r="D7" t="s">
        <v>19</v>
      </c>
      <c r="E7" t="s">
        <v>932</v>
      </c>
    </row>
    <row r="8" spans="1:5" x14ac:dyDescent="0.25">
      <c r="A8" t="s">
        <v>20</v>
      </c>
      <c r="B8" t="s">
        <v>20</v>
      </c>
      <c r="C8" t="s">
        <v>21</v>
      </c>
      <c r="D8" t="s">
        <v>22</v>
      </c>
      <c r="E8" t="s">
        <v>22</v>
      </c>
    </row>
    <row r="9" spans="1:5" x14ac:dyDescent="0.25">
      <c r="A9" t="s">
        <v>23</v>
      </c>
      <c r="B9" t="s">
        <v>23</v>
      </c>
      <c r="C9" t="s">
        <v>24</v>
      </c>
      <c r="D9" t="s">
        <v>25</v>
      </c>
      <c r="E9" t="s">
        <v>25</v>
      </c>
    </row>
    <row r="10" spans="1:5" x14ac:dyDescent="0.25">
      <c r="A10" t="s">
        <v>749</v>
      </c>
      <c r="B10" t="s">
        <v>26</v>
      </c>
      <c r="C10" t="s">
        <v>27</v>
      </c>
      <c r="D10" t="s">
        <v>28</v>
      </c>
      <c r="E10" t="s">
        <v>28</v>
      </c>
    </row>
    <row r="11" spans="1:5" x14ac:dyDescent="0.25">
      <c r="A11" t="s">
        <v>750</v>
      </c>
      <c r="B11" t="s">
        <v>29</v>
      </c>
      <c r="C11" t="s">
        <v>30</v>
      </c>
      <c r="D11" t="s">
        <v>31</v>
      </c>
      <c r="E11" t="s">
        <v>31</v>
      </c>
    </row>
    <row r="12" spans="1:5" x14ac:dyDescent="0.25">
      <c r="A12" t="s">
        <v>32</v>
      </c>
      <c r="B12" t="s">
        <v>32</v>
      </c>
      <c r="C12" t="s">
        <v>34</v>
      </c>
      <c r="D12" t="s">
        <v>35</v>
      </c>
      <c r="E12" t="s">
        <v>933</v>
      </c>
    </row>
    <row r="13" spans="1:5" x14ac:dyDescent="0.25">
      <c r="A13" t="s">
        <v>128</v>
      </c>
      <c r="B13" t="s">
        <v>36</v>
      </c>
      <c r="C13" t="s">
        <v>37</v>
      </c>
      <c r="D13" t="s">
        <v>38</v>
      </c>
      <c r="E13" t="s">
        <v>38</v>
      </c>
    </row>
    <row r="14" spans="1:5" x14ac:dyDescent="0.25">
      <c r="A14" t="s">
        <v>751</v>
      </c>
      <c r="B14" t="s">
        <v>39</v>
      </c>
      <c r="C14" t="s">
        <v>40</v>
      </c>
      <c r="D14" t="s">
        <v>41</v>
      </c>
      <c r="E14" t="s">
        <v>41</v>
      </c>
    </row>
    <row r="15" spans="1:5" x14ac:dyDescent="0.25">
      <c r="A15" t="s">
        <v>752</v>
      </c>
      <c r="B15" t="s">
        <v>42</v>
      </c>
      <c r="C15" t="s">
        <v>43</v>
      </c>
      <c r="D15" t="s">
        <v>44</v>
      </c>
      <c r="E15" t="s">
        <v>44</v>
      </c>
    </row>
    <row r="16" spans="1:5" x14ac:dyDescent="0.25">
      <c r="A16" t="s">
        <v>1007</v>
      </c>
      <c r="B16" t="s">
        <v>45</v>
      </c>
      <c r="C16" t="s">
        <v>46</v>
      </c>
      <c r="D16" t="s">
        <v>47</v>
      </c>
      <c r="E16" t="s">
        <v>934</v>
      </c>
    </row>
    <row r="17" spans="1:5" x14ac:dyDescent="0.25">
      <c r="A17" t="s">
        <v>753</v>
      </c>
      <c r="B17" t="s">
        <v>48</v>
      </c>
      <c r="C17" t="s">
        <v>49</v>
      </c>
      <c r="D17" t="s">
        <v>50</v>
      </c>
      <c r="E17" t="s">
        <v>50</v>
      </c>
    </row>
    <row r="18" spans="1:5" x14ac:dyDescent="0.25">
      <c r="A18" t="s">
        <v>754</v>
      </c>
      <c r="B18" t="s">
        <v>51</v>
      </c>
      <c r="C18" t="s">
        <v>52</v>
      </c>
      <c r="D18" t="s">
        <v>53</v>
      </c>
      <c r="E18" t="s">
        <v>935</v>
      </c>
    </row>
    <row r="19" spans="1:5" x14ac:dyDescent="0.25">
      <c r="A19" t="s">
        <v>54</v>
      </c>
      <c r="B19" t="s">
        <v>54</v>
      </c>
      <c r="C19" t="s">
        <v>55</v>
      </c>
      <c r="D19" t="s">
        <v>56</v>
      </c>
      <c r="E19" t="s">
        <v>56</v>
      </c>
    </row>
    <row r="20" spans="1:5" x14ac:dyDescent="0.25">
      <c r="A20" t="s">
        <v>755</v>
      </c>
      <c r="B20" t="s">
        <v>57</v>
      </c>
      <c r="C20" t="s">
        <v>58</v>
      </c>
      <c r="D20" t="s">
        <v>59</v>
      </c>
      <c r="E20" t="s">
        <v>59</v>
      </c>
    </row>
    <row r="21" spans="1:5" x14ac:dyDescent="0.25">
      <c r="A21" t="s">
        <v>756</v>
      </c>
      <c r="B21" t="s">
        <v>60</v>
      </c>
      <c r="C21" t="s">
        <v>61</v>
      </c>
      <c r="D21" t="s">
        <v>62</v>
      </c>
      <c r="E21" t="s">
        <v>62</v>
      </c>
    </row>
    <row r="22" spans="1:5" x14ac:dyDescent="0.25">
      <c r="A22" t="s">
        <v>63</v>
      </c>
      <c r="B22" t="s">
        <v>63</v>
      </c>
      <c r="C22" t="s">
        <v>64</v>
      </c>
      <c r="D22" t="s">
        <v>65</v>
      </c>
      <c r="E22" t="s">
        <v>65</v>
      </c>
    </row>
    <row r="23" spans="1:5" x14ac:dyDescent="0.25">
      <c r="A23" t="s">
        <v>757</v>
      </c>
      <c r="B23" t="s">
        <v>66</v>
      </c>
      <c r="C23" t="s">
        <v>67</v>
      </c>
      <c r="D23" t="s">
        <v>68</v>
      </c>
      <c r="E23" t="s">
        <v>68</v>
      </c>
    </row>
    <row r="24" spans="1:5" x14ac:dyDescent="0.25">
      <c r="A24" t="s">
        <v>69</v>
      </c>
      <c r="B24" t="s">
        <v>69</v>
      </c>
      <c r="C24" t="s">
        <v>70</v>
      </c>
      <c r="D24" t="s">
        <v>71</v>
      </c>
      <c r="E24" t="s">
        <v>936</v>
      </c>
    </row>
    <row r="25" spans="1:5" x14ac:dyDescent="0.25">
      <c r="A25" t="s">
        <v>758</v>
      </c>
      <c r="B25" t="s">
        <v>72</v>
      </c>
      <c r="C25" t="s">
        <v>73</v>
      </c>
      <c r="D25" t="s">
        <v>74</v>
      </c>
      <c r="E25" t="s">
        <v>937</v>
      </c>
    </row>
    <row r="26" spans="1:5" x14ac:dyDescent="0.25">
      <c r="A26" t="s">
        <v>1075</v>
      </c>
      <c r="B26" t="s">
        <v>75</v>
      </c>
      <c r="C26" t="s">
        <v>76</v>
      </c>
      <c r="D26" t="s">
        <v>77</v>
      </c>
      <c r="E26" t="s">
        <v>77</v>
      </c>
    </row>
    <row r="27" spans="1:5" x14ac:dyDescent="0.25">
      <c r="A27" t="s">
        <v>78</v>
      </c>
      <c r="B27" t="s">
        <v>78</v>
      </c>
      <c r="C27" t="s">
        <v>79</v>
      </c>
      <c r="D27" t="s">
        <v>80</v>
      </c>
      <c r="E27" t="s">
        <v>80</v>
      </c>
    </row>
    <row r="28" spans="1:5" x14ac:dyDescent="0.25">
      <c r="A28" t="s">
        <v>759</v>
      </c>
      <c r="B28" t="s">
        <v>81</v>
      </c>
      <c r="C28" t="s">
        <v>82</v>
      </c>
      <c r="D28" t="s">
        <v>83</v>
      </c>
      <c r="E28" t="s">
        <v>938</v>
      </c>
    </row>
    <row r="29" spans="1:5" x14ac:dyDescent="0.25">
      <c r="A29" t="s">
        <v>760</v>
      </c>
      <c r="B29" t="s">
        <v>85</v>
      </c>
      <c r="C29" t="s">
        <v>86</v>
      </c>
      <c r="D29" t="s">
        <v>87</v>
      </c>
      <c r="E29" t="s">
        <v>87</v>
      </c>
    </row>
    <row r="30" spans="1:5" x14ac:dyDescent="0.25">
      <c r="A30" t="s">
        <v>1008</v>
      </c>
      <c r="B30" t="s">
        <v>88</v>
      </c>
      <c r="C30" t="s">
        <v>89</v>
      </c>
      <c r="D30" t="s">
        <v>90</v>
      </c>
      <c r="E30" t="s">
        <v>939</v>
      </c>
    </row>
    <row r="31" spans="1:5" x14ac:dyDescent="0.25">
      <c r="A31" t="s">
        <v>761</v>
      </c>
      <c r="B31" t="s">
        <v>91</v>
      </c>
      <c r="C31" t="s">
        <v>92</v>
      </c>
      <c r="D31" t="s">
        <v>93</v>
      </c>
      <c r="E31" t="s">
        <v>940</v>
      </c>
    </row>
    <row r="32" spans="1:5" x14ac:dyDescent="0.25">
      <c r="A32" t="s">
        <v>94</v>
      </c>
      <c r="B32" t="s">
        <v>94</v>
      </c>
      <c r="C32" t="s">
        <v>95</v>
      </c>
      <c r="D32" t="s">
        <v>96</v>
      </c>
      <c r="E32" t="s">
        <v>96</v>
      </c>
    </row>
    <row r="33" spans="1:5" x14ac:dyDescent="0.25">
      <c r="A33" t="s">
        <v>762</v>
      </c>
      <c r="B33" t="s">
        <v>97</v>
      </c>
      <c r="C33" t="s">
        <v>98</v>
      </c>
      <c r="D33" t="s">
        <v>99</v>
      </c>
      <c r="E33" t="s">
        <v>99</v>
      </c>
    </row>
    <row r="34" spans="1:5" x14ac:dyDescent="0.25">
      <c r="A34" t="s">
        <v>928</v>
      </c>
      <c r="B34" t="s">
        <v>100</v>
      </c>
      <c r="C34" t="s">
        <v>101</v>
      </c>
      <c r="D34" t="s">
        <v>102</v>
      </c>
      <c r="E34" t="s">
        <v>102</v>
      </c>
    </row>
    <row r="35" spans="1:5" x14ac:dyDescent="0.25">
      <c r="A35" t="s">
        <v>763</v>
      </c>
      <c r="B35" t="s">
        <v>103</v>
      </c>
      <c r="C35" t="s">
        <v>104</v>
      </c>
      <c r="D35" t="s">
        <v>105</v>
      </c>
      <c r="E35" t="s">
        <v>941</v>
      </c>
    </row>
    <row r="36" spans="1:5" x14ac:dyDescent="0.25">
      <c r="A36" t="s">
        <v>764</v>
      </c>
      <c r="B36" t="s">
        <v>106</v>
      </c>
      <c r="C36" t="s">
        <v>107</v>
      </c>
      <c r="D36" t="s">
        <v>108</v>
      </c>
      <c r="E36" t="s">
        <v>108</v>
      </c>
    </row>
    <row r="37" spans="1:5" x14ac:dyDescent="0.25">
      <c r="A37" t="s">
        <v>109</v>
      </c>
      <c r="B37" t="s">
        <v>109</v>
      </c>
      <c r="C37" t="s">
        <v>110</v>
      </c>
      <c r="D37" t="s">
        <v>111</v>
      </c>
      <c r="E37" t="s">
        <v>111</v>
      </c>
    </row>
    <row r="38" spans="1:5" x14ac:dyDescent="0.25">
      <c r="A38" t="s">
        <v>765</v>
      </c>
      <c r="B38" t="s">
        <v>112</v>
      </c>
      <c r="C38" t="s">
        <v>113</v>
      </c>
      <c r="D38" t="s">
        <v>114</v>
      </c>
      <c r="E38" t="e">
        <v>#N/A</v>
      </c>
    </row>
    <row r="39" spans="1:5" x14ac:dyDescent="0.25">
      <c r="A39" t="s">
        <v>766</v>
      </c>
      <c r="B39" t="s">
        <v>115</v>
      </c>
      <c r="C39" t="s">
        <v>116</v>
      </c>
      <c r="D39" t="s">
        <v>117</v>
      </c>
      <c r="E39" t="e">
        <v>#N/A</v>
      </c>
    </row>
    <row r="40" spans="1:5" x14ac:dyDescent="0.25">
      <c r="A40" t="s">
        <v>767</v>
      </c>
      <c r="B40" t="s">
        <v>118</v>
      </c>
      <c r="C40" t="s">
        <v>119</v>
      </c>
      <c r="D40" t="s">
        <v>120</v>
      </c>
      <c r="E40" t="e">
        <v>#N/A</v>
      </c>
    </row>
    <row r="41" spans="1:5" x14ac:dyDescent="0.25">
      <c r="A41" t="s">
        <v>768</v>
      </c>
      <c r="B41" t="s">
        <v>121</v>
      </c>
      <c r="C41" t="s">
        <v>122</v>
      </c>
      <c r="D41" t="s">
        <v>123</v>
      </c>
      <c r="E41" t="e">
        <v>#N/A</v>
      </c>
    </row>
    <row r="42" spans="1:5" x14ac:dyDescent="0.25">
      <c r="A42" t="s">
        <v>294</v>
      </c>
      <c r="B42" t="s">
        <v>124</v>
      </c>
      <c r="C42" t="s">
        <v>125</v>
      </c>
      <c r="D42" t="s">
        <v>126</v>
      </c>
      <c r="E42" t="s">
        <v>126</v>
      </c>
    </row>
    <row r="43" spans="1:5" x14ac:dyDescent="0.25">
      <c r="A43" t="s">
        <v>769</v>
      </c>
      <c r="B43" t="s">
        <v>127</v>
      </c>
      <c r="C43" t="s">
        <v>129</v>
      </c>
      <c r="D43" t="s">
        <v>130</v>
      </c>
      <c r="E43" t="e">
        <v>#N/A</v>
      </c>
    </row>
    <row r="44" spans="1:5" x14ac:dyDescent="0.25">
      <c r="A44" t="s">
        <v>770</v>
      </c>
      <c r="B44" t="s">
        <v>131</v>
      </c>
      <c r="C44" t="s">
        <v>132</v>
      </c>
      <c r="D44" t="s">
        <v>133</v>
      </c>
      <c r="E44" t="e">
        <v>#N/A</v>
      </c>
    </row>
    <row r="45" spans="1:5" x14ac:dyDescent="0.25">
      <c r="A45" t="s">
        <v>771</v>
      </c>
      <c r="B45" t="s">
        <v>134</v>
      </c>
      <c r="C45" t="s">
        <v>135</v>
      </c>
      <c r="D45" t="s">
        <v>136</v>
      </c>
      <c r="E45" t="s">
        <v>136</v>
      </c>
    </row>
    <row r="46" spans="1:5" x14ac:dyDescent="0.25">
      <c r="A46" t="s">
        <v>772</v>
      </c>
      <c r="B46" t="s">
        <v>137</v>
      </c>
      <c r="C46" t="s">
        <v>138</v>
      </c>
      <c r="D46" t="s">
        <v>139</v>
      </c>
      <c r="E46" t="s">
        <v>139</v>
      </c>
    </row>
    <row r="47" spans="1:5" x14ac:dyDescent="0.25">
      <c r="A47" t="s">
        <v>1053</v>
      </c>
      <c r="B47" t="s">
        <v>140</v>
      </c>
      <c r="C47" t="s">
        <v>141</v>
      </c>
      <c r="D47" t="s">
        <v>142</v>
      </c>
      <c r="E47" t="s">
        <v>947</v>
      </c>
    </row>
    <row r="48" spans="1:5" x14ac:dyDescent="0.25">
      <c r="A48" t="s">
        <v>1084</v>
      </c>
      <c r="B48" t="s">
        <v>143</v>
      </c>
      <c r="C48" t="s">
        <v>144</v>
      </c>
      <c r="D48" t="s">
        <v>145</v>
      </c>
      <c r="E48" t="s">
        <v>947</v>
      </c>
    </row>
    <row r="49" spans="1:5" x14ac:dyDescent="0.25">
      <c r="A49" t="s">
        <v>773</v>
      </c>
      <c r="B49" t="s">
        <v>146</v>
      </c>
      <c r="C49" t="s">
        <v>148</v>
      </c>
      <c r="D49" t="s">
        <v>149</v>
      </c>
      <c r="E49" t="s">
        <v>149</v>
      </c>
    </row>
    <row r="50" spans="1:5" x14ac:dyDescent="0.25">
      <c r="A50" t="s">
        <v>774</v>
      </c>
      <c r="B50" t="s">
        <v>150</v>
      </c>
      <c r="C50" t="s">
        <v>151</v>
      </c>
      <c r="D50" t="s">
        <v>152</v>
      </c>
      <c r="E50" t="e">
        <v>#N/A</v>
      </c>
    </row>
    <row r="51" spans="1:5" x14ac:dyDescent="0.25">
      <c r="A51" t="s">
        <v>1077</v>
      </c>
      <c r="B51" t="s">
        <v>153</v>
      </c>
      <c r="C51" t="s">
        <v>154</v>
      </c>
      <c r="D51" t="s">
        <v>155</v>
      </c>
      <c r="E51" t="s">
        <v>155</v>
      </c>
    </row>
    <row r="52" spans="1:5" x14ac:dyDescent="0.25">
      <c r="A52" t="s">
        <v>775</v>
      </c>
      <c r="B52" t="s">
        <v>156</v>
      </c>
      <c r="C52" t="s">
        <v>157</v>
      </c>
      <c r="D52" t="s">
        <v>158</v>
      </c>
      <c r="E52" t="e">
        <v>#N/A</v>
      </c>
    </row>
    <row r="53" spans="1:5" x14ac:dyDescent="0.25">
      <c r="A53" t="s">
        <v>776</v>
      </c>
      <c r="B53" t="s">
        <v>159</v>
      </c>
      <c r="C53" t="s">
        <v>160</v>
      </c>
      <c r="D53" t="s">
        <v>161</v>
      </c>
      <c r="E53" t="s">
        <v>161</v>
      </c>
    </row>
    <row r="54" spans="1:5" x14ac:dyDescent="0.25">
      <c r="A54" t="s">
        <v>777</v>
      </c>
      <c r="B54" t="s">
        <v>162</v>
      </c>
      <c r="C54" t="s">
        <v>163</v>
      </c>
      <c r="D54" t="s">
        <v>164</v>
      </c>
      <c r="E54" t="s">
        <v>164</v>
      </c>
    </row>
    <row r="55" spans="1:5" x14ac:dyDescent="0.25">
      <c r="A55" t="s">
        <v>778</v>
      </c>
      <c r="B55" t="s">
        <v>165</v>
      </c>
      <c r="C55" t="s">
        <v>166</v>
      </c>
      <c r="D55" t="s">
        <v>167</v>
      </c>
      <c r="E55" t="s">
        <v>167</v>
      </c>
    </row>
    <row r="56" spans="1:5" x14ac:dyDescent="0.25">
      <c r="A56" t="s">
        <v>1078</v>
      </c>
      <c r="B56" t="s">
        <v>168</v>
      </c>
      <c r="C56" t="s">
        <v>169</v>
      </c>
      <c r="D56" t="s">
        <v>170</v>
      </c>
      <c r="E56" t="s">
        <v>170</v>
      </c>
    </row>
    <row r="57" spans="1:5" x14ac:dyDescent="0.25">
      <c r="A57" t="s">
        <v>211</v>
      </c>
      <c r="B57" t="s">
        <v>171</v>
      </c>
      <c r="C57" t="s">
        <v>172</v>
      </c>
      <c r="D57" t="s">
        <v>173</v>
      </c>
      <c r="E57" t="e">
        <v>#N/A</v>
      </c>
    </row>
    <row r="58" spans="1:5" x14ac:dyDescent="0.25">
      <c r="A58" t="s">
        <v>779</v>
      </c>
      <c r="B58" t="s">
        <v>174</v>
      </c>
      <c r="C58" t="s">
        <v>175</v>
      </c>
      <c r="D58" t="s">
        <v>176</v>
      </c>
      <c r="E58" t="s">
        <v>176</v>
      </c>
    </row>
    <row r="59" spans="1:5" x14ac:dyDescent="0.25">
      <c r="A59" t="s">
        <v>780</v>
      </c>
      <c r="B59" t="s">
        <v>177</v>
      </c>
      <c r="C59" t="s">
        <v>178</v>
      </c>
      <c r="D59" t="s">
        <v>179</v>
      </c>
      <c r="E59" t="s">
        <v>179</v>
      </c>
    </row>
    <row r="60" spans="1:5" x14ac:dyDescent="0.25">
      <c r="A60" t="s">
        <v>781</v>
      </c>
      <c r="B60" t="s">
        <v>180</v>
      </c>
      <c r="C60" t="s">
        <v>181</v>
      </c>
      <c r="D60" t="s">
        <v>182</v>
      </c>
      <c r="E60" t="s">
        <v>182</v>
      </c>
    </row>
    <row r="61" spans="1:5" x14ac:dyDescent="0.25">
      <c r="A61" t="s">
        <v>782</v>
      </c>
      <c r="B61" t="s">
        <v>183</v>
      </c>
      <c r="C61" t="s">
        <v>184</v>
      </c>
      <c r="D61" t="s">
        <v>185</v>
      </c>
      <c r="E61" t="s">
        <v>185</v>
      </c>
    </row>
    <row r="62" spans="1:5" x14ac:dyDescent="0.25">
      <c r="A62" t="s">
        <v>783</v>
      </c>
      <c r="B62" t="s">
        <v>186</v>
      </c>
      <c r="C62" t="s">
        <v>187</v>
      </c>
      <c r="D62" t="s">
        <v>188</v>
      </c>
      <c r="E62" t="s">
        <v>188</v>
      </c>
    </row>
    <row r="63" spans="1:5" x14ac:dyDescent="0.25">
      <c r="A63" t="s">
        <v>784</v>
      </c>
      <c r="B63" t="s">
        <v>189</v>
      </c>
      <c r="C63" t="s">
        <v>190</v>
      </c>
      <c r="D63" t="s">
        <v>191</v>
      </c>
      <c r="E63" t="s">
        <v>191</v>
      </c>
    </row>
    <row r="64" spans="1:5" x14ac:dyDescent="0.25">
      <c r="A64" t="s">
        <v>785</v>
      </c>
      <c r="B64" t="s">
        <v>192</v>
      </c>
      <c r="C64" t="s">
        <v>193</v>
      </c>
      <c r="D64" t="s">
        <v>194</v>
      </c>
      <c r="E64" t="e">
        <v>#N/A</v>
      </c>
    </row>
    <row r="65" spans="1:5" x14ac:dyDescent="0.25">
      <c r="A65" t="s">
        <v>786</v>
      </c>
      <c r="B65" t="s">
        <v>195</v>
      </c>
      <c r="C65" t="s">
        <v>196</v>
      </c>
      <c r="D65" t="s">
        <v>197</v>
      </c>
      <c r="E65" t="s">
        <v>197</v>
      </c>
    </row>
    <row r="66" spans="1:5" x14ac:dyDescent="0.25">
      <c r="A66" t="s">
        <v>787</v>
      </c>
      <c r="B66" t="s">
        <v>198</v>
      </c>
      <c r="C66" t="s">
        <v>199</v>
      </c>
      <c r="D66" t="s">
        <v>200</v>
      </c>
      <c r="E66" t="s">
        <v>200</v>
      </c>
    </row>
    <row r="67" spans="1:5" x14ac:dyDescent="0.25">
      <c r="A67" t="s">
        <v>788</v>
      </c>
      <c r="B67" t="s">
        <v>201</v>
      </c>
      <c r="C67" t="s">
        <v>202</v>
      </c>
      <c r="D67" t="s">
        <v>203</v>
      </c>
      <c r="E67" t="s">
        <v>203</v>
      </c>
    </row>
    <row r="68" spans="1:5" x14ac:dyDescent="0.25">
      <c r="A68" t="s">
        <v>789</v>
      </c>
      <c r="B68" t="s">
        <v>204</v>
      </c>
      <c r="C68" t="s">
        <v>205</v>
      </c>
      <c r="D68" t="s">
        <v>206</v>
      </c>
      <c r="E68" t="s">
        <v>206</v>
      </c>
    </row>
    <row r="69" spans="1:5" x14ac:dyDescent="0.25">
      <c r="A69" t="s">
        <v>790</v>
      </c>
      <c r="B69" t="s">
        <v>207</v>
      </c>
      <c r="C69" t="s">
        <v>208</v>
      </c>
      <c r="D69" t="s">
        <v>209</v>
      </c>
      <c r="E69" t="e">
        <v>#N/A</v>
      </c>
    </row>
    <row r="70" spans="1:5" x14ac:dyDescent="0.25">
      <c r="A70" t="s">
        <v>791</v>
      </c>
      <c r="B70" t="s">
        <v>210</v>
      </c>
      <c r="C70" t="s">
        <v>212</v>
      </c>
      <c r="D70" t="s">
        <v>213</v>
      </c>
      <c r="E70" t="s">
        <v>213</v>
      </c>
    </row>
    <row r="71" spans="1:5" x14ac:dyDescent="0.25">
      <c r="A71" t="s">
        <v>792</v>
      </c>
      <c r="B71" t="s">
        <v>214</v>
      </c>
      <c r="C71" t="s">
        <v>215</v>
      </c>
      <c r="D71" t="s">
        <v>216</v>
      </c>
      <c r="E71" t="e">
        <v>#N/A</v>
      </c>
    </row>
    <row r="72" spans="1:5" x14ac:dyDescent="0.25">
      <c r="A72" t="s">
        <v>3</v>
      </c>
      <c r="B72" t="s">
        <v>217</v>
      </c>
      <c r="C72" t="s">
        <v>218</v>
      </c>
      <c r="D72" t="s">
        <v>219</v>
      </c>
      <c r="E72" t="s">
        <v>219</v>
      </c>
    </row>
    <row r="73" spans="1:5" x14ac:dyDescent="0.25">
      <c r="A73" t="s">
        <v>224</v>
      </c>
      <c r="B73" t="s">
        <v>220</v>
      </c>
      <c r="C73" t="s">
        <v>221</v>
      </c>
      <c r="D73" t="s">
        <v>222</v>
      </c>
      <c r="E73" t="s">
        <v>222</v>
      </c>
    </row>
    <row r="74" spans="1:5" x14ac:dyDescent="0.25">
      <c r="A74" t="s">
        <v>793</v>
      </c>
      <c r="B74" t="s">
        <v>223</v>
      </c>
      <c r="C74" t="s">
        <v>225</v>
      </c>
      <c r="D74" t="s">
        <v>226</v>
      </c>
      <c r="E74" t="e">
        <v>#N/A</v>
      </c>
    </row>
    <row r="75" spans="1:5" x14ac:dyDescent="0.25">
      <c r="A75" t="s">
        <v>227</v>
      </c>
      <c r="B75" t="s">
        <v>227</v>
      </c>
      <c r="C75" t="s">
        <v>228</v>
      </c>
      <c r="D75" t="s">
        <v>229</v>
      </c>
      <c r="E75" t="e">
        <v>#N/A</v>
      </c>
    </row>
    <row r="76" spans="1:5" x14ac:dyDescent="0.25">
      <c r="A76" t="s">
        <v>794</v>
      </c>
      <c r="B76" t="s">
        <v>230</v>
      </c>
      <c r="C76" t="s">
        <v>231</v>
      </c>
      <c r="D76" t="s">
        <v>232</v>
      </c>
      <c r="E76" t="e">
        <v>#N/A</v>
      </c>
    </row>
    <row r="77" spans="1:5" x14ac:dyDescent="0.25">
      <c r="A77" t="s">
        <v>795</v>
      </c>
      <c r="B77" t="s">
        <v>233</v>
      </c>
      <c r="C77" t="s">
        <v>234</v>
      </c>
      <c r="D77" t="s">
        <v>235</v>
      </c>
      <c r="E77" t="s">
        <v>235</v>
      </c>
    </row>
    <row r="78" spans="1:5" x14ac:dyDescent="0.25">
      <c r="A78" t="s">
        <v>796</v>
      </c>
      <c r="B78" t="s">
        <v>236</v>
      </c>
      <c r="C78" t="s">
        <v>237</v>
      </c>
      <c r="D78" t="s">
        <v>238</v>
      </c>
      <c r="E78" t="e">
        <v>#N/A</v>
      </c>
    </row>
    <row r="79" spans="1:5" x14ac:dyDescent="0.25">
      <c r="A79" t="s">
        <v>239</v>
      </c>
      <c r="B79" t="s">
        <v>239</v>
      </c>
      <c r="C79" t="s">
        <v>240</v>
      </c>
      <c r="D79" t="s">
        <v>241</v>
      </c>
      <c r="E79" t="s">
        <v>241</v>
      </c>
    </row>
    <row r="80" spans="1:5" x14ac:dyDescent="0.25">
      <c r="A80" t="s">
        <v>797</v>
      </c>
      <c r="B80" t="s">
        <v>242</v>
      </c>
      <c r="C80" t="s">
        <v>243</v>
      </c>
      <c r="D80" t="s">
        <v>244</v>
      </c>
      <c r="E80" t="s">
        <v>957</v>
      </c>
    </row>
    <row r="81" spans="1:5" x14ac:dyDescent="0.25">
      <c r="A81" t="s">
        <v>1052</v>
      </c>
      <c r="B81" t="s">
        <v>242</v>
      </c>
      <c r="C81" t="s">
        <v>243</v>
      </c>
      <c r="D81" t="s">
        <v>244</v>
      </c>
      <c r="E81" t="s">
        <v>1083</v>
      </c>
    </row>
    <row r="82" spans="1:5" x14ac:dyDescent="0.25">
      <c r="A82" t="s">
        <v>798</v>
      </c>
      <c r="B82" t="s">
        <v>245</v>
      </c>
      <c r="C82" t="s">
        <v>246</v>
      </c>
      <c r="D82" t="s">
        <v>247</v>
      </c>
      <c r="E82" t="s">
        <v>247</v>
      </c>
    </row>
    <row r="83" spans="1:5" x14ac:dyDescent="0.25">
      <c r="A83" t="s">
        <v>248</v>
      </c>
      <c r="B83" t="s">
        <v>248</v>
      </c>
      <c r="C83" t="s">
        <v>249</v>
      </c>
      <c r="D83" t="s">
        <v>250</v>
      </c>
      <c r="E83" t="s">
        <v>250</v>
      </c>
    </row>
    <row r="84" spans="1:5" x14ac:dyDescent="0.25">
      <c r="A84" t="s">
        <v>799</v>
      </c>
      <c r="B84" t="s">
        <v>251</v>
      </c>
      <c r="C84" t="s">
        <v>252</v>
      </c>
      <c r="D84" t="s">
        <v>253</v>
      </c>
      <c r="E84" t="e">
        <v>#N/A</v>
      </c>
    </row>
    <row r="85" spans="1:5" x14ac:dyDescent="0.25">
      <c r="A85" t="s">
        <v>800</v>
      </c>
      <c r="B85" t="s">
        <v>254</v>
      </c>
      <c r="C85" t="s">
        <v>255</v>
      </c>
      <c r="D85" t="s">
        <v>256</v>
      </c>
      <c r="E85" t="e">
        <v>#N/A</v>
      </c>
    </row>
    <row r="86" spans="1:5" x14ac:dyDescent="0.25">
      <c r="A86" t="s">
        <v>257</v>
      </c>
      <c r="B86" t="s">
        <v>257</v>
      </c>
      <c r="C86" t="s">
        <v>258</v>
      </c>
      <c r="D86" t="s">
        <v>259</v>
      </c>
      <c r="E86" t="e">
        <v>#N/A</v>
      </c>
    </row>
    <row r="87" spans="1:5" x14ac:dyDescent="0.25">
      <c r="A87" t="s">
        <v>260</v>
      </c>
      <c r="B87" t="s">
        <v>260</v>
      </c>
      <c r="C87" t="s">
        <v>261</v>
      </c>
      <c r="D87" t="s">
        <v>262</v>
      </c>
      <c r="E87" t="e">
        <v>#N/A</v>
      </c>
    </row>
    <row r="88" spans="1:5" x14ac:dyDescent="0.25">
      <c r="A88" t="s">
        <v>801</v>
      </c>
      <c r="B88" t="s">
        <v>263</v>
      </c>
      <c r="C88" t="s">
        <v>264</v>
      </c>
      <c r="D88" t="s">
        <v>265</v>
      </c>
      <c r="E88" t="s">
        <v>265</v>
      </c>
    </row>
    <row r="89" spans="1:5" x14ac:dyDescent="0.25">
      <c r="A89" t="s">
        <v>802</v>
      </c>
      <c r="B89" t="s">
        <v>266</v>
      </c>
      <c r="C89" t="s">
        <v>267</v>
      </c>
      <c r="D89" t="s">
        <v>268</v>
      </c>
      <c r="E89" t="e">
        <v>#N/A</v>
      </c>
    </row>
    <row r="90" spans="1:5" x14ac:dyDescent="0.25">
      <c r="A90" t="s">
        <v>803</v>
      </c>
      <c r="B90" t="s">
        <v>269</v>
      </c>
      <c r="C90" t="s">
        <v>270</v>
      </c>
      <c r="D90" t="s">
        <v>271</v>
      </c>
      <c r="E90" t="e">
        <v>#N/A</v>
      </c>
    </row>
    <row r="91" spans="1:5" x14ac:dyDescent="0.25">
      <c r="A91" t="s">
        <v>804</v>
      </c>
      <c r="B91" t="s">
        <v>272</v>
      </c>
      <c r="C91" t="s">
        <v>273</v>
      </c>
      <c r="D91" t="s">
        <v>274</v>
      </c>
      <c r="E91" t="e">
        <v>#N/A</v>
      </c>
    </row>
    <row r="92" spans="1:5" x14ac:dyDescent="0.25">
      <c r="A92" t="s">
        <v>805</v>
      </c>
      <c r="B92" t="s">
        <v>275</v>
      </c>
      <c r="C92" t="s">
        <v>276</v>
      </c>
      <c r="D92" t="s">
        <v>277</v>
      </c>
      <c r="E92" t="s">
        <v>277</v>
      </c>
    </row>
    <row r="93" spans="1:5" x14ac:dyDescent="0.25">
      <c r="A93" t="s">
        <v>806</v>
      </c>
      <c r="B93" t="s">
        <v>278</v>
      </c>
      <c r="C93" t="s">
        <v>279</v>
      </c>
      <c r="D93" t="s">
        <v>280</v>
      </c>
      <c r="E93" t="s">
        <v>280</v>
      </c>
    </row>
    <row r="94" spans="1:5" x14ac:dyDescent="0.25">
      <c r="A94" t="s">
        <v>807</v>
      </c>
      <c r="B94" t="s">
        <v>281</v>
      </c>
      <c r="C94" t="s">
        <v>282</v>
      </c>
      <c r="D94" t="s">
        <v>283</v>
      </c>
      <c r="E94" t="e">
        <v>#N/A</v>
      </c>
    </row>
    <row r="95" spans="1:5" x14ac:dyDescent="0.25">
      <c r="A95" t="s">
        <v>808</v>
      </c>
      <c r="B95" t="s">
        <v>284</v>
      </c>
      <c r="C95" t="s">
        <v>285</v>
      </c>
      <c r="D95" t="s">
        <v>286</v>
      </c>
      <c r="E95" t="e">
        <v>#N/A</v>
      </c>
    </row>
    <row r="96" spans="1:5" x14ac:dyDescent="0.25">
      <c r="A96" t="s">
        <v>809</v>
      </c>
      <c r="B96" t="s">
        <v>287</v>
      </c>
      <c r="C96" t="s">
        <v>288</v>
      </c>
      <c r="D96" t="s">
        <v>289</v>
      </c>
      <c r="E96" t="e">
        <v>#N/A</v>
      </c>
    </row>
    <row r="97" spans="1:5" x14ac:dyDescent="0.25">
      <c r="A97" t="s">
        <v>810</v>
      </c>
      <c r="B97" t="s">
        <v>290</v>
      </c>
      <c r="C97" t="s">
        <v>291</v>
      </c>
      <c r="D97" t="s">
        <v>292</v>
      </c>
      <c r="E97" t="e">
        <v>#N/A</v>
      </c>
    </row>
    <row r="98" spans="1:5" x14ac:dyDescent="0.25">
      <c r="A98" t="s">
        <v>811</v>
      </c>
      <c r="B98" t="s">
        <v>293</v>
      </c>
      <c r="C98" t="s">
        <v>295</v>
      </c>
      <c r="D98" t="s">
        <v>296</v>
      </c>
      <c r="E98" t="s">
        <v>296</v>
      </c>
    </row>
    <row r="99" spans="1:5" x14ac:dyDescent="0.25">
      <c r="A99" t="s">
        <v>297</v>
      </c>
      <c r="B99" t="s">
        <v>297</v>
      </c>
      <c r="C99" t="s">
        <v>298</v>
      </c>
      <c r="D99" t="s">
        <v>299</v>
      </c>
      <c r="E99" t="s">
        <v>299</v>
      </c>
    </row>
    <row r="100" spans="1:5" x14ac:dyDescent="0.25">
      <c r="A100" t="s">
        <v>1037</v>
      </c>
      <c r="B100" t="s">
        <v>297</v>
      </c>
      <c r="C100" t="s">
        <v>298</v>
      </c>
      <c r="D100" t="s">
        <v>299</v>
      </c>
      <c r="E100" t="s">
        <v>1081</v>
      </c>
    </row>
    <row r="101" spans="1:5" x14ac:dyDescent="0.25">
      <c r="A101" t="s">
        <v>300</v>
      </c>
      <c r="B101" t="s">
        <v>300</v>
      </c>
      <c r="C101" t="s">
        <v>301</v>
      </c>
      <c r="D101" t="s">
        <v>302</v>
      </c>
      <c r="E101" t="s">
        <v>302</v>
      </c>
    </row>
    <row r="102" spans="1:5" x14ac:dyDescent="0.25">
      <c r="A102" t="s">
        <v>812</v>
      </c>
      <c r="B102" t="s">
        <v>303</v>
      </c>
      <c r="C102" t="s">
        <v>304</v>
      </c>
      <c r="D102" t="s">
        <v>305</v>
      </c>
      <c r="E102" t="s">
        <v>305</v>
      </c>
    </row>
    <row r="103" spans="1:5" x14ac:dyDescent="0.25">
      <c r="A103" t="s">
        <v>813</v>
      </c>
      <c r="B103" t="s">
        <v>306</v>
      </c>
      <c r="C103" t="s">
        <v>307</v>
      </c>
      <c r="D103" t="s">
        <v>308</v>
      </c>
      <c r="E103" t="s">
        <v>308</v>
      </c>
    </row>
    <row r="104" spans="1:5" x14ac:dyDescent="0.25">
      <c r="A104" t="s">
        <v>1051</v>
      </c>
      <c r="B104" t="s">
        <v>309</v>
      </c>
      <c r="C104" t="s">
        <v>310</v>
      </c>
      <c r="D104" t="s">
        <v>311</v>
      </c>
      <c r="E104" t="s">
        <v>311</v>
      </c>
    </row>
    <row r="105" spans="1:5" x14ac:dyDescent="0.25">
      <c r="A105" t="s">
        <v>814</v>
      </c>
      <c r="B105" t="s">
        <v>312</v>
      </c>
      <c r="C105" t="s">
        <v>313</v>
      </c>
      <c r="D105" t="s">
        <v>314</v>
      </c>
      <c r="E105" t="s">
        <v>314</v>
      </c>
    </row>
    <row r="106" spans="1:5" x14ac:dyDescent="0.25">
      <c r="A106" t="s">
        <v>315</v>
      </c>
      <c r="B106" t="s">
        <v>315</v>
      </c>
      <c r="C106" t="s">
        <v>316</v>
      </c>
      <c r="D106" t="s">
        <v>317</v>
      </c>
      <c r="E106" t="s">
        <v>317</v>
      </c>
    </row>
    <row r="107" spans="1:5" x14ac:dyDescent="0.25">
      <c r="A107" t="s">
        <v>815</v>
      </c>
      <c r="B107" t="s">
        <v>318</v>
      </c>
      <c r="C107" t="s">
        <v>319</v>
      </c>
      <c r="D107" t="s">
        <v>320</v>
      </c>
      <c r="E107" t="e">
        <v>#N/A</v>
      </c>
    </row>
    <row r="108" spans="1:5" x14ac:dyDescent="0.25">
      <c r="A108" t="s">
        <v>816</v>
      </c>
      <c r="B108" t="s">
        <v>321</v>
      </c>
      <c r="C108" t="s">
        <v>322</v>
      </c>
      <c r="D108" t="s">
        <v>323</v>
      </c>
      <c r="E108" t="s">
        <v>323</v>
      </c>
    </row>
    <row r="109" spans="1:5" x14ac:dyDescent="0.25">
      <c r="A109" t="s">
        <v>817</v>
      </c>
      <c r="B109" t="s">
        <v>324</v>
      </c>
      <c r="C109" t="s">
        <v>325</v>
      </c>
      <c r="D109" t="s">
        <v>326</v>
      </c>
      <c r="E109" t="s">
        <v>326</v>
      </c>
    </row>
    <row r="110" spans="1:5" x14ac:dyDescent="0.25">
      <c r="A110" t="s">
        <v>327</v>
      </c>
      <c r="B110" t="s">
        <v>327</v>
      </c>
      <c r="C110" t="s">
        <v>328</v>
      </c>
      <c r="D110" t="s">
        <v>329</v>
      </c>
      <c r="E110" t="s">
        <v>329</v>
      </c>
    </row>
    <row r="111" spans="1:5" x14ac:dyDescent="0.25">
      <c r="A111" t="s">
        <v>330</v>
      </c>
      <c r="B111" t="s">
        <v>330</v>
      </c>
      <c r="C111" t="s">
        <v>331</v>
      </c>
      <c r="D111" t="s">
        <v>332</v>
      </c>
      <c r="E111" t="s">
        <v>332</v>
      </c>
    </row>
    <row r="112" spans="1:5" x14ac:dyDescent="0.25">
      <c r="A112" t="s">
        <v>818</v>
      </c>
      <c r="B112" t="s">
        <v>333</v>
      </c>
      <c r="C112" t="s">
        <v>334</v>
      </c>
      <c r="D112" t="s">
        <v>335</v>
      </c>
      <c r="E112" t="e">
        <v>#N/A</v>
      </c>
    </row>
    <row r="113" spans="1:5" x14ac:dyDescent="0.25">
      <c r="A113" t="s">
        <v>819</v>
      </c>
      <c r="B113" t="s">
        <v>336</v>
      </c>
      <c r="C113" t="s">
        <v>337</v>
      </c>
      <c r="D113" t="s">
        <v>338</v>
      </c>
      <c r="E113" t="s">
        <v>338</v>
      </c>
    </row>
    <row r="114" spans="1:5" x14ac:dyDescent="0.25">
      <c r="A114" t="s">
        <v>820</v>
      </c>
      <c r="B114" t="s">
        <v>339</v>
      </c>
      <c r="C114" t="s">
        <v>340</v>
      </c>
      <c r="D114" t="s">
        <v>341</v>
      </c>
      <c r="E114" t="s">
        <v>341</v>
      </c>
    </row>
    <row r="115" spans="1:5" x14ac:dyDescent="0.25">
      <c r="A115" t="s">
        <v>821</v>
      </c>
      <c r="B115" t="s">
        <v>342</v>
      </c>
      <c r="C115" t="s">
        <v>343</v>
      </c>
      <c r="D115" t="s">
        <v>344</v>
      </c>
      <c r="E115" t="s">
        <v>344</v>
      </c>
    </row>
    <row r="116" spans="1:5" x14ac:dyDescent="0.25">
      <c r="A116" t="s">
        <v>822</v>
      </c>
      <c r="B116" t="s">
        <v>345</v>
      </c>
      <c r="C116" t="s">
        <v>346</v>
      </c>
      <c r="D116" t="s">
        <v>347</v>
      </c>
      <c r="E116" t="e">
        <v>#N/A</v>
      </c>
    </row>
    <row r="117" spans="1:5" x14ac:dyDescent="0.25">
      <c r="A117" t="s">
        <v>1055</v>
      </c>
      <c r="B117" t="s">
        <v>348</v>
      </c>
      <c r="C117" t="s">
        <v>349</v>
      </c>
      <c r="D117" t="s">
        <v>350</v>
      </c>
      <c r="E117" t="s">
        <v>350</v>
      </c>
    </row>
    <row r="118" spans="1:5" x14ac:dyDescent="0.25">
      <c r="A118" t="s">
        <v>1056</v>
      </c>
      <c r="B118" t="s">
        <v>351</v>
      </c>
      <c r="C118" t="s">
        <v>352</v>
      </c>
      <c r="D118" t="s">
        <v>353</v>
      </c>
      <c r="E118" t="s">
        <v>353</v>
      </c>
    </row>
    <row r="119" spans="1:5" x14ac:dyDescent="0.25">
      <c r="A119" t="s">
        <v>1085</v>
      </c>
      <c r="B119" t="s">
        <v>351</v>
      </c>
      <c r="C119" t="s">
        <v>352</v>
      </c>
      <c r="D119" t="s">
        <v>353</v>
      </c>
      <c r="E119" t="s">
        <v>353</v>
      </c>
    </row>
    <row r="120" spans="1:5" x14ac:dyDescent="0.25">
      <c r="A120" t="s">
        <v>823</v>
      </c>
      <c r="B120" t="s">
        <v>354</v>
      </c>
      <c r="C120" t="s">
        <v>355</v>
      </c>
      <c r="D120" t="s">
        <v>356</v>
      </c>
      <c r="E120" t="e">
        <v>#N/A</v>
      </c>
    </row>
    <row r="121" spans="1:5" x14ac:dyDescent="0.25">
      <c r="A121" t="s">
        <v>824</v>
      </c>
      <c r="B121" t="s">
        <v>357</v>
      </c>
      <c r="C121" t="s">
        <v>358</v>
      </c>
      <c r="D121" t="s">
        <v>359</v>
      </c>
      <c r="E121" t="s">
        <v>359</v>
      </c>
    </row>
    <row r="122" spans="1:5" x14ac:dyDescent="0.25">
      <c r="A122" t="s">
        <v>825</v>
      </c>
      <c r="B122" t="s">
        <v>360</v>
      </c>
      <c r="C122" t="s">
        <v>361</v>
      </c>
      <c r="D122" t="s">
        <v>362</v>
      </c>
      <c r="E122" t="s">
        <v>362</v>
      </c>
    </row>
    <row r="123" spans="1:5" x14ac:dyDescent="0.25">
      <c r="A123" t="s">
        <v>826</v>
      </c>
      <c r="B123" t="s">
        <v>363</v>
      </c>
      <c r="C123" t="s">
        <v>364</v>
      </c>
      <c r="D123" t="s">
        <v>365</v>
      </c>
      <c r="E123" t="s">
        <v>365</v>
      </c>
    </row>
    <row r="124" spans="1:5" x14ac:dyDescent="0.25">
      <c r="A124" t="s">
        <v>827</v>
      </c>
      <c r="B124" t="s">
        <v>366</v>
      </c>
      <c r="C124" t="s">
        <v>367</v>
      </c>
      <c r="D124" t="s">
        <v>368</v>
      </c>
      <c r="E124" t="s">
        <v>368</v>
      </c>
    </row>
    <row r="125" spans="1:5" x14ac:dyDescent="0.25">
      <c r="A125" t="s">
        <v>828</v>
      </c>
      <c r="B125" t="s">
        <v>369</v>
      </c>
      <c r="C125" t="s">
        <v>370</v>
      </c>
      <c r="D125" t="s">
        <v>371</v>
      </c>
      <c r="E125" t="e">
        <v>#N/A</v>
      </c>
    </row>
    <row r="126" spans="1:5" x14ac:dyDescent="0.25">
      <c r="A126" t="s">
        <v>829</v>
      </c>
      <c r="B126" t="s">
        <v>372</v>
      </c>
      <c r="C126" t="s">
        <v>373</v>
      </c>
      <c r="D126" t="s">
        <v>374</v>
      </c>
      <c r="E126" t="s">
        <v>374</v>
      </c>
    </row>
    <row r="127" spans="1:5" x14ac:dyDescent="0.25">
      <c r="A127" t="s">
        <v>830</v>
      </c>
      <c r="B127" t="s">
        <v>375</v>
      </c>
      <c r="C127" t="s">
        <v>376</v>
      </c>
      <c r="D127" t="s">
        <v>377</v>
      </c>
      <c r="E127" t="s">
        <v>377</v>
      </c>
    </row>
    <row r="128" spans="1:5" x14ac:dyDescent="0.25">
      <c r="A128" t="s">
        <v>831</v>
      </c>
      <c r="B128" t="s">
        <v>378</v>
      </c>
      <c r="C128" t="s">
        <v>379</v>
      </c>
      <c r="D128" t="s">
        <v>380</v>
      </c>
      <c r="E128" t="s">
        <v>380</v>
      </c>
    </row>
    <row r="129" spans="1:5" x14ac:dyDescent="0.25">
      <c r="A129" t="s">
        <v>832</v>
      </c>
      <c r="B129" t="s">
        <v>381</v>
      </c>
      <c r="C129" t="s">
        <v>382</v>
      </c>
      <c r="D129" t="s">
        <v>383</v>
      </c>
      <c r="E129" t="s">
        <v>383</v>
      </c>
    </row>
    <row r="130" spans="1:5" x14ac:dyDescent="0.25">
      <c r="A130" t="s">
        <v>833</v>
      </c>
      <c r="B130" t="s">
        <v>384</v>
      </c>
      <c r="C130" t="s">
        <v>385</v>
      </c>
      <c r="D130" t="s">
        <v>386</v>
      </c>
      <c r="E130" t="s">
        <v>386</v>
      </c>
    </row>
    <row r="131" spans="1:5" x14ac:dyDescent="0.25">
      <c r="A131" t="s">
        <v>834</v>
      </c>
      <c r="B131" t="s">
        <v>387</v>
      </c>
      <c r="C131" t="s">
        <v>388</v>
      </c>
      <c r="D131" t="s">
        <v>389</v>
      </c>
      <c r="E131" t="s">
        <v>389</v>
      </c>
    </row>
    <row r="132" spans="1:5" x14ac:dyDescent="0.25">
      <c r="A132" t="s">
        <v>835</v>
      </c>
      <c r="B132" t="s">
        <v>390</v>
      </c>
      <c r="C132" t="s">
        <v>391</v>
      </c>
      <c r="D132" t="s">
        <v>392</v>
      </c>
      <c r="E132" t="s">
        <v>392</v>
      </c>
    </row>
    <row r="133" spans="1:5" x14ac:dyDescent="0.25">
      <c r="A133" t="s">
        <v>836</v>
      </c>
      <c r="B133" t="s">
        <v>393</v>
      </c>
      <c r="C133" t="s">
        <v>394</v>
      </c>
      <c r="D133" t="s">
        <v>395</v>
      </c>
      <c r="E133" t="e">
        <v>#N/A</v>
      </c>
    </row>
    <row r="134" spans="1:5" x14ac:dyDescent="0.25">
      <c r="A134" t="s">
        <v>837</v>
      </c>
      <c r="B134" t="s">
        <v>396</v>
      </c>
      <c r="C134" t="s">
        <v>397</v>
      </c>
      <c r="D134" t="s">
        <v>398</v>
      </c>
      <c r="E134" t="s">
        <v>398</v>
      </c>
    </row>
    <row r="135" spans="1:5" x14ac:dyDescent="0.25">
      <c r="A135" t="s">
        <v>399</v>
      </c>
      <c r="B135" t="s">
        <v>399</v>
      </c>
      <c r="C135" t="s">
        <v>400</v>
      </c>
      <c r="D135" t="s">
        <v>401</v>
      </c>
      <c r="E135" t="e">
        <v>#N/A</v>
      </c>
    </row>
    <row r="136" spans="1:5" x14ac:dyDescent="0.25">
      <c r="A136" t="s">
        <v>838</v>
      </c>
      <c r="B136" t="s">
        <v>402</v>
      </c>
      <c r="C136" t="s">
        <v>403</v>
      </c>
      <c r="D136" t="s">
        <v>404</v>
      </c>
      <c r="E136" t="s">
        <v>404</v>
      </c>
    </row>
    <row r="137" spans="1:5" x14ac:dyDescent="0.25">
      <c r="A137" t="s">
        <v>839</v>
      </c>
      <c r="B137" t="s">
        <v>405</v>
      </c>
      <c r="C137" t="s">
        <v>406</v>
      </c>
      <c r="D137" t="s">
        <v>407</v>
      </c>
      <c r="E137" t="s">
        <v>407</v>
      </c>
    </row>
    <row r="138" spans="1:5" x14ac:dyDescent="0.25">
      <c r="A138" t="s">
        <v>840</v>
      </c>
      <c r="B138" t="s">
        <v>408</v>
      </c>
      <c r="C138" t="s">
        <v>409</v>
      </c>
      <c r="D138" t="s">
        <v>410</v>
      </c>
      <c r="E138" t="s">
        <v>410</v>
      </c>
    </row>
    <row r="139" spans="1:5" x14ac:dyDescent="0.25">
      <c r="A139" t="s">
        <v>841</v>
      </c>
      <c r="B139" t="s">
        <v>411</v>
      </c>
      <c r="C139" t="s">
        <v>412</v>
      </c>
      <c r="D139" t="s">
        <v>413</v>
      </c>
      <c r="E139" t="e">
        <v>#N/A</v>
      </c>
    </row>
    <row r="140" spans="1:5" x14ac:dyDescent="0.25">
      <c r="A140" t="s">
        <v>414</v>
      </c>
      <c r="B140" t="s">
        <v>414</v>
      </c>
      <c r="C140" t="s">
        <v>415</v>
      </c>
      <c r="D140" t="s">
        <v>416</v>
      </c>
      <c r="E140" t="e">
        <v>#N/A</v>
      </c>
    </row>
    <row r="141" spans="1:5" x14ac:dyDescent="0.25">
      <c r="A141" t="s">
        <v>842</v>
      </c>
      <c r="B141" t="s">
        <v>417</v>
      </c>
      <c r="C141" t="s">
        <v>418</v>
      </c>
      <c r="D141" t="s">
        <v>419</v>
      </c>
      <c r="E141" t="e">
        <v>#N/A</v>
      </c>
    </row>
    <row r="142" spans="1:5" x14ac:dyDescent="0.25">
      <c r="A142" t="s">
        <v>843</v>
      </c>
      <c r="B142" t="s">
        <v>420</v>
      </c>
      <c r="C142" t="s">
        <v>421</v>
      </c>
      <c r="D142" t="s">
        <v>422</v>
      </c>
      <c r="E142" t="e">
        <v>#N/A</v>
      </c>
    </row>
    <row r="143" spans="1:5" x14ac:dyDescent="0.25">
      <c r="A143" t="s">
        <v>844</v>
      </c>
      <c r="B143" t="s">
        <v>423</v>
      </c>
      <c r="C143" t="s">
        <v>424</v>
      </c>
      <c r="D143" t="s">
        <v>425</v>
      </c>
      <c r="E143" t="e">
        <v>#N/A</v>
      </c>
    </row>
    <row r="144" spans="1:5" x14ac:dyDescent="0.25">
      <c r="A144" t="s">
        <v>845</v>
      </c>
      <c r="B144" t="s">
        <v>426</v>
      </c>
      <c r="C144" t="s">
        <v>427</v>
      </c>
      <c r="D144" t="s">
        <v>428</v>
      </c>
      <c r="E144" t="s">
        <v>428</v>
      </c>
    </row>
    <row r="145" spans="1:5" x14ac:dyDescent="0.25">
      <c r="A145" t="s">
        <v>846</v>
      </c>
      <c r="B145" t="s">
        <v>429</v>
      </c>
      <c r="C145" t="s">
        <v>430</v>
      </c>
      <c r="D145" t="s">
        <v>431</v>
      </c>
      <c r="E145" t="e">
        <v>#N/A</v>
      </c>
    </row>
    <row r="146" spans="1:5" x14ac:dyDescent="0.25">
      <c r="A146" t="s">
        <v>847</v>
      </c>
      <c r="B146" t="s">
        <v>432</v>
      </c>
      <c r="C146" t="s">
        <v>433</v>
      </c>
      <c r="D146" t="s">
        <v>434</v>
      </c>
      <c r="E146" t="s">
        <v>434</v>
      </c>
    </row>
    <row r="147" spans="1:5" x14ac:dyDescent="0.25">
      <c r="A147" t="s">
        <v>848</v>
      </c>
      <c r="B147" t="s">
        <v>435</v>
      </c>
      <c r="C147" t="s">
        <v>436</v>
      </c>
      <c r="D147" t="s">
        <v>437</v>
      </c>
      <c r="E147" t="e">
        <v>#N/A</v>
      </c>
    </row>
    <row r="148" spans="1:5" x14ac:dyDescent="0.25">
      <c r="A148" t="s">
        <v>438</v>
      </c>
      <c r="B148" t="s">
        <v>438</v>
      </c>
      <c r="C148" t="s">
        <v>439</v>
      </c>
      <c r="D148" t="s">
        <v>440</v>
      </c>
      <c r="E148" t="s">
        <v>440</v>
      </c>
    </row>
    <row r="149" spans="1:5" x14ac:dyDescent="0.25">
      <c r="A149" t="s">
        <v>441</v>
      </c>
      <c r="B149" t="s">
        <v>441</v>
      </c>
      <c r="C149" t="s">
        <v>442</v>
      </c>
      <c r="D149" t="s">
        <v>443</v>
      </c>
      <c r="E149" t="s">
        <v>443</v>
      </c>
    </row>
    <row r="150" spans="1:5" x14ac:dyDescent="0.25">
      <c r="A150" t="s">
        <v>444</v>
      </c>
      <c r="B150" t="s">
        <v>444</v>
      </c>
      <c r="C150" t="s">
        <v>445</v>
      </c>
      <c r="D150" t="s">
        <v>446</v>
      </c>
      <c r="E150" t="s">
        <v>446</v>
      </c>
    </row>
    <row r="151" spans="1:5" x14ac:dyDescent="0.25">
      <c r="A151" t="s">
        <v>849</v>
      </c>
      <c r="B151" t="s">
        <v>447</v>
      </c>
      <c r="C151" t="s">
        <v>448</v>
      </c>
      <c r="D151" t="s">
        <v>449</v>
      </c>
      <c r="E151" t="s">
        <v>449</v>
      </c>
    </row>
    <row r="152" spans="1:5" x14ac:dyDescent="0.25">
      <c r="A152" t="s">
        <v>850</v>
      </c>
      <c r="B152" t="s">
        <v>450</v>
      </c>
      <c r="C152" t="s">
        <v>451</v>
      </c>
      <c r="D152" t="s">
        <v>452</v>
      </c>
      <c r="E152" t="s">
        <v>452</v>
      </c>
    </row>
    <row r="153" spans="1:5" x14ac:dyDescent="0.25">
      <c r="A153" t="s">
        <v>851</v>
      </c>
      <c r="B153" t="s">
        <v>453</v>
      </c>
      <c r="C153" t="s">
        <v>454</v>
      </c>
      <c r="D153" t="s">
        <v>455</v>
      </c>
      <c r="E153" t="e">
        <v>#N/A</v>
      </c>
    </row>
    <row r="154" spans="1:5" x14ac:dyDescent="0.25">
      <c r="A154" t="s">
        <v>852</v>
      </c>
      <c r="B154" t="s">
        <v>456</v>
      </c>
      <c r="C154" t="s">
        <v>457</v>
      </c>
      <c r="D154" t="s">
        <v>458</v>
      </c>
      <c r="E154" t="s">
        <v>458</v>
      </c>
    </row>
    <row r="155" spans="1:5" x14ac:dyDescent="0.25">
      <c r="A155" t="s">
        <v>853</v>
      </c>
      <c r="B155" t="s">
        <v>459</v>
      </c>
      <c r="C155" t="s">
        <v>460</v>
      </c>
      <c r="D155" t="s">
        <v>461</v>
      </c>
      <c r="E155" t="e">
        <v>#N/A</v>
      </c>
    </row>
    <row r="156" spans="1:5" x14ac:dyDescent="0.25">
      <c r="A156" t="s">
        <v>854</v>
      </c>
      <c r="B156" t="s">
        <v>462</v>
      </c>
      <c r="C156" t="s">
        <v>463</v>
      </c>
      <c r="D156" t="s">
        <v>464</v>
      </c>
      <c r="E156" t="e">
        <v>#N/A</v>
      </c>
    </row>
    <row r="157" spans="1:5" x14ac:dyDescent="0.25">
      <c r="A157" t="s">
        <v>33</v>
      </c>
      <c r="B157" t="s">
        <v>465</v>
      </c>
      <c r="C157" t="s">
        <v>466</v>
      </c>
      <c r="D157" t="s">
        <v>467</v>
      </c>
      <c r="E157" t="s">
        <v>973</v>
      </c>
    </row>
    <row r="158" spans="1:5" x14ac:dyDescent="0.25">
      <c r="A158" t="s">
        <v>468</v>
      </c>
      <c r="B158" t="s">
        <v>468</v>
      </c>
      <c r="C158" t="s">
        <v>469</v>
      </c>
      <c r="D158" t="s">
        <v>470</v>
      </c>
      <c r="E158" t="s">
        <v>470</v>
      </c>
    </row>
    <row r="159" spans="1:5" x14ac:dyDescent="0.25">
      <c r="A159" t="s">
        <v>147</v>
      </c>
      <c r="B159" t="s">
        <v>147</v>
      </c>
      <c r="C159" t="s">
        <v>471</v>
      </c>
      <c r="D159" t="s">
        <v>472</v>
      </c>
      <c r="E159" t="s">
        <v>472</v>
      </c>
    </row>
    <row r="160" spans="1:5" x14ac:dyDescent="0.25">
      <c r="A160" t="s">
        <v>855</v>
      </c>
      <c r="B160" t="s">
        <v>473</v>
      </c>
      <c r="C160" t="s">
        <v>474</v>
      </c>
      <c r="D160" t="s">
        <v>475</v>
      </c>
      <c r="E160" t="e">
        <v>#N/A</v>
      </c>
    </row>
    <row r="161" spans="1:5" x14ac:dyDescent="0.25">
      <c r="A161" t="s">
        <v>856</v>
      </c>
      <c r="B161" t="s">
        <v>476</v>
      </c>
      <c r="C161" t="s">
        <v>477</v>
      </c>
      <c r="D161" t="s">
        <v>478</v>
      </c>
      <c r="E161" t="e">
        <v>#N/A</v>
      </c>
    </row>
    <row r="162" spans="1:5" x14ac:dyDescent="0.25">
      <c r="A162" t="s">
        <v>857</v>
      </c>
      <c r="B162" t="s">
        <v>479</v>
      </c>
      <c r="C162" t="s">
        <v>480</v>
      </c>
      <c r="D162" t="s">
        <v>481</v>
      </c>
      <c r="E162" t="s">
        <v>481</v>
      </c>
    </row>
    <row r="163" spans="1:5" x14ac:dyDescent="0.25">
      <c r="A163" t="s">
        <v>482</v>
      </c>
      <c r="B163" t="s">
        <v>482</v>
      </c>
      <c r="C163" t="s">
        <v>483</v>
      </c>
      <c r="D163" t="s">
        <v>484</v>
      </c>
      <c r="E163" t="e">
        <v>#N/A</v>
      </c>
    </row>
    <row r="164" spans="1:5" x14ac:dyDescent="0.25">
      <c r="A164" t="s">
        <v>858</v>
      </c>
      <c r="B164" t="s">
        <v>485</v>
      </c>
      <c r="C164" t="s">
        <v>486</v>
      </c>
      <c r="D164" t="s">
        <v>487</v>
      </c>
      <c r="E164" t="e">
        <v>#N/A</v>
      </c>
    </row>
    <row r="165" spans="1:5" x14ac:dyDescent="0.25">
      <c r="A165" t="s">
        <v>859</v>
      </c>
      <c r="B165" t="s">
        <v>488</v>
      </c>
      <c r="C165" t="s">
        <v>489</v>
      </c>
      <c r="D165" t="s">
        <v>490</v>
      </c>
      <c r="E165" t="e">
        <v>#N/A</v>
      </c>
    </row>
    <row r="166" spans="1:5" x14ac:dyDescent="0.25">
      <c r="A166" t="s">
        <v>84</v>
      </c>
      <c r="B166" t="s">
        <v>491</v>
      </c>
      <c r="C166" t="s">
        <v>492</v>
      </c>
      <c r="D166" t="s">
        <v>493</v>
      </c>
      <c r="E166" t="s">
        <v>493</v>
      </c>
    </row>
    <row r="167" spans="1:5" x14ac:dyDescent="0.25">
      <c r="A167" t="s">
        <v>860</v>
      </c>
      <c r="B167" t="s">
        <v>494</v>
      </c>
      <c r="C167" t="s">
        <v>495</v>
      </c>
      <c r="D167" t="s">
        <v>496</v>
      </c>
      <c r="E167" t="e">
        <v>#N/A</v>
      </c>
    </row>
    <row r="168" spans="1:5" x14ac:dyDescent="0.25">
      <c r="A168" t="s">
        <v>861</v>
      </c>
      <c r="B168" t="s">
        <v>497</v>
      </c>
      <c r="C168" t="s">
        <v>498</v>
      </c>
      <c r="D168" t="s">
        <v>499</v>
      </c>
      <c r="E168" t="s">
        <v>499</v>
      </c>
    </row>
    <row r="169" spans="1:5" x14ac:dyDescent="0.25">
      <c r="A169" t="s">
        <v>862</v>
      </c>
      <c r="B169" t="s">
        <v>500</v>
      </c>
      <c r="C169" t="s">
        <v>501</v>
      </c>
      <c r="D169" t="s">
        <v>502</v>
      </c>
      <c r="E169" t="e">
        <v>#N/A</v>
      </c>
    </row>
    <row r="170" spans="1:5" x14ac:dyDescent="0.25">
      <c r="A170" t="s">
        <v>863</v>
      </c>
      <c r="B170" t="s">
        <v>503</v>
      </c>
      <c r="C170" t="s">
        <v>504</v>
      </c>
      <c r="D170" t="s">
        <v>505</v>
      </c>
      <c r="E170" t="e">
        <v>#N/A</v>
      </c>
    </row>
    <row r="171" spans="1:5" x14ac:dyDescent="0.25">
      <c r="A171" t="s">
        <v>864</v>
      </c>
      <c r="B171" t="s">
        <v>506</v>
      </c>
      <c r="C171" t="s">
        <v>507</v>
      </c>
      <c r="D171" t="s">
        <v>508</v>
      </c>
      <c r="E171" t="s">
        <v>508</v>
      </c>
    </row>
    <row r="172" spans="1:5" x14ac:dyDescent="0.25">
      <c r="A172" t="s">
        <v>865</v>
      </c>
      <c r="B172" t="s">
        <v>509</v>
      </c>
      <c r="C172" t="s">
        <v>510</v>
      </c>
      <c r="D172" t="s">
        <v>511</v>
      </c>
      <c r="E172" t="s">
        <v>511</v>
      </c>
    </row>
    <row r="173" spans="1:5" x14ac:dyDescent="0.25">
      <c r="A173" t="s">
        <v>866</v>
      </c>
      <c r="B173" t="s">
        <v>512</v>
      </c>
      <c r="C173" t="s">
        <v>513</v>
      </c>
      <c r="D173" t="s">
        <v>514</v>
      </c>
      <c r="E173" t="e">
        <v>#N/A</v>
      </c>
    </row>
    <row r="174" spans="1:5" x14ac:dyDescent="0.25">
      <c r="A174" t="s">
        <v>867</v>
      </c>
      <c r="B174" t="s">
        <v>515</v>
      </c>
      <c r="C174" t="s">
        <v>516</v>
      </c>
      <c r="D174" t="s">
        <v>517</v>
      </c>
      <c r="E174" t="s">
        <v>517</v>
      </c>
    </row>
    <row r="175" spans="1:5" x14ac:dyDescent="0.25">
      <c r="A175" t="s">
        <v>868</v>
      </c>
      <c r="B175" t="s">
        <v>518</v>
      </c>
      <c r="C175" t="s">
        <v>519</v>
      </c>
      <c r="D175" t="s">
        <v>520</v>
      </c>
      <c r="E175" t="e">
        <v>#N/A</v>
      </c>
    </row>
    <row r="176" spans="1:5" x14ac:dyDescent="0.25">
      <c r="A176" t="s">
        <v>869</v>
      </c>
      <c r="B176" t="s">
        <v>521</v>
      </c>
      <c r="C176" t="s">
        <v>522</v>
      </c>
      <c r="D176" t="s">
        <v>523</v>
      </c>
      <c r="E176" t="e">
        <v>#N/A</v>
      </c>
    </row>
    <row r="177" spans="1:5" x14ac:dyDescent="0.25">
      <c r="A177" t="s">
        <v>870</v>
      </c>
      <c r="B177" t="s">
        <v>524</v>
      </c>
      <c r="C177" t="s">
        <v>525</v>
      </c>
      <c r="D177" t="s">
        <v>526</v>
      </c>
      <c r="E177" t="s">
        <v>526</v>
      </c>
    </row>
    <row r="178" spans="1:5" x14ac:dyDescent="0.25">
      <c r="A178" t="s">
        <v>871</v>
      </c>
      <c r="B178" t="s">
        <v>527</v>
      </c>
      <c r="C178" t="s">
        <v>528</v>
      </c>
      <c r="D178" t="s">
        <v>529</v>
      </c>
      <c r="E178" t="e">
        <v>#N/A</v>
      </c>
    </row>
    <row r="179" spans="1:5" x14ac:dyDescent="0.25">
      <c r="A179" t="s">
        <v>872</v>
      </c>
      <c r="B179" t="s">
        <v>530</v>
      </c>
      <c r="C179" t="s">
        <v>531</v>
      </c>
      <c r="D179" t="s">
        <v>532</v>
      </c>
      <c r="E179" t="e">
        <v>#N/A</v>
      </c>
    </row>
    <row r="180" spans="1:5" x14ac:dyDescent="0.25">
      <c r="A180" t="s">
        <v>873</v>
      </c>
      <c r="B180" t="s">
        <v>533</v>
      </c>
      <c r="C180" t="s">
        <v>534</v>
      </c>
      <c r="D180" t="s">
        <v>535</v>
      </c>
      <c r="E180" t="s">
        <v>535</v>
      </c>
    </row>
    <row r="181" spans="1:5" x14ac:dyDescent="0.25">
      <c r="A181" t="s">
        <v>536</v>
      </c>
      <c r="B181" t="s">
        <v>536</v>
      </c>
      <c r="C181" t="s">
        <v>537</v>
      </c>
      <c r="D181" t="s">
        <v>538</v>
      </c>
      <c r="E181" t="e">
        <v>#N/A</v>
      </c>
    </row>
    <row r="182" spans="1:5" x14ac:dyDescent="0.25">
      <c r="A182" t="s">
        <v>539</v>
      </c>
      <c r="B182" t="s">
        <v>539</v>
      </c>
      <c r="C182" t="s">
        <v>540</v>
      </c>
      <c r="D182" t="s">
        <v>541</v>
      </c>
      <c r="E182" t="s">
        <v>541</v>
      </c>
    </row>
    <row r="183" spans="1:5" x14ac:dyDescent="0.25">
      <c r="A183" t="s">
        <v>1082</v>
      </c>
      <c r="B183" t="s">
        <v>542</v>
      </c>
      <c r="C183" t="s">
        <v>543</v>
      </c>
      <c r="D183" t="s">
        <v>544</v>
      </c>
      <c r="E183" t="s">
        <v>544</v>
      </c>
    </row>
    <row r="184" spans="1:5" x14ac:dyDescent="0.25">
      <c r="A184" t="s">
        <v>1054</v>
      </c>
      <c r="B184" t="s">
        <v>542</v>
      </c>
      <c r="C184" t="s">
        <v>543</v>
      </c>
      <c r="D184" t="s">
        <v>544</v>
      </c>
      <c r="E184" t="s">
        <v>544</v>
      </c>
    </row>
    <row r="185" spans="1:5" x14ac:dyDescent="0.25">
      <c r="A185" t="s">
        <v>874</v>
      </c>
      <c r="B185" t="s">
        <v>545</v>
      </c>
      <c r="C185" t="s">
        <v>546</v>
      </c>
      <c r="D185" t="s">
        <v>547</v>
      </c>
      <c r="E185" t="s">
        <v>547</v>
      </c>
    </row>
    <row r="186" spans="1:5" x14ac:dyDescent="0.25">
      <c r="A186" t="s">
        <v>875</v>
      </c>
      <c r="B186" t="s">
        <v>548</v>
      </c>
      <c r="C186" t="s">
        <v>549</v>
      </c>
      <c r="D186" t="s">
        <v>550</v>
      </c>
      <c r="E186" t="e">
        <v>#N/A</v>
      </c>
    </row>
    <row r="187" spans="1:5" x14ac:dyDescent="0.25">
      <c r="A187" t="s">
        <v>876</v>
      </c>
      <c r="B187" t="s">
        <v>551</v>
      </c>
      <c r="C187" t="s">
        <v>552</v>
      </c>
      <c r="D187" t="s">
        <v>553</v>
      </c>
      <c r="E187" t="e">
        <v>#N/A</v>
      </c>
    </row>
    <row r="188" spans="1:5" x14ac:dyDescent="0.25">
      <c r="A188" t="s">
        <v>554</v>
      </c>
      <c r="B188" t="s">
        <v>554</v>
      </c>
      <c r="C188" t="s">
        <v>555</v>
      </c>
      <c r="D188" t="s">
        <v>556</v>
      </c>
      <c r="E188" t="e">
        <v>#N/A</v>
      </c>
    </row>
    <row r="189" spans="1:5" x14ac:dyDescent="0.25">
      <c r="A189" t="s">
        <v>557</v>
      </c>
      <c r="B189" t="s">
        <v>557</v>
      </c>
      <c r="C189" t="s">
        <v>558</v>
      </c>
      <c r="D189" t="s">
        <v>559</v>
      </c>
      <c r="E189" t="s">
        <v>559</v>
      </c>
    </row>
    <row r="190" spans="1:5" x14ac:dyDescent="0.25">
      <c r="A190" t="s">
        <v>877</v>
      </c>
      <c r="B190" t="s">
        <v>560</v>
      </c>
      <c r="C190" t="s">
        <v>561</v>
      </c>
      <c r="D190" t="s">
        <v>562</v>
      </c>
      <c r="E190" t="e">
        <v>#N/A</v>
      </c>
    </row>
    <row r="191" spans="1:5" x14ac:dyDescent="0.25">
      <c r="A191" t="s">
        <v>878</v>
      </c>
      <c r="B191" t="s">
        <v>563</v>
      </c>
      <c r="C191" t="s">
        <v>564</v>
      </c>
      <c r="D191" t="s">
        <v>565</v>
      </c>
      <c r="E191" t="e">
        <v>#N/A</v>
      </c>
    </row>
    <row r="192" spans="1:5" x14ac:dyDescent="0.25">
      <c r="A192" t="s">
        <v>566</v>
      </c>
      <c r="B192" t="s">
        <v>566</v>
      </c>
      <c r="C192" t="s">
        <v>567</v>
      </c>
      <c r="D192" t="s">
        <v>568</v>
      </c>
      <c r="E192" t="e">
        <v>#N/A</v>
      </c>
    </row>
    <row r="193" spans="1:5" x14ac:dyDescent="0.25">
      <c r="A193" t="s">
        <v>879</v>
      </c>
      <c r="B193" t="s">
        <v>569</v>
      </c>
      <c r="C193" t="s">
        <v>570</v>
      </c>
      <c r="D193" t="s">
        <v>571</v>
      </c>
      <c r="E193" t="e">
        <v>#N/A</v>
      </c>
    </row>
    <row r="194" spans="1:5" x14ac:dyDescent="0.25">
      <c r="A194" t="s">
        <v>880</v>
      </c>
      <c r="B194" t="s">
        <v>572</v>
      </c>
      <c r="C194" t="s">
        <v>573</v>
      </c>
      <c r="D194" t="s">
        <v>574</v>
      </c>
      <c r="E194" t="s">
        <v>574</v>
      </c>
    </row>
    <row r="195" spans="1:5" x14ac:dyDescent="0.25">
      <c r="A195" t="s">
        <v>881</v>
      </c>
      <c r="B195" t="s">
        <v>575</v>
      </c>
      <c r="C195" t="s">
        <v>576</v>
      </c>
      <c r="D195" t="s">
        <v>577</v>
      </c>
      <c r="E195" t="s">
        <v>577</v>
      </c>
    </row>
    <row r="196" spans="1:5" x14ac:dyDescent="0.25">
      <c r="A196" t="s">
        <v>882</v>
      </c>
      <c r="B196" t="s">
        <v>578</v>
      </c>
      <c r="C196" t="s">
        <v>579</v>
      </c>
      <c r="D196" t="s">
        <v>580</v>
      </c>
      <c r="E196" t="e">
        <v>#N/A</v>
      </c>
    </row>
    <row r="197" spans="1:5" x14ac:dyDescent="0.25">
      <c r="A197" t="s">
        <v>883</v>
      </c>
      <c r="B197" t="s">
        <v>581</v>
      </c>
      <c r="C197" t="s">
        <v>582</v>
      </c>
      <c r="D197" t="s">
        <v>583</v>
      </c>
      <c r="E197" t="s">
        <v>583</v>
      </c>
    </row>
    <row r="198" spans="1:5" x14ac:dyDescent="0.25">
      <c r="A198" t="s">
        <v>884</v>
      </c>
      <c r="B198" t="s">
        <v>584</v>
      </c>
      <c r="C198" t="s">
        <v>585</v>
      </c>
      <c r="D198" t="s">
        <v>586</v>
      </c>
      <c r="E198" t="s">
        <v>586</v>
      </c>
    </row>
    <row r="199" spans="1:5" x14ac:dyDescent="0.25">
      <c r="A199" t="s">
        <v>885</v>
      </c>
      <c r="B199" t="s">
        <v>587</v>
      </c>
      <c r="C199" t="s">
        <v>588</v>
      </c>
      <c r="D199" t="s">
        <v>589</v>
      </c>
      <c r="E199" t="e">
        <v>#N/A</v>
      </c>
    </row>
    <row r="200" spans="1:5" x14ac:dyDescent="0.25">
      <c r="A200" t="s">
        <v>886</v>
      </c>
      <c r="B200" t="s">
        <v>590</v>
      </c>
      <c r="C200" t="s">
        <v>591</v>
      </c>
      <c r="D200" t="s">
        <v>592</v>
      </c>
      <c r="E200" t="s">
        <v>592</v>
      </c>
    </row>
    <row r="201" spans="1:5" x14ac:dyDescent="0.25">
      <c r="A201" t="s">
        <v>887</v>
      </c>
      <c r="B201" t="s">
        <v>593</v>
      </c>
      <c r="C201" t="s">
        <v>594</v>
      </c>
      <c r="D201" t="s">
        <v>595</v>
      </c>
      <c r="E201" t="e">
        <v>#N/A</v>
      </c>
    </row>
    <row r="202" spans="1:5" x14ac:dyDescent="0.25">
      <c r="A202" t="s">
        <v>888</v>
      </c>
      <c r="B202" t="s">
        <v>596</v>
      </c>
      <c r="C202" t="s">
        <v>597</v>
      </c>
      <c r="D202" t="s">
        <v>598</v>
      </c>
      <c r="E202" t="e">
        <v>#N/A</v>
      </c>
    </row>
    <row r="203" spans="1:5" x14ac:dyDescent="0.25">
      <c r="A203" t="s">
        <v>889</v>
      </c>
      <c r="B203" t="s">
        <v>599</v>
      </c>
      <c r="C203" t="s">
        <v>600</v>
      </c>
      <c r="D203" t="s">
        <v>601</v>
      </c>
      <c r="E203" t="s">
        <v>601</v>
      </c>
    </row>
    <row r="204" spans="1:5" x14ac:dyDescent="0.25">
      <c r="A204" t="s">
        <v>890</v>
      </c>
      <c r="B204" t="s">
        <v>602</v>
      </c>
      <c r="C204" t="s">
        <v>603</v>
      </c>
      <c r="D204" t="s">
        <v>604</v>
      </c>
      <c r="E204" t="s">
        <v>604</v>
      </c>
    </row>
    <row r="205" spans="1:5" x14ac:dyDescent="0.25">
      <c r="A205" t="s">
        <v>891</v>
      </c>
      <c r="B205" t="s">
        <v>605</v>
      </c>
      <c r="C205" t="s">
        <v>606</v>
      </c>
      <c r="D205" t="s">
        <v>607</v>
      </c>
      <c r="E205" t="e">
        <v>#N/A</v>
      </c>
    </row>
    <row r="206" spans="1:5" x14ac:dyDescent="0.25">
      <c r="A206" t="s">
        <v>892</v>
      </c>
      <c r="B206" t="s">
        <v>608</v>
      </c>
      <c r="C206" t="s">
        <v>609</v>
      </c>
      <c r="D206" t="s">
        <v>610</v>
      </c>
      <c r="E206" t="s">
        <v>610</v>
      </c>
    </row>
    <row r="207" spans="1:5" x14ac:dyDescent="0.25">
      <c r="A207" t="s">
        <v>893</v>
      </c>
      <c r="B207" t="s">
        <v>611</v>
      </c>
      <c r="C207" t="s">
        <v>612</v>
      </c>
      <c r="D207" t="s">
        <v>613</v>
      </c>
      <c r="E207" t="e">
        <v>#N/A</v>
      </c>
    </row>
    <row r="208" spans="1:5" x14ac:dyDescent="0.25">
      <c r="A208" t="s">
        <v>614</v>
      </c>
      <c r="B208" t="s">
        <v>614</v>
      </c>
      <c r="C208" t="s">
        <v>615</v>
      </c>
      <c r="D208" t="s">
        <v>616</v>
      </c>
      <c r="E208" t="e">
        <v>#N/A</v>
      </c>
    </row>
    <row r="209" spans="1:5" x14ac:dyDescent="0.25">
      <c r="A209" t="s">
        <v>894</v>
      </c>
      <c r="B209" t="s">
        <v>617</v>
      </c>
      <c r="C209" t="s">
        <v>618</v>
      </c>
      <c r="D209" t="s">
        <v>619</v>
      </c>
      <c r="E209" t="s">
        <v>619</v>
      </c>
    </row>
    <row r="210" spans="1:5" x14ac:dyDescent="0.25">
      <c r="A210" t="s">
        <v>895</v>
      </c>
      <c r="B210" t="s">
        <v>620</v>
      </c>
      <c r="C210" t="s">
        <v>621</v>
      </c>
      <c r="D210" t="s">
        <v>622</v>
      </c>
      <c r="E210" t="s">
        <v>622</v>
      </c>
    </row>
    <row r="211" spans="1:5" x14ac:dyDescent="0.25">
      <c r="A211" t="s">
        <v>896</v>
      </c>
      <c r="B211" t="s">
        <v>623</v>
      </c>
      <c r="C211" t="s">
        <v>624</v>
      </c>
      <c r="D211" t="s">
        <v>625</v>
      </c>
      <c r="E211" t="e">
        <v>#N/A</v>
      </c>
    </row>
    <row r="212" spans="1:5" x14ac:dyDescent="0.25">
      <c r="A212" t="s">
        <v>897</v>
      </c>
      <c r="B212" t="s">
        <v>626</v>
      </c>
      <c r="C212" t="s">
        <v>627</v>
      </c>
      <c r="D212" t="s">
        <v>628</v>
      </c>
      <c r="E212" t="s">
        <v>628</v>
      </c>
    </row>
    <row r="213" spans="1:5" x14ac:dyDescent="0.25">
      <c r="A213" t="s">
        <v>898</v>
      </c>
      <c r="B213" t="s">
        <v>629</v>
      </c>
      <c r="C213" t="s">
        <v>630</v>
      </c>
      <c r="D213" t="s">
        <v>631</v>
      </c>
      <c r="E213" t="s">
        <v>631</v>
      </c>
    </row>
    <row r="214" spans="1:5" x14ac:dyDescent="0.25">
      <c r="A214" t="s">
        <v>899</v>
      </c>
      <c r="B214" t="s">
        <v>632</v>
      </c>
      <c r="C214" t="s">
        <v>633</v>
      </c>
      <c r="D214" t="s">
        <v>634</v>
      </c>
      <c r="E214" t="e">
        <v>#N/A</v>
      </c>
    </row>
    <row r="215" spans="1:5" x14ac:dyDescent="0.25">
      <c r="A215" t="s">
        <v>900</v>
      </c>
      <c r="B215" t="s">
        <v>635</v>
      </c>
      <c r="C215" t="s">
        <v>636</v>
      </c>
      <c r="D215" t="s">
        <v>637</v>
      </c>
      <c r="E215" t="s">
        <v>637</v>
      </c>
    </row>
    <row r="216" spans="1:5" x14ac:dyDescent="0.25">
      <c r="A216" t="s">
        <v>901</v>
      </c>
      <c r="B216" t="s">
        <v>638</v>
      </c>
      <c r="C216" t="s">
        <v>639</v>
      </c>
      <c r="D216" t="s">
        <v>640</v>
      </c>
      <c r="E216" t="e">
        <v>#N/A</v>
      </c>
    </row>
    <row r="217" spans="1:5" x14ac:dyDescent="0.25">
      <c r="A217" t="s">
        <v>902</v>
      </c>
      <c r="B217" t="s">
        <v>641</v>
      </c>
      <c r="C217" t="s">
        <v>642</v>
      </c>
      <c r="D217" t="s">
        <v>643</v>
      </c>
      <c r="E217" t="s">
        <v>643</v>
      </c>
    </row>
    <row r="218" spans="1:5" x14ac:dyDescent="0.25">
      <c r="A218" t="s">
        <v>903</v>
      </c>
      <c r="B218" t="s">
        <v>644</v>
      </c>
      <c r="C218" t="s">
        <v>645</v>
      </c>
      <c r="D218" t="s">
        <v>646</v>
      </c>
      <c r="E218" t="e">
        <v>#N/A</v>
      </c>
    </row>
    <row r="219" spans="1:5" x14ac:dyDescent="0.25">
      <c r="A219" t="s">
        <v>904</v>
      </c>
      <c r="B219" t="s">
        <v>647</v>
      </c>
      <c r="C219" t="s">
        <v>648</v>
      </c>
      <c r="D219" t="s">
        <v>649</v>
      </c>
      <c r="E219" t="s">
        <v>649</v>
      </c>
    </row>
    <row r="220" spans="1:5" x14ac:dyDescent="0.25">
      <c r="A220" t="s">
        <v>905</v>
      </c>
      <c r="B220" t="s">
        <v>650</v>
      </c>
      <c r="C220" t="s">
        <v>651</v>
      </c>
      <c r="D220" t="s">
        <v>652</v>
      </c>
      <c r="E220" t="e">
        <v>#N/A</v>
      </c>
    </row>
    <row r="221" spans="1:5" x14ac:dyDescent="0.25">
      <c r="A221" t="s">
        <v>906</v>
      </c>
      <c r="B221" t="s">
        <v>653</v>
      </c>
      <c r="C221" t="s">
        <v>654</v>
      </c>
      <c r="D221" t="s">
        <v>655</v>
      </c>
      <c r="E221" t="s">
        <v>655</v>
      </c>
    </row>
    <row r="222" spans="1:5" x14ac:dyDescent="0.25">
      <c r="A222" t="s">
        <v>907</v>
      </c>
      <c r="B222" t="s">
        <v>656</v>
      </c>
      <c r="C222" t="s">
        <v>657</v>
      </c>
      <c r="D222" t="s">
        <v>658</v>
      </c>
      <c r="E222" t="s">
        <v>658</v>
      </c>
    </row>
    <row r="223" spans="1:5" x14ac:dyDescent="0.25">
      <c r="A223" t="s">
        <v>908</v>
      </c>
      <c r="B223" t="s">
        <v>659</v>
      </c>
      <c r="C223" t="s">
        <v>660</v>
      </c>
      <c r="D223" t="s">
        <v>661</v>
      </c>
      <c r="E223" t="e">
        <v>#N/A</v>
      </c>
    </row>
    <row r="224" spans="1:5" x14ac:dyDescent="0.25">
      <c r="A224" t="s">
        <v>662</v>
      </c>
      <c r="B224" t="s">
        <v>662</v>
      </c>
      <c r="C224" t="s">
        <v>663</v>
      </c>
      <c r="D224" t="s">
        <v>664</v>
      </c>
      <c r="E224" t="e">
        <v>#N/A</v>
      </c>
    </row>
    <row r="225" spans="1:5" x14ac:dyDescent="0.25">
      <c r="A225" t="s">
        <v>909</v>
      </c>
      <c r="B225" t="s">
        <v>665</v>
      </c>
      <c r="C225" t="s">
        <v>666</v>
      </c>
      <c r="D225" t="s">
        <v>667</v>
      </c>
      <c r="E225" t="e">
        <v>#N/A</v>
      </c>
    </row>
    <row r="226" spans="1:5" x14ac:dyDescent="0.25">
      <c r="A226" t="s">
        <v>910</v>
      </c>
      <c r="B226" t="s">
        <v>668</v>
      </c>
      <c r="C226" t="s">
        <v>669</v>
      </c>
      <c r="D226" t="s">
        <v>670</v>
      </c>
      <c r="E226" t="e">
        <v>#N/A</v>
      </c>
    </row>
    <row r="227" spans="1:5" x14ac:dyDescent="0.25">
      <c r="A227" t="s">
        <v>911</v>
      </c>
      <c r="B227" t="s">
        <v>671</v>
      </c>
      <c r="C227" t="s">
        <v>672</v>
      </c>
      <c r="D227" t="s">
        <v>673</v>
      </c>
      <c r="E227" t="s">
        <v>673</v>
      </c>
    </row>
    <row r="228" spans="1:5" x14ac:dyDescent="0.25">
      <c r="A228" t="s">
        <v>912</v>
      </c>
      <c r="B228" t="s">
        <v>674</v>
      </c>
      <c r="C228" t="s">
        <v>675</v>
      </c>
      <c r="D228" t="s">
        <v>676</v>
      </c>
      <c r="E228" t="s">
        <v>676</v>
      </c>
    </row>
    <row r="229" spans="1:5" x14ac:dyDescent="0.25">
      <c r="A229" t="s">
        <v>677</v>
      </c>
      <c r="B229" t="s">
        <v>677</v>
      </c>
      <c r="C229" t="s">
        <v>678</v>
      </c>
      <c r="D229" t="s">
        <v>679</v>
      </c>
      <c r="E229" t="s">
        <v>679</v>
      </c>
    </row>
    <row r="230" spans="1:5" x14ac:dyDescent="0.25">
      <c r="A230" t="s">
        <v>913</v>
      </c>
      <c r="B230" t="s">
        <v>680</v>
      </c>
      <c r="C230" t="s">
        <v>681</v>
      </c>
      <c r="D230" t="s">
        <v>682</v>
      </c>
      <c r="E230" t="s">
        <v>682</v>
      </c>
    </row>
    <row r="231" spans="1:5" x14ac:dyDescent="0.25">
      <c r="A231" t="s">
        <v>683</v>
      </c>
      <c r="B231" t="s">
        <v>683</v>
      </c>
      <c r="C231" t="s">
        <v>684</v>
      </c>
      <c r="D231" t="s">
        <v>685</v>
      </c>
      <c r="E231" t="e">
        <v>#N/A</v>
      </c>
    </row>
    <row r="232" spans="1:5" x14ac:dyDescent="0.25">
      <c r="A232" t="s">
        <v>914</v>
      </c>
      <c r="B232" t="s">
        <v>686</v>
      </c>
      <c r="C232" t="s">
        <v>687</v>
      </c>
      <c r="D232" t="s">
        <v>688</v>
      </c>
      <c r="E232" t="s">
        <v>688</v>
      </c>
    </row>
    <row r="233" spans="1:5" x14ac:dyDescent="0.25">
      <c r="A233" t="s">
        <v>689</v>
      </c>
      <c r="B233" t="s">
        <v>689</v>
      </c>
      <c r="C233" t="s">
        <v>690</v>
      </c>
      <c r="D233" t="s">
        <v>691</v>
      </c>
      <c r="E233" t="s">
        <v>691</v>
      </c>
    </row>
    <row r="234" spans="1:5" x14ac:dyDescent="0.25">
      <c r="A234" t="s">
        <v>1079</v>
      </c>
      <c r="B234" t="s">
        <v>692</v>
      </c>
      <c r="C234" t="s">
        <v>693</v>
      </c>
      <c r="D234" t="s">
        <v>694</v>
      </c>
      <c r="E234" t="s">
        <v>999</v>
      </c>
    </row>
    <row r="235" spans="1:5" x14ac:dyDescent="0.25">
      <c r="A235" t="s">
        <v>1021</v>
      </c>
      <c r="B235" t="s">
        <v>1080</v>
      </c>
      <c r="C235" t="s">
        <v>695</v>
      </c>
      <c r="D235" t="s">
        <v>696</v>
      </c>
      <c r="E235" t="s">
        <v>953</v>
      </c>
    </row>
    <row r="236" spans="1:5" x14ac:dyDescent="0.25">
      <c r="A236" t="s">
        <v>1026</v>
      </c>
      <c r="B236" t="s">
        <v>1080</v>
      </c>
      <c r="E236" t="s">
        <v>987</v>
      </c>
    </row>
    <row r="237" spans="1:5" x14ac:dyDescent="0.25">
      <c r="A237" t="s">
        <v>915</v>
      </c>
      <c r="B237" t="s">
        <v>697</v>
      </c>
      <c r="C237" t="s">
        <v>698</v>
      </c>
      <c r="D237" t="s">
        <v>699</v>
      </c>
      <c r="E237" t="e">
        <v>#N/A</v>
      </c>
    </row>
    <row r="238" spans="1:5" x14ac:dyDescent="0.25">
      <c r="A238" t="s">
        <v>11</v>
      </c>
      <c r="B238" t="s">
        <v>700</v>
      </c>
      <c r="C238" t="s">
        <v>701</v>
      </c>
      <c r="D238" t="s">
        <v>702</v>
      </c>
      <c r="E238" t="s">
        <v>702</v>
      </c>
    </row>
    <row r="239" spans="1:5" x14ac:dyDescent="0.25">
      <c r="A239" t="s">
        <v>916</v>
      </c>
      <c r="B239" t="s">
        <v>703</v>
      </c>
      <c r="C239" t="s">
        <v>704</v>
      </c>
      <c r="D239" t="s">
        <v>705</v>
      </c>
      <c r="E239" t="e">
        <v>#N/A</v>
      </c>
    </row>
    <row r="240" spans="1:5" x14ac:dyDescent="0.25">
      <c r="A240" t="s">
        <v>917</v>
      </c>
      <c r="B240" t="s">
        <v>706</v>
      </c>
      <c r="C240" t="s">
        <v>707</v>
      </c>
      <c r="D240" t="s">
        <v>708</v>
      </c>
      <c r="E240" t="s">
        <v>708</v>
      </c>
    </row>
    <row r="241" spans="1:5" x14ac:dyDescent="0.25">
      <c r="A241" t="s">
        <v>918</v>
      </c>
      <c r="B241" t="s">
        <v>709</v>
      </c>
      <c r="C241" t="s">
        <v>710</v>
      </c>
      <c r="D241" t="s">
        <v>711</v>
      </c>
      <c r="E241" t="e">
        <v>#N/A</v>
      </c>
    </row>
    <row r="242" spans="1:5" x14ac:dyDescent="0.25">
      <c r="A242" t="s">
        <v>919</v>
      </c>
      <c r="B242" t="s">
        <v>712</v>
      </c>
      <c r="C242" t="s">
        <v>713</v>
      </c>
      <c r="D242" t="s">
        <v>714</v>
      </c>
      <c r="E242" t="s">
        <v>714</v>
      </c>
    </row>
    <row r="243" spans="1:5" x14ac:dyDescent="0.25">
      <c r="A243" t="s">
        <v>920</v>
      </c>
      <c r="B243" t="s">
        <v>715</v>
      </c>
      <c r="C243" t="s">
        <v>716</v>
      </c>
      <c r="D243" t="s">
        <v>717</v>
      </c>
      <c r="E243" t="e">
        <v>#N/A</v>
      </c>
    </row>
    <row r="244" spans="1:5" x14ac:dyDescent="0.25">
      <c r="A244" t="s">
        <v>921</v>
      </c>
      <c r="B244" t="s">
        <v>718</v>
      </c>
      <c r="C244" t="s">
        <v>719</v>
      </c>
      <c r="D244" t="s">
        <v>720</v>
      </c>
      <c r="E244" t="s">
        <v>720</v>
      </c>
    </row>
    <row r="245" spans="1:5" x14ac:dyDescent="0.25">
      <c r="A245" t="s">
        <v>922</v>
      </c>
      <c r="B245" t="s">
        <v>721</v>
      </c>
      <c r="C245" t="s">
        <v>722</v>
      </c>
      <c r="D245" t="s">
        <v>723</v>
      </c>
      <c r="E245" t="s">
        <v>723</v>
      </c>
    </row>
    <row r="246" spans="1:5" x14ac:dyDescent="0.25">
      <c r="A246" t="s">
        <v>923</v>
      </c>
      <c r="B246" t="s">
        <v>724</v>
      </c>
      <c r="C246" t="s">
        <v>725</v>
      </c>
      <c r="D246" t="s">
        <v>726</v>
      </c>
      <c r="E246" t="e">
        <v>#N/A</v>
      </c>
    </row>
    <row r="247" spans="1:5" x14ac:dyDescent="0.25">
      <c r="A247" t="s">
        <v>924</v>
      </c>
      <c r="B247" t="s">
        <v>727</v>
      </c>
      <c r="C247" t="s">
        <v>728</v>
      </c>
      <c r="D247" t="s">
        <v>729</v>
      </c>
      <c r="E247" t="e">
        <v>#N/A</v>
      </c>
    </row>
    <row r="248" spans="1:5" x14ac:dyDescent="0.25">
      <c r="A248" t="s">
        <v>925</v>
      </c>
      <c r="B248" t="s">
        <v>730</v>
      </c>
      <c r="C248" t="s">
        <v>731</v>
      </c>
      <c r="D248" t="s">
        <v>732</v>
      </c>
      <c r="E248" t="s">
        <v>732</v>
      </c>
    </row>
    <row r="249" spans="1:5" x14ac:dyDescent="0.25">
      <c r="A249" t="s">
        <v>926</v>
      </c>
      <c r="B249" t="s">
        <v>733</v>
      </c>
      <c r="C249" t="s">
        <v>734</v>
      </c>
      <c r="D249" t="s">
        <v>735</v>
      </c>
      <c r="E249" t="e">
        <v>#N/A</v>
      </c>
    </row>
    <row r="250" spans="1:5" x14ac:dyDescent="0.25">
      <c r="A250" t="s">
        <v>927</v>
      </c>
      <c r="B250" t="s">
        <v>736</v>
      </c>
      <c r="C250" t="s">
        <v>737</v>
      </c>
      <c r="D250" t="s">
        <v>738</v>
      </c>
      <c r="E250" t="e">
        <v>#N/A</v>
      </c>
    </row>
    <row r="251" spans="1:5" x14ac:dyDescent="0.25">
      <c r="A251" t="s">
        <v>1033</v>
      </c>
      <c r="E251" t="s">
        <v>976</v>
      </c>
    </row>
  </sheetData>
  <autoFilter ref="A1:D1" xr:uid="{00000000-0009-0000-0000-000000000000}"/>
  <conditionalFormatting sqref="A1:E1048576">
    <cfRule type="expression" dxfId="10" priority="1">
      <formula>CELL("row")=ROW()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N570"/>
  <sheetViews>
    <sheetView workbookViewId="0">
      <selection activeCell="M2" sqref="M2"/>
    </sheetView>
  </sheetViews>
  <sheetFormatPr defaultRowHeight="15" x14ac:dyDescent="0.25"/>
  <cols>
    <col min="2" max="2" width="5.7109375" bestFit="1" customWidth="1"/>
    <col min="3" max="3" width="11.42578125" bestFit="1" customWidth="1"/>
    <col min="4" max="4" width="5.7109375" bestFit="1" customWidth="1"/>
    <col min="5" max="5" width="22.42578125" bestFit="1" customWidth="1"/>
    <col min="13" max="13" width="22.42578125" bestFit="1" customWidth="1"/>
  </cols>
  <sheetData>
    <row r="1" spans="2:14" x14ac:dyDescent="0.25">
      <c r="B1" s="2" t="s">
        <v>1009</v>
      </c>
      <c r="C1" s="2" t="s">
        <v>1010</v>
      </c>
      <c r="D1" s="2" t="s">
        <v>1011</v>
      </c>
      <c r="E1" s="2" t="s">
        <v>1012</v>
      </c>
      <c r="M1" t="s">
        <v>1012</v>
      </c>
    </row>
    <row r="2" spans="2:14" x14ac:dyDescent="0.25">
      <c r="B2">
        <v>2014</v>
      </c>
      <c r="C2" t="s">
        <v>1013</v>
      </c>
      <c r="D2" t="s">
        <v>1014</v>
      </c>
      <c r="E2" t="s">
        <v>760</v>
      </c>
      <c r="F2" t="str">
        <f>VLOOKUP(E2,FifaCountryCode!A:B,2,FALSE)</f>
        <v>BRA</v>
      </c>
      <c r="M2" t="s">
        <v>760</v>
      </c>
      <c r="N2" t="str">
        <f>VLOOKUP(M2,FifaCountryCode!A:B,2,FALSE)</f>
        <v>BRA</v>
      </c>
    </row>
    <row r="3" spans="2:14" x14ac:dyDescent="0.25">
      <c r="B3">
        <v>2010</v>
      </c>
      <c r="C3" t="s">
        <v>1015</v>
      </c>
      <c r="E3" t="s">
        <v>33</v>
      </c>
      <c r="F3" t="str">
        <f>VLOOKUP(E3,FifaCountryCode!A:B,2,FALSE)</f>
        <v>NED</v>
      </c>
      <c r="M3" t="s">
        <v>33</v>
      </c>
      <c r="N3" t="str">
        <f>VLOOKUP(M3,FifaCountryCode!A:B,2,FALSE)</f>
        <v>NED</v>
      </c>
    </row>
    <row r="4" spans="2:14" x14ac:dyDescent="0.25">
      <c r="B4">
        <v>2010</v>
      </c>
      <c r="C4" t="s">
        <v>1016</v>
      </c>
      <c r="D4" t="s">
        <v>1017</v>
      </c>
      <c r="E4" t="s">
        <v>768</v>
      </c>
      <c r="F4" t="str">
        <f>VLOOKUP(E4,FifaCountryCode!A:B,2,FALSE)</f>
        <v>CHI</v>
      </c>
      <c r="M4" t="s">
        <v>768</v>
      </c>
      <c r="N4" t="str">
        <f>VLOOKUP(M4,FifaCountryCode!A:B,2,FALSE)</f>
        <v>CHI</v>
      </c>
    </row>
    <row r="5" spans="2:14" x14ac:dyDescent="0.25">
      <c r="B5">
        <v>2006</v>
      </c>
      <c r="C5" t="s">
        <v>1016</v>
      </c>
      <c r="D5" t="s">
        <v>1017</v>
      </c>
      <c r="E5" t="s">
        <v>895</v>
      </c>
      <c r="F5" t="str">
        <f>VLOOKUP(E5,FifaCountryCode!A:B,2,FALSE)</f>
        <v>ESP</v>
      </c>
      <c r="M5" t="s">
        <v>895</v>
      </c>
      <c r="N5" t="str">
        <f>VLOOKUP(M5,FifaCountryCode!A:B,2,FALSE)</f>
        <v>ESP</v>
      </c>
    </row>
    <row r="6" spans="2:14" x14ac:dyDescent="0.25">
      <c r="B6">
        <v>2002</v>
      </c>
      <c r="C6" t="s">
        <v>1016</v>
      </c>
      <c r="D6" t="s">
        <v>1017</v>
      </c>
      <c r="E6" t="s">
        <v>756</v>
      </c>
      <c r="F6" t="str">
        <f>VLOOKUP(E6,FifaCountryCode!A:B,2,FALSE)</f>
        <v>BEL</v>
      </c>
      <c r="M6" t="s">
        <v>756</v>
      </c>
      <c r="N6" t="str">
        <f>VLOOKUP(M6,FifaCountryCode!A:B,2,FALSE)</f>
        <v>BEL</v>
      </c>
    </row>
    <row r="7" spans="2:14" x14ac:dyDescent="0.25">
      <c r="B7">
        <v>1998</v>
      </c>
      <c r="C7" t="s">
        <v>1018</v>
      </c>
      <c r="E7" t="s">
        <v>775</v>
      </c>
      <c r="F7" t="str">
        <f>VLOOKUP(E7,FifaCountryCode!A:B,2,FALSE)</f>
        <v>CRO</v>
      </c>
      <c r="M7" t="s">
        <v>775</v>
      </c>
      <c r="N7" t="str">
        <f>VLOOKUP(M7,FifaCountryCode!A:B,2,FALSE)</f>
        <v>CRO</v>
      </c>
    </row>
    <row r="8" spans="2:14" x14ac:dyDescent="0.25">
      <c r="B8">
        <v>1998</v>
      </c>
      <c r="C8" t="s">
        <v>1019</v>
      </c>
      <c r="D8" t="s">
        <v>1020</v>
      </c>
      <c r="E8" t="s">
        <v>1021</v>
      </c>
      <c r="F8" t="str">
        <f>VLOOKUP(E8,FifaCountryCode!A:B,2,FALSE)</f>
        <v>ENG</v>
      </c>
      <c r="M8" t="s">
        <v>1021</v>
      </c>
      <c r="N8" t="str">
        <f>VLOOKUP(M8,FifaCountryCode!A:B,2,FALSE)</f>
        <v>ENG</v>
      </c>
    </row>
    <row r="9" spans="2:14" x14ac:dyDescent="0.25">
      <c r="B9">
        <v>1994</v>
      </c>
      <c r="C9" t="s">
        <v>1022</v>
      </c>
      <c r="D9" t="s">
        <v>1023</v>
      </c>
      <c r="E9" t="s">
        <v>817</v>
      </c>
      <c r="F9" t="str">
        <f>VLOOKUP(E9,FifaCountryCode!A:B,2,FALSE)</f>
        <v>ITA</v>
      </c>
      <c r="M9" t="s">
        <v>817</v>
      </c>
      <c r="N9" t="str">
        <f>VLOOKUP(M9,FifaCountryCode!A:B,2,FALSE)</f>
        <v>ITA</v>
      </c>
    </row>
    <row r="10" spans="2:14" x14ac:dyDescent="0.25">
      <c r="B10">
        <v>1990</v>
      </c>
      <c r="C10" t="s">
        <v>1024</v>
      </c>
      <c r="D10" t="s">
        <v>1025</v>
      </c>
      <c r="E10" t="s">
        <v>1026</v>
      </c>
      <c r="F10" t="str">
        <f>VLOOKUP(E10,FifaCountryCode!A:B,2,FALSE)</f>
        <v>SCO</v>
      </c>
      <c r="M10" t="s">
        <v>1026</v>
      </c>
      <c r="N10" t="str">
        <f>VLOOKUP(M10,FifaCountryCode!A:B,2,FALSE)</f>
        <v>SCO</v>
      </c>
    </row>
    <row r="11" spans="2:14" x14ac:dyDescent="0.25">
      <c r="B11">
        <v>1986</v>
      </c>
      <c r="C11" t="s">
        <v>1022</v>
      </c>
      <c r="D11" t="s">
        <v>1023</v>
      </c>
      <c r="E11" t="s">
        <v>797</v>
      </c>
      <c r="F11" t="str">
        <f>VLOOKUP(E11,FifaCountryCode!A:B,2,FALSE)</f>
        <v>GER</v>
      </c>
      <c r="M11" t="s">
        <v>797</v>
      </c>
      <c r="N11" t="str">
        <f>VLOOKUP(M11,FifaCountryCode!A:B,2,FALSE)</f>
        <v>GER</v>
      </c>
    </row>
    <row r="12" spans="2:14" x14ac:dyDescent="0.25">
      <c r="B12">
        <v>1986</v>
      </c>
      <c r="C12" t="s">
        <v>1027</v>
      </c>
      <c r="D12" t="s">
        <v>1028</v>
      </c>
      <c r="E12" t="s">
        <v>756</v>
      </c>
      <c r="F12" t="str">
        <f>VLOOKUP(E12,FifaCountryCode!A:B,2,FALSE)</f>
        <v>BEL</v>
      </c>
      <c r="M12" t="s">
        <v>870</v>
      </c>
      <c r="N12" t="str">
        <f>VLOOKUP(M12,FifaCountryCode!A:B,2,FALSE)</f>
        <v>POL</v>
      </c>
    </row>
    <row r="13" spans="2:14" x14ac:dyDescent="0.25">
      <c r="B13">
        <v>1986</v>
      </c>
      <c r="C13" t="s">
        <v>1029</v>
      </c>
      <c r="D13" t="s">
        <v>1030</v>
      </c>
      <c r="E13" t="s">
        <v>870</v>
      </c>
      <c r="F13" t="str">
        <f>VLOOKUP(E13,FifaCountryCode!A:B,2,FALSE)</f>
        <v>POL</v>
      </c>
      <c r="M13" t="s">
        <v>1033</v>
      </c>
      <c r="N13" t="str">
        <f>VLOOKUP(M13,FifaCountryCode!A:B,2,FALSE)</f>
        <v>NIR</v>
      </c>
    </row>
    <row r="14" spans="2:14" x14ac:dyDescent="0.25">
      <c r="B14">
        <v>1986</v>
      </c>
      <c r="C14" t="s">
        <v>1031</v>
      </c>
      <c r="D14" t="s">
        <v>1032</v>
      </c>
      <c r="E14" t="s">
        <v>1033</v>
      </c>
      <c r="F14" t="str">
        <f>VLOOKUP(E14,FifaCountryCode!A:B,2,FALSE)</f>
        <v>NIR</v>
      </c>
      <c r="M14" t="s">
        <v>845</v>
      </c>
      <c r="N14" t="str">
        <f>VLOOKUP(M14,FifaCountryCode!A:B,2,FALSE)</f>
        <v>MEX</v>
      </c>
    </row>
    <row r="15" spans="2:14" x14ac:dyDescent="0.25">
      <c r="B15">
        <v>1986</v>
      </c>
      <c r="C15" t="s">
        <v>1027</v>
      </c>
      <c r="D15" t="s">
        <v>1028</v>
      </c>
      <c r="E15" t="s">
        <v>845</v>
      </c>
      <c r="F15" t="str">
        <f>VLOOKUP(E15,FifaCountryCode!A:B,2,FALSE)</f>
        <v>MEX</v>
      </c>
      <c r="M15" t="s">
        <v>745</v>
      </c>
      <c r="N15" t="str">
        <f>VLOOKUP(M15,FifaCountryCode!A:B,2,FALSE)</f>
        <v>ALG</v>
      </c>
    </row>
    <row r="16" spans="2:14" x14ac:dyDescent="0.25">
      <c r="B16">
        <v>1986</v>
      </c>
      <c r="C16" t="s">
        <v>1029</v>
      </c>
      <c r="D16" t="s">
        <v>1030</v>
      </c>
      <c r="E16" t="s">
        <v>1021</v>
      </c>
      <c r="F16" t="str">
        <f>VLOOKUP(E16,FifaCountryCode!A:B,2,FALSE)</f>
        <v>ENG</v>
      </c>
      <c r="M16" t="s">
        <v>109</v>
      </c>
      <c r="N16" t="str">
        <f>VLOOKUP(M16,FifaCountryCode!A:B,2,FALSE)</f>
        <v>CAN</v>
      </c>
    </row>
    <row r="17" spans="2:14" x14ac:dyDescent="0.25">
      <c r="B17">
        <v>1986</v>
      </c>
      <c r="C17" t="s">
        <v>1031</v>
      </c>
      <c r="D17" t="s">
        <v>1032</v>
      </c>
      <c r="E17" t="s">
        <v>745</v>
      </c>
      <c r="F17" t="str">
        <f>VLOOKUP(E17,FifaCountryCode!A:B,2,FALSE)</f>
        <v>ALG</v>
      </c>
      <c r="M17" t="s">
        <v>224</v>
      </c>
      <c r="N17" t="str">
        <f>VLOOKUP(M17,FifaCountryCode!A:B,2,FALSE)</f>
        <v>FRA</v>
      </c>
    </row>
    <row r="18" spans="2:14" x14ac:dyDescent="0.25">
      <c r="B18">
        <v>1986</v>
      </c>
      <c r="C18" t="s">
        <v>1024</v>
      </c>
      <c r="D18" t="s">
        <v>1025</v>
      </c>
      <c r="E18" t="s">
        <v>109</v>
      </c>
      <c r="F18" t="str">
        <f>VLOOKUP(E18,FifaCountryCode!A:B,2,FALSE)</f>
        <v>CAN</v>
      </c>
      <c r="M18" t="s">
        <v>761</v>
      </c>
      <c r="N18" t="str">
        <f>VLOOKUP(M18,FifaCountryCode!A:B,2,FALSE)</f>
        <v>BUL</v>
      </c>
    </row>
    <row r="19" spans="2:14" x14ac:dyDescent="0.25">
      <c r="B19">
        <v>1986</v>
      </c>
      <c r="C19" t="s">
        <v>1024</v>
      </c>
      <c r="D19" t="s">
        <v>1025</v>
      </c>
      <c r="E19" t="s">
        <v>224</v>
      </c>
      <c r="F19" t="str">
        <f>VLOOKUP(E19,FifaCountryCode!A:B,2,FALSE)</f>
        <v>FRA</v>
      </c>
      <c r="M19" t="s">
        <v>749</v>
      </c>
      <c r="N19" t="str">
        <f>VLOOKUP(M19,FifaCountryCode!A:B,2,FALSE)</f>
        <v>ARG</v>
      </c>
    </row>
    <row r="20" spans="2:14" x14ac:dyDescent="0.25">
      <c r="B20">
        <v>1986</v>
      </c>
      <c r="C20" t="s">
        <v>1034</v>
      </c>
      <c r="D20" t="s">
        <v>1035</v>
      </c>
      <c r="E20" t="s">
        <v>761</v>
      </c>
      <c r="F20" t="str">
        <f>VLOOKUP(E20,FifaCountryCode!A:B,2,FALSE)</f>
        <v>BUL</v>
      </c>
      <c r="M20" t="s">
        <v>211</v>
      </c>
      <c r="N20" t="str">
        <f>VLOOKUP(M20,FifaCountryCode!A:B,2,FALSE)</f>
        <v>DEN</v>
      </c>
    </row>
    <row r="21" spans="2:14" x14ac:dyDescent="0.25">
      <c r="B21">
        <v>1986</v>
      </c>
      <c r="C21" t="s">
        <v>1034</v>
      </c>
      <c r="D21" t="s">
        <v>1035</v>
      </c>
      <c r="E21" t="s">
        <v>749</v>
      </c>
      <c r="F21" t="str">
        <f>VLOOKUP(E21,FifaCountryCode!A:B,2,FALSE)</f>
        <v>ARG</v>
      </c>
      <c r="M21" t="s">
        <v>814</v>
      </c>
      <c r="N21" t="str">
        <f>VLOOKUP(M21,FifaCountryCode!A:B,2,FALSE)</f>
        <v>IRQ</v>
      </c>
    </row>
    <row r="22" spans="2:14" x14ac:dyDescent="0.25">
      <c r="B22">
        <v>1986</v>
      </c>
      <c r="C22" t="s">
        <v>1022</v>
      </c>
      <c r="D22" t="s">
        <v>1023</v>
      </c>
      <c r="E22" t="s">
        <v>211</v>
      </c>
      <c r="F22" t="str">
        <f>VLOOKUP(E22,FifaCountryCode!A:B,2,FALSE)</f>
        <v>DEN</v>
      </c>
      <c r="M22" t="s">
        <v>849</v>
      </c>
      <c r="N22" t="str">
        <f>VLOOKUP(M22,FifaCountryCode!A:B,2,FALSE)</f>
        <v>MAR</v>
      </c>
    </row>
    <row r="23" spans="2:14" x14ac:dyDescent="0.25">
      <c r="B23">
        <v>1986</v>
      </c>
      <c r="C23" t="s">
        <v>1027</v>
      </c>
      <c r="D23" t="s">
        <v>1028</v>
      </c>
      <c r="E23" t="s">
        <v>814</v>
      </c>
      <c r="F23" t="str">
        <f>VLOOKUP(E23,FifaCountryCode!A:B,2,FALSE)</f>
        <v>IRQ</v>
      </c>
      <c r="M23" t="s">
        <v>297</v>
      </c>
      <c r="N23" t="str">
        <f>VLOOKUP(M23,FifaCountryCode!A:B,2,FALSE)</f>
        <v>HUN</v>
      </c>
    </row>
    <row r="24" spans="2:14" x14ac:dyDescent="0.25">
      <c r="B24">
        <v>1986</v>
      </c>
      <c r="C24" t="s">
        <v>1029</v>
      </c>
      <c r="D24" t="s">
        <v>1030</v>
      </c>
      <c r="E24" t="s">
        <v>849</v>
      </c>
      <c r="F24" t="str">
        <f>VLOOKUP(E24,FifaCountryCode!A:B,2,FALSE)</f>
        <v>MAR</v>
      </c>
      <c r="M24" t="s">
        <v>751</v>
      </c>
      <c r="N24" t="str">
        <f>VLOOKUP(M24,FifaCountryCode!A:B,2,FALSE)</f>
        <v>AUT</v>
      </c>
    </row>
    <row r="25" spans="2:14" x14ac:dyDescent="0.25">
      <c r="B25">
        <v>1986</v>
      </c>
      <c r="C25" t="s">
        <v>1024</v>
      </c>
      <c r="D25" t="s">
        <v>1025</v>
      </c>
      <c r="E25" t="s">
        <v>297</v>
      </c>
      <c r="F25" t="str">
        <f>VLOOKUP(E25,FifaCountryCode!A:B,2,FALSE)</f>
        <v>HUN</v>
      </c>
      <c r="M25" t="s">
        <v>771</v>
      </c>
      <c r="N25" t="str">
        <f>VLOOKUP(M25,FifaCountryCode!A:B,2,FALSE)</f>
        <v>COL</v>
      </c>
    </row>
    <row r="26" spans="2:14" x14ac:dyDescent="0.25">
      <c r="B26">
        <v>1986</v>
      </c>
      <c r="C26" t="s">
        <v>1031</v>
      </c>
      <c r="D26" t="s">
        <v>1032</v>
      </c>
      <c r="E26" t="s">
        <v>760</v>
      </c>
      <c r="F26" t="str">
        <f>VLOOKUP(E26,FifaCountryCode!A:B,2,FALSE)</f>
        <v>BRA</v>
      </c>
      <c r="M26" t="s">
        <v>764</v>
      </c>
      <c r="N26" t="str">
        <f>VLOOKUP(M26,FifaCountryCode!A:B,2,FALSE)</f>
        <v>CMR</v>
      </c>
    </row>
    <row r="27" spans="2:14" x14ac:dyDescent="0.25">
      <c r="B27">
        <v>1982</v>
      </c>
      <c r="C27" t="s">
        <v>1015</v>
      </c>
      <c r="E27" t="s">
        <v>797</v>
      </c>
      <c r="F27" t="str">
        <f>VLOOKUP(E27,FifaCountryCode!A:B,2,FALSE)</f>
        <v>GER</v>
      </c>
      <c r="M27" t="s">
        <v>783</v>
      </c>
      <c r="N27" t="str">
        <f>VLOOKUP(M27,FifaCountryCode!A:B,2,FALSE)</f>
        <v>EGY</v>
      </c>
    </row>
    <row r="28" spans="2:14" x14ac:dyDescent="0.25">
      <c r="B28">
        <v>1982</v>
      </c>
      <c r="C28" t="s">
        <v>1018</v>
      </c>
      <c r="E28" t="s">
        <v>224</v>
      </c>
      <c r="F28" t="str">
        <f>VLOOKUP(E28,FifaCountryCode!A:B,2,FALSE)</f>
        <v>FRA</v>
      </c>
      <c r="M28" t="s">
        <v>774</v>
      </c>
      <c r="N28" t="str">
        <f>VLOOKUP(M28,FifaCountryCode!A:B,2,FALSE)</f>
        <v>CRC</v>
      </c>
    </row>
    <row r="29" spans="2:14" x14ac:dyDescent="0.25">
      <c r="B29">
        <v>1982</v>
      </c>
      <c r="C29" t="s">
        <v>1036</v>
      </c>
      <c r="E29" t="s">
        <v>224</v>
      </c>
      <c r="F29" t="str">
        <f>VLOOKUP(E29,FifaCountryCode!A:B,2,FALSE)</f>
        <v>FRA</v>
      </c>
      <c r="M29" t="s">
        <v>1037</v>
      </c>
      <c r="N29" t="str">
        <f>VLOOKUP(M29,FifaCountryCode!A:B,2,FALSE)</f>
        <v>TCH</v>
      </c>
    </row>
    <row r="30" spans="2:14" x14ac:dyDescent="0.25">
      <c r="B30">
        <v>1982</v>
      </c>
      <c r="C30" t="s">
        <v>1036</v>
      </c>
      <c r="E30" t="s">
        <v>817</v>
      </c>
      <c r="F30" t="str">
        <f>VLOOKUP(E30,FifaCountryCode!A:B,2,FALSE)</f>
        <v>ITA</v>
      </c>
      <c r="M30" t="s">
        <v>539</v>
      </c>
      <c r="N30" t="str">
        <f>VLOOKUP(M30,FifaCountryCode!A:B,2,FALSE)</f>
        <v>ROU</v>
      </c>
    </row>
    <row r="31" spans="2:14" x14ac:dyDescent="0.25">
      <c r="B31">
        <v>1982</v>
      </c>
      <c r="C31" t="s">
        <v>1024</v>
      </c>
      <c r="D31" t="s">
        <v>1025</v>
      </c>
      <c r="E31" t="s">
        <v>760</v>
      </c>
      <c r="F31" t="str">
        <f>VLOOKUP(E31,FifaCountryCode!A:B,2,FALSE)</f>
        <v>BRA</v>
      </c>
      <c r="M31" t="s">
        <v>916</v>
      </c>
      <c r="N31" t="str">
        <f>VLOOKUP(M31,FifaCountryCode!A:B,2,FALSE)</f>
        <v>URU</v>
      </c>
    </row>
    <row r="32" spans="2:14" x14ac:dyDescent="0.25">
      <c r="B32">
        <v>1982</v>
      </c>
      <c r="C32" t="s">
        <v>1027</v>
      </c>
      <c r="D32" t="s">
        <v>1028</v>
      </c>
      <c r="E32" t="s">
        <v>1021</v>
      </c>
      <c r="F32" t="str">
        <f>VLOOKUP(E32,FifaCountryCode!A:B,2,FALSE)</f>
        <v>ENG</v>
      </c>
      <c r="M32" t="s">
        <v>900</v>
      </c>
      <c r="N32" t="str">
        <f>VLOOKUP(M32,FifaCountryCode!A:B,2,FALSE)</f>
        <v>SWE</v>
      </c>
    </row>
    <row r="33" spans="2:14" x14ac:dyDescent="0.25">
      <c r="B33">
        <v>1982</v>
      </c>
      <c r="C33" t="s">
        <v>1031</v>
      </c>
      <c r="D33" t="s">
        <v>1032</v>
      </c>
      <c r="E33" t="s">
        <v>224</v>
      </c>
      <c r="F33" t="str">
        <f>VLOOKUP(E33,FifaCountryCode!A:B,2,FALSE)</f>
        <v>FRA</v>
      </c>
      <c r="M33" t="s">
        <v>1041</v>
      </c>
      <c r="N33" t="str">
        <f>VLOOKUP(M33,FifaCountryCode!A:B,2,FALSE)</f>
        <v>RUS</v>
      </c>
    </row>
    <row r="34" spans="2:14" x14ac:dyDescent="0.25">
      <c r="B34">
        <v>1982</v>
      </c>
      <c r="C34" t="s">
        <v>1034</v>
      </c>
      <c r="D34" t="s">
        <v>1035</v>
      </c>
      <c r="E34" t="s">
        <v>870</v>
      </c>
      <c r="F34" t="str">
        <f>VLOOKUP(E34,FifaCountryCode!A:B,2,FALSE)</f>
        <v>POL</v>
      </c>
      <c r="M34" t="s">
        <v>810</v>
      </c>
      <c r="N34" t="str">
        <f>VLOOKUP(M34,FifaCountryCode!A:B,2,FALSE)</f>
        <v>HON</v>
      </c>
    </row>
    <row r="35" spans="2:14" x14ac:dyDescent="0.25">
      <c r="B35">
        <v>1982</v>
      </c>
      <c r="C35" t="s">
        <v>1024</v>
      </c>
      <c r="D35" t="s">
        <v>1025</v>
      </c>
      <c r="E35" t="s">
        <v>749</v>
      </c>
      <c r="F35" t="str">
        <f>VLOOKUP(E35,FifaCountryCode!A:B,2,FALSE)</f>
        <v>ARG</v>
      </c>
      <c r="M35" t="s">
        <v>867</v>
      </c>
      <c r="N35" t="str">
        <f>VLOOKUP(M35,FifaCountryCode!A:B,2,FALSE)</f>
        <v>PER</v>
      </c>
    </row>
    <row r="36" spans="2:14" x14ac:dyDescent="0.25">
      <c r="B36">
        <v>1982</v>
      </c>
      <c r="C36" t="s">
        <v>1027</v>
      </c>
      <c r="D36" t="s">
        <v>1028</v>
      </c>
      <c r="E36" t="s">
        <v>797</v>
      </c>
      <c r="F36" t="str">
        <f>VLOOKUP(E36,FifaCountryCode!A:B,2,FALSE)</f>
        <v>GER</v>
      </c>
      <c r="M36" t="s">
        <v>147</v>
      </c>
      <c r="N36" t="str">
        <f>VLOOKUP(M36,FifaCountryCode!A:B,2,FALSE)</f>
        <v>NZL</v>
      </c>
    </row>
    <row r="37" spans="2:14" x14ac:dyDescent="0.25">
      <c r="B37">
        <v>1982</v>
      </c>
      <c r="C37" t="s">
        <v>1031</v>
      </c>
      <c r="D37" t="s">
        <v>1032</v>
      </c>
      <c r="E37" t="s">
        <v>751</v>
      </c>
      <c r="F37" t="str">
        <f>VLOOKUP(E37,FifaCountryCode!A:B,2,FALSE)</f>
        <v>AUT</v>
      </c>
      <c r="M37" t="s">
        <v>784</v>
      </c>
      <c r="N37" t="str">
        <f>VLOOKUP(M37,FifaCountryCode!A:B,2,FALSE)</f>
        <v>SLV</v>
      </c>
    </row>
    <row r="38" spans="2:14" x14ac:dyDescent="0.25">
      <c r="B38">
        <v>1982</v>
      </c>
      <c r="C38" t="s">
        <v>1034</v>
      </c>
      <c r="D38" t="s">
        <v>1035</v>
      </c>
      <c r="E38" t="s">
        <v>756</v>
      </c>
      <c r="F38" t="str">
        <f>VLOOKUP(E38,FifaCountryCode!A:B,2,FALSE)</f>
        <v>BEL</v>
      </c>
      <c r="M38" t="s">
        <v>1051</v>
      </c>
      <c r="N38" t="str">
        <f>VLOOKUP(M38,FifaCountryCode!A:B,2,FALSE)</f>
        <v>IRN</v>
      </c>
    </row>
    <row r="39" spans="2:14" x14ac:dyDescent="0.25">
      <c r="B39">
        <v>1990</v>
      </c>
      <c r="C39" t="s">
        <v>1024</v>
      </c>
      <c r="D39" t="s">
        <v>1025</v>
      </c>
      <c r="E39" t="s">
        <v>760</v>
      </c>
      <c r="F39" t="str">
        <f>VLOOKUP(E39,FifaCountryCode!A:B,2,FALSE)</f>
        <v>BRA</v>
      </c>
      <c r="M39" t="s">
        <v>1052</v>
      </c>
      <c r="N39" t="str">
        <f>VLOOKUP(M39,FifaCountryCode!A:B,2,FALSE)</f>
        <v>GDR</v>
      </c>
    </row>
    <row r="40" spans="2:14" x14ac:dyDescent="0.25">
      <c r="B40">
        <v>1990</v>
      </c>
      <c r="C40" t="s">
        <v>1031</v>
      </c>
      <c r="D40" t="s">
        <v>1032</v>
      </c>
      <c r="E40" t="s">
        <v>797</v>
      </c>
      <c r="F40" t="str">
        <f>VLOOKUP(E40,FifaCountryCode!A:B,2,FALSE)</f>
        <v>GER</v>
      </c>
      <c r="M40" t="s">
        <v>128</v>
      </c>
      <c r="N40" t="str">
        <f>VLOOKUP(M40,FifaCountryCode!A:B,2,FALSE)</f>
        <v>AUS</v>
      </c>
    </row>
    <row r="41" spans="2:14" x14ac:dyDescent="0.25">
      <c r="B41">
        <v>1990</v>
      </c>
      <c r="C41" t="s">
        <v>1034</v>
      </c>
      <c r="D41" t="s">
        <v>1035</v>
      </c>
      <c r="E41" t="s">
        <v>751</v>
      </c>
      <c r="F41" t="str">
        <f>VLOOKUP(E41,FifaCountryCode!A:B,2,FALSE)</f>
        <v>AUT</v>
      </c>
      <c r="M41" t="s">
        <v>807</v>
      </c>
      <c r="N41" t="str">
        <f>VLOOKUP(M41,FifaCountryCode!A:B,2,FALSE)</f>
        <v>HAI</v>
      </c>
    </row>
    <row r="42" spans="2:14" x14ac:dyDescent="0.25">
      <c r="B42">
        <v>1990</v>
      </c>
      <c r="C42" t="s">
        <v>1031</v>
      </c>
      <c r="D42" t="s">
        <v>1032</v>
      </c>
      <c r="E42" t="s">
        <v>771</v>
      </c>
      <c r="F42" t="str">
        <f>VLOOKUP(E42,FifaCountryCode!A:B,2,FALSE)</f>
        <v>COL</v>
      </c>
      <c r="M42" t="s">
        <v>1084</v>
      </c>
      <c r="N42" t="str">
        <f>VLOOKUP(M42,FifaCountryCode!A:B,2,FALSE)</f>
        <v>CGO</v>
      </c>
    </row>
    <row r="43" spans="2:14" x14ac:dyDescent="0.25">
      <c r="B43">
        <v>1990</v>
      </c>
      <c r="C43" t="s">
        <v>1027</v>
      </c>
      <c r="D43" t="s">
        <v>1028</v>
      </c>
      <c r="E43" t="s">
        <v>764</v>
      </c>
      <c r="F43" t="str">
        <f>VLOOKUP(E43,FifaCountryCode!A:B,2,FALSE)</f>
        <v>CMR</v>
      </c>
      <c r="M43" t="s">
        <v>1054</v>
      </c>
      <c r="N43" t="e">
        <f>VLOOKUP(M43,FifaCountryCode!A:B,2,FALSE)</f>
        <v>#N/A</v>
      </c>
    </row>
    <row r="44" spans="2:14" x14ac:dyDescent="0.25">
      <c r="B44">
        <v>1990</v>
      </c>
      <c r="C44" t="s">
        <v>1034</v>
      </c>
      <c r="D44" t="s">
        <v>1035</v>
      </c>
      <c r="E44" t="s">
        <v>817</v>
      </c>
      <c r="F44" t="str">
        <f>VLOOKUP(E44,FifaCountryCode!A:B,2,FALSE)</f>
        <v>ITA</v>
      </c>
      <c r="M44" t="s">
        <v>816</v>
      </c>
      <c r="N44" t="str">
        <f>VLOOKUP(M44,FifaCountryCode!A:B,2,FALSE)</f>
        <v>ISR</v>
      </c>
    </row>
    <row r="45" spans="2:14" x14ac:dyDescent="0.25">
      <c r="B45">
        <v>1990</v>
      </c>
      <c r="C45" t="s">
        <v>1022</v>
      </c>
      <c r="D45" t="s">
        <v>1023</v>
      </c>
      <c r="E45" t="s">
        <v>895</v>
      </c>
      <c r="F45" t="str">
        <f>VLOOKUP(E45,FifaCountryCode!A:B,2,FALSE)</f>
        <v>ESP</v>
      </c>
      <c r="M45" t="s">
        <v>871</v>
      </c>
      <c r="N45" t="str">
        <f>VLOOKUP(M45,FifaCountryCode!A:B,2,FALSE)</f>
        <v>POR</v>
      </c>
    </row>
    <row r="46" spans="2:14" x14ac:dyDescent="0.25">
      <c r="B46">
        <v>1990</v>
      </c>
      <c r="C46" t="s">
        <v>1027</v>
      </c>
      <c r="D46" t="s">
        <v>1028</v>
      </c>
      <c r="E46" t="s">
        <v>749</v>
      </c>
      <c r="F46" t="str">
        <f>VLOOKUP(E46,FifaCountryCode!A:B,2,FALSE)</f>
        <v>ARG</v>
      </c>
      <c r="M46" t="s">
        <v>1055</v>
      </c>
      <c r="N46" t="str">
        <f>VLOOKUP(M46,FifaCountryCode!A:B,2,FALSE)</f>
        <v>PRK</v>
      </c>
    </row>
    <row r="47" spans="2:14" x14ac:dyDescent="0.25">
      <c r="B47">
        <v>1990</v>
      </c>
      <c r="C47" t="s">
        <v>1029</v>
      </c>
      <c r="D47" t="s">
        <v>1030</v>
      </c>
      <c r="E47" t="s">
        <v>783</v>
      </c>
      <c r="F47" t="str">
        <f>VLOOKUP(E47,FifaCountryCode!A:B,2,FALSE)</f>
        <v>EGY</v>
      </c>
      <c r="M47" t="s">
        <v>866</v>
      </c>
      <c r="N47" t="str">
        <f>VLOOKUP(M47,FifaCountryCode!A:B,2,FALSE)</f>
        <v>PAR</v>
      </c>
    </row>
    <row r="48" spans="2:14" x14ac:dyDescent="0.25">
      <c r="B48">
        <v>1990</v>
      </c>
      <c r="C48" t="s">
        <v>1022</v>
      </c>
      <c r="D48" t="s">
        <v>1023</v>
      </c>
      <c r="E48" t="s">
        <v>756</v>
      </c>
      <c r="F48" t="str">
        <f>VLOOKUP(E48,FifaCountryCode!A:B,2,FALSE)</f>
        <v>BEL</v>
      </c>
      <c r="M48" t="s">
        <v>1056</v>
      </c>
      <c r="N48" t="str">
        <f>VLOOKUP(M48,FifaCountryCode!A:B,2,FALSE)</f>
        <v>KOR</v>
      </c>
    </row>
    <row r="49" spans="2:14" x14ac:dyDescent="0.25">
      <c r="B49">
        <v>1990</v>
      </c>
      <c r="C49" t="s">
        <v>1029</v>
      </c>
      <c r="D49" t="s">
        <v>1030</v>
      </c>
      <c r="E49" t="s">
        <v>1021</v>
      </c>
      <c r="F49" t="str">
        <f>VLOOKUP(E49,FifaCountryCode!A:B,2,FALSE)</f>
        <v>ENG</v>
      </c>
      <c r="M49" t="s">
        <v>911</v>
      </c>
      <c r="N49" t="str">
        <f>VLOOKUP(M49,FifaCountryCode!A:B,2,FALSE)</f>
        <v>TUN</v>
      </c>
    </row>
    <row r="50" spans="2:14" x14ac:dyDescent="0.25">
      <c r="B50">
        <v>1990</v>
      </c>
      <c r="C50" t="s">
        <v>1024</v>
      </c>
      <c r="D50" t="s">
        <v>1025</v>
      </c>
      <c r="E50" t="s">
        <v>774</v>
      </c>
      <c r="F50" t="str">
        <f>VLOOKUP(E50,FifaCountryCode!A:B,2,FALSE)</f>
        <v>CRC</v>
      </c>
      <c r="M50" t="s">
        <v>857</v>
      </c>
      <c r="N50" t="str">
        <f>VLOOKUP(M50,FifaCountryCode!A:B,2,FALSE)</f>
        <v>NGA</v>
      </c>
    </row>
    <row r="51" spans="2:14" x14ac:dyDescent="0.25">
      <c r="B51">
        <v>1990</v>
      </c>
      <c r="C51" t="s">
        <v>1034</v>
      </c>
      <c r="D51" t="s">
        <v>1035</v>
      </c>
      <c r="E51" t="s">
        <v>1037</v>
      </c>
      <c r="F51" t="str">
        <f>VLOOKUP(E51,FifaCountryCode!A:B,2,FALSE)</f>
        <v>TCH</v>
      </c>
      <c r="M51" t="s">
        <v>884</v>
      </c>
      <c r="N51" t="str">
        <f>VLOOKUP(M51,FifaCountryCode!A:B,2,FALSE)</f>
        <v>SRB</v>
      </c>
    </row>
    <row r="52" spans="2:14" x14ac:dyDescent="0.25">
      <c r="B52">
        <v>1990</v>
      </c>
      <c r="C52" t="s">
        <v>1027</v>
      </c>
      <c r="D52" t="s">
        <v>1028</v>
      </c>
      <c r="E52" t="s">
        <v>539</v>
      </c>
      <c r="F52" t="str">
        <f>VLOOKUP(E52,FifaCountryCode!A:B,2,FALSE)</f>
        <v>ROU</v>
      </c>
      <c r="M52" t="s">
        <v>1072</v>
      </c>
      <c r="N52" t="e">
        <f>VLOOKUP(M52,FifaCountryCode!A:B,2,FALSE)</f>
        <v>#N/A</v>
      </c>
    </row>
    <row r="53" spans="2:14" x14ac:dyDescent="0.25">
      <c r="B53">
        <v>1986</v>
      </c>
      <c r="C53" t="s">
        <v>1015</v>
      </c>
      <c r="E53" t="s">
        <v>749</v>
      </c>
      <c r="F53" t="str">
        <f>VLOOKUP(E53,FifaCountryCode!A:B,2,FALSE)</f>
        <v>ARG</v>
      </c>
      <c r="M53" t="s">
        <v>330</v>
      </c>
      <c r="N53" t="str">
        <f>VLOOKUP(M53,FifaCountryCode!A:B,2,FALSE)</f>
        <v>JPN</v>
      </c>
    </row>
    <row r="54" spans="2:14" x14ac:dyDescent="0.25">
      <c r="B54">
        <v>1986</v>
      </c>
      <c r="C54" t="s">
        <v>1018</v>
      </c>
      <c r="E54" t="s">
        <v>756</v>
      </c>
      <c r="F54" t="str">
        <f>VLOOKUP(E54,FifaCountryCode!A:B,2,FALSE)</f>
        <v>BEL</v>
      </c>
      <c r="M54" t="s">
        <v>882</v>
      </c>
      <c r="N54" t="str">
        <f>VLOOKUP(M54,FifaCountryCode!A:B,2,FALSE)</f>
        <v>KSA</v>
      </c>
    </row>
    <row r="55" spans="2:14" x14ac:dyDescent="0.25">
      <c r="B55">
        <v>1986</v>
      </c>
      <c r="C55" t="s">
        <v>1036</v>
      </c>
      <c r="E55" t="s">
        <v>749</v>
      </c>
      <c r="F55" t="str">
        <f>VLOOKUP(E55,FifaCountryCode!A:B,2,FALSE)</f>
        <v>ARG</v>
      </c>
      <c r="M55" t="s">
        <v>300</v>
      </c>
      <c r="N55" t="str">
        <f>VLOOKUP(M55,FifaCountryCode!A:B,2,FALSE)</f>
        <v>ISL</v>
      </c>
    </row>
    <row r="56" spans="2:14" x14ac:dyDescent="0.25">
      <c r="B56">
        <v>1986</v>
      </c>
      <c r="C56" t="s">
        <v>1036</v>
      </c>
      <c r="E56" t="s">
        <v>224</v>
      </c>
      <c r="F56" t="str">
        <f>VLOOKUP(E56,FifaCountryCode!A:B,2,FALSE)</f>
        <v>FRA</v>
      </c>
      <c r="M56" t="s">
        <v>901</v>
      </c>
      <c r="N56" t="str">
        <f>VLOOKUP(M56,FifaCountryCode!A:B,2,FALSE)</f>
        <v>SUI</v>
      </c>
    </row>
    <row r="57" spans="2:14" x14ac:dyDescent="0.25">
      <c r="B57">
        <v>1986</v>
      </c>
      <c r="C57" t="s">
        <v>1038</v>
      </c>
      <c r="E57" t="s">
        <v>756</v>
      </c>
      <c r="F57" t="str">
        <f>VLOOKUP(E57,FifaCountryCode!A:B,2,FALSE)</f>
        <v>BEL</v>
      </c>
      <c r="M57" t="s">
        <v>864</v>
      </c>
      <c r="N57" t="str">
        <f>VLOOKUP(M57,FifaCountryCode!A:B,2,FALSE)</f>
        <v>PAN</v>
      </c>
    </row>
    <row r="58" spans="2:14" x14ac:dyDescent="0.25">
      <c r="B58">
        <v>1986</v>
      </c>
      <c r="C58" t="s">
        <v>1038</v>
      </c>
      <c r="E58" t="s">
        <v>749</v>
      </c>
      <c r="F58" t="str">
        <f>VLOOKUP(E58,FifaCountryCode!A:B,2,FALSE)</f>
        <v>ARG</v>
      </c>
      <c r="M58" t="s">
        <v>883</v>
      </c>
      <c r="N58" t="str">
        <f>VLOOKUP(M58,FifaCountryCode!A:B,2,FALSE)</f>
        <v>SEN</v>
      </c>
    </row>
    <row r="59" spans="2:14" x14ac:dyDescent="0.25">
      <c r="B59">
        <v>1986</v>
      </c>
      <c r="C59" t="s">
        <v>1038</v>
      </c>
      <c r="E59" t="s">
        <v>797</v>
      </c>
      <c r="F59" t="str">
        <f>VLOOKUP(E59,FifaCountryCode!A:B,2,FALSE)</f>
        <v>GER</v>
      </c>
      <c r="M59" t="s">
        <v>1075</v>
      </c>
      <c r="N59" t="str">
        <f>VLOOKUP(M59,FifaCountryCode!A:B,2,FALSE)</f>
        <v>BOL</v>
      </c>
    </row>
    <row r="60" spans="2:14" x14ac:dyDescent="0.25">
      <c r="B60">
        <v>1986</v>
      </c>
      <c r="C60" t="s">
        <v>1038</v>
      </c>
      <c r="E60" t="s">
        <v>760</v>
      </c>
      <c r="F60" t="str">
        <f>VLOOKUP(E60,FifaCountryCode!A:B,2,FALSE)</f>
        <v>BRA</v>
      </c>
      <c r="M60" t="s">
        <v>776</v>
      </c>
      <c r="N60" t="str">
        <f>VLOOKUP(M60,FifaCountryCode!A:B,2,FALSE)</f>
        <v>CUB</v>
      </c>
    </row>
    <row r="61" spans="2:14" x14ac:dyDescent="0.25">
      <c r="B61">
        <v>1986</v>
      </c>
      <c r="C61" t="s">
        <v>1013</v>
      </c>
      <c r="E61" t="s">
        <v>211</v>
      </c>
      <c r="F61" t="str">
        <f>VLOOKUP(E61,FifaCountryCode!A:B,2,FALSE)</f>
        <v>DEN</v>
      </c>
      <c r="M61" t="s">
        <v>1076</v>
      </c>
      <c r="N61" t="str">
        <f>VLOOKUP(M61,FifaCountryCode!A:B,2,FALSE)</f>
        <v>INH</v>
      </c>
    </row>
    <row r="62" spans="2:14" x14ac:dyDescent="0.25">
      <c r="B62">
        <v>1986</v>
      </c>
      <c r="C62" t="s">
        <v>1013</v>
      </c>
      <c r="E62" t="s">
        <v>1021</v>
      </c>
      <c r="F62" t="str">
        <f>VLOOKUP(E62,FifaCountryCode!A:B,2,FALSE)</f>
        <v>ENG</v>
      </c>
      <c r="M62" t="s">
        <v>798</v>
      </c>
      <c r="N62" t="str">
        <f>VLOOKUP(M62,FifaCountryCode!A:B,2,FALSE)</f>
        <v>GHA</v>
      </c>
    </row>
    <row r="63" spans="2:14" x14ac:dyDescent="0.25">
      <c r="B63">
        <v>1986</v>
      </c>
      <c r="C63" t="s">
        <v>1013</v>
      </c>
      <c r="E63" t="s">
        <v>797</v>
      </c>
      <c r="F63" t="str">
        <f>VLOOKUP(E63,FifaCountryCode!A:B,2,FALSE)</f>
        <v>GER</v>
      </c>
      <c r="M63" t="s">
        <v>78</v>
      </c>
      <c r="N63" t="str">
        <f>VLOOKUP(M63,FifaCountryCode!A:B,2,FALSE)</f>
        <v>BIH</v>
      </c>
    </row>
    <row r="64" spans="2:14" x14ac:dyDescent="0.25">
      <c r="B64">
        <v>1986</v>
      </c>
      <c r="C64" t="s">
        <v>1013</v>
      </c>
      <c r="E64" t="s">
        <v>224</v>
      </c>
      <c r="F64" t="str">
        <f>VLOOKUP(E64,FifaCountryCode!A:B,2,FALSE)</f>
        <v>FRA</v>
      </c>
      <c r="M64" t="s">
        <v>782</v>
      </c>
      <c r="N64" t="str">
        <f>VLOOKUP(M64,FifaCountryCode!A:B,2,FALSE)</f>
        <v>ECU</v>
      </c>
    </row>
    <row r="65" spans="2:14" x14ac:dyDescent="0.25">
      <c r="B65">
        <v>1986</v>
      </c>
      <c r="C65" t="s">
        <v>1013</v>
      </c>
      <c r="E65" t="s">
        <v>749</v>
      </c>
      <c r="F65" t="str">
        <f>VLOOKUP(E65,FifaCountryCode!A:B,2,FALSE)</f>
        <v>ARG</v>
      </c>
      <c r="M65" t="s">
        <v>1077</v>
      </c>
      <c r="N65" t="e">
        <f>VLOOKUP(M65,FifaCountryCode!A:B,2,FALSE)</f>
        <v>#N/A</v>
      </c>
    </row>
    <row r="66" spans="2:14" x14ac:dyDescent="0.25">
      <c r="B66">
        <v>1986</v>
      </c>
      <c r="C66" t="s">
        <v>1013</v>
      </c>
      <c r="E66" t="s">
        <v>760</v>
      </c>
      <c r="F66" t="str">
        <f>VLOOKUP(E66,FifaCountryCode!A:B,2,FALSE)</f>
        <v>BRA</v>
      </c>
      <c r="M66" t="s">
        <v>799</v>
      </c>
      <c r="N66" t="str">
        <f>VLOOKUP(M66,FifaCountryCode!A:B,2,FALSE)</f>
        <v>GRE</v>
      </c>
    </row>
    <row r="67" spans="2:14" x14ac:dyDescent="0.25">
      <c r="B67">
        <v>1986</v>
      </c>
      <c r="C67" t="s">
        <v>1013</v>
      </c>
      <c r="E67" t="s">
        <v>756</v>
      </c>
      <c r="F67" t="str">
        <f>VLOOKUP(E67,FifaCountryCode!A:B,2,FALSE)</f>
        <v>BEL</v>
      </c>
      <c r="M67" t="s">
        <v>890</v>
      </c>
      <c r="N67" t="str">
        <f>VLOOKUP(M67,FifaCountryCode!A:B,2,FALSE)</f>
        <v>SVN</v>
      </c>
    </row>
    <row r="68" spans="2:14" x14ac:dyDescent="0.25">
      <c r="B68">
        <v>1986</v>
      </c>
      <c r="C68" t="s">
        <v>1013</v>
      </c>
      <c r="E68" t="s">
        <v>761</v>
      </c>
      <c r="F68" t="str">
        <f>VLOOKUP(E68,FifaCountryCode!A:B,2,FALSE)</f>
        <v>BUL</v>
      </c>
      <c r="M68" t="s">
        <v>893</v>
      </c>
      <c r="N68" t="str">
        <f>VLOOKUP(M68,FifaCountryCode!A:B,2,FALSE)</f>
        <v>RSA</v>
      </c>
    </row>
    <row r="69" spans="2:14" x14ac:dyDescent="0.25">
      <c r="B69">
        <v>1986</v>
      </c>
      <c r="C69" t="s">
        <v>1022</v>
      </c>
      <c r="D69" t="s">
        <v>1023</v>
      </c>
      <c r="E69" t="s">
        <v>1026</v>
      </c>
      <c r="F69" t="str">
        <f>VLOOKUP(E69,FifaCountryCode!A:B,2,FALSE)</f>
        <v>SCO</v>
      </c>
      <c r="M69" t="s">
        <v>1078</v>
      </c>
      <c r="N69" t="str">
        <f>VLOOKUP(M69,FifaCountryCode!A:B,2,FALSE)</f>
        <v>CZE</v>
      </c>
    </row>
    <row r="70" spans="2:14" x14ac:dyDescent="0.25">
      <c r="B70">
        <v>1986</v>
      </c>
      <c r="C70" t="s">
        <v>1034</v>
      </c>
      <c r="D70" t="s">
        <v>1035</v>
      </c>
      <c r="E70" t="s">
        <v>817</v>
      </c>
      <c r="F70" t="str">
        <f>VLOOKUP(E70,FifaCountryCode!A:B,2,FALSE)</f>
        <v>ITA</v>
      </c>
      <c r="M70" t="s">
        <v>748</v>
      </c>
      <c r="N70" t="str">
        <f>VLOOKUP(M70,FifaCountryCode!A:B,2,FALSE)</f>
        <v>ANG</v>
      </c>
    </row>
    <row r="71" spans="2:14" x14ac:dyDescent="0.25">
      <c r="B71">
        <v>2018</v>
      </c>
      <c r="C71" t="s">
        <v>1013</v>
      </c>
      <c r="D71" t="s">
        <v>1039</v>
      </c>
      <c r="E71" t="s">
        <v>224</v>
      </c>
      <c r="F71" t="str">
        <f>VLOOKUP(E71,FifaCountryCode!A:B,2,FALSE)</f>
        <v>FRA</v>
      </c>
      <c r="M71" t="s">
        <v>315</v>
      </c>
      <c r="N71" t="e">
        <f>VLOOKUP(M71,FifaCountryCode!A:B,2,FALSE)</f>
        <v>#N/A</v>
      </c>
    </row>
    <row r="72" spans="2:14" x14ac:dyDescent="0.25">
      <c r="B72">
        <v>2018</v>
      </c>
      <c r="C72" t="s">
        <v>1013</v>
      </c>
      <c r="D72" t="s">
        <v>1039</v>
      </c>
      <c r="E72" t="s">
        <v>916</v>
      </c>
      <c r="F72" t="str">
        <f>VLOOKUP(E72,FifaCountryCode!A:B,2,FALSE)</f>
        <v>URU</v>
      </c>
      <c r="M72" t="s">
        <v>294</v>
      </c>
      <c r="N72" t="e">
        <f>VLOOKUP(M72,FifaCountryCode!A:B,2,FALSE)</f>
        <v>#N/A</v>
      </c>
    </row>
    <row r="73" spans="2:14" x14ac:dyDescent="0.25">
      <c r="B73">
        <v>2018</v>
      </c>
      <c r="C73" t="s">
        <v>1013</v>
      </c>
      <c r="D73" t="s">
        <v>1039</v>
      </c>
      <c r="E73" t="s">
        <v>895</v>
      </c>
      <c r="F73" t="str">
        <f>VLOOKUP(E73,FifaCountryCode!A:B,2,FALSE)</f>
        <v>ESP</v>
      </c>
      <c r="M73" t="s">
        <v>327</v>
      </c>
      <c r="N73" t="str">
        <f>VLOOKUP(M73,FifaCountryCode!A:B,2,FALSE)</f>
        <v>JAM</v>
      </c>
    </row>
    <row r="74" spans="2:14" x14ac:dyDescent="0.25">
      <c r="B74">
        <v>2018</v>
      </c>
      <c r="C74" t="s">
        <v>1013</v>
      </c>
      <c r="D74" t="s">
        <v>1039</v>
      </c>
      <c r="E74" t="s">
        <v>775</v>
      </c>
      <c r="F74" t="str">
        <f>VLOOKUP(E74,FifaCountryCode!A:B,2,FALSE)</f>
        <v>CRO</v>
      </c>
      <c r="M74" t="s">
        <v>11</v>
      </c>
      <c r="N74" t="str">
        <f>VLOOKUP(M74,FifaCountryCode!A:B,2,FALSE)</f>
        <v>USA</v>
      </c>
    </row>
    <row r="75" spans="2:14" x14ac:dyDescent="0.25">
      <c r="B75">
        <v>2018</v>
      </c>
      <c r="C75" t="s">
        <v>1013</v>
      </c>
      <c r="D75" t="s">
        <v>1039</v>
      </c>
      <c r="E75" t="s">
        <v>760</v>
      </c>
      <c r="F75" t="str">
        <f>VLOOKUP(E75,FifaCountryCode!A:B,2,FALSE)</f>
        <v>BRA</v>
      </c>
      <c r="M75" t="s">
        <v>84</v>
      </c>
      <c r="N75" t="str">
        <f>VLOOKUP(M75,FifaCountryCode!A:B,2,FALSE)</f>
        <v>NOR</v>
      </c>
    </row>
    <row r="76" spans="2:14" x14ac:dyDescent="0.25">
      <c r="B76">
        <v>2018</v>
      </c>
      <c r="C76" t="s">
        <v>1013</v>
      </c>
      <c r="D76" t="s">
        <v>1039</v>
      </c>
      <c r="E76" t="s">
        <v>756</v>
      </c>
      <c r="F76" t="str">
        <f>VLOOKUP(E76,FifaCountryCode!A:B,2,FALSE)</f>
        <v>BEL</v>
      </c>
      <c r="M76" t="s">
        <v>1079</v>
      </c>
      <c r="N76" t="str">
        <f>VLOOKUP(M76,FifaCountryCode!A:B,2,FALSE)</f>
        <v>UAE</v>
      </c>
    </row>
    <row r="77" spans="2:14" x14ac:dyDescent="0.25">
      <c r="B77">
        <v>2018</v>
      </c>
      <c r="C77" t="s">
        <v>1013</v>
      </c>
      <c r="D77" t="s">
        <v>1039</v>
      </c>
      <c r="E77" t="s">
        <v>900</v>
      </c>
      <c r="F77" t="str">
        <f>VLOOKUP(E77,FifaCountryCode!A:B,2,FALSE)</f>
        <v>SWE</v>
      </c>
    </row>
    <row r="78" spans="2:14" x14ac:dyDescent="0.25">
      <c r="B78">
        <v>2018</v>
      </c>
      <c r="C78" t="s">
        <v>1013</v>
      </c>
      <c r="D78" t="s">
        <v>1039</v>
      </c>
      <c r="E78" t="s">
        <v>771</v>
      </c>
      <c r="F78" t="str">
        <f>VLOOKUP(E78,FifaCountryCode!A:B,2,FALSE)</f>
        <v>COL</v>
      </c>
    </row>
    <row r="79" spans="2:14" x14ac:dyDescent="0.25">
      <c r="B79">
        <v>2018</v>
      </c>
      <c r="C79" t="s">
        <v>1038</v>
      </c>
      <c r="D79" t="s">
        <v>1040</v>
      </c>
      <c r="E79" t="s">
        <v>916</v>
      </c>
      <c r="F79" t="str">
        <f>VLOOKUP(E79,FifaCountryCode!A:B,2,FALSE)</f>
        <v>URU</v>
      </c>
    </row>
    <row r="80" spans="2:14" x14ac:dyDescent="0.25">
      <c r="B80">
        <v>2018</v>
      </c>
      <c r="C80" t="s">
        <v>1038</v>
      </c>
      <c r="D80" t="s">
        <v>1040</v>
      </c>
      <c r="E80" t="s">
        <v>760</v>
      </c>
      <c r="F80" t="str">
        <f>VLOOKUP(E80,FifaCountryCode!A:B,2,FALSE)</f>
        <v>BRA</v>
      </c>
    </row>
    <row r="81" spans="2:6" x14ac:dyDescent="0.25">
      <c r="B81">
        <v>2018</v>
      </c>
      <c r="C81" t="s">
        <v>1038</v>
      </c>
      <c r="D81" t="s">
        <v>1040</v>
      </c>
      <c r="E81" t="s">
        <v>900</v>
      </c>
      <c r="F81" t="str">
        <f>VLOOKUP(E81,FifaCountryCode!A:B,2,FALSE)</f>
        <v>SWE</v>
      </c>
    </row>
    <row r="82" spans="2:6" x14ac:dyDescent="0.25">
      <c r="B82">
        <v>2018</v>
      </c>
      <c r="C82" t="s">
        <v>1038</v>
      </c>
      <c r="D82" t="s">
        <v>1040</v>
      </c>
      <c r="E82" t="s">
        <v>1041</v>
      </c>
      <c r="F82" t="str">
        <f>VLOOKUP(E82,FifaCountryCode!A:B,2,FALSE)</f>
        <v>RUS</v>
      </c>
    </row>
    <row r="83" spans="2:6" x14ac:dyDescent="0.25">
      <c r="B83">
        <v>2018</v>
      </c>
      <c r="C83" t="s">
        <v>1036</v>
      </c>
      <c r="D83" t="s">
        <v>1042</v>
      </c>
      <c r="E83" t="s">
        <v>224</v>
      </c>
      <c r="F83" t="str">
        <f>VLOOKUP(E83,FifaCountryCode!A:B,2,FALSE)</f>
        <v>FRA</v>
      </c>
    </row>
    <row r="84" spans="2:6" x14ac:dyDescent="0.25">
      <c r="B84">
        <v>2018</v>
      </c>
      <c r="C84" t="s">
        <v>1036</v>
      </c>
      <c r="D84" t="s">
        <v>1042</v>
      </c>
      <c r="E84" t="s">
        <v>775</v>
      </c>
      <c r="F84" t="str">
        <f>VLOOKUP(E84,FifaCountryCode!A:B,2,FALSE)</f>
        <v>CRO</v>
      </c>
    </row>
    <row r="85" spans="2:6" x14ac:dyDescent="0.25">
      <c r="B85">
        <v>2018</v>
      </c>
      <c r="C85" t="s">
        <v>1018</v>
      </c>
      <c r="D85" t="s">
        <v>1043</v>
      </c>
      <c r="E85" t="s">
        <v>756</v>
      </c>
      <c r="F85" t="str">
        <f>VLOOKUP(E85,FifaCountryCode!A:B,2,FALSE)</f>
        <v>BEL</v>
      </c>
    </row>
    <row r="86" spans="2:6" x14ac:dyDescent="0.25">
      <c r="B86">
        <v>2018</v>
      </c>
      <c r="C86" t="s">
        <v>1015</v>
      </c>
      <c r="D86" t="s">
        <v>1044</v>
      </c>
      <c r="E86" t="s">
        <v>224</v>
      </c>
      <c r="F86" t="str">
        <f>VLOOKUP(E86,FifaCountryCode!A:B,2,FALSE)</f>
        <v>FRA</v>
      </c>
    </row>
    <row r="87" spans="2:6" x14ac:dyDescent="0.25">
      <c r="B87">
        <v>1982</v>
      </c>
      <c r="C87" t="s">
        <v>1045</v>
      </c>
      <c r="D87">
        <v>5</v>
      </c>
      <c r="E87" t="s">
        <v>1033</v>
      </c>
      <c r="F87" t="str">
        <f>VLOOKUP(E87,FifaCountryCode!A:B,2,FALSE)</f>
        <v>NIR</v>
      </c>
    </row>
    <row r="88" spans="2:6" x14ac:dyDescent="0.25">
      <c r="B88">
        <v>1982</v>
      </c>
      <c r="C88" t="s">
        <v>1046</v>
      </c>
      <c r="D88">
        <v>4</v>
      </c>
      <c r="E88" t="s">
        <v>1021</v>
      </c>
      <c r="F88" t="str">
        <f>VLOOKUP(E88,FifaCountryCode!A:B,2,FALSE)</f>
        <v>ENG</v>
      </c>
    </row>
    <row r="89" spans="2:6" x14ac:dyDescent="0.25">
      <c r="B89">
        <v>1982</v>
      </c>
      <c r="C89" t="s">
        <v>1047</v>
      </c>
      <c r="D89">
        <v>2</v>
      </c>
      <c r="E89" t="s">
        <v>751</v>
      </c>
      <c r="F89" t="str">
        <f>VLOOKUP(E89,FifaCountryCode!A:B,2,FALSE)</f>
        <v>AUT</v>
      </c>
    </row>
    <row r="90" spans="2:6" x14ac:dyDescent="0.25">
      <c r="B90">
        <v>1982</v>
      </c>
      <c r="C90" t="s">
        <v>1045</v>
      </c>
      <c r="D90">
        <v>5</v>
      </c>
      <c r="E90" t="s">
        <v>810</v>
      </c>
      <c r="F90" t="str">
        <f>VLOOKUP(E90,FifaCountryCode!A:B,2,FALSE)</f>
        <v>HON</v>
      </c>
    </row>
    <row r="91" spans="2:6" x14ac:dyDescent="0.25">
      <c r="B91">
        <v>1982</v>
      </c>
      <c r="C91" t="s">
        <v>1046</v>
      </c>
      <c r="D91">
        <v>4</v>
      </c>
      <c r="E91" t="s">
        <v>1037</v>
      </c>
      <c r="F91" t="str">
        <f>VLOOKUP(E91,FifaCountryCode!A:B,2,FALSE)</f>
        <v>TCH</v>
      </c>
    </row>
    <row r="92" spans="2:6" x14ac:dyDescent="0.25">
      <c r="B92">
        <v>1982</v>
      </c>
      <c r="C92" t="s">
        <v>1047</v>
      </c>
      <c r="D92">
        <v>2</v>
      </c>
      <c r="E92" t="s">
        <v>745</v>
      </c>
      <c r="F92" t="str">
        <f>VLOOKUP(E92,FifaCountryCode!A:B,2,FALSE)</f>
        <v>ALG</v>
      </c>
    </row>
    <row r="93" spans="2:6" x14ac:dyDescent="0.25">
      <c r="B93">
        <v>1982</v>
      </c>
      <c r="C93" t="s">
        <v>1048</v>
      </c>
      <c r="D93">
        <v>6</v>
      </c>
      <c r="E93" t="s">
        <v>760</v>
      </c>
      <c r="F93" t="str">
        <f>VLOOKUP(E93,FifaCountryCode!A:B,2,FALSE)</f>
        <v>BRA</v>
      </c>
    </row>
    <row r="94" spans="2:6" x14ac:dyDescent="0.25">
      <c r="B94">
        <v>1982</v>
      </c>
      <c r="C94" t="s">
        <v>1049</v>
      </c>
      <c r="D94">
        <v>3</v>
      </c>
      <c r="E94" t="s">
        <v>749</v>
      </c>
      <c r="F94" t="str">
        <f>VLOOKUP(E94,FifaCountryCode!A:B,2,FALSE)</f>
        <v>ARG</v>
      </c>
    </row>
    <row r="95" spans="2:6" x14ac:dyDescent="0.25">
      <c r="B95">
        <v>1982</v>
      </c>
      <c r="C95" t="s">
        <v>1050</v>
      </c>
      <c r="D95">
        <v>1</v>
      </c>
      <c r="E95" t="s">
        <v>764</v>
      </c>
      <c r="F95" t="str">
        <f>VLOOKUP(E95,FifaCountryCode!A:B,2,FALSE)</f>
        <v>CMR</v>
      </c>
    </row>
    <row r="96" spans="2:6" x14ac:dyDescent="0.25">
      <c r="B96">
        <v>1982</v>
      </c>
      <c r="C96" t="s">
        <v>1048</v>
      </c>
      <c r="D96">
        <v>6</v>
      </c>
      <c r="E96" t="s">
        <v>1026</v>
      </c>
      <c r="F96" t="str">
        <f>VLOOKUP(E96,FifaCountryCode!A:B,2,FALSE)</f>
        <v>SCO</v>
      </c>
    </row>
    <row r="97" spans="2:6" x14ac:dyDescent="0.25">
      <c r="B97">
        <v>1982</v>
      </c>
      <c r="C97" t="s">
        <v>1049</v>
      </c>
      <c r="D97">
        <v>3</v>
      </c>
      <c r="E97" t="s">
        <v>756</v>
      </c>
      <c r="F97" t="str">
        <f>VLOOKUP(E97,FifaCountryCode!A:B,2,FALSE)</f>
        <v>BEL</v>
      </c>
    </row>
    <row r="98" spans="2:6" x14ac:dyDescent="0.25">
      <c r="B98">
        <v>1982</v>
      </c>
      <c r="C98" t="s">
        <v>1050</v>
      </c>
      <c r="D98">
        <v>1</v>
      </c>
      <c r="E98" t="s">
        <v>867</v>
      </c>
      <c r="F98" t="str">
        <f>VLOOKUP(E98,FifaCountryCode!A:B,2,FALSE)</f>
        <v>PER</v>
      </c>
    </row>
    <row r="99" spans="2:6" x14ac:dyDescent="0.25">
      <c r="B99">
        <v>1982</v>
      </c>
      <c r="C99" t="s">
        <v>1046</v>
      </c>
      <c r="D99">
        <v>4</v>
      </c>
      <c r="E99" t="s">
        <v>224</v>
      </c>
      <c r="F99" t="str">
        <f>VLOOKUP(E99,FifaCountryCode!A:B,2,FALSE)</f>
        <v>FRA</v>
      </c>
    </row>
    <row r="100" spans="2:6" x14ac:dyDescent="0.25">
      <c r="B100">
        <v>1982</v>
      </c>
      <c r="C100" t="s">
        <v>1045</v>
      </c>
      <c r="D100">
        <v>5</v>
      </c>
      <c r="E100" t="s">
        <v>895</v>
      </c>
      <c r="F100" t="str">
        <f>VLOOKUP(E100,FifaCountryCode!A:B,2,FALSE)</f>
        <v>ESP</v>
      </c>
    </row>
    <row r="101" spans="2:6" x14ac:dyDescent="0.25">
      <c r="B101">
        <v>1982</v>
      </c>
      <c r="C101" t="s">
        <v>1047</v>
      </c>
      <c r="D101">
        <v>2</v>
      </c>
      <c r="E101" t="s">
        <v>768</v>
      </c>
      <c r="F101" t="str">
        <f>VLOOKUP(E101,FifaCountryCode!A:B,2,FALSE)</f>
        <v>CHI</v>
      </c>
    </row>
    <row r="102" spans="2:6" x14ac:dyDescent="0.25">
      <c r="B102">
        <v>1982</v>
      </c>
      <c r="C102" t="s">
        <v>1048</v>
      </c>
      <c r="D102">
        <v>6</v>
      </c>
      <c r="E102" t="s">
        <v>147</v>
      </c>
      <c r="F102" t="str">
        <f>VLOOKUP(E102,FifaCountryCode!A:B,2,FALSE)</f>
        <v>NZL</v>
      </c>
    </row>
    <row r="103" spans="2:6" x14ac:dyDescent="0.25">
      <c r="B103">
        <v>1982</v>
      </c>
      <c r="C103" t="s">
        <v>1050</v>
      </c>
      <c r="D103">
        <v>1</v>
      </c>
      <c r="E103" t="s">
        <v>817</v>
      </c>
      <c r="F103" t="str">
        <f>VLOOKUP(E103,FifaCountryCode!A:B,2,FALSE)</f>
        <v>ITA</v>
      </c>
    </row>
    <row r="104" spans="2:6" x14ac:dyDescent="0.25">
      <c r="B104">
        <v>1982</v>
      </c>
      <c r="C104" t="s">
        <v>1049</v>
      </c>
      <c r="D104">
        <v>3</v>
      </c>
      <c r="E104" t="s">
        <v>784</v>
      </c>
      <c r="F104" t="str">
        <f>VLOOKUP(E104,FifaCountryCode!A:B,2,FALSE)</f>
        <v>SLV</v>
      </c>
    </row>
    <row r="105" spans="2:6" x14ac:dyDescent="0.25">
      <c r="B105">
        <v>1978</v>
      </c>
      <c r="C105" t="s">
        <v>1015</v>
      </c>
      <c r="E105" t="s">
        <v>749</v>
      </c>
      <c r="F105" t="str">
        <f>VLOOKUP(E105,FifaCountryCode!A:B,2,FALSE)</f>
        <v>ARG</v>
      </c>
    </row>
    <row r="106" spans="2:6" x14ac:dyDescent="0.25">
      <c r="B106">
        <v>1978</v>
      </c>
      <c r="E106" t="s">
        <v>760</v>
      </c>
      <c r="F106" t="str">
        <f>VLOOKUP(E106,FifaCountryCode!A:B,2,FALSE)</f>
        <v>BRA</v>
      </c>
    </row>
    <row r="107" spans="2:6" x14ac:dyDescent="0.25">
      <c r="B107">
        <v>1978</v>
      </c>
      <c r="C107" t="s">
        <v>1027</v>
      </c>
      <c r="D107" t="s">
        <v>1028</v>
      </c>
      <c r="E107" t="s">
        <v>749</v>
      </c>
      <c r="F107" t="str">
        <f>VLOOKUP(E107,FifaCountryCode!A:B,2,FALSE)</f>
        <v>ARG</v>
      </c>
    </row>
    <row r="108" spans="2:6" x14ac:dyDescent="0.25">
      <c r="B108">
        <v>1978</v>
      </c>
      <c r="C108" t="s">
        <v>1027</v>
      </c>
      <c r="D108" t="s">
        <v>1028</v>
      </c>
      <c r="E108" t="s">
        <v>760</v>
      </c>
      <c r="F108" t="str">
        <f>VLOOKUP(E108,FifaCountryCode!A:B,2,FALSE)</f>
        <v>BRA</v>
      </c>
    </row>
    <row r="109" spans="2:6" x14ac:dyDescent="0.25">
      <c r="B109">
        <v>1978</v>
      </c>
      <c r="C109" t="s">
        <v>1034</v>
      </c>
      <c r="D109" t="s">
        <v>1035</v>
      </c>
      <c r="E109" t="s">
        <v>817</v>
      </c>
      <c r="F109" t="str">
        <f>VLOOKUP(E109,FifaCountryCode!A:B,2,FALSE)</f>
        <v>ITA</v>
      </c>
    </row>
    <row r="110" spans="2:6" x14ac:dyDescent="0.25">
      <c r="B110">
        <v>1978</v>
      </c>
      <c r="C110" t="s">
        <v>1034</v>
      </c>
      <c r="D110" t="s">
        <v>1035</v>
      </c>
      <c r="E110" t="s">
        <v>751</v>
      </c>
      <c r="F110" t="str">
        <f>VLOOKUP(E110,FifaCountryCode!A:B,2,FALSE)</f>
        <v>AUT</v>
      </c>
    </row>
    <row r="111" spans="2:6" x14ac:dyDescent="0.25">
      <c r="B111">
        <v>1978</v>
      </c>
      <c r="C111" t="s">
        <v>1027</v>
      </c>
      <c r="D111" t="s">
        <v>1028</v>
      </c>
      <c r="E111" t="s">
        <v>867</v>
      </c>
      <c r="F111" t="str">
        <f>VLOOKUP(E111,FifaCountryCode!A:B,2,FALSE)</f>
        <v>PER</v>
      </c>
    </row>
    <row r="112" spans="2:6" x14ac:dyDescent="0.25">
      <c r="B112">
        <v>1978</v>
      </c>
      <c r="C112" t="s">
        <v>1034</v>
      </c>
      <c r="D112" t="s">
        <v>1035</v>
      </c>
      <c r="E112" t="s">
        <v>797</v>
      </c>
      <c r="F112" t="str">
        <f>VLOOKUP(E112,FifaCountryCode!A:B,2,FALSE)</f>
        <v>GER</v>
      </c>
    </row>
    <row r="113" spans="2:6" x14ac:dyDescent="0.25">
      <c r="B113">
        <v>1978</v>
      </c>
      <c r="C113" t="s">
        <v>1046</v>
      </c>
      <c r="D113">
        <v>4</v>
      </c>
      <c r="E113" t="s">
        <v>33</v>
      </c>
      <c r="F113" t="str">
        <f>VLOOKUP(E113,FifaCountryCode!A:B,2,FALSE)</f>
        <v>NED</v>
      </c>
    </row>
    <row r="114" spans="2:6" x14ac:dyDescent="0.25">
      <c r="B114">
        <v>1978</v>
      </c>
      <c r="C114" t="s">
        <v>1046</v>
      </c>
      <c r="D114">
        <v>4</v>
      </c>
      <c r="E114" t="s">
        <v>1051</v>
      </c>
      <c r="F114" t="str">
        <f>VLOOKUP(E114,FifaCountryCode!A:B,2,FALSE)</f>
        <v>IRN</v>
      </c>
    </row>
    <row r="115" spans="2:6" x14ac:dyDescent="0.25">
      <c r="B115">
        <v>1978</v>
      </c>
      <c r="C115" t="s">
        <v>1049</v>
      </c>
      <c r="D115">
        <v>3</v>
      </c>
      <c r="E115" t="s">
        <v>751</v>
      </c>
      <c r="F115" t="str">
        <f>VLOOKUP(E115,FifaCountryCode!A:B,2,FALSE)</f>
        <v>AUT</v>
      </c>
    </row>
    <row r="116" spans="2:6" x14ac:dyDescent="0.25">
      <c r="B116">
        <v>1978</v>
      </c>
      <c r="C116" t="s">
        <v>1049</v>
      </c>
      <c r="D116">
        <v>3</v>
      </c>
      <c r="E116" t="s">
        <v>895</v>
      </c>
      <c r="F116" t="str">
        <f>VLOOKUP(E116,FifaCountryCode!A:B,2,FALSE)</f>
        <v>ESP</v>
      </c>
    </row>
    <row r="117" spans="2:6" x14ac:dyDescent="0.25">
      <c r="B117">
        <v>1978</v>
      </c>
      <c r="C117" t="s">
        <v>1047</v>
      </c>
      <c r="D117">
        <v>2</v>
      </c>
      <c r="E117" t="s">
        <v>845</v>
      </c>
      <c r="F117" t="str">
        <f>VLOOKUP(E117,FifaCountryCode!A:B,2,FALSE)</f>
        <v>MEX</v>
      </c>
    </row>
    <row r="118" spans="2:6" x14ac:dyDescent="0.25">
      <c r="B118">
        <v>1978</v>
      </c>
      <c r="C118" t="s">
        <v>1047</v>
      </c>
      <c r="D118">
        <v>2</v>
      </c>
      <c r="E118" t="s">
        <v>797</v>
      </c>
      <c r="F118" t="str">
        <f>VLOOKUP(E118,FifaCountryCode!A:B,2,FALSE)</f>
        <v>GER</v>
      </c>
    </row>
    <row r="119" spans="2:6" x14ac:dyDescent="0.25">
      <c r="B119">
        <v>1978</v>
      </c>
      <c r="C119" t="s">
        <v>1050</v>
      </c>
      <c r="D119">
        <v>1</v>
      </c>
      <c r="E119" t="s">
        <v>749</v>
      </c>
      <c r="F119" t="str">
        <f>VLOOKUP(E119,FifaCountryCode!A:B,2,FALSE)</f>
        <v>ARG</v>
      </c>
    </row>
    <row r="120" spans="2:6" x14ac:dyDescent="0.25">
      <c r="B120">
        <v>1978</v>
      </c>
      <c r="C120" t="s">
        <v>1050</v>
      </c>
      <c r="D120">
        <v>1</v>
      </c>
      <c r="E120" t="s">
        <v>224</v>
      </c>
      <c r="F120" t="str">
        <f>VLOOKUP(E120,FifaCountryCode!A:B,2,FALSE)</f>
        <v>FRA</v>
      </c>
    </row>
    <row r="121" spans="2:6" x14ac:dyDescent="0.25">
      <c r="B121">
        <v>1978</v>
      </c>
      <c r="C121" t="s">
        <v>1049</v>
      </c>
      <c r="D121">
        <v>3</v>
      </c>
      <c r="E121" t="s">
        <v>760</v>
      </c>
      <c r="F121" t="str">
        <f>VLOOKUP(E121,FifaCountryCode!A:B,2,FALSE)</f>
        <v>BRA</v>
      </c>
    </row>
    <row r="122" spans="2:6" x14ac:dyDescent="0.25">
      <c r="B122">
        <v>1978</v>
      </c>
      <c r="C122" t="s">
        <v>1047</v>
      </c>
      <c r="D122">
        <v>2</v>
      </c>
      <c r="E122" t="s">
        <v>870</v>
      </c>
      <c r="F122" t="str">
        <f>VLOOKUP(E122,FifaCountryCode!A:B,2,FALSE)</f>
        <v>POL</v>
      </c>
    </row>
    <row r="123" spans="2:6" x14ac:dyDescent="0.25">
      <c r="B123">
        <v>1978</v>
      </c>
      <c r="C123" t="s">
        <v>1050</v>
      </c>
      <c r="D123">
        <v>1</v>
      </c>
      <c r="E123" t="s">
        <v>297</v>
      </c>
      <c r="F123" t="str">
        <f>VLOOKUP(E123,FifaCountryCode!A:B,2,FALSE)</f>
        <v>HUN</v>
      </c>
    </row>
    <row r="124" spans="2:6" x14ac:dyDescent="0.25">
      <c r="B124">
        <v>1978</v>
      </c>
      <c r="C124" t="s">
        <v>1046</v>
      </c>
      <c r="D124">
        <v>4</v>
      </c>
      <c r="E124" t="s">
        <v>867</v>
      </c>
      <c r="F124" t="str">
        <f>VLOOKUP(E124,FifaCountryCode!A:B,2,FALSE)</f>
        <v>PER</v>
      </c>
    </row>
    <row r="125" spans="2:6" x14ac:dyDescent="0.25">
      <c r="B125">
        <v>1974</v>
      </c>
      <c r="C125" t="s">
        <v>1015</v>
      </c>
      <c r="E125" t="s">
        <v>797</v>
      </c>
      <c r="F125" t="str">
        <f>VLOOKUP(E125,FifaCountryCode!A:B,2,FALSE)</f>
        <v>GER</v>
      </c>
    </row>
    <row r="126" spans="2:6" x14ac:dyDescent="0.25">
      <c r="B126">
        <v>1974</v>
      </c>
      <c r="E126" t="s">
        <v>760</v>
      </c>
      <c r="F126" t="str">
        <f>VLOOKUP(E126,FifaCountryCode!A:B,2,FALSE)</f>
        <v>BRA</v>
      </c>
    </row>
    <row r="127" spans="2:6" x14ac:dyDescent="0.25">
      <c r="B127">
        <v>1974</v>
      </c>
      <c r="C127" t="s">
        <v>1027</v>
      </c>
      <c r="D127" t="s">
        <v>1028</v>
      </c>
      <c r="E127" t="s">
        <v>900</v>
      </c>
      <c r="F127" t="str">
        <f>VLOOKUP(E127,FifaCountryCode!A:B,2,FALSE)</f>
        <v>SWE</v>
      </c>
    </row>
    <row r="128" spans="2:6" x14ac:dyDescent="0.25">
      <c r="B128">
        <v>1974</v>
      </c>
      <c r="C128" t="s">
        <v>1027</v>
      </c>
      <c r="D128" t="s">
        <v>1028</v>
      </c>
      <c r="E128" t="s">
        <v>797</v>
      </c>
      <c r="F128" t="str">
        <f>VLOOKUP(E128,FifaCountryCode!A:B,2,FALSE)</f>
        <v>GER</v>
      </c>
    </row>
    <row r="129" spans="2:6" x14ac:dyDescent="0.25">
      <c r="B129">
        <v>1974</v>
      </c>
      <c r="C129" t="s">
        <v>1034</v>
      </c>
      <c r="D129" t="s">
        <v>1035</v>
      </c>
      <c r="E129" t="s">
        <v>760</v>
      </c>
      <c r="F129" t="str">
        <f>VLOOKUP(E129,FifaCountryCode!A:B,2,FALSE)</f>
        <v>BRA</v>
      </c>
    </row>
    <row r="130" spans="2:6" x14ac:dyDescent="0.25">
      <c r="B130">
        <v>1974</v>
      </c>
      <c r="C130" t="s">
        <v>1034</v>
      </c>
      <c r="D130" t="s">
        <v>1035</v>
      </c>
      <c r="E130" t="s">
        <v>749</v>
      </c>
      <c r="F130" t="str">
        <f>VLOOKUP(E130,FifaCountryCode!A:B,2,FALSE)</f>
        <v>ARG</v>
      </c>
    </row>
    <row r="131" spans="2:6" x14ac:dyDescent="0.25">
      <c r="B131">
        <v>1974</v>
      </c>
      <c r="C131" t="s">
        <v>1027</v>
      </c>
      <c r="D131" t="s">
        <v>1028</v>
      </c>
      <c r="E131" t="s">
        <v>870</v>
      </c>
      <c r="F131" t="str">
        <f>VLOOKUP(E131,FifaCountryCode!A:B,2,FALSE)</f>
        <v>POL</v>
      </c>
    </row>
    <row r="132" spans="2:6" x14ac:dyDescent="0.25">
      <c r="B132">
        <v>1974</v>
      </c>
      <c r="C132" t="s">
        <v>1034</v>
      </c>
      <c r="D132" t="s">
        <v>1035</v>
      </c>
      <c r="E132" t="s">
        <v>1052</v>
      </c>
      <c r="F132" t="str">
        <f>VLOOKUP(E132,FifaCountryCode!A:B,2,FALSE)</f>
        <v>GDR</v>
      </c>
    </row>
    <row r="133" spans="2:6" x14ac:dyDescent="0.25">
      <c r="B133">
        <v>1974</v>
      </c>
      <c r="E133" t="s">
        <v>749</v>
      </c>
      <c r="F133" t="str">
        <f>VLOOKUP(E133,FifaCountryCode!A:B,2,FALSE)</f>
        <v>ARG</v>
      </c>
    </row>
    <row r="134" spans="2:6" x14ac:dyDescent="0.25">
      <c r="B134">
        <v>1974</v>
      </c>
      <c r="E134" t="s">
        <v>817</v>
      </c>
      <c r="F134" t="str">
        <f>VLOOKUP(E134,FifaCountryCode!A:B,2,FALSE)</f>
        <v>ITA</v>
      </c>
    </row>
    <row r="135" spans="2:6" x14ac:dyDescent="0.25">
      <c r="B135">
        <v>1974</v>
      </c>
      <c r="E135" t="s">
        <v>900</v>
      </c>
      <c r="F135" t="str">
        <f>VLOOKUP(E135,FifaCountryCode!A:B,2,FALSE)</f>
        <v>SWE</v>
      </c>
    </row>
    <row r="136" spans="2:6" x14ac:dyDescent="0.25">
      <c r="B136">
        <v>1974</v>
      </c>
      <c r="E136" t="s">
        <v>761</v>
      </c>
      <c r="F136" t="str">
        <f>VLOOKUP(E136,FifaCountryCode!A:B,2,FALSE)</f>
        <v>BUL</v>
      </c>
    </row>
    <row r="137" spans="2:6" x14ac:dyDescent="0.25">
      <c r="B137">
        <v>1974</v>
      </c>
      <c r="E137" t="s">
        <v>1026</v>
      </c>
      <c r="F137" t="str">
        <f>VLOOKUP(E137,FifaCountryCode!A:B,2,FALSE)</f>
        <v>SCO</v>
      </c>
    </row>
    <row r="138" spans="2:6" x14ac:dyDescent="0.25">
      <c r="B138">
        <v>1974</v>
      </c>
      <c r="E138" t="s">
        <v>1052</v>
      </c>
      <c r="F138" t="str">
        <f>VLOOKUP(E138,FifaCountryCode!A:B,2,FALSE)</f>
        <v>GDR</v>
      </c>
    </row>
    <row r="139" spans="2:6" x14ac:dyDescent="0.25">
      <c r="B139">
        <v>1974</v>
      </c>
      <c r="E139" t="s">
        <v>128</v>
      </c>
      <c r="F139" t="str">
        <f>VLOOKUP(E139,FifaCountryCode!A:B,2,FALSE)</f>
        <v>AUS</v>
      </c>
    </row>
    <row r="140" spans="2:6" x14ac:dyDescent="0.25">
      <c r="B140">
        <v>1974</v>
      </c>
      <c r="E140" t="s">
        <v>807</v>
      </c>
      <c r="F140" t="str">
        <f>VLOOKUP(E140,FifaCountryCode!A:B,2,FALSE)</f>
        <v>HAI</v>
      </c>
    </row>
    <row r="141" spans="2:6" x14ac:dyDescent="0.25">
      <c r="B141">
        <v>1974</v>
      </c>
      <c r="E141" t="s">
        <v>33</v>
      </c>
      <c r="F141" t="str">
        <f>VLOOKUP(E141,FifaCountryCode!A:B,2,FALSE)</f>
        <v>NED</v>
      </c>
    </row>
    <row r="142" spans="2:6" x14ac:dyDescent="0.25">
      <c r="B142">
        <v>1974</v>
      </c>
      <c r="E142" t="s">
        <v>1084</v>
      </c>
      <c r="F142" t="str">
        <f>VLOOKUP(E142,FifaCountryCode!A:B,2,FALSE)</f>
        <v>CGO</v>
      </c>
    </row>
    <row r="143" spans="2:6" x14ac:dyDescent="0.25">
      <c r="B143">
        <v>1974</v>
      </c>
      <c r="E143" t="s">
        <v>768</v>
      </c>
      <c r="F143" t="str">
        <f>VLOOKUP(E143,FifaCountryCode!A:B,2,FALSE)</f>
        <v>CHI</v>
      </c>
    </row>
    <row r="144" spans="2:6" x14ac:dyDescent="0.25">
      <c r="B144">
        <v>1970</v>
      </c>
      <c r="C144" t="s">
        <v>1015</v>
      </c>
      <c r="E144" t="s">
        <v>760</v>
      </c>
      <c r="F144" t="str">
        <f>VLOOKUP(E144,FifaCountryCode!A:B,2,FALSE)</f>
        <v>BRA</v>
      </c>
    </row>
    <row r="145" spans="2:6" x14ac:dyDescent="0.25">
      <c r="B145">
        <v>1970</v>
      </c>
      <c r="C145" t="s">
        <v>1018</v>
      </c>
      <c r="E145" t="s">
        <v>797</v>
      </c>
      <c r="F145" t="str">
        <f>VLOOKUP(E145,FifaCountryCode!A:B,2,FALSE)</f>
        <v>GER</v>
      </c>
    </row>
    <row r="146" spans="2:6" x14ac:dyDescent="0.25">
      <c r="B146">
        <v>1970</v>
      </c>
      <c r="C146" t="s">
        <v>1036</v>
      </c>
      <c r="E146" t="s">
        <v>797</v>
      </c>
      <c r="F146" t="str">
        <f>VLOOKUP(E146,FifaCountryCode!A:B,2,FALSE)</f>
        <v>GER</v>
      </c>
    </row>
    <row r="147" spans="2:6" x14ac:dyDescent="0.25">
      <c r="B147">
        <v>1970</v>
      </c>
      <c r="C147" t="s">
        <v>1036</v>
      </c>
      <c r="E147" t="s">
        <v>760</v>
      </c>
      <c r="F147" t="str">
        <f>VLOOKUP(E147,FifaCountryCode!A:B,2,FALSE)</f>
        <v>BRA</v>
      </c>
    </row>
    <row r="148" spans="2:6" x14ac:dyDescent="0.25">
      <c r="B148">
        <v>1970</v>
      </c>
      <c r="C148" t="s">
        <v>1038</v>
      </c>
      <c r="E148" t="s">
        <v>1054</v>
      </c>
      <c r="F148" t="e">
        <f>VLOOKUP(E148,FifaCountryCode!A:B,2,FALSE)</f>
        <v>#N/A</v>
      </c>
    </row>
    <row r="149" spans="2:6" x14ac:dyDescent="0.25">
      <c r="B149">
        <v>1970</v>
      </c>
      <c r="C149" t="s">
        <v>1038</v>
      </c>
      <c r="E149" t="s">
        <v>817</v>
      </c>
      <c r="F149" t="str">
        <f>VLOOKUP(E149,FifaCountryCode!A:B,2,FALSE)</f>
        <v>ITA</v>
      </c>
    </row>
    <row r="150" spans="2:6" x14ac:dyDescent="0.25">
      <c r="B150">
        <v>1970</v>
      </c>
      <c r="C150" t="s">
        <v>1038</v>
      </c>
      <c r="E150" t="s">
        <v>760</v>
      </c>
      <c r="F150" t="str">
        <f>VLOOKUP(E150,FifaCountryCode!A:B,2,FALSE)</f>
        <v>BRA</v>
      </c>
    </row>
    <row r="151" spans="2:6" x14ac:dyDescent="0.25">
      <c r="B151">
        <v>1970</v>
      </c>
      <c r="C151" t="s">
        <v>1038</v>
      </c>
      <c r="E151" t="s">
        <v>1021</v>
      </c>
      <c r="F151" t="str">
        <f>VLOOKUP(E151,FifaCountryCode!A:B,2,FALSE)</f>
        <v>ENG</v>
      </c>
    </row>
    <row r="152" spans="2:6" x14ac:dyDescent="0.25">
      <c r="B152">
        <v>1970</v>
      </c>
      <c r="C152" t="s">
        <v>1046</v>
      </c>
      <c r="D152">
        <v>4</v>
      </c>
      <c r="E152" t="s">
        <v>761</v>
      </c>
      <c r="F152" t="str">
        <f>VLOOKUP(E152,FifaCountryCode!A:B,2,FALSE)</f>
        <v>BUL</v>
      </c>
    </row>
    <row r="153" spans="2:6" x14ac:dyDescent="0.25">
      <c r="B153">
        <v>1970</v>
      </c>
      <c r="C153" t="s">
        <v>1049</v>
      </c>
      <c r="D153">
        <v>3</v>
      </c>
      <c r="E153" t="s">
        <v>1037</v>
      </c>
      <c r="F153" t="str">
        <f>VLOOKUP(E153,FifaCountryCode!A:B,2,FALSE)</f>
        <v>TCH</v>
      </c>
    </row>
    <row r="154" spans="2:6" x14ac:dyDescent="0.25">
      <c r="B154">
        <v>1970</v>
      </c>
      <c r="C154" t="s">
        <v>1047</v>
      </c>
      <c r="D154">
        <v>2</v>
      </c>
      <c r="E154" t="s">
        <v>816</v>
      </c>
      <c r="F154" t="str">
        <f>VLOOKUP(E154,FifaCountryCode!A:B,2,FALSE)</f>
        <v>ISR</v>
      </c>
    </row>
    <row r="155" spans="2:6" x14ac:dyDescent="0.25">
      <c r="B155">
        <v>1970</v>
      </c>
      <c r="C155" t="s">
        <v>1050</v>
      </c>
      <c r="D155">
        <v>1</v>
      </c>
      <c r="E155" t="s">
        <v>756</v>
      </c>
      <c r="F155" t="str">
        <f>VLOOKUP(E155,FifaCountryCode!A:B,2,FALSE)</f>
        <v>BEL</v>
      </c>
    </row>
    <row r="156" spans="2:6" x14ac:dyDescent="0.25">
      <c r="B156">
        <v>1970</v>
      </c>
      <c r="C156" t="s">
        <v>1046</v>
      </c>
      <c r="D156">
        <v>4</v>
      </c>
      <c r="E156" t="s">
        <v>797</v>
      </c>
      <c r="F156" t="str">
        <f>VLOOKUP(E156,FifaCountryCode!A:B,2,FALSE)</f>
        <v>GER</v>
      </c>
    </row>
    <row r="157" spans="2:6" x14ac:dyDescent="0.25">
      <c r="B157">
        <v>1970</v>
      </c>
      <c r="C157" t="s">
        <v>1049</v>
      </c>
      <c r="D157">
        <v>3</v>
      </c>
      <c r="E157" t="s">
        <v>760</v>
      </c>
      <c r="F157" t="str">
        <f>VLOOKUP(E157,FifaCountryCode!A:B,2,FALSE)</f>
        <v>BRA</v>
      </c>
    </row>
    <row r="158" spans="2:6" x14ac:dyDescent="0.25">
      <c r="B158">
        <v>1970</v>
      </c>
      <c r="C158" t="s">
        <v>1047</v>
      </c>
      <c r="D158">
        <v>2</v>
      </c>
      <c r="E158" t="s">
        <v>900</v>
      </c>
      <c r="F158" t="str">
        <f>VLOOKUP(E158,FifaCountryCode!A:B,2,FALSE)</f>
        <v>SWE</v>
      </c>
    </row>
    <row r="159" spans="2:6" x14ac:dyDescent="0.25">
      <c r="B159">
        <v>1970</v>
      </c>
      <c r="C159" t="s">
        <v>1050</v>
      </c>
      <c r="D159">
        <v>1</v>
      </c>
      <c r="E159" t="s">
        <v>784</v>
      </c>
      <c r="F159" t="str">
        <f>VLOOKUP(E159,FifaCountryCode!A:B,2,FALSE)</f>
        <v>SLV</v>
      </c>
    </row>
    <row r="160" spans="2:6" x14ac:dyDescent="0.25">
      <c r="B160">
        <v>1970</v>
      </c>
      <c r="C160" t="s">
        <v>1046</v>
      </c>
      <c r="D160">
        <v>4</v>
      </c>
      <c r="E160" t="s">
        <v>849</v>
      </c>
      <c r="F160" t="str">
        <f>VLOOKUP(E160,FifaCountryCode!A:B,2,FALSE)</f>
        <v>MAR</v>
      </c>
    </row>
    <row r="161" spans="2:6" x14ac:dyDescent="0.25">
      <c r="B161">
        <v>1970</v>
      </c>
      <c r="C161" t="s">
        <v>1047</v>
      </c>
      <c r="D161">
        <v>2</v>
      </c>
      <c r="E161" t="s">
        <v>817</v>
      </c>
      <c r="F161" t="str">
        <f>VLOOKUP(E161,FifaCountryCode!A:B,2,FALSE)</f>
        <v>ITA</v>
      </c>
    </row>
    <row r="162" spans="2:6" x14ac:dyDescent="0.25">
      <c r="B162">
        <v>1970</v>
      </c>
      <c r="C162" t="s">
        <v>1049</v>
      </c>
      <c r="D162">
        <v>3</v>
      </c>
      <c r="E162" t="s">
        <v>1021</v>
      </c>
      <c r="F162" t="str">
        <f>VLOOKUP(E162,FifaCountryCode!A:B,2,FALSE)</f>
        <v>ENG</v>
      </c>
    </row>
    <row r="163" spans="2:6" x14ac:dyDescent="0.25">
      <c r="B163">
        <v>1970</v>
      </c>
      <c r="C163" t="s">
        <v>1050</v>
      </c>
      <c r="D163">
        <v>1</v>
      </c>
      <c r="E163" t="s">
        <v>845</v>
      </c>
      <c r="F163" t="str">
        <f>VLOOKUP(E163,FifaCountryCode!A:B,2,FALSE)</f>
        <v>MEX</v>
      </c>
    </row>
    <row r="164" spans="2:6" x14ac:dyDescent="0.25">
      <c r="B164">
        <v>1966</v>
      </c>
      <c r="C164" t="s">
        <v>1015</v>
      </c>
      <c r="E164" t="s">
        <v>1021</v>
      </c>
      <c r="F164" t="str">
        <f>VLOOKUP(E164,FifaCountryCode!A:B,2,FALSE)</f>
        <v>ENG</v>
      </c>
    </row>
    <row r="165" spans="2:6" x14ac:dyDescent="0.25">
      <c r="B165">
        <v>1966</v>
      </c>
      <c r="C165" t="s">
        <v>1018</v>
      </c>
      <c r="E165" t="s">
        <v>871</v>
      </c>
      <c r="F165" t="str">
        <f>VLOOKUP(E165,FifaCountryCode!A:B,2,FALSE)</f>
        <v>POR</v>
      </c>
    </row>
    <row r="166" spans="2:6" x14ac:dyDescent="0.25">
      <c r="B166">
        <v>1966</v>
      </c>
      <c r="C166" t="s">
        <v>1036</v>
      </c>
      <c r="E166" t="s">
        <v>1021</v>
      </c>
      <c r="F166" t="str">
        <f>VLOOKUP(E166,FifaCountryCode!A:B,2,FALSE)</f>
        <v>ENG</v>
      </c>
    </row>
    <row r="167" spans="2:6" x14ac:dyDescent="0.25">
      <c r="B167">
        <v>1966</v>
      </c>
      <c r="C167" t="s">
        <v>1036</v>
      </c>
      <c r="E167" t="s">
        <v>797</v>
      </c>
      <c r="F167" t="str">
        <f>VLOOKUP(E167,FifaCountryCode!A:B,2,FALSE)</f>
        <v>GER</v>
      </c>
    </row>
    <row r="168" spans="2:6" x14ac:dyDescent="0.25">
      <c r="B168">
        <v>1966</v>
      </c>
      <c r="C168" t="s">
        <v>1038</v>
      </c>
      <c r="E168" t="s">
        <v>749</v>
      </c>
      <c r="F168" t="str">
        <f>VLOOKUP(E168,FifaCountryCode!A:B,2,FALSE)</f>
        <v>ARG</v>
      </c>
    </row>
    <row r="169" spans="2:6" x14ac:dyDescent="0.25">
      <c r="B169">
        <v>1966</v>
      </c>
      <c r="C169" t="s">
        <v>1038</v>
      </c>
      <c r="E169" t="s">
        <v>797</v>
      </c>
      <c r="F169" t="str">
        <f>VLOOKUP(E169,FifaCountryCode!A:B,2,FALSE)</f>
        <v>GER</v>
      </c>
    </row>
    <row r="170" spans="2:6" x14ac:dyDescent="0.25">
      <c r="B170">
        <v>1966</v>
      </c>
      <c r="C170" t="s">
        <v>1038</v>
      </c>
      <c r="E170" t="s">
        <v>1055</v>
      </c>
      <c r="F170" t="str">
        <f>VLOOKUP(E170,FifaCountryCode!A:B,2,FALSE)</f>
        <v>PRK</v>
      </c>
    </row>
    <row r="171" spans="2:6" x14ac:dyDescent="0.25">
      <c r="B171">
        <v>1966</v>
      </c>
      <c r="C171" t="s">
        <v>1038</v>
      </c>
      <c r="E171" t="s">
        <v>297</v>
      </c>
      <c r="F171" t="str">
        <f>VLOOKUP(E171,FifaCountryCode!A:B,2,FALSE)</f>
        <v>HUN</v>
      </c>
    </row>
    <row r="172" spans="2:6" x14ac:dyDescent="0.25">
      <c r="B172">
        <v>1966</v>
      </c>
      <c r="C172" t="s">
        <v>1046</v>
      </c>
      <c r="D172">
        <v>4</v>
      </c>
      <c r="E172" t="s">
        <v>768</v>
      </c>
      <c r="F172" t="str">
        <f>VLOOKUP(E172,FifaCountryCode!A:B,2,FALSE)</f>
        <v>CHI</v>
      </c>
    </row>
    <row r="173" spans="2:6" x14ac:dyDescent="0.25">
      <c r="B173">
        <v>1966</v>
      </c>
      <c r="C173" t="s">
        <v>1050</v>
      </c>
      <c r="D173">
        <v>1</v>
      </c>
      <c r="E173" t="s">
        <v>1021</v>
      </c>
      <c r="F173" t="str">
        <f>VLOOKUP(E173,FifaCountryCode!A:B,2,FALSE)</f>
        <v>ENG</v>
      </c>
    </row>
    <row r="174" spans="2:6" x14ac:dyDescent="0.25">
      <c r="B174">
        <v>1966</v>
      </c>
      <c r="C174" t="s">
        <v>1049</v>
      </c>
      <c r="D174">
        <v>3</v>
      </c>
      <c r="E174" t="s">
        <v>761</v>
      </c>
      <c r="F174" t="str">
        <f>VLOOKUP(E174,FifaCountryCode!A:B,2,FALSE)</f>
        <v>BUL</v>
      </c>
    </row>
    <row r="175" spans="2:6" x14ac:dyDescent="0.25">
      <c r="B175">
        <v>1966</v>
      </c>
      <c r="C175" t="s">
        <v>1047</v>
      </c>
      <c r="D175">
        <v>2</v>
      </c>
      <c r="E175" t="s">
        <v>797</v>
      </c>
      <c r="F175" t="str">
        <f>VLOOKUP(E175,FifaCountryCode!A:B,2,FALSE)</f>
        <v>GER</v>
      </c>
    </row>
    <row r="176" spans="2:6" x14ac:dyDescent="0.25">
      <c r="B176">
        <v>1966</v>
      </c>
      <c r="C176" t="s">
        <v>1046</v>
      </c>
      <c r="D176">
        <v>4</v>
      </c>
      <c r="E176" t="s">
        <v>817</v>
      </c>
      <c r="F176" t="str">
        <f>VLOOKUP(E176,FifaCountryCode!A:B,2,FALSE)</f>
        <v>ITA</v>
      </c>
    </row>
    <row r="177" spans="2:6" x14ac:dyDescent="0.25">
      <c r="B177">
        <v>1966</v>
      </c>
      <c r="C177" t="s">
        <v>1049</v>
      </c>
      <c r="D177">
        <v>3</v>
      </c>
      <c r="E177" t="s">
        <v>760</v>
      </c>
      <c r="F177" t="str">
        <f>VLOOKUP(E177,FifaCountryCode!A:B,2,FALSE)</f>
        <v>BRA</v>
      </c>
    </row>
    <row r="178" spans="2:6" x14ac:dyDescent="0.25">
      <c r="B178">
        <v>1966</v>
      </c>
      <c r="C178" t="s">
        <v>1047</v>
      </c>
      <c r="D178">
        <v>2</v>
      </c>
      <c r="E178" t="s">
        <v>749</v>
      </c>
      <c r="F178" t="str">
        <f>VLOOKUP(E178,FifaCountryCode!A:B,2,FALSE)</f>
        <v>ARG</v>
      </c>
    </row>
    <row r="179" spans="2:6" x14ac:dyDescent="0.25">
      <c r="B179">
        <v>1966</v>
      </c>
      <c r="C179" t="s">
        <v>1050</v>
      </c>
      <c r="D179">
        <v>1</v>
      </c>
      <c r="E179" t="s">
        <v>845</v>
      </c>
      <c r="F179" t="str">
        <f>VLOOKUP(E179,FifaCountryCode!A:B,2,FALSE)</f>
        <v>MEX</v>
      </c>
    </row>
    <row r="180" spans="2:6" x14ac:dyDescent="0.25">
      <c r="B180">
        <v>1966</v>
      </c>
      <c r="C180" t="s">
        <v>1047</v>
      </c>
      <c r="D180">
        <v>2</v>
      </c>
      <c r="E180" t="s">
        <v>895</v>
      </c>
      <c r="F180" t="str">
        <f>VLOOKUP(E180,FifaCountryCode!A:B,2,FALSE)</f>
        <v>ESP</v>
      </c>
    </row>
    <row r="181" spans="2:6" x14ac:dyDescent="0.25">
      <c r="B181">
        <v>1966</v>
      </c>
      <c r="C181" t="s">
        <v>1050</v>
      </c>
      <c r="D181">
        <v>1</v>
      </c>
      <c r="E181" t="s">
        <v>224</v>
      </c>
      <c r="F181" t="str">
        <f>VLOOKUP(E181,FifaCountryCode!A:B,2,FALSE)</f>
        <v>FRA</v>
      </c>
    </row>
    <row r="182" spans="2:6" x14ac:dyDescent="0.25">
      <c r="B182">
        <v>1966</v>
      </c>
      <c r="C182" t="s">
        <v>1049</v>
      </c>
      <c r="D182">
        <v>3</v>
      </c>
      <c r="E182" t="s">
        <v>297</v>
      </c>
      <c r="F182" t="str">
        <f>VLOOKUP(E182,FifaCountryCode!A:B,2,FALSE)</f>
        <v>HUN</v>
      </c>
    </row>
    <row r="183" spans="2:6" x14ac:dyDescent="0.25">
      <c r="B183">
        <v>1966</v>
      </c>
      <c r="C183" t="s">
        <v>1046</v>
      </c>
      <c r="D183">
        <v>4</v>
      </c>
      <c r="E183" t="s">
        <v>1055</v>
      </c>
      <c r="F183" t="str">
        <f>VLOOKUP(E183,FifaCountryCode!A:B,2,FALSE)</f>
        <v>PRK</v>
      </c>
    </row>
    <row r="184" spans="2:6" x14ac:dyDescent="0.25">
      <c r="B184">
        <v>1962</v>
      </c>
      <c r="C184" t="s">
        <v>1015</v>
      </c>
      <c r="E184" t="s">
        <v>760</v>
      </c>
      <c r="F184" t="str">
        <f>VLOOKUP(E184,FifaCountryCode!A:B,2,FALSE)</f>
        <v>BRA</v>
      </c>
    </row>
    <row r="185" spans="2:6" x14ac:dyDescent="0.25">
      <c r="B185">
        <v>1962</v>
      </c>
      <c r="C185" t="s">
        <v>1018</v>
      </c>
      <c r="E185" t="s">
        <v>768</v>
      </c>
      <c r="F185" t="str">
        <f>VLOOKUP(E185,FifaCountryCode!A:B,2,FALSE)</f>
        <v>CHI</v>
      </c>
    </row>
    <row r="186" spans="2:6" x14ac:dyDescent="0.25">
      <c r="B186">
        <v>1962</v>
      </c>
      <c r="C186" t="s">
        <v>1036</v>
      </c>
      <c r="E186" t="s">
        <v>760</v>
      </c>
      <c r="F186" t="str">
        <f>VLOOKUP(E186,FifaCountryCode!A:B,2,FALSE)</f>
        <v>BRA</v>
      </c>
    </row>
    <row r="187" spans="2:6" x14ac:dyDescent="0.25">
      <c r="B187">
        <v>1962</v>
      </c>
      <c r="C187" t="s">
        <v>1036</v>
      </c>
      <c r="E187" t="s">
        <v>1037</v>
      </c>
      <c r="F187" t="str">
        <f>VLOOKUP(E187,FifaCountryCode!A:B,2,FALSE)</f>
        <v>TCH</v>
      </c>
    </row>
    <row r="188" spans="2:6" x14ac:dyDescent="0.25">
      <c r="B188">
        <v>1962</v>
      </c>
      <c r="C188" t="s">
        <v>1038</v>
      </c>
      <c r="E188" t="s">
        <v>797</v>
      </c>
      <c r="F188" t="str">
        <f>VLOOKUP(E188,FifaCountryCode!A:B,2,FALSE)</f>
        <v>GER</v>
      </c>
    </row>
    <row r="189" spans="2:6" x14ac:dyDescent="0.25">
      <c r="B189">
        <v>1962</v>
      </c>
      <c r="C189" t="s">
        <v>1038</v>
      </c>
      <c r="E189" t="s">
        <v>760</v>
      </c>
      <c r="F189" t="str">
        <f>VLOOKUP(E189,FifaCountryCode!A:B,2,FALSE)</f>
        <v>BRA</v>
      </c>
    </row>
    <row r="190" spans="2:6" x14ac:dyDescent="0.25">
      <c r="B190">
        <v>1962</v>
      </c>
      <c r="C190" t="s">
        <v>1038</v>
      </c>
      <c r="E190" t="s">
        <v>1037</v>
      </c>
      <c r="F190" t="str">
        <f>VLOOKUP(E190,FifaCountryCode!A:B,2,FALSE)</f>
        <v>TCH</v>
      </c>
    </row>
    <row r="191" spans="2:6" x14ac:dyDescent="0.25">
      <c r="B191">
        <v>1962</v>
      </c>
      <c r="C191" t="s">
        <v>1038</v>
      </c>
      <c r="E191" t="s">
        <v>768</v>
      </c>
      <c r="F191" t="str">
        <f>VLOOKUP(E191,FifaCountryCode!A:B,2,FALSE)</f>
        <v>CHI</v>
      </c>
    </row>
    <row r="192" spans="2:6" x14ac:dyDescent="0.25">
      <c r="B192">
        <v>1962</v>
      </c>
      <c r="C192" t="s">
        <v>1046</v>
      </c>
      <c r="D192">
        <v>4</v>
      </c>
      <c r="E192" t="s">
        <v>761</v>
      </c>
      <c r="F192" t="str">
        <f>VLOOKUP(E192,FifaCountryCode!A:B,2,FALSE)</f>
        <v>BUL</v>
      </c>
    </row>
    <row r="193" spans="2:6" x14ac:dyDescent="0.25">
      <c r="B193">
        <v>1962</v>
      </c>
      <c r="C193" t="s">
        <v>1049</v>
      </c>
      <c r="D193">
        <v>3</v>
      </c>
      <c r="E193" t="s">
        <v>1037</v>
      </c>
      <c r="F193" t="str">
        <f>VLOOKUP(E193,FifaCountryCode!A:B,2,FALSE)</f>
        <v>TCH</v>
      </c>
    </row>
    <row r="194" spans="2:6" x14ac:dyDescent="0.25">
      <c r="B194">
        <v>1962</v>
      </c>
      <c r="C194" t="s">
        <v>1047</v>
      </c>
      <c r="D194">
        <v>2</v>
      </c>
      <c r="E194" t="s">
        <v>817</v>
      </c>
      <c r="F194" t="str">
        <f>VLOOKUP(E194,FifaCountryCode!A:B,2,FALSE)</f>
        <v>ITA</v>
      </c>
    </row>
    <row r="195" spans="2:6" x14ac:dyDescent="0.25">
      <c r="B195">
        <v>1962</v>
      </c>
      <c r="C195" t="s">
        <v>1050</v>
      </c>
      <c r="D195">
        <v>1</v>
      </c>
      <c r="E195" t="s">
        <v>771</v>
      </c>
      <c r="F195" t="str">
        <f>VLOOKUP(E195,FifaCountryCode!A:B,2,FALSE)</f>
        <v>COL</v>
      </c>
    </row>
    <row r="196" spans="2:6" x14ac:dyDescent="0.25">
      <c r="B196">
        <v>1962</v>
      </c>
      <c r="C196" t="s">
        <v>1046</v>
      </c>
      <c r="D196">
        <v>4</v>
      </c>
      <c r="E196" t="s">
        <v>749</v>
      </c>
      <c r="F196" t="str">
        <f>VLOOKUP(E196,FifaCountryCode!A:B,2,FALSE)</f>
        <v>ARG</v>
      </c>
    </row>
    <row r="197" spans="2:6" x14ac:dyDescent="0.25">
      <c r="B197">
        <v>1962</v>
      </c>
      <c r="C197" t="s">
        <v>1049</v>
      </c>
      <c r="D197">
        <v>3</v>
      </c>
      <c r="E197" t="s">
        <v>760</v>
      </c>
      <c r="F197" t="str">
        <f>VLOOKUP(E197,FifaCountryCode!A:B,2,FALSE)</f>
        <v>BRA</v>
      </c>
    </row>
    <row r="198" spans="2:6" x14ac:dyDescent="0.25">
      <c r="B198">
        <v>1962</v>
      </c>
      <c r="C198" t="s">
        <v>1047</v>
      </c>
      <c r="D198">
        <v>2</v>
      </c>
      <c r="E198" t="s">
        <v>768</v>
      </c>
      <c r="F198" t="str">
        <f>VLOOKUP(E198,FifaCountryCode!A:B,2,FALSE)</f>
        <v>CHI</v>
      </c>
    </row>
    <row r="199" spans="2:6" x14ac:dyDescent="0.25">
      <c r="B199">
        <v>1962</v>
      </c>
      <c r="C199" t="s">
        <v>1050</v>
      </c>
      <c r="D199">
        <v>1</v>
      </c>
      <c r="E199" t="s">
        <v>1054</v>
      </c>
      <c r="F199" t="e">
        <f>VLOOKUP(E199,FifaCountryCode!A:B,2,FALSE)</f>
        <v>#N/A</v>
      </c>
    </row>
    <row r="200" spans="2:6" x14ac:dyDescent="0.25">
      <c r="B200">
        <v>1962</v>
      </c>
      <c r="C200" t="s">
        <v>1049</v>
      </c>
      <c r="D200">
        <v>3</v>
      </c>
      <c r="E200" t="s">
        <v>845</v>
      </c>
      <c r="F200" t="str">
        <f>VLOOKUP(E200,FifaCountryCode!A:B,2,FALSE)</f>
        <v>MEX</v>
      </c>
    </row>
    <row r="201" spans="2:6" x14ac:dyDescent="0.25">
      <c r="B201">
        <v>1962</v>
      </c>
      <c r="C201" t="s">
        <v>1047</v>
      </c>
      <c r="D201">
        <v>2</v>
      </c>
      <c r="E201" t="s">
        <v>797</v>
      </c>
      <c r="F201" t="str">
        <f>VLOOKUP(E201,FifaCountryCode!A:B,2,FALSE)</f>
        <v>GER</v>
      </c>
    </row>
    <row r="202" spans="2:6" x14ac:dyDescent="0.25">
      <c r="B202">
        <v>1962</v>
      </c>
      <c r="C202" t="s">
        <v>1050</v>
      </c>
      <c r="D202">
        <v>1</v>
      </c>
      <c r="E202" t="s">
        <v>916</v>
      </c>
      <c r="F202" t="str">
        <f>VLOOKUP(E202,FifaCountryCode!A:B,2,FALSE)</f>
        <v>URU</v>
      </c>
    </row>
    <row r="203" spans="2:6" x14ac:dyDescent="0.25">
      <c r="B203">
        <v>1962</v>
      </c>
      <c r="C203" t="s">
        <v>1046</v>
      </c>
      <c r="D203">
        <v>4</v>
      </c>
      <c r="E203" t="s">
        <v>1021</v>
      </c>
      <c r="F203" t="str">
        <f>VLOOKUP(E203,FifaCountryCode!A:B,2,FALSE)</f>
        <v>ENG</v>
      </c>
    </row>
    <row r="204" spans="2:6" x14ac:dyDescent="0.25">
      <c r="B204">
        <v>1958</v>
      </c>
      <c r="C204" t="s">
        <v>1015</v>
      </c>
      <c r="E204" t="s">
        <v>760</v>
      </c>
      <c r="F204" t="str">
        <f>VLOOKUP(E204,FifaCountryCode!A:B,2,FALSE)</f>
        <v>BRA</v>
      </c>
    </row>
    <row r="205" spans="2:6" x14ac:dyDescent="0.25">
      <c r="B205">
        <v>1958</v>
      </c>
      <c r="C205" t="s">
        <v>1018</v>
      </c>
      <c r="E205" t="s">
        <v>224</v>
      </c>
      <c r="F205" t="str">
        <f>VLOOKUP(E205,FifaCountryCode!A:B,2,FALSE)</f>
        <v>FRA</v>
      </c>
    </row>
    <row r="206" spans="2:6" x14ac:dyDescent="0.25">
      <c r="B206">
        <v>1958</v>
      </c>
      <c r="C206" t="s">
        <v>1036</v>
      </c>
      <c r="E206" t="s">
        <v>797</v>
      </c>
      <c r="F206" t="str">
        <f>VLOOKUP(E206,FifaCountryCode!A:B,2,FALSE)</f>
        <v>GER</v>
      </c>
    </row>
    <row r="207" spans="2:6" x14ac:dyDescent="0.25">
      <c r="B207">
        <v>1958</v>
      </c>
      <c r="C207" t="s">
        <v>1036</v>
      </c>
      <c r="E207" t="s">
        <v>760</v>
      </c>
      <c r="F207" t="str">
        <f>VLOOKUP(E207,FifaCountryCode!A:B,2,FALSE)</f>
        <v>BRA</v>
      </c>
    </row>
    <row r="208" spans="2:6" x14ac:dyDescent="0.25">
      <c r="B208">
        <v>1958</v>
      </c>
      <c r="C208" t="s">
        <v>1038</v>
      </c>
      <c r="E208" t="s">
        <v>797</v>
      </c>
      <c r="F208" t="str">
        <f>VLOOKUP(E208,FifaCountryCode!A:B,2,FALSE)</f>
        <v>GER</v>
      </c>
    </row>
    <row r="209" spans="2:6" x14ac:dyDescent="0.25">
      <c r="B209">
        <v>1958</v>
      </c>
      <c r="C209" t="s">
        <v>1038</v>
      </c>
      <c r="E209" t="s">
        <v>760</v>
      </c>
      <c r="F209" t="str">
        <f>VLOOKUP(E209,FifaCountryCode!A:B,2,FALSE)</f>
        <v>BRA</v>
      </c>
    </row>
    <row r="210" spans="2:6" x14ac:dyDescent="0.25">
      <c r="B210">
        <v>1958</v>
      </c>
      <c r="C210" t="s">
        <v>1038</v>
      </c>
      <c r="E210" t="s">
        <v>900</v>
      </c>
      <c r="F210" t="str">
        <f>VLOOKUP(E210,FifaCountryCode!A:B,2,FALSE)</f>
        <v>SWE</v>
      </c>
    </row>
    <row r="211" spans="2:6" x14ac:dyDescent="0.25">
      <c r="B211">
        <v>1958</v>
      </c>
      <c r="C211" t="s">
        <v>1038</v>
      </c>
      <c r="E211" t="s">
        <v>224</v>
      </c>
      <c r="F211" t="str">
        <f>VLOOKUP(E211,FifaCountryCode!A:B,2,FALSE)</f>
        <v>FRA</v>
      </c>
    </row>
    <row r="212" spans="2:6" x14ac:dyDescent="0.25">
      <c r="B212">
        <v>1958</v>
      </c>
      <c r="E212" t="s">
        <v>297</v>
      </c>
      <c r="F212" t="str">
        <f>VLOOKUP(E212,FifaCountryCode!A:B,2,FALSE)</f>
        <v>HUN</v>
      </c>
    </row>
    <row r="213" spans="2:6" x14ac:dyDescent="0.25">
      <c r="B213">
        <v>1958</v>
      </c>
      <c r="C213" t="s">
        <v>1046</v>
      </c>
      <c r="D213">
        <v>4</v>
      </c>
      <c r="E213" t="s">
        <v>1021</v>
      </c>
      <c r="F213" t="str">
        <f>VLOOKUP(E213,FifaCountryCode!A:B,2,FALSE)</f>
        <v>ENG</v>
      </c>
    </row>
    <row r="214" spans="2:6" x14ac:dyDescent="0.25">
      <c r="B214">
        <v>1958</v>
      </c>
      <c r="C214" t="s">
        <v>1050</v>
      </c>
      <c r="D214">
        <v>1</v>
      </c>
      <c r="E214" t="s">
        <v>1037</v>
      </c>
      <c r="F214" t="str">
        <f>VLOOKUP(E214,FifaCountryCode!A:B,2,FALSE)</f>
        <v>TCH</v>
      </c>
    </row>
    <row r="215" spans="2:6" x14ac:dyDescent="0.25">
      <c r="B215">
        <v>1958</v>
      </c>
      <c r="C215" t="s">
        <v>1046</v>
      </c>
      <c r="D215">
        <v>4</v>
      </c>
      <c r="E215" t="s">
        <v>760</v>
      </c>
      <c r="F215" t="str">
        <f>VLOOKUP(E215,FifaCountryCode!A:B,2,FALSE)</f>
        <v>BRA</v>
      </c>
    </row>
    <row r="216" spans="2:6" x14ac:dyDescent="0.25">
      <c r="B216">
        <v>1958</v>
      </c>
      <c r="C216" t="s">
        <v>1046</v>
      </c>
      <c r="D216">
        <v>4</v>
      </c>
      <c r="E216" t="s">
        <v>751</v>
      </c>
      <c r="F216" t="str">
        <f>VLOOKUP(E216,FifaCountryCode!A:B,2,FALSE)</f>
        <v>AUT</v>
      </c>
    </row>
    <row r="217" spans="2:6" x14ac:dyDescent="0.25">
      <c r="B217">
        <v>1958</v>
      </c>
      <c r="C217" t="s">
        <v>1049</v>
      </c>
      <c r="D217">
        <v>3</v>
      </c>
      <c r="E217" t="s">
        <v>297</v>
      </c>
      <c r="F217" t="str">
        <f>VLOOKUP(E217,FifaCountryCode!A:B,2,FALSE)</f>
        <v>HUN</v>
      </c>
    </row>
    <row r="218" spans="2:6" x14ac:dyDescent="0.25">
      <c r="B218">
        <v>1958</v>
      </c>
      <c r="C218" t="s">
        <v>1049</v>
      </c>
      <c r="D218">
        <v>3</v>
      </c>
      <c r="E218" t="s">
        <v>900</v>
      </c>
      <c r="F218" t="str">
        <f>VLOOKUP(E218,FifaCountryCode!A:B,2,FALSE)</f>
        <v>SWE</v>
      </c>
    </row>
    <row r="219" spans="2:6" x14ac:dyDescent="0.25">
      <c r="B219">
        <v>1958</v>
      </c>
      <c r="C219" t="s">
        <v>1047</v>
      </c>
      <c r="D219">
        <v>2</v>
      </c>
      <c r="E219" t="s">
        <v>866</v>
      </c>
      <c r="F219" t="str">
        <f>VLOOKUP(E219,FifaCountryCode!A:B,2,FALSE)</f>
        <v>PAR</v>
      </c>
    </row>
    <row r="220" spans="2:6" x14ac:dyDescent="0.25">
      <c r="B220">
        <v>1958</v>
      </c>
      <c r="C220" t="s">
        <v>1047</v>
      </c>
      <c r="D220">
        <v>2</v>
      </c>
      <c r="E220" t="s">
        <v>224</v>
      </c>
      <c r="F220" t="str">
        <f>VLOOKUP(E220,FifaCountryCode!A:B,2,FALSE)</f>
        <v>FRA</v>
      </c>
    </row>
    <row r="221" spans="2:6" x14ac:dyDescent="0.25">
      <c r="B221">
        <v>1958</v>
      </c>
      <c r="C221" t="s">
        <v>1050</v>
      </c>
      <c r="D221">
        <v>1</v>
      </c>
      <c r="E221" t="s">
        <v>749</v>
      </c>
      <c r="F221" t="str">
        <f>VLOOKUP(E221,FifaCountryCode!A:B,2,FALSE)</f>
        <v>ARG</v>
      </c>
    </row>
    <row r="222" spans="2:6" x14ac:dyDescent="0.25">
      <c r="B222">
        <v>1958</v>
      </c>
      <c r="C222" t="s">
        <v>1050</v>
      </c>
      <c r="D222">
        <v>1</v>
      </c>
      <c r="E222" t="s">
        <v>797</v>
      </c>
      <c r="F222" t="str">
        <f>VLOOKUP(E222,FifaCountryCode!A:B,2,FALSE)</f>
        <v>GER</v>
      </c>
    </row>
    <row r="223" spans="2:6" x14ac:dyDescent="0.25">
      <c r="B223">
        <v>1958</v>
      </c>
      <c r="C223" t="s">
        <v>1049</v>
      </c>
      <c r="D223">
        <v>3</v>
      </c>
      <c r="E223" t="s">
        <v>845</v>
      </c>
      <c r="F223" t="str">
        <f>VLOOKUP(E223,FifaCountryCode!A:B,2,FALSE)</f>
        <v>MEX</v>
      </c>
    </row>
    <row r="224" spans="2:6" x14ac:dyDescent="0.25">
      <c r="B224">
        <v>1958</v>
      </c>
      <c r="C224" t="s">
        <v>1047</v>
      </c>
      <c r="D224">
        <v>2</v>
      </c>
      <c r="E224" t="s">
        <v>1026</v>
      </c>
      <c r="F224" t="str">
        <f>VLOOKUP(E224,FifaCountryCode!A:B,2,FALSE)</f>
        <v>SCO</v>
      </c>
    </row>
    <row r="225" spans="2:6" x14ac:dyDescent="0.25">
      <c r="B225">
        <v>1954</v>
      </c>
      <c r="C225" t="s">
        <v>1015</v>
      </c>
      <c r="E225" t="s">
        <v>797</v>
      </c>
      <c r="F225" t="str">
        <f>VLOOKUP(E225,FifaCountryCode!A:B,2,FALSE)</f>
        <v>GER</v>
      </c>
    </row>
    <row r="226" spans="2:6" x14ac:dyDescent="0.25">
      <c r="B226">
        <v>1954</v>
      </c>
      <c r="C226" t="s">
        <v>1018</v>
      </c>
      <c r="E226" t="s">
        <v>751</v>
      </c>
      <c r="F226" t="str">
        <f>VLOOKUP(E226,FifaCountryCode!A:B,2,FALSE)</f>
        <v>AUT</v>
      </c>
    </row>
    <row r="227" spans="2:6" x14ac:dyDescent="0.25">
      <c r="B227">
        <v>1954</v>
      </c>
      <c r="C227" t="s">
        <v>1036</v>
      </c>
      <c r="E227" t="s">
        <v>751</v>
      </c>
      <c r="F227" t="str">
        <f>VLOOKUP(E227,FifaCountryCode!A:B,2,FALSE)</f>
        <v>AUT</v>
      </c>
    </row>
    <row r="228" spans="2:6" x14ac:dyDescent="0.25">
      <c r="B228">
        <v>1954</v>
      </c>
      <c r="C228" t="s">
        <v>1036</v>
      </c>
      <c r="E228" t="s">
        <v>297</v>
      </c>
      <c r="F228" t="str">
        <f>VLOOKUP(E228,FifaCountryCode!A:B,2,FALSE)</f>
        <v>HUN</v>
      </c>
    </row>
    <row r="229" spans="2:6" x14ac:dyDescent="0.25">
      <c r="B229">
        <v>1954</v>
      </c>
      <c r="C229" t="s">
        <v>1038</v>
      </c>
      <c r="E229" t="s">
        <v>797</v>
      </c>
      <c r="F229" t="str">
        <f>VLOOKUP(E229,FifaCountryCode!A:B,2,FALSE)</f>
        <v>GER</v>
      </c>
    </row>
    <row r="230" spans="2:6" x14ac:dyDescent="0.25">
      <c r="B230">
        <v>1954</v>
      </c>
      <c r="C230" t="s">
        <v>1038</v>
      </c>
      <c r="E230" t="s">
        <v>760</v>
      </c>
      <c r="F230" t="str">
        <f>VLOOKUP(E230,FifaCountryCode!A:B,2,FALSE)</f>
        <v>BRA</v>
      </c>
    </row>
    <row r="231" spans="2:6" x14ac:dyDescent="0.25">
      <c r="B231">
        <v>1954</v>
      </c>
      <c r="C231" t="s">
        <v>1038</v>
      </c>
      <c r="E231" t="s">
        <v>1021</v>
      </c>
      <c r="F231" t="str">
        <f>VLOOKUP(E231,FifaCountryCode!A:B,2,FALSE)</f>
        <v>ENG</v>
      </c>
    </row>
    <row r="232" spans="2:6" x14ac:dyDescent="0.25">
      <c r="B232">
        <v>1954</v>
      </c>
      <c r="C232" t="s">
        <v>1038</v>
      </c>
      <c r="E232" t="s">
        <v>751</v>
      </c>
      <c r="F232" t="str">
        <f>VLOOKUP(E232,FifaCountryCode!A:B,2,FALSE)</f>
        <v>AUT</v>
      </c>
    </row>
    <row r="233" spans="2:6" x14ac:dyDescent="0.25">
      <c r="B233">
        <v>1954</v>
      </c>
      <c r="C233" t="s">
        <v>1046</v>
      </c>
      <c r="D233">
        <v>4</v>
      </c>
      <c r="E233" t="s">
        <v>817</v>
      </c>
      <c r="F233" t="str">
        <f>VLOOKUP(E233,FifaCountryCode!A:B,2,FALSE)</f>
        <v>ITA</v>
      </c>
    </row>
    <row r="234" spans="2:6" x14ac:dyDescent="0.25">
      <c r="B234">
        <v>1954</v>
      </c>
      <c r="C234" t="s">
        <v>1047</v>
      </c>
      <c r="D234">
        <v>2</v>
      </c>
      <c r="E234" t="s">
        <v>797</v>
      </c>
      <c r="F234" t="str">
        <f>VLOOKUP(E234,FifaCountryCode!A:B,2,FALSE)</f>
        <v>GER</v>
      </c>
    </row>
    <row r="235" spans="2:6" x14ac:dyDescent="0.25">
      <c r="B235">
        <v>1954</v>
      </c>
      <c r="C235" t="s">
        <v>1046</v>
      </c>
      <c r="D235">
        <v>4</v>
      </c>
      <c r="E235" t="s">
        <v>1021</v>
      </c>
      <c r="F235" t="str">
        <f>VLOOKUP(E235,FifaCountryCode!A:B,2,FALSE)</f>
        <v>ENG</v>
      </c>
    </row>
    <row r="236" spans="2:6" x14ac:dyDescent="0.25">
      <c r="B236">
        <v>1954</v>
      </c>
      <c r="C236" t="s">
        <v>1046</v>
      </c>
      <c r="D236">
        <v>4</v>
      </c>
      <c r="E236" t="s">
        <v>756</v>
      </c>
      <c r="F236" t="str">
        <f>VLOOKUP(E236,FifaCountryCode!A:B,2,FALSE)</f>
        <v>BEL</v>
      </c>
    </row>
    <row r="237" spans="2:6" x14ac:dyDescent="0.25">
      <c r="B237">
        <v>1954</v>
      </c>
      <c r="C237" t="s">
        <v>1047</v>
      </c>
      <c r="D237">
        <v>2</v>
      </c>
      <c r="E237" t="s">
        <v>1056</v>
      </c>
      <c r="F237" t="str">
        <f>VLOOKUP(E237,FifaCountryCode!A:B,2,FALSE)</f>
        <v>KOR</v>
      </c>
    </row>
    <row r="238" spans="2:6" x14ac:dyDescent="0.25">
      <c r="B238">
        <v>1954</v>
      </c>
      <c r="C238" t="s">
        <v>1049</v>
      </c>
      <c r="D238">
        <v>3</v>
      </c>
      <c r="E238" t="s">
        <v>751</v>
      </c>
      <c r="F238" t="str">
        <f>VLOOKUP(E238,FifaCountryCode!A:B,2,FALSE)</f>
        <v>AUT</v>
      </c>
    </row>
    <row r="239" spans="2:6" x14ac:dyDescent="0.25">
      <c r="B239">
        <v>1954</v>
      </c>
      <c r="C239" t="s">
        <v>1049</v>
      </c>
      <c r="D239">
        <v>3</v>
      </c>
      <c r="E239" t="s">
        <v>1026</v>
      </c>
      <c r="F239" t="str">
        <f>VLOOKUP(E239,FifaCountryCode!A:B,2,FALSE)</f>
        <v>SCO</v>
      </c>
    </row>
    <row r="240" spans="2:6" x14ac:dyDescent="0.25">
      <c r="B240">
        <v>1954</v>
      </c>
      <c r="C240" t="s">
        <v>1050</v>
      </c>
      <c r="D240">
        <v>1</v>
      </c>
      <c r="E240" t="s">
        <v>224</v>
      </c>
      <c r="F240" t="str">
        <f>VLOOKUP(E240,FifaCountryCode!A:B,2,FALSE)</f>
        <v>FRA</v>
      </c>
    </row>
    <row r="241" spans="2:6" x14ac:dyDescent="0.25">
      <c r="B241">
        <v>1954</v>
      </c>
      <c r="C241" t="s">
        <v>1050</v>
      </c>
      <c r="D241">
        <v>1</v>
      </c>
      <c r="E241" t="s">
        <v>760</v>
      </c>
      <c r="F241" t="str">
        <f>VLOOKUP(E241,FifaCountryCode!A:B,2,FALSE)</f>
        <v>BRA</v>
      </c>
    </row>
    <row r="242" spans="2:6" x14ac:dyDescent="0.25">
      <c r="B242">
        <v>1954</v>
      </c>
      <c r="C242" t="s">
        <v>1047</v>
      </c>
      <c r="D242">
        <v>2</v>
      </c>
      <c r="E242" t="s">
        <v>297</v>
      </c>
      <c r="F242" t="str">
        <f>VLOOKUP(E242,FifaCountryCode!A:B,2,FALSE)</f>
        <v>HUN</v>
      </c>
    </row>
    <row r="243" spans="2:6" x14ac:dyDescent="0.25">
      <c r="B243">
        <v>1954</v>
      </c>
      <c r="C243" t="s">
        <v>1049</v>
      </c>
      <c r="D243">
        <v>3</v>
      </c>
      <c r="E243" t="s">
        <v>1037</v>
      </c>
      <c r="F243" t="str">
        <f>VLOOKUP(E243,FifaCountryCode!A:B,2,FALSE)</f>
        <v>TCH</v>
      </c>
    </row>
    <row r="244" spans="2:6" x14ac:dyDescent="0.25">
      <c r="B244">
        <v>2018</v>
      </c>
      <c r="C244" t="s">
        <v>1057</v>
      </c>
      <c r="D244" t="s">
        <v>1058</v>
      </c>
      <c r="E244" t="s">
        <v>1041</v>
      </c>
      <c r="F244" t="str">
        <f>VLOOKUP(E244,FifaCountryCode!A:B,2,FALSE)</f>
        <v>RUS</v>
      </c>
    </row>
    <row r="245" spans="2:6" x14ac:dyDescent="0.25">
      <c r="B245">
        <v>2018</v>
      </c>
      <c r="C245" t="s">
        <v>1057</v>
      </c>
      <c r="D245" t="s">
        <v>1058</v>
      </c>
      <c r="E245" t="s">
        <v>783</v>
      </c>
      <c r="F245" t="str">
        <f>VLOOKUP(E245,FifaCountryCode!A:B,2,FALSE)</f>
        <v>EGY</v>
      </c>
    </row>
    <row r="246" spans="2:6" x14ac:dyDescent="0.25">
      <c r="B246">
        <v>2018</v>
      </c>
      <c r="C246" t="s">
        <v>1059</v>
      </c>
      <c r="D246" t="s">
        <v>1060</v>
      </c>
      <c r="E246" t="s">
        <v>871</v>
      </c>
      <c r="F246" t="str">
        <f>VLOOKUP(E246,FifaCountryCode!A:B,2,FALSE)</f>
        <v>POR</v>
      </c>
    </row>
    <row r="247" spans="2:6" x14ac:dyDescent="0.25">
      <c r="B247">
        <v>2018</v>
      </c>
      <c r="C247" t="s">
        <v>1059</v>
      </c>
      <c r="D247" t="s">
        <v>1060</v>
      </c>
      <c r="E247" t="s">
        <v>849</v>
      </c>
      <c r="F247" t="str">
        <f>VLOOKUP(E247,FifaCountryCode!A:B,2,FALSE)</f>
        <v>MAR</v>
      </c>
    </row>
    <row r="248" spans="2:6" x14ac:dyDescent="0.25">
      <c r="B248">
        <v>2018</v>
      </c>
      <c r="C248" t="s">
        <v>1061</v>
      </c>
      <c r="D248" t="s">
        <v>1062</v>
      </c>
      <c r="E248" t="s">
        <v>224</v>
      </c>
      <c r="F248" t="str">
        <f>VLOOKUP(E248,FifaCountryCode!A:B,2,FALSE)</f>
        <v>FRA</v>
      </c>
    </row>
    <row r="249" spans="2:6" x14ac:dyDescent="0.25">
      <c r="B249">
        <v>2018</v>
      </c>
      <c r="C249" t="s">
        <v>1061</v>
      </c>
      <c r="D249" t="s">
        <v>1062</v>
      </c>
      <c r="E249" t="s">
        <v>867</v>
      </c>
      <c r="F249" t="str">
        <f>VLOOKUP(E249,FifaCountryCode!A:B,2,FALSE)</f>
        <v>PER</v>
      </c>
    </row>
    <row r="250" spans="2:6" x14ac:dyDescent="0.25">
      <c r="B250">
        <v>2018</v>
      </c>
      <c r="C250" t="s">
        <v>1063</v>
      </c>
      <c r="D250" t="s">
        <v>1064</v>
      </c>
      <c r="E250" t="s">
        <v>749</v>
      </c>
      <c r="F250" t="str">
        <f>VLOOKUP(E250,FifaCountryCode!A:B,2,FALSE)</f>
        <v>ARG</v>
      </c>
    </row>
    <row r="251" spans="2:6" x14ac:dyDescent="0.25">
      <c r="B251">
        <v>2018</v>
      </c>
      <c r="C251" t="s">
        <v>1063</v>
      </c>
      <c r="D251" t="s">
        <v>1064</v>
      </c>
      <c r="E251" t="s">
        <v>775</v>
      </c>
      <c r="F251" t="str">
        <f>VLOOKUP(E251,FifaCountryCode!A:B,2,FALSE)</f>
        <v>CRO</v>
      </c>
    </row>
    <row r="252" spans="2:6" x14ac:dyDescent="0.25">
      <c r="B252">
        <v>2018</v>
      </c>
      <c r="C252" t="s">
        <v>1065</v>
      </c>
      <c r="D252" t="s">
        <v>1066</v>
      </c>
      <c r="E252" t="s">
        <v>760</v>
      </c>
      <c r="F252" t="str">
        <f>VLOOKUP(E252,FifaCountryCode!A:B,2,FALSE)</f>
        <v>BRA</v>
      </c>
    </row>
    <row r="253" spans="2:6" x14ac:dyDescent="0.25">
      <c r="B253">
        <v>2018</v>
      </c>
      <c r="C253" t="s">
        <v>1065</v>
      </c>
      <c r="D253" t="s">
        <v>1066</v>
      </c>
      <c r="E253" t="s">
        <v>774</v>
      </c>
      <c r="F253" t="str">
        <f>VLOOKUP(E253,FifaCountryCode!A:B,2,FALSE)</f>
        <v>CRC</v>
      </c>
    </row>
    <row r="254" spans="2:6" x14ac:dyDescent="0.25">
      <c r="B254">
        <v>2018</v>
      </c>
      <c r="C254" t="s">
        <v>1067</v>
      </c>
      <c r="D254" t="s">
        <v>929</v>
      </c>
      <c r="E254" t="s">
        <v>797</v>
      </c>
      <c r="F254" t="str">
        <f>VLOOKUP(E254,FifaCountryCode!A:B,2,FALSE)</f>
        <v>GER</v>
      </c>
    </row>
    <row r="255" spans="2:6" x14ac:dyDescent="0.25">
      <c r="B255">
        <v>2018</v>
      </c>
      <c r="C255" t="s">
        <v>1067</v>
      </c>
      <c r="D255" t="s">
        <v>929</v>
      </c>
      <c r="E255" t="s">
        <v>900</v>
      </c>
      <c r="F255" t="str">
        <f>VLOOKUP(E255,FifaCountryCode!A:B,2,FALSE)</f>
        <v>SWE</v>
      </c>
    </row>
    <row r="256" spans="2:6" x14ac:dyDescent="0.25">
      <c r="B256">
        <v>2018</v>
      </c>
      <c r="C256" t="s">
        <v>1068</v>
      </c>
      <c r="D256" t="s">
        <v>1069</v>
      </c>
      <c r="E256" t="s">
        <v>756</v>
      </c>
      <c r="F256" t="str">
        <f>VLOOKUP(E256,FifaCountryCode!A:B,2,FALSE)</f>
        <v>BEL</v>
      </c>
    </row>
    <row r="257" spans="2:6" x14ac:dyDescent="0.25">
      <c r="B257">
        <v>2018</v>
      </c>
      <c r="C257" t="s">
        <v>1068</v>
      </c>
      <c r="D257" t="s">
        <v>1069</v>
      </c>
      <c r="E257" t="s">
        <v>911</v>
      </c>
      <c r="F257" t="str">
        <f>VLOOKUP(E257,FifaCountryCode!A:B,2,FALSE)</f>
        <v>TUN</v>
      </c>
    </row>
    <row r="258" spans="2:6" x14ac:dyDescent="0.25">
      <c r="B258">
        <v>2018</v>
      </c>
      <c r="C258" t="s">
        <v>1070</v>
      </c>
      <c r="D258" t="s">
        <v>1071</v>
      </c>
      <c r="E258" t="s">
        <v>870</v>
      </c>
      <c r="F258" t="str">
        <f>VLOOKUP(E258,FifaCountryCode!A:B,2,FALSE)</f>
        <v>POL</v>
      </c>
    </row>
    <row r="259" spans="2:6" x14ac:dyDescent="0.25">
      <c r="B259">
        <v>2018</v>
      </c>
      <c r="C259" t="s">
        <v>1070</v>
      </c>
      <c r="D259" t="s">
        <v>1071</v>
      </c>
      <c r="E259" t="s">
        <v>771</v>
      </c>
      <c r="F259" t="str">
        <f>VLOOKUP(E259,FifaCountryCode!A:B,2,FALSE)</f>
        <v>COL</v>
      </c>
    </row>
    <row r="260" spans="2:6" x14ac:dyDescent="0.25">
      <c r="B260">
        <v>2018</v>
      </c>
      <c r="C260" t="s">
        <v>1057</v>
      </c>
      <c r="D260" t="s">
        <v>1058</v>
      </c>
      <c r="E260" t="s">
        <v>916</v>
      </c>
      <c r="F260" t="str">
        <f>VLOOKUP(E260,FifaCountryCode!A:B,2,FALSE)</f>
        <v>URU</v>
      </c>
    </row>
    <row r="261" spans="2:6" x14ac:dyDescent="0.25">
      <c r="B261">
        <v>2018</v>
      </c>
      <c r="C261" t="s">
        <v>1059</v>
      </c>
      <c r="D261" t="s">
        <v>1060</v>
      </c>
      <c r="E261" t="s">
        <v>1051</v>
      </c>
      <c r="F261" t="str">
        <f>VLOOKUP(E261,FifaCountryCode!A:B,2,FALSE)</f>
        <v>IRN</v>
      </c>
    </row>
    <row r="262" spans="2:6" x14ac:dyDescent="0.25">
      <c r="B262">
        <v>2018</v>
      </c>
      <c r="C262" t="s">
        <v>1061</v>
      </c>
      <c r="D262" t="s">
        <v>1062</v>
      </c>
      <c r="E262" t="s">
        <v>211</v>
      </c>
      <c r="F262" t="str">
        <f>VLOOKUP(E262,FifaCountryCode!A:B,2,FALSE)</f>
        <v>DEN</v>
      </c>
    </row>
    <row r="263" spans="2:6" x14ac:dyDescent="0.25">
      <c r="B263">
        <v>2018</v>
      </c>
      <c r="C263" t="s">
        <v>1063</v>
      </c>
      <c r="D263" t="s">
        <v>1064</v>
      </c>
      <c r="E263" t="s">
        <v>857</v>
      </c>
      <c r="F263" t="str">
        <f>VLOOKUP(E263,FifaCountryCode!A:B,2,FALSE)</f>
        <v>NGA</v>
      </c>
    </row>
    <row r="264" spans="2:6" x14ac:dyDescent="0.25">
      <c r="B264">
        <v>2018</v>
      </c>
      <c r="C264" t="s">
        <v>1065</v>
      </c>
      <c r="D264" t="s">
        <v>1066</v>
      </c>
      <c r="E264" t="s">
        <v>884</v>
      </c>
      <c r="F264" t="str">
        <f>VLOOKUP(E264,FifaCountryCode!A:B,2,FALSE)</f>
        <v>SRB</v>
      </c>
    </row>
    <row r="265" spans="2:6" x14ac:dyDescent="0.25">
      <c r="B265">
        <v>2018</v>
      </c>
      <c r="C265" t="s">
        <v>1067</v>
      </c>
      <c r="D265" t="s">
        <v>929</v>
      </c>
      <c r="E265" t="s">
        <v>1072</v>
      </c>
      <c r="F265" t="e">
        <f>VLOOKUP(E265,FifaCountryCode!A:B,2,FALSE)</f>
        <v>#N/A</v>
      </c>
    </row>
    <row r="266" spans="2:6" x14ac:dyDescent="0.25">
      <c r="B266">
        <v>2018</v>
      </c>
      <c r="C266" t="s">
        <v>1068</v>
      </c>
      <c r="D266" t="s">
        <v>1069</v>
      </c>
      <c r="E266" t="s">
        <v>1021</v>
      </c>
      <c r="F266" t="str">
        <f>VLOOKUP(E266,FifaCountryCode!A:B,2,FALSE)</f>
        <v>ENG</v>
      </c>
    </row>
    <row r="267" spans="2:6" x14ac:dyDescent="0.25">
      <c r="B267">
        <v>2018</v>
      </c>
      <c r="C267" t="s">
        <v>1070</v>
      </c>
      <c r="D267" t="s">
        <v>1071</v>
      </c>
      <c r="E267" t="s">
        <v>330</v>
      </c>
      <c r="F267" t="str">
        <f>VLOOKUP(E267,FifaCountryCode!A:B,2,FALSE)</f>
        <v>JPN</v>
      </c>
    </row>
    <row r="268" spans="2:6" x14ac:dyDescent="0.25">
      <c r="B268">
        <v>2018</v>
      </c>
      <c r="C268" t="s">
        <v>1057</v>
      </c>
      <c r="D268" t="s">
        <v>1058</v>
      </c>
      <c r="E268" t="s">
        <v>882</v>
      </c>
      <c r="F268" t="str">
        <f>VLOOKUP(E268,FifaCountryCode!A:B,2,FALSE)</f>
        <v>KSA</v>
      </c>
    </row>
    <row r="269" spans="2:6" x14ac:dyDescent="0.25">
      <c r="B269">
        <v>2018</v>
      </c>
      <c r="C269" t="s">
        <v>1059</v>
      </c>
      <c r="D269" t="s">
        <v>1060</v>
      </c>
      <c r="E269" t="s">
        <v>895</v>
      </c>
      <c r="F269" t="str">
        <f>VLOOKUP(E269,FifaCountryCode!A:B,2,FALSE)</f>
        <v>ESP</v>
      </c>
    </row>
    <row r="270" spans="2:6" x14ac:dyDescent="0.25">
      <c r="B270">
        <v>2018</v>
      </c>
      <c r="C270" t="s">
        <v>1061</v>
      </c>
      <c r="D270" t="s">
        <v>1062</v>
      </c>
      <c r="E270" t="s">
        <v>128</v>
      </c>
      <c r="F270" t="str">
        <f>VLOOKUP(E270,FifaCountryCode!A:B,2,FALSE)</f>
        <v>AUS</v>
      </c>
    </row>
    <row r="271" spans="2:6" x14ac:dyDescent="0.25">
      <c r="B271">
        <v>2018</v>
      </c>
      <c r="C271" t="s">
        <v>1063</v>
      </c>
      <c r="D271" t="s">
        <v>1064</v>
      </c>
      <c r="E271" t="s">
        <v>300</v>
      </c>
      <c r="F271" t="str">
        <f>VLOOKUP(E271,FifaCountryCode!A:B,2,FALSE)</f>
        <v>ISL</v>
      </c>
    </row>
    <row r="272" spans="2:6" x14ac:dyDescent="0.25">
      <c r="B272">
        <v>2018</v>
      </c>
      <c r="C272" t="s">
        <v>1065</v>
      </c>
      <c r="D272" t="s">
        <v>1066</v>
      </c>
      <c r="E272" t="s">
        <v>901</v>
      </c>
      <c r="F272" t="str">
        <f>VLOOKUP(E272,FifaCountryCode!A:B,2,FALSE)</f>
        <v>SUI</v>
      </c>
    </row>
    <row r="273" spans="2:6" x14ac:dyDescent="0.25">
      <c r="B273">
        <v>2018</v>
      </c>
      <c r="C273" t="s">
        <v>1067</v>
      </c>
      <c r="D273" t="s">
        <v>929</v>
      </c>
      <c r="E273" t="s">
        <v>845</v>
      </c>
      <c r="F273" t="str">
        <f>VLOOKUP(E273,FifaCountryCode!A:B,2,FALSE)</f>
        <v>MEX</v>
      </c>
    </row>
    <row r="274" spans="2:6" x14ac:dyDescent="0.25">
      <c r="B274">
        <v>2018</v>
      </c>
      <c r="C274" t="s">
        <v>1068</v>
      </c>
      <c r="D274" t="s">
        <v>1069</v>
      </c>
      <c r="E274" t="s">
        <v>864</v>
      </c>
      <c r="F274" t="str">
        <f>VLOOKUP(E274,FifaCountryCode!A:B,2,FALSE)</f>
        <v>PAN</v>
      </c>
    </row>
    <row r="275" spans="2:6" x14ac:dyDescent="0.25">
      <c r="B275">
        <v>2018</v>
      </c>
      <c r="C275" t="s">
        <v>1070</v>
      </c>
      <c r="D275" t="s">
        <v>1071</v>
      </c>
      <c r="E275" t="s">
        <v>883</v>
      </c>
      <c r="F275" t="str">
        <f>VLOOKUP(E275,FifaCountryCode!A:B,2,FALSE)</f>
        <v>SEN</v>
      </c>
    </row>
    <row r="276" spans="2:6" x14ac:dyDescent="0.25">
      <c r="B276">
        <v>2014</v>
      </c>
      <c r="C276" t="s">
        <v>1015</v>
      </c>
      <c r="D276" t="s">
        <v>1073</v>
      </c>
      <c r="E276" t="s">
        <v>749</v>
      </c>
      <c r="F276" t="str">
        <f>VLOOKUP(E276,FifaCountryCode!A:B,2,FALSE)</f>
        <v>ARG</v>
      </c>
    </row>
    <row r="277" spans="2:6" x14ac:dyDescent="0.25">
      <c r="B277">
        <v>2014</v>
      </c>
      <c r="C277" t="s">
        <v>1018</v>
      </c>
      <c r="D277" t="s">
        <v>1074</v>
      </c>
      <c r="E277" t="s">
        <v>760</v>
      </c>
      <c r="F277" t="str">
        <f>VLOOKUP(E277,FifaCountryCode!A:B,2,FALSE)</f>
        <v>BRA</v>
      </c>
    </row>
    <row r="278" spans="2:6" x14ac:dyDescent="0.25">
      <c r="B278">
        <v>2014</v>
      </c>
      <c r="C278" t="s">
        <v>1036</v>
      </c>
      <c r="D278" t="s">
        <v>1042</v>
      </c>
      <c r="E278" t="s">
        <v>749</v>
      </c>
      <c r="F278" t="str">
        <f>VLOOKUP(E278,FifaCountryCode!A:B,2,FALSE)</f>
        <v>ARG</v>
      </c>
    </row>
    <row r="279" spans="2:6" x14ac:dyDescent="0.25">
      <c r="B279">
        <v>2014</v>
      </c>
      <c r="C279" t="s">
        <v>1036</v>
      </c>
      <c r="D279" t="s">
        <v>1042</v>
      </c>
      <c r="E279" t="s">
        <v>760</v>
      </c>
      <c r="F279" t="str">
        <f>VLOOKUP(E279,FifaCountryCode!A:B,2,FALSE)</f>
        <v>BRA</v>
      </c>
    </row>
    <row r="280" spans="2:6" x14ac:dyDescent="0.25">
      <c r="B280">
        <v>2014</v>
      </c>
      <c r="C280" t="s">
        <v>1038</v>
      </c>
      <c r="D280" t="s">
        <v>1040</v>
      </c>
      <c r="E280" t="s">
        <v>774</v>
      </c>
      <c r="F280" t="str">
        <f>VLOOKUP(E280,FifaCountryCode!A:B,2,FALSE)</f>
        <v>CRC</v>
      </c>
    </row>
    <row r="281" spans="2:6" x14ac:dyDescent="0.25">
      <c r="B281">
        <v>2014</v>
      </c>
      <c r="C281" t="s">
        <v>1038</v>
      </c>
      <c r="D281" t="s">
        <v>1040</v>
      </c>
      <c r="E281" t="s">
        <v>749</v>
      </c>
      <c r="F281" t="str">
        <f>VLOOKUP(E281,FifaCountryCode!A:B,2,FALSE)</f>
        <v>ARG</v>
      </c>
    </row>
    <row r="282" spans="2:6" x14ac:dyDescent="0.25">
      <c r="B282">
        <v>2014</v>
      </c>
      <c r="C282" t="s">
        <v>1038</v>
      </c>
      <c r="D282" t="s">
        <v>1040</v>
      </c>
      <c r="E282" t="s">
        <v>760</v>
      </c>
      <c r="F282" t="str">
        <f>VLOOKUP(E282,FifaCountryCode!A:B,2,FALSE)</f>
        <v>BRA</v>
      </c>
    </row>
    <row r="283" spans="2:6" x14ac:dyDescent="0.25">
      <c r="B283">
        <v>2014</v>
      </c>
      <c r="C283" t="s">
        <v>1038</v>
      </c>
      <c r="D283" t="s">
        <v>1040</v>
      </c>
      <c r="E283" t="s">
        <v>224</v>
      </c>
      <c r="F283" t="str">
        <f>VLOOKUP(E283,FifaCountryCode!A:B,2,FALSE)</f>
        <v>FRA</v>
      </c>
    </row>
    <row r="284" spans="2:6" x14ac:dyDescent="0.25">
      <c r="B284">
        <v>2014</v>
      </c>
      <c r="C284" t="s">
        <v>1013</v>
      </c>
      <c r="D284" t="s">
        <v>1014</v>
      </c>
      <c r="E284" t="s">
        <v>756</v>
      </c>
      <c r="F284" t="str">
        <f>VLOOKUP(E284,FifaCountryCode!A:B,2,FALSE)</f>
        <v>BEL</v>
      </c>
    </row>
    <row r="285" spans="2:6" x14ac:dyDescent="0.25">
      <c r="B285">
        <v>2014</v>
      </c>
      <c r="C285" t="s">
        <v>1013</v>
      </c>
      <c r="D285" t="s">
        <v>1014</v>
      </c>
      <c r="E285" t="s">
        <v>749</v>
      </c>
      <c r="F285" t="str">
        <f>VLOOKUP(E285,FifaCountryCode!A:B,2,FALSE)</f>
        <v>ARG</v>
      </c>
    </row>
    <row r="286" spans="2:6" x14ac:dyDescent="0.25">
      <c r="B286">
        <v>2014</v>
      </c>
      <c r="C286" t="s">
        <v>1013</v>
      </c>
      <c r="D286" t="s">
        <v>1014</v>
      </c>
      <c r="E286" t="s">
        <v>745</v>
      </c>
      <c r="F286" t="str">
        <f>VLOOKUP(E286,FifaCountryCode!A:B,2,FALSE)</f>
        <v>ALG</v>
      </c>
    </row>
    <row r="287" spans="2:6" x14ac:dyDescent="0.25">
      <c r="B287">
        <v>2014</v>
      </c>
      <c r="C287" t="s">
        <v>1013</v>
      </c>
      <c r="D287" t="s">
        <v>1014</v>
      </c>
      <c r="E287" t="s">
        <v>224</v>
      </c>
      <c r="F287" t="str">
        <f>VLOOKUP(E287,FifaCountryCode!A:B,2,FALSE)</f>
        <v>FRA</v>
      </c>
    </row>
    <row r="288" spans="2:6" x14ac:dyDescent="0.25">
      <c r="B288">
        <v>2014</v>
      </c>
      <c r="C288" t="s">
        <v>1013</v>
      </c>
      <c r="D288" t="s">
        <v>1014</v>
      </c>
      <c r="E288" t="s">
        <v>774</v>
      </c>
      <c r="F288" t="str">
        <f>VLOOKUP(E288,FifaCountryCode!A:B,2,FALSE)</f>
        <v>CRC</v>
      </c>
    </row>
    <row r="289" spans="2:6" x14ac:dyDescent="0.25">
      <c r="B289">
        <v>2014</v>
      </c>
      <c r="C289" t="s">
        <v>1013</v>
      </c>
      <c r="D289" t="s">
        <v>1014</v>
      </c>
      <c r="E289" t="s">
        <v>845</v>
      </c>
      <c r="F289" t="str">
        <f>VLOOKUP(E289,FifaCountryCode!A:B,2,FALSE)</f>
        <v>MEX</v>
      </c>
    </row>
    <row r="290" spans="2:6" x14ac:dyDescent="0.25">
      <c r="B290">
        <v>2014</v>
      </c>
      <c r="C290" t="s">
        <v>1013</v>
      </c>
      <c r="D290" t="s">
        <v>1014</v>
      </c>
      <c r="E290" t="s">
        <v>771</v>
      </c>
      <c r="F290" t="str">
        <f>VLOOKUP(E290,FifaCountryCode!A:B,2,FALSE)</f>
        <v>COL</v>
      </c>
    </row>
    <row r="291" spans="2:6" x14ac:dyDescent="0.25">
      <c r="B291">
        <v>1950</v>
      </c>
      <c r="E291" t="s">
        <v>760</v>
      </c>
      <c r="F291" t="str">
        <f>VLOOKUP(E291,FifaCountryCode!A:B,2,FALSE)</f>
        <v>BRA</v>
      </c>
    </row>
    <row r="292" spans="2:6" x14ac:dyDescent="0.25">
      <c r="B292">
        <v>1950</v>
      </c>
      <c r="E292" t="s">
        <v>895</v>
      </c>
      <c r="F292" t="str">
        <f>VLOOKUP(E292,FifaCountryCode!A:B,2,FALSE)</f>
        <v>ESP</v>
      </c>
    </row>
    <row r="293" spans="2:6" x14ac:dyDescent="0.25">
      <c r="B293">
        <v>1950</v>
      </c>
      <c r="E293" t="s">
        <v>900</v>
      </c>
      <c r="F293" t="str">
        <f>VLOOKUP(E293,FifaCountryCode!A:B,2,FALSE)</f>
        <v>SWE</v>
      </c>
    </row>
    <row r="294" spans="2:6" x14ac:dyDescent="0.25">
      <c r="B294">
        <v>1950</v>
      </c>
      <c r="C294" t="s">
        <v>1046</v>
      </c>
      <c r="D294">
        <v>4</v>
      </c>
      <c r="E294" t="s">
        <v>1075</v>
      </c>
      <c r="F294" t="str">
        <f>VLOOKUP(E294,FifaCountryCode!A:B,2,FALSE)</f>
        <v>BOL</v>
      </c>
    </row>
    <row r="295" spans="2:6" x14ac:dyDescent="0.25">
      <c r="B295">
        <v>1950</v>
      </c>
      <c r="C295" t="s">
        <v>1049</v>
      </c>
      <c r="D295">
        <v>3</v>
      </c>
      <c r="E295" t="s">
        <v>817</v>
      </c>
      <c r="F295" t="str">
        <f>VLOOKUP(E295,FifaCountryCode!A:B,2,FALSE)</f>
        <v>ITA</v>
      </c>
    </row>
    <row r="296" spans="2:6" x14ac:dyDescent="0.25">
      <c r="B296">
        <v>1950</v>
      </c>
      <c r="C296" t="s">
        <v>1047</v>
      </c>
      <c r="D296">
        <v>2</v>
      </c>
      <c r="E296" t="s">
        <v>768</v>
      </c>
      <c r="F296" t="str">
        <f>VLOOKUP(E296,FifaCountryCode!A:B,2,FALSE)</f>
        <v>CHI</v>
      </c>
    </row>
    <row r="297" spans="2:6" x14ac:dyDescent="0.25">
      <c r="B297">
        <v>1950</v>
      </c>
      <c r="C297" t="s">
        <v>1047</v>
      </c>
      <c r="D297">
        <v>2</v>
      </c>
      <c r="E297" t="s">
        <v>1021</v>
      </c>
      <c r="F297" t="str">
        <f>VLOOKUP(E297,FifaCountryCode!A:B,2,FALSE)</f>
        <v>ENG</v>
      </c>
    </row>
    <row r="298" spans="2:6" x14ac:dyDescent="0.25">
      <c r="B298">
        <v>1950</v>
      </c>
      <c r="C298" t="s">
        <v>1050</v>
      </c>
      <c r="D298">
        <v>1</v>
      </c>
      <c r="E298" t="s">
        <v>845</v>
      </c>
      <c r="F298" t="str">
        <f>VLOOKUP(E298,FifaCountryCode!A:B,2,FALSE)</f>
        <v>MEX</v>
      </c>
    </row>
    <row r="299" spans="2:6" x14ac:dyDescent="0.25">
      <c r="B299">
        <v>1950</v>
      </c>
      <c r="C299" t="s">
        <v>1050</v>
      </c>
      <c r="D299">
        <v>1</v>
      </c>
      <c r="E299" t="s">
        <v>760</v>
      </c>
      <c r="F299" t="str">
        <f>VLOOKUP(E299,FifaCountryCode!A:B,2,FALSE)</f>
        <v>BRA</v>
      </c>
    </row>
    <row r="300" spans="2:6" x14ac:dyDescent="0.25">
      <c r="B300">
        <v>1950</v>
      </c>
      <c r="C300" t="s">
        <v>1049</v>
      </c>
      <c r="D300">
        <v>3</v>
      </c>
      <c r="E300" t="s">
        <v>866</v>
      </c>
      <c r="F300" t="str">
        <f>VLOOKUP(E300,FifaCountryCode!A:B,2,FALSE)</f>
        <v>PAR</v>
      </c>
    </row>
    <row r="301" spans="2:6" x14ac:dyDescent="0.25">
      <c r="B301">
        <v>1950</v>
      </c>
      <c r="E301" t="s">
        <v>845</v>
      </c>
      <c r="F301" t="str">
        <f>VLOOKUP(E301,FifaCountryCode!A:B,2,FALSE)</f>
        <v>MEX</v>
      </c>
    </row>
    <row r="302" spans="2:6" x14ac:dyDescent="0.25">
      <c r="B302">
        <v>1950</v>
      </c>
      <c r="C302" t="s">
        <v>1047</v>
      </c>
      <c r="D302">
        <v>2</v>
      </c>
      <c r="E302" t="s">
        <v>895</v>
      </c>
      <c r="F302" t="str">
        <f>VLOOKUP(E302,FifaCountryCode!A:B,2,FALSE)</f>
        <v>ESP</v>
      </c>
    </row>
    <row r="303" spans="2:6" x14ac:dyDescent="0.25">
      <c r="B303">
        <v>1950</v>
      </c>
      <c r="C303" t="s">
        <v>1050</v>
      </c>
      <c r="D303">
        <v>1</v>
      </c>
      <c r="E303" t="s">
        <v>901</v>
      </c>
      <c r="F303" t="str">
        <f>VLOOKUP(E303,FifaCountryCode!A:B,2,FALSE)</f>
        <v>SUI</v>
      </c>
    </row>
    <row r="304" spans="2:6" x14ac:dyDescent="0.25">
      <c r="B304">
        <v>1938</v>
      </c>
      <c r="E304" t="s">
        <v>297</v>
      </c>
      <c r="F304" t="str">
        <f>VLOOKUP(E304,FifaCountryCode!A:B,2,FALSE)</f>
        <v>HUN</v>
      </c>
    </row>
    <row r="305" spans="2:6" x14ac:dyDescent="0.25">
      <c r="B305">
        <v>1938</v>
      </c>
      <c r="E305" t="s">
        <v>760</v>
      </c>
      <c r="F305" t="str">
        <f>VLOOKUP(E305,FifaCountryCode!A:B,2,FALSE)</f>
        <v>BRA</v>
      </c>
    </row>
    <row r="306" spans="2:6" x14ac:dyDescent="0.25">
      <c r="B306">
        <v>1938</v>
      </c>
      <c r="E306" t="s">
        <v>224</v>
      </c>
      <c r="F306" t="str">
        <f>VLOOKUP(E306,FifaCountryCode!A:B,2,FALSE)</f>
        <v>FRA</v>
      </c>
    </row>
    <row r="307" spans="2:6" x14ac:dyDescent="0.25">
      <c r="B307">
        <v>1938</v>
      </c>
      <c r="E307" t="s">
        <v>776</v>
      </c>
      <c r="F307" t="str">
        <f>VLOOKUP(E307,FifaCountryCode!A:B,2,FALSE)</f>
        <v>CUB</v>
      </c>
    </row>
    <row r="308" spans="2:6" x14ac:dyDescent="0.25">
      <c r="B308">
        <v>1938</v>
      </c>
      <c r="E308" t="s">
        <v>797</v>
      </c>
      <c r="F308" t="str">
        <f>VLOOKUP(E308,FifaCountryCode!A:B,2,FALSE)</f>
        <v>GER</v>
      </c>
    </row>
    <row r="309" spans="2:6" x14ac:dyDescent="0.25">
      <c r="B309">
        <v>1938</v>
      </c>
      <c r="E309" t="s">
        <v>1037</v>
      </c>
      <c r="F309" t="str">
        <f>VLOOKUP(E309,FifaCountryCode!A:B,2,FALSE)</f>
        <v>TCH</v>
      </c>
    </row>
    <row r="310" spans="2:6" x14ac:dyDescent="0.25">
      <c r="B310">
        <v>1938</v>
      </c>
      <c r="E310" t="s">
        <v>817</v>
      </c>
      <c r="F310" t="str">
        <f>VLOOKUP(E310,FifaCountryCode!A:B,2,FALSE)</f>
        <v>ITA</v>
      </c>
    </row>
    <row r="311" spans="2:6" x14ac:dyDescent="0.25">
      <c r="B311">
        <v>1938</v>
      </c>
      <c r="E311" t="s">
        <v>756</v>
      </c>
      <c r="F311" t="str">
        <f>VLOOKUP(E311,FifaCountryCode!A:B,2,FALSE)</f>
        <v>BEL</v>
      </c>
    </row>
    <row r="312" spans="2:6" x14ac:dyDescent="0.25">
      <c r="B312">
        <v>1938</v>
      </c>
      <c r="E312" t="s">
        <v>1076</v>
      </c>
      <c r="F312" t="str">
        <f>VLOOKUP(E312,FifaCountryCode!A:B,2,FALSE)</f>
        <v>INH</v>
      </c>
    </row>
    <row r="313" spans="2:6" x14ac:dyDescent="0.25">
      <c r="B313">
        <v>1934</v>
      </c>
      <c r="C313" t="s">
        <v>1015</v>
      </c>
      <c r="E313" t="s">
        <v>1037</v>
      </c>
      <c r="F313" t="str">
        <f>VLOOKUP(E313,FifaCountryCode!A:B,2,FALSE)</f>
        <v>TCH</v>
      </c>
    </row>
    <row r="314" spans="2:6" x14ac:dyDescent="0.25">
      <c r="B314">
        <v>1934</v>
      </c>
      <c r="C314" t="s">
        <v>1018</v>
      </c>
      <c r="E314" t="s">
        <v>751</v>
      </c>
      <c r="F314" t="str">
        <f>VLOOKUP(E314,FifaCountryCode!A:B,2,FALSE)</f>
        <v>AUT</v>
      </c>
    </row>
    <row r="315" spans="2:6" x14ac:dyDescent="0.25">
      <c r="B315">
        <v>1934</v>
      </c>
      <c r="C315" t="s">
        <v>1036</v>
      </c>
      <c r="E315" t="s">
        <v>1037</v>
      </c>
      <c r="F315" t="str">
        <f>VLOOKUP(E315,FifaCountryCode!A:B,2,FALSE)</f>
        <v>TCH</v>
      </c>
    </row>
    <row r="316" spans="2:6" x14ac:dyDescent="0.25">
      <c r="B316">
        <v>1934</v>
      </c>
      <c r="C316" t="s">
        <v>1036</v>
      </c>
      <c r="E316" t="s">
        <v>751</v>
      </c>
      <c r="F316" t="str">
        <f>VLOOKUP(E316,FifaCountryCode!A:B,2,FALSE)</f>
        <v>AUT</v>
      </c>
    </row>
    <row r="317" spans="2:6" x14ac:dyDescent="0.25">
      <c r="B317">
        <v>1934</v>
      </c>
      <c r="C317" t="s">
        <v>1038</v>
      </c>
      <c r="E317" t="s">
        <v>817</v>
      </c>
      <c r="F317" t="str">
        <f>VLOOKUP(E317,FifaCountryCode!A:B,2,FALSE)</f>
        <v>ITA</v>
      </c>
    </row>
    <row r="318" spans="2:6" x14ac:dyDescent="0.25">
      <c r="B318">
        <v>1934</v>
      </c>
      <c r="C318" t="s">
        <v>1038</v>
      </c>
      <c r="E318" t="s">
        <v>1037</v>
      </c>
      <c r="F318" t="str">
        <f>VLOOKUP(E318,FifaCountryCode!A:B,2,FALSE)</f>
        <v>TCH</v>
      </c>
    </row>
    <row r="319" spans="2:6" x14ac:dyDescent="0.25">
      <c r="B319">
        <v>1934</v>
      </c>
      <c r="C319" t="s">
        <v>1038</v>
      </c>
      <c r="E319" t="s">
        <v>797</v>
      </c>
      <c r="F319" t="str">
        <f>VLOOKUP(E319,FifaCountryCode!A:B,2,FALSE)</f>
        <v>GER</v>
      </c>
    </row>
    <row r="320" spans="2:6" x14ac:dyDescent="0.25">
      <c r="B320">
        <v>1934</v>
      </c>
      <c r="C320" t="s">
        <v>1038</v>
      </c>
      <c r="E320" t="s">
        <v>751</v>
      </c>
      <c r="F320" t="str">
        <f>VLOOKUP(E320,FifaCountryCode!A:B,2,FALSE)</f>
        <v>AUT</v>
      </c>
    </row>
    <row r="321" spans="2:6" x14ac:dyDescent="0.25">
      <c r="B321">
        <v>1934</v>
      </c>
      <c r="C321" t="s">
        <v>1050</v>
      </c>
      <c r="D321">
        <v>1</v>
      </c>
      <c r="E321" t="s">
        <v>756</v>
      </c>
      <c r="F321" t="str">
        <f>VLOOKUP(E321,FifaCountryCode!A:B,2,FALSE)</f>
        <v>BEL</v>
      </c>
    </row>
    <row r="322" spans="2:6" x14ac:dyDescent="0.25">
      <c r="B322">
        <v>2014</v>
      </c>
      <c r="C322" t="s">
        <v>1016</v>
      </c>
      <c r="D322" t="s">
        <v>1017</v>
      </c>
      <c r="E322" t="s">
        <v>745</v>
      </c>
      <c r="F322" t="str">
        <f>VLOOKUP(E322,FifaCountryCode!A:B,2,FALSE)</f>
        <v>ALG</v>
      </c>
    </row>
    <row r="323" spans="2:6" x14ac:dyDescent="0.25">
      <c r="B323">
        <v>2014</v>
      </c>
      <c r="C323" t="s">
        <v>1016</v>
      </c>
      <c r="D323" t="s">
        <v>1017</v>
      </c>
      <c r="E323" t="s">
        <v>756</v>
      </c>
      <c r="F323" t="str">
        <f>VLOOKUP(E323,FifaCountryCode!A:B,2,FALSE)</f>
        <v>BEL</v>
      </c>
    </row>
    <row r="324" spans="2:6" x14ac:dyDescent="0.25">
      <c r="B324">
        <v>2014</v>
      </c>
      <c r="C324" t="s">
        <v>1019</v>
      </c>
      <c r="D324" t="s">
        <v>1020</v>
      </c>
      <c r="E324" t="s">
        <v>798</v>
      </c>
      <c r="F324" t="str">
        <f>VLOOKUP(E324,FifaCountryCode!A:B,2,FALSE)</f>
        <v>GHA</v>
      </c>
    </row>
    <row r="325" spans="2:6" x14ac:dyDescent="0.25">
      <c r="B325">
        <v>2014</v>
      </c>
      <c r="C325" t="s">
        <v>1019</v>
      </c>
      <c r="D325" t="s">
        <v>1020</v>
      </c>
      <c r="E325" t="s">
        <v>797</v>
      </c>
      <c r="F325" t="str">
        <f>VLOOKUP(E325,FifaCountryCode!A:B,2,FALSE)</f>
        <v>GER</v>
      </c>
    </row>
    <row r="326" spans="2:6" x14ac:dyDescent="0.25">
      <c r="B326">
        <v>2014</v>
      </c>
      <c r="C326" t="s">
        <v>1029</v>
      </c>
      <c r="D326" t="s">
        <v>1030</v>
      </c>
      <c r="E326" t="s">
        <v>78</v>
      </c>
      <c r="F326" t="str">
        <f>VLOOKUP(E326,FifaCountryCode!A:B,2,FALSE)</f>
        <v>BIH</v>
      </c>
    </row>
    <row r="327" spans="2:6" x14ac:dyDescent="0.25">
      <c r="B327">
        <v>2014</v>
      </c>
      <c r="C327" t="s">
        <v>1029</v>
      </c>
      <c r="D327" t="s">
        <v>1030</v>
      </c>
      <c r="E327" t="s">
        <v>749</v>
      </c>
      <c r="F327" t="str">
        <f>VLOOKUP(E327,FifaCountryCode!A:B,2,FALSE)</f>
        <v>ARG</v>
      </c>
    </row>
    <row r="328" spans="2:6" x14ac:dyDescent="0.25">
      <c r="B328">
        <v>2014</v>
      </c>
      <c r="C328" t="s">
        <v>1022</v>
      </c>
      <c r="D328" t="s">
        <v>1023</v>
      </c>
      <c r="E328" t="s">
        <v>782</v>
      </c>
      <c r="F328" t="str">
        <f>VLOOKUP(E328,FifaCountryCode!A:B,2,FALSE)</f>
        <v>ECU</v>
      </c>
    </row>
    <row r="329" spans="2:6" x14ac:dyDescent="0.25">
      <c r="B329">
        <v>2014</v>
      </c>
      <c r="C329" t="s">
        <v>1022</v>
      </c>
      <c r="D329" t="s">
        <v>1023</v>
      </c>
      <c r="E329" t="s">
        <v>810</v>
      </c>
      <c r="F329" t="str">
        <f>VLOOKUP(E329,FifaCountryCode!A:B,2,FALSE)</f>
        <v>HON</v>
      </c>
    </row>
    <row r="330" spans="2:6" x14ac:dyDescent="0.25">
      <c r="B330">
        <v>2014</v>
      </c>
      <c r="C330" t="s">
        <v>1031</v>
      </c>
      <c r="D330" t="s">
        <v>1032</v>
      </c>
      <c r="E330" t="s">
        <v>774</v>
      </c>
      <c r="F330" t="str">
        <f>VLOOKUP(E330,FifaCountryCode!A:B,2,FALSE)</f>
        <v>CRC</v>
      </c>
    </row>
    <row r="331" spans="2:6" x14ac:dyDescent="0.25">
      <c r="B331">
        <v>2014</v>
      </c>
      <c r="C331" t="s">
        <v>1031</v>
      </c>
      <c r="D331" t="s">
        <v>1032</v>
      </c>
      <c r="E331" t="s">
        <v>817</v>
      </c>
      <c r="F331" t="str">
        <f>VLOOKUP(E331,FifaCountryCode!A:B,2,FALSE)</f>
        <v>ITA</v>
      </c>
    </row>
    <row r="332" spans="2:6" x14ac:dyDescent="0.25">
      <c r="B332">
        <v>2014</v>
      </c>
      <c r="C332" t="s">
        <v>1024</v>
      </c>
      <c r="D332" t="s">
        <v>1025</v>
      </c>
      <c r="E332" t="s">
        <v>1077</v>
      </c>
      <c r="F332" t="e">
        <f>VLOOKUP(E332,FifaCountryCode!A:B,2,FALSE)</f>
        <v>#N/A</v>
      </c>
    </row>
    <row r="333" spans="2:6" x14ac:dyDescent="0.25">
      <c r="B333">
        <v>2014</v>
      </c>
      <c r="C333" t="s">
        <v>1024</v>
      </c>
      <c r="D333" t="s">
        <v>1025</v>
      </c>
      <c r="E333" t="s">
        <v>771</v>
      </c>
      <c r="F333" t="str">
        <f>VLOOKUP(E333,FifaCountryCode!A:B,2,FALSE)</f>
        <v>COL</v>
      </c>
    </row>
    <row r="334" spans="2:6" x14ac:dyDescent="0.25">
      <c r="B334">
        <v>2014</v>
      </c>
      <c r="C334" t="s">
        <v>1027</v>
      </c>
      <c r="D334" t="s">
        <v>1028</v>
      </c>
      <c r="E334" t="s">
        <v>768</v>
      </c>
      <c r="F334" t="str">
        <f>VLOOKUP(E334,FifaCountryCode!A:B,2,FALSE)</f>
        <v>CHI</v>
      </c>
    </row>
    <row r="335" spans="2:6" x14ac:dyDescent="0.25">
      <c r="B335">
        <v>2014</v>
      </c>
      <c r="C335" t="s">
        <v>1027</v>
      </c>
      <c r="D335" t="s">
        <v>1028</v>
      </c>
      <c r="E335" t="s">
        <v>128</v>
      </c>
      <c r="F335" t="str">
        <f>VLOOKUP(E335,FifaCountryCode!A:B,2,FALSE)</f>
        <v>AUS</v>
      </c>
    </row>
    <row r="336" spans="2:6" x14ac:dyDescent="0.25">
      <c r="B336">
        <v>2014</v>
      </c>
      <c r="C336" t="s">
        <v>1034</v>
      </c>
      <c r="D336" t="s">
        <v>1035</v>
      </c>
      <c r="E336" t="s">
        <v>775</v>
      </c>
      <c r="F336" t="str">
        <f>VLOOKUP(E336,FifaCountryCode!A:B,2,FALSE)</f>
        <v>CRO</v>
      </c>
    </row>
    <row r="337" spans="2:6" x14ac:dyDescent="0.25">
      <c r="B337">
        <v>2014</v>
      </c>
      <c r="C337" t="s">
        <v>1034</v>
      </c>
      <c r="D337" t="s">
        <v>1035</v>
      </c>
      <c r="E337" t="s">
        <v>760</v>
      </c>
      <c r="F337" t="str">
        <f>VLOOKUP(E337,FifaCountryCode!A:B,2,FALSE)</f>
        <v>BRA</v>
      </c>
    </row>
    <row r="338" spans="2:6" x14ac:dyDescent="0.25">
      <c r="B338">
        <v>2014</v>
      </c>
      <c r="C338" t="s">
        <v>1019</v>
      </c>
      <c r="D338" t="s">
        <v>1020</v>
      </c>
      <c r="E338" t="s">
        <v>871</v>
      </c>
      <c r="F338" t="str">
        <f>VLOOKUP(E338,FifaCountryCode!A:B,2,FALSE)</f>
        <v>POR</v>
      </c>
    </row>
    <row r="339" spans="2:6" x14ac:dyDescent="0.25">
      <c r="B339">
        <v>2014</v>
      </c>
      <c r="C339" t="s">
        <v>1022</v>
      </c>
      <c r="D339" t="s">
        <v>1023</v>
      </c>
      <c r="E339" t="s">
        <v>224</v>
      </c>
      <c r="F339" t="str">
        <f>VLOOKUP(E339,FifaCountryCode!A:B,2,FALSE)</f>
        <v>FRA</v>
      </c>
    </row>
    <row r="340" spans="2:6" x14ac:dyDescent="0.25">
      <c r="B340">
        <v>2014</v>
      </c>
      <c r="C340" t="s">
        <v>1031</v>
      </c>
      <c r="D340" t="s">
        <v>1032</v>
      </c>
      <c r="E340" t="s">
        <v>1021</v>
      </c>
      <c r="F340" t="str">
        <f>VLOOKUP(E340,FifaCountryCode!A:B,2,FALSE)</f>
        <v>ENG</v>
      </c>
    </row>
    <row r="341" spans="2:6" x14ac:dyDescent="0.25">
      <c r="B341">
        <v>2014</v>
      </c>
      <c r="C341" t="s">
        <v>1024</v>
      </c>
      <c r="D341" t="s">
        <v>1025</v>
      </c>
      <c r="E341" t="s">
        <v>799</v>
      </c>
      <c r="F341" t="str">
        <f>VLOOKUP(E341,FifaCountryCode!A:B,2,FALSE)</f>
        <v>GRE</v>
      </c>
    </row>
    <row r="342" spans="2:6" x14ac:dyDescent="0.25">
      <c r="B342">
        <v>2014</v>
      </c>
      <c r="C342" t="s">
        <v>1034</v>
      </c>
      <c r="D342" t="s">
        <v>1035</v>
      </c>
      <c r="E342" t="s">
        <v>764</v>
      </c>
      <c r="F342" t="str">
        <f>VLOOKUP(E342,FifaCountryCode!A:B,2,FALSE)</f>
        <v>CMR</v>
      </c>
    </row>
    <row r="343" spans="2:6" x14ac:dyDescent="0.25">
      <c r="B343">
        <v>2014</v>
      </c>
      <c r="C343" t="s">
        <v>1016</v>
      </c>
      <c r="D343" t="s">
        <v>1017</v>
      </c>
      <c r="E343" t="s">
        <v>1041</v>
      </c>
      <c r="F343" t="str">
        <f>VLOOKUP(E343,FifaCountryCode!A:B,2,FALSE)</f>
        <v>RUS</v>
      </c>
    </row>
    <row r="344" spans="2:6" x14ac:dyDescent="0.25">
      <c r="B344">
        <v>2014</v>
      </c>
      <c r="C344" t="s">
        <v>1029</v>
      </c>
      <c r="D344" t="s">
        <v>1030</v>
      </c>
      <c r="E344" t="s">
        <v>1051</v>
      </c>
      <c r="F344" t="str">
        <f>VLOOKUP(E344,FifaCountryCode!A:B,2,FALSE)</f>
        <v>IRN</v>
      </c>
    </row>
    <row r="345" spans="2:6" x14ac:dyDescent="0.25">
      <c r="B345">
        <v>2014</v>
      </c>
      <c r="C345" t="s">
        <v>1027</v>
      </c>
      <c r="D345" t="s">
        <v>1028</v>
      </c>
      <c r="E345" t="s">
        <v>33</v>
      </c>
      <c r="F345" t="str">
        <f>VLOOKUP(E345,FifaCountryCode!A:B,2,FALSE)</f>
        <v>NED</v>
      </c>
    </row>
    <row r="346" spans="2:6" x14ac:dyDescent="0.25">
      <c r="B346">
        <v>2010</v>
      </c>
      <c r="C346" t="s">
        <v>1018</v>
      </c>
      <c r="E346" t="s">
        <v>797</v>
      </c>
      <c r="F346" t="str">
        <f>VLOOKUP(E346,FifaCountryCode!A:B,2,FALSE)</f>
        <v>GER</v>
      </c>
    </row>
    <row r="347" spans="2:6" x14ac:dyDescent="0.25">
      <c r="B347">
        <v>2010</v>
      </c>
      <c r="C347" t="s">
        <v>1036</v>
      </c>
      <c r="E347" t="s">
        <v>797</v>
      </c>
      <c r="F347" t="str">
        <f>VLOOKUP(E347,FifaCountryCode!A:B,2,FALSE)</f>
        <v>GER</v>
      </c>
    </row>
    <row r="348" spans="2:6" x14ac:dyDescent="0.25">
      <c r="B348">
        <v>2010</v>
      </c>
      <c r="C348" t="s">
        <v>1036</v>
      </c>
      <c r="E348" t="s">
        <v>33</v>
      </c>
      <c r="F348" t="str">
        <f>VLOOKUP(E348,FifaCountryCode!A:B,2,FALSE)</f>
        <v>NED</v>
      </c>
    </row>
    <row r="349" spans="2:6" x14ac:dyDescent="0.25">
      <c r="B349">
        <v>2010</v>
      </c>
      <c r="C349" t="s">
        <v>1038</v>
      </c>
      <c r="E349" t="s">
        <v>866</v>
      </c>
      <c r="F349" t="str">
        <f>VLOOKUP(E349,FifaCountryCode!A:B,2,FALSE)</f>
        <v>PAR</v>
      </c>
    </row>
    <row r="350" spans="2:6" x14ac:dyDescent="0.25">
      <c r="B350">
        <v>2010</v>
      </c>
      <c r="C350" t="s">
        <v>1038</v>
      </c>
      <c r="E350" t="s">
        <v>749</v>
      </c>
      <c r="F350" t="str">
        <f>VLOOKUP(E350,FifaCountryCode!A:B,2,FALSE)</f>
        <v>ARG</v>
      </c>
    </row>
    <row r="351" spans="2:6" x14ac:dyDescent="0.25">
      <c r="B351">
        <v>2010</v>
      </c>
      <c r="C351" t="s">
        <v>1038</v>
      </c>
      <c r="E351" t="s">
        <v>798</v>
      </c>
      <c r="F351" t="str">
        <f>VLOOKUP(E351,FifaCountryCode!A:B,2,FALSE)</f>
        <v>GHA</v>
      </c>
    </row>
    <row r="352" spans="2:6" x14ac:dyDescent="0.25">
      <c r="B352">
        <v>2010</v>
      </c>
      <c r="C352" t="s">
        <v>1038</v>
      </c>
      <c r="E352" t="s">
        <v>760</v>
      </c>
      <c r="F352" t="str">
        <f>VLOOKUP(E352,FifaCountryCode!A:B,2,FALSE)</f>
        <v>BRA</v>
      </c>
    </row>
    <row r="353" spans="2:6" x14ac:dyDescent="0.25">
      <c r="B353">
        <v>2010</v>
      </c>
      <c r="C353" t="s">
        <v>1013</v>
      </c>
      <c r="E353" t="s">
        <v>871</v>
      </c>
      <c r="F353" t="str">
        <f>VLOOKUP(E353,FifaCountryCode!A:B,2,FALSE)</f>
        <v>POR</v>
      </c>
    </row>
    <row r="354" spans="2:6" x14ac:dyDescent="0.25">
      <c r="B354">
        <v>2010</v>
      </c>
      <c r="C354" t="s">
        <v>1013</v>
      </c>
      <c r="E354" t="s">
        <v>330</v>
      </c>
      <c r="F354" t="str">
        <f>VLOOKUP(E354,FifaCountryCode!A:B,2,FALSE)</f>
        <v>JPN</v>
      </c>
    </row>
    <row r="355" spans="2:6" x14ac:dyDescent="0.25">
      <c r="B355">
        <v>2010</v>
      </c>
      <c r="C355" t="s">
        <v>1013</v>
      </c>
      <c r="E355" t="s">
        <v>760</v>
      </c>
      <c r="F355" t="str">
        <f>VLOOKUP(E355,FifaCountryCode!A:B,2,FALSE)</f>
        <v>BRA</v>
      </c>
    </row>
    <row r="356" spans="2:6" x14ac:dyDescent="0.25">
      <c r="B356">
        <v>2010</v>
      </c>
      <c r="C356" t="s">
        <v>1013</v>
      </c>
      <c r="E356" t="s">
        <v>33</v>
      </c>
      <c r="F356" t="str">
        <f>VLOOKUP(E356,FifaCountryCode!A:B,2,FALSE)</f>
        <v>NED</v>
      </c>
    </row>
    <row r="357" spans="2:6" x14ac:dyDescent="0.25">
      <c r="B357">
        <v>2010</v>
      </c>
      <c r="C357" t="s">
        <v>1013</v>
      </c>
      <c r="E357" t="s">
        <v>749</v>
      </c>
      <c r="F357" t="str">
        <f>VLOOKUP(E357,FifaCountryCode!A:B,2,FALSE)</f>
        <v>ARG</v>
      </c>
    </row>
    <row r="358" spans="2:6" x14ac:dyDescent="0.25">
      <c r="B358">
        <v>2010</v>
      </c>
      <c r="C358" t="s">
        <v>1013</v>
      </c>
      <c r="E358" t="s">
        <v>1021</v>
      </c>
      <c r="F358" t="str">
        <f>VLOOKUP(E358,FifaCountryCode!A:B,2,FALSE)</f>
        <v>ENG</v>
      </c>
    </row>
    <row r="359" spans="2:6" x14ac:dyDescent="0.25">
      <c r="B359">
        <v>2010</v>
      </c>
      <c r="C359" t="s">
        <v>1013</v>
      </c>
      <c r="E359" t="s">
        <v>798</v>
      </c>
      <c r="F359" t="str">
        <f>VLOOKUP(E359,FifaCountryCode!A:B,2,FALSE)</f>
        <v>GHA</v>
      </c>
    </row>
    <row r="360" spans="2:6" x14ac:dyDescent="0.25">
      <c r="B360">
        <v>2010</v>
      </c>
      <c r="C360" t="s">
        <v>1013</v>
      </c>
      <c r="E360" t="s">
        <v>1056</v>
      </c>
      <c r="F360" t="str">
        <f>VLOOKUP(E360,FifaCountryCode!A:B,2,FALSE)</f>
        <v>KOR</v>
      </c>
    </row>
    <row r="361" spans="2:6" x14ac:dyDescent="0.25">
      <c r="B361">
        <v>2010</v>
      </c>
      <c r="C361" t="s">
        <v>1016</v>
      </c>
      <c r="D361" t="s">
        <v>1017</v>
      </c>
      <c r="E361" t="s">
        <v>810</v>
      </c>
      <c r="F361" t="str">
        <f>VLOOKUP(E361,FifaCountryCode!A:B,2,FALSE)</f>
        <v>HON</v>
      </c>
    </row>
    <row r="362" spans="2:6" x14ac:dyDescent="0.25">
      <c r="B362">
        <v>2010</v>
      </c>
      <c r="C362" t="s">
        <v>1019</v>
      </c>
      <c r="D362" t="s">
        <v>1020</v>
      </c>
      <c r="E362" t="s">
        <v>1077</v>
      </c>
      <c r="F362" t="e">
        <f>VLOOKUP(E362,FifaCountryCode!A:B,2,FALSE)</f>
        <v>#N/A</v>
      </c>
    </row>
    <row r="363" spans="2:6" x14ac:dyDescent="0.25">
      <c r="B363">
        <v>2010</v>
      </c>
      <c r="C363" t="s">
        <v>1019</v>
      </c>
      <c r="D363" t="s">
        <v>1020</v>
      </c>
      <c r="E363" t="s">
        <v>760</v>
      </c>
      <c r="F363" t="str">
        <f>VLOOKUP(E363,FifaCountryCode!A:B,2,FALSE)</f>
        <v>BRA</v>
      </c>
    </row>
    <row r="364" spans="2:6" x14ac:dyDescent="0.25">
      <c r="B364">
        <v>2010</v>
      </c>
      <c r="C364" t="s">
        <v>1029</v>
      </c>
      <c r="D364" t="s">
        <v>1030</v>
      </c>
      <c r="E364" t="s">
        <v>147</v>
      </c>
      <c r="F364" t="str">
        <f>VLOOKUP(E364,FifaCountryCode!A:B,2,FALSE)</f>
        <v>NZL</v>
      </c>
    </row>
    <row r="365" spans="2:6" x14ac:dyDescent="0.25">
      <c r="B365">
        <v>2010</v>
      </c>
      <c r="C365" t="s">
        <v>1029</v>
      </c>
      <c r="D365" t="s">
        <v>1030</v>
      </c>
      <c r="E365" t="s">
        <v>817</v>
      </c>
      <c r="F365" t="str">
        <f>VLOOKUP(E365,FifaCountryCode!A:B,2,FALSE)</f>
        <v>ITA</v>
      </c>
    </row>
    <row r="366" spans="2:6" x14ac:dyDescent="0.25">
      <c r="B366">
        <v>2010</v>
      </c>
      <c r="C366" t="s">
        <v>1022</v>
      </c>
      <c r="D366" t="s">
        <v>1023</v>
      </c>
      <c r="E366" t="s">
        <v>764</v>
      </c>
      <c r="F366" t="str">
        <f>VLOOKUP(E366,FifaCountryCode!A:B,2,FALSE)</f>
        <v>CMR</v>
      </c>
    </row>
    <row r="367" spans="2:6" x14ac:dyDescent="0.25">
      <c r="B367">
        <v>2010</v>
      </c>
      <c r="C367" t="s">
        <v>1022</v>
      </c>
      <c r="D367" t="s">
        <v>1023</v>
      </c>
      <c r="E367" t="s">
        <v>211</v>
      </c>
      <c r="F367" t="str">
        <f>VLOOKUP(E367,FifaCountryCode!A:B,2,FALSE)</f>
        <v>DEN</v>
      </c>
    </row>
    <row r="368" spans="2:6" x14ac:dyDescent="0.25">
      <c r="B368">
        <v>2010</v>
      </c>
      <c r="C368" t="s">
        <v>1031</v>
      </c>
      <c r="D368" t="s">
        <v>1032</v>
      </c>
      <c r="E368" t="s">
        <v>128</v>
      </c>
      <c r="F368" t="str">
        <f>VLOOKUP(E368,FifaCountryCode!A:B,2,FALSE)</f>
        <v>AUS</v>
      </c>
    </row>
    <row r="369" spans="2:6" x14ac:dyDescent="0.25">
      <c r="B369">
        <v>2010</v>
      </c>
      <c r="C369" t="s">
        <v>1031</v>
      </c>
      <c r="D369" t="s">
        <v>1032</v>
      </c>
      <c r="E369" t="s">
        <v>797</v>
      </c>
      <c r="F369" t="str">
        <f>VLOOKUP(E369,FifaCountryCode!A:B,2,FALSE)</f>
        <v>GER</v>
      </c>
    </row>
    <row r="370" spans="2:6" x14ac:dyDescent="0.25">
      <c r="B370">
        <v>2010</v>
      </c>
      <c r="C370" t="s">
        <v>1024</v>
      </c>
      <c r="D370" t="s">
        <v>1025</v>
      </c>
      <c r="E370" t="s">
        <v>745</v>
      </c>
      <c r="F370" t="str">
        <f>VLOOKUP(E370,FifaCountryCode!A:B,2,FALSE)</f>
        <v>ALG</v>
      </c>
    </row>
    <row r="371" spans="2:6" x14ac:dyDescent="0.25">
      <c r="B371">
        <v>2010</v>
      </c>
      <c r="C371" t="s">
        <v>1024</v>
      </c>
      <c r="D371" t="s">
        <v>1025</v>
      </c>
      <c r="E371" t="s">
        <v>1021</v>
      </c>
      <c r="F371" t="str">
        <f>VLOOKUP(E371,FifaCountryCode!A:B,2,FALSE)</f>
        <v>ENG</v>
      </c>
    </row>
    <row r="372" spans="2:6" x14ac:dyDescent="0.25">
      <c r="B372">
        <v>2010</v>
      </c>
      <c r="C372" t="s">
        <v>1027</v>
      </c>
      <c r="D372" t="s">
        <v>1028</v>
      </c>
      <c r="E372" t="s">
        <v>749</v>
      </c>
      <c r="F372" t="str">
        <f>VLOOKUP(E372,FifaCountryCode!A:B,2,FALSE)</f>
        <v>ARG</v>
      </c>
    </row>
    <row r="373" spans="2:6" x14ac:dyDescent="0.25">
      <c r="B373">
        <v>2010</v>
      </c>
      <c r="C373" t="s">
        <v>1027</v>
      </c>
      <c r="D373" t="s">
        <v>1028</v>
      </c>
      <c r="E373" t="s">
        <v>857</v>
      </c>
      <c r="F373" t="str">
        <f>VLOOKUP(E373,FifaCountryCode!A:B,2,FALSE)</f>
        <v>NGA</v>
      </c>
    </row>
    <row r="374" spans="2:6" x14ac:dyDescent="0.25">
      <c r="B374">
        <v>2010</v>
      </c>
      <c r="C374" t="s">
        <v>1034</v>
      </c>
      <c r="D374" t="s">
        <v>1035</v>
      </c>
      <c r="E374" t="s">
        <v>224</v>
      </c>
      <c r="F374" t="str">
        <f>VLOOKUP(E374,FifaCountryCode!A:B,2,FALSE)</f>
        <v>FRA</v>
      </c>
    </row>
    <row r="375" spans="2:6" x14ac:dyDescent="0.25">
      <c r="B375">
        <v>2010</v>
      </c>
      <c r="C375" t="s">
        <v>1034</v>
      </c>
      <c r="D375" t="s">
        <v>1035</v>
      </c>
      <c r="E375" t="s">
        <v>845</v>
      </c>
      <c r="F375" t="str">
        <f>VLOOKUP(E375,FifaCountryCode!A:B,2,FALSE)</f>
        <v>MEX</v>
      </c>
    </row>
    <row r="376" spans="2:6" x14ac:dyDescent="0.25">
      <c r="B376">
        <v>2010</v>
      </c>
      <c r="C376" t="s">
        <v>1019</v>
      </c>
      <c r="D376" t="s">
        <v>1020</v>
      </c>
      <c r="E376" t="s">
        <v>1055</v>
      </c>
      <c r="F376" t="str">
        <f>VLOOKUP(E376,FifaCountryCode!A:B,2,FALSE)</f>
        <v>PRK</v>
      </c>
    </row>
    <row r="377" spans="2:6" x14ac:dyDescent="0.25">
      <c r="B377">
        <v>2010</v>
      </c>
      <c r="C377" t="s">
        <v>1029</v>
      </c>
      <c r="D377" t="s">
        <v>1030</v>
      </c>
      <c r="E377" t="s">
        <v>866</v>
      </c>
      <c r="F377" t="str">
        <f>VLOOKUP(E377,FifaCountryCode!A:B,2,FALSE)</f>
        <v>PAR</v>
      </c>
    </row>
    <row r="378" spans="2:6" x14ac:dyDescent="0.25">
      <c r="B378">
        <v>2010</v>
      </c>
      <c r="C378" t="s">
        <v>1022</v>
      </c>
      <c r="D378" t="s">
        <v>1023</v>
      </c>
      <c r="E378" t="s">
        <v>330</v>
      </c>
      <c r="F378" t="str">
        <f>VLOOKUP(E378,FifaCountryCode!A:B,2,FALSE)</f>
        <v>JPN</v>
      </c>
    </row>
    <row r="379" spans="2:6" x14ac:dyDescent="0.25">
      <c r="B379">
        <v>2010</v>
      </c>
      <c r="C379" t="s">
        <v>1024</v>
      </c>
      <c r="D379" t="s">
        <v>1025</v>
      </c>
      <c r="E379" t="s">
        <v>890</v>
      </c>
      <c r="F379" t="str">
        <f>VLOOKUP(E379,FifaCountryCode!A:B,2,FALSE)</f>
        <v>SVN</v>
      </c>
    </row>
    <row r="380" spans="2:6" x14ac:dyDescent="0.25">
      <c r="B380">
        <v>2010</v>
      </c>
      <c r="C380" t="s">
        <v>1027</v>
      </c>
      <c r="D380" t="s">
        <v>1028</v>
      </c>
      <c r="E380" t="s">
        <v>799</v>
      </c>
      <c r="F380" t="str">
        <f>VLOOKUP(E380,FifaCountryCode!A:B,2,FALSE)</f>
        <v>GRE</v>
      </c>
    </row>
    <row r="381" spans="2:6" x14ac:dyDescent="0.25">
      <c r="B381">
        <v>2010</v>
      </c>
      <c r="C381" t="s">
        <v>1016</v>
      </c>
      <c r="D381" t="s">
        <v>1017</v>
      </c>
      <c r="E381" t="s">
        <v>895</v>
      </c>
      <c r="F381" t="str">
        <f>VLOOKUP(E381,FifaCountryCode!A:B,2,FALSE)</f>
        <v>ESP</v>
      </c>
    </row>
    <row r="382" spans="2:6" x14ac:dyDescent="0.25">
      <c r="B382">
        <v>2010</v>
      </c>
      <c r="C382" t="s">
        <v>1034</v>
      </c>
      <c r="D382" t="s">
        <v>1035</v>
      </c>
      <c r="E382" t="s">
        <v>893</v>
      </c>
      <c r="F382" t="str">
        <f>VLOOKUP(E382,FifaCountryCode!A:B,2,FALSE)</f>
        <v>RSA</v>
      </c>
    </row>
    <row r="383" spans="2:6" x14ac:dyDescent="0.25">
      <c r="B383">
        <v>2010</v>
      </c>
      <c r="C383" t="s">
        <v>1031</v>
      </c>
      <c r="D383" t="s">
        <v>1032</v>
      </c>
      <c r="E383" t="s">
        <v>798</v>
      </c>
      <c r="F383" t="str">
        <f>VLOOKUP(E383,FifaCountryCode!A:B,2,FALSE)</f>
        <v>GHA</v>
      </c>
    </row>
    <row r="384" spans="2:6" x14ac:dyDescent="0.25">
      <c r="B384">
        <v>2006</v>
      </c>
      <c r="C384" t="s">
        <v>1015</v>
      </c>
      <c r="E384" t="s">
        <v>224</v>
      </c>
      <c r="F384" t="str">
        <f>VLOOKUP(E384,FifaCountryCode!A:B,2,FALSE)</f>
        <v>FRA</v>
      </c>
    </row>
    <row r="385" spans="2:6" x14ac:dyDescent="0.25">
      <c r="B385">
        <v>2006</v>
      </c>
      <c r="C385" t="s">
        <v>1018</v>
      </c>
      <c r="E385" t="s">
        <v>797</v>
      </c>
      <c r="F385" t="str">
        <f>VLOOKUP(E385,FifaCountryCode!A:B,2,FALSE)</f>
        <v>GER</v>
      </c>
    </row>
    <row r="386" spans="2:6" x14ac:dyDescent="0.25">
      <c r="B386">
        <v>2006</v>
      </c>
      <c r="C386" t="s">
        <v>1036</v>
      </c>
      <c r="E386" t="s">
        <v>224</v>
      </c>
      <c r="F386" t="str">
        <f>VLOOKUP(E386,FifaCountryCode!A:B,2,FALSE)</f>
        <v>FRA</v>
      </c>
    </row>
    <row r="387" spans="2:6" x14ac:dyDescent="0.25">
      <c r="B387">
        <v>2006</v>
      </c>
      <c r="C387" t="s">
        <v>1036</v>
      </c>
      <c r="E387" t="s">
        <v>797</v>
      </c>
      <c r="F387" t="str">
        <f>VLOOKUP(E387,FifaCountryCode!A:B,2,FALSE)</f>
        <v>GER</v>
      </c>
    </row>
    <row r="388" spans="2:6" x14ac:dyDescent="0.25">
      <c r="B388">
        <v>2006</v>
      </c>
      <c r="C388" t="s">
        <v>1038</v>
      </c>
      <c r="E388" t="s">
        <v>760</v>
      </c>
      <c r="F388" t="str">
        <f>VLOOKUP(E388,FifaCountryCode!A:B,2,FALSE)</f>
        <v>BRA</v>
      </c>
    </row>
    <row r="389" spans="2:6" x14ac:dyDescent="0.25">
      <c r="B389">
        <v>2006</v>
      </c>
      <c r="C389" t="s">
        <v>1038</v>
      </c>
      <c r="E389" t="s">
        <v>1021</v>
      </c>
      <c r="F389" t="str">
        <f>VLOOKUP(E389,FifaCountryCode!A:B,2,FALSE)</f>
        <v>ENG</v>
      </c>
    </row>
    <row r="390" spans="2:6" x14ac:dyDescent="0.25">
      <c r="B390">
        <v>2006</v>
      </c>
      <c r="C390" t="s">
        <v>1038</v>
      </c>
      <c r="E390" t="s">
        <v>817</v>
      </c>
      <c r="F390" t="str">
        <f>VLOOKUP(E390,FifaCountryCode!A:B,2,FALSE)</f>
        <v>ITA</v>
      </c>
    </row>
    <row r="391" spans="2:6" x14ac:dyDescent="0.25">
      <c r="B391">
        <v>2006</v>
      </c>
      <c r="C391" t="s">
        <v>1038</v>
      </c>
      <c r="E391" t="s">
        <v>749</v>
      </c>
      <c r="F391" t="str">
        <f>VLOOKUP(E391,FifaCountryCode!A:B,2,FALSE)</f>
        <v>ARG</v>
      </c>
    </row>
    <row r="392" spans="2:6" x14ac:dyDescent="0.25">
      <c r="B392">
        <v>2006</v>
      </c>
      <c r="C392" t="s">
        <v>1013</v>
      </c>
      <c r="E392" t="s">
        <v>224</v>
      </c>
      <c r="F392" t="str">
        <f>VLOOKUP(E392,FifaCountryCode!A:B,2,FALSE)</f>
        <v>FRA</v>
      </c>
    </row>
    <row r="393" spans="2:6" x14ac:dyDescent="0.25">
      <c r="B393">
        <v>2006</v>
      </c>
      <c r="C393" t="s">
        <v>1013</v>
      </c>
      <c r="E393" t="s">
        <v>760</v>
      </c>
      <c r="F393" t="str">
        <f>VLOOKUP(E393,FifaCountryCode!A:B,2,FALSE)</f>
        <v>BRA</v>
      </c>
    </row>
    <row r="394" spans="2:6" x14ac:dyDescent="0.25">
      <c r="B394">
        <v>2006</v>
      </c>
      <c r="C394" t="s">
        <v>1013</v>
      </c>
      <c r="E394" t="s">
        <v>901</v>
      </c>
      <c r="F394" t="str">
        <f>VLOOKUP(E394,FifaCountryCode!A:B,2,FALSE)</f>
        <v>SUI</v>
      </c>
    </row>
    <row r="395" spans="2:6" x14ac:dyDescent="0.25">
      <c r="B395">
        <v>2006</v>
      </c>
      <c r="C395" t="s">
        <v>1013</v>
      </c>
      <c r="E395" t="s">
        <v>128</v>
      </c>
      <c r="F395" t="str">
        <f>VLOOKUP(E395,FifaCountryCode!A:B,2,FALSE)</f>
        <v>AUS</v>
      </c>
    </row>
    <row r="396" spans="2:6" x14ac:dyDescent="0.25">
      <c r="B396">
        <v>2006</v>
      </c>
      <c r="C396" t="s">
        <v>1013</v>
      </c>
      <c r="E396" t="s">
        <v>33</v>
      </c>
      <c r="F396" t="str">
        <f>VLOOKUP(E396,FifaCountryCode!A:B,2,FALSE)</f>
        <v>NED</v>
      </c>
    </row>
    <row r="397" spans="2:6" x14ac:dyDescent="0.25">
      <c r="B397">
        <v>2006</v>
      </c>
      <c r="C397" t="s">
        <v>1013</v>
      </c>
      <c r="E397" t="s">
        <v>782</v>
      </c>
      <c r="F397" t="str">
        <f>VLOOKUP(E397,FifaCountryCode!A:B,2,FALSE)</f>
        <v>ECU</v>
      </c>
    </row>
    <row r="398" spans="2:6" x14ac:dyDescent="0.25">
      <c r="B398">
        <v>2006</v>
      </c>
      <c r="C398" t="s">
        <v>1013</v>
      </c>
      <c r="E398" t="s">
        <v>749</v>
      </c>
      <c r="F398" t="str">
        <f>VLOOKUP(E398,FifaCountryCode!A:B,2,FALSE)</f>
        <v>ARG</v>
      </c>
    </row>
    <row r="399" spans="2:6" x14ac:dyDescent="0.25">
      <c r="B399">
        <v>2006</v>
      </c>
      <c r="C399" t="s">
        <v>1013</v>
      </c>
      <c r="E399" t="s">
        <v>797</v>
      </c>
      <c r="F399" t="str">
        <f>VLOOKUP(E399,FifaCountryCode!A:B,2,FALSE)</f>
        <v>GER</v>
      </c>
    </row>
    <row r="400" spans="2:6" x14ac:dyDescent="0.25">
      <c r="B400">
        <v>2006</v>
      </c>
      <c r="C400" t="s">
        <v>1016</v>
      </c>
      <c r="D400" t="s">
        <v>1017</v>
      </c>
      <c r="E400" t="s">
        <v>911</v>
      </c>
      <c r="F400" t="str">
        <f>VLOOKUP(E400,FifaCountryCode!A:B,2,FALSE)</f>
        <v>TUN</v>
      </c>
    </row>
    <row r="401" spans="2:6" x14ac:dyDescent="0.25">
      <c r="B401">
        <v>2006</v>
      </c>
      <c r="C401" t="s">
        <v>1016</v>
      </c>
      <c r="D401" t="s">
        <v>1017</v>
      </c>
      <c r="E401" t="s">
        <v>882</v>
      </c>
      <c r="F401" t="str">
        <f>VLOOKUP(E401,FifaCountryCode!A:B,2,FALSE)</f>
        <v>KSA</v>
      </c>
    </row>
    <row r="402" spans="2:6" x14ac:dyDescent="0.25">
      <c r="B402">
        <v>2006</v>
      </c>
      <c r="C402" t="s">
        <v>1019</v>
      </c>
      <c r="D402" t="s">
        <v>1020</v>
      </c>
      <c r="E402" t="s">
        <v>1056</v>
      </c>
      <c r="F402" t="str">
        <f>VLOOKUP(E402,FifaCountryCode!A:B,2,FALSE)</f>
        <v>KOR</v>
      </c>
    </row>
    <row r="403" spans="2:6" x14ac:dyDescent="0.25">
      <c r="B403">
        <v>2006</v>
      </c>
      <c r="C403" t="s">
        <v>1019</v>
      </c>
      <c r="D403" t="s">
        <v>1020</v>
      </c>
      <c r="E403" t="s">
        <v>224</v>
      </c>
      <c r="F403" t="str">
        <f>VLOOKUP(E403,FifaCountryCode!A:B,2,FALSE)</f>
        <v>FRA</v>
      </c>
    </row>
    <row r="404" spans="2:6" x14ac:dyDescent="0.25">
      <c r="B404">
        <v>2006</v>
      </c>
      <c r="C404" t="s">
        <v>1029</v>
      </c>
      <c r="D404" t="s">
        <v>1030</v>
      </c>
      <c r="E404" t="s">
        <v>128</v>
      </c>
      <c r="F404" t="str">
        <f>VLOOKUP(E404,FifaCountryCode!A:B,2,FALSE)</f>
        <v>AUS</v>
      </c>
    </row>
    <row r="405" spans="2:6" x14ac:dyDescent="0.25">
      <c r="B405">
        <v>2006</v>
      </c>
      <c r="C405" t="s">
        <v>1029</v>
      </c>
      <c r="D405" t="s">
        <v>1030</v>
      </c>
      <c r="E405" t="s">
        <v>760</v>
      </c>
      <c r="F405" t="str">
        <f>VLOOKUP(E405,FifaCountryCode!A:B,2,FALSE)</f>
        <v>BRA</v>
      </c>
    </row>
    <row r="406" spans="2:6" x14ac:dyDescent="0.25">
      <c r="B406">
        <v>2006</v>
      </c>
      <c r="C406" t="s">
        <v>1022</v>
      </c>
      <c r="D406" t="s">
        <v>1023</v>
      </c>
      <c r="E406" t="s">
        <v>798</v>
      </c>
      <c r="F406" t="str">
        <f>VLOOKUP(E406,FifaCountryCode!A:B,2,FALSE)</f>
        <v>GHA</v>
      </c>
    </row>
    <row r="407" spans="2:6" x14ac:dyDescent="0.25">
      <c r="B407">
        <v>2006</v>
      </c>
      <c r="C407" t="s">
        <v>1022</v>
      </c>
      <c r="D407" t="s">
        <v>1023</v>
      </c>
      <c r="E407" t="s">
        <v>1078</v>
      </c>
      <c r="F407" t="str">
        <f>VLOOKUP(E407,FifaCountryCode!A:B,2,FALSE)</f>
        <v>CZE</v>
      </c>
    </row>
    <row r="408" spans="2:6" x14ac:dyDescent="0.25">
      <c r="B408">
        <v>2006</v>
      </c>
      <c r="C408" t="s">
        <v>1031</v>
      </c>
      <c r="D408" t="s">
        <v>1032</v>
      </c>
      <c r="E408" t="s">
        <v>748</v>
      </c>
      <c r="F408" t="str">
        <f>VLOOKUP(E408,FifaCountryCode!A:B,2,FALSE)</f>
        <v>ANG</v>
      </c>
    </row>
    <row r="409" spans="2:6" x14ac:dyDescent="0.25">
      <c r="B409">
        <v>2006</v>
      </c>
      <c r="C409" t="s">
        <v>1031</v>
      </c>
      <c r="D409" t="s">
        <v>1032</v>
      </c>
      <c r="E409" t="s">
        <v>845</v>
      </c>
      <c r="F409" t="str">
        <f>VLOOKUP(E409,FifaCountryCode!A:B,2,FALSE)</f>
        <v>MEX</v>
      </c>
    </row>
    <row r="410" spans="2:6" x14ac:dyDescent="0.25">
      <c r="B410">
        <v>2006</v>
      </c>
      <c r="C410" t="s">
        <v>1024</v>
      </c>
      <c r="D410" t="s">
        <v>1025</v>
      </c>
      <c r="E410" t="s">
        <v>1077</v>
      </c>
      <c r="F410" t="e">
        <f>VLOOKUP(E410,FifaCountryCode!A:B,2,FALSE)</f>
        <v>#N/A</v>
      </c>
    </row>
    <row r="411" spans="2:6" x14ac:dyDescent="0.25">
      <c r="B411">
        <v>2006</v>
      </c>
      <c r="C411" t="s">
        <v>1024</v>
      </c>
      <c r="D411" t="s">
        <v>1025</v>
      </c>
      <c r="E411" t="s">
        <v>749</v>
      </c>
      <c r="F411" t="str">
        <f>VLOOKUP(E411,FifaCountryCode!A:B,2,FALSE)</f>
        <v>ARG</v>
      </c>
    </row>
    <row r="412" spans="2:6" x14ac:dyDescent="0.25">
      <c r="B412">
        <v>2006</v>
      </c>
      <c r="C412" t="s">
        <v>1027</v>
      </c>
      <c r="D412" t="s">
        <v>1028</v>
      </c>
      <c r="E412" t="s">
        <v>866</v>
      </c>
      <c r="F412" t="str">
        <f>VLOOKUP(E412,FifaCountryCode!A:B,2,FALSE)</f>
        <v>PAR</v>
      </c>
    </row>
    <row r="413" spans="2:6" x14ac:dyDescent="0.25">
      <c r="B413">
        <v>2006</v>
      </c>
      <c r="C413" t="s">
        <v>1027</v>
      </c>
      <c r="D413" t="s">
        <v>1028</v>
      </c>
      <c r="E413" t="s">
        <v>1021</v>
      </c>
      <c r="F413" t="str">
        <f>VLOOKUP(E413,FifaCountryCode!A:B,2,FALSE)</f>
        <v>ENG</v>
      </c>
    </row>
    <row r="414" spans="2:6" x14ac:dyDescent="0.25">
      <c r="B414">
        <v>2006</v>
      </c>
      <c r="C414" t="s">
        <v>1034</v>
      </c>
      <c r="D414" t="s">
        <v>1035</v>
      </c>
      <c r="E414" t="s">
        <v>774</v>
      </c>
      <c r="F414" t="str">
        <f>VLOOKUP(E414,FifaCountryCode!A:B,2,FALSE)</f>
        <v>CRC</v>
      </c>
    </row>
    <row r="415" spans="2:6" x14ac:dyDescent="0.25">
      <c r="B415">
        <v>2006</v>
      </c>
      <c r="C415" t="s">
        <v>1034</v>
      </c>
      <c r="D415" t="s">
        <v>1035</v>
      </c>
      <c r="E415" t="s">
        <v>782</v>
      </c>
      <c r="F415" t="str">
        <f>VLOOKUP(E415,FifaCountryCode!A:B,2,FALSE)</f>
        <v>ECU</v>
      </c>
    </row>
    <row r="416" spans="2:6" x14ac:dyDescent="0.25">
      <c r="B416">
        <v>2006</v>
      </c>
      <c r="C416" t="s">
        <v>1019</v>
      </c>
      <c r="D416" t="s">
        <v>1020</v>
      </c>
      <c r="E416" t="s">
        <v>901</v>
      </c>
      <c r="F416" t="str">
        <f>VLOOKUP(E416,FifaCountryCode!A:B,2,FALSE)</f>
        <v>SUI</v>
      </c>
    </row>
    <row r="417" spans="2:6" x14ac:dyDescent="0.25">
      <c r="B417">
        <v>2006</v>
      </c>
      <c r="C417" t="s">
        <v>1029</v>
      </c>
      <c r="D417" t="s">
        <v>1030</v>
      </c>
      <c r="E417" t="s">
        <v>775</v>
      </c>
      <c r="F417" t="str">
        <f>VLOOKUP(E417,FifaCountryCode!A:B,2,FALSE)</f>
        <v>CRO</v>
      </c>
    </row>
    <row r="418" spans="2:6" x14ac:dyDescent="0.25">
      <c r="B418">
        <v>2006</v>
      </c>
      <c r="C418" t="s">
        <v>1022</v>
      </c>
      <c r="D418" t="s">
        <v>1023</v>
      </c>
      <c r="E418" t="s">
        <v>817</v>
      </c>
      <c r="F418" t="str">
        <f>VLOOKUP(E418,FifaCountryCode!A:B,2,FALSE)</f>
        <v>ITA</v>
      </c>
    </row>
    <row r="419" spans="2:6" x14ac:dyDescent="0.25">
      <c r="B419">
        <v>2006</v>
      </c>
      <c r="C419" t="s">
        <v>1031</v>
      </c>
      <c r="D419" t="s">
        <v>1032</v>
      </c>
      <c r="E419" t="s">
        <v>1051</v>
      </c>
      <c r="F419" t="str">
        <f>VLOOKUP(E419,FifaCountryCode!A:B,2,FALSE)</f>
        <v>IRN</v>
      </c>
    </row>
    <row r="420" spans="2:6" x14ac:dyDescent="0.25">
      <c r="B420">
        <v>2006</v>
      </c>
      <c r="C420" t="s">
        <v>1034</v>
      </c>
      <c r="D420" t="s">
        <v>1035</v>
      </c>
      <c r="E420" t="s">
        <v>797</v>
      </c>
      <c r="F420" t="str">
        <f>VLOOKUP(E420,FifaCountryCode!A:B,2,FALSE)</f>
        <v>GER</v>
      </c>
    </row>
    <row r="421" spans="2:6" x14ac:dyDescent="0.25">
      <c r="B421">
        <v>2006</v>
      </c>
      <c r="C421" t="s">
        <v>1024</v>
      </c>
      <c r="D421" t="s">
        <v>1025</v>
      </c>
      <c r="E421" t="s">
        <v>33</v>
      </c>
      <c r="F421" t="str">
        <f>VLOOKUP(E421,FifaCountryCode!A:B,2,FALSE)</f>
        <v>NED</v>
      </c>
    </row>
    <row r="422" spans="2:6" x14ac:dyDescent="0.25">
      <c r="B422">
        <v>2006</v>
      </c>
      <c r="C422" t="s">
        <v>1027</v>
      </c>
      <c r="D422" t="s">
        <v>1028</v>
      </c>
      <c r="E422" t="s">
        <v>900</v>
      </c>
      <c r="F422" t="str">
        <f>VLOOKUP(E422,FifaCountryCode!A:B,2,FALSE)</f>
        <v>SWE</v>
      </c>
    </row>
    <row r="423" spans="2:6" x14ac:dyDescent="0.25">
      <c r="B423">
        <v>2002</v>
      </c>
      <c r="C423" t="s">
        <v>1015</v>
      </c>
      <c r="E423" t="s">
        <v>760</v>
      </c>
      <c r="F423" t="str">
        <f>VLOOKUP(E423,FifaCountryCode!A:B,2,FALSE)</f>
        <v>BRA</v>
      </c>
    </row>
    <row r="424" spans="2:6" x14ac:dyDescent="0.25">
      <c r="B424">
        <v>2002</v>
      </c>
      <c r="C424" t="s">
        <v>1018</v>
      </c>
      <c r="E424" t="s">
        <v>1056</v>
      </c>
      <c r="F424" t="str">
        <f>VLOOKUP(E424,FifaCountryCode!A:B,2,FALSE)</f>
        <v>KOR</v>
      </c>
    </row>
    <row r="425" spans="2:6" x14ac:dyDescent="0.25">
      <c r="B425">
        <v>2002</v>
      </c>
      <c r="C425" t="s">
        <v>1036</v>
      </c>
      <c r="E425" t="s">
        <v>760</v>
      </c>
      <c r="F425" t="str">
        <f>VLOOKUP(E425,FifaCountryCode!A:B,2,FALSE)</f>
        <v>BRA</v>
      </c>
    </row>
    <row r="426" spans="2:6" x14ac:dyDescent="0.25">
      <c r="B426">
        <v>2002</v>
      </c>
      <c r="C426" t="s">
        <v>1036</v>
      </c>
      <c r="E426" t="s">
        <v>797</v>
      </c>
      <c r="F426" t="str">
        <f>VLOOKUP(E426,FifaCountryCode!A:B,2,FALSE)</f>
        <v>GER</v>
      </c>
    </row>
    <row r="427" spans="2:6" x14ac:dyDescent="0.25">
      <c r="B427">
        <v>2002</v>
      </c>
      <c r="C427" t="s">
        <v>1038</v>
      </c>
      <c r="E427" t="s">
        <v>883</v>
      </c>
      <c r="F427" t="str">
        <f>VLOOKUP(E427,FifaCountryCode!A:B,2,FALSE)</f>
        <v>SEN</v>
      </c>
    </row>
    <row r="428" spans="2:6" x14ac:dyDescent="0.25">
      <c r="B428">
        <v>2002</v>
      </c>
      <c r="C428" t="s">
        <v>1038</v>
      </c>
      <c r="E428" t="s">
        <v>1056</v>
      </c>
      <c r="F428" t="str">
        <f>VLOOKUP(E428,FifaCountryCode!A:B,2,FALSE)</f>
        <v>KOR</v>
      </c>
    </row>
    <row r="429" spans="2:6" x14ac:dyDescent="0.25">
      <c r="B429">
        <v>2002</v>
      </c>
      <c r="C429" t="s">
        <v>1038</v>
      </c>
      <c r="E429" t="s">
        <v>797</v>
      </c>
      <c r="F429" t="str">
        <f>VLOOKUP(E429,FifaCountryCode!A:B,2,FALSE)</f>
        <v>GER</v>
      </c>
    </row>
    <row r="430" spans="2:6" x14ac:dyDescent="0.25">
      <c r="B430">
        <v>2002</v>
      </c>
      <c r="C430" t="s">
        <v>1038</v>
      </c>
      <c r="E430" t="s">
        <v>760</v>
      </c>
      <c r="F430" t="str">
        <f>VLOOKUP(E430,FifaCountryCode!A:B,2,FALSE)</f>
        <v>BRA</v>
      </c>
    </row>
    <row r="431" spans="2:6" x14ac:dyDescent="0.25">
      <c r="B431">
        <v>2002</v>
      </c>
      <c r="C431" t="s">
        <v>1013</v>
      </c>
      <c r="E431" t="s">
        <v>817</v>
      </c>
      <c r="F431" t="str">
        <f>VLOOKUP(E431,FifaCountryCode!A:B,2,FALSE)</f>
        <v>ITA</v>
      </c>
    </row>
    <row r="432" spans="2:6" x14ac:dyDescent="0.25">
      <c r="B432">
        <v>2002</v>
      </c>
      <c r="C432" t="s">
        <v>1013</v>
      </c>
      <c r="E432" t="s">
        <v>330</v>
      </c>
      <c r="F432" t="str">
        <f>VLOOKUP(E432,FifaCountryCode!A:B,2,FALSE)</f>
        <v>JPN</v>
      </c>
    </row>
    <row r="433" spans="2:6" x14ac:dyDescent="0.25">
      <c r="B433">
        <v>2002</v>
      </c>
      <c r="C433" t="s">
        <v>1013</v>
      </c>
      <c r="E433" t="s">
        <v>756</v>
      </c>
      <c r="F433" t="str">
        <f>VLOOKUP(E433,FifaCountryCode!A:B,2,FALSE)</f>
        <v>BEL</v>
      </c>
    </row>
    <row r="434" spans="2:6" x14ac:dyDescent="0.25">
      <c r="B434">
        <v>2002</v>
      </c>
      <c r="C434" t="s">
        <v>1013</v>
      </c>
      <c r="E434" t="s">
        <v>845</v>
      </c>
      <c r="F434" t="str">
        <f>VLOOKUP(E434,FifaCountryCode!A:B,2,FALSE)</f>
        <v>MEX</v>
      </c>
    </row>
    <row r="435" spans="2:6" x14ac:dyDescent="0.25">
      <c r="B435">
        <v>2002</v>
      </c>
      <c r="C435" t="s">
        <v>1013</v>
      </c>
      <c r="E435" t="s">
        <v>315</v>
      </c>
      <c r="F435" t="e">
        <f>VLOOKUP(E435,FifaCountryCode!A:B,2,FALSE)</f>
        <v>#N/A</v>
      </c>
    </row>
    <row r="436" spans="2:6" x14ac:dyDescent="0.25">
      <c r="B436">
        <v>2002</v>
      </c>
      <c r="C436" t="s">
        <v>1013</v>
      </c>
      <c r="E436" t="s">
        <v>883</v>
      </c>
      <c r="F436" t="str">
        <f>VLOOKUP(E436,FifaCountryCode!A:B,2,FALSE)</f>
        <v>SEN</v>
      </c>
    </row>
    <row r="437" spans="2:6" x14ac:dyDescent="0.25">
      <c r="B437">
        <v>2002</v>
      </c>
      <c r="C437" t="s">
        <v>1013</v>
      </c>
      <c r="E437" t="s">
        <v>211</v>
      </c>
      <c r="F437" t="str">
        <f>VLOOKUP(E437,FifaCountryCode!A:B,2,FALSE)</f>
        <v>DEN</v>
      </c>
    </row>
    <row r="438" spans="2:6" x14ac:dyDescent="0.25">
      <c r="B438">
        <v>2002</v>
      </c>
      <c r="C438" t="s">
        <v>1013</v>
      </c>
      <c r="E438" t="s">
        <v>797</v>
      </c>
      <c r="F438" t="str">
        <f>VLOOKUP(E438,FifaCountryCode!A:B,2,FALSE)</f>
        <v>GER</v>
      </c>
    </row>
    <row r="439" spans="2:6" x14ac:dyDescent="0.25">
      <c r="B439">
        <v>2002</v>
      </c>
      <c r="C439" t="s">
        <v>1016</v>
      </c>
      <c r="D439" t="s">
        <v>1017</v>
      </c>
      <c r="E439" t="s">
        <v>330</v>
      </c>
      <c r="F439" t="str">
        <f>VLOOKUP(E439,FifaCountryCode!A:B,2,FALSE)</f>
        <v>JPN</v>
      </c>
    </row>
    <row r="440" spans="2:6" x14ac:dyDescent="0.25">
      <c r="B440">
        <v>2002</v>
      </c>
      <c r="C440" t="s">
        <v>1031</v>
      </c>
      <c r="D440" t="s">
        <v>1032</v>
      </c>
      <c r="E440" t="s">
        <v>870</v>
      </c>
      <c r="F440" t="str">
        <f>VLOOKUP(E440,FifaCountryCode!A:B,2,FALSE)</f>
        <v>POL</v>
      </c>
    </row>
    <row r="441" spans="2:6" x14ac:dyDescent="0.25">
      <c r="B441">
        <v>2002</v>
      </c>
      <c r="C441" t="s">
        <v>1031</v>
      </c>
      <c r="D441" t="s">
        <v>1032</v>
      </c>
      <c r="E441" t="s">
        <v>871</v>
      </c>
      <c r="F441" t="str">
        <f>VLOOKUP(E441,FifaCountryCode!A:B,2,FALSE)</f>
        <v>POR</v>
      </c>
    </row>
    <row r="442" spans="2:6" x14ac:dyDescent="0.25">
      <c r="B442">
        <v>2002</v>
      </c>
      <c r="C442" t="s">
        <v>1019</v>
      </c>
      <c r="D442" t="s">
        <v>1020</v>
      </c>
      <c r="E442" t="s">
        <v>775</v>
      </c>
      <c r="F442" t="str">
        <f>VLOOKUP(E442,FifaCountryCode!A:B,2,FALSE)</f>
        <v>CRO</v>
      </c>
    </row>
    <row r="443" spans="2:6" x14ac:dyDescent="0.25">
      <c r="B443">
        <v>2002</v>
      </c>
      <c r="C443" t="s">
        <v>1019</v>
      </c>
      <c r="D443" t="s">
        <v>1020</v>
      </c>
      <c r="E443" t="s">
        <v>817</v>
      </c>
      <c r="F443" t="str">
        <f>VLOOKUP(E443,FifaCountryCode!A:B,2,FALSE)</f>
        <v>ITA</v>
      </c>
    </row>
    <row r="444" spans="2:6" x14ac:dyDescent="0.25">
      <c r="B444">
        <v>2002</v>
      </c>
      <c r="C444" t="s">
        <v>1024</v>
      </c>
      <c r="D444" t="s">
        <v>1025</v>
      </c>
      <c r="E444" t="s">
        <v>294</v>
      </c>
      <c r="F444" t="e">
        <f>VLOOKUP(E444,FifaCountryCode!A:B,2,FALSE)</f>
        <v>#N/A</v>
      </c>
    </row>
    <row r="445" spans="2:6" x14ac:dyDescent="0.25">
      <c r="B445">
        <v>2002</v>
      </c>
      <c r="C445" t="s">
        <v>1024</v>
      </c>
      <c r="D445" t="s">
        <v>1025</v>
      </c>
      <c r="E445" t="s">
        <v>760</v>
      </c>
      <c r="F445" t="str">
        <f>VLOOKUP(E445,FifaCountryCode!A:B,2,FALSE)</f>
        <v>BRA</v>
      </c>
    </row>
    <row r="446" spans="2:6" x14ac:dyDescent="0.25">
      <c r="B446">
        <v>2002</v>
      </c>
      <c r="C446" t="s">
        <v>1029</v>
      </c>
      <c r="D446" t="s">
        <v>1030</v>
      </c>
      <c r="E446" t="s">
        <v>1021</v>
      </c>
      <c r="F446" t="str">
        <f>VLOOKUP(E446,FifaCountryCode!A:B,2,FALSE)</f>
        <v>ENG</v>
      </c>
    </row>
    <row r="447" spans="2:6" x14ac:dyDescent="0.25">
      <c r="B447">
        <v>2002</v>
      </c>
      <c r="C447" t="s">
        <v>1029</v>
      </c>
      <c r="D447" t="s">
        <v>1030</v>
      </c>
      <c r="E447" t="s">
        <v>749</v>
      </c>
      <c r="F447" t="str">
        <f>VLOOKUP(E447,FifaCountryCode!A:B,2,FALSE)</f>
        <v>ARG</v>
      </c>
    </row>
    <row r="448" spans="2:6" x14ac:dyDescent="0.25">
      <c r="B448">
        <v>2002</v>
      </c>
      <c r="C448" t="s">
        <v>1027</v>
      </c>
      <c r="D448" t="s">
        <v>1028</v>
      </c>
      <c r="E448" t="s">
        <v>866</v>
      </c>
      <c r="F448" t="str">
        <f>VLOOKUP(E448,FifaCountryCode!A:B,2,FALSE)</f>
        <v>PAR</v>
      </c>
    </row>
    <row r="449" spans="2:6" x14ac:dyDescent="0.25">
      <c r="B449">
        <v>2002</v>
      </c>
      <c r="C449" t="s">
        <v>1027</v>
      </c>
      <c r="D449" t="s">
        <v>1028</v>
      </c>
      <c r="E449" t="s">
        <v>893</v>
      </c>
      <c r="F449" t="str">
        <f>VLOOKUP(E449,FifaCountryCode!A:B,2,FALSE)</f>
        <v>RSA</v>
      </c>
    </row>
    <row r="450" spans="2:6" x14ac:dyDescent="0.25">
      <c r="B450">
        <v>2002</v>
      </c>
      <c r="C450" t="s">
        <v>1022</v>
      </c>
      <c r="D450" t="s">
        <v>1023</v>
      </c>
      <c r="E450" t="s">
        <v>315</v>
      </c>
      <c r="F450" t="e">
        <f>VLOOKUP(E450,FifaCountryCode!A:B,2,FALSE)</f>
        <v>#N/A</v>
      </c>
    </row>
    <row r="451" spans="2:6" x14ac:dyDescent="0.25">
      <c r="B451">
        <v>2002</v>
      </c>
      <c r="C451" t="s">
        <v>1022</v>
      </c>
      <c r="D451" t="s">
        <v>1023</v>
      </c>
      <c r="E451" t="s">
        <v>764</v>
      </c>
      <c r="F451" t="str">
        <f>VLOOKUP(E451,FifaCountryCode!A:B,2,FALSE)</f>
        <v>CMR</v>
      </c>
    </row>
    <row r="452" spans="2:6" x14ac:dyDescent="0.25">
      <c r="B452">
        <v>2002</v>
      </c>
      <c r="C452" t="s">
        <v>1034</v>
      </c>
      <c r="D452" t="s">
        <v>1035</v>
      </c>
      <c r="E452" t="s">
        <v>883</v>
      </c>
      <c r="F452" t="str">
        <f>VLOOKUP(E452,FifaCountryCode!A:B,2,FALSE)</f>
        <v>SEN</v>
      </c>
    </row>
    <row r="453" spans="2:6" x14ac:dyDescent="0.25">
      <c r="B453">
        <v>2002</v>
      </c>
      <c r="C453" t="s">
        <v>1034</v>
      </c>
      <c r="D453" t="s">
        <v>1035</v>
      </c>
      <c r="E453" t="s">
        <v>211</v>
      </c>
      <c r="F453" t="str">
        <f>VLOOKUP(E453,FifaCountryCode!A:B,2,FALSE)</f>
        <v>DEN</v>
      </c>
    </row>
    <row r="454" spans="2:6" x14ac:dyDescent="0.25">
      <c r="B454">
        <v>2002</v>
      </c>
      <c r="C454" t="s">
        <v>1031</v>
      </c>
      <c r="D454" t="s">
        <v>1032</v>
      </c>
      <c r="E454" t="s">
        <v>1056</v>
      </c>
      <c r="F454" t="str">
        <f>VLOOKUP(E454,FifaCountryCode!A:B,2,FALSE)</f>
        <v>KOR</v>
      </c>
    </row>
    <row r="455" spans="2:6" x14ac:dyDescent="0.25">
      <c r="B455">
        <v>2002</v>
      </c>
      <c r="C455" t="s">
        <v>1019</v>
      </c>
      <c r="D455" t="s">
        <v>1020</v>
      </c>
      <c r="E455" t="s">
        <v>782</v>
      </c>
      <c r="F455" t="str">
        <f>VLOOKUP(E455,FifaCountryCode!A:B,2,FALSE)</f>
        <v>ECU</v>
      </c>
    </row>
    <row r="456" spans="2:6" x14ac:dyDescent="0.25">
      <c r="B456">
        <v>2002</v>
      </c>
      <c r="C456" t="s">
        <v>1024</v>
      </c>
      <c r="D456" t="s">
        <v>1025</v>
      </c>
      <c r="E456" t="s">
        <v>774</v>
      </c>
      <c r="F456" t="str">
        <f>VLOOKUP(E456,FifaCountryCode!A:B,2,FALSE)</f>
        <v>CRC</v>
      </c>
    </row>
    <row r="457" spans="2:6" x14ac:dyDescent="0.25">
      <c r="B457">
        <v>2002</v>
      </c>
      <c r="C457" t="s">
        <v>1027</v>
      </c>
      <c r="D457" t="s">
        <v>1028</v>
      </c>
      <c r="E457" t="s">
        <v>890</v>
      </c>
      <c r="F457" t="str">
        <f>VLOOKUP(E457,FifaCountryCode!A:B,2,FALSE)</f>
        <v>SVN</v>
      </c>
    </row>
    <row r="458" spans="2:6" x14ac:dyDescent="0.25">
      <c r="B458">
        <v>2002</v>
      </c>
      <c r="C458" t="s">
        <v>1029</v>
      </c>
      <c r="D458" t="s">
        <v>1030</v>
      </c>
      <c r="E458" t="s">
        <v>857</v>
      </c>
      <c r="F458" t="str">
        <f>VLOOKUP(E458,FifaCountryCode!A:B,2,FALSE)</f>
        <v>NGA</v>
      </c>
    </row>
    <row r="459" spans="2:6" x14ac:dyDescent="0.25">
      <c r="B459">
        <v>2002</v>
      </c>
      <c r="C459" t="s">
        <v>1034</v>
      </c>
      <c r="D459" t="s">
        <v>1035</v>
      </c>
      <c r="E459" t="s">
        <v>224</v>
      </c>
      <c r="F459" t="str">
        <f>VLOOKUP(E459,FifaCountryCode!A:B,2,FALSE)</f>
        <v>FRA</v>
      </c>
    </row>
    <row r="460" spans="2:6" x14ac:dyDescent="0.25">
      <c r="B460">
        <v>2002</v>
      </c>
      <c r="C460" t="s">
        <v>1016</v>
      </c>
      <c r="D460" t="s">
        <v>1017</v>
      </c>
      <c r="E460" t="s">
        <v>1041</v>
      </c>
      <c r="F460" t="str">
        <f>VLOOKUP(E460,FifaCountryCode!A:B,2,FALSE)</f>
        <v>RUS</v>
      </c>
    </row>
    <row r="461" spans="2:6" x14ac:dyDescent="0.25">
      <c r="B461">
        <v>2002</v>
      </c>
      <c r="C461" t="s">
        <v>1022</v>
      </c>
      <c r="D461" t="s">
        <v>1023</v>
      </c>
      <c r="E461" t="s">
        <v>797</v>
      </c>
      <c r="F461" t="str">
        <f>VLOOKUP(E461,FifaCountryCode!A:B,2,FALSE)</f>
        <v>GER</v>
      </c>
    </row>
    <row r="462" spans="2:6" x14ac:dyDescent="0.25">
      <c r="B462">
        <v>1998</v>
      </c>
      <c r="C462" t="s">
        <v>1015</v>
      </c>
      <c r="E462" t="s">
        <v>760</v>
      </c>
      <c r="F462" t="str">
        <f>VLOOKUP(E462,FifaCountryCode!A:B,2,FALSE)</f>
        <v>BRA</v>
      </c>
    </row>
    <row r="463" spans="2:6" x14ac:dyDescent="0.25">
      <c r="B463">
        <v>1998</v>
      </c>
      <c r="C463" t="s">
        <v>1036</v>
      </c>
      <c r="E463" t="s">
        <v>775</v>
      </c>
      <c r="F463" t="str">
        <f>VLOOKUP(E463,FifaCountryCode!A:B,2,FALSE)</f>
        <v>CRO</v>
      </c>
    </row>
    <row r="464" spans="2:6" x14ac:dyDescent="0.25">
      <c r="B464">
        <v>1998</v>
      </c>
      <c r="C464" t="s">
        <v>1036</v>
      </c>
      <c r="E464" t="s">
        <v>760</v>
      </c>
      <c r="F464" t="str">
        <f>VLOOKUP(E464,FifaCountryCode!A:B,2,FALSE)</f>
        <v>BRA</v>
      </c>
    </row>
    <row r="465" spans="2:6" x14ac:dyDescent="0.25">
      <c r="B465">
        <v>1998</v>
      </c>
      <c r="C465" t="s">
        <v>1038</v>
      </c>
      <c r="E465" t="s">
        <v>775</v>
      </c>
      <c r="F465" t="str">
        <f>VLOOKUP(E465,FifaCountryCode!A:B,2,FALSE)</f>
        <v>CRO</v>
      </c>
    </row>
    <row r="466" spans="2:6" x14ac:dyDescent="0.25">
      <c r="B466">
        <v>1998</v>
      </c>
      <c r="C466" t="s">
        <v>1038</v>
      </c>
      <c r="E466" t="s">
        <v>749</v>
      </c>
      <c r="F466" t="str">
        <f>VLOOKUP(E466,FifaCountryCode!A:B,2,FALSE)</f>
        <v>ARG</v>
      </c>
    </row>
    <row r="467" spans="2:6" x14ac:dyDescent="0.25">
      <c r="B467">
        <v>1998</v>
      </c>
      <c r="C467" t="s">
        <v>1038</v>
      </c>
      <c r="E467" t="s">
        <v>760</v>
      </c>
      <c r="F467" t="str">
        <f>VLOOKUP(E467,FifaCountryCode!A:B,2,FALSE)</f>
        <v>BRA</v>
      </c>
    </row>
    <row r="468" spans="2:6" x14ac:dyDescent="0.25">
      <c r="B468">
        <v>1998</v>
      </c>
      <c r="C468" t="s">
        <v>1038</v>
      </c>
      <c r="E468" t="s">
        <v>224</v>
      </c>
      <c r="F468" t="str">
        <f>VLOOKUP(E468,FifaCountryCode!A:B,2,FALSE)</f>
        <v>FRA</v>
      </c>
    </row>
    <row r="469" spans="2:6" x14ac:dyDescent="0.25">
      <c r="B469">
        <v>1998</v>
      </c>
      <c r="C469" t="s">
        <v>1013</v>
      </c>
      <c r="E469" t="s">
        <v>749</v>
      </c>
      <c r="F469" t="str">
        <f>VLOOKUP(E469,FifaCountryCode!A:B,2,FALSE)</f>
        <v>ARG</v>
      </c>
    </row>
    <row r="470" spans="2:6" x14ac:dyDescent="0.25">
      <c r="B470">
        <v>1998</v>
      </c>
      <c r="C470" t="s">
        <v>1013</v>
      </c>
      <c r="E470" t="s">
        <v>775</v>
      </c>
      <c r="F470" t="str">
        <f>VLOOKUP(E470,FifaCountryCode!A:B,2,FALSE)</f>
        <v>CRO</v>
      </c>
    </row>
    <row r="471" spans="2:6" x14ac:dyDescent="0.25">
      <c r="B471">
        <v>1998</v>
      </c>
      <c r="C471" t="s">
        <v>1013</v>
      </c>
      <c r="E471" t="s">
        <v>33</v>
      </c>
      <c r="F471" t="str">
        <f>VLOOKUP(E471,FifaCountryCode!A:B,2,FALSE)</f>
        <v>NED</v>
      </c>
    </row>
    <row r="472" spans="2:6" x14ac:dyDescent="0.25">
      <c r="B472">
        <v>1998</v>
      </c>
      <c r="C472" t="s">
        <v>1013</v>
      </c>
      <c r="E472" t="s">
        <v>797</v>
      </c>
      <c r="F472" t="str">
        <f>VLOOKUP(E472,FifaCountryCode!A:B,2,FALSE)</f>
        <v>GER</v>
      </c>
    </row>
    <row r="473" spans="2:6" x14ac:dyDescent="0.25">
      <c r="B473">
        <v>1998</v>
      </c>
      <c r="C473" t="s">
        <v>1013</v>
      </c>
      <c r="E473" t="s">
        <v>211</v>
      </c>
      <c r="F473" t="str">
        <f>VLOOKUP(E473,FifaCountryCode!A:B,2,FALSE)</f>
        <v>DEN</v>
      </c>
    </row>
    <row r="474" spans="2:6" x14ac:dyDescent="0.25">
      <c r="B474">
        <v>1998</v>
      </c>
      <c r="C474" t="s">
        <v>1013</v>
      </c>
      <c r="E474" t="s">
        <v>224</v>
      </c>
      <c r="F474" t="str">
        <f>VLOOKUP(E474,FifaCountryCode!A:B,2,FALSE)</f>
        <v>FRA</v>
      </c>
    </row>
    <row r="475" spans="2:6" x14ac:dyDescent="0.25">
      <c r="B475">
        <v>1998</v>
      </c>
      <c r="C475" t="s">
        <v>1013</v>
      </c>
      <c r="E475" t="s">
        <v>760</v>
      </c>
      <c r="F475" t="str">
        <f>VLOOKUP(E475,FifaCountryCode!A:B,2,FALSE)</f>
        <v>BRA</v>
      </c>
    </row>
    <row r="476" spans="2:6" x14ac:dyDescent="0.25">
      <c r="B476">
        <v>1998</v>
      </c>
      <c r="C476" t="s">
        <v>1013</v>
      </c>
      <c r="E476" t="s">
        <v>817</v>
      </c>
      <c r="F476" t="str">
        <f>VLOOKUP(E476,FifaCountryCode!A:B,2,FALSE)</f>
        <v>ITA</v>
      </c>
    </row>
    <row r="477" spans="2:6" x14ac:dyDescent="0.25">
      <c r="B477">
        <v>1998</v>
      </c>
      <c r="C477" t="s">
        <v>1016</v>
      </c>
      <c r="D477" t="s">
        <v>1017</v>
      </c>
      <c r="E477" t="s">
        <v>327</v>
      </c>
      <c r="F477" t="str">
        <f>VLOOKUP(E477,FifaCountryCode!A:B,2,FALSE)</f>
        <v>JAM</v>
      </c>
    </row>
    <row r="478" spans="2:6" x14ac:dyDescent="0.25">
      <c r="B478">
        <v>1998</v>
      </c>
      <c r="C478" t="s">
        <v>1016</v>
      </c>
      <c r="D478" t="s">
        <v>1017</v>
      </c>
      <c r="E478" t="s">
        <v>749</v>
      </c>
      <c r="F478" t="str">
        <f>VLOOKUP(E478,FifaCountryCode!A:B,2,FALSE)</f>
        <v>ARG</v>
      </c>
    </row>
    <row r="479" spans="2:6" x14ac:dyDescent="0.25">
      <c r="B479">
        <v>1998</v>
      </c>
      <c r="C479" t="s">
        <v>1019</v>
      </c>
      <c r="D479" t="s">
        <v>1020</v>
      </c>
      <c r="E479" t="s">
        <v>539</v>
      </c>
      <c r="F479" t="str">
        <f>VLOOKUP(E479,FifaCountryCode!A:B,2,FALSE)</f>
        <v>ROU</v>
      </c>
    </row>
    <row r="480" spans="2:6" x14ac:dyDescent="0.25">
      <c r="B480">
        <v>1998</v>
      </c>
      <c r="C480" t="s">
        <v>1019</v>
      </c>
      <c r="D480" t="s">
        <v>1020</v>
      </c>
      <c r="E480" t="s">
        <v>771</v>
      </c>
      <c r="F480" t="str">
        <f>VLOOKUP(E480,FifaCountryCode!A:B,2,FALSE)</f>
        <v>COL</v>
      </c>
    </row>
    <row r="481" spans="2:6" x14ac:dyDescent="0.25">
      <c r="B481">
        <v>1998</v>
      </c>
      <c r="C481" t="s">
        <v>1029</v>
      </c>
      <c r="D481" t="s">
        <v>1030</v>
      </c>
      <c r="E481" t="s">
        <v>797</v>
      </c>
      <c r="F481" t="str">
        <f>VLOOKUP(E481,FifaCountryCode!A:B,2,FALSE)</f>
        <v>GER</v>
      </c>
    </row>
    <row r="482" spans="2:6" x14ac:dyDescent="0.25">
      <c r="B482">
        <v>1998</v>
      </c>
      <c r="C482" t="s">
        <v>1029</v>
      </c>
      <c r="D482" t="s">
        <v>1030</v>
      </c>
      <c r="E482" t="s">
        <v>11</v>
      </c>
      <c r="F482" t="str">
        <f>VLOOKUP(E482,FifaCountryCode!A:B,2,FALSE)</f>
        <v>USA</v>
      </c>
    </row>
    <row r="483" spans="2:6" x14ac:dyDescent="0.25">
      <c r="B483">
        <v>1998</v>
      </c>
      <c r="C483" t="s">
        <v>1022</v>
      </c>
      <c r="D483" t="s">
        <v>1023</v>
      </c>
      <c r="E483" t="s">
        <v>756</v>
      </c>
      <c r="F483" t="str">
        <f>VLOOKUP(E483,FifaCountryCode!A:B,2,FALSE)</f>
        <v>BEL</v>
      </c>
    </row>
    <row r="484" spans="2:6" x14ac:dyDescent="0.25">
      <c r="B484">
        <v>1998</v>
      </c>
      <c r="C484" t="s">
        <v>1022</v>
      </c>
      <c r="D484" t="s">
        <v>1023</v>
      </c>
      <c r="E484" t="s">
        <v>845</v>
      </c>
      <c r="F484" t="str">
        <f>VLOOKUP(E484,FifaCountryCode!A:B,2,FALSE)</f>
        <v>MEX</v>
      </c>
    </row>
    <row r="485" spans="2:6" x14ac:dyDescent="0.25">
      <c r="B485">
        <v>1998</v>
      </c>
      <c r="C485" t="s">
        <v>1031</v>
      </c>
      <c r="D485" t="s">
        <v>1032</v>
      </c>
      <c r="E485" t="s">
        <v>761</v>
      </c>
      <c r="F485" t="str">
        <f>VLOOKUP(E485,FifaCountryCode!A:B,2,FALSE)</f>
        <v>BUL</v>
      </c>
    </row>
    <row r="486" spans="2:6" x14ac:dyDescent="0.25">
      <c r="B486">
        <v>1998</v>
      </c>
      <c r="C486" t="s">
        <v>1031</v>
      </c>
      <c r="D486" t="s">
        <v>1032</v>
      </c>
      <c r="E486" t="s">
        <v>857</v>
      </c>
      <c r="F486" t="str">
        <f>VLOOKUP(E486,FifaCountryCode!A:B,2,FALSE)</f>
        <v>NGA</v>
      </c>
    </row>
    <row r="487" spans="2:6" x14ac:dyDescent="0.25">
      <c r="B487">
        <v>1998</v>
      </c>
      <c r="C487" t="s">
        <v>1024</v>
      </c>
      <c r="D487" t="s">
        <v>1025</v>
      </c>
      <c r="E487" t="s">
        <v>882</v>
      </c>
      <c r="F487" t="str">
        <f>VLOOKUP(E487,FifaCountryCode!A:B,2,FALSE)</f>
        <v>KSA</v>
      </c>
    </row>
    <row r="488" spans="2:6" x14ac:dyDescent="0.25">
      <c r="B488">
        <v>1998</v>
      </c>
      <c r="C488" t="s">
        <v>1024</v>
      </c>
      <c r="D488" t="s">
        <v>1025</v>
      </c>
      <c r="E488" t="s">
        <v>211</v>
      </c>
      <c r="F488" t="str">
        <f>VLOOKUP(E488,FifaCountryCode!A:B,2,FALSE)</f>
        <v>DEN</v>
      </c>
    </row>
    <row r="489" spans="2:6" x14ac:dyDescent="0.25">
      <c r="B489">
        <v>1998</v>
      </c>
      <c r="C489" t="s">
        <v>1027</v>
      </c>
      <c r="D489" t="s">
        <v>1028</v>
      </c>
      <c r="E489" t="s">
        <v>764</v>
      </c>
      <c r="F489" t="str">
        <f>VLOOKUP(E489,FifaCountryCode!A:B,2,FALSE)</f>
        <v>CMR</v>
      </c>
    </row>
    <row r="490" spans="2:6" x14ac:dyDescent="0.25">
      <c r="B490">
        <v>1998</v>
      </c>
      <c r="C490" t="s">
        <v>1027</v>
      </c>
      <c r="D490" t="s">
        <v>1028</v>
      </c>
      <c r="E490" t="s">
        <v>751</v>
      </c>
      <c r="F490" t="str">
        <f>VLOOKUP(E490,FifaCountryCode!A:B,2,FALSE)</f>
        <v>AUT</v>
      </c>
    </row>
    <row r="491" spans="2:6" x14ac:dyDescent="0.25">
      <c r="B491">
        <v>1998</v>
      </c>
      <c r="C491" t="s">
        <v>1034</v>
      </c>
      <c r="D491" t="s">
        <v>1035</v>
      </c>
      <c r="E491" t="s">
        <v>849</v>
      </c>
      <c r="F491" t="str">
        <f>VLOOKUP(E491,FifaCountryCode!A:B,2,FALSE)</f>
        <v>MAR</v>
      </c>
    </row>
    <row r="492" spans="2:6" x14ac:dyDescent="0.25">
      <c r="B492">
        <v>1998</v>
      </c>
      <c r="C492" t="s">
        <v>1034</v>
      </c>
      <c r="D492" t="s">
        <v>1035</v>
      </c>
      <c r="E492" t="s">
        <v>760</v>
      </c>
      <c r="F492" t="str">
        <f>VLOOKUP(E492,FifaCountryCode!A:B,2,FALSE)</f>
        <v>BRA</v>
      </c>
    </row>
    <row r="493" spans="2:6" x14ac:dyDescent="0.25">
      <c r="B493">
        <v>1998</v>
      </c>
      <c r="C493" t="s">
        <v>1029</v>
      </c>
      <c r="D493" t="s">
        <v>1030</v>
      </c>
      <c r="E493" t="s">
        <v>1051</v>
      </c>
      <c r="F493" t="str">
        <f>VLOOKUP(E493,FifaCountryCode!A:B,2,FALSE)</f>
        <v>IRN</v>
      </c>
    </row>
    <row r="494" spans="2:6" x14ac:dyDescent="0.25">
      <c r="B494">
        <v>1998</v>
      </c>
      <c r="C494" t="s">
        <v>1016</v>
      </c>
      <c r="D494" t="s">
        <v>1017</v>
      </c>
      <c r="E494" t="s">
        <v>775</v>
      </c>
      <c r="F494" t="str">
        <f>VLOOKUP(E494,FifaCountryCode!A:B,2,FALSE)</f>
        <v>CRO</v>
      </c>
    </row>
    <row r="495" spans="2:6" x14ac:dyDescent="0.25">
      <c r="B495">
        <v>1998</v>
      </c>
      <c r="C495" t="s">
        <v>1022</v>
      </c>
      <c r="D495" t="s">
        <v>1023</v>
      </c>
      <c r="E495" t="s">
        <v>33</v>
      </c>
      <c r="F495" t="str">
        <f>VLOOKUP(E495,FifaCountryCode!A:B,2,FALSE)</f>
        <v>NED</v>
      </c>
    </row>
    <row r="496" spans="2:6" x14ac:dyDescent="0.25">
      <c r="B496">
        <v>1998</v>
      </c>
      <c r="C496" t="s">
        <v>1031</v>
      </c>
      <c r="D496" t="s">
        <v>1032</v>
      </c>
      <c r="E496" t="s">
        <v>866</v>
      </c>
      <c r="F496" t="str">
        <f>VLOOKUP(E496,FifaCountryCode!A:B,2,FALSE)</f>
        <v>PAR</v>
      </c>
    </row>
    <row r="497" spans="2:6" x14ac:dyDescent="0.25">
      <c r="B497">
        <v>1998</v>
      </c>
      <c r="C497" t="s">
        <v>1024</v>
      </c>
      <c r="D497" t="s">
        <v>1025</v>
      </c>
      <c r="E497" t="s">
        <v>224</v>
      </c>
      <c r="F497" t="str">
        <f>VLOOKUP(E497,FifaCountryCode!A:B,2,FALSE)</f>
        <v>FRA</v>
      </c>
    </row>
    <row r="498" spans="2:6" x14ac:dyDescent="0.25">
      <c r="B498">
        <v>1998</v>
      </c>
      <c r="C498" t="s">
        <v>1034</v>
      </c>
      <c r="D498" t="s">
        <v>1035</v>
      </c>
      <c r="E498" t="s">
        <v>84</v>
      </c>
      <c r="F498" t="str">
        <f>VLOOKUP(E498,FifaCountryCode!A:B,2,FALSE)</f>
        <v>NOR</v>
      </c>
    </row>
    <row r="499" spans="2:6" x14ac:dyDescent="0.25">
      <c r="B499">
        <v>1998</v>
      </c>
      <c r="C499" t="s">
        <v>1027</v>
      </c>
      <c r="D499" t="s">
        <v>1028</v>
      </c>
      <c r="E499" t="s">
        <v>768</v>
      </c>
      <c r="F499" t="str">
        <f>VLOOKUP(E499,FifaCountryCode!A:B,2,FALSE)</f>
        <v>CHI</v>
      </c>
    </row>
    <row r="500" spans="2:6" x14ac:dyDescent="0.25">
      <c r="B500">
        <v>1994</v>
      </c>
      <c r="C500" t="s">
        <v>1015</v>
      </c>
      <c r="E500" t="s">
        <v>760</v>
      </c>
      <c r="F500" t="str">
        <f>VLOOKUP(E500,FifaCountryCode!A:B,2,FALSE)</f>
        <v>BRA</v>
      </c>
    </row>
    <row r="501" spans="2:6" x14ac:dyDescent="0.25">
      <c r="B501">
        <v>1994</v>
      </c>
      <c r="C501" t="s">
        <v>1018</v>
      </c>
      <c r="E501" t="s">
        <v>761</v>
      </c>
      <c r="F501" t="str">
        <f>VLOOKUP(E501,FifaCountryCode!A:B,2,FALSE)</f>
        <v>BUL</v>
      </c>
    </row>
    <row r="502" spans="2:6" x14ac:dyDescent="0.25">
      <c r="B502">
        <v>1994</v>
      </c>
      <c r="C502" t="s">
        <v>1036</v>
      </c>
      <c r="E502" t="s">
        <v>760</v>
      </c>
      <c r="F502" t="str">
        <f>VLOOKUP(E502,FifaCountryCode!A:B,2,FALSE)</f>
        <v>BRA</v>
      </c>
    </row>
    <row r="503" spans="2:6" x14ac:dyDescent="0.25">
      <c r="B503">
        <v>1994</v>
      </c>
      <c r="C503" t="s">
        <v>1036</v>
      </c>
      <c r="E503" t="s">
        <v>761</v>
      </c>
      <c r="F503" t="str">
        <f>VLOOKUP(E503,FifaCountryCode!A:B,2,FALSE)</f>
        <v>BUL</v>
      </c>
    </row>
    <row r="504" spans="2:6" x14ac:dyDescent="0.25">
      <c r="B504">
        <v>1994</v>
      </c>
      <c r="C504" t="s">
        <v>1038</v>
      </c>
      <c r="E504" t="s">
        <v>539</v>
      </c>
      <c r="F504" t="str">
        <f>VLOOKUP(E504,FifaCountryCode!A:B,2,FALSE)</f>
        <v>ROU</v>
      </c>
    </row>
    <row r="505" spans="2:6" x14ac:dyDescent="0.25">
      <c r="B505">
        <v>1994</v>
      </c>
      <c r="C505" t="s">
        <v>1038</v>
      </c>
      <c r="E505" t="s">
        <v>761</v>
      </c>
      <c r="F505" t="str">
        <f>VLOOKUP(E505,FifaCountryCode!A:B,2,FALSE)</f>
        <v>BUL</v>
      </c>
    </row>
    <row r="506" spans="2:6" x14ac:dyDescent="0.25">
      <c r="B506">
        <v>1994</v>
      </c>
      <c r="C506" t="s">
        <v>1038</v>
      </c>
      <c r="E506" t="s">
        <v>760</v>
      </c>
      <c r="F506" t="str">
        <f>VLOOKUP(E506,FifaCountryCode!A:B,2,FALSE)</f>
        <v>BRA</v>
      </c>
    </row>
    <row r="507" spans="2:6" x14ac:dyDescent="0.25">
      <c r="B507">
        <v>1994</v>
      </c>
      <c r="C507" t="s">
        <v>1038</v>
      </c>
      <c r="E507" t="s">
        <v>817</v>
      </c>
      <c r="F507" t="str">
        <f>VLOOKUP(E507,FifaCountryCode!A:B,2,FALSE)</f>
        <v>ITA</v>
      </c>
    </row>
    <row r="508" spans="2:6" x14ac:dyDescent="0.25">
      <c r="B508">
        <v>1994</v>
      </c>
      <c r="C508" t="s">
        <v>1013</v>
      </c>
      <c r="E508" t="s">
        <v>761</v>
      </c>
      <c r="F508" t="str">
        <f>VLOOKUP(E508,FifaCountryCode!A:B,2,FALSE)</f>
        <v>BUL</v>
      </c>
    </row>
    <row r="509" spans="2:6" x14ac:dyDescent="0.25">
      <c r="B509">
        <v>1994</v>
      </c>
      <c r="C509" t="s">
        <v>1013</v>
      </c>
      <c r="E509" t="s">
        <v>817</v>
      </c>
      <c r="F509" t="str">
        <f>VLOOKUP(E509,FifaCountryCode!A:B,2,FALSE)</f>
        <v>ITA</v>
      </c>
    </row>
    <row r="510" spans="2:6" x14ac:dyDescent="0.25">
      <c r="B510">
        <v>1994</v>
      </c>
      <c r="C510" t="s">
        <v>1013</v>
      </c>
      <c r="E510" t="s">
        <v>760</v>
      </c>
      <c r="F510" t="str">
        <f>VLOOKUP(E510,FifaCountryCode!A:B,2,FALSE)</f>
        <v>BRA</v>
      </c>
    </row>
    <row r="511" spans="2:6" x14ac:dyDescent="0.25">
      <c r="B511">
        <v>1994</v>
      </c>
      <c r="C511" t="s">
        <v>1013</v>
      </c>
      <c r="E511" t="s">
        <v>315</v>
      </c>
      <c r="F511" t="e">
        <f>VLOOKUP(E511,FifaCountryCode!A:B,2,FALSE)</f>
        <v>#N/A</v>
      </c>
    </row>
    <row r="512" spans="2:6" x14ac:dyDescent="0.25">
      <c r="B512">
        <v>1994</v>
      </c>
      <c r="C512" t="s">
        <v>1013</v>
      </c>
      <c r="E512" t="s">
        <v>749</v>
      </c>
      <c r="F512" t="str">
        <f>VLOOKUP(E512,FifaCountryCode!A:B,2,FALSE)</f>
        <v>ARG</v>
      </c>
    </row>
    <row r="513" spans="2:6" x14ac:dyDescent="0.25">
      <c r="B513">
        <v>1994</v>
      </c>
      <c r="C513" t="s">
        <v>1013</v>
      </c>
      <c r="E513" t="s">
        <v>882</v>
      </c>
      <c r="F513" t="str">
        <f>VLOOKUP(E513,FifaCountryCode!A:B,2,FALSE)</f>
        <v>KSA</v>
      </c>
    </row>
    <row r="514" spans="2:6" x14ac:dyDescent="0.25">
      <c r="B514">
        <v>1994</v>
      </c>
      <c r="C514" t="s">
        <v>1013</v>
      </c>
      <c r="E514" t="s">
        <v>895</v>
      </c>
      <c r="F514" t="str">
        <f>VLOOKUP(E514,FifaCountryCode!A:B,2,FALSE)</f>
        <v>ESP</v>
      </c>
    </row>
    <row r="515" spans="2:6" x14ac:dyDescent="0.25">
      <c r="B515">
        <v>1994</v>
      </c>
      <c r="C515" t="s">
        <v>1013</v>
      </c>
      <c r="E515" t="s">
        <v>756</v>
      </c>
      <c r="F515" t="str">
        <f>VLOOKUP(E515,FifaCountryCode!A:B,2,FALSE)</f>
        <v>BEL</v>
      </c>
    </row>
    <row r="516" spans="2:6" x14ac:dyDescent="0.25">
      <c r="B516">
        <v>1994</v>
      </c>
      <c r="C516" t="s">
        <v>1031</v>
      </c>
      <c r="D516" t="s">
        <v>1032</v>
      </c>
      <c r="E516" t="s">
        <v>799</v>
      </c>
      <c r="F516" t="str">
        <f>VLOOKUP(E516,FifaCountryCode!A:B,2,FALSE)</f>
        <v>GRE</v>
      </c>
    </row>
    <row r="517" spans="2:6" x14ac:dyDescent="0.25">
      <c r="B517">
        <v>1994</v>
      </c>
      <c r="C517" t="s">
        <v>1031</v>
      </c>
      <c r="D517" t="s">
        <v>1032</v>
      </c>
      <c r="E517" t="s">
        <v>749</v>
      </c>
      <c r="F517" t="str">
        <f>VLOOKUP(E517,FifaCountryCode!A:B,2,FALSE)</f>
        <v>ARG</v>
      </c>
    </row>
    <row r="518" spans="2:6" x14ac:dyDescent="0.25">
      <c r="B518">
        <v>1994</v>
      </c>
      <c r="C518" t="s">
        <v>1029</v>
      </c>
      <c r="D518" t="s">
        <v>1030</v>
      </c>
      <c r="E518" t="s">
        <v>849</v>
      </c>
      <c r="F518" t="str">
        <f>VLOOKUP(E518,FifaCountryCode!A:B,2,FALSE)</f>
        <v>MAR</v>
      </c>
    </row>
    <row r="519" spans="2:6" x14ac:dyDescent="0.25">
      <c r="B519">
        <v>1994</v>
      </c>
      <c r="C519" t="s">
        <v>1029</v>
      </c>
      <c r="D519" t="s">
        <v>1030</v>
      </c>
      <c r="E519" t="s">
        <v>756</v>
      </c>
      <c r="F519" t="str">
        <f>VLOOKUP(E519,FifaCountryCode!A:B,2,FALSE)</f>
        <v>BEL</v>
      </c>
    </row>
    <row r="520" spans="2:6" x14ac:dyDescent="0.25">
      <c r="B520">
        <v>1994</v>
      </c>
      <c r="C520" t="s">
        <v>1022</v>
      </c>
      <c r="D520" t="s">
        <v>1023</v>
      </c>
      <c r="E520" t="s">
        <v>315</v>
      </c>
      <c r="F520" t="e">
        <f>VLOOKUP(E520,FifaCountryCode!A:B,2,FALSE)</f>
        <v>#N/A</v>
      </c>
    </row>
    <row r="521" spans="2:6" x14ac:dyDescent="0.25">
      <c r="B521">
        <v>1994</v>
      </c>
      <c r="C521" t="s">
        <v>1027</v>
      </c>
      <c r="D521" t="s">
        <v>1028</v>
      </c>
      <c r="E521" t="s">
        <v>760</v>
      </c>
      <c r="F521" t="str">
        <f>VLOOKUP(E521,FifaCountryCode!A:B,2,FALSE)</f>
        <v>BRA</v>
      </c>
    </row>
    <row r="522" spans="2:6" x14ac:dyDescent="0.25">
      <c r="B522">
        <v>1994</v>
      </c>
      <c r="C522" t="s">
        <v>1027</v>
      </c>
      <c r="D522" t="s">
        <v>1028</v>
      </c>
      <c r="E522" t="s">
        <v>764</v>
      </c>
      <c r="F522" t="str">
        <f>VLOOKUP(E522,FifaCountryCode!A:B,2,FALSE)</f>
        <v>CMR</v>
      </c>
    </row>
    <row r="523" spans="2:6" x14ac:dyDescent="0.25">
      <c r="B523">
        <v>1994</v>
      </c>
      <c r="C523" t="s">
        <v>1024</v>
      </c>
      <c r="D523" t="s">
        <v>1025</v>
      </c>
      <c r="E523" t="s">
        <v>797</v>
      </c>
      <c r="F523" t="str">
        <f>VLOOKUP(E523,FifaCountryCode!A:B,2,FALSE)</f>
        <v>GER</v>
      </c>
    </row>
    <row r="524" spans="2:6" x14ac:dyDescent="0.25">
      <c r="B524">
        <v>1994</v>
      </c>
      <c r="C524" t="s">
        <v>1024</v>
      </c>
      <c r="D524" t="s">
        <v>1025</v>
      </c>
      <c r="E524" t="s">
        <v>1075</v>
      </c>
      <c r="F524" t="str">
        <f>VLOOKUP(E524,FifaCountryCode!A:B,2,FALSE)</f>
        <v>BOL</v>
      </c>
    </row>
    <row r="525" spans="2:6" x14ac:dyDescent="0.25">
      <c r="B525">
        <v>1994</v>
      </c>
      <c r="C525" t="s">
        <v>1031</v>
      </c>
      <c r="D525" t="s">
        <v>1032</v>
      </c>
      <c r="E525" t="s">
        <v>761</v>
      </c>
      <c r="F525" t="str">
        <f>VLOOKUP(E525,FifaCountryCode!A:B,2,FALSE)</f>
        <v>BUL</v>
      </c>
    </row>
    <row r="526" spans="2:6" x14ac:dyDescent="0.25">
      <c r="B526">
        <v>1994</v>
      </c>
      <c r="C526" t="s">
        <v>1034</v>
      </c>
      <c r="D526" t="s">
        <v>1035</v>
      </c>
      <c r="E526" t="s">
        <v>539</v>
      </c>
      <c r="F526" t="str">
        <f>VLOOKUP(E526,FifaCountryCode!A:B,2,FALSE)</f>
        <v>ROU</v>
      </c>
    </row>
    <row r="527" spans="2:6" x14ac:dyDescent="0.25">
      <c r="B527">
        <v>1994</v>
      </c>
      <c r="C527" t="s">
        <v>1034</v>
      </c>
      <c r="D527" t="s">
        <v>1035</v>
      </c>
      <c r="E527" t="s">
        <v>771</v>
      </c>
      <c r="F527" t="str">
        <f>VLOOKUP(E527,FifaCountryCode!A:B,2,FALSE)</f>
        <v>COL</v>
      </c>
    </row>
    <row r="528" spans="2:6" x14ac:dyDescent="0.25">
      <c r="B528">
        <v>1994</v>
      </c>
      <c r="C528" t="s">
        <v>1027</v>
      </c>
      <c r="D528" t="s">
        <v>1028</v>
      </c>
      <c r="E528" t="s">
        <v>1041</v>
      </c>
      <c r="F528" t="str">
        <f>VLOOKUP(E528,FifaCountryCode!A:B,2,FALSE)</f>
        <v>RUS</v>
      </c>
    </row>
    <row r="529" spans="2:6" x14ac:dyDescent="0.25">
      <c r="B529">
        <v>1994</v>
      </c>
      <c r="C529" t="s">
        <v>1029</v>
      </c>
      <c r="D529" t="s">
        <v>1030</v>
      </c>
      <c r="E529" t="s">
        <v>33</v>
      </c>
      <c r="F529" t="str">
        <f>VLOOKUP(E529,FifaCountryCode!A:B,2,FALSE)</f>
        <v>NED</v>
      </c>
    </row>
    <row r="530" spans="2:6" x14ac:dyDescent="0.25">
      <c r="B530">
        <v>1994</v>
      </c>
      <c r="C530" t="s">
        <v>1022</v>
      </c>
      <c r="D530" t="s">
        <v>1023</v>
      </c>
      <c r="E530" t="s">
        <v>845</v>
      </c>
      <c r="F530" t="str">
        <f>VLOOKUP(E530,FifaCountryCode!A:B,2,FALSE)</f>
        <v>MEX</v>
      </c>
    </row>
    <row r="531" spans="2:6" x14ac:dyDescent="0.25">
      <c r="B531">
        <v>1994</v>
      </c>
      <c r="C531" t="s">
        <v>1034</v>
      </c>
      <c r="D531" t="s">
        <v>1035</v>
      </c>
      <c r="E531" t="s">
        <v>901</v>
      </c>
      <c r="F531" t="str">
        <f>VLOOKUP(E531,FifaCountryCode!A:B,2,FALSE)</f>
        <v>SUI</v>
      </c>
    </row>
    <row r="532" spans="2:6" x14ac:dyDescent="0.25">
      <c r="B532">
        <v>1994</v>
      </c>
      <c r="C532" t="s">
        <v>1024</v>
      </c>
      <c r="D532" t="s">
        <v>1025</v>
      </c>
      <c r="E532" t="s">
        <v>1056</v>
      </c>
      <c r="F532" t="str">
        <f>VLOOKUP(E532,FifaCountryCode!A:B,2,FALSE)</f>
        <v>KOR</v>
      </c>
    </row>
    <row r="533" spans="2:6" x14ac:dyDescent="0.25">
      <c r="B533">
        <v>1990</v>
      </c>
      <c r="C533" t="s">
        <v>1015</v>
      </c>
      <c r="E533" t="s">
        <v>749</v>
      </c>
      <c r="F533" t="str">
        <f>VLOOKUP(E533,FifaCountryCode!A:B,2,FALSE)</f>
        <v>ARG</v>
      </c>
    </row>
    <row r="534" spans="2:6" x14ac:dyDescent="0.25">
      <c r="B534">
        <v>1990</v>
      </c>
      <c r="C534" t="s">
        <v>1018</v>
      </c>
      <c r="E534" t="s">
        <v>1021</v>
      </c>
      <c r="F534" t="str">
        <f>VLOOKUP(E534,FifaCountryCode!A:B,2,FALSE)</f>
        <v>ENG</v>
      </c>
    </row>
    <row r="535" spans="2:6" x14ac:dyDescent="0.25">
      <c r="B535">
        <v>1990</v>
      </c>
      <c r="C535" t="s">
        <v>1036</v>
      </c>
      <c r="E535" t="s">
        <v>1021</v>
      </c>
      <c r="F535" t="str">
        <f>VLOOKUP(E535,FifaCountryCode!A:B,2,FALSE)</f>
        <v>ENG</v>
      </c>
    </row>
    <row r="536" spans="2:6" x14ac:dyDescent="0.25">
      <c r="B536">
        <v>1990</v>
      </c>
      <c r="C536" t="s">
        <v>1036</v>
      </c>
      <c r="E536" t="s">
        <v>749</v>
      </c>
      <c r="F536" t="str">
        <f>VLOOKUP(E536,FifaCountryCode!A:B,2,FALSE)</f>
        <v>ARG</v>
      </c>
    </row>
    <row r="537" spans="2:6" x14ac:dyDescent="0.25">
      <c r="B537">
        <v>1990</v>
      </c>
      <c r="C537" t="s">
        <v>1038</v>
      </c>
      <c r="E537" t="s">
        <v>764</v>
      </c>
      <c r="F537" t="str">
        <f>VLOOKUP(E537,FifaCountryCode!A:B,2,FALSE)</f>
        <v>CMR</v>
      </c>
    </row>
    <row r="538" spans="2:6" x14ac:dyDescent="0.25">
      <c r="B538">
        <v>1990</v>
      </c>
      <c r="C538" t="s">
        <v>1038</v>
      </c>
      <c r="E538" t="s">
        <v>1037</v>
      </c>
      <c r="F538" t="str">
        <f>VLOOKUP(E538,FifaCountryCode!A:B,2,FALSE)</f>
        <v>TCH</v>
      </c>
    </row>
    <row r="539" spans="2:6" x14ac:dyDescent="0.25">
      <c r="B539">
        <v>1990</v>
      </c>
      <c r="C539" t="s">
        <v>1038</v>
      </c>
      <c r="E539" t="s">
        <v>315</v>
      </c>
      <c r="F539" t="e">
        <f>VLOOKUP(E539,FifaCountryCode!A:B,2,FALSE)</f>
        <v>#N/A</v>
      </c>
    </row>
    <row r="540" spans="2:6" x14ac:dyDescent="0.25">
      <c r="B540">
        <v>1990</v>
      </c>
      <c r="C540" t="s">
        <v>1038</v>
      </c>
      <c r="E540" t="s">
        <v>749</v>
      </c>
      <c r="F540" t="str">
        <f>VLOOKUP(E540,FifaCountryCode!A:B,2,FALSE)</f>
        <v>ARG</v>
      </c>
    </row>
    <row r="541" spans="2:6" x14ac:dyDescent="0.25">
      <c r="B541">
        <v>1990</v>
      </c>
      <c r="C541" t="s">
        <v>1013</v>
      </c>
      <c r="E541" t="s">
        <v>756</v>
      </c>
      <c r="F541" t="str">
        <f>VLOOKUP(E541,FifaCountryCode!A:B,2,FALSE)</f>
        <v>BEL</v>
      </c>
    </row>
    <row r="542" spans="2:6" x14ac:dyDescent="0.25">
      <c r="B542">
        <v>1990</v>
      </c>
      <c r="C542" t="s">
        <v>1013</v>
      </c>
      <c r="E542" t="s">
        <v>895</v>
      </c>
      <c r="F542" t="str">
        <f>VLOOKUP(E542,FifaCountryCode!A:B,2,FALSE)</f>
        <v>ESP</v>
      </c>
    </row>
    <row r="543" spans="2:6" x14ac:dyDescent="0.25">
      <c r="B543">
        <v>1990</v>
      </c>
      <c r="C543" t="s">
        <v>1013</v>
      </c>
      <c r="E543" t="s">
        <v>817</v>
      </c>
      <c r="F543" t="str">
        <f>VLOOKUP(E543,FifaCountryCode!A:B,2,FALSE)</f>
        <v>ITA</v>
      </c>
    </row>
    <row r="544" spans="2:6" x14ac:dyDescent="0.25">
      <c r="B544">
        <v>1990</v>
      </c>
      <c r="C544" t="s">
        <v>1013</v>
      </c>
      <c r="E544" t="s">
        <v>315</v>
      </c>
      <c r="F544" t="e">
        <f>VLOOKUP(E544,FifaCountryCode!A:B,2,FALSE)</f>
        <v>#N/A</v>
      </c>
    </row>
    <row r="545" spans="2:6" x14ac:dyDescent="0.25">
      <c r="B545">
        <v>1990</v>
      </c>
      <c r="C545" t="s">
        <v>1013</v>
      </c>
      <c r="E545" t="s">
        <v>797</v>
      </c>
      <c r="F545" t="str">
        <f>VLOOKUP(E545,FifaCountryCode!A:B,2,FALSE)</f>
        <v>GER</v>
      </c>
    </row>
    <row r="546" spans="2:6" x14ac:dyDescent="0.25">
      <c r="B546">
        <v>1990</v>
      </c>
      <c r="C546" t="s">
        <v>1013</v>
      </c>
      <c r="E546" t="s">
        <v>749</v>
      </c>
      <c r="F546" t="str">
        <f>VLOOKUP(E546,FifaCountryCode!A:B,2,FALSE)</f>
        <v>ARG</v>
      </c>
    </row>
    <row r="547" spans="2:6" x14ac:dyDescent="0.25">
      <c r="B547">
        <v>1990</v>
      </c>
      <c r="C547" t="s">
        <v>1013</v>
      </c>
      <c r="E547" t="s">
        <v>774</v>
      </c>
      <c r="F547" t="str">
        <f>VLOOKUP(E547,FifaCountryCode!A:B,2,FALSE)</f>
        <v>CRC</v>
      </c>
    </row>
    <row r="548" spans="2:6" x14ac:dyDescent="0.25">
      <c r="B548">
        <v>1990</v>
      </c>
      <c r="C548" t="s">
        <v>1013</v>
      </c>
      <c r="E548" t="s">
        <v>764</v>
      </c>
      <c r="F548" t="str">
        <f>VLOOKUP(E548,FifaCountryCode!A:B,2,FALSE)</f>
        <v>CMR</v>
      </c>
    </row>
    <row r="549" spans="2:6" x14ac:dyDescent="0.25">
      <c r="B549">
        <v>1990</v>
      </c>
      <c r="C549" t="s">
        <v>1029</v>
      </c>
      <c r="D549" t="s">
        <v>1030</v>
      </c>
      <c r="E549" t="s">
        <v>315</v>
      </c>
      <c r="F549" t="e">
        <f>VLOOKUP(E549,FifaCountryCode!A:B,2,FALSE)</f>
        <v>#N/A</v>
      </c>
    </row>
    <row r="550" spans="2:6" x14ac:dyDescent="0.25">
      <c r="B550">
        <v>1990</v>
      </c>
      <c r="C550" t="s">
        <v>1022</v>
      </c>
      <c r="D550" t="s">
        <v>1023</v>
      </c>
      <c r="E550" t="s">
        <v>1056</v>
      </c>
      <c r="F550" t="str">
        <f>VLOOKUP(E550,FifaCountryCode!A:B,2,FALSE)</f>
        <v>KOR</v>
      </c>
    </row>
    <row r="551" spans="2:6" x14ac:dyDescent="0.25">
      <c r="B551">
        <v>1990</v>
      </c>
      <c r="C551" t="s">
        <v>1031</v>
      </c>
      <c r="D551" t="s">
        <v>1032</v>
      </c>
      <c r="E551" t="s">
        <v>1079</v>
      </c>
      <c r="F551" t="str">
        <f>VLOOKUP(E551,FifaCountryCode!A:B,2,FALSE)</f>
        <v>UAE</v>
      </c>
    </row>
    <row r="552" spans="2:6" x14ac:dyDescent="0.25">
      <c r="B552">
        <v>1934</v>
      </c>
      <c r="C552" t="s">
        <v>1050</v>
      </c>
      <c r="D552">
        <v>1</v>
      </c>
      <c r="E552" t="s">
        <v>751</v>
      </c>
      <c r="F552" t="str">
        <f>VLOOKUP(E552,FifaCountryCode!A:B,2,FALSE)</f>
        <v>AUT</v>
      </c>
    </row>
    <row r="553" spans="2:6" x14ac:dyDescent="0.25">
      <c r="B553">
        <v>1934</v>
      </c>
      <c r="C553" t="s">
        <v>1050</v>
      </c>
      <c r="D553">
        <v>1</v>
      </c>
      <c r="E553" t="s">
        <v>749</v>
      </c>
      <c r="F553" t="str">
        <f>VLOOKUP(E553,FifaCountryCode!A:B,2,FALSE)</f>
        <v>ARG</v>
      </c>
    </row>
    <row r="554" spans="2:6" x14ac:dyDescent="0.25">
      <c r="B554">
        <v>1934</v>
      </c>
      <c r="C554" t="s">
        <v>1050</v>
      </c>
      <c r="D554">
        <v>1</v>
      </c>
      <c r="E554" t="s">
        <v>1037</v>
      </c>
      <c r="F554" t="str">
        <f>VLOOKUP(E554,FifaCountryCode!A:B,2,FALSE)</f>
        <v>TCH</v>
      </c>
    </row>
    <row r="555" spans="2:6" x14ac:dyDescent="0.25">
      <c r="B555">
        <v>1934</v>
      </c>
      <c r="C555" t="s">
        <v>1050</v>
      </c>
      <c r="D555">
        <v>1</v>
      </c>
      <c r="E555" t="s">
        <v>817</v>
      </c>
      <c r="F555" t="str">
        <f>VLOOKUP(E555,FifaCountryCode!A:B,2,FALSE)</f>
        <v>ITA</v>
      </c>
    </row>
    <row r="556" spans="2:6" x14ac:dyDescent="0.25">
      <c r="B556">
        <v>1934</v>
      </c>
      <c r="C556" t="s">
        <v>1050</v>
      </c>
      <c r="D556">
        <v>1</v>
      </c>
      <c r="E556" t="s">
        <v>33</v>
      </c>
      <c r="F556" t="str">
        <f>VLOOKUP(E556,FifaCountryCode!A:B,2,FALSE)</f>
        <v>NED</v>
      </c>
    </row>
    <row r="557" spans="2:6" x14ac:dyDescent="0.25">
      <c r="B557">
        <v>1934</v>
      </c>
      <c r="C557" t="s">
        <v>1050</v>
      </c>
      <c r="D557">
        <v>1</v>
      </c>
      <c r="E557" t="s">
        <v>783</v>
      </c>
      <c r="F557" t="str">
        <f>VLOOKUP(E557,FifaCountryCode!A:B,2,FALSE)</f>
        <v>EGY</v>
      </c>
    </row>
    <row r="558" spans="2:6" x14ac:dyDescent="0.25">
      <c r="B558">
        <v>1934</v>
      </c>
      <c r="C558" t="s">
        <v>1050</v>
      </c>
      <c r="D558">
        <v>1</v>
      </c>
      <c r="E558" t="s">
        <v>760</v>
      </c>
      <c r="F558" t="str">
        <f>VLOOKUP(E558,FifaCountryCode!A:B,2,FALSE)</f>
        <v>BRA</v>
      </c>
    </row>
    <row r="559" spans="2:6" x14ac:dyDescent="0.25">
      <c r="B559">
        <v>1930</v>
      </c>
      <c r="C559" t="s">
        <v>1015</v>
      </c>
      <c r="E559" t="s">
        <v>749</v>
      </c>
      <c r="F559" t="str">
        <f>VLOOKUP(E559,FifaCountryCode!A:B,2,FALSE)</f>
        <v>ARG</v>
      </c>
    </row>
    <row r="560" spans="2:6" x14ac:dyDescent="0.25">
      <c r="B560">
        <v>1930</v>
      </c>
      <c r="C560" t="s">
        <v>1036</v>
      </c>
      <c r="E560" t="s">
        <v>916</v>
      </c>
      <c r="F560" t="str">
        <f>VLOOKUP(E560,FifaCountryCode!A:B,2,FALSE)</f>
        <v>URU</v>
      </c>
    </row>
    <row r="561" spans="2:6" x14ac:dyDescent="0.25">
      <c r="B561">
        <v>1930</v>
      </c>
      <c r="C561" t="s">
        <v>1036</v>
      </c>
      <c r="E561" t="s">
        <v>749</v>
      </c>
      <c r="F561" t="str">
        <f>VLOOKUP(E561,FifaCountryCode!A:B,2,FALSE)</f>
        <v>ARG</v>
      </c>
    </row>
    <row r="562" spans="2:6" x14ac:dyDescent="0.25">
      <c r="B562">
        <v>1930</v>
      </c>
      <c r="C562" t="s">
        <v>1050</v>
      </c>
      <c r="D562">
        <v>1</v>
      </c>
      <c r="E562" t="s">
        <v>749</v>
      </c>
      <c r="F562" t="str">
        <f>VLOOKUP(E562,FifaCountryCode!A:B,2,FALSE)</f>
        <v>ARG</v>
      </c>
    </row>
    <row r="563" spans="2:6" x14ac:dyDescent="0.25">
      <c r="B563">
        <v>1930</v>
      </c>
      <c r="C563" t="s">
        <v>1049</v>
      </c>
      <c r="D563">
        <v>3</v>
      </c>
      <c r="E563" t="s">
        <v>539</v>
      </c>
      <c r="F563" t="str">
        <f>VLOOKUP(E563,FifaCountryCode!A:B,2,FALSE)</f>
        <v>ROU</v>
      </c>
    </row>
    <row r="564" spans="2:6" x14ac:dyDescent="0.25">
      <c r="B564">
        <v>1930</v>
      </c>
      <c r="C564" t="s">
        <v>1046</v>
      </c>
      <c r="D564">
        <v>4</v>
      </c>
      <c r="E564" t="s">
        <v>756</v>
      </c>
      <c r="F564" t="str">
        <f>VLOOKUP(E564,FifaCountryCode!A:B,2,FALSE)</f>
        <v>BEL</v>
      </c>
    </row>
    <row r="565" spans="2:6" x14ac:dyDescent="0.25">
      <c r="B565">
        <v>1930</v>
      </c>
      <c r="C565" t="s">
        <v>1047</v>
      </c>
      <c r="D565">
        <v>2</v>
      </c>
      <c r="E565" t="s">
        <v>1075</v>
      </c>
      <c r="F565" t="str">
        <f>VLOOKUP(E565,FifaCountryCode!A:B,2,FALSE)</f>
        <v>BOL</v>
      </c>
    </row>
    <row r="566" spans="2:6" x14ac:dyDescent="0.25">
      <c r="B566">
        <v>1930</v>
      </c>
      <c r="C566" t="s">
        <v>1050</v>
      </c>
      <c r="D566">
        <v>1</v>
      </c>
      <c r="E566" t="s">
        <v>768</v>
      </c>
      <c r="F566" t="str">
        <f>VLOOKUP(E566,FifaCountryCode!A:B,2,FALSE)</f>
        <v>CHI</v>
      </c>
    </row>
    <row r="567" spans="2:6" x14ac:dyDescent="0.25">
      <c r="B567">
        <v>1930</v>
      </c>
      <c r="C567" t="s">
        <v>1049</v>
      </c>
      <c r="D567">
        <v>3</v>
      </c>
      <c r="E567" t="s">
        <v>867</v>
      </c>
      <c r="F567" t="str">
        <f>VLOOKUP(E567,FifaCountryCode!A:B,2,FALSE)</f>
        <v>PER</v>
      </c>
    </row>
    <row r="568" spans="2:6" x14ac:dyDescent="0.25">
      <c r="B568">
        <v>1930</v>
      </c>
      <c r="C568" t="s">
        <v>1046</v>
      </c>
      <c r="D568">
        <v>4</v>
      </c>
      <c r="E568" t="s">
        <v>866</v>
      </c>
      <c r="F568" t="str">
        <f>VLOOKUP(E568,FifaCountryCode!A:B,2,FALSE)</f>
        <v>PAR</v>
      </c>
    </row>
    <row r="569" spans="2:6" x14ac:dyDescent="0.25">
      <c r="B569">
        <v>1930</v>
      </c>
      <c r="C569" t="s">
        <v>1047</v>
      </c>
      <c r="D569">
        <v>2</v>
      </c>
      <c r="E569" t="s">
        <v>760</v>
      </c>
      <c r="F569" t="str">
        <f>VLOOKUP(E569,FifaCountryCode!A:B,2,FALSE)</f>
        <v>BRA</v>
      </c>
    </row>
    <row r="570" spans="2:6" x14ac:dyDescent="0.25">
      <c r="B570">
        <v>1930</v>
      </c>
      <c r="C570" t="s">
        <v>1050</v>
      </c>
      <c r="D570">
        <v>1</v>
      </c>
      <c r="E570" t="s">
        <v>224</v>
      </c>
      <c r="F570" t="str">
        <f>VLOOKUP(E570,FifaCountryCode!A:B,2,FALSE)</f>
        <v>FRA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901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6" sqref="F6"/>
    </sheetView>
  </sheetViews>
  <sheetFormatPr defaultRowHeight="15" x14ac:dyDescent="0.25"/>
  <cols>
    <col min="1" max="1" width="14.7109375" bestFit="1" customWidth="1"/>
    <col min="2" max="2" width="3.7109375" bestFit="1" customWidth="1"/>
    <col min="3" max="3" width="10.7109375" bestFit="1" customWidth="1"/>
    <col min="4" max="4" width="8.140625" style="7" bestFit="1" customWidth="1"/>
    <col min="5" max="5" width="5.7109375" bestFit="1" customWidth="1"/>
    <col min="6" max="8" width="11.85546875" customWidth="1"/>
    <col min="9" max="9" width="17.7109375" customWidth="1"/>
    <col min="10" max="10" width="26.85546875" customWidth="1"/>
    <col min="11" max="11" width="3" bestFit="1" customWidth="1"/>
    <col min="12" max="12" width="3" customWidth="1"/>
    <col min="13" max="13" width="26.85546875" customWidth="1"/>
    <col min="14" max="14" width="37.7109375" customWidth="1"/>
    <col min="15" max="15" width="31" customWidth="1"/>
    <col min="16" max="16" width="27.140625" customWidth="1"/>
    <col min="17" max="18" width="8.5703125" customWidth="1"/>
    <col min="19" max="20" width="9.140625" customWidth="1"/>
  </cols>
  <sheetData>
    <row r="1" spans="1:20" ht="73.5" x14ac:dyDescent="0.25">
      <c r="A1" s="2" t="s">
        <v>1145</v>
      </c>
      <c r="B1" s="5" t="s">
        <v>1717</v>
      </c>
      <c r="C1" s="2" t="s">
        <v>1146</v>
      </c>
      <c r="D1" s="8" t="s">
        <v>1147</v>
      </c>
      <c r="E1" s="2" t="s">
        <v>1009</v>
      </c>
      <c r="F1" s="2" t="s">
        <v>1718</v>
      </c>
      <c r="G1" s="2" t="s">
        <v>1740</v>
      </c>
      <c r="H1" s="2" t="s">
        <v>1010</v>
      </c>
      <c r="I1" s="2"/>
      <c r="J1" s="2" t="s">
        <v>1012</v>
      </c>
      <c r="K1" s="5" t="s">
        <v>1148</v>
      </c>
      <c r="L1" s="5" t="s">
        <v>1149</v>
      </c>
      <c r="M1" s="2" t="s">
        <v>1150</v>
      </c>
      <c r="N1" s="2" t="s">
        <v>1750</v>
      </c>
      <c r="O1" s="2" t="s">
        <v>1151</v>
      </c>
      <c r="P1" s="2" t="s">
        <v>1152</v>
      </c>
      <c r="Q1" s="2" t="s">
        <v>1153</v>
      </c>
      <c r="R1" s="2" t="s">
        <v>1154</v>
      </c>
      <c r="S1" s="2"/>
      <c r="T1" s="2"/>
    </row>
    <row r="2" spans="1:20" x14ac:dyDescent="0.25">
      <c r="A2" t="str">
        <f t="shared" ref="A2:A65" si="0">F2&amp;"-"&amp;B2</f>
        <v>FIFAWC1930-1</v>
      </c>
      <c r="B2" s="4">
        <v>1</v>
      </c>
      <c r="C2" s="3">
        <v>11153</v>
      </c>
      <c r="D2" s="7">
        <v>4.1666666666666664E-2</v>
      </c>
      <c r="E2">
        <v>1930</v>
      </c>
      <c r="F2" t="s">
        <v>1719</v>
      </c>
      <c r="G2" t="s">
        <v>1741</v>
      </c>
      <c r="H2" t="s">
        <v>1122</v>
      </c>
      <c r="I2" t="s">
        <v>1131</v>
      </c>
      <c r="J2" t="s">
        <v>224</v>
      </c>
      <c r="K2">
        <v>4</v>
      </c>
      <c r="L2">
        <v>1</v>
      </c>
      <c r="M2" t="s">
        <v>845</v>
      </c>
      <c r="O2" t="s">
        <v>1713</v>
      </c>
      <c r="P2" t="s">
        <v>1716</v>
      </c>
      <c r="Q2">
        <v>3000</v>
      </c>
      <c r="R2" t="s">
        <v>1157</v>
      </c>
      <c r="S2" t="str">
        <f>VLOOKUP(J2,Teams!A:B,2,FALSE)</f>
        <v>FRA</v>
      </c>
      <c r="T2" t="str">
        <f>VLOOKUP(M2,Teams!A:B,2,FALSE)</f>
        <v>MEX</v>
      </c>
    </row>
    <row r="3" spans="1:20" x14ac:dyDescent="0.25">
      <c r="A3" t="str">
        <f t="shared" si="0"/>
        <v>FIFAWC1930-2</v>
      </c>
      <c r="B3" s="4">
        <v>2</v>
      </c>
      <c r="C3" s="3">
        <v>11153</v>
      </c>
      <c r="D3" s="7">
        <v>4.1666666666666664E-2</v>
      </c>
      <c r="E3">
        <v>1930</v>
      </c>
      <c r="F3" t="s">
        <v>1719</v>
      </c>
      <c r="G3" t="s">
        <v>1741</v>
      </c>
      <c r="H3" t="s">
        <v>1122</v>
      </c>
      <c r="I3" t="s">
        <v>1134</v>
      </c>
      <c r="J3" t="s">
        <v>702</v>
      </c>
      <c r="K3">
        <v>3</v>
      </c>
      <c r="L3">
        <v>0</v>
      </c>
      <c r="M3" t="s">
        <v>756</v>
      </c>
      <c r="O3" t="s">
        <v>1709</v>
      </c>
      <c r="P3" t="s">
        <v>1715</v>
      </c>
      <c r="Q3">
        <v>10000</v>
      </c>
      <c r="R3" t="s">
        <v>1157</v>
      </c>
      <c r="S3" t="str">
        <f>VLOOKUP(J3,Teams!A:B,2,FALSE)</f>
        <v>USA</v>
      </c>
      <c r="T3" t="str">
        <f>VLOOKUP(M3,Teams!A:B,2,FALSE)</f>
        <v>BEL</v>
      </c>
    </row>
    <row r="4" spans="1:20" x14ac:dyDescent="0.25">
      <c r="A4" t="str">
        <f t="shared" si="0"/>
        <v>FIFAWC1930-3</v>
      </c>
      <c r="B4" s="4">
        <v>3</v>
      </c>
      <c r="C4" s="3">
        <v>11153</v>
      </c>
      <c r="D4" s="7">
        <v>0.94791666666666663</v>
      </c>
      <c r="E4">
        <v>1930</v>
      </c>
      <c r="F4" t="s">
        <v>1719</v>
      </c>
      <c r="G4" t="s">
        <v>1741</v>
      </c>
      <c r="H4" t="s">
        <v>1122</v>
      </c>
      <c r="I4" t="s">
        <v>1132</v>
      </c>
      <c r="J4" t="s">
        <v>1234</v>
      </c>
      <c r="K4">
        <v>2</v>
      </c>
      <c r="L4">
        <v>1</v>
      </c>
      <c r="M4" t="s">
        <v>760</v>
      </c>
      <c r="O4" t="s">
        <v>1709</v>
      </c>
      <c r="P4" t="s">
        <v>1708</v>
      </c>
      <c r="Q4">
        <v>5000</v>
      </c>
      <c r="R4" t="s">
        <v>1157</v>
      </c>
      <c r="S4" t="str">
        <f>VLOOKUP(J4,Teams!A:B,2,FALSE)</f>
        <v>YUG</v>
      </c>
      <c r="T4" t="str">
        <f>VLOOKUP(M4,Teams!A:B,2,FALSE)</f>
        <v>BRA</v>
      </c>
    </row>
    <row r="5" spans="1:20" x14ac:dyDescent="0.25">
      <c r="A5" t="str">
        <f t="shared" si="0"/>
        <v>FIFAWC1930-4</v>
      </c>
      <c r="B5" s="4">
        <v>4</v>
      </c>
      <c r="C5" s="3">
        <v>11154</v>
      </c>
      <c r="D5" s="7">
        <v>0.94791666666666663</v>
      </c>
      <c r="E5">
        <v>1930</v>
      </c>
      <c r="F5" t="s">
        <v>1719</v>
      </c>
      <c r="G5" t="s">
        <v>1741</v>
      </c>
      <c r="H5" t="s">
        <v>1122</v>
      </c>
      <c r="I5" t="s">
        <v>1133</v>
      </c>
      <c r="J5" t="s">
        <v>539</v>
      </c>
      <c r="K5">
        <v>3</v>
      </c>
      <c r="L5">
        <v>1</v>
      </c>
      <c r="M5" t="s">
        <v>867</v>
      </c>
      <c r="O5" t="s">
        <v>1713</v>
      </c>
      <c r="P5" t="s">
        <v>1714</v>
      </c>
      <c r="Q5">
        <v>300</v>
      </c>
      <c r="R5" t="s">
        <v>1157</v>
      </c>
      <c r="S5" t="str">
        <f>VLOOKUP(J5,Teams!A:B,2,FALSE)</f>
        <v>ROU</v>
      </c>
      <c r="T5" t="str">
        <f>VLOOKUP(M5,Teams!A:B,2,FALSE)</f>
        <v>PER</v>
      </c>
    </row>
    <row r="6" spans="1:20" x14ac:dyDescent="0.25">
      <c r="A6" t="str">
        <f t="shared" si="0"/>
        <v>FIFAWC1930-5</v>
      </c>
      <c r="B6" s="4">
        <v>5</v>
      </c>
      <c r="C6" s="3">
        <v>11154</v>
      </c>
      <c r="D6" s="7">
        <v>0.94791666666666663</v>
      </c>
      <c r="E6">
        <v>1930</v>
      </c>
      <c r="F6" t="s">
        <v>1719</v>
      </c>
      <c r="G6" t="s">
        <v>1741</v>
      </c>
      <c r="H6" t="s">
        <v>1122</v>
      </c>
      <c r="I6" t="s">
        <v>1131</v>
      </c>
      <c r="J6" t="s">
        <v>749</v>
      </c>
      <c r="K6">
        <v>1</v>
      </c>
      <c r="L6">
        <v>0</v>
      </c>
      <c r="M6" t="s">
        <v>224</v>
      </c>
      <c r="O6" t="s">
        <v>1709</v>
      </c>
      <c r="P6" t="s">
        <v>1704</v>
      </c>
      <c r="Q6">
        <v>18000</v>
      </c>
      <c r="R6" t="s">
        <v>1157</v>
      </c>
      <c r="S6" t="str">
        <f>VLOOKUP(J6,Teams!A:B,2,FALSE)</f>
        <v>ARG</v>
      </c>
      <c r="T6" t="str">
        <f>VLOOKUP(M6,Teams!A:B,2,FALSE)</f>
        <v>FRA</v>
      </c>
    </row>
    <row r="7" spans="1:20" x14ac:dyDescent="0.25">
      <c r="A7" t="str">
        <f t="shared" si="0"/>
        <v>FIFAWC1930-6</v>
      </c>
      <c r="B7" s="4">
        <v>6</v>
      </c>
      <c r="C7" s="3">
        <v>11155</v>
      </c>
      <c r="D7" s="7">
        <v>8.3333333333333329E-2</v>
      </c>
      <c r="E7">
        <v>1930</v>
      </c>
      <c r="F7" t="s">
        <v>1719</v>
      </c>
      <c r="G7" t="s">
        <v>1741</v>
      </c>
      <c r="H7" t="s">
        <v>1122</v>
      </c>
      <c r="I7" t="s">
        <v>1131</v>
      </c>
      <c r="J7" t="s">
        <v>768</v>
      </c>
      <c r="K7">
        <v>3</v>
      </c>
      <c r="L7">
        <v>0</v>
      </c>
      <c r="M7" t="s">
        <v>845</v>
      </c>
      <c r="O7" t="s">
        <v>1709</v>
      </c>
      <c r="P7" t="s">
        <v>1712</v>
      </c>
      <c r="Q7">
        <v>7000</v>
      </c>
      <c r="R7" t="s">
        <v>1157</v>
      </c>
      <c r="S7" t="str">
        <f>VLOOKUP(J7,Teams!A:B,2,FALSE)</f>
        <v>CHI</v>
      </c>
      <c r="T7" t="str">
        <f>VLOOKUP(M7,Teams!A:B,2,FALSE)</f>
        <v>MEX</v>
      </c>
    </row>
    <row r="8" spans="1:20" x14ac:dyDescent="0.25">
      <c r="A8" t="str">
        <f t="shared" si="0"/>
        <v>FIFAWC1930-7</v>
      </c>
      <c r="B8" s="4">
        <v>7</v>
      </c>
      <c r="C8" s="3">
        <v>11156</v>
      </c>
      <c r="D8" s="7">
        <v>0.94791666666666663</v>
      </c>
      <c r="E8">
        <v>1930</v>
      </c>
      <c r="F8" t="s">
        <v>1719</v>
      </c>
      <c r="G8" t="s">
        <v>1741</v>
      </c>
      <c r="H8" t="s">
        <v>1122</v>
      </c>
      <c r="I8" t="s">
        <v>1132</v>
      </c>
      <c r="J8" t="s">
        <v>1234</v>
      </c>
      <c r="K8">
        <v>4</v>
      </c>
      <c r="L8">
        <v>0</v>
      </c>
      <c r="M8" t="s">
        <v>1075</v>
      </c>
      <c r="O8" t="s">
        <v>1709</v>
      </c>
      <c r="P8" t="s">
        <v>1711</v>
      </c>
      <c r="Q8">
        <v>800</v>
      </c>
      <c r="R8" t="s">
        <v>1157</v>
      </c>
      <c r="S8" t="str">
        <f>VLOOKUP(J8,Teams!A:B,2,FALSE)</f>
        <v>YUG</v>
      </c>
      <c r="T8" t="str">
        <f>VLOOKUP(M8,Teams!A:B,2,FALSE)</f>
        <v>BOL</v>
      </c>
    </row>
    <row r="9" spans="1:20" x14ac:dyDescent="0.25">
      <c r="A9" t="str">
        <f t="shared" si="0"/>
        <v>FIFAWC1930-8</v>
      </c>
      <c r="B9" s="4">
        <v>8</v>
      </c>
      <c r="C9" s="3">
        <v>11156</v>
      </c>
      <c r="D9" s="7">
        <v>0.94791666666666663</v>
      </c>
      <c r="E9">
        <v>1930</v>
      </c>
      <c r="F9" t="s">
        <v>1719</v>
      </c>
      <c r="G9" t="s">
        <v>1741</v>
      </c>
      <c r="H9" t="s">
        <v>1122</v>
      </c>
      <c r="I9" t="s">
        <v>1134</v>
      </c>
      <c r="J9" t="s">
        <v>702</v>
      </c>
      <c r="K9">
        <v>3</v>
      </c>
      <c r="L9">
        <v>0</v>
      </c>
      <c r="M9" t="s">
        <v>866</v>
      </c>
      <c r="O9" t="s">
        <v>1709</v>
      </c>
      <c r="P9" t="s">
        <v>1710</v>
      </c>
      <c r="Q9">
        <v>800</v>
      </c>
      <c r="R9" t="s">
        <v>1157</v>
      </c>
      <c r="S9" t="str">
        <f>VLOOKUP(J9,Teams!A:B,2,FALSE)</f>
        <v>USA</v>
      </c>
      <c r="T9" t="str">
        <f>VLOOKUP(M9,Teams!A:B,2,FALSE)</f>
        <v>PAR</v>
      </c>
    </row>
    <row r="10" spans="1:20" x14ac:dyDescent="0.25">
      <c r="A10" t="str">
        <f t="shared" si="0"/>
        <v>FIFAWC1930-9</v>
      </c>
      <c r="B10" s="4">
        <v>9</v>
      </c>
      <c r="C10" s="3">
        <v>11157</v>
      </c>
      <c r="D10" s="7">
        <v>0.94791666666666663</v>
      </c>
      <c r="E10">
        <v>1930</v>
      </c>
      <c r="F10" t="s">
        <v>1719</v>
      </c>
      <c r="G10" t="s">
        <v>1741</v>
      </c>
      <c r="H10" t="s">
        <v>1122</v>
      </c>
      <c r="I10" t="s">
        <v>1133</v>
      </c>
      <c r="J10" t="s">
        <v>916</v>
      </c>
      <c r="K10">
        <v>1</v>
      </c>
      <c r="L10">
        <v>0</v>
      </c>
      <c r="M10" t="s">
        <v>867</v>
      </c>
      <c r="O10" t="s">
        <v>1703</v>
      </c>
      <c r="P10" t="s">
        <v>1505</v>
      </c>
      <c r="Q10">
        <v>70000</v>
      </c>
      <c r="R10" t="s">
        <v>1157</v>
      </c>
      <c r="S10" t="str">
        <f>VLOOKUP(J10,Teams!A:B,2,FALSE)</f>
        <v>URU</v>
      </c>
      <c r="T10" t="str">
        <f>VLOOKUP(M10,Teams!A:B,2,FALSE)</f>
        <v>PER</v>
      </c>
    </row>
    <row r="11" spans="1:20" x14ac:dyDescent="0.25">
      <c r="A11" t="str">
        <f t="shared" si="0"/>
        <v>FIFAWC1930-10</v>
      </c>
      <c r="B11" s="4">
        <v>10</v>
      </c>
      <c r="C11" s="3">
        <v>11158</v>
      </c>
      <c r="D11" s="7">
        <v>0.94791666666666663</v>
      </c>
      <c r="E11">
        <v>1930</v>
      </c>
      <c r="F11" t="s">
        <v>1719</v>
      </c>
      <c r="G11" t="s">
        <v>1741</v>
      </c>
      <c r="H11" t="s">
        <v>1122</v>
      </c>
      <c r="I11" t="s">
        <v>1131</v>
      </c>
      <c r="J11" t="s">
        <v>768</v>
      </c>
      <c r="K11">
        <v>1</v>
      </c>
      <c r="L11">
        <v>0</v>
      </c>
      <c r="M11" t="s">
        <v>224</v>
      </c>
      <c r="O11" t="s">
        <v>1703</v>
      </c>
      <c r="P11" t="s">
        <v>1708</v>
      </c>
      <c r="Q11">
        <v>50000</v>
      </c>
      <c r="R11" t="s">
        <v>1157</v>
      </c>
      <c r="S11" t="str">
        <f>VLOOKUP(J11,Teams!A:B,2,FALSE)</f>
        <v>CHI</v>
      </c>
      <c r="T11" t="str">
        <f>VLOOKUP(M11,Teams!A:B,2,FALSE)</f>
        <v>FRA</v>
      </c>
    </row>
    <row r="12" spans="1:20" x14ac:dyDescent="0.25">
      <c r="A12" t="str">
        <f t="shared" si="0"/>
        <v>FIFAWC1930-11</v>
      </c>
      <c r="B12" s="4">
        <v>11</v>
      </c>
      <c r="C12" s="3">
        <v>11158</v>
      </c>
      <c r="D12" s="7">
        <v>0.94791666666666663</v>
      </c>
      <c r="E12">
        <v>1930</v>
      </c>
      <c r="F12" t="s">
        <v>1719</v>
      </c>
      <c r="G12" t="s">
        <v>1741</v>
      </c>
      <c r="H12" t="s">
        <v>1122</v>
      </c>
      <c r="I12" t="s">
        <v>1131</v>
      </c>
      <c r="J12" t="s">
        <v>749</v>
      </c>
      <c r="K12">
        <v>6</v>
      </c>
      <c r="L12">
        <v>3</v>
      </c>
      <c r="M12" t="s">
        <v>845</v>
      </c>
      <c r="O12" t="s">
        <v>1703</v>
      </c>
      <c r="P12" t="s">
        <v>1707</v>
      </c>
      <c r="Q12">
        <v>50000</v>
      </c>
      <c r="R12" t="s">
        <v>1157</v>
      </c>
      <c r="S12" t="str">
        <f>VLOOKUP(J12,Teams!A:B,2,FALSE)</f>
        <v>ARG</v>
      </c>
      <c r="T12" t="str">
        <f>VLOOKUP(M12,Teams!A:B,2,FALSE)</f>
        <v>MEX</v>
      </c>
    </row>
    <row r="13" spans="1:20" x14ac:dyDescent="0.25">
      <c r="A13" t="str">
        <f t="shared" si="0"/>
        <v>FIFAWC1930-12</v>
      </c>
      <c r="B13" s="4">
        <v>12</v>
      </c>
      <c r="C13" s="3">
        <v>11159</v>
      </c>
      <c r="D13" s="7">
        <v>4.1666666666666664E-2</v>
      </c>
      <c r="E13">
        <v>1930</v>
      </c>
      <c r="F13" t="s">
        <v>1719</v>
      </c>
      <c r="G13" t="s">
        <v>1741</v>
      </c>
      <c r="H13" t="s">
        <v>1122</v>
      </c>
      <c r="I13" t="s">
        <v>1132</v>
      </c>
      <c r="J13" t="s">
        <v>760</v>
      </c>
      <c r="K13">
        <v>4</v>
      </c>
      <c r="L13">
        <v>0</v>
      </c>
      <c r="M13" t="s">
        <v>1075</v>
      </c>
      <c r="O13" t="s">
        <v>1703</v>
      </c>
      <c r="P13" t="s">
        <v>1706</v>
      </c>
      <c r="Q13">
        <v>1200</v>
      </c>
      <c r="R13" t="s">
        <v>1157</v>
      </c>
      <c r="S13" t="str">
        <f>VLOOKUP(J13,Teams!A:B,2,FALSE)</f>
        <v>BRA</v>
      </c>
      <c r="T13" t="str">
        <f>VLOOKUP(M13,Teams!A:B,2,FALSE)</f>
        <v>BOL</v>
      </c>
    </row>
    <row r="14" spans="1:20" x14ac:dyDescent="0.25">
      <c r="A14" t="str">
        <f t="shared" si="0"/>
        <v>FIFAWC1930-13</v>
      </c>
      <c r="B14" s="4">
        <v>13</v>
      </c>
      <c r="C14" s="3">
        <v>11159</v>
      </c>
      <c r="D14" s="7">
        <v>0.95833333333333337</v>
      </c>
      <c r="E14">
        <v>1930</v>
      </c>
      <c r="F14" t="s">
        <v>1719</v>
      </c>
      <c r="G14" t="s">
        <v>1741</v>
      </c>
      <c r="H14" t="s">
        <v>1122</v>
      </c>
      <c r="I14" t="s">
        <v>1134</v>
      </c>
      <c r="J14" t="s">
        <v>866</v>
      </c>
      <c r="K14">
        <v>1</v>
      </c>
      <c r="L14">
        <v>0</v>
      </c>
      <c r="M14" t="s">
        <v>756</v>
      </c>
      <c r="O14" t="s">
        <v>1703</v>
      </c>
      <c r="P14" t="s">
        <v>1705</v>
      </c>
      <c r="Q14">
        <v>900</v>
      </c>
      <c r="R14" t="s">
        <v>1157</v>
      </c>
      <c r="S14" t="str">
        <f>VLOOKUP(J14,Teams!A:B,2,FALSE)</f>
        <v>PAR</v>
      </c>
      <c r="T14" t="str">
        <f>VLOOKUP(M14,Teams!A:B,2,FALSE)</f>
        <v>BEL</v>
      </c>
    </row>
    <row r="15" spans="1:20" x14ac:dyDescent="0.25">
      <c r="A15" t="str">
        <f t="shared" si="0"/>
        <v>FIFAWC1930-14</v>
      </c>
      <c r="B15" s="4">
        <v>14</v>
      </c>
      <c r="C15" s="3">
        <v>11161</v>
      </c>
      <c r="D15" s="7">
        <v>4.1666666666666664E-2</v>
      </c>
      <c r="E15">
        <v>1930</v>
      </c>
      <c r="F15" t="s">
        <v>1719</v>
      </c>
      <c r="G15" t="s">
        <v>1741</v>
      </c>
      <c r="H15" t="s">
        <v>1122</v>
      </c>
      <c r="I15" t="s">
        <v>1133</v>
      </c>
      <c r="J15" t="s">
        <v>916</v>
      </c>
      <c r="K15">
        <v>4</v>
      </c>
      <c r="L15">
        <v>0</v>
      </c>
      <c r="M15" t="s">
        <v>539</v>
      </c>
      <c r="O15" t="s">
        <v>1703</v>
      </c>
      <c r="P15" t="s">
        <v>1704</v>
      </c>
      <c r="Q15">
        <v>80000</v>
      </c>
      <c r="R15" t="s">
        <v>1157</v>
      </c>
      <c r="S15" t="str">
        <f>VLOOKUP(J15,Teams!A:B,2,FALSE)</f>
        <v>URU</v>
      </c>
      <c r="T15" t="str">
        <f>VLOOKUP(M15,Teams!A:B,2,FALSE)</f>
        <v>ROU</v>
      </c>
    </row>
    <row r="16" spans="1:20" x14ac:dyDescent="0.25">
      <c r="A16" t="str">
        <f t="shared" si="0"/>
        <v>FIFAWC1930-15</v>
      </c>
      <c r="B16" s="4">
        <v>15</v>
      </c>
      <c r="C16" s="3">
        <v>11162</v>
      </c>
      <c r="D16" s="7">
        <v>0.94791666666666663</v>
      </c>
      <c r="E16">
        <v>1930</v>
      </c>
      <c r="F16" t="s">
        <v>1719</v>
      </c>
      <c r="G16" t="s">
        <v>1741</v>
      </c>
      <c r="H16" t="s">
        <v>1122</v>
      </c>
      <c r="I16" t="s">
        <v>1131</v>
      </c>
      <c r="J16" t="s">
        <v>749</v>
      </c>
      <c r="K16">
        <v>3</v>
      </c>
      <c r="L16">
        <v>1</v>
      </c>
      <c r="M16" t="s">
        <v>768</v>
      </c>
      <c r="O16" t="s">
        <v>1703</v>
      </c>
      <c r="P16" t="s">
        <v>1505</v>
      </c>
      <c r="Q16">
        <v>35000</v>
      </c>
      <c r="R16" t="s">
        <v>1157</v>
      </c>
      <c r="S16" t="str">
        <f>VLOOKUP(J16,Teams!A:B,2,FALSE)</f>
        <v>ARG</v>
      </c>
      <c r="T16" t="str">
        <f>VLOOKUP(M16,Teams!A:B,2,FALSE)</f>
        <v>CHI</v>
      </c>
    </row>
    <row r="17" spans="1:20" x14ac:dyDescent="0.25">
      <c r="A17" t="str">
        <f t="shared" si="0"/>
        <v>FIFAWC1930-16</v>
      </c>
      <c r="B17" s="4">
        <v>16</v>
      </c>
      <c r="C17" s="3">
        <v>11165</v>
      </c>
      <c r="D17" s="7">
        <v>0.94791666666666663</v>
      </c>
      <c r="E17">
        <v>1930</v>
      </c>
      <c r="F17" t="s">
        <v>1719</v>
      </c>
      <c r="G17" t="s">
        <v>1741</v>
      </c>
      <c r="H17" t="s">
        <v>1759</v>
      </c>
      <c r="I17" t="s">
        <v>1140</v>
      </c>
      <c r="J17" t="s">
        <v>749</v>
      </c>
      <c r="K17">
        <v>6</v>
      </c>
      <c r="L17">
        <v>1</v>
      </c>
      <c r="M17" t="s">
        <v>702</v>
      </c>
      <c r="O17" t="s">
        <v>1703</v>
      </c>
      <c r="P17" t="s">
        <v>1505</v>
      </c>
      <c r="Q17">
        <v>72886</v>
      </c>
      <c r="R17" t="s">
        <v>1157</v>
      </c>
      <c r="S17" t="str">
        <f>VLOOKUP(J17,Teams!A:B,2,FALSE)</f>
        <v>ARG</v>
      </c>
      <c r="T17" t="str">
        <f>VLOOKUP(M17,Teams!A:B,2,FALSE)</f>
        <v>USA</v>
      </c>
    </row>
    <row r="18" spans="1:20" x14ac:dyDescent="0.25">
      <c r="A18" t="str">
        <f t="shared" si="0"/>
        <v>FIFAWC1930-17</v>
      </c>
      <c r="B18" s="4">
        <v>17</v>
      </c>
      <c r="C18" s="3">
        <v>11166</v>
      </c>
      <c r="D18" s="7">
        <v>0.94791666666666663</v>
      </c>
      <c r="E18">
        <v>1930</v>
      </c>
      <c r="F18" t="s">
        <v>1719</v>
      </c>
      <c r="G18" t="s">
        <v>1741</v>
      </c>
      <c r="H18" t="s">
        <v>1759</v>
      </c>
      <c r="I18" t="s">
        <v>1140</v>
      </c>
      <c r="J18" t="s">
        <v>916</v>
      </c>
      <c r="K18">
        <v>6</v>
      </c>
      <c r="L18">
        <v>1</v>
      </c>
      <c r="M18" t="s">
        <v>1234</v>
      </c>
      <c r="O18" t="s">
        <v>1703</v>
      </c>
      <c r="P18" t="s">
        <v>1704</v>
      </c>
      <c r="Q18">
        <v>79867</v>
      </c>
      <c r="R18" t="s">
        <v>1157</v>
      </c>
      <c r="S18" t="str">
        <f>VLOOKUP(J18,Teams!A:B,2,FALSE)</f>
        <v>URU</v>
      </c>
      <c r="T18" t="str">
        <f>VLOOKUP(M18,Teams!A:B,2,FALSE)</f>
        <v>YUG</v>
      </c>
    </row>
    <row r="19" spans="1:20" x14ac:dyDescent="0.25">
      <c r="A19" t="str">
        <f t="shared" si="0"/>
        <v>FIFAWC1930-18</v>
      </c>
      <c r="B19" s="4">
        <v>18</v>
      </c>
      <c r="C19" s="3">
        <v>11169</v>
      </c>
      <c r="D19" s="7">
        <v>0.94791666666666663</v>
      </c>
      <c r="E19">
        <v>1930</v>
      </c>
      <c r="F19" t="s">
        <v>1719</v>
      </c>
      <c r="G19" t="s">
        <v>1741</v>
      </c>
      <c r="H19" t="s">
        <v>1759</v>
      </c>
      <c r="I19" t="s">
        <v>1141</v>
      </c>
      <c r="J19" t="s">
        <v>916</v>
      </c>
      <c r="K19">
        <v>4</v>
      </c>
      <c r="L19">
        <v>2</v>
      </c>
      <c r="M19" t="s">
        <v>749</v>
      </c>
      <c r="O19" t="s">
        <v>1703</v>
      </c>
      <c r="P19" t="s">
        <v>1505</v>
      </c>
      <c r="Q19">
        <v>93000</v>
      </c>
      <c r="R19" t="s">
        <v>1157</v>
      </c>
      <c r="S19" t="str">
        <f>VLOOKUP(J19,Teams!A:B,2,FALSE)</f>
        <v>URU</v>
      </c>
      <c r="T19" t="str">
        <f>VLOOKUP(M19,Teams!A:B,2,FALSE)</f>
        <v>ARG</v>
      </c>
    </row>
    <row r="20" spans="1:20" x14ac:dyDescent="0.25">
      <c r="A20" t="str">
        <f t="shared" si="0"/>
        <v>FIFAWC1934-1</v>
      </c>
      <c r="B20" s="4">
        <v>1</v>
      </c>
      <c r="C20" s="3">
        <v>12566</v>
      </c>
      <c r="D20" s="7">
        <v>0.89583333333333337</v>
      </c>
      <c r="E20">
        <v>1934</v>
      </c>
      <c r="F20" t="s">
        <v>1720</v>
      </c>
      <c r="G20" t="s">
        <v>1741</v>
      </c>
      <c r="H20" t="s">
        <v>1122</v>
      </c>
      <c r="I20" t="s">
        <v>1761</v>
      </c>
      <c r="J20" t="s">
        <v>1037</v>
      </c>
      <c r="K20">
        <v>2</v>
      </c>
      <c r="L20">
        <v>1</v>
      </c>
      <c r="M20" t="s">
        <v>539</v>
      </c>
      <c r="O20" t="s">
        <v>1701</v>
      </c>
      <c r="P20" t="s">
        <v>1505</v>
      </c>
      <c r="Q20">
        <v>8000</v>
      </c>
      <c r="R20" t="s">
        <v>1157</v>
      </c>
      <c r="S20" t="str">
        <f>VLOOKUP(J20,Teams!A:B,2,FALSE)</f>
        <v>TCH</v>
      </c>
      <c r="T20" t="str">
        <f>VLOOKUP(M20,Teams!A:B,2,FALSE)</f>
        <v>ROU</v>
      </c>
    </row>
    <row r="21" spans="1:20" x14ac:dyDescent="0.25">
      <c r="A21" t="str">
        <f t="shared" si="0"/>
        <v>FIFAWC1934-2</v>
      </c>
      <c r="B21" s="4">
        <v>2</v>
      </c>
      <c r="C21" s="3">
        <v>12566</v>
      </c>
      <c r="D21" s="7">
        <v>0.89583333333333337</v>
      </c>
      <c r="E21">
        <v>1934</v>
      </c>
      <c r="F21" t="s">
        <v>1720</v>
      </c>
      <c r="G21" t="s">
        <v>1741</v>
      </c>
      <c r="H21" t="s">
        <v>1122</v>
      </c>
      <c r="I21" t="s">
        <v>1761</v>
      </c>
      <c r="J21" t="s">
        <v>751</v>
      </c>
      <c r="K21">
        <v>3</v>
      </c>
      <c r="L21">
        <v>2</v>
      </c>
      <c r="M21" t="s">
        <v>224</v>
      </c>
      <c r="O21" t="s">
        <v>1521</v>
      </c>
      <c r="P21" t="s">
        <v>1699</v>
      </c>
      <c r="Q21">
        <v>20000</v>
      </c>
      <c r="R21" t="s">
        <v>1157</v>
      </c>
      <c r="S21" t="str">
        <f>VLOOKUP(J21,Teams!A:B,2,FALSE)</f>
        <v>AUT</v>
      </c>
      <c r="T21" t="str">
        <f>VLOOKUP(M21,Teams!A:B,2,FALSE)</f>
        <v>FRA</v>
      </c>
    </row>
    <row r="22" spans="1:20" x14ac:dyDescent="0.25">
      <c r="A22" t="str">
        <f t="shared" si="0"/>
        <v>FIFAWC1934-3</v>
      </c>
      <c r="B22" s="4">
        <v>3</v>
      </c>
      <c r="C22" s="3">
        <v>12566</v>
      </c>
      <c r="D22" s="7">
        <v>0.89583333333333337</v>
      </c>
      <c r="E22">
        <v>1934</v>
      </c>
      <c r="F22" t="s">
        <v>1720</v>
      </c>
      <c r="G22" t="s">
        <v>1741</v>
      </c>
      <c r="H22" t="s">
        <v>1122</v>
      </c>
      <c r="I22" t="s">
        <v>1761</v>
      </c>
      <c r="J22" t="s">
        <v>901</v>
      </c>
      <c r="K22">
        <v>3</v>
      </c>
      <c r="L22">
        <v>2</v>
      </c>
      <c r="M22" t="s">
        <v>33</v>
      </c>
      <c r="O22" t="s">
        <v>1230</v>
      </c>
      <c r="P22" t="s">
        <v>1494</v>
      </c>
      <c r="Q22">
        <v>40000</v>
      </c>
      <c r="R22" t="s">
        <v>1157</v>
      </c>
      <c r="S22" t="str">
        <f>VLOOKUP(J22,Teams!A:B,2,FALSE)</f>
        <v>SUI</v>
      </c>
      <c r="T22" t="str">
        <f>VLOOKUP(M22,Teams!A:B,2,FALSE)</f>
        <v>NED</v>
      </c>
    </row>
    <row r="23" spans="1:20" x14ac:dyDescent="0.25">
      <c r="A23" t="str">
        <f t="shared" si="0"/>
        <v>FIFAWC1934-4</v>
      </c>
      <c r="B23" s="4">
        <v>4</v>
      </c>
      <c r="C23" s="3">
        <v>12566</v>
      </c>
      <c r="D23" s="7">
        <v>0.89583333333333337</v>
      </c>
      <c r="E23">
        <v>1934</v>
      </c>
      <c r="F23" t="s">
        <v>1720</v>
      </c>
      <c r="G23" t="s">
        <v>1741</v>
      </c>
      <c r="H23" t="s">
        <v>1122</v>
      </c>
      <c r="I23" t="s">
        <v>1761</v>
      </c>
      <c r="J23" t="s">
        <v>797</v>
      </c>
      <c r="K23">
        <v>5</v>
      </c>
      <c r="L23">
        <v>2</v>
      </c>
      <c r="M23" t="s">
        <v>756</v>
      </c>
      <c r="O23" t="s">
        <v>1232</v>
      </c>
      <c r="P23" t="s">
        <v>1524</v>
      </c>
      <c r="Q23">
        <v>8000</v>
      </c>
      <c r="R23" t="s">
        <v>1157</v>
      </c>
      <c r="S23" t="str">
        <f>VLOOKUP(J23,Teams!A:B,2,FALSE)</f>
        <v>GER</v>
      </c>
      <c r="T23" t="str">
        <f>VLOOKUP(M23,Teams!A:B,2,FALSE)</f>
        <v>BEL</v>
      </c>
    </row>
    <row r="24" spans="1:20" x14ac:dyDescent="0.25">
      <c r="A24" t="str">
        <f t="shared" si="0"/>
        <v>FIFAWC1934-5</v>
      </c>
      <c r="B24" s="4">
        <v>5</v>
      </c>
      <c r="C24" s="3">
        <v>12566</v>
      </c>
      <c r="D24" s="7">
        <v>0.89583333333333337</v>
      </c>
      <c r="E24">
        <v>1934</v>
      </c>
      <c r="F24" t="s">
        <v>1720</v>
      </c>
      <c r="G24" t="s">
        <v>1741</v>
      </c>
      <c r="H24" t="s">
        <v>1122</v>
      </c>
      <c r="I24" t="s">
        <v>1761</v>
      </c>
      <c r="J24" t="s">
        <v>900</v>
      </c>
      <c r="K24">
        <v>3</v>
      </c>
      <c r="L24">
        <v>2</v>
      </c>
      <c r="M24" t="s">
        <v>749</v>
      </c>
      <c r="O24" t="s">
        <v>1235</v>
      </c>
      <c r="P24" t="s">
        <v>1700</v>
      </c>
      <c r="Q24">
        <v>15000</v>
      </c>
      <c r="R24" t="s">
        <v>1157</v>
      </c>
      <c r="S24" t="str">
        <f>VLOOKUP(J24,Teams!A:B,2,FALSE)</f>
        <v>SWE</v>
      </c>
      <c r="T24" t="str">
        <f>VLOOKUP(M24,Teams!A:B,2,FALSE)</f>
        <v>ARG</v>
      </c>
    </row>
    <row r="25" spans="1:20" x14ac:dyDescent="0.25">
      <c r="A25" t="str">
        <f t="shared" si="0"/>
        <v>FIFAWC1934-6</v>
      </c>
      <c r="B25" s="4">
        <v>6</v>
      </c>
      <c r="C25" s="3">
        <v>12566</v>
      </c>
      <c r="D25" s="7">
        <v>0.89583333333333337</v>
      </c>
      <c r="E25">
        <v>1934</v>
      </c>
      <c r="F25" t="s">
        <v>1720</v>
      </c>
      <c r="G25" t="s">
        <v>1741</v>
      </c>
      <c r="H25" t="s">
        <v>1122</v>
      </c>
      <c r="I25" t="s">
        <v>1761</v>
      </c>
      <c r="J25" t="s">
        <v>895</v>
      </c>
      <c r="K25">
        <v>3</v>
      </c>
      <c r="L25">
        <v>1</v>
      </c>
      <c r="M25" t="s">
        <v>760</v>
      </c>
      <c r="O25" t="s">
        <v>1171</v>
      </c>
      <c r="P25" t="s">
        <v>1702</v>
      </c>
      <c r="Q25">
        <v>21000</v>
      </c>
      <c r="R25" t="s">
        <v>1157</v>
      </c>
      <c r="S25" t="str">
        <f>VLOOKUP(J25,Teams!A:B,2,FALSE)</f>
        <v>ESP</v>
      </c>
      <c r="T25" t="str">
        <f>VLOOKUP(M25,Teams!A:B,2,FALSE)</f>
        <v>BRA</v>
      </c>
    </row>
    <row r="26" spans="1:20" x14ac:dyDescent="0.25">
      <c r="A26" t="str">
        <f t="shared" si="0"/>
        <v>FIFAWC1934-7</v>
      </c>
      <c r="B26" s="4">
        <v>7</v>
      </c>
      <c r="C26" s="3">
        <v>12566</v>
      </c>
      <c r="D26" s="7">
        <v>0.89583333333333337</v>
      </c>
      <c r="E26">
        <v>1934</v>
      </c>
      <c r="F26" t="s">
        <v>1720</v>
      </c>
      <c r="G26" t="s">
        <v>1741</v>
      </c>
      <c r="H26" t="s">
        <v>1122</v>
      </c>
      <c r="I26" t="s">
        <v>1761</v>
      </c>
      <c r="J26" t="s">
        <v>297</v>
      </c>
      <c r="K26">
        <v>4</v>
      </c>
      <c r="L26">
        <v>2</v>
      </c>
      <c r="M26" t="s">
        <v>783</v>
      </c>
      <c r="O26" t="s">
        <v>1517</v>
      </c>
      <c r="P26" t="s">
        <v>1519</v>
      </c>
      <c r="Q26">
        <v>12000</v>
      </c>
      <c r="R26" t="s">
        <v>1157</v>
      </c>
      <c r="S26" t="str">
        <f>VLOOKUP(J26,Teams!A:B,2,FALSE)</f>
        <v>HUN</v>
      </c>
      <c r="T26" t="str">
        <f>VLOOKUP(M26,Teams!A:B,2,FALSE)</f>
        <v>EGY</v>
      </c>
    </row>
    <row r="27" spans="1:20" x14ac:dyDescent="0.25">
      <c r="A27" t="str">
        <f t="shared" si="0"/>
        <v>FIFAWC1934-8</v>
      </c>
      <c r="B27" s="4">
        <v>8</v>
      </c>
      <c r="C27" s="3">
        <v>12566</v>
      </c>
      <c r="D27" s="7">
        <v>0.89583333333333337</v>
      </c>
      <c r="E27">
        <v>1934</v>
      </c>
      <c r="F27" t="s">
        <v>1720</v>
      </c>
      <c r="G27" t="s">
        <v>1741</v>
      </c>
      <c r="H27" t="s">
        <v>1122</v>
      </c>
      <c r="I27" t="s">
        <v>1761</v>
      </c>
      <c r="J27" t="s">
        <v>817</v>
      </c>
      <c r="K27">
        <v>7</v>
      </c>
      <c r="L27">
        <v>1</v>
      </c>
      <c r="M27" t="s">
        <v>702</v>
      </c>
      <c r="O27" t="s">
        <v>1516</v>
      </c>
      <c r="P27" t="s">
        <v>1520</v>
      </c>
      <c r="Q27">
        <v>13000</v>
      </c>
      <c r="R27" t="s">
        <v>1157</v>
      </c>
      <c r="S27" t="str">
        <f>VLOOKUP(J27,Teams!A:B,2,FALSE)</f>
        <v>ITA</v>
      </c>
      <c r="T27" t="str">
        <f>VLOOKUP(M27,Teams!A:B,2,FALSE)</f>
        <v>USA</v>
      </c>
    </row>
    <row r="28" spans="1:20" x14ac:dyDescent="0.25">
      <c r="A28" t="str">
        <f t="shared" si="0"/>
        <v>FIFAWC1934-9</v>
      </c>
      <c r="B28" s="4">
        <v>9</v>
      </c>
      <c r="C28" s="3">
        <v>12570</v>
      </c>
      <c r="D28" s="7">
        <v>0.89583333333333337</v>
      </c>
      <c r="E28">
        <v>1934</v>
      </c>
      <c r="F28" t="s">
        <v>1720</v>
      </c>
      <c r="G28" t="s">
        <v>1741</v>
      </c>
      <c r="H28" t="s">
        <v>1759</v>
      </c>
      <c r="I28" t="s">
        <v>1139</v>
      </c>
      <c r="J28" t="s">
        <v>751</v>
      </c>
      <c r="K28">
        <v>2</v>
      </c>
      <c r="L28">
        <v>1</v>
      </c>
      <c r="M28" t="s">
        <v>297</v>
      </c>
      <c r="O28" t="s">
        <v>1235</v>
      </c>
      <c r="P28" t="s">
        <v>1524</v>
      </c>
      <c r="Q28">
        <v>25000</v>
      </c>
      <c r="R28" t="s">
        <v>1157</v>
      </c>
      <c r="S28" t="str">
        <f>VLOOKUP(J28,Teams!A:B,2,FALSE)</f>
        <v>AUT</v>
      </c>
      <c r="T28" t="str">
        <f>VLOOKUP(M28,Teams!A:B,2,FALSE)</f>
        <v>HUN</v>
      </c>
    </row>
    <row r="29" spans="1:20" x14ac:dyDescent="0.25">
      <c r="A29" t="str">
        <f t="shared" si="0"/>
        <v>FIFAWC1934-10</v>
      </c>
      <c r="B29" s="4">
        <v>10</v>
      </c>
      <c r="C29" s="3">
        <v>12570</v>
      </c>
      <c r="D29" s="7">
        <v>0.89583333333333337</v>
      </c>
      <c r="E29">
        <v>1934</v>
      </c>
      <c r="F29" t="s">
        <v>1720</v>
      </c>
      <c r="G29" t="s">
        <v>1741</v>
      </c>
      <c r="H29" t="s">
        <v>1759</v>
      </c>
      <c r="I29" t="s">
        <v>1139</v>
      </c>
      <c r="J29" t="s">
        <v>895</v>
      </c>
      <c r="K29">
        <v>1</v>
      </c>
      <c r="L29">
        <v>1</v>
      </c>
      <c r="M29" t="s">
        <v>817</v>
      </c>
      <c r="O29" t="s">
        <v>1232</v>
      </c>
      <c r="P29" t="s">
        <v>1523</v>
      </c>
      <c r="Q29">
        <v>35000</v>
      </c>
      <c r="R29" t="s">
        <v>1157</v>
      </c>
      <c r="S29" t="str">
        <f>VLOOKUP(J29,Teams!A:B,2,FALSE)</f>
        <v>ESP</v>
      </c>
      <c r="T29" t="str">
        <f>VLOOKUP(M29,Teams!A:B,2,FALSE)</f>
        <v>ITA</v>
      </c>
    </row>
    <row r="30" spans="1:20" x14ac:dyDescent="0.25">
      <c r="A30" t="str">
        <f t="shared" si="0"/>
        <v>FIFAWC1934-11</v>
      </c>
      <c r="B30" s="4">
        <v>11</v>
      </c>
      <c r="C30" s="3">
        <v>12570</v>
      </c>
      <c r="D30" s="7">
        <v>0.89583333333333337</v>
      </c>
      <c r="E30">
        <v>1934</v>
      </c>
      <c r="F30" t="s">
        <v>1720</v>
      </c>
      <c r="G30" t="s">
        <v>1741</v>
      </c>
      <c r="H30" t="s">
        <v>1759</v>
      </c>
      <c r="I30" t="s">
        <v>1139</v>
      </c>
      <c r="J30" t="s">
        <v>797</v>
      </c>
      <c r="K30">
        <v>2</v>
      </c>
      <c r="L30">
        <v>1</v>
      </c>
      <c r="M30" t="s">
        <v>900</v>
      </c>
      <c r="O30" t="s">
        <v>1230</v>
      </c>
      <c r="P30" t="s">
        <v>1519</v>
      </c>
      <c r="Q30">
        <v>15000</v>
      </c>
      <c r="R30" t="s">
        <v>1157</v>
      </c>
      <c r="S30" t="str">
        <f>VLOOKUP(J30,Teams!A:B,2,FALSE)</f>
        <v>GER</v>
      </c>
      <c r="T30" t="str">
        <f>VLOOKUP(M30,Teams!A:B,2,FALSE)</f>
        <v>SWE</v>
      </c>
    </row>
    <row r="31" spans="1:20" x14ac:dyDescent="0.25">
      <c r="A31" t="str">
        <f t="shared" si="0"/>
        <v>FIFAWC1934-12</v>
      </c>
      <c r="B31" s="4">
        <v>12</v>
      </c>
      <c r="C31" s="3">
        <v>12570</v>
      </c>
      <c r="D31" s="7">
        <v>0.89583333333333337</v>
      </c>
      <c r="E31">
        <v>1934</v>
      </c>
      <c r="F31" t="s">
        <v>1720</v>
      </c>
      <c r="G31" t="s">
        <v>1741</v>
      </c>
      <c r="H31" t="s">
        <v>1759</v>
      </c>
      <c r="I31" t="s">
        <v>1139</v>
      </c>
      <c r="J31" t="s">
        <v>1037</v>
      </c>
      <c r="K31">
        <v>3</v>
      </c>
      <c r="L31">
        <v>2</v>
      </c>
      <c r="M31" t="s">
        <v>901</v>
      </c>
      <c r="O31" t="s">
        <v>1521</v>
      </c>
      <c r="P31" t="s">
        <v>1522</v>
      </c>
      <c r="Q31">
        <v>12000</v>
      </c>
      <c r="R31" t="s">
        <v>1157</v>
      </c>
      <c r="S31" t="str">
        <f>VLOOKUP(J31,Teams!A:B,2,FALSE)</f>
        <v>TCH</v>
      </c>
      <c r="T31" t="str">
        <f>VLOOKUP(M31,Teams!A:B,2,FALSE)</f>
        <v>SUI</v>
      </c>
    </row>
    <row r="32" spans="1:20" x14ac:dyDescent="0.25">
      <c r="A32" t="str">
        <f t="shared" si="0"/>
        <v>FIFAWC1934-13</v>
      </c>
      <c r="B32" s="4">
        <v>13</v>
      </c>
      <c r="C32" s="3">
        <v>12571</v>
      </c>
      <c r="D32" s="7">
        <v>0.89583333333333337</v>
      </c>
      <c r="E32">
        <v>1934</v>
      </c>
      <c r="F32" t="s">
        <v>1720</v>
      </c>
      <c r="G32" t="s">
        <v>1741</v>
      </c>
      <c r="H32" t="s">
        <v>1759</v>
      </c>
      <c r="I32" t="s">
        <v>1139</v>
      </c>
      <c r="J32" t="s">
        <v>817</v>
      </c>
      <c r="K32">
        <v>1</v>
      </c>
      <c r="L32">
        <v>0</v>
      </c>
      <c r="M32" t="s">
        <v>895</v>
      </c>
      <c r="O32" t="s">
        <v>1232</v>
      </c>
      <c r="P32" t="s">
        <v>1520</v>
      </c>
      <c r="Q32">
        <v>45000</v>
      </c>
      <c r="R32" t="s">
        <v>1157</v>
      </c>
      <c r="S32" t="str">
        <f>VLOOKUP(J32,Teams!A:B,2,FALSE)</f>
        <v>ITA</v>
      </c>
      <c r="T32" t="str">
        <f>VLOOKUP(M32,Teams!A:B,2,FALSE)</f>
        <v>ESP</v>
      </c>
    </row>
    <row r="33" spans="1:20" x14ac:dyDescent="0.25">
      <c r="A33" t="str">
        <f t="shared" si="0"/>
        <v>FIFAWC1934-14</v>
      </c>
      <c r="B33" s="4">
        <v>14</v>
      </c>
      <c r="C33" s="3">
        <v>12573</v>
      </c>
      <c r="D33" s="7">
        <v>0.89583333333333337</v>
      </c>
      <c r="E33">
        <v>1934</v>
      </c>
      <c r="F33" t="s">
        <v>1720</v>
      </c>
      <c r="G33" t="s">
        <v>1741</v>
      </c>
      <c r="H33" t="s">
        <v>1759</v>
      </c>
      <c r="I33" t="s">
        <v>1140</v>
      </c>
      <c r="J33" t="s">
        <v>817</v>
      </c>
      <c r="K33">
        <v>1</v>
      </c>
      <c r="L33">
        <v>0</v>
      </c>
      <c r="M33" t="s">
        <v>751</v>
      </c>
      <c r="O33" t="s">
        <v>1230</v>
      </c>
      <c r="P33" t="s">
        <v>1494</v>
      </c>
      <c r="Q33">
        <v>60000</v>
      </c>
      <c r="R33" t="s">
        <v>1157</v>
      </c>
      <c r="S33" t="str">
        <f>VLOOKUP(J33,Teams!A:B,2,FALSE)</f>
        <v>ITA</v>
      </c>
      <c r="T33" t="str">
        <f>VLOOKUP(M33,Teams!A:B,2,FALSE)</f>
        <v>AUT</v>
      </c>
    </row>
    <row r="34" spans="1:20" x14ac:dyDescent="0.25">
      <c r="A34" t="str">
        <f t="shared" si="0"/>
        <v>FIFAWC1934-15</v>
      </c>
      <c r="B34" s="4">
        <v>15</v>
      </c>
      <c r="C34" s="3">
        <v>12573</v>
      </c>
      <c r="D34" s="7">
        <v>0.89583333333333337</v>
      </c>
      <c r="E34">
        <v>1934</v>
      </c>
      <c r="F34" t="s">
        <v>1720</v>
      </c>
      <c r="G34" t="s">
        <v>1741</v>
      </c>
      <c r="H34" t="s">
        <v>1759</v>
      </c>
      <c r="I34" t="s">
        <v>1140</v>
      </c>
      <c r="J34" t="s">
        <v>1037</v>
      </c>
      <c r="K34">
        <v>3</v>
      </c>
      <c r="L34">
        <v>1</v>
      </c>
      <c r="M34" t="s">
        <v>797</v>
      </c>
      <c r="O34" t="s">
        <v>1516</v>
      </c>
      <c r="P34" t="s">
        <v>1519</v>
      </c>
      <c r="Q34">
        <v>10000</v>
      </c>
      <c r="R34" t="s">
        <v>1157</v>
      </c>
      <c r="S34" t="str">
        <f>VLOOKUP(J34,Teams!A:B,2,FALSE)</f>
        <v>TCH</v>
      </c>
      <c r="T34" t="str">
        <f>VLOOKUP(M34,Teams!A:B,2,FALSE)</f>
        <v>GER</v>
      </c>
    </row>
    <row r="35" spans="1:20" x14ac:dyDescent="0.25">
      <c r="A35" t="str">
        <f t="shared" si="0"/>
        <v>FIFAWC1934-16</v>
      </c>
      <c r="B35" s="4">
        <v>16</v>
      </c>
      <c r="C35" s="3">
        <v>12577</v>
      </c>
      <c r="D35" s="7">
        <v>0.89583333333333337</v>
      </c>
      <c r="E35">
        <v>1934</v>
      </c>
      <c r="F35" t="s">
        <v>1720</v>
      </c>
      <c r="G35" t="s">
        <v>1741</v>
      </c>
      <c r="H35" t="s">
        <v>1759</v>
      </c>
      <c r="I35" t="s">
        <v>1018</v>
      </c>
      <c r="J35" t="s">
        <v>797</v>
      </c>
      <c r="K35">
        <v>3</v>
      </c>
      <c r="L35">
        <v>2</v>
      </c>
      <c r="M35" t="s">
        <v>751</v>
      </c>
      <c r="O35" t="s">
        <v>1517</v>
      </c>
      <c r="P35" t="s">
        <v>1518</v>
      </c>
      <c r="Q35">
        <v>8000</v>
      </c>
      <c r="R35" t="s">
        <v>1157</v>
      </c>
      <c r="S35" t="str">
        <f>VLOOKUP(J35,Teams!A:B,2,FALSE)</f>
        <v>GER</v>
      </c>
      <c r="T35" t="str">
        <f>VLOOKUP(M35,Teams!A:B,2,FALSE)</f>
        <v>AUT</v>
      </c>
    </row>
    <row r="36" spans="1:20" x14ac:dyDescent="0.25">
      <c r="A36" t="str">
        <f t="shared" si="0"/>
        <v>FIFAWC1934-17</v>
      </c>
      <c r="B36" s="4">
        <v>17</v>
      </c>
      <c r="C36" s="3">
        <v>12580</v>
      </c>
      <c r="D36" s="7">
        <v>0.89583333333333337</v>
      </c>
      <c r="E36">
        <v>1934</v>
      </c>
      <c r="F36" t="s">
        <v>1720</v>
      </c>
      <c r="G36" t="s">
        <v>1741</v>
      </c>
      <c r="H36" t="s">
        <v>1759</v>
      </c>
      <c r="I36" t="s">
        <v>1141</v>
      </c>
      <c r="J36" t="s">
        <v>817</v>
      </c>
      <c r="K36">
        <v>2</v>
      </c>
      <c r="L36">
        <v>1</v>
      </c>
      <c r="M36" t="s">
        <v>1037</v>
      </c>
      <c r="O36" t="s">
        <v>1516</v>
      </c>
      <c r="P36" t="s">
        <v>1494</v>
      </c>
      <c r="Q36">
        <v>45000</v>
      </c>
      <c r="R36" t="s">
        <v>1157</v>
      </c>
      <c r="S36" t="str">
        <f>VLOOKUP(J36,Teams!A:B,2,FALSE)</f>
        <v>ITA</v>
      </c>
      <c r="T36" t="str">
        <f>VLOOKUP(M36,Teams!A:B,2,FALSE)</f>
        <v>TCH</v>
      </c>
    </row>
    <row r="37" spans="1:20" x14ac:dyDescent="0.25">
      <c r="A37" t="str">
        <f t="shared" si="0"/>
        <v>FIFAWC1938-1</v>
      </c>
      <c r="B37" s="4">
        <v>1</v>
      </c>
      <c r="C37" s="3">
        <v>14035</v>
      </c>
      <c r="D37" s="7">
        <v>0.91666666666666663</v>
      </c>
      <c r="E37">
        <v>1938</v>
      </c>
      <c r="F37" t="s">
        <v>1721</v>
      </c>
      <c r="G37" t="s">
        <v>1741</v>
      </c>
      <c r="H37" t="s">
        <v>1760</v>
      </c>
      <c r="I37" t="s">
        <v>1760</v>
      </c>
      <c r="J37" t="s">
        <v>901</v>
      </c>
      <c r="K37">
        <v>1</v>
      </c>
      <c r="L37">
        <v>1</v>
      </c>
      <c r="M37" t="s">
        <v>797</v>
      </c>
      <c r="O37" t="s">
        <v>1165</v>
      </c>
      <c r="Q37">
        <v>27152</v>
      </c>
      <c r="R37" t="s">
        <v>1157</v>
      </c>
      <c r="S37" t="str">
        <f>VLOOKUP(J37,Teams!A:B,2,FALSE)</f>
        <v>SUI</v>
      </c>
      <c r="T37" t="str">
        <f>VLOOKUP(M37,Teams!A:B,2,FALSE)</f>
        <v>GER</v>
      </c>
    </row>
    <row r="38" spans="1:20" x14ac:dyDescent="0.25">
      <c r="A38" t="str">
        <f t="shared" si="0"/>
        <v>FIFAWC1938-2</v>
      </c>
      <c r="B38" s="4">
        <v>2</v>
      </c>
      <c r="C38" s="3">
        <v>14040</v>
      </c>
      <c r="D38" s="7">
        <v>0.91666666666666663</v>
      </c>
      <c r="E38">
        <v>1938</v>
      </c>
      <c r="F38" t="s">
        <v>1721</v>
      </c>
      <c r="G38" t="s">
        <v>1741</v>
      </c>
      <c r="H38" t="s">
        <v>1760</v>
      </c>
      <c r="I38" t="s">
        <v>1760</v>
      </c>
      <c r="J38" t="s">
        <v>776</v>
      </c>
      <c r="K38">
        <v>2</v>
      </c>
      <c r="L38">
        <v>1</v>
      </c>
      <c r="M38" t="s">
        <v>539</v>
      </c>
      <c r="O38" t="s">
        <v>1511</v>
      </c>
      <c r="Q38">
        <v>8000</v>
      </c>
      <c r="R38" t="s">
        <v>1157</v>
      </c>
      <c r="S38" t="str">
        <f>VLOOKUP(J38,Teams!A:B,2,FALSE)</f>
        <v>CUB</v>
      </c>
      <c r="T38" t="str">
        <f>VLOOKUP(M38,Teams!A:B,2,FALSE)</f>
        <v>ROU</v>
      </c>
    </row>
    <row r="39" spans="1:20" x14ac:dyDescent="0.25">
      <c r="A39" t="str">
        <f t="shared" si="0"/>
        <v>FIFAWC1938-3</v>
      </c>
      <c r="B39" s="4">
        <v>3</v>
      </c>
      <c r="C39" s="3">
        <v>14036</v>
      </c>
      <c r="D39" s="7">
        <v>0.91666666666666663</v>
      </c>
      <c r="E39">
        <v>1938</v>
      </c>
      <c r="F39" t="s">
        <v>1721</v>
      </c>
      <c r="G39" t="s">
        <v>1741</v>
      </c>
      <c r="H39" t="s">
        <v>1760</v>
      </c>
      <c r="I39" t="s">
        <v>1760</v>
      </c>
      <c r="J39" t="s">
        <v>224</v>
      </c>
      <c r="K39">
        <v>3</v>
      </c>
      <c r="L39">
        <v>1</v>
      </c>
      <c r="M39" t="s">
        <v>756</v>
      </c>
      <c r="O39" t="s">
        <v>1503</v>
      </c>
      <c r="Q39">
        <v>30454</v>
      </c>
      <c r="R39" t="s">
        <v>1157</v>
      </c>
      <c r="S39" t="str">
        <f>VLOOKUP(J39,Teams!A:B,2,FALSE)</f>
        <v>FRA</v>
      </c>
      <c r="T39" t="str">
        <f>VLOOKUP(M39,Teams!A:B,2,FALSE)</f>
        <v>BEL</v>
      </c>
    </row>
    <row r="40" spans="1:20" x14ac:dyDescent="0.25">
      <c r="A40" t="str">
        <f t="shared" si="0"/>
        <v>FIFAWC1938-4</v>
      </c>
      <c r="B40" s="4">
        <v>4</v>
      </c>
      <c r="C40" s="3">
        <v>14036</v>
      </c>
      <c r="D40" s="7">
        <v>0.91666666666666663</v>
      </c>
      <c r="E40">
        <v>1938</v>
      </c>
      <c r="F40" t="s">
        <v>1721</v>
      </c>
      <c r="G40" t="s">
        <v>1741</v>
      </c>
      <c r="H40" t="s">
        <v>1760</v>
      </c>
      <c r="I40" t="s">
        <v>1760</v>
      </c>
      <c r="J40" t="s">
        <v>817</v>
      </c>
      <c r="K40">
        <v>2</v>
      </c>
      <c r="L40">
        <v>1</v>
      </c>
      <c r="M40" t="s">
        <v>84</v>
      </c>
      <c r="O40" t="s">
        <v>1167</v>
      </c>
      <c r="Q40">
        <v>19000</v>
      </c>
      <c r="R40" t="s">
        <v>1157</v>
      </c>
      <c r="S40" t="str">
        <f>VLOOKUP(J40,Teams!A:B,2,FALSE)</f>
        <v>ITA</v>
      </c>
      <c r="T40" t="str">
        <f>VLOOKUP(M40,Teams!A:B,2,FALSE)</f>
        <v>NOR</v>
      </c>
    </row>
    <row r="41" spans="1:20" x14ac:dyDescent="0.25">
      <c r="A41" t="str">
        <f t="shared" si="0"/>
        <v>FIFAWC1938-5</v>
      </c>
      <c r="B41" s="4">
        <v>5</v>
      </c>
      <c r="C41" s="3">
        <v>14036</v>
      </c>
      <c r="D41" s="7">
        <v>0.91666666666666663</v>
      </c>
      <c r="E41">
        <v>1938</v>
      </c>
      <c r="F41" t="s">
        <v>1721</v>
      </c>
      <c r="G41" t="s">
        <v>1741</v>
      </c>
      <c r="H41" t="s">
        <v>1760</v>
      </c>
      <c r="I41" t="s">
        <v>1760</v>
      </c>
      <c r="J41" t="s">
        <v>297</v>
      </c>
      <c r="K41">
        <v>6</v>
      </c>
      <c r="L41">
        <v>0</v>
      </c>
      <c r="M41" t="s">
        <v>1076</v>
      </c>
      <c r="O41" t="s">
        <v>1515</v>
      </c>
      <c r="Q41">
        <v>9000</v>
      </c>
      <c r="R41" t="s">
        <v>1157</v>
      </c>
      <c r="S41" t="str">
        <f>VLOOKUP(J41,Teams!A:B,2,FALSE)</f>
        <v>HUN</v>
      </c>
      <c r="T41" t="str">
        <f>VLOOKUP(M41,Teams!A:B,2,FALSE)</f>
        <v>INH</v>
      </c>
    </row>
    <row r="42" spans="1:20" x14ac:dyDescent="0.25">
      <c r="A42" t="str">
        <f t="shared" si="0"/>
        <v>FIFAWC1938-6</v>
      </c>
      <c r="B42" s="4">
        <v>6</v>
      </c>
      <c r="C42" s="3">
        <v>14036</v>
      </c>
      <c r="D42" s="7">
        <v>0.91666666666666663</v>
      </c>
      <c r="E42">
        <v>1938</v>
      </c>
      <c r="F42" t="s">
        <v>1721</v>
      </c>
      <c r="G42" t="s">
        <v>1741</v>
      </c>
      <c r="H42" t="s">
        <v>1760</v>
      </c>
      <c r="I42" t="s">
        <v>1760</v>
      </c>
      <c r="J42" t="s">
        <v>760</v>
      </c>
      <c r="K42">
        <v>6</v>
      </c>
      <c r="L42">
        <v>5</v>
      </c>
      <c r="M42" t="s">
        <v>870</v>
      </c>
      <c r="O42" t="s">
        <v>1513</v>
      </c>
      <c r="P42" t="s">
        <v>1514</v>
      </c>
      <c r="Q42">
        <v>13452</v>
      </c>
      <c r="R42" t="s">
        <v>1157</v>
      </c>
      <c r="S42" t="str">
        <f>VLOOKUP(J42,Teams!A:B,2,FALSE)</f>
        <v>BRA</v>
      </c>
      <c r="T42" t="str">
        <f>VLOOKUP(M42,Teams!A:B,2,FALSE)</f>
        <v>POL</v>
      </c>
    </row>
    <row r="43" spans="1:20" x14ac:dyDescent="0.25">
      <c r="A43" t="str">
        <f t="shared" si="0"/>
        <v>FIFAWC1938-7</v>
      </c>
      <c r="B43" s="4">
        <v>7</v>
      </c>
      <c r="C43" s="3">
        <v>14036</v>
      </c>
      <c r="D43" s="7">
        <v>0.91666666666666663</v>
      </c>
      <c r="E43">
        <v>1938</v>
      </c>
      <c r="F43" t="s">
        <v>1721</v>
      </c>
      <c r="G43" t="s">
        <v>1741</v>
      </c>
      <c r="H43" t="s">
        <v>1760</v>
      </c>
      <c r="I43" t="s">
        <v>1760</v>
      </c>
      <c r="J43" t="s">
        <v>1037</v>
      </c>
      <c r="K43">
        <v>3</v>
      </c>
      <c r="L43">
        <v>0</v>
      </c>
      <c r="M43" t="s">
        <v>33</v>
      </c>
      <c r="O43" t="s">
        <v>1512</v>
      </c>
      <c r="Q43">
        <v>11000</v>
      </c>
      <c r="R43" t="s">
        <v>1157</v>
      </c>
      <c r="S43" t="str">
        <f>VLOOKUP(J43,Teams!A:B,2,FALSE)</f>
        <v>TCH</v>
      </c>
      <c r="T43" t="str">
        <f>VLOOKUP(M43,Teams!A:B,2,FALSE)</f>
        <v>NED</v>
      </c>
    </row>
    <row r="44" spans="1:20" x14ac:dyDescent="0.25">
      <c r="A44" t="str">
        <f t="shared" si="0"/>
        <v>FIFAWC1938-8</v>
      </c>
      <c r="B44" s="4">
        <v>8</v>
      </c>
      <c r="C44" s="3">
        <v>14040</v>
      </c>
      <c r="D44" s="7">
        <v>0.91666666666666663</v>
      </c>
      <c r="E44">
        <v>1938</v>
      </c>
      <c r="F44" t="s">
        <v>1721</v>
      </c>
      <c r="G44" t="s">
        <v>1741</v>
      </c>
      <c r="H44" t="s">
        <v>1760</v>
      </c>
      <c r="I44" t="s">
        <v>1760</v>
      </c>
      <c r="J44" t="s">
        <v>776</v>
      </c>
      <c r="K44">
        <v>3</v>
      </c>
      <c r="L44">
        <v>3</v>
      </c>
      <c r="M44" t="s">
        <v>539</v>
      </c>
      <c r="O44" t="s">
        <v>1511</v>
      </c>
      <c r="Q44">
        <v>7000</v>
      </c>
      <c r="R44" t="s">
        <v>1157</v>
      </c>
      <c r="S44" t="str">
        <f>VLOOKUP(J44,Teams!A:B,2,FALSE)</f>
        <v>CUB</v>
      </c>
      <c r="T44" t="str">
        <f>VLOOKUP(M44,Teams!A:B,2,FALSE)</f>
        <v>ROU</v>
      </c>
    </row>
    <row r="45" spans="1:20" x14ac:dyDescent="0.25">
      <c r="A45" t="str">
        <f t="shared" si="0"/>
        <v>FIFAWC1938-9</v>
      </c>
      <c r="B45" s="4">
        <v>9</v>
      </c>
      <c r="C45" s="3">
        <v>14040</v>
      </c>
      <c r="D45" s="7">
        <v>0.91666666666666663</v>
      </c>
      <c r="E45">
        <v>1938</v>
      </c>
      <c r="F45" t="s">
        <v>1721</v>
      </c>
      <c r="G45" t="s">
        <v>1741</v>
      </c>
      <c r="H45" t="s">
        <v>1760</v>
      </c>
      <c r="I45" t="s">
        <v>1760</v>
      </c>
      <c r="J45" t="s">
        <v>901</v>
      </c>
      <c r="K45">
        <v>4</v>
      </c>
      <c r="L45">
        <v>2</v>
      </c>
      <c r="M45" t="s">
        <v>797</v>
      </c>
      <c r="O45" t="s">
        <v>1165</v>
      </c>
      <c r="Q45">
        <v>20025</v>
      </c>
      <c r="R45" t="s">
        <v>1157</v>
      </c>
      <c r="S45" t="str">
        <f>VLOOKUP(J45,Teams!A:B,2,FALSE)</f>
        <v>SUI</v>
      </c>
      <c r="T45" t="str">
        <f>VLOOKUP(M45,Teams!A:B,2,FALSE)</f>
        <v>GER</v>
      </c>
    </row>
    <row r="46" spans="1:20" x14ac:dyDescent="0.25">
      <c r="A46" t="str">
        <f t="shared" si="0"/>
        <v>FIFAWC1938-10</v>
      </c>
      <c r="B46" s="4">
        <v>10</v>
      </c>
      <c r="C46" s="3">
        <v>14043</v>
      </c>
      <c r="D46" s="7">
        <v>0.91666666666666663</v>
      </c>
      <c r="E46">
        <v>1938</v>
      </c>
      <c r="F46" t="s">
        <v>1721</v>
      </c>
      <c r="G46" t="s">
        <v>1741</v>
      </c>
      <c r="H46" t="s">
        <v>1759</v>
      </c>
      <c r="I46" t="s">
        <v>1139</v>
      </c>
      <c r="J46" t="s">
        <v>900</v>
      </c>
      <c r="K46">
        <v>8</v>
      </c>
      <c r="L46">
        <v>0</v>
      </c>
      <c r="M46" t="s">
        <v>776</v>
      </c>
      <c r="O46" t="s">
        <v>1508</v>
      </c>
      <c r="Q46">
        <v>7000</v>
      </c>
      <c r="R46" t="s">
        <v>1157</v>
      </c>
      <c r="S46" t="str">
        <f>VLOOKUP(J46,Teams!A:B,2,FALSE)</f>
        <v>SWE</v>
      </c>
      <c r="T46" t="str">
        <f>VLOOKUP(M46,Teams!A:B,2,FALSE)</f>
        <v>CUB</v>
      </c>
    </row>
    <row r="47" spans="1:20" x14ac:dyDescent="0.25">
      <c r="A47" t="str">
        <f t="shared" si="0"/>
        <v>FIFAWC1938-11</v>
      </c>
      <c r="B47" s="4">
        <v>11</v>
      </c>
      <c r="C47" s="3">
        <v>14043</v>
      </c>
      <c r="D47" s="7">
        <v>0.91666666666666663</v>
      </c>
      <c r="E47">
        <v>1938</v>
      </c>
      <c r="F47" t="s">
        <v>1721</v>
      </c>
      <c r="G47" t="s">
        <v>1741</v>
      </c>
      <c r="H47" t="s">
        <v>1759</v>
      </c>
      <c r="I47" t="s">
        <v>1139</v>
      </c>
      <c r="J47" t="s">
        <v>760</v>
      </c>
      <c r="K47">
        <v>1</v>
      </c>
      <c r="L47">
        <v>1</v>
      </c>
      <c r="M47" t="s">
        <v>1037</v>
      </c>
      <c r="O47" t="s">
        <v>1504</v>
      </c>
      <c r="P47" t="s">
        <v>1510</v>
      </c>
      <c r="Q47">
        <v>22021</v>
      </c>
      <c r="R47" t="s">
        <v>1157</v>
      </c>
      <c r="S47" t="str">
        <f>VLOOKUP(J47,Teams!A:B,2,FALSE)</f>
        <v>BRA</v>
      </c>
      <c r="T47" t="str">
        <f>VLOOKUP(M47,Teams!A:B,2,FALSE)</f>
        <v>TCH</v>
      </c>
    </row>
    <row r="48" spans="1:20" x14ac:dyDescent="0.25">
      <c r="A48" t="str">
        <f t="shared" si="0"/>
        <v>FIFAWC1938-12</v>
      </c>
      <c r="B48" s="4">
        <v>12</v>
      </c>
      <c r="C48" s="3">
        <v>14043</v>
      </c>
      <c r="D48" s="7">
        <v>0.91666666666666663</v>
      </c>
      <c r="E48">
        <v>1938</v>
      </c>
      <c r="F48" t="s">
        <v>1721</v>
      </c>
      <c r="G48" t="s">
        <v>1741</v>
      </c>
      <c r="H48" t="s">
        <v>1759</v>
      </c>
      <c r="I48" t="s">
        <v>1139</v>
      </c>
      <c r="J48" t="s">
        <v>297</v>
      </c>
      <c r="K48">
        <v>2</v>
      </c>
      <c r="L48">
        <v>0</v>
      </c>
      <c r="M48" t="s">
        <v>901</v>
      </c>
      <c r="O48" t="s">
        <v>1509</v>
      </c>
      <c r="Q48">
        <v>15000</v>
      </c>
      <c r="R48" t="s">
        <v>1157</v>
      </c>
      <c r="S48" t="str">
        <f>VLOOKUP(J48,Teams!A:B,2,FALSE)</f>
        <v>HUN</v>
      </c>
      <c r="T48" t="str">
        <f>VLOOKUP(M48,Teams!A:B,2,FALSE)</f>
        <v>SUI</v>
      </c>
    </row>
    <row r="49" spans="1:20" x14ac:dyDescent="0.25">
      <c r="A49" t="str">
        <f t="shared" si="0"/>
        <v>FIFAWC1938-13</v>
      </c>
      <c r="B49" s="4">
        <v>13</v>
      </c>
      <c r="C49" s="3">
        <v>14043</v>
      </c>
      <c r="D49" s="7">
        <v>0.91666666666666663</v>
      </c>
      <c r="E49">
        <v>1938</v>
      </c>
      <c r="F49" t="s">
        <v>1721</v>
      </c>
      <c r="G49" t="s">
        <v>1741</v>
      </c>
      <c r="H49" t="s">
        <v>1759</v>
      </c>
      <c r="I49" t="s">
        <v>1139</v>
      </c>
      <c r="J49" t="s">
        <v>817</v>
      </c>
      <c r="K49">
        <v>3</v>
      </c>
      <c r="L49">
        <v>1</v>
      </c>
      <c r="M49" t="s">
        <v>224</v>
      </c>
      <c r="O49" t="s">
        <v>1503</v>
      </c>
      <c r="Q49">
        <v>58455</v>
      </c>
      <c r="R49" t="s">
        <v>1157</v>
      </c>
      <c r="S49" t="str">
        <f>VLOOKUP(J49,Teams!A:B,2,FALSE)</f>
        <v>ITA</v>
      </c>
      <c r="T49" t="str">
        <f>VLOOKUP(M49,Teams!A:B,2,FALSE)</f>
        <v>FRA</v>
      </c>
    </row>
    <row r="50" spans="1:20" x14ac:dyDescent="0.25">
      <c r="A50" t="str">
        <f t="shared" si="0"/>
        <v>FIFAWC1938-14</v>
      </c>
      <c r="B50" s="4">
        <v>14</v>
      </c>
      <c r="C50" s="3">
        <v>14045</v>
      </c>
      <c r="D50" s="7">
        <v>0.91666666666666663</v>
      </c>
      <c r="E50">
        <v>1938</v>
      </c>
      <c r="F50" t="s">
        <v>1721</v>
      </c>
      <c r="G50" t="s">
        <v>1741</v>
      </c>
      <c r="H50" t="s">
        <v>1759</v>
      </c>
      <c r="I50" t="s">
        <v>1139</v>
      </c>
      <c r="J50" t="s">
        <v>760</v>
      </c>
      <c r="K50">
        <v>2</v>
      </c>
      <c r="L50">
        <v>1</v>
      </c>
      <c r="M50" t="s">
        <v>1037</v>
      </c>
      <c r="O50" t="s">
        <v>1504</v>
      </c>
      <c r="P50" t="s">
        <v>1507</v>
      </c>
      <c r="Q50">
        <v>18141</v>
      </c>
      <c r="R50" t="s">
        <v>1157</v>
      </c>
      <c r="S50" t="str">
        <f>VLOOKUP(J50,Teams!A:B,2,FALSE)</f>
        <v>BRA</v>
      </c>
      <c r="T50" t="str">
        <f>VLOOKUP(M50,Teams!A:B,2,FALSE)</f>
        <v>TCH</v>
      </c>
    </row>
    <row r="51" spans="1:20" x14ac:dyDescent="0.25">
      <c r="A51" t="str">
        <f t="shared" si="0"/>
        <v>FIFAWC1938-15</v>
      </c>
      <c r="B51" s="4">
        <v>15</v>
      </c>
      <c r="C51" s="3">
        <v>14047</v>
      </c>
      <c r="D51" s="7">
        <v>0.91666666666666663</v>
      </c>
      <c r="E51">
        <v>1938</v>
      </c>
      <c r="F51" t="s">
        <v>1721</v>
      </c>
      <c r="G51" t="s">
        <v>1741</v>
      </c>
      <c r="H51" t="s">
        <v>1759</v>
      </c>
      <c r="I51" t="s">
        <v>1140</v>
      </c>
      <c r="J51" t="s">
        <v>297</v>
      </c>
      <c r="K51">
        <v>5</v>
      </c>
      <c r="L51">
        <v>1</v>
      </c>
      <c r="M51" t="s">
        <v>900</v>
      </c>
      <c r="O51" t="s">
        <v>1165</v>
      </c>
      <c r="Q51">
        <v>20000</v>
      </c>
      <c r="R51" t="s">
        <v>1157</v>
      </c>
      <c r="S51" t="str">
        <f>VLOOKUP(J51,Teams!A:B,2,FALSE)</f>
        <v>HUN</v>
      </c>
      <c r="T51" t="str">
        <f>VLOOKUP(M51,Teams!A:B,2,FALSE)</f>
        <v>SWE</v>
      </c>
    </row>
    <row r="52" spans="1:20" x14ac:dyDescent="0.25">
      <c r="A52" t="str">
        <f t="shared" si="0"/>
        <v>FIFAWC1938-16</v>
      </c>
      <c r="B52" s="4">
        <v>16</v>
      </c>
      <c r="C52" s="3">
        <v>14047</v>
      </c>
      <c r="D52" s="7">
        <v>0.91666666666666663</v>
      </c>
      <c r="E52">
        <v>1938</v>
      </c>
      <c r="F52" t="s">
        <v>1721</v>
      </c>
      <c r="G52" t="s">
        <v>1741</v>
      </c>
      <c r="H52" t="s">
        <v>1759</v>
      </c>
      <c r="I52" t="s">
        <v>1140</v>
      </c>
      <c r="J52" t="s">
        <v>817</v>
      </c>
      <c r="K52">
        <v>2</v>
      </c>
      <c r="L52">
        <v>1</v>
      </c>
      <c r="M52" t="s">
        <v>760</v>
      </c>
      <c r="O52" t="s">
        <v>1167</v>
      </c>
      <c r="P52" t="s">
        <v>1506</v>
      </c>
      <c r="Q52">
        <v>33000</v>
      </c>
      <c r="R52" t="s">
        <v>1157</v>
      </c>
      <c r="S52" t="str">
        <f>VLOOKUP(J52,Teams!A:B,2,FALSE)</f>
        <v>ITA</v>
      </c>
      <c r="T52" t="str">
        <f>VLOOKUP(M52,Teams!A:B,2,FALSE)</f>
        <v>BRA</v>
      </c>
    </row>
    <row r="53" spans="1:20" x14ac:dyDescent="0.25">
      <c r="A53" t="str">
        <f t="shared" si="0"/>
        <v>FIFAWC1938-17</v>
      </c>
      <c r="B53" s="4">
        <v>17</v>
      </c>
      <c r="C53" s="3">
        <v>14050</v>
      </c>
      <c r="D53" s="7">
        <v>0.91666666666666663</v>
      </c>
      <c r="E53">
        <v>1938</v>
      </c>
      <c r="F53" t="s">
        <v>1721</v>
      </c>
      <c r="G53" t="s">
        <v>1741</v>
      </c>
      <c r="H53" t="s">
        <v>1759</v>
      </c>
      <c r="I53" t="s">
        <v>1018</v>
      </c>
      <c r="J53" t="s">
        <v>760</v>
      </c>
      <c r="K53">
        <v>4</v>
      </c>
      <c r="L53">
        <v>2</v>
      </c>
      <c r="M53" t="s">
        <v>900</v>
      </c>
      <c r="O53" t="s">
        <v>1504</v>
      </c>
      <c r="P53" t="s">
        <v>1505</v>
      </c>
      <c r="Q53">
        <v>12000</v>
      </c>
      <c r="R53" t="s">
        <v>1157</v>
      </c>
      <c r="S53" t="str">
        <f>VLOOKUP(J53,Teams!A:B,2,FALSE)</f>
        <v>BRA</v>
      </c>
      <c r="T53" t="str">
        <f>VLOOKUP(M53,Teams!A:B,2,FALSE)</f>
        <v>SWE</v>
      </c>
    </row>
    <row r="54" spans="1:20" x14ac:dyDescent="0.25">
      <c r="A54" t="str">
        <f t="shared" si="0"/>
        <v>FIFAWC1938-18</v>
      </c>
      <c r="B54" s="4">
        <v>18</v>
      </c>
      <c r="C54" s="3">
        <v>14050</v>
      </c>
      <c r="D54" s="7">
        <v>0.91666666666666663</v>
      </c>
      <c r="E54">
        <v>1938</v>
      </c>
      <c r="F54" t="s">
        <v>1721</v>
      </c>
      <c r="G54" t="s">
        <v>1741</v>
      </c>
      <c r="H54" t="s">
        <v>1759</v>
      </c>
      <c r="I54" t="s">
        <v>1141</v>
      </c>
      <c r="J54" t="s">
        <v>817</v>
      </c>
      <c r="K54">
        <v>4</v>
      </c>
      <c r="L54">
        <v>2</v>
      </c>
      <c r="M54" t="s">
        <v>297</v>
      </c>
      <c r="O54" t="s">
        <v>1503</v>
      </c>
      <c r="Q54">
        <v>45000</v>
      </c>
      <c r="R54" t="s">
        <v>1157</v>
      </c>
      <c r="S54" t="str">
        <f>VLOOKUP(J54,Teams!A:B,2,FALSE)</f>
        <v>ITA</v>
      </c>
      <c r="T54" t="str">
        <f>VLOOKUP(M54,Teams!A:B,2,FALSE)</f>
        <v>HUN</v>
      </c>
    </row>
    <row r="55" spans="1:20" x14ac:dyDescent="0.25">
      <c r="A55" t="str">
        <f t="shared" si="0"/>
        <v>FIFAWC1950-1</v>
      </c>
      <c r="B55" s="4">
        <v>1</v>
      </c>
      <c r="C55" s="3">
        <v>18438</v>
      </c>
      <c r="D55" s="7">
        <v>8.3333333333333329E-2</v>
      </c>
      <c r="E55">
        <v>1950</v>
      </c>
      <c r="F55" t="s">
        <v>1722</v>
      </c>
      <c r="G55" t="s">
        <v>1741</v>
      </c>
      <c r="H55" t="s">
        <v>1122</v>
      </c>
      <c r="I55" t="s">
        <v>1131</v>
      </c>
      <c r="J55" t="s">
        <v>760</v>
      </c>
      <c r="K55">
        <v>4</v>
      </c>
      <c r="L55">
        <v>0</v>
      </c>
      <c r="M55" t="s">
        <v>845</v>
      </c>
      <c r="O55" t="s">
        <v>1462</v>
      </c>
      <c r="P55" t="s">
        <v>1483</v>
      </c>
      <c r="Q55">
        <v>82000</v>
      </c>
      <c r="R55" t="s">
        <v>1157</v>
      </c>
      <c r="S55" t="str">
        <f>VLOOKUP(J55,Teams!A:B,2,FALSE)</f>
        <v>BRA</v>
      </c>
      <c r="T55" t="str">
        <f>VLOOKUP(M55,Teams!A:B,2,FALSE)</f>
        <v>MEX</v>
      </c>
    </row>
    <row r="56" spans="1:20" x14ac:dyDescent="0.25">
      <c r="A56" t="str">
        <f t="shared" si="0"/>
        <v>FIFAWC1950-2</v>
      </c>
      <c r="B56" s="4">
        <v>2</v>
      </c>
      <c r="C56" s="3">
        <v>18440</v>
      </c>
      <c r="D56" s="7">
        <v>8.3333333333333329E-2</v>
      </c>
      <c r="E56">
        <v>1950</v>
      </c>
      <c r="F56" t="s">
        <v>1722</v>
      </c>
      <c r="G56" t="s">
        <v>1741</v>
      </c>
      <c r="H56" t="s">
        <v>1122</v>
      </c>
      <c r="I56" t="s">
        <v>1132</v>
      </c>
      <c r="J56" t="s">
        <v>1021</v>
      </c>
      <c r="K56">
        <v>2</v>
      </c>
      <c r="L56">
        <v>0</v>
      </c>
      <c r="M56" t="s">
        <v>768</v>
      </c>
      <c r="O56" t="s">
        <v>1462</v>
      </c>
      <c r="P56" t="s">
        <v>1502</v>
      </c>
      <c r="Q56">
        <v>30000</v>
      </c>
      <c r="R56" t="s">
        <v>1157</v>
      </c>
      <c r="S56" t="str">
        <f>VLOOKUP(J56,Teams!A:B,2,FALSE)</f>
        <v>ENG</v>
      </c>
      <c r="T56" t="str">
        <f>VLOOKUP(M56,Teams!A:B,2,FALSE)</f>
        <v>CHI</v>
      </c>
    </row>
    <row r="57" spans="1:20" x14ac:dyDescent="0.25">
      <c r="A57" t="str">
        <f t="shared" si="0"/>
        <v>FIFAWC1950-3</v>
      </c>
      <c r="B57" s="4">
        <v>3</v>
      </c>
      <c r="C57" s="3">
        <v>18440</v>
      </c>
      <c r="D57" s="7">
        <v>8.3333333333333329E-2</v>
      </c>
      <c r="E57">
        <v>1950</v>
      </c>
      <c r="F57" t="s">
        <v>1722</v>
      </c>
      <c r="G57" t="s">
        <v>1741</v>
      </c>
      <c r="H57" t="s">
        <v>1122</v>
      </c>
      <c r="I57" t="s">
        <v>1131</v>
      </c>
      <c r="J57" t="s">
        <v>1234</v>
      </c>
      <c r="K57">
        <v>3</v>
      </c>
      <c r="L57">
        <v>0</v>
      </c>
      <c r="M57" t="s">
        <v>901</v>
      </c>
      <c r="O57" t="s">
        <v>1489</v>
      </c>
      <c r="P57" t="s">
        <v>1486</v>
      </c>
      <c r="Q57">
        <v>7500</v>
      </c>
      <c r="R57" t="s">
        <v>1157</v>
      </c>
      <c r="S57" t="str">
        <f>VLOOKUP(J57,Teams!A:B,2,FALSE)</f>
        <v>YUG</v>
      </c>
      <c r="T57" t="str">
        <f>VLOOKUP(M57,Teams!A:B,2,FALSE)</f>
        <v>SUI</v>
      </c>
    </row>
    <row r="58" spans="1:20" x14ac:dyDescent="0.25">
      <c r="A58" t="str">
        <f t="shared" si="0"/>
        <v>FIFAWC1950-4</v>
      </c>
      <c r="B58" s="4">
        <v>4</v>
      </c>
      <c r="C58" s="3">
        <v>18440</v>
      </c>
      <c r="D58" s="7">
        <v>8.3333333333333329E-2</v>
      </c>
      <c r="E58">
        <v>1950</v>
      </c>
      <c r="F58" t="s">
        <v>1722</v>
      </c>
      <c r="G58" t="s">
        <v>1741</v>
      </c>
      <c r="H58" t="s">
        <v>1122</v>
      </c>
      <c r="I58" t="s">
        <v>1133</v>
      </c>
      <c r="J58" t="s">
        <v>900</v>
      </c>
      <c r="K58">
        <v>3</v>
      </c>
      <c r="L58">
        <v>2</v>
      </c>
      <c r="M58" t="s">
        <v>817</v>
      </c>
      <c r="O58" t="s">
        <v>1484</v>
      </c>
      <c r="P58" t="s">
        <v>1501</v>
      </c>
      <c r="Q58">
        <v>36000</v>
      </c>
      <c r="R58" t="s">
        <v>1157</v>
      </c>
      <c r="S58" t="str">
        <f>VLOOKUP(J58,Teams!A:B,2,FALSE)</f>
        <v>SWE</v>
      </c>
      <c r="T58" t="str">
        <f>VLOOKUP(M58,Teams!A:B,2,FALSE)</f>
        <v>ITA</v>
      </c>
    </row>
    <row r="59" spans="1:20" x14ac:dyDescent="0.25">
      <c r="A59" t="str">
        <f t="shared" si="0"/>
        <v>FIFAWC1950-5</v>
      </c>
      <c r="B59" s="4">
        <v>5</v>
      </c>
      <c r="C59" s="3">
        <v>18440</v>
      </c>
      <c r="D59" s="7">
        <v>8.3333333333333329E-2</v>
      </c>
      <c r="E59">
        <v>1950</v>
      </c>
      <c r="F59" t="s">
        <v>1722</v>
      </c>
      <c r="G59" t="s">
        <v>1741</v>
      </c>
      <c r="H59" t="s">
        <v>1122</v>
      </c>
      <c r="I59" t="s">
        <v>1132</v>
      </c>
      <c r="J59" t="s">
        <v>895</v>
      </c>
      <c r="K59">
        <v>3</v>
      </c>
      <c r="L59">
        <v>1</v>
      </c>
      <c r="M59" t="s">
        <v>702</v>
      </c>
      <c r="O59" t="s">
        <v>1495</v>
      </c>
      <c r="P59" t="s">
        <v>1459</v>
      </c>
      <c r="Q59">
        <v>10000</v>
      </c>
      <c r="R59" t="s">
        <v>1157</v>
      </c>
      <c r="S59" t="str">
        <f>VLOOKUP(J59,Teams!A:B,2,FALSE)</f>
        <v>ESP</v>
      </c>
      <c r="T59" t="str">
        <f>VLOOKUP(M59,Teams!A:B,2,FALSE)</f>
        <v>USA</v>
      </c>
    </row>
    <row r="60" spans="1:20" x14ac:dyDescent="0.25">
      <c r="A60" t="str">
        <f t="shared" si="0"/>
        <v>FIFAWC1950-6</v>
      </c>
      <c r="B60" s="4">
        <v>6</v>
      </c>
      <c r="C60" s="3">
        <v>18443</v>
      </c>
      <c r="D60" s="7">
        <v>8.3333333333333329E-2</v>
      </c>
      <c r="E60">
        <v>1950</v>
      </c>
      <c r="F60" t="s">
        <v>1722</v>
      </c>
      <c r="G60" t="s">
        <v>1741</v>
      </c>
      <c r="H60" t="s">
        <v>1122</v>
      </c>
      <c r="I60" t="s">
        <v>1131</v>
      </c>
      <c r="J60" t="s">
        <v>760</v>
      </c>
      <c r="K60">
        <v>2</v>
      </c>
      <c r="L60">
        <v>2</v>
      </c>
      <c r="M60" t="s">
        <v>901</v>
      </c>
      <c r="O60" t="s">
        <v>1484</v>
      </c>
      <c r="P60" t="s">
        <v>1500</v>
      </c>
      <c r="Q60">
        <v>42000</v>
      </c>
      <c r="R60" t="s">
        <v>1157</v>
      </c>
      <c r="S60" t="str">
        <f>VLOOKUP(J60,Teams!A:B,2,FALSE)</f>
        <v>BRA</v>
      </c>
      <c r="T60" t="str">
        <f>VLOOKUP(M60,Teams!A:B,2,FALSE)</f>
        <v>SUI</v>
      </c>
    </row>
    <row r="61" spans="1:20" x14ac:dyDescent="0.25">
      <c r="A61" t="str">
        <f t="shared" si="0"/>
        <v>FIFAWC1950-7</v>
      </c>
      <c r="B61" s="4">
        <v>7</v>
      </c>
      <c r="C61" s="3">
        <v>18443</v>
      </c>
      <c r="D61" s="7">
        <v>8.3333333333333329E-2</v>
      </c>
      <c r="E61">
        <v>1950</v>
      </c>
      <c r="F61" t="s">
        <v>1722</v>
      </c>
      <c r="G61" t="s">
        <v>1741</v>
      </c>
      <c r="H61" t="s">
        <v>1122</v>
      </c>
      <c r="I61" t="s">
        <v>1131</v>
      </c>
      <c r="J61" t="s">
        <v>1234</v>
      </c>
      <c r="K61">
        <v>4</v>
      </c>
      <c r="L61">
        <v>1</v>
      </c>
      <c r="M61" t="s">
        <v>845</v>
      </c>
      <c r="O61" t="s">
        <v>1493</v>
      </c>
      <c r="P61" t="s">
        <v>1499</v>
      </c>
      <c r="Q61">
        <v>11000</v>
      </c>
      <c r="R61" t="s">
        <v>1157</v>
      </c>
      <c r="S61" t="str">
        <f>VLOOKUP(J61,Teams!A:B,2,FALSE)</f>
        <v>YUG</v>
      </c>
      <c r="T61" t="str">
        <f>VLOOKUP(M61,Teams!A:B,2,FALSE)</f>
        <v>MEX</v>
      </c>
    </row>
    <row r="62" spans="1:20" x14ac:dyDescent="0.25">
      <c r="A62" t="str">
        <f t="shared" si="0"/>
        <v>FIFAWC1950-8</v>
      </c>
      <c r="B62" s="4">
        <v>8</v>
      </c>
      <c r="C62" s="3">
        <v>18444</v>
      </c>
      <c r="D62" s="7">
        <v>8.3333333333333329E-2</v>
      </c>
      <c r="E62">
        <v>1950</v>
      </c>
      <c r="F62" t="s">
        <v>1722</v>
      </c>
      <c r="G62" t="s">
        <v>1741</v>
      </c>
      <c r="H62" t="s">
        <v>1122</v>
      </c>
      <c r="I62" t="s">
        <v>1132</v>
      </c>
      <c r="J62" t="s">
        <v>702</v>
      </c>
      <c r="K62">
        <v>1</v>
      </c>
      <c r="L62">
        <v>0</v>
      </c>
      <c r="M62" t="s">
        <v>1021</v>
      </c>
      <c r="O62" t="s">
        <v>1489</v>
      </c>
      <c r="P62" t="s">
        <v>1497</v>
      </c>
      <c r="Q62">
        <v>10000</v>
      </c>
      <c r="R62" t="s">
        <v>1157</v>
      </c>
      <c r="S62" t="str">
        <f>VLOOKUP(J62,Teams!A:B,2,FALSE)</f>
        <v>USA</v>
      </c>
      <c r="T62" t="str">
        <f>VLOOKUP(M62,Teams!A:B,2,FALSE)</f>
        <v>ENG</v>
      </c>
    </row>
    <row r="63" spans="1:20" x14ac:dyDescent="0.25">
      <c r="A63" t="str">
        <f t="shared" si="0"/>
        <v>FIFAWC1950-9</v>
      </c>
      <c r="B63" s="4">
        <v>9</v>
      </c>
      <c r="C63" s="3">
        <v>18444</v>
      </c>
      <c r="D63" s="7">
        <v>8.3333333333333329E-2</v>
      </c>
      <c r="E63">
        <v>1950</v>
      </c>
      <c r="F63" t="s">
        <v>1722</v>
      </c>
      <c r="G63" t="s">
        <v>1741</v>
      </c>
      <c r="H63" t="s">
        <v>1122</v>
      </c>
      <c r="I63" t="s">
        <v>1132</v>
      </c>
      <c r="J63" t="s">
        <v>895</v>
      </c>
      <c r="K63">
        <v>2</v>
      </c>
      <c r="L63">
        <v>0</v>
      </c>
      <c r="M63" t="s">
        <v>768</v>
      </c>
      <c r="O63" t="s">
        <v>1462</v>
      </c>
      <c r="P63" t="s">
        <v>1498</v>
      </c>
      <c r="Q63">
        <v>16000</v>
      </c>
      <c r="R63" t="s">
        <v>1157</v>
      </c>
      <c r="S63" t="str">
        <f>VLOOKUP(J63,Teams!A:B,2,FALSE)</f>
        <v>ESP</v>
      </c>
      <c r="T63" t="str">
        <f>VLOOKUP(M63,Teams!A:B,2,FALSE)</f>
        <v>CHI</v>
      </c>
    </row>
    <row r="64" spans="1:20" x14ac:dyDescent="0.25">
      <c r="A64" t="str">
        <f t="shared" si="0"/>
        <v>FIFAWC1950-10</v>
      </c>
      <c r="B64" s="4">
        <v>10</v>
      </c>
      <c r="C64" s="3">
        <v>18444</v>
      </c>
      <c r="D64" s="7">
        <v>8.3333333333333329E-2</v>
      </c>
      <c r="E64">
        <v>1950</v>
      </c>
      <c r="F64" t="s">
        <v>1722</v>
      </c>
      <c r="G64" t="s">
        <v>1741</v>
      </c>
      <c r="H64" t="s">
        <v>1122</v>
      </c>
      <c r="I64" t="s">
        <v>1133</v>
      </c>
      <c r="J64" t="s">
        <v>900</v>
      </c>
      <c r="K64">
        <v>2</v>
      </c>
      <c r="L64">
        <v>2</v>
      </c>
      <c r="M64" t="s">
        <v>866</v>
      </c>
      <c r="O64" t="s">
        <v>1495</v>
      </c>
      <c r="P64" t="s">
        <v>1496</v>
      </c>
      <c r="Q64">
        <v>8000</v>
      </c>
      <c r="R64" t="s">
        <v>1157</v>
      </c>
      <c r="S64" t="str">
        <f>VLOOKUP(J64,Teams!A:B,2,FALSE)</f>
        <v>SWE</v>
      </c>
      <c r="T64" t="str">
        <f>VLOOKUP(M64,Teams!A:B,2,FALSE)</f>
        <v>PAR</v>
      </c>
    </row>
    <row r="65" spans="1:20" x14ac:dyDescent="0.25">
      <c r="A65" t="str">
        <f t="shared" si="0"/>
        <v>FIFAWC1950-11</v>
      </c>
      <c r="B65" s="4">
        <v>11</v>
      </c>
      <c r="C65" s="3">
        <v>18446</v>
      </c>
      <c r="D65" s="7">
        <v>8.3333333333333329E-2</v>
      </c>
      <c r="E65">
        <v>1950</v>
      </c>
      <c r="F65" t="s">
        <v>1722</v>
      </c>
      <c r="G65" t="s">
        <v>1741</v>
      </c>
      <c r="H65" t="s">
        <v>1122</v>
      </c>
      <c r="I65" t="s">
        <v>1131</v>
      </c>
      <c r="J65" t="s">
        <v>760</v>
      </c>
      <c r="K65">
        <v>2</v>
      </c>
      <c r="L65">
        <v>0</v>
      </c>
      <c r="M65" t="s">
        <v>1234</v>
      </c>
      <c r="O65" t="s">
        <v>1462</v>
      </c>
      <c r="P65" t="s">
        <v>1435</v>
      </c>
      <c r="Q65">
        <v>142000</v>
      </c>
      <c r="R65" t="s">
        <v>1157</v>
      </c>
      <c r="S65" t="str">
        <f>VLOOKUP(J65,Teams!A:B,2,FALSE)</f>
        <v>BRA</v>
      </c>
      <c r="T65" t="str">
        <f>VLOOKUP(M65,Teams!A:B,2,FALSE)</f>
        <v>YUG</v>
      </c>
    </row>
    <row r="66" spans="1:20" x14ac:dyDescent="0.25">
      <c r="A66" t="str">
        <f t="shared" ref="A66:A129" si="1">F66&amp;"-"&amp;B66</f>
        <v>FIFAWC1950-12</v>
      </c>
      <c r="B66" s="4">
        <v>12</v>
      </c>
      <c r="C66" s="3">
        <v>18447</v>
      </c>
      <c r="D66" s="7">
        <v>8.3333333333333329E-2</v>
      </c>
      <c r="E66">
        <v>1950</v>
      </c>
      <c r="F66" t="s">
        <v>1722</v>
      </c>
      <c r="G66" t="s">
        <v>1741</v>
      </c>
      <c r="H66" t="s">
        <v>1122</v>
      </c>
      <c r="I66" t="s">
        <v>1132</v>
      </c>
      <c r="J66" t="s">
        <v>895</v>
      </c>
      <c r="K66">
        <v>1</v>
      </c>
      <c r="L66">
        <v>0</v>
      </c>
      <c r="M66" t="s">
        <v>1021</v>
      </c>
      <c r="O66" t="s">
        <v>1462</v>
      </c>
      <c r="P66" t="s">
        <v>1486</v>
      </c>
      <c r="Q66">
        <v>74000</v>
      </c>
      <c r="R66" t="s">
        <v>1157</v>
      </c>
      <c r="S66" t="str">
        <f>VLOOKUP(J66,Teams!A:B,2,FALSE)</f>
        <v>ESP</v>
      </c>
      <c r="T66" t="str">
        <f>VLOOKUP(M66,Teams!A:B,2,FALSE)</f>
        <v>ENG</v>
      </c>
    </row>
    <row r="67" spans="1:20" x14ac:dyDescent="0.25">
      <c r="A67" t="str">
        <f t="shared" si="1"/>
        <v>FIFAWC1950-13</v>
      </c>
      <c r="B67" s="4">
        <v>13</v>
      </c>
      <c r="C67" s="3">
        <v>18447</v>
      </c>
      <c r="D67" s="7">
        <v>8.3333333333333329E-2</v>
      </c>
      <c r="E67">
        <v>1950</v>
      </c>
      <c r="F67" t="s">
        <v>1722</v>
      </c>
      <c r="G67" t="s">
        <v>1741</v>
      </c>
      <c r="H67" t="s">
        <v>1122</v>
      </c>
      <c r="I67" t="s">
        <v>1133</v>
      </c>
      <c r="J67" t="s">
        <v>817</v>
      </c>
      <c r="K67">
        <v>2</v>
      </c>
      <c r="L67">
        <v>0</v>
      </c>
      <c r="M67" t="s">
        <v>866</v>
      </c>
      <c r="O67" t="s">
        <v>1484</v>
      </c>
      <c r="P67" t="s">
        <v>1490</v>
      </c>
      <c r="Q67">
        <v>26000</v>
      </c>
      <c r="R67" t="s">
        <v>1157</v>
      </c>
      <c r="S67" t="str">
        <f>VLOOKUP(J67,Teams!A:B,2,FALSE)</f>
        <v>ITA</v>
      </c>
      <c r="T67" t="str">
        <f>VLOOKUP(M67,Teams!A:B,2,FALSE)</f>
        <v>PAR</v>
      </c>
    </row>
    <row r="68" spans="1:20" x14ac:dyDescent="0.25">
      <c r="A68" t="str">
        <f t="shared" si="1"/>
        <v>FIFAWC1950-14</v>
      </c>
      <c r="B68" s="4">
        <v>14</v>
      </c>
      <c r="C68" s="3">
        <v>18447</v>
      </c>
      <c r="D68" s="7">
        <v>8.3333333333333329E-2</v>
      </c>
      <c r="E68">
        <v>1950</v>
      </c>
      <c r="F68" t="s">
        <v>1722</v>
      </c>
      <c r="G68" t="s">
        <v>1741</v>
      </c>
      <c r="H68" t="s">
        <v>1122</v>
      </c>
      <c r="I68" t="s">
        <v>1132</v>
      </c>
      <c r="J68" t="s">
        <v>768</v>
      </c>
      <c r="K68">
        <v>5</v>
      </c>
      <c r="L68">
        <v>2</v>
      </c>
      <c r="M68" t="s">
        <v>702</v>
      </c>
      <c r="O68" t="s">
        <v>1491</v>
      </c>
      <c r="P68" t="s">
        <v>1492</v>
      </c>
      <c r="Q68">
        <v>9000</v>
      </c>
      <c r="R68" t="s">
        <v>1157</v>
      </c>
      <c r="S68" t="str">
        <f>VLOOKUP(J68,Teams!A:B,2,FALSE)</f>
        <v>CHI</v>
      </c>
      <c r="T68" t="str">
        <f>VLOOKUP(M68,Teams!A:B,2,FALSE)</f>
        <v>USA</v>
      </c>
    </row>
    <row r="69" spans="1:20" x14ac:dyDescent="0.25">
      <c r="A69" t="str">
        <f t="shared" si="1"/>
        <v>FIFAWC1950-15</v>
      </c>
      <c r="B69" s="4">
        <v>15</v>
      </c>
      <c r="C69" s="3">
        <v>18447</v>
      </c>
      <c r="D69" s="7">
        <v>8.3333333333333329E-2</v>
      </c>
      <c r="E69">
        <v>1950</v>
      </c>
      <c r="F69" t="s">
        <v>1722</v>
      </c>
      <c r="G69" t="s">
        <v>1741</v>
      </c>
      <c r="H69" t="s">
        <v>1122</v>
      </c>
      <c r="I69" t="s">
        <v>1134</v>
      </c>
      <c r="J69" t="s">
        <v>916</v>
      </c>
      <c r="K69">
        <v>8</v>
      </c>
      <c r="L69">
        <v>0</v>
      </c>
      <c r="M69" t="s">
        <v>1075</v>
      </c>
      <c r="O69" t="s">
        <v>1489</v>
      </c>
      <c r="P69" t="s">
        <v>1483</v>
      </c>
      <c r="Q69">
        <v>6000</v>
      </c>
      <c r="R69" t="s">
        <v>1157</v>
      </c>
      <c r="S69" t="str">
        <f>VLOOKUP(J69,Teams!A:B,2,FALSE)</f>
        <v>URU</v>
      </c>
      <c r="T69" t="str">
        <f>VLOOKUP(M69,Teams!A:B,2,FALSE)</f>
        <v>BOL</v>
      </c>
    </row>
    <row r="70" spans="1:20" x14ac:dyDescent="0.25">
      <c r="A70" t="str">
        <f t="shared" si="1"/>
        <v>FIFAWC1950-16</v>
      </c>
      <c r="B70" s="4">
        <v>16</v>
      </c>
      <c r="C70" s="3">
        <v>18447</v>
      </c>
      <c r="D70" s="7">
        <v>8.3333333333333329E-2</v>
      </c>
      <c r="E70">
        <v>1950</v>
      </c>
      <c r="F70" t="s">
        <v>1722</v>
      </c>
      <c r="G70" t="s">
        <v>1741</v>
      </c>
      <c r="H70" t="s">
        <v>1122</v>
      </c>
      <c r="I70" t="s">
        <v>1131</v>
      </c>
      <c r="J70" t="s">
        <v>901</v>
      </c>
      <c r="K70">
        <v>2</v>
      </c>
      <c r="L70">
        <v>1</v>
      </c>
      <c r="M70" t="s">
        <v>845</v>
      </c>
      <c r="O70" t="s">
        <v>1493</v>
      </c>
      <c r="P70" t="s">
        <v>1494</v>
      </c>
      <c r="Q70">
        <v>4000</v>
      </c>
      <c r="R70" t="s">
        <v>1157</v>
      </c>
      <c r="S70" t="str">
        <f>VLOOKUP(J70,Teams!A:B,2,FALSE)</f>
        <v>SUI</v>
      </c>
      <c r="T70" t="str">
        <f>VLOOKUP(M70,Teams!A:B,2,FALSE)</f>
        <v>MEX</v>
      </c>
    </row>
    <row r="71" spans="1:20" x14ac:dyDescent="0.25">
      <c r="A71" t="str">
        <f t="shared" si="1"/>
        <v>FIFAWC1950-17</v>
      </c>
      <c r="B71" s="4">
        <v>17</v>
      </c>
      <c r="C71" s="3">
        <v>18454</v>
      </c>
      <c r="D71" s="7">
        <v>8.3333333333333329E-2</v>
      </c>
      <c r="E71">
        <v>1950</v>
      </c>
      <c r="F71" t="s">
        <v>1722</v>
      </c>
      <c r="G71" t="s">
        <v>1741</v>
      </c>
      <c r="H71" t="s">
        <v>1741</v>
      </c>
      <c r="I71" t="s">
        <v>1741</v>
      </c>
      <c r="J71" t="s">
        <v>760</v>
      </c>
      <c r="K71">
        <v>7</v>
      </c>
      <c r="L71">
        <v>1</v>
      </c>
      <c r="M71" t="s">
        <v>900</v>
      </c>
      <c r="O71" t="s">
        <v>1462</v>
      </c>
      <c r="P71" t="s">
        <v>1488</v>
      </c>
      <c r="Q71">
        <v>139000</v>
      </c>
      <c r="R71" t="s">
        <v>1157</v>
      </c>
      <c r="S71" t="str">
        <f>VLOOKUP(J71,Teams!A:B,2,FALSE)</f>
        <v>BRA</v>
      </c>
      <c r="T71" t="str">
        <f>VLOOKUP(M71,Teams!A:B,2,FALSE)</f>
        <v>SWE</v>
      </c>
    </row>
    <row r="72" spans="1:20" x14ac:dyDescent="0.25">
      <c r="A72" t="str">
        <f t="shared" si="1"/>
        <v>FIFAWC1950-18</v>
      </c>
      <c r="B72" s="4">
        <v>18</v>
      </c>
      <c r="C72" s="3">
        <v>18454</v>
      </c>
      <c r="D72" s="7">
        <v>8.3333333333333329E-2</v>
      </c>
      <c r="E72">
        <v>1950</v>
      </c>
      <c r="F72" t="s">
        <v>1722</v>
      </c>
      <c r="G72" t="s">
        <v>1741</v>
      </c>
      <c r="H72" t="s">
        <v>1741</v>
      </c>
      <c r="I72" t="s">
        <v>1741</v>
      </c>
      <c r="J72" t="s">
        <v>916</v>
      </c>
      <c r="K72">
        <v>2</v>
      </c>
      <c r="L72">
        <v>2</v>
      </c>
      <c r="M72" t="s">
        <v>895</v>
      </c>
      <c r="O72" t="s">
        <v>1484</v>
      </c>
      <c r="P72" t="s">
        <v>1435</v>
      </c>
      <c r="Q72">
        <v>45000</v>
      </c>
      <c r="R72" t="s">
        <v>1157</v>
      </c>
      <c r="S72" t="str">
        <f>VLOOKUP(J72,Teams!A:B,2,FALSE)</f>
        <v>URU</v>
      </c>
      <c r="T72" t="str">
        <f>VLOOKUP(M72,Teams!A:B,2,FALSE)</f>
        <v>ESP</v>
      </c>
    </row>
    <row r="73" spans="1:20" x14ac:dyDescent="0.25">
      <c r="A73" t="str">
        <f t="shared" si="1"/>
        <v>FIFAWC1950-19</v>
      </c>
      <c r="B73" s="4">
        <v>19</v>
      </c>
      <c r="C73" s="3">
        <v>18458</v>
      </c>
      <c r="D73" s="7">
        <v>8.3333333333333329E-2</v>
      </c>
      <c r="E73">
        <v>1950</v>
      </c>
      <c r="F73" t="s">
        <v>1722</v>
      </c>
      <c r="G73" t="s">
        <v>1741</v>
      </c>
      <c r="H73" t="s">
        <v>1741</v>
      </c>
      <c r="I73" t="s">
        <v>1741</v>
      </c>
      <c r="J73" t="s">
        <v>916</v>
      </c>
      <c r="K73">
        <v>3</v>
      </c>
      <c r="L73">
        <v>2</v>
      </c>
      <c r="M73" t="s">
        <v>900</v>
      </c>
      <c r="O73" t="s">
        <v>1484</v>
      </c>
      <c r="P73" t="s">
        <v>1486</v>
      </c>
      <c r="Q73">
        <v>8000</v>
      </c>
      <c r="R73" t="s">
        <v>1157</v>
      </c>
      <c r="S73" t="str">
        <f>VLOOKUP(J73,Teams!A:B,2,FALSE)</f>
        <v>URU</v>
      </c>
      <c r="T73" t="str">
        <f>VLOOKUP(M73,Teams!A:B,2,FALSE)</f>
        <v>SWE</v>
      </c>
    </row>
    <row r="74" spans="1:20" x14ac:dyDescent="0.25">
      <c r="A74" t="str">
        <f t="shared" si="1"/>
        <v>FIFAWC1950-20</v>
      </c>
      <c r="B74" s="4">
        <v>20</v>
      </c>
      <c r="C74" s="3">
        <v>18458</v>
      </c>
      <c r="D74" s="7">
        <v>8.3333333333333329E-2</v>
      </c>
      <c r="E74">
        <v>1950</v>
      </c>
      <c r="F74" t="s">
        <v>1722</v>
      </c>
      <c r="G74" t="s">
        <v>1741</v>
      </c>
      <c r="H74" t="s">
        <v>1741</v>
      </c>
      <c r="I74" t="s">
        <v>1741</v>
      </c>
      <c r="J74" t="s">
        <v>760</v>
      </c>
      <c r="K74">
        <v>6</v>
      </c>
      <c r="L74">
        <v>1</v>
      </c>
      <c r="M74" t="s">
        <v>895</v>
      </c>
      <c r="O74" t="s">
        <v>1462</v>
      </c>
      <c r="P74" t="s">
        <v>1487</v>
      </c>
      <c r="Q74">
        <v>153000</v>
      </c>
      <c r="R74" t="s">
        <v>1157</v>
      </c>
      <c r="S74" t="str">
        <f>VLOOKUP(J74,Teams!A:B,2,FALSE)</f>
        <v>BRA</v>
      </c>
      <c r="T74" t="str">
        <f>VLOOKUP(M74,Teams!A:B,2,FALSE)</f>
        <v>ESP</v>
      </c>
    </row>
    <row r="75" spans="1:20" x14ac:dyDescent="0.25">
      <c r="A75" t="str">
        <f t="shared" si="1"/>
        <v>FIFAWC1950-21</v>
      </c>
      <c r="B75" s="4">
        <v>21</v>
      </c>
      <c r="C75" s="3">
        <v>18461</v>
      </c>
      <c r="D75" s="7">
        <v>8.3333333333333329E-2</v>
      </c>
      <c r="E75">
        <v>1950</v>
      </c>
      <c r="F75" t="s">
        <v>1722</v>
      </c>
      <c r="G75" t="s">
        <v>1741</v>
      </c>
      <c r="H75" t="s">
        <v>1741</v>
      </c>
      <c r="I75" t="s">
        <v>1741</v>
      </c>
      <c r="J75" t="s">
        <v>900</v>
      </c>
      <c r="K75">
        <v>3</v>
      </c>
      <c r="L75">
        <v>1</v>
      </c>
      <c r="M75" t="s">
        <v>895</v>
      </c>
      <c r="O75" t="s">
        <v>1484</v>
      </c>
      <c r="P75" t="s">
        <v>1485</v>
      </c>
      <c r="Q75">
        <v>11000</v>
      </c>
      <c r="R75" t="s">
        <v>1157</v>
      </c>
      <c r="S75" t="str">
        <f>VLOOKUP(J75,Teams!A:B,2,FALSE)</f>
        <v>SWE</v>
      </c>
      <c r="T75" t="str">
        <f>VLOOKUP(M75,Teams!A:B,2,FALSE)</f>
        <v>ESP</v>
      </c>
    </row>
    <row r="76" spans="1:20" x14ac:dyDescent="0.25">
      <c r="A76" t="str">
        <f t="shared" si="1"/>
        <v>FIFAWC1950-22</v>
      </c>
      <c r="B76" s="4">
        <v>22</v>
      </c>
      <c r="C76" s="3">
        <v>18461</v>
      </c>
      <c r="D76" s="7">
        <v>8.3333333333333329E-2</v>
      </c>
      <c r="E76">
        <v>1950</v>
      </c>
      <c r="F76" t="s">
        <v>1722</v>
      </c>
      <c r="G76" t="s">
        <v>1741</v>
      </c>
      <c r="H76" t="s">
        <v>1741</v>
      </c>
      <c r="I76" t="s">
        <v>1741</v>
      </c>
      <c r="J76" t="s">
        <v>916</v>
      </c>
      <c r="K76">
        <v>2</v>
      </c>
      <c r="L76">
        <v>1</v>
      </c>
      <c r="M76" t="s">
        <v>760</v>
      </c>
      <c r="O76" t="s">
        <v>1462</v>
      </c>
      <c r="P76" t="s">
        <v>1483</v>
      </c>
      <c r="Q76">
        <v>200000</v>
      </c>
      <c r="R76" t="s">
        <v>1157</v>
      </c>
      <c r="S76" t="str">
        <f>VLOOKUP(J76,Teams!A:B,2,FALSE)</f>
        <v>URU</v>
      </c>
      <c r="T76" t="str">
        <f>VLOOKUP(M76,Teams!A:B,2,FALSE)</f>
        <v>BRA</v>
      </c>
    </row>
    <row r="77" spans="1:20" x14ac:dyDescent="0.25">
      <c r="A77" t="str">
        <f t="shared" si="1"/>
        <v>FIFAWC1954-1</v>
      </c>
      <c r="B77" s="4">
        <v>1</v>
      </c>
      <c r="C77" s="3">
        <v>19891</v>
      </c>
      <c r="D77" s="7">
        <v>0.95138888888888884</v>
      </c>
      <c r="E77">
        <v>1954</v>
      </c>
      <c r="F77" t="s">
        <v>1723</v>
      </c>
      <c r="G77" t="s">
        <v>1741</v>
      </c>
      <c r="H77" t="s">
        <v>1122</v>
      </c>
      <c r="I77" t="s">
        <v>1131</v>
      </c>
      <c r="J77" t="s">
        <v>760</v>
      </c>
      <c r="K77">
        <v>5</v>
      </c>
      <c r="L77">
        <v>0</v>
      </c>
      <c r="M77" t="s">
        <v>845</v>
      </c>
      <c r="O77" t="s">
        <v>1448</v>
      </c>
      <c r="P77" t="s">
        <v>1444</v>
      </c>
      <c r="Q77">
        <v>13000</v>
      </c>
      <c r="R77" t="s">
        <v>1157</v>
      </c>
      <c r="S77" t="str">
        <f>VLOOKUP(J77,Teams!A:B,2,FALSE)</f>
        <v>BRA</v>
      </c>
      <c r="T77" t="str">
        <f>VLOOKUP(M77,Teams!A:B,2,FALSE)</f>
        <v>MEX</v>
      </c>
    </row>
    <row r="78" spans="1:20" x14ac:dyDescent="0.25">
      <c r="A78" t="str">
        <f t="shared" si="1"/>
        <v>FIFAWC1954-2</v>
      </c>
      <c r="B78" s="4">
        <v>2</v>
      </c>
      <c r="C78" s="3">
        <v>19891</v>
      </c>
      <c r="D78" s="7">
        <v>0.95138888888888884</v>
      </c>
      <c r="E78">
        <v>1954</v>
      </c>
      <c r="F78" t="s">
        <v>1723</v>
      </c>
      <c r="G78" t="s">
        <v>1741</v>
      </c>
      <c r="H78" t="s">
        <v>1122</v>
      </c>
      <c r="I78" t="s">
        <v>1131</v>
      </c>
      <c r="J78" t="s">
        <v>1234</v>
      </c>
      <c r="K78">
        <v>1</v>
      </c>
      <c r="L78">
        <v>0</v>
      </c>
      <c r="M78" t="s">
        <v>224</v>
      </c>
      <c r="O78" t="s">
        <v>1447</v>
      </c>
      <c r="P78" t="s">
        <v>1435</v>
      </c>
      <c r="Q78">
        <v>27000</v>
      </c>
      <c r="R78" t="s">
        <v>1157</v>
      </c>
      <c r="S78" t="str">
        <f>VLOOKUP(J78,Teams!A:B,2,FALSE)</f>
        <v>YUG</v>
      </c>
      <c r="T78" t="str">
        <f>VLOOKUP(M78,Teams!A:B,2,FALSE)</f>
        <v>FRA</v>
      </c>
    </row>
    <row r="79" spans="1:20" x14ac:dyDescent="0.25">
      <c r="A79" t="str">
        <f t="shared" si="1"/>
        <v>FIFAWC1954-3</v>
      </c>
      <c r="B79" s="4">
        <v>3</v>
      </c>
      <c r="C79" s="3">
        <v>19891</v>
      </c>
      <c r="D79" s="7">
        <v>0.95138888888888884</v>
      </c>
      <c r="E79">
        <v>1954</v>
      </c>
      <c r="F79" t="s">
        <v>1723</v>
      </c>
      <c r="G79" t="s">
        <v>1741</v>
      </c>
      <c r="H79" t="s">
        <v>1122</v>
      </c>
      <c r="I79" t="s">
        <v>1133</v>
      </c>
      <c r="J79" t="s">
        <v>916</v>
      </c>
      <c r="K79">
        <v>2</v>
      </c>
      <c r="L79">
        <v>0</v>
      </c>
      <c r="M79" t="s">
        <v>1037</v>
      </c>
      <c r="O79" t="s">
        <v>1441</v>
      </c>
      <c r="P79" t="s">
        <v>1428</v>
      </c>
      <c r="Q79">
        <v>20500</v>
      </c>
      <c r="R79" t="s">
        <v>1157</v>
      </c>
      <c r="S79" t="str">
        <f>VLOOKUP(J79,Teams!A:B,2,FALSE)</f>
        <v>URU</v>
      </c>
      <c r="T79" t="str">
        <f>VLOOKUP(M79,Teams!A:B,2,FALSE)</f>
        <v>TCH</v>
      </c>
    </row>
    <row r="80" spans="1:20" x14ac:dyDescent="0.25">
      <c r="A80" t="str">
        <f t="shared" si="1"/>
        <v>FIFAWC1954-4</v>
      </c>
      <c r="B80" s="4">
        <v>4</v>
      </c>
      <c r="C80" s="3">
        <v>19891</v>
      </c>
      <c r="D80" s="7">
        <v>0.95138888888888884</v>
      </c>
      <c r="E80">
        <v>1954</v>
      </c>
      <c r="F80" t="s">
        <v>1723</v>
      </c>
      <c r="G80" t="s">
        <v>1741</v>
      </c>
      <c r="H80" t="s">
        <v>1122</v>
      </c>
      <c r="I80" t="s">
        <v>1133</v>
      </c>
      <c r="J80" t="s">
        <v>751</v>
      </c>
      <c r="K80">
        <v>1</v>
      </c>
      <c r="L80">
        <v>0</v>
      </c>
      <c r="M80" t="s">
        <v>1026</v>
      </c>
      <c r="O80" t="s">
        <v>1443</v>
      </c>
      <c r="P80" t="s">
        <v>1461</v>
      </c>
      <c r="Q80">
        <v>30000</v>
      </c>
      <c r="R80" t="s">
        <v>1157</v>
      </c>
      <c r="S80" t="str">
        <f>VLOOKUP(J80,Teams!A:B,2,FALSE)</f>
        <v>AUT</v>
      </c>
      <c r="T80" t="str">
        <f>VLOOKUP(M80,Teams!A:B,2,FALSE)</f>
        <v>SCO</v>
      </c>
    </row>
    <row r="81" spans="1:20" x14ac:dyDescent="0.25">
      <c r="A81" t="str">
        <f t="shared" si="1"/>
        <v>FIFAWC1954-5</v>
      </c>
      <c r="B81" s="4">
        <v>5</v>
      </c>
      <c r="C81" s="3">
        <v>19892</v>
      </c>
      <c r="D81" s="7">
        <v>0.95138888888888884</v>
      </c>
      <c r="E81">
        <v>1954</v>
      </c>
      <c r="F81" t="s">
        <v>1723</v>
      </c>
      <c r="G81" t="s">
        <v>1741</v>
      </c>
      <c r="H81" t="s">
        <v>1122</v>
      </c>
      <c r="I81" t="s">
        <v>1132</v>
      </c>
      <c r="J81" t="s">
        <v>797</v>
      </c>
      <c r="K81">
        <v>4</v>
      </c>
      <c r="L81">
        <v>1</v>
      </c>
      <c r="M81" t="s">
        <v>912</v>
      </c>
      <c r="O81" t="s">
        <v>1441</v>
      </c>
      <c r="P81" t="s">
        <v>1460</v>
      </c>
      <c r="Q81">
        <v>39000</v>
      </c>
      <c r="R81" t="s">
        <v>1157</v>
      </c>
      <c r="S81" t="str">
        <f>VLOOKUP(J81,Teams!A:B,2,FALSE)</f>
        <v>GER</v>
      </c>
      <c r="T81" t="str">
        <f>VLOOKUP(M81,Teams!A:B,2,FALSE)</f>
        <v>TUR</v>
      </c>
    </row>
    <row r="82" spans="1:20" x14ac:dyDescent="0.25">
      <c r="A82" t="str">
        <f t="shared" si="1"/>
        <v>FIFAWC1954-6</v>
      </c>
      <c r="B82" s="4">
        <v>6</v>
      </c>
      <c r="C82" s="3">
        <v>19892</v>
      </c>
      <c r="D82" s="7">
        <v>0.95138888888888884</v>
      </c>
      <c r="E82">
        <v>1954</v>
      </c>
      <c r="F82" t="s">
        <v>1723</v>
      </c>
      <c r="G82" t="s">
        <v>1741</v>
      </c>
      <c r="H82" t="s">
        <v>1122</v>
      </c>
      <c r="I82" t="s">
        <v>1132</v>
      </c>
      <c r="J82" t="s">
        <v>297</v>
      </c>
      <c r="K82">
        <v>9</v>
      </c>
      <c r="L82">
        <v>0</v>
      </c>
      <c r="M82" t="s">
        <v>1056</v>
      </c>
      <c r="O82" t="s">
        <v>1443</v>
      </c>
      <c r="P82" t="s">
        <v>1452</v>
      </c>
      <c r="Q82">
        <v>18000</v>
      </c>
      <c r="R82" t="s">
        <v>1157</v>
      </c>
      <c r="S82" t="str">
        <f>VLOOKUP(J82,Teams!A:B,2,FALSE)</f>
        <v>HUN</v>
      </c>
      <c r="T82" t="str">
        <f>VLOOKUP(M82,Teams!A:B,2,FALSE)</f>
        <v>KOR</v>
      </c>
    </row>
    <row r="83" spans="1:20" x14ac:dyDescent="0.25">
      <c r="A83" t="str">
        <f t="shared" si="1"/>
        <v>FIFAWC1954-7</v>
      </c>
      <c r="B83" s="4">
        <v>7</v>
      </c>
      <c r="C83" s="3">
        <v>19892</v>
      </c>
      <c r="D83" s="7">
        <v>0.95138888888888884</v>
      </c>
      <c r="E83">
        <v>1954</v>
      </c>
      <c r="F83" t="s">
        <v>1723</v>
      </c>
      <c r="G83" t="s">
        <v>1741</v>
      </c>
      <c r="H83" t="s">
        <v>1122</v>
      </c>
      <c r="I83" t="s">
        <v>1134</v>
      </c>
      <c r="J83" t="s">
        <v>901</v>
      </c>
      <c r="K83">
        <v>2</v>
      </c>
      <c r="L83">
        <v>1</v>
      </c>
      <c r="M83" t="s">
        <v>817</v>
      </c>
      <c r="O83" t="s">
        <v>1447</v>
      </c>
      <c r="P83" t="s">
        <v>1459</v>
      </c>
      <c r="Q83">
        <v>43000</v>
      </c>
      <c r="R83" t="s">
        <v>1157</v>
      </c>
      <c r="S83" t="str">
        <f>VLOOKUP(J83,Teams!A:B,2,FALSE)</f>
        <v>SUI</v>
      </c>
      <c r="T83" t="str">
        <f>VLOOKUP(M83,Teams!A:B,2,FALSE)</f>
        <v>ITA</v>
      </c>
    </row>
    <row r="84" spans="1:20" x14ac:dyDescent="0.25">
      <c r="A84" t="str">
        <f t="shared" si="1"/>
        <v>FIFAWC1954-8</v>
      </c>
      <c r="B84" s="4">
        <v>8</v>
      </c>
      <c r="C84" s="3">
        <v>19892</v>
      </c>
      <c r="D84" s="7">
        <v>0.95138888888888884</v>
      </c>
      <c r="E84">
        <v>1954</v>
      </c>
      <c r="F84" t="s">
        <v>1723</v>
      </c>
      <c r="G84" t="s">
        <v>1741</v>
      </c>
      <c r="H84" t="s">
        <v>1122</v>
      </c>
      <c r="I84" t="s">
        <v>1134</v>
      </c>
      <c r="J84" t="s">
        <v>1021</v>
      </c>
      <c r="K84">
        <v>4</v>
      </c>
      <c r="L84">
        <v>4</v>
      </c>
      <c r="M84" t="s">
        <v>756</v>
      </c>
      <c r="O84" t="s">
        <v>1445</v>
      </c>
      <c r="P84" t="s">
        <v>1458</v>
      </c>
      <c r="Q84">
        <v>40000</v>
      </c>
      <c r="R84" t="s">
        <v>1157</v>
      </c>
      <c r="S84" t="str">
        <f>VLOOKUP(J84,Teams!A:B,2,FALSE)</f>
        <v>ENG</v>
      </c>
      <c r="T84" t="str">
        <f>VLOOKUP(M84,Teams!A:B,2,FALSE)</f>
        <v>BEL</v>
      </c>
    </row>
    <row r="85" spans="1:20" x14ac:dyDescent="0.25">
      <c r="A85" t="str">
        <f t="shared" si="1"/>
        <v>FIFAWC1954-9</v>
      </c>
      <c r="B85" s="4">
        <v>9</v>
      </c>
      <c r="C85" s="3">
        <v>19894</v>
      </c>
      <c r="D85" s="7">
        <v>0.95138888888888884</v>
      </c>
      <c r="E85">
        <v>1954</v>
      </c>
      <c r="F85" t="s">
        <v>1723</v>
      </c>
      <c r="G85" t="s">
        <v>1741</v>
      </c>
      <c r="H85" t="s">
        <v>1122</v>
      </c>
      <c r="I85" t="s">
        <v>1131</v>
      </c>
      <c r="J85" t="s">
        <v>1234</v>
      </c>
      <c r="K85">
        <v>1</v>
      </c>
      <c r="L85">
        <v>1</v>
      </c>
      <c r="M85" t="s">
        <v>760</v>
      </c>
      <c r="O85" t="s">
        <v>1447</v>
      </c>
      <c r="P85" t="s">
        <v>1451</v>
      </c>
      <c r="Q85">
        <v>40000</v>
      </c>
      <c r="R85" t="s">
        <v>1157</v>
      </c>
      <c r="S85" t="str">
        <f>VLOOKUP(J85,Teams!A:B,2,FALSE)</f>
        <v>YUG</v>
      </c>
      <c r="T85" t="str">
        <f>VLOOKUP(M85,Teams!A:B,2,FALSE)</f>
        <v>BRA</v>
      </c>
    </row>
    <row r="86" spans="1:20" x14ac:dyDescent="0.25">
      <c r="A86" t="str">
        <f t="shared" si="1"/>
        <v>FIFAWC1954-10</v>
      </c>
      <c r="B86" s="4">
        <v>10</v>
      </c>
      <c r="C86" s="3">
        <v>19894</v>
      </c>
      <c r="D86" s="7">
        <v>0.95138888888888884</v>
      </c>
      <c r="E86">
        <v>1954</v>
      </c>
      <c r="F86" t="s">
        <v>1723</v>
      </c>
      <c r="G86" t="s">
        <v>1741</v>
      </c>
      <c r="H86" t="s">
        <v>1122</v>
      </c>
      <c r="I86" t="s">
        <v>1131</v>
      </c>
      <c r="J86" t="s">
        <v>224</v>
      </c>
      <c r="K86">
        <v>3</v>
      </c>
      <c r="L86">
        <v>2</v>
      </c>
      <c r="M86" t="s">
        <v>845</v>
      </c>
      <c r="O86" t="s">
        <v>1448</v>
      </c>
      <c r="P86" t="s">
        <v>1457</v>
      </c>
      <c r="Q86">
        <v>19000</v>
      </c>
      <c r="R86" t="s">
        <v>1157</v>
      </c>
      <c r="S86" t="str">
        <f>VLOOKUP(J86,Teams!A:B,2,FALSE)</f>
        <v>FRA</v>
      </c>
      <c r="T86" t="str">
        <f>VLOOKUP(M86,Teams!A:B,2,FALSE)</f>
        <v>MEX</v>
      </c>
    </row>
    <row r="87" spans="1:20" x14ac:dyDescent="0.25">
      <c r="A87" t="str">
        <f t="shared" si="1"/>
        <v>FIFAWC1954-11</v>
      </c>
      <c r="B87" s="4">
        <v>11</v>
      </c>
      <c r="C87" s="3">
        <v>19894</v>
      </c>
      <c r="D87" s="7">
        <v>0.95138888888888884</v>
      </c>
      <c r="E87">
        <v>1954</v>
      </c>
      <c r="F87" t="s">
        <v>1723</v>
      </c>
      <c r="G87" t="s">
        <v>1741</v>
      </c>
      <c r="H87" t="s">
        <v>1122</v>
      </c>
      <c r="I87" t="s">
        <v>1133</v>
      </c>
      <c r="J87" t="s">
        <v>916</v>
      </c>
      <c r="K87">
        <v>7</v>
      </c>
      <c r="L87">
        <v>0</v>
      </c>
      <c r="M87" t="s">
        <v>1026</v>
      </c>
      <c r="O87" t="s">
        <v>1445</v>
      </c>
      <c r="P87" t="s">
        <v>1446</v>
      </c>
      <c r="Q87">
        <v>43000</v>
      </c>
      <c r="R87" t="s">
        <v>1157</v>
      </c>
      <c r="S87" t="str">
        <f>VLOOKUP(J87,Teams!A:B,2,FALSE)</f>
        <v>URU</v>
      </c>
      <c r="T87" t="str">
        <f>VLOOKUP(M87,Teams!A:B,2,FALSE)</f>
        <v>SCO</v>
      </c>
    </row>
    <row r="88" spans="1:20" x14ac:dyDescent="0.25">
      <c r="A88" t="str">
        <f t="shared" si="1"/>
        <v>FIFAWC1954-12</v>
      </c>
      <c r="B88" s="4">
        <v>12</v>
      </c>
      <c r="C88" s="3">
        <v>19894</v>
      </c>
      <c r="D88" s="7">
        <v>0.95138888888888884</v>
      </c>
      <c r="E88">
        <v>1954</v>
      </c>
      <c r="F88" t="s">
        <v>1723</v>
      </c>
      <c r="G88" t="s">
        <v>1741</v>
      </c>
      <c r="H88" t="s">
        <v>1122</v>
      </c>
      <c r="I88" t="s">
        <v>1133</v>
      </c>
      <c r="J88" t="s">
        <v>751</v>
      </c>
      <c r="K88">
        <v>5</v>
      </c>
      <c r="L88">
        <v>0</v>
      </c>
      <c r="M88" t="s">
        <v>1037</v>
      </c>
      <c r="O88" t="s">
        <v>1443</v>
      </c>
      <c r="P88" t="s">
        <v>1456</v>
      </c>
      <c r="Q88">
        <v>25000</v>
      </c>
      <c r="R88" t="s">
        <v>1157</v>
      </c>
      <c r="S88" t="str">
        <f>VLOOKUP(J88,Teams!A:B,2,FALSE)</f>
        <v>AUT</v>
      </c>
      <c r="T88" t="str">
        <f>VLOOKUP(M88,Teams!A:B,2,FALSE)</f>
        <v>TCH</v>
      </c>
    </row>
    <row r="89" spans="1:20" x14ac:dyDescent="0.25">
      <c r="A89" t="str">
        <f t="shared" si="1"/>
        <v>FIFAWC1954-13</v>
      </c>
      <c r="B89" s="4">
        <v>13</v>
      </c>
      <c r="C89" s="3">
        <v>19895</v>
      </c>
      <c r="D89" s="7">
        <v>0.95138888888888884</v>
      </c>
      <c r="E89">
        <v>1954</v>
      </c>
      <c r="F89" t="s">
        <v>1723</v>
      </c>
      <c r="G89" t="s">
        <v>1741</v>
      </c>
      <c r="H89" t="s">
        <v>1122</v>
      </c>
      <c r="I89" t="s">
        <v>1132</v>
      </c>
      <c r="J89" t="s">
        <v>297</v>
      </c>
      <c r="K89">
        <v>8</v>
      </c>
      <c r="L89">
        <v>3</v>
      </c>
      <c r="M89" t="s">
        <v>797</v>
      </c>
      <c r="O89" t="s">
        <v>1445</v>
      </c>
      <c r="P89" t="s">
        <v>1455</v>
      </c>
      <c r="Q89">
        <v>65000</v>
      </c>
      <c r="R89" t="s">
        <v>1157</v>
      </c>
      <c r="S89" t="str">
        <f>VLOOKUP(J89,Teams!A:B,2,FALSE)</f>
        <v>HUN</v>
      </c>
      <c r="T89" t="str">
        <f>VLOOKUP(M89,Teams!A:B,2,FALSE)</f>
        <v>GER</v>
      </c>
    </row>
    <row r="90" spans="1:20" x14ac:dyDescent="0.25">
      <c r="A90" t="str">
        <f t="shared" si="1"/>
        <v>FIFAWC1954-14</v>
      </c>
      <c r="B90" s="4">
        <v>14</v>
      </c>
      <c r="C90" s="3">
        <v>19895</v>
      </c>
      <c r="D90" s="7">
        <v>0.95138888888888884</v>
      </c>
      <c r="E90">
        <v>1954</v>
      </c>
      <c r="F90" t="s">
        <v>1723</v>
      </c>
      <c r="G90" t="s">
        <v>1741</v>
      </c>
      <c r="H90" t="s">
        <v>1122</v>
      </c>
      <c r="I90" t="s">
        <v>1132</v>
      </c>
      <c r="J90" t="s">
        <v>912</v>
      </c>
      <c r="K90">
        <v>7</v>
      </c>
      <c r="L90">
        <v>0</v>
      </c>
      <c r="M90" t="s">
        <v>1056</v>
      </c>
      <c r="O90" t="s">
        <v>1448</v>
      </c>
      <c r="P90" t="s">
        <v>1454</v>
      </c>
      <c r="Q90">
        <v>3000</v>
      </c>
      <c r="R90" t="s">
        <v>1157</v>
      </c>
      <c r="S90" t="str">
        <f>VLOOKUP(J90,Teams!A:B,2,FALSE)</f>
        <v>TUR</v>
      </c>
      <c r="T90" t="str">
        <f>VLOOKUP(M90,Teams!A:B,2,FALSE)</f>
        <v>KOR</v>
      </c>
    </row>
    <row r="91" spans="1:20" x14ac:dyDescent="0.25">
      <c r="A91" t="str">
        <f t="shared" si="1"/>
        <v>FIFAWC1954-15</v>
      </c>
      <c r="B91" s="4">
        <v>15</v>
      </c>
      <c r="C91" s="3">
        <v>19895</v>
      </c>
      <c r="D91" s="7">
        <v>0.95138888888888884</v>
      </c>
      <c r="E91">
        <v>1954</v>
      </c>
      <c r="F91" t="s">
        <v>1723</v>
      </c>
      <c r="G91" t="s">
        <v>1741</v>
      </c>
      <c r="H91" t="s">
        <v>1122</v>
      </c>
      <c r="I91" t="s">
        <v>1134</v>
      </c>
      <c r="J91" t="s">
        <v>817</v>
      </c>
      <c r="K91">
        <v>4</v>
      </c>
      <c r="L91">
        <v>1</v>
      </c>
      <c r="M91" t="s">
        <v>756</v>
      </c>
      <c r="O91" t="s">
        <v>1453</v>
      </c>
      <c r="P91" t="s">
        <v>1403</v>
      </c>
      <c r="Q91">
        <v>26000</v>
      </c>
      <c r="R91" t="s">
        <v>1157</v>
      </c>
      <c r="S91" t="str">
        <f>VLOOKUP(J91,Teams!A:B,2,FALSE)</f>
        <v>ITA</v>
      </c>
      <c r="T91" t="str">
        <f>VLOOKUP(M91,Teams!A:B,2,FALSE)</f>
        <v>BEL</v>
      </c>
    </row>
    <row r="92" spans="1:20" x14ac:dyDescent="0.25">
      <c r="A92" t="str">
        <f t="shared" si="1"/>
        <v>FIFAWC1954-16</v>
      </c>
      <c r="B92" s="4">
        <v>16</v>
      </c>
      <c r="C92" s="3">
        <v>19895</v>
      </c>
      <c r="D92" s="7">
        <v>0.95138888888888884</v>
      </c>
      <c r="E92">
        <v>1954</v>
      </c>
      <c r="F92" t="s">
        <v>1723</v>
      </c>
      <c r="G92" t="s">
        <v>1741</v>
      </c>
      <c r="H92" t="s">
        <v>1122</v>
      </c>
      <c r="I92" t="s">
        <v>1134</v>
      </c>
      <c r="J92" t="s">
        <v>1021</v>
      </c>
      <c r="K92">
        <v>2</v>
      </c>
      <c r="L92">
        <v>0</v>
      </c>
      <c r="M92" t="s">
        <v>901</v>
      </c>
      <c r="O92" t="s">
        <v>1441</v>
      </c>
      <c r="P92" t="s">
        <v>1388</v>
      </c>
      <c r="Q92">
        <v>50000</v>
      </c>
      <c r="R92" t="s">
        <v>1157</v>
      </c>
      <c r="S92" t="str">
        <f>VLOOKUP(J92,Teams!A:B,2,FALSE)</f>
        <v>ENG</v>
      </c>
      <c r="T92" t="str">
        <f>VLOOKUP(M92,Teams!A:B,2,FALSE)</f>
        <v>SUI</v>
      </c>
    </row>
    <row r="93" spans="1:20" x14ac:dyDescent="0.25">
      <c r="A93" t="str">
        <f t="shared" si="1"/>
        <v>FIFAWC1954-17</v>
      </c>
      <c r="B93" s="4">
        <v>17</v>
      </c>
      <c r="C93" s="3">
        <v>19898</v>
      </c>
      <c r="D93" s="7">
        <v>0.95138888888888884</v>
      </c>
      <c r="E93">
        <v>1954</v>
      </c>
      <c r="F93" t="s">
        <v>1723</v>
      </c>
      <c r="G93" t="s">
        <v>1741</v>
      </c>
      <c r="H93" t="s">
        <v>1122</v>
      </c>
      <c r="I93" t="s">
        <v>1132</v>
      </c>
      <c r="J93" t="s">
        <v>797</v>
      </c>
      <c r="K93">
        <v>7</v>
      </c>
      <c r="L93">
        <v>2</v>
      </c>
      <c r="M93" t="s">
        <v>912</v>
      </c>
      <c r="O93" t="s">
        <v>1443</v>
      </c>
      <c r="P93" t="s">
        <v>1452</v>
      </c>
      <c r="Q93">
        <v>18000</v>
      </c>
      <c r="R93" t="s">
        <v>1157</v>
      </c>
      <c r="S93" t="str">
        <f>VLOOKUP(J93,Teams!A:B,2,FALSE)</f>
        <v>GER</v>
      </c>
      <c r="T93" t="str">
        <f>VLOOKUP(M93,Teams!A:B,2,FALSE)</f>
        <v>TUR</v>
      </c>
    </row>
    <row r="94" spans="1:20" x14ac:dyDescent="0.25">
      <c r="A94" t="str">
        <f t="shared" si="1"/>
        <v>FIFAWC1954-18</v>
      </c>
      <c r="B94" s="4">
        <v>18</v>
      </c>
      <c r="C94" s="3">
        <v>19898</v>
      </c>
      <c r="D94" s="7">
        <v>0.95138888888888884</v>
      </c>
      <c r="E94">
        <v>1954</v>
      </c>
      <c r="F94" t="s">
        <v>1723</v>
      </c>
      <c r="G94" t="s">
        <v>1741</v>
      </c>
      <c r="H94" t="s">
        <v>1122</v>
      </c>
      <c r="I94" t="s">
        <v>1134</v>
      </c>
      <c r="J94" t="s">
        <v>901</v>
      </c>
      <c r="K94">
        <v>4</v>
      </c>
      <c r="L94">
        <v>1</v>
      </c>
      <c r="M94" t="s">
        <v>817</v>
      </c>
      <c r="O94" t="s">
        <v>1445</v>
      </c>
      <c r="P94" t="s">
        <v>1435</v>
      </c>
      <c r="Q94">
        <v>30000</v>
      </c>
      <c r="R94" t="s">
        <v>1157</v>
      </c>
      <c r="S94" t="str">
        <f>VLOOKUP(J94,Teams!A:B,2,FALSE)</f>
        <v>SUI</v>
      </c>
      <c r="T94" t="str">
        <f>VLOOKUP(M94,Teams!A:B,2,FALSE)</f>
        <v>ITA</v>
      </c>
    </row>
    <row r="95" spans="1:20" x14ac:dyDescent="0.25">
      <c r="A95" t="str">
        <f t="shared" si="1"/>
        <v>FIFAWC1954-19</v>
      </c>
      <c r="B95" s="4">
        <v>19</v>
      </c>
      <c r="C95" s="3">
        <v>19901</v>
      </c>
      <c r="D95" s="7">
        <v>0.95138888888888884</v>
      </c>
      <c r="E95">
        <v>1954</v>
      </c>
      <c r="F95" t="s">
        <v>1723</v>
      </c>
      <c r="G95" t="s">
        <v>1741</v>
      </c>
      <c r="H95" t="s">
        <v>1759</v>
      </c>
      <c r="I95" t="s">
        <v>1139</v>
      </c>
      <c r="J95" t="s">
        <v>751</v>
      </c>
      <c r="K95">
        <v>7</v>
      </c>
      <c r="L95">
        <v>5</v>
      </c>
      <c r="M95" t="s">
        <v>901</v>
      </c>
      <c r="O95" t="s">
        <v>1447</v>
      </c>
      <c r="P95" t="s">
        <v>1451</v>
      </c>
      <c r="Q95">
        <v>35000</v>
      </c>
      <c r="R95" t="s">
        <v>1157</v>
      </c>
      <c r="S95" t="str">
        <f>VLOOKUP(J95,Teams!A:B,2,FALSE)</f>
        <v>AUT</v>
      </c>
      <c r="T95" t="str">
        <f>VLOOKUP(M95,Teams!A:B,2,FALSE)</f>
        <v>SUI</v>
      </c>
    </row>
    <row r="96" spans="1:20" x14ac:dyDescent="0.25">
      <c r="A96" t="str">
        <f t="shared" si="1"/>
        <v>FIFAWC1954-20</v>
      </c>
      <c r="B96" s="4">
        <v>20</v>
      </c>
      <c r="C96" s="3">
        <v>19901</v>
      </c>
      <c r="D96" s="7">
        <v>0.95138888888888884</v>
      </c>
      <c r="E96">
        <v>1954</v>
      </c>
      <c r="F96" t="s">
        <v>1723</v>
      </c>
      <c r="G96" t="s">
        <v>1741</v>
      </c>
      <c r="H96" t="s">
        <v>1759</v>
      </c>
      <c r="I96" t="s">
        <v>1139</v>
      </c>
      <c r="J96" t="s">
        <v>916</v>
      </c>
      <c r="K96">
        <v>4</v>
      </c>
      <c r="L96">
        <v>2</v>
      </c>
      <c r="M96" t="s">
        <v>1021</v>
      </c>
      <c r="O96" t="s">
        <v>1445</v>
      </c>
      <c r="P96" t="s">
        <v>1403</v>
      </c>
      <c r="Q96">
        <v>35000</v>
      </c>
      <c r="R96" t="s">
        <v>1157</v>
      </c>
      <c r="S96" t="str">
        <f>VLOOKUP(J96,Teams!A:B,2,FALSE)</f>
        <v>URU</v>
      </c>
      <c r="T96" t="str">
        <f>VLOOKUP(M96,Teams!A:B,2,FALSE)</f>
        <v>ENG</v>
      </c>
    </row>
    <row r="97" spans="1:20" x14ac:dyDescent="0.25">
      <c r="A97" t="str">
        <f t="shared" si="1"/>
        <v>FIFAWC1954-21</v>
      </c>
      <c r="B97" s="4">
        <v>21</v>
      </c>
      <c r="C97" s="3">
        <v>19902</v>
      </c>
      <c r="D97" s="7">
        <v>0.95138888888888884</v>
      </c>
      <c r="E97">
        <v>1954</v>
      </c>
      <c r="F97" t="s">
        <v>1723</v>
      </c>
      <c r="G97" t="s">
        <v>1741</v>
      </c>
      <c r="H97" t="s">
        <v>1759</v>
      </c>
      <c r="I97" t="s">
        <v>1139</v>
      </c>
      <c r="J97" t="s">
        <v>297</v>
      </c>
      <c r="K97">
        <v>4</v>
      </c>
      <c r="L97">
        <v>2</v>
      </c>
      <c r="M97" t="s">
        <v>760</v>
      </c>
      <c r="O97" t="s">
        <v>1441</v>
      </c>
      <c r="P97" t="s">
        <v>1450</v>
      </c>
      <c r="Q97">
        <v>60000</v>
      </c>
      <c r="R97" t="s">
        <v>1157</v>
      </c>
      <c r="S97" t="str">
        <f>VLOOKUP(J97,Teams!A:B,2,FALSE)</f>
        <v>HUN</v>
      </c>
      <c r="T97" t="str">
        <f>VLOOKUP(M97,Teams!A:B,2,FALSE)</f>
        <v>BRA</v>
      </c>
    </row>
    <row r="98" spans="1:20" x14ac:dyDescent="0.25">
      <c r="A98" t="str">
        <f t="shared" si="1"/>
        <v>FIFAWC1954-22</v>
      </c>
      <c r="B98" s="4">
        <v>22</v>
      </c>
      <c r="C98" s="3">
        <v>19902</v>
      </c>
      <c r="D98" s="7">
        <v>0.95138888888888884</v>
      </c>
      <c r="E98">
        <v>1954</v>
      </c>
      <c r="F98" t="s">
        <v>1723</v>
      </c>
      <c r="G98" t="s">
        <v>1741</v>
      </c>
      <c r="H98" t="s">
        <v>1759</v>
      </c>
      <c r="I98" t="s">
        <v>1139</v>
      </c>
      <c r="J98" t="s">
        <v>797</v>
      </c>
      <c r="K98">
        <v>2</v>
      </c>
      <c r="L98">
        <v>0</v>
      </c>
      <c r="M98" t="s">
        <v>1234</v>
      </c>
      <c r="O98" t="s">
        <v>1448</v>
      </c>
      <c r="P98" t="s">
        <v>1449</v>
      </c>
      <c r="Q98">
        <v>20000</v>
      </c>
      <c r="R98" t="s">
        <v>1157</v>
      </c>
      <c r="S98" t="str">
        <f>VLOOKUP(J98,Teams!A:B,2,FALSE)</f>
        <v>GER</v>
      </c>
      <c r="T98" t="str">
        <f>VLOOKUP(M98,Teams!A:B,2,FALSE)</f>
        <v>YUG</v>
      </c>
    </row>
    <row r="99" spans="1:20" x14ac:dyDescent="0.25">
      <c r="A99" t="str">
        <f t="shared" si="1"/>
        <v>FIFAWC1954-23</v>
      </c>
      <c r="B99" s="4">
        <v>23</v>
      </c>
      <c r="C99" s="3">
        <v>19905</v>
      </c>
      <c r="D99" s="7">
        <v>0.95138888888888884</v>
      </c>
      <c r="E99">
        <v>1954</v>
      </c>
      <c r="F99" t="s">
        <v>1723</v>
      </c>
      <c r="G99" t="s">
        <v>1741</v>
      </c>
      <c r="H99" t="s">
        <v>1759</v>
      </c>
      <c r="I99" t="s">
        <v>1140</v>
      </c>
      <c r="J99" t="s">
        <v>297</v>
      </c>
      <c r="K99">
        <v>4</v>
      </c>
      <c r="L99">
        <v>2</v>
      </c>
      <c r="M99" t="s">
        <v>916</v>
      </c>
      <c r="O99" t="s">
        <v>1447</v>
      </c>
      <c r="P99" t="s">
        <v>1435</v>
      </c>
      <c r="Q99">
        <v>37000</v>
      </c>
      <c r="R99" t="s">
        <v>1157</v>
      </c>
      <c r="S99" t="str">
        <f>VLOOKUP(J99,Teams!A:B,2,FALSE)</f>
        <v>HUN</v>
      </c>
      <c r="T99" t="str">
        <f>VLOOKUP(M99,Teams!A:B,2,FALSE)</f>
        <v>URU</v>
      </c>
    </row>
    <row r="100" spans="1:20" x14ac:dyDescent="0.25">
      <c r="A100" t="str">
        <f t="shared" si="1"/>
        <v>FIFAWC1954-24</v>
      </c>
      <c r="B100" s="4">
        <v>24</v>
      </c>
      <c r="C100" s="3">
        <v>19905</v>
      </c>
      <c r="D100" s="7">
        <v>0.95138888888888884</v>
      </c>
      <c r="E100">
        <v>1954</v>
      </c>
      <c r="F100" t="s">
        <v>1723</v>
      </c>
      <c r="G100" t="s">
        <v>1741</v>
      </c>
      <c r="H100" t="s">
        <v>1759</v>
      </c>
      <c r="I100" t="s">
        <v>1140</v>
      </c>
      <c r="J100" t="s">
        <v>797</v>
      </c>
      <c r="K100">
        <v>6</v>
      </c>
      <c r="L100">
        <v>1</v>
      </c>
      <c r="M100" t="s">
        <v>751</v>
      </c>
      <c r="O100" t="s">
        <v>1445</v>
      </c>
      <c r="P100" t="s">
        <v>1446</v>
      </c>
      <c r="Q100">
        <v>58000</v>
      </c>
      <c r="R100" t="s">
        <v>1157</v>
      </c>
      <c r="S100" t="str">
        <f>VLOOKUP(J100,Teams!A:B,2,FALSE)</f>
        <v>GER</v>
      </c>
      <c r="T100" t="str">
        <f>VLOOKUP(M100,Teams!A:B,2,FALSE)</f>
        <v>AUT</v>
      </c>
    </row>
    <row r="101" spans="1:20" x14ac:dyDescent="0.25">
      <c r="A101" t="str">
        <f t="shared" si="1"/>
        <v>FIFAWC1954-25</v>
      </c>
      <c r="B101" s="4">
        <v>25</v>
      </c>
      <c r="C101" s="3">
        <v>19908</v>
      </c>
      <c r="D101" s="7">
        <v>0.95138888888888884</v>
      </c>
      <c r="E101">
        <v>1954</v>
      </c>
      <c r="F101" t="s">
        <v>1723</v>
      </c>
      <c r="G101" t="s">
        <v>1741</v>
      </c>
      <c r="H101" t="s">
        <v>1759</v>
      </c>
      <c r="I101" t="s">
        <v>1018</v>
      </c>
      <c r="J101" t="s">
        <v>751</v>
      </c>
      <c r="K101">
        <v>3</v>
      </c>
      <c r="L101">
        <v>1</v>
      </c>
      <c r="M101" t="s">
        <v>916</v>
      </c>
      <c r="O101" t="s">
        <v>1443</v>
      </c>
      <c r="P101" t="s">
        <v>1444</v>
      </c>
      <c r="Q101">
        <v>35000</v>
      </c>
      <c r="R101" t="s">
        <v>1157</v>
      </c>
      <c r="S101" t="str">
        <f>VLOOKUP(J101,Teams!A:B,2,FALSE)</f>
        <v>AUT</v>
      </c>
      <c r="T101" t="str">
        <f>VLOOKUP(M101,Teams!A:B,2,FALSE)</f>
        <v>URU</v>
      </c>
    </row>
    <row r="102" spans="1:20" x14ac:dyDescent="0.25">
      <c r="A102" t="str">
        <f t="shared" si="1"/>
        <v>FIFAWC1954-26</v>
      </c>
      <c r="B102" s="4">
        <v>26</v>
      </c>
      <c r="C102" s="3">
        <v>19909</v>
      </c>
      <c r="D102" s="7">
        <v>0.95138888888888884</v>
      </c>
      <c r="E102">
        <v>1954</v>
      </c>
      <c r="F102" t="s">
        <v>1723</v>
      </c>
      <c r="G102" t="s">
        <v>1741</v>
      </c>
      <c r="H102" t="s">
        <v>1759</v>
      </c>
      <c r="I102" t="s">
        <v>1141</v>
      </c>
      <c r="J102" t="s">
        <v>797</v>
      </c>
      <c r="K102">
        <v>3</v>
      </c>
      <c r="L102">
        <v>2</v>
      </c>
      <c r="M102" t="s">
        <v>297</v>
      </c>
      <c r="O102" t="s">
        <v>1441</v>
      </c>
      <c r="P102" t="s">
        <v>1442</v>
      </c>
      <c r="Q102">
        <v>60000</v>
      </c>
      <c r="R102" t="s">
        <v>1157</v>
      </c>
      <c r="S102" t="str">
        <f>VLOOKUP(J102,Teams!A:B,2,FALSE)</f>
        <v>GER</v>
      </c>
      <c r="T102" t="str">
        <f>VLOOKUP(M102,Teams!A:B,2,FALSE)</f>
        <v>HUN</v>
      </c>
    </row>
    <row r="103" spans="1:20" x14ac:dyDescent="0.25">
      <c r="A103" t="str">
        <f t="shared" si="1"/>
        <v>FIFAWC1958-1</v>
      </c>
      <c r="B103" s="4">
        <v>1</v>
      </c>
      <c r="C103" s="3">
        <v>21344</v>
      </c>
      <c r="D103" s="7">
        <v>0.79166666666666663</v>
      </c>
      <c r="E103">
        <v>1958</v>
      </c>
      <c r="F103" t="s">
        <v>1724</v>
      </c>
      <c r="G103" t="s">
        <v>1741</v>
      </c>
      <c r="H103" t="s">
        <v>1122</v>
      </c>
      <c r="I103" t="s">
        <v>1133</v>
      </c>
      <c r="J103" t="s">
        <v>900</v>
      </c>
      <c r="K103">
        <v>3</v>
      </c>
      <c r="L103">
        <v>0</v>
      </c>
      <c r="M103" t="s">
        <v>845</v>
      </c>
      <c r="O103" t="s">
        <v>1407</v>
      </c>
      <c r="P103" t="s">
        <v>1440</v>
      </c>
      <c r="Q103">
        <v>45000</v>
      </c>
      <c r="R103" t="s">
        <v>1157</v>
      </c>
      <c r="S103" t="str">
        <f>VLOOKUP(J103,Teams!A:B,2,FALSE)</f>
        <v>SWE</v>
      </c>
      <c r="T103" t="str">
        <f>VLOOKUP(M103,Teams!A:B,2,FALSE)</f>
        <v>MEX</v>
      </c>
    </row>
    <row r="104" spans="1:20" x14ac:dyDescent="0.25">
      <c r="A104" t="str">
        <f t="shared" si="1"/>
        <v>FIFAWC1958-2</v>
      </c>
      <c r="B104" s="4">
        <v>2</v>
      </c>
      <c r="C104" s="3">
        <v>21344</v>
      </c>
      <c r="D104" s="7">
        <v>1</v>
      </c>
      <c r="E104">
        <v>1958</v>
      </c>
      <c r="F104" t="s">
        <v>1724</v>
      </c>
      <c r="G104" t="s">
        <v>1741</v>
      </c>
      <c r="H104" t="s">
        <v>1122</v>
      </c>
      <c r="I104" t="s">
        <v>1132</v>
      </c>
      <c r="J104" t="s">
        <v>224</v>
      </c>
      <c r="K104">
        <v>7</v>
      </c>
      <c r="L104">
        <v>3</v>
      </c>
      <c r="M104" t="s">
        <v>866</v>
      </c>
      <c r="O104" t="s">
        <v>1416</v>
      </c>
      <c r="P104" t="s">
        <v>1417</v>
      </c>
      <c r="Q104">
        <v>16500</v>
      </c>
      <c r="R104" t="s">
        <v>1157</v>
      </c>
      <c r="S104" t="str">
        <f>VLOOKUP(J104,Teams!A:B,2,FALSE)</f>
        <v>FRA</v>
      </c>
      <c r="T104" t="str">
        <f>VLOOKUP(M104,Teams!A:B,2,FALSE)</f>
        <v>PAR</v>
      </c>
    </row>
    <row r="105" spans="1:20" x14ac:dyDescent="0.25">
      <c r="A105" t="str">
        <f t="shared" si="1"/>
        <v>FIFAWC1958-3</v>
      </c>
      <c r="B105" s="4">
        <v>3</v>
      </c>
      <c r="C105" s="3">
        <v>21344</v>
      </c>
      <c r="D105" s="7">
        <v>1</v>
      </c>
      <c r="E105">
        <v>1958</v>
      </c>
      <c r="F105" t="s">
        <v>1724</v>
      </c>
      <c r="G105" t="s">
        <v>1741</v>
      </c>
      <c r="H105" t="s">
        <v>1122</v>
      </c>
      <c r="I105" t="s">
        <v>1133</v>
      </c>
      <c r="J105" t="s">
        <v>297</v>
      </c>
      <c r="K105">
        <v>1</v>
      </c>
      <c r="L105">
        <v>1</v>
      </c>
      <c r="M105" t="s">
        <v>1120</v>
      </c>
      <c r="O105" t="s">
        <v>1422</v>
      </c>
      <c r="P105" t="s">
        <v>1439</v>
      </c>
      <c r="Q105">
        <v>20000</v>
      </c>
      <c r="R105" t="s">
        <v>1157</v>
      </c>
      <c r="S105" t="str">
        <f>VLOOKUP(J105,Teams!A:B,2,FALSE)</f>
        <v>HUN</v>
      </c>
      <c r="T105" t="str">
        <f>VLOOKUP(M105,Teams!A:B,2,FALSE)</f>
        <v>WAL</v>
      </c>
    </row>
    <row r="106" spans="1:20" x14ac:dyDescent="0.25">
      <c r="A106" t="str">
        <f t="shared" si="1"/>
        <v>FIFAWC1958-4</v>
      </c>
      <c r="B106" s="4">
        <v>4</v>
      </c>
      <c r="C106" s="3">
        <v>21344</v>
      </c>
      <c r="D106" s="7">
        <v>1</v>
      </c>
      <c r="E106">
        <v>1958</v>
      </c>
      <c r="F106" t="s">
        <v>1724</v>
      </c>
      <c r="G106" t="s">
        <v>1741</v>
      </c>
      <c r="H106" t="s">
        <v>1122</v>
      </c>
      <c r="I106" t="s">
        <v>1134</v>
      </c>
      <c r="J106" t="s">
        <v>1754</v>
      </c>
      <c r="K106">
        <v>2</v>
      </c>
      <c r="L106">
        <v>2</v>
      </c>
      <c r="M106" t="s">
        <v>1021</v>
      </c>
      <c r="O106" t="s">
        <v>1409</v>
      </c>
      <c r="P106" t="s">
        <v>1411</v>
      </c>
      <c r="Q106">
        <v>49348</v>
      </c>
      <c r="R106" t="s">
        <v>1157</v>
      </c>
      <c r="S106" t="str">
        <f>VLOOKUP(J106,Teams!A:B,2,FALSE)</f>
        <v>URS</v>
      </c>
      <c r="T106" t="str">
        <f>VLOOKUP(M106,Teams!A:B,2,FALSE)</f>
        <v>ENG</v>
      </c>
    </row>
    <row r="107" spans="1:20" x14ac:dyDescent="0.25">
      <c r="A107" t="str">
        <f t="shared" si="1"/>
        <v>FIFAWC1958-5</v>
      </c>
      <c r="B107" s="4">
        <v>5</v>
      </c>
      <c r="C107" s="3">
        <v>21344</v>
      </c>
      <c r="D107" s="7">
        <v>1</v>
      </c>
      <c r="E107">
        <v>1958</v>
      </c>
      <c r="F107" t="s">
        <v>1724</v>
      </c>
      <c r="G107" t="s">
        <v>1741</v>
      </c>
      <c r="H107" t="s">
        <v>1122</v>
      </c>
      <c r="I107" t="s">
        <v>1131</v>
      </c>
      <c r="J107" t="s">
        <v>1033</v>
      </c>
      <c r="K107">
        <v>1</v>
      </c>
      <c r="L107">
        <v>0</v>
      </c>
      <c r="M107" t="s">
        <v>1037</v>
      </c>
      <c r="O107" t="s">
        <v>1436</v>
      </c>
      <c r="P107" t="s">
        <v>1414</v>
      </c>
      <c r="Q107">
        <v>10647</v>
      </c>
      <c r="R107" t="s">
        <v>1157</v>
      </c>
      <c r="S107" t="str">
        <f>VLOOKUP(J107,Teams!A:B,2,FALSE)</f>
        <v>NIR</v>
      </c>
      <c r="T107" t="str">
        <f>VLOOKUP(M107,Teams!A:B,2,FALSE)</f>
        <v>TCH</v>
      </c>
    </row>
    <row r="108" spans="1:20" x14ac:dyDescent="0.25">
      <c r="A108" t="str">
        <f t="shared" si="1"/>
        <v>FIFAWC1958-6</v>
      </c>
      <c r="B108" s="4">
        <v>6</v>
      </c>
      <c r="C108" s="3">
        <v>21344</v>
      </c>
      <c r="D108" s="7">
        <v>1</v>
      </c>
      <c r="E108">
        <v>1958</v>
      </c>
      <c r="F108" t="s">
        <v>1724</v>
      </c>
      <c r="G108" t="s">
        <v>1741</v>
      </c>
      <c r="H108" t="s">
        <v>1122</v>
      </c>
      <c r="I108" t="s">
        <v>1131</v>
      </c>
      <c r="J108" t="s">
        <v>749</v>
      </c>
      <c r="K108">
        <v>1</v>
      </c>
      <c r="L108">
        <v>3</v>
      </c>
      <c r="M108" t="s">
        <v>797</v>
      </c>
      <c r="O108" t="s">
        <v>1412</v>
      </c>
      <c r="P108" t="s">
        <v>1415</v>
      </c>
      <c r="Q108">
        <v>31156</v>
      </c>
      <c r="R108" t="s">
        <v>1157</v>
      </c>
      <c r="S108" t="str">
        <f>VLOOKUP(J108,Teams!A:B,2,FALSE)</f>
        <v>ARG</v>
      </c>
      <c r="T108" t="str">
        <f>VLOOKUP(M108,Teams!A:B,2,FALSE)</f>
        <v>GER</v>
      </c>
    </row>
    <row r="109" spans="1:20" x14ac:dyDescent="0.25">
      <c r="A109" t="str">
        <f t="shared" si="1"/>
        <v>FIFAWC1958-7</v>
      </c>
      <c r="B109" s="4">
        <v>7</v>
      </c>
      <c r="C109" s="3">
        <v>21344</v>
      </c>
      <c r="D109" s="7">
        <v>1</v>
      </c>
      <c r="E109">
        <v>1958</v>
      </c>
      <c r="F109" t="s">
        <v>1724</v>
      </c>
      <c r="G109" t="s">
        <v>1741</v>
      </c>
      <c r="H109" t="s">
        <v>1122</v>
      </c>
      <c r="I109" t="s">
        <v>1132</v>
      </c>
      <c r="J109" t="s">
        <v>1234</v>
      </c>
      <c r="K109">
        <v>1</v>
      </c>
      <c r="L109">
        <v>1</v>
      </c>
      <c r="M109" t="s">
        <v>1026</v>
      </c>
      <c r="O109" t="s">
        <v>1434</v>
      </c>
      <c r="P109" t="s">
        <v>1413</v>
      </c>
      <c r="Q109">
        <v>9500</v>
      </c>
      <c r="R109" t="s">
        <v>1157</v>
      </c>
      <c r="S109" t="str">
        <f>VLOOKUP(J109,Teams!A:B,2,FALSE)</f>
        <v>YUG</v>
      </c>
      <c r="T109" t="str">
        <f>VLOOKUP(M109,Teams!A:B,2,FALSE)</f>
        <v>SCO</v>
      </c>
    </row>
    <row r="110" spans="1:20" x14ac:dyDescent="0.25">
      <c r="A110" t="str">
        <f t="shared" si="1"/>
        <v>FIFAWC1958-8</v>
      </c>
      <c r="B110" s="4">
        <v>8</v>
      </c>
      <c r="C110" s="3">
        <v>21344</v>
      </c>
      <c r="D110" s="7">
        <v>1</v>
      </c>
      <c r="E110">
        <v>1958</v>
      </c>
      <c r="F110" t="s">
        <v>1724</v>
      </c>
      <c r="G110" t="s">
        <v>1741</v>
      </c>
      <c r="H110" t="s">
        <v>1122</v>
      </c>
      <c r="I110" t="s">
        <v>1134</v>
      </c>
      <c r="J110" t="s">
        <v>760</v>
      </c>
      <c r="K110">
        <v>3</v>
      </c>
      <c r="L110">
        <v>0</v>
      </c>
      <c r="M110" t="s">
        <v>751</v>
      </c>
      <c r="O110" t="s">
        <v>1438</v>
      </c>
      <c r="P110" t="s">
        <v>1419</v>
      </c>
      <c r="Q110">
        <v>17778</v>
      </c>
      <c r="R110" t="s">
        <v>1157</v>
      </c>
      <c r="S110" t="str">
        <f>VLOOKUP(J110,Teams!A:B,2,FALSE)</f>
        <v>BRA</v>
      </c>
      <c r="T110" t="str">
        <f>VLOOKUP(M110,Teams!A:B,2,FALSE)</f>
        <v>AUT</v>
      </c>
    </row>
    <row r="111" spans="1:20" x14ac:dyDescent="0.25">
      <c r="A111" t="str">
        <f t="shared" si="1"/>
        <v>FIFAWC1958-9</v>
      </c>
      <c r="B111" s="4">
        <v>9</v>
      </c>
      <c r="C111" s="3">
        <v>21348</v>
      </c>
      <c r="D111" s="7">
        <v>1</v>
      </c>
      <c r="E111">
        <v>1958</v>
      </c>
      <c r="F111" t="s">
        <v>1724</v>
      </c>
      <c r="G111" t="s">
        <v>1741</v>
      </c>
      <c r="H111" t="s">
        <v>1122</v>
      </c>
      <c r="I111" t="s">
        <v>1131</v>
      </c>
      <c r="J111" t="s">
        <v>749</v>
      </c>
      <c r="K111">
        <v>3</v>
      </c>
      <c r="L111">
        <v>1</v>
      </c>
      <c r="M111" t="s">
        <v>1033</v>
      </c>
      <c r="O111" t="s">
        <v>1436</v>
      </c>
      <c r="P111" t="s">
        <v>1437</v>
      </c>
      <c r="Q111">
        <v>14174</v>
      </c>
      <c r="R111" t="s">
        <v>1157</v>
      </c>
      <c r="S111" t="str">
        <f>VLOOKUP(J111,Teams!A:B,2,FALSE)</f>
        <v>ARG</v>
      </c>
      <c r="T111" t="str">
        <f>VLOOKUP(M111,Teams!A:B,2,FALSE)</f>
        <v>NIR</v>
      </c>
    </row>
    <row r="112" spans="1:20" x14ac:dyDescent="0.25">
      <c r="A112" t="str">
        <f t="shared" si="1"/>
        <v>FIFAWC1958-10</v>
      </c>
      <c r="B112" s="4">
        <v>10</v>
      </c>
      <c r="C112" s="3">
        <v>21348</v>
      </c>
      <c r="D112" s="7">
        <v>1</v>
      </c>
      <c r="E112">
        <v>1958</v>
      </c>
      <c r="F112" t="s">
        <v>1724</v>
      </c>
      <c r="G112" t="s">
        <v>1741</v>
      </c>
      <c r="H112" t="s">
        <v>1122</v>
      </c>
      <c r="I112" t="s">
        <v>1132</v>
      </c>
      <c r="J112" t="s">
        <v>1234</v>
      </c>
      <c r="K112">
        <v>3</v>
      </c>
      <c r="L112">
        <v>2</v>
      </c>
      <c r="M112" t="s">
        <v>224</v>
      </c>
      <c r="O112" t="s">
        <v>1434</v>
      </c>
      <c r="P112" t="s">
        <v>1435</v>
      </c>
      <c r="Q112">
        <v>12000</v>
      </c>
      <c r="R112" t="s">
        <v>1157</v>
      </c>
      <c r="S112" t="str">
        <f>VLOOKUP(J112,Teams!A:B,2,FALSE)</f>
        <v>YUG</v>
      </c>
      <c r="T112" t="str">
        <f>VLOOKUP(M112,Teams!A:B,2,FALSE)</f>
        <v>FRA</v>
      </c>
    </row>
    <row r="113" spans="1:20" x14ac:dyDescent="0.25">
      <c r="A113" t="str">
        <f t="shared" si="1"/>
        <v>FIFAWC1958-11</v>
      </c>
      <c r="B113" s="4">
        <v>11</v>
      </c>
      <c r="C113" s="3">
        <v>21348</v>
      </c>
      <c r="D113" s="7">
        <v>1</v>
      </c>
      <c r="E113">
        <v>1958</v>
      </c>
      <c r="F113" t="s">
        <v>1724</v>
      </c>
      <c r="G113" t="s">
        <v>1741</v>
      </c>
      <c r="H113" t="s">
        <v>1122</v>
      </c>
      <c r="I113" t="s">
        <v>1132</v>
      </c>
      <c r="J113" t="s">
        <v>866</v>
      </c>
      <c r="K113">
        <v>3</v>
      </c>
      <c r="L113">
        <v>2</v>
      </c>
      <c r="M113" t="s">
        <v>1026</v>
      </c>
      <c r="O113" t="s">
        <v>1416</v>
      </c>
      <c r="P113" t="s">
        <v>1433</v>
      </c>
      <c r="Q113">
        <v>12000</v>
      </c>
      <c r="R113" t="s">
        <v>1157</v>
      </c>
      <c r="S113" t="str">
        <f>VLOOKUP(J113,Teams!A:B,2,FALSE)</f>
        <v>PAR</v>
      </c>
      <c r="T113" t="str">
        <f>VLOOKUP(M113,Teams!A:B,2,FALSE)</f>
        <v>SCO</v>
      </c>
    </row>
    <row r="114" spans="1:20" x14ac:dyDescent="0.25">
      <c r="A114" t="str">
        <f t="shared" si="1"/>
        <v>FIFAWC1958-12</v>
      </c>
      <c r="B114" s="4">
        <v>12</v>
      </c>
      <c r="C114" s="3">
        <v>21348</v>
      </c>
      <c r="D114" s="7">
        <v>1</v>
      </c>
      <c r="E114">
        <v>1958</v>
      </c>
      <c r="F114" t="s">
        <v>1724</v>
      </c>
      <c r="G114" t="s">
        <v>1741</v>
      </c>
      <c r="H114" t="s">
        <v>1122</v>
      </c>
      <c r="I114" t="s">
        <v>1134</v>
      </c>
      <c r="J114" t="s">
        <v>760</v>
      </c>
      <c r="K114">
        <v>0</v>
      </c>
      <c r="L114">
        <v>0</v>
      </c>
      <c r="M114" t="s">
        <v>1021</v>
      </c>
      <c r="O114" t="s">
        <v>1409</v>
      </c>
      <c r="P114" t="s">
        <v>1418</v>
      </c>
      <c r="Q114">
        <v>40895</v>
      </c>
      <c r="R114" t="s">
        <v>1157</v>
      </c>
      <c r="S114" t="str">
        <f>VLOOKUP(J114,Teams!A:B,2,FALSE)</f>
        <v>BRA</v>
      </c>
      <c r="T114" t="str">
        <f>VLOOKUP(M114,Teams!A:B,2,FALSE)</f>
        <v>ENG</v>
      </c>
    </row>
    <row r="115" spans="1:20" x14ac:dyDescent="0.25">
      <c r="A115" t="str">
        <f t="shared" si="1"/>
        <v>FIFAWC1958-13</v>
      </c>
      <c r="B115" s="4">
        <v>13</v>
      </c>
      <c r="C115" s="3">
        <v>21348</v>
      </c>
      <c r="D115" s="7">
        <v>1</v>
      </c>
      <c r="E115">
        <v>1958</v>
      </c>
      <c r="F115" t="s">
        <v>1724</v>
      </c>
      <c r="G115" t="s">
        <v>1741</v>
      </c>
      <c r="H115" t="s">
        <v>1122</v>
      </c>
      <c r="I115" t="s">
        <v>1133</v>
      </c>
      <c r="J115" t="s">
        <v>845</v>
      </c>
      <c r="K115">
        <v>1</v>
      </c>
      <c r="L115">
        <v>1</v>
      </c>
      <c r="M115" t="s">
        <v>1120</v>
      </c>
      <c r="O115" t="s">
        <v>1407</v>
      </c>
      <c r="P115" t="s">
        <v>1432</v>
      </c>
      <c r="Q115">
        <v>25000</v>
      </c>
      <c r="R115" t="s">
        <v>1157</v>
      </c>
      <c r="S115" t="str">
        <f>VLOOKUP(J115,Teams!A:B,2,FALSE)</f>
        <v>MEX</v>
      </c>
      <c r="T115" t="str">
        <f>VLOOKUP(M115,Teams!A:B,2,FALSE)</f>
        <v>WAL</v>
      </c>
    </row>
    <row r="116" spans="1:20" x14ac:dyDescent="0.25">
      <c r="A116" t="str">
        <f t="shared" si="1"/>
        <v>FIFAWC1958-14</v>
      </c>
      <c r="B116" s="4">
        <v>14</v>
      </c>
      <c r="C116" s="3">
        <v>21348</v>
      </c>
      <c r="D116" s="7">
        <v>1</v>
      </c>
      <c r="E116">
        <v>1958</v>
      </c>
      <c r="F116" t="s">
        <v>1724</v>
      </c>
      <c r="G116" t="s">
        <v>1741</v>
      </c>
      <c r="H116" t="s">
        <v>1122</v>
      </c>
      <c r="I116" t="s">
        <v>1131</v>
      </c>
      <c r="J116" t="s">
        <v>797</v>
      </c>
      <c r="K116">
        <v>2</v>
      </c>
      <c r="L116">
        <v>2</v>
      </c>
      <c r="M116" t="s">
        <v>1037</v>
      </c>
      <c r="O116" t="s">
        <v>1325</v>
      </c>
      <c r="P116" t="s">
        <v>1428</v>
      </c>
      <c r="Q116">
        <v>25000</v>
      </c>
      <c r="R116" t="s">
        <v>1157</v>
      </c>
      <c r="S116" t="str">
        <f>VLOOKUP(J116,Teams!A:B,2,FALSE)</f>
        <v>GER</v>
      </c>
      <c r="T116" t="str">
        <f>VLOOKUP(M116,Teams!A:B,2,FALSE)</f>
        <v>TCH</v>
      </c>
    </row>
    <row r="117" spans="1:20" x14ac:dyDescent="0.25">
      <c r="A117" t="str">
        <f t="shared" si="1"/>
        <v>FIFAWC1958-15</v>
      </c>
      <c r="B117" s="4">
        <v>15</v>
      </c>
      <c r="C117" s="3">
        <v>21348</v>
      </c>
      <c r="D117" s="7">
        <v>1</v>
      </c>
      <c r="E117">
        <v>1958</v>
      </c>
      <c r="F117" t="s">
        <v>1724</v>
      </c>
      <c r="G117" t="s">
        <v>1741</v>
      </c>
      <c r="H117" t="s">
        <v>1122</v>
      </c>
      <c r="I117" t="s">
        <v>1134</v>
      </c>
      <c r="J117" t="s">
        <v>1754</v>
      </c>
      <c r="K117">
        <v>2</v>
      </c>
      <c r="L117">
        <v>0</v>
      </c>
      <c r="M117" t="s">
        <v>751</v>
      </c>
      <c r="O117" t="s">
        <v>1420</v>
      </c>
      <c r="P117" t="s">
        <v>1431</v>
      </c>
      <c r="Q117">
        <v>21239</v>
      </c>
      <c r="R117" t="s">
        <v>1157</v>
      </c>
      <c r="S117" t="str">
        <f>VLOOKUP(J117,Teams!A:B,2,FALSE)</f>
        <v>URS</v>
      </c>
      <c r="T117" t="str">
        <f>VLOOKUP(M117,Teams!A:B,2,FALSE)</f>
        <v>AUT</v>
      </c>
    </row>
    <row r="118" spans="1:20" x14ac:dyDescent="0.25">
      <c r="A118" t="str">
        <f t="shared" si="1"/>
        <v>FIFAWC1958-16</v>
      </c>
      <c r="B118" s="4">
        <v>16</v>
      </c>
      <c r="C118" s="3">
        <v>21349</v>
      </c>
      <c r="D118" s="7">
        <v>1</v>
      </c>
      <c r="E118">
        <v>1958</v>
      </c>
      <c r="F118" t="s">
        <v>1724</v>
      </c>
      <c r="G118" t="s">
        <v>1741</v>
      </c>
      <c r="H118" t="s">
        <v>1122</v>
      </c>
      <c r="I118" t="s">
        <v>1133</v>
      </c>
      <c r="J118" t="s">
        <v>900</v>
      </c>
      <c r="K118">
        <v>2</v>
      </c>
      <c r="L118">
        <v>1</v>
      </c>
      <c r="M118" t="s">
        <v>297</v>
      </c>
      <c r="O118" t="s">
        <v>1407</v>
      </c>
      <c r="P118" t="s">
        <v>1430</v>
      </c>
      <c r="Q118">
        <v>40000</v>
      </c>
      <c r="R118" t="s">
        <v>1157</v>
      </c>
      <c r="S118" t="str">
        <f>VLOOKUP(J118,Teams!A:B,2,FALSE)</f>
        <v>SWE</v>
      </c>
      <c r="T118" t="str">
        <f>VLOOKUP(M118,Teams!A:B,2,FALSE)</f>
        <v>HUN</v>
      </c>
    </row>
    <row r="119" spans="1:20" x14ac:dyDescent="0.25">
      <c r="A119" t="str">
        <f t="shared" si="1"/>
        <v>FIFAWC1958-17</v>
      </c>
      <c r="B119" s="4">
        <v>17</v>
      </c>
      <c r="C119" s="3">
        <v>21351</v>
      </c>
      <c r="D119" s="7">
        <v>0.79166666666666663</v>
      </c>
      <c r="E119">
        <v>1958</v>
      </c>
      <c r="F119" t="s">
        <v>1724</v>
      </c>
      <c r="G119" t="s">
        <v>1741</v>
      </c>
      <c r="H119" t="s">
        <v>1122</v>
      </c>
      <c r="I119" t="s">
        <v>1133</v>
      </c>
      <c r="J119" t="s">
        <v>900</v>
      </c>
      <c r="K119">
        <v>0</v>
      </c>
      <c r="L119">
        <v>0</v>
      </c>
      <c r="M119" t="s">
        <v>1120</v>
      </c>
      <c r="O119" t="s">
        <v>1407</v>
      </c>
      <c r="P119" t="s">
        <v>1424</v>
      </c>
      <c r="Q119">
        <v>35000</v>
      </c>
      <c r="R119" t="s">
        <v>1157</v>
      </c>
      <c r="S119" t="str">
        <f>VLOOKUP(J119,Teams!A:B,2,FALSE)</f>
        <v>SWE</v>
      </c>
      <c r="T119" t="str">
        <f>VLOOKUP(M119,Teams!A:B,2,FALSE)</f>
        <v>WAL</v>
      </c>
    </row>
    <row r="120" spans="1:20" x14ac:dyDescent="0.25">
      <c r="A120" t="str">
        <f t="shared" si="1"/>
        <v>FIFAWC1958-18</v>
      </c>
      <c r="B120" s="4">
        <v>18</v>
      </c>
      <c r="C120" s="3">
        <v>21352</v>
      </c>
      <c r="D120" s="7">
        <v>1</v>
      </c>
      <c r="E120">
        <v>1958</v>
      </c>
      <c r="F120" t="s">
        <v>1724</v>
      </c>
      <c r="G120" t="s">
        <v>1741</v>
      </c>
      <c r="H120" t="s">
        <v>1122</v>
      </c>
      <c r="I120" t="s">
        <v>1132</v>
      </c>
      <c r="J120" t="s">
        <v>866</v>
      </c>
      <c r="K120">
        <v>3</v>
      </c>
      <c r="L120">
        <v>3</v>
      </c>
      <c r="M120" t="s">
        <v>1234</v>
      </c>
      <c r="O120" t="s">
        <v>1425</v>
      </c>
      <c r="P120" t="s">
        <v>1426</v>
      </c>
      <c r="Q120">
        <v>12000</v>
      </c>
      <c r="R120" t="s">
        <v>1157</v>
      </c>
      <c r="S120" t="str">
        <f>VLOOKUP(J120,Teams!A:B,2,FALSE)</f>
        <v>PAR</v>
      </c>
      <c r="T120" t="str">
        <f>VLOOKUP(M120,Teams!A:B,2,FALSE)</f>
        <v>YUG</v>
      </c>
    </row>
    <row r="121" spans="1:20" x14ac:dyDescent="0.25">
      <c r="A121" t="str">
        <f t="shared" si="1"/>
        <v>FIFAWC1958-19</v>
      </c>
      <c r="B121" s="4">
        <v>19</v>
      </c>
      <c r="C121" s="3">
        <v>21352</v>
      </c>
      <c r="D121" s="7">
        <v>1</v>
      </c>
      <c r="E121">
        <v>1958</v>
      </c>
      <c r="F121" t="s">
        <v>1724</v>
      </c>
      <c r="G121" t="s">
        <v>1741</v>
      </c>
      <c r="H121" t="s">
        <v>1122</v>
      </c>
      <c r="I121" t="s">
        <v>1133</v>
      </c>
      <c r="J121" t="s">
        <v>297</v>
      </c>
      <c r="K121">
        <v>4</v>
      </c>
      <c r="L121">
        <v>0</v>
      </c>
      <c r="M121" t="s">
        <v>845</v>
      </c>
      <c r="O121" t="s">
        <v>1422</v>
      </c>
      <c r="P121" t="s">
        <v>1423</v>
      </c>
      <c r="Q121">
        <v>13300</v>
      </c>
      <c r="R121" t="s">
        <v>1157</v>
      </c>
      <c r="S121" t="str">
        <f>VLOOKUP(J121,Teams!A:B,2,FALSE)</f>
        <v>HUN</v>
      </c>
      <c r="T121" t="str">
        <f>VLOOKUP(M121,Teams!A:B,2,FALSE)</f>
        <v>MEX</v>
      </c>
    </row>
    <row r="122" spans="1:20" x14ac:dyDescent="0.25">
      <c r="A122" t="str">
        <f t="shared" si="1"/>
        <v>FIFAWC1958-20</v>
      </c>
      <c r="B122" s="4">
        <v>20</v>
      </c>
      <c r="C122" s="3">
        <v>21352</v>
      </c>
      <c r="D122" s="7">
        <v>1</v>
      </c>
      <c r="E122">
        <v>1958</v>
      </c>
      <c r="F122" t="s">
        <v>1724</v>
      </c>
      <c r="G122" t="s">
        <v>1741</v>
      </c>
      <c r="H122" t="s">
        <v>1122</v>
      </c>
      <c r="I122" t="s">
        <v>1134</v>
      </c>
      <c r="J122" t="s">
        <v>1021</v>
      </c>
      <c r="K122">
        <v>2</v>
      </c>
      <c r="L122">
        <v>2</v>
      </c>
      <c r="M122" t="s">
        <v>751</v>
      </c>
      <c r="O122" t="s">
        <v>1420</v>
      </c>
      <c r="P122" t="s">
        <v>1421</v>
      </c>
      <c r="Q122">
        <v>15872</v>
      </c>
      <c r="R122" t="s">
        <v>1157</v>
      </c>
      <c r="S122" t="str">
        <f>VLOOKUP(J122,Teams!A:B,2,FALSE)</f>
        <v>ENG</v>
      </c>
      <c r="T122" t="str">
        <f>VLOOKUP(M122,Teams!A:B,2,FALSE)</f>
        <v>AUT</v>
      </c>
    </row>
    <row r="123" spans="1:20" x14ac:dyDescent="0.25">
      <c r="A123" t="str">
        <f t="shared" si="1"/>
        <v>FIFAWC1958-21</v>
      </c>
      <c r="B123" s="4">
        <v>21</v>
      </c>
      <c r="C123" s="3">
        <v>21352</v>
      </c>
      <c r="D123" s="7">
        <v>1</v>
      </c>
      <c r="E123">
        <v>1958</v>
      </c>
      <c r="F123" t="s">
        <v>1724</v>
      </c>
      <c r="G123" t="s">
        <v>1741</v>
      </c>
      <c r="H123" t="s">
        <v>1122</v>
      </c>
      <c r="I123" t="s">
        <v>1131</v>
      </c>
      <c r="J123" t="s">
        <v>1037</v>
      </c>
      <c r="K123">
        <v>6</v>
      </c>
      <c r="L123">
        <v>1</v>
      </c>
      <c r="M123" t="s">
        <v>749</v>
      </c>
      <c r="O123" t="s">
        <v>1325</v>
      </c>
      <c r="P123" t="s">
        <v>1428</v>
      </c>
      <c r="Q123">
        <v>16418</v>
      </c>
      <c r="R123" t="s">
        <v>1157</v>
      </c>
      <c r="S123" t="str">
        <f>VLOOKUP(J123,Teams!A:B,2,FALSE)</f>
        <v>TCH</v>
      </c>
      <c r="T123" t="str">
        <f>VLOOKUP(M123,Teams!A:B,2,FALSE)</f>
        <v>ARG</v>
      </c>
    </row>
    <row r="124" spans="1:20" x14ac:dyDescent="0.25">
      <c r="A124" t="str">
        <f t="shared" si="1"/>
        <v>FIFAWC1958-22</v>
      </c>
      <c r="B124" s="4">
        <v>22</v>
      </c>
      <c r="C124" s="3">
        <v>21352</v>
      </c>
      <c r="D124" s="7">
        <v>1</v>
      </c>
      <c r="E124">
        <v>1958</v>
      </c>
      <c r="F124" t="s">
        <v>1724</v>
      </c>
      <c r="G124" t="s">
        <v>1741</v>
      </c>
      <c r="H124" t="s">
        <v>1122</v>
      </c>
      <c r="I124" t="s">
        <v>1132</v>
      </c>
      <c r="J124" t="s">
        <v>224</v>
      </c>
      <c r="K124">
        <v>2</v>
      </c>
      <c r="L124">
        <v>1</v>
      </c>
      <c r="M124" t="s">
        <v>1026</v>
      </c>
      <c r="O124" t="s">
        <v>1427</v>
      </c>
      <c r="P124" t="s">
        <v>1410</v>
      </c>
      <c r="Q124">
        <v>13500</v>
      </c>
      <c r="R124" t="s">
        <v>1157</v>
      </c>
      <c r="S124" t="str">
        <f>VLOOKUP(J124,Teams!A:B,2,FALSE)</f>
        <v>FRA</v>
      </c>
      <c r="T124" t="str">
        <f>VLOOKUP(M124,Teams!A:B,2,FALSE)</f>
        <v>SCO</v>
      </c>
    </row>
    <row r="125" spans="1:20" x14ac:dyDescent="0.25">
      <c r="A125" t="str">
        <f t="shared" si="1"/>
        <v>FIFAWC1958-23</v>
      </c>
      <c r="B125" s="4">
        <v>23</v>
      </c>
      <c r="C125" s="3">
        <v>21352</v>
      </c>
      <c r="D125" s="7">
        <v>1</v>
      </c>
      <c r="E125">
        <v>1958</v>
      </c>
      <c r="F125" t="s">
        <v>1724</v>
      </c>
      <c r="G125" t="s">
        <v>1741</v>
      </c>
      <c r="H125" t="s">
        <v>1122</v>
      </c>
      <c r="I125" t="s">
        <v>1131</v>
      </c>
      <c r="J125" t="s">
        <v>1033</v>
      </c>
      <c r="K125">
        <v>2</v>
      </c>
      <c r="L125">
        <v>2</v>
      </c>
      <c r="M125" t="s">
        <v>797</v>
      </c>
      <c r="O125" t="s">
        <v>1412</v>
      </c>
      <c r="P125" t="s">
        <v>1429</v>
      </c>
      <c r="Q125">
        <v>21990</v>
      </c>
      <c r="R125" t="s">
        <v>1157</v>
      </c>
      <c r="S125" t="str">
        <f>VLOOKUP(J125,Teams!A:B,2,FALSE)</f>
        <v>NIR</v>
      </c>
      <c r="T125" t="str">
        <f>VLOOKUP(M125,Teams!A:B,2,FALSE)</f>
        <v>GER</v>
      </c>
    </row>
    <row r="126" spans="1:20" x14ac:dyDescent="0.25">
      <c r="A126" t="str">
        <f t="shared" si="1"/>
        <v>FIFAWC1958-24</v>
      </c>
      <c r="B126" s="4">
        <v>24</v>
      </c>
      <c r="C126" s="3">
        <v>21352</v>
      </c>
      <c r="D126" s="7">
        <v>1</v>
      </c>
      <c r="E126">
        <v>1958</v>
      </c>
      <c r="F126" t="s">
        <v>1724</v>
      </c>
      <c r="G126" t="s">
        <v>1741</v>
      </c>
      <c r="H126" t="s">
        <v>1122</v>
      </c>
      <c r="I126" t="s">
        <v>1134</v>
      </c>
      <c r="J126" t="s">
        <v>760</v>
      </c>
      <c r="K126">
        <v>2</v>
      </c>
      <c r="L126">
        <v>0</v>
      </c>
      <c r="M126" t="s">
        <v>1754</v>
      </c>
      <c r="O126" t="s">
        <v>1409</v>
      </c>
      <c r="P126" t="s">
        <v>1419</v>
      </c>
      <c r="Q126">
        <v>50928</v>
      </c>
      <c r="R126" t="s">
        <v>1157</v>
      </c>
      <c r="S126" t="str">
        <f>VLOOKUP(J126,Teams!A:B,2,FALSE)</f>
        <v>BRA</v>
      </c>
      <c r="T126" t="str">
        <f>VLOOKUP(M126,Teams!A:B,2,FALSE)</f>
        <v>URS</v>
      </c>
    </row>
    <row r="127" spans="1:20" x14ac:dyDescent="0.25">
      <c r="A127" t="str">
        <f t="shared" si="1"/>
        <v>FIFAWC1958-25</v>
      </c>
      <c r="B127" s="4">
        <v>25</v>
      </c>
      <c r="C127" s="3">
        <v>21354</v>
      </c>
      <c r="D127" s="7">
        <v>1</v>
      </c>
      <c r="E127">
        <v>1958</v>
      </c>
      <c r="F127" t="s">
        <v>1724</v>
      </c>
      <c r="G127" t="s">
        <v>1741</v>
      </c>
      <c r="H127" t="s">
        <v>1122</v>
      </c>
      <c r="I127" t="s">
        <v>1131</v>
      </c>
      <c r="J127" t="s">
        <v>1033</v>
      </c>
      <c r="K127">
        <v>2</v>
      </c>
      <c r="L127">
        <v>1</v>
      </c>
      <c r="M127" t="s">
        <v>1037</v>
      </c>
      <c r="O127" t="s">
        <v>1412</v>
      </c>
      <c r="P127" t="s">
        <v>1419</v>
      </c>
      <c r="Q127">
        <v>6196</v>
      </c>
      <c r="R127" t="s">
        <v>1157</v>
      </c>
      <c r="S127" t="str">
        <f>VLOOKUP(J127,Teams!A:B,2,FALSE)</f>
        <v>NIR</v>
      </c>
      <c r="T127" t="str">
        <f>VLOOKUP(M127,Teams!A:B,2,FALSE)</f>
        <v>TCH</v>
      </c>
    </row>
    <row r="128" spans="1:20" x14ac:dyDescent="0.25">
      <c r="A128" t="str">
        <f t="shared" si="1"/>
        <v>FIFAWC1958-26</v>
      </c>
      <c r="B128" s="4">
        <v>26</v>
      </c>
      <c r="C128" s="3">
        <v>21354</v>
      </c>
      <c r="D128" s="7">
        <v>1</v>
      </c>
      <c r="E128">
        <v>1958</v>
      </c>
      <c r="F128" t="s">
        <v>1724</v>
      </c>
      <c r="G128" t="s">
        <v>1741</v>
      </c>
      <c r="H128" t="s">
        <v>1122</v>
      </c>
      <c r="I128" t="s">
        <v>1133</v>
      </c>
      <c r="J128" t="s">
        <v>1120</v>
      </c>
      <c r="K128">
        <v>2</v>
      </c>
      <c r="L128">
        <v>1</v>
      </c>
      <c r="M128" t="s">
        <v>297</v>
      </c>
      <c r="O128" t="s">
        <v>1407</v>
      </c>
      <c r="Q128">
        <v>2823</v>
      </c>
      <c r="R128" t="s">
        <v>1157</v>
      </c>
      <c r="S128" t="str">
        <f>VLOOKUP(J128,Teams!A:B,2,FALSE)</f>
        <v>WAL</v>
      </c>
      <c r="T128" t="str">
        <f>VLOOKUP(M128,Teams!A:B,2,FALSE)</f>
        <v>HUN</v>
      </c>
    </row>
    <row r="129" spans="1:20" x14ac:dyDescent="0.25">
      <c r="A129" t="str">
        <f t="shared" si="1"/>
        <v>FIFAWC1958-27</v>
      </c>
      <c r="B129" s="4">
        <v>27</v>
      </c>
      <c r="C129" s="3">
        <v>21354</v>
      </c>
      <c r="D129" s="7">
        <v>1</v>
      </c>
      <c r="E129">
        <v>1958</v>
      </c>
      <c r="F129" t="s">
        <v>1724</v>
      </c>
      <c r="G129" t="s">
        <v>1741</v>
      </c>
      <c r="H129" t="s">
        <v>1122</v>
      </c>
      <c r="I129" t="s">
        <v>1134</v>
      </c>
      <c r="J129" t="s">
        <v>1754</v>
      </c>
      <c r="K129">
        <v>1</v>
      </c>
      <c r="L129">
        <v>0</v>
      </c>
      <c r="M129" t="s">
        <v>1021</v>
      </c>
      <c r="O129" t="s">
        <v>1409</v>
      </c>
      <c r="P129" t="s">
        <v>1418</v>
      </c>
      <c r="Q129">
        <v>23182</v>
      </c>
      <c r="R129" t="s">
        <v>1157</v>
      </c>
      <c r="S129" t="str">
        <f>VLOOKUP(J129,Teams!A:B,2,FALSE)</f>
        <v>URS</v>
      </c>
      <c r="T129" t="str">
        <f>VLOOKUP(M129,Teams!A:B,2,FALSE)</f>
        <v>ENG</v>
      </c>
    </row>
    <row r="130" spans="1:20" x14ac:dyDescent="0.25">
      <c r="A130" t="str">
        <f t="shared" ref="A130:A193" si="2">F130&amp;"-"&amp;B130</f>
        <v>FIFAWC1958-28</v>
      </c>
      <c r="B130" s="4">
        <v>28</v>
      </c>
      <c r="C130" s="3">
        <v>21356</v>
      </c>
      <c r="D130" s="7">
        <v>1</v>
      </c>
      <c r="E130">
        <v>1958</v>
      </c>
      <c r="F130" t="s">
        <v>1724</v>
      </c>
      <c r="G130" t="s">
        <v>1741</v>
      </c>
      <c r="H130" t="s">
        <v>1759</v>
      </c>
      <c r="I130" t="s">
        <v>1139</v>
      </c>
      <c r="J130" t="s">
        <v>760</v>
      </c>
      <c r="K130">
        <v>1</v>
      </c>
      <c r="L130">
        <v>0</v>
      </c>
      <c r="M130" t="s">
        <v>1120</v>
      </c>
      <c r="O130" t="s">
        <v>1409</v>
      </c>
      <c r="P130" t="s">
        <v>1414</v>
      </c>
      <c r="Q130">
        <v>25000</v>
      </c>
      <c r="R130" t="s">
        <v>1157</v>
      </c>
      <c r="S130" t="str">
        <f>VLOOKUP(J130,Teams!A:B,2,FALSE)</f>
        <v>BRA</v>
      </c>
      <c r="T130" t="str">
        <f>VLOOKUP(M130,Teams!A:B,2,FALSE)</f>
        <v>WAL</v>
      </c>
    </row>
    <row r="131" spans="1:20" x14ac:dyDescent="0.25">
      <c r="A131" t="str">
        <f t="shared" si="2"/>
        <v>FIFAWC1958-29</v>
      </c>
      <c r="B131" s="4">
        <v>29</v>
      </c>
      <c r="C131" s="3">
        <v>21356</v>
      </c>
      <c r="D131" s="7">
        <v>1</v>
      </c>
      <c r="E131">
        <v>1958</v>
      </c>
      <c r="F131" t="s">
        <v>1724</v>
      </c>
      <c r="G131" t="s">
        <v>1741</v>
      </c>
      <c r="H131" t="s">
        <v>1759</v>
      </c>
      <c r="I131" t="s">
        <v>1139</v>
      </c>
      <c r="J131" t="s">
        <v>224</v>
      </c>
      <c r="K131">
        <v>4</v>
      </c>
      <c r="L131">
        <v>0</v>
      </c>
      <c r="M131" t="s">
        <v>1033</v>
      </c>
      <c r="O131" t="s">
        <v>1416</v>
      </c>
      <c r="P131" t="s">
        <v>1417</v>
      </c>
      <c r="Q131">
        <v>12000</v>
      </c>
      <c r="R131" t="s">
        <v>1157</v>
      </c>
      <c r="S131" t="str">
        <f>VLOOKUP(J131,Teams!A:B,2,FALSE)</f>
        <v>FRA</v>
      </c>
      <c r="T131" t="str">
        <f>VLOOKUP(M131,Teams!A:B,2,FALSE)</f>
        <v>NIR</v>
      </c>
    </row>
    <row r="132" spans="1:20" x14ac:dyDescent="0.25">
      <c r="A132" t="str">
        <f t="shared" si="2"/>
        <v>FIFAWC1958-30</v>
      </c>
      <c r="B132" s="4">
        <v>30</v>
      </c>
      <c r="C132" s="3">
        <v>21356</v>
      </c>
      <c r="D132" s="7">
        <v>1</v>
      </c>
      <c r="E132">
        <v>1958</v>
      </c>
      <c r="F132" t="s">
        <v>1724</v>
      </c>
      <c r="G132" t="s">
        <v>1741</v>
      </c>
      <c r="H132" t="s">
        <v>1759</v>
      </c>
      <c r="I132" t="s">
        <v>1139</v>
      </c>
      <c r="J132" t="s">
        <v>797</v>
      </c>
      <c r="K132">
        <v>1</v>
      </c>
      <c r="L132">
        <v>0</v>
      </c>
      <c r="M132" t="s">
        <v>1234</v>
      </c>
      <c r="O132" t="s">
        <v>1412</v>
      </c>
      <c r="P132" t="s">
        <v>1413</v>
      </c>
      <c r="Q132">
        <v>20000</v>
      </c>
      <c r="R132" t="s">
        <v>1157</v>
      </c>
      <c r="S132" t="str">
        <f>VLOOKUP(J132,Teams!A:B,2,FALSE)</f>
        <v>GER</v>
      </c>
      <c r="T132" t="str">
        <f>VLOOKUP(M132,Teams!A:B,2,FALSE)</f>
        <v>YUG</v>
      </c>
    </row>
    <row r="133" spans="1:20" x14ac:dyDescent="0.25">
      <c r="A133" t="str">
        <f t="shared" si="2"/>
        <v>FIFAWC1958-31</v>
      </c>
      <c r="B133" s="4">
        <v>31</v>
      </c>
      <c r="C133" s="3">
        <v>21356</v>
      </c>
      <c r="D133" s="7">
        <v>1</v>
      </c>
      <c r="E133">
        <v>1958</v>
      </c>
      <c r="F133" t="s">
        <v>1724</v>
      </c>
      <c r="G133" t="s">
        <v>1741</v>
      </c>
      <c r="H133" t="s">
        <v>1759</v>
      </c>
      <c r="I133" t="s">
        <v>1139</v>
      </c>
      <c r="J133" t="s">
        <v>900</v>
      </c>
      <c r="K133">
        <v>2</v>
      </c>
      <c r="L133">
        <v>0</v>
      </c>
      <c r="M133" t="s">
        <v>1754</v>
      </c>
      <c r="O133" t="s">
        <v>1407</v>
      </c>
      <c r="P133" t="s">
        <v>1415</v>
      </c>
      <c r="Q133">
        <v>45000</v>
      </c>
      <c r="R133" t="s">
        <v>1157</v>
      </c>
      <c r="S133" t="str">
        <f>VLOOKUP(J133,Teams!A:B,2,FALSE)</f>
        <v>SWE</v>
      </c>
      <c r="T133" t="str">
        <f>VLOOKUP(M133,Teams!A:B,2,FALSE)</f>
        <v>URS</v>
      </c>
    </row>
    <row r="134" spans="1:20" x14ac:dyDescent="0.25">
      <c r="A134" t="str">
        <f t="shared" si="2"/>
        <v>FIFAWC1958-32</v>
      </c>
      <c r="B134" s="4">
        <v>32</v>
      </c>
      <c r="C134" s="3">
        <v>21361</v>
      </c>
      <c r="D134" s="7">
        <v>1</v>
      </c>
      <c r="E134">
        <v>1958</v>
      </c>
      <c r="F134" t="s">
        <v>1724</v>
      </c>
      <c r="G134" t="s">
        <v>1741</v>
      </c>
      <c r="H134" t="s">
        <v>1759</v>
      </c>
      <c r="I134" t="s">
        <v>1140</v>
      </c>
      <c r="J134" t="s">
        <v>760</v>
      </c>
      <c r="K134">
        <v>5</v>
      </c>
      <c r="L134">
        <v>2</v>
      </c>
      <c r="M134" t="s">
        <v>224</v>
      </c>
      <c r="O134" t="s">
        <v>1407</v>
      </c>
      <c r="Q134">
        <v>27000</v>
      </c>
      <c r="R134" t="s">
        <v>1157</v>
      </c>
      <c r="S134" t="str">
        <f>VLOOKUP(J134,Teams!A:B,2,FALSE)</f>
        <v>BRA</v>
      </c>
      <c r="T134" t="str">
        <f>VLOOKUP(M134,Teams!A:B,2,FALSE)</f>
        <v>FRA</v>
      </c>
    </row>
    <row r="135" spans="1:20" x14ac:dyDescent="0.25">
      <c r="A135" t="str">
        <f t="shared" si="2"/>
        <v>FIFAWC1958-33</v>
      </c>
      <c r="B135" s="4">
        <v>33</v>
      </c>
      <c r="C135" s="3">
        <v>21361</v>
      </c>
      <c r="D135" s="7">
        <v>1</v>
      </c>
      <c r="E135">
        <v>1958</v>
      </c>
      <c r="F135" t="s">
        <v>1724</v>
      </c>
      <c r="G135" t="s">
        <v>1741</v>
      </c>
      <c r="H135" t="s">
        <v>1759</v>
      </c>
      <c r="I135" t="s">
        <v>1140</v>
      </c>
      <c r="J135" t="s">
        <v>900</v>
      </c>
      <c r="K135">
        <v>3</v>
      </c>
      <c r="L135">
        <v>1</v>
      </c>
      <c r="M135" t="s">
        <v>797</v>
      </c>
      <c r="O135" t="s">
        <v>1409</v>
      </c>
      <c r="P135" t="s">
        <v>1411</v>
      </c>
      <c r="Q135">
        <v>50000</v>
      </c>
      <c r="R135" t="s">
        <v>1157</v>
      </c>
      <c r="S135" t="str">
        <f>VLOOKUP(J135,Teams!A:B,2,FALSE)</f>
        <v>SWE</v>
      </c>
      <c r="T135" t="str">
        <f>VLOOKUP(M135,Teams!A:B,2,FALSE)</f>
        <v>GER</v>
      </c>
    </row>
    <row r="136" spans="1:20" x14ac:dyDescent="0.25">
      <c r="A136" t="str">
        <f t="shared" si="2"/>
        <v>FIFAWC1958-34</v>
      </c>
      <c r="B136" s="4">
        <v>34</v>
      </c>
      <c r="C136" s="3">
        <v>21364</v>
      </c>
      <c r="D136" s="7">
        <v>1</v>
      </c>
      <c r="E136">
        <v>1958</v>
      </c>
      <c r="F136" t="s">
        <v>1724</v>
      </c>
      <c r="G136" t="s">
        <v>1741</v>
      </c>
      <c r="H136" t="s">
        <v>1759</v>
      </c>
      <c r="I136" t="s">
        <v>1018</v>
      </c>
      <c r="J136" t="s">
        <v>224</v>
      </c>
      <c r="K136">
        <v>6</v>
      </c>
      <c r="L136">
        <v>3</v>
      </c>
      <c r="M136" t="s">
        <v>797</v>
      </c>
      <c r="O136" t="s">
        <v>1409</v>
      </c>
      <c r="P136" t="s">
        <v>1410</v>
      </c>
      <c r="Q136">
        <v>25000</v>
      </c>
      <c r="R136" t="s">
        <v>1157</v>
      </c>
      <c r="S136" t="str">
        <f>VLOOKUP(J136,Teams!A:B,2,FALSE)</f>
        <v>FRA</v>
      </c>
      <c r="T136" t="str">
        <f>VLOOKUP(M136,Teams!A:B,2,FALSE)</f>
        <v>GER</v>
      </c>
    </row>
    <row r="137" spans="1:20" x14ac:dyDescent="0.25">
      <c r="A137" t="str">
        <f t="shared" si="2"/>
        <v>FIFAWC1958-35</v>
      </c>
      <c r="B137" s="4">
        <v>35</v>
      </c>
      <c r="C137" s="3">
        <v>21365</v>
      </c>
      <c r="D137" s="7">
        <v>1</v>
      </c>
      <c r="E137">
        <v>1958</v>
      </c>
      <c r="F137" t="s">
        <v>1724</v>
      </c>
      <c r="G137" t="s">
        <v>1741</v>
      </c>
      <c r="H137" t="s">
        <v>1759</v>
      </c>
      <c r="I137" t="s">
        <v>1141</v>
      </c>
      <c r="J137" t="s">
        <v>760</v>
      </c>
      <c r="K137">
        <v>5</v>
      </c>
      <c r="L137">
        <v>2</v>
      </c>
      <c r="M137" t="s">
        <v>900</v>
      </c>
      <c r="O137" t="s">
        <v>1407</v>
      </c>
      <c r="P137" t="s">
        <v>1408</v>
      </c>
      <c r="Q137">
        <v>51800</v>
      </c>
      <c r="R137" t="s">
        <v>1157</v>
      </c>
      <c r="S137" t="str">
        <f>VLOOKUP(J137,Teams!A:B,2,FALSE)</f>
        <v>BRA</v>
      </c>
      <c r="T137" t="str">
        <f>VLOOKUP(M137,Teams!A:B,2,FALSE)</f>
        <v>SWE</v>
      </c>
    </row>
    <row r="138" spans="1:20" x14ac:dyDescent="0.25">
      <c r="A138" t="str">
        <f t="shared" si="2"/>
        <v>FIFAWC1962-1</v>
      </c>
      <c r="B138" s="4">
        <v>1</v>
      </c>
      <c r="C138" s="3">
        <v>22797</v>
      </c>
      <c r="D138" s="7">
        <v>0.125</v>
      </c>
      <c r="E138">
        <v>1962</v>
      </c>
      <c r="F138" t="s">
        <v>1725</v>
      </c>
      <c r="G138" t="s">
        <v>1741</v>
      </c>
      <c r="H138" t="s">
        <v>1122</v>
      </c>
      <c r="I138" t="s">
        <v>1132</v>
      </c>
      <c r="J138" t="s">
        <v>768</v>
      </c>
      <c r="K138">
        <v>3</v>
      </c>
      <c r="L138">
        <v>1</v>
      </c>
      <c r="M138" t="s">
        <v>901</v>
      </c>
      <c r="O138" t="s">
        <v>1389</v>
      </c>
      <c r="P138" t="s">
        <v>1402</v>
      </c>
      <c r="Q138">
        <v>65000</v>
      </c>
      <c r="R138" t="s">
        <v>1157</v>
      </c>
      <c r="S138" t="str">
        <f>VLOOKUP(J138,Teams!A:B,2,FALSE)</f>
        <v>CHI</v>
      </c>
      <c r="T138" t="str">
        <f>VLOOKUP(M138,Teams!A:B,2,FALSE)</f>
        <v>SUI</v>
      </c>
    </row>
    <row r="139" spans="1:20" x14ac:dyDescent="0.25">
      <c r="A139" t="str">
        <f t="shared" si="2"/>
        <v>FIFAWC1962-2</v>
      </c>
      <c r="B139" s="4">
        <v>2</v>
      </c>
      <c r="C139" s="3">
        <v>22797</v>
      </c>
      <c r="D139" s="7">
        <v>0.125</v>
      </c>
      <c r="E139">
        <v>1962</v>
      </c>
      <c r="F139" t="s">
        <v>1725</v>
      </c>
      <c r="G139" t="s">
        <v>1741</v>
      </c>
      <c r="H139" t="s">
        <v>1122</v>
      </c>
      <c r="I139" t="s">
        <v>1134</v>
      </c>
      <c r="J139" t="s">
        <v>749</v>
      </c>
      <c r="K139">
        <v>1</v>
      </c>
      <c r="L139">
        <v>0</v>
      </c>
      <c r="M139" t="s">
        <v>761</v>
      </c>
      <c r="O139" t="s">
        <v>1392</v>
      </c>
      <c r="P139" t="s">
        <v>1405</v>
      </c>
      <c r="Q139">
        <v>7134</v>
      </c>
      <c r="R139" t="s">
        <v>1157</v>
      </c>
      <c r="S139" t="str">
        <f>VLOOKUP(J139,Teams!A:B,2,FALSE)</f>
        <v>ARG</v>
      </c>
      <c r="T139" t="str">
        <f>VLOOKUP(M139,Teams!A:B,2,FALSE)</f>
        <v>BUL</v>
      </c>
    </row>
    <row r="140" spans="1:20" x14ac:dyDescent="0.25">
      <c r="A140" t="str">
        <f t="shared" si="2"/>
        <v>FIFAWC1962-3</v>
      </c>
      <c r="B140" s="4">
        <v>3</v>
      </c>
      <c r="C140" s="3">
        <v>22797</v>
      </c>
      <c r="D140" s="7">
        <v>0.125</v>
      </c>
      <c r="E140">
        <v>1962</v>
      </c>
      <c r="F140" t="s">
        <v>1725</v>
      </c>
      <c r="G140" t="s">
        <v>1741</v>
      </c>
      <c r="H140" t="s">
        <v>1122</v>
      </c>
      <c r="I140" t="s">
        <v>1131</v>
      </c>
      <c r="J140" t="s">
        <v>916</v>
      </c>
      <c r="K140">
        <v>2</v>
      </c>
      <c r="L140">
        <v>1</v>
      </c>
      <c r="M140" t="s">
        <v>771</v>
      </c>
      <c r="O140" t="s">
        <v>1393</v>
      </c>
      <c r="P140" t="s">
        <v>1406</v>
      </c>
      <c r="Q140">
        <v>7908</v>
      </c>
      <c r="R140" t="s">
        <v>1157</v>
      </c>
      <c r="S140" t="str">
        <f>VLOOKUP(J140,Teams!A:B,2,FALSE)</f>
        <v>URU</v>
      </c>
      <c r="T140" t="str">
        <f>VLOOKUP(M140,Teams!A:B,2,FALSE)</f>
        <v>COL</v>
      </c>
    </row>
    <row r="141" spans="1:20" x14ac:dyDescent="0.25">
      <c r="A141" t="str">
        <f t="shared" si="2"/>
        <v>FIFAWC1962-4</v>
      </c>
      <c r="B141" s="4">
        <v>4</v>
      </c>
      <c r="C141" s="3">
        <v>22797</v>
      </c>
      <c r="D141" s="7">
        <v>0.125</v>
      </c>
      <c r="E141">
        <v>1962</v>
      </c>
      <c r="F141" t="s">
        <v>1725</v>
      </c>
      <c r="G141" t="s">
        <v>1741</v>
      </c>
      <c r="H141" t="s">
        <v>1122</v>
      </c>
      <c r="I141" t="s">
        <v>1133</v>
      </c>
      <c r="J141" t="s">
        <v>760</v>
      </c>
      <c r="K141">
        <v>2</v>
      </c>
      <c r="L141">
        <v>0</v>
      </c>
      <c r="M141" t="s">
        <v>845</v>
      </c>
      <c r="O141" t="s">
        <v>1391</v>
      </c>
      <c r="P141" t="s">
        <v>1361</v>
      </c>
      <c r="Q141">
        <v>10484</v>
      </c>
      <c r="R141" t="s">
        <v>1157</v>
      </c>
      <c r="S141" t="str">
        <f>VLOOKUP(J141,Teams!A:B,2,FALSE)</f>
        <v>BRA</v>
      </c>
      <c r="T141" t="str">
        <f>VLOOKUP(M141,Teams!A:B,2,FALSE)</f>
        <v>MEX</v>
      </c>
    </row>
    <row r="142" spans="1:20" x14ac:dyDescent="0.25">
      <c r="A142" t="str">
        <f t="shared" si="2"/>
        <v>FIFAWC1962-5</v>
      </c>
      <c r="B142" s="4">
        <v>5</v>
      </c>
      <c r="C142" s="3">
        <v>22798</v>
      </c>
      <c r="D142" s="7">
        <v>0.125</v>
      </c>
      <c r="E142">
        <v>1962</v>
      </c>
      <c r="F142" t="s">
        <v>1725</v>
      </c>
      <c r="G142" t="s">
        <v>1741</v>
      </c>
      <c r="H142" t="s">
        <v>1122</v>
      </c>
      <c r="I142" t="s">
        <v>1132</v>
      </c>
      <c r="J142" t="s">
        <v>797</v>
      </c>
      <c r="K142">
        <v>0</v>
      </c>
      <c r="L142">
        <v>0</v>
      </c>
      <c r="M142" t="s">
        <v>817</v>
      </c>
      <c r="O142" t="s">
        <v>1389</v>
      </c>
      <c r="P142" t="s">
        <v>1398</v>
      </c>
      <c r="Q142">
        <v>65440</v>
      </c>
      <c r="R142" t="s">
        <v>1157</v>
      </c>
      <c r="S142" t="str">
        <f>VLOOKUP(J142,Teams!A:B,2,FALSE)</f>
        <v>GER</v>
      </c>
      <c r="T142" t="str">
        <f>VLOOKUP(M142,Teams!A:B,2,FALSE)</f>
        <v>ITA</v>
      </c>
    </row>
    <row r="143" spans="1:20" x14ac:dyDescent="0.25">
      <c r="A143" t="str">
        <f t="shared" si="2"/>
        <v>FIFAWC1962-6</v>
      </c>
      <c r="B143" s="4">
        <v>6</v>
      </c>
      <c r="C143" s="3">
        <v>22798</v>
      </c>
      <c r="D143" s="7">
        <v>0.125</v>
      </c>
      <c r="E143">
        <v>1962</v>
      </c>
      <c r="F143" t="s">
        <v>1725</v>
      </c>
      <c r="G143" t="s">
        <v>1741</v>
      </c>
      <c r="H143" t="s">
        <v>1122</v>
      </c>
      <c r="I143" t="s">
        <v>1131</v>
      </c>
      <c r="J143" t="s">
        <v>1754</v>
      </c>
      <c r="K143">
        <v>2</v>
      </c>
      <c r="L143">
        <v>0</v>
      </c>
      <c r="M143" t="s">
        <v>1234</v>
      </c>
      <c r="O143" t="s">
        <v>1393</v>
      </c>
      <c r="P143" t="s">
        <v>1404</v>
      </c>
      <c r="Q143">
        <v>15000</v>
      </c>
      <c r="R143" t="s">
        <v>1157</v>
      </c>
      <c r="S143" t="str">
        <f>VLOOKUP(J143,Teams!A:B,2,FALSE)</f>
        <v>URS</v>
      </c>
      <c r="T143" t="str">
        <f>VLOOKUP(M143,Teams!A:B,2,FALSE)</f>
        <v>YUG</v>
      </c>
    </row>
    <row r="144" spans="1:20" x14ac:dyDescent="0.25">
      <c r="A144" t="str">
        <f t="shared" si="2"/>
        <v>FIFAWC1962-7</v>
      </c>
      <c r="B144" s="4">
        <v>7</v>
      </c>
      <c r="C144" s="3">
        <v>22798</v>
      </c>
      <c r="D144" s="7">
        <v>0.125</v>
      </c>
      <c r="E144">
        <v>1962</v>
      </c>
      <c r="F144" t="s">
        <v>1725</v>
      </c>
      <c r="G144" t="s">
        <v>1741</v>
      </c>
      <c r="H144" t="s">
        <v>1122</v>
      </c>
      <c r="I144" t="s">
        <v>1133</v>
      </c>
      <c r="J144" t="s">
        <v>1037</v>
      </c>
      <c r="K144">
        <v>1</v>
      </c>
      <c r="L144">
        <v>0</v>
      </c>
      <c r="M144" t="s">
        <v>895</v>
      </c>
      <c r="O144" t="s">
        <v>1391</v>
      </c>
      <c r="P144" t="s">
        <v>1403</v>
      </c>
      <c r="Q144">
        <v>12700</v>
      </c>
      <c r="R144" t="s">
        <v>1157</v>
      </c>
      <c r="S144" t="str">
        <f>VLOOKUP(J144,Teams!A:B,2,FALSE)</f>
        <v>TCH</v>
      </c>
      <c r="T144" t="str">
        <f>VLOOKUP(M144,Teams!A:B,2,FALSE)</f>
        <v>ESP</v>
      </c>
    </row>
    <row r="145" spans="1:20" x14ac:dyDescent="0.25">
      <c r="A145" t="str">
        <f t="shared" si="2"/>
        <v>FIFAWC1962-8</v>
      </c>
      <c r="B145" s="4">
        <v>8</v>
      </c>
      <c r="C145" s="3">
        <v>22798</v>
      </c>
      <c r="D145" s="7">
        <v>0.125</v>
      </c>
      <c r="E145">
        <v>1962</v>
      </c>
      <c r="F145" t="s">
        <v>1725</v>
      </c>
      <c r="G145" t="s">
        <v>1741</v>
      </c>
      <c r="H145" t="s">
        <v>1122</v>
      </c>
      <c r="I145" t="s">
        <v>1134</v>
      </c>
      <c r="J145" t="s">
        <v>297</v>
      </c>
      <c r="K145">
        <v>2</v>
      </c>
      <c r="L145">
        <v>1</v>
      </c>
      <c r="M145" t="s">
        <v>1021</v>
      </c>
      <c r="O145" t="s">
        <v>1392</v>
      </c>
      <c r="P145" t="s">
        <v>1394</v>
      </c>
      <c r="Q145">
        <v>7938</v>
      </c>
      <c r="R145" t="s">
        <v>1157</v>
      </c>
      <c r="S145" t="str">
        <f>VLOOKUP(J145,Teams!A:B,2,FALSE)</f>
        <v>HUN</v>
      </c>
      <c r="T145" t="str">
        <f>VLOOKUP(M145,Teams!A:B,2,FALSE)</f>
        <v>ENG</v>
      </c>
    </row>
    <row r="146" spans="1:20" x14ac:dyDescent="0.25">
      <c r="A146" t="str">
        <f t="shared" si="2"/>
        <v>FIFAWC1962-9</v>
      </c>
      <c r="B146" s="4">
        <v>9</v>
      </c>
      <c r="C146" s="3">
        <v>22800</v>
      </c>
      <c r="D146" s="7">
        <v>0.125</v>
      </c>
      <c r="E146">
        <v>1962</v>
      </c>
      <c r="F146" t="s">
        <v>1725</v>
      </c>
      <c r="G146" t="s">
        <v>1741</v>
      </c>
      <c r="H146" t="s">
        <v>1122</v>
      </c>
      <c r="I146" t="s">
        <v>1131</v>
      </c>
      <c r="J146" t="s">
        <v>1234</v>
      </c>
      <c r="K146">
        <v>3</v>
      </c>
      <c r="L146">
        <v>1</v>
      </c>
      <c r="M146" t="s">
        <v>916</v>
      </c>
      <c r="O146" t="s">
        <v>1393</v>
      </c>
      <c r="P146" t="s">
        <v>1384</v>
      </c>
      <c r="Q146">
        <v>8829</v>
      </c>
      <c r="R146" t="s">
        <v>1157</v>
      </c>
      <c r="S146" t="str">
        <f>VLOOKUP(J146,Teams!A:B,2,FALSE)</f>
        <v>YUG</v>
      </c>
      <c r="T146" t="str">
        <f>VLOOKUP(M146,Teams!A:B,2,FALSE)</f>
        <v>URU</v>
      </c>
    </row>
    <row r="147" spans="1:20" x14ac:dyDescent="0.25">
      <c r="A147" t="str">
        <f t="shared" si="2"/>
        <v>FIFAWC1962-10</v>
      </c>
      <c r="B147" s="4">
        <v>10</v>
      </c>
      <c r="C147" s="3">
        <v>22800</v>
      </c>
      <c r="D147" s="7">
        <v>0.125</v>
      </c>
      <c r="E147">
        <v>1962</v>
      </c>
      <c r="F147" t="s">
        <v>1725</v>
      </c>
      <c r="G147" t="s">
        <v>1741</v>
      </c>
      <c r="H147" t="s">
        <v>1122</v>
      </c>
      <c r="I147" t="s">
        <v>1134</v>
      </c>
      <c r="J147" t="s">
        <v>1021</v>
      </c>
      <c r="K147">
        <v>3</v>
      </c>
      <c r="L147">
        <v>1</v>
      </c>
      <c r="M147" t="s">
        <v>749</v>
      </c>
      <c r="O147" t="s">
        <v>1392</v>
      </c>
      <c r="P147" t="s">
        <v>1390</v>
      </c>
      <c r="Q147">
        <v>9794</v>
      </c>
      <c r="R147" t="s">
        <v>1157</v>
      </c>
      <c r="S147" t="str">
        <f>VLOOKUP(J147,Teams!A:B,2,FALSE)</f>
        <v>ENG</v>
      </c>
      <c r="T147" t="str">
        <f>VLOOKUP(M147,Teams!A:B,2,FALSE)</f>
        <v>ARG</v>
      </c>
    </row>
    <row r="148" spans="1:20" x14ac:dyDescent="0.25">
      <c r="A148" t="str">
        <f t="shared" si="2"/>
        <v>FIFAWC1962-11</v>
      </c>
      <c r="B148" s="4">
        <v>11</v>
      </c>
      <c r="C148" s="3">
        <v>22800</v>
      </c>
      <c r="D148" s="7">
        <v>0.125</v>
      </c>
      <c r="E148">
        <v>1962</v>
      </c>
      <c r="F148" t="s">
        <v>1725</v>
      </c>
      <c r="G148" t="s">
        <v>1741</v>
      </c>
      <c r="H148" t="s">
        <v>1122</v>
      </c>
      <c r="I148" t="s">
        <v>1133</v>
      </c>
      <c r="J148" t="s">
        <v>760</v>
      </c>
      <c r="K148">
        <v>0</v>
      </c>
      <c r="L148">
        <v>0</v>
      </c>
      <c r="M148" t="s">
        <v>1037</v>
      </c>
      <c r="O148" t="s">
        <v>1391</v>
      </c>
      <c r="P148" t="s">
        <v>1362</v>
      </c>
      <c r="Q148">
        <v>14903</v>
      </c>
      <c r="R148" t="s">
        <v>1157</v>
      </c>
      <c r="S148" t="str">
        <f>VLOOKUP(J148,Teams!A:B,2,FALSE)</f>
        <v>BRA</v>
      </c>
      <c r="T148" t="str">
        <f>VLOOKUP(M148,Teams!A:B,2,FALSE)</f>
        <v>TCH</v>
      </c>
    </row>
    <row r="149" spans="1:20" x14ac:dyDescent="0.25">
      <c r="A149" t="str">
        <f t="shared" si="2"/>
        <v>FIFAWC1962-12</v>
      </c>
      <c r="B149" s="4">
        <v>12</v>
      </c>
      <c r="C149" s="3">
        <v>22800</v>
      </c>
      <c r="D149" s="7">
        <v>0.125</v>
      </c>
      <c r="E149">
        <v>1962</v>
      </c>
      <c r="F149" t="s">
        <v>1725</v>
      </c>
      <c r="G149" t="s">
        <v>1741</v>
      </c>
      <c r="H149" t="s">
        <v>1122</v>
      </c>
      <c r="I149" t="s">
        <v>1132</v>
      </c>
      <c r="J149" t="s">
        <v>768</v>
      </c>
      <c r="K149">
        <v>2</v>
      </c>
      <c r="L149">
        <v>0</v>
      </c>
      <c r="M149" t="s">
        <v>817</v>
      </c>
      <c r="O149" t="s">
        <v>1389</v>
      </c>
      <c r="P149" t="s">
        <v>1402</v>
      </c>
      <c r="Q149">
        <v>66057</v>
      </c>
      <c r="R149" t="s">
        <v>1157</v>
      </c>
      <c r="S149" t="str">
        <f>VLOOKUP(J149,Teams!A:B,2,FALSE)</f>
        <v>CHI</v>
      </c>
      <c r="T149" t="str">
        <f>VLOOKUP(M149,Teams!A:B,2,FALSE)</f>
        <v>ITA</v>
      </c>
    </row>
    <row r="150" spans="1:20" x14ac:dyDescent="0.25">
      <c r="A150" t="str">
        <f t="shared" si="2"/>
        <v>FIFAWC1962-13</v>
      </c>
      <c r="B150" s="4">
        <v>13</v>
      </c>
      <c r="C150" s="3">
        <v>22801</v>
      </c>
      <c r="D150" s="7">
        <v>0.125</v>
      </c>
      <c r="E150">
        <v>1962</v>
      </c>
      <c r="F150" t="s">
        <v>1725</v>
      </c>
      <c r="G150" t="s">
        <v>1741</v>
      </c>
      <c r="H150" t="s">
        <v>1122</v>
      </c>
      <c r="I150" t="s">
        <v>1131</v>
      </c>
      <c r="J150" t="s">
        <v>1754</v>
      </c>
      <c r="K150">
        <v>4</v>
      </c>
      <c r="L150">
        <v>4</v>
      </c>
      <c r="M150" t="s">
        <v>771</v>
      </c>
      <c r="O150" t="s">
        <v>1393</v>
      </c>
      <c r="P150" t="s">
        <v>1401</v>
      </c>
      <c r="Q150">
        <v>8040</v>
      </c>
      <c r="R150" t="s">
        <v>1157</v>
      </c>
      <c r="S150" t="str">
        <f>VLOOKUP(J150,Teams!A:B,2,FALSE)</f>
        <v>URS</v>
      </c>
      <c r="T150" t="str">
        <f>VLOOKUP(M150,Teams!A:B,2,FALSE)</f>
        <v>COL</v>
      </c>
    </row>
    <row r="151" spans="1:20" x14ac:dyDescent="0.25">
      <c r="A151" t="str">
        <f t="shared" si="2"/>
        <v>FIFAWC1962-14</v>
      </c>
      <c r="B151" s="4">
        <v>14</v>
      </c>
      <c r="C151" s="3">
        <v>22801</v>
      </c>
      <c r="D151" s="7">
        <v>0.125</v>
      </c>
      <c r="E151">
        <v>1962</v>
      </c>
      <c r="F151" t="s">
        <v>1725</v>
      </c>
      <c r="G151" t="s">
        <v>1741</v>
      </c>
      <c r="H151" t="s">
        <v>1122</v>
      </c>
      <c r="I151" t="s">
        <v>1132</v>
      </c>
      <c r="J151" t="s">
        <v>797</v>
      </c>
      <c r="K151">
        <v>2</v>
      </c>
      <c r="L151">
        <v>1</v>
      </c>
      <c r="M151" t="s">
        <v>901</v>
      </c>
      <c r="O151" t="s">
        <v>1389</v>
      </c>
      <c r="P151" t="s">
        <v>1394</v>
      </c>
      <c r="Q151">
        <v>64922</v>
      </c>
      <c r="R151" t="s">
        <v>1157</v>
      </c>
      <c r="S151" t="str">
        <f>VLOOKUP(J151,Teams!A:B,2,FALSE)</f>
        <v>GER</v>
      </c>
      <c r="T151" t="str">
        <f>VLOOKUP(M151,Teams!A:B,2,FALSE)</f>
        <v>SUI</v>
      </c>
    </row>
    <row r="152" spans="1:20" x14ac:dyDescent="0.25">
      <c r="A152" t="str">
        <f t="shared" si="2"/>
        <v>FIFAWC1962-15</v>
      </c>
      <c r="B152" s="4">
        <v>15</v>
      </c>
      <c r="C152" s="3">
        <v>22801</v>
      </c>
      <c r="D152" s="7">
        <v>0.125</v>
      </c>
      <c r="E152">
        <v>1962</v>
      </c>
      <c r="F152" t="s">
        <v>1725</v>
      </c>
      <c r="G152" t="s">
        <v>1741</v>
      </c>
      <c r="H152" t="s">
        <v>1122</v>
      </c>
      <c r="I152" t="s">
        <v>1133</v>
      </c>
      <c r="J152" t="s">
        <v>895</v>
      </c>
      <c r="K152">
        <v>1</v>
      </c>
      <c r="L152">
        <v>0</v>
      </c>
      <c r="M152" t="s">
        <v>845</v>
      </c>
      <c r="O152" t="s">
        <v>1391</v>
      </c>
      <c r="P152" t="s">
        <v>1400</v>
      </c>
      <c r="Q152">
        <v>11875</v>
      </c>
      <c r="R152" t="s">
        <v>1157</v>
      </c>
      <c r="S152" t="str">
        <f>VLOOKUP(J152,Teams!A:B,2,FALSE)</f>
        <v>ESP</v>
      </c>
      <c r="T152" t="str">
        <f>VLOOKUP(M152,Teams!A:B,2,FALSE)</f>
        <v>MEX</v>
      </c>
    </row>
    <row r="153" spans="1:20" x14ac:dyDescent="0.25">
      <c r="A153" t="str">
        <f t="shared" si="2"/>
        <v>FIFAWC1962-16</v>
      </c>
      <c r="B153" s="4">
        <v>16</v>
      </c>
      <c r="C153" s="3">
        <v>22801</v>
      </c>
      <c r="D153" s="7">
        <v>0.125</v>
      </c>
      <c r="E153">
        <v>1962</v>
      </c>
      <c r="F153" t="s">
        <v>1725</v>
      </c>
      <c r="G153" t="s">
        <v>1741</v>
      </c>
      <c r="H153" t="s">
        <v>1122</v>
      </c>
      <c r="I153" t="s">
        <v>1134</v>
      </c>
      <c r="J153" t="s">
        <v>297</v>
      </c>
      <c r="K153">
        <v>6</v>
      </c>
      <c r="L153">
        <v>1</v>
      </c>
      <c r="M153" t="s">
        <v>761</v>
      </c>
      <c r="O153" t="s">
        <v>1392</v>
      </c>
      <c r="P153" t="s">
        <v>1370</v>
      </c>
      <c r="Q153">
        <v>7442</v>
      </c>
      <c r="R153" t="s">
        <v>1157</v>
      </c>
      <c r="S153" t="str">
        <f>VLOOKUP(J153,Teams!A:B,2,FALSE)</f>
        <v>HUN</v>
      </c>
      <c r="T153" t="str">
        <f>VLOOKUP(M153,Teams!A:B,2,FALSE)</f>
        <v>BUL</v>
      </c>
    </row>
    <row r="154" spans="1:20" x14ac:dyDescent="0.25">
      <c r="A154" t="str">
        <f t="shared" si="2"/>
        <v>FIFAWC1962-17</v>
      </c>
      <c r="B154" s="4">
        <v>17</v>
      </c>
      <c r="C154" s="3">
        <v>22804</v>
      </c>
      <c r="D154" s="7">
        <v>0.125</v>
      </c>
      <c r="E154">
        <v>1962</v>
      </c>
      <c r="F154" t="s">
        <v>1725</v>
      </c>
      <c r="G154" t="s">
        <v>1741</v>
      </c>
      <c r="H154" t="s">
        <v>1122</v>
      </c>
      <c r="I154" t="s">
        <v>1132</v>
      </c>
      <c r="J154" t="s">
        <v>797</v>
      </c>
      <c r="K154">
        <v>2</v>
      </c>
      <c r="L154">
        <v>0</v>
      </c>
      <c r="M154" t="s">
        <v>768</v>
      </c>
      <c r="O154" t="s">
        <v>1389</v>
      </c>
      <c r="P154" t="s">
        <v>1398</v>
      </c>
      <c r="Q154">
        <v>67224</v>
      </c>
      <c r="R154" t="s">
        <v>1157</v>
      </c>
      <c r="S154" t="str">
        <f>VLOOKUP(J154,Teams!A:B,2,FALSE)</f>
        <v>GER</v>
      </c>
      <c r="T154" t="str">
        <f>VLOOKUP(M154,Teams!A:B,2,FALSE)</f>
        <v>CHI</v>
      </c>
    </row>
    <row r="155" spans="1:20" x14ac:dyDescent="0.25">
      <c r="A155" t="str">
        <f t="shared" si="2"/>
        <v>FIFAWC1962-18</v>
      </c>
      <c r="B155" s="4">
        <v>18</v>
      </c>
      <c r="C155" s="3">
        <v>22804</v>
      </c>
      <c r="D155" s="7">
        <v>0.125</v>
      </c>
      <c r="E155">
        <v>1962</v>
      </c>
      <c r="F155" t="s">
        <v>1725</v>
      </c>
      <c r="G155" t="s">
        <v>1741</v>
      </c>
      <c r="H155" t="s">
        <v>1122</v>
      </c>
      <c r="I155" t="s">
        <v>1133</v>
      </c>
      <c r="J155" t="s">
        <v>760</v>
      </c>
      <c r="K155">
        <v>2</v>
      </c>
      <c r="L155">
        <v>1</v>
      </c>
      <c r="M155" t="s">
        <v>895</v>
      </c>
      <c r="O155" t="s">
        <v>1391</v>
      </c>
      <c r="P155" t="s">
        <v>1397</v>
      </c>
      <c r="Q155">
        <v>18715</v>
      </c>
      <c r="R155" t="s">
        <v>1157</v>
      </c>
      <c r="S155" t="str">
        <f>VLOOKUP(J155,Teams!A:B,2,FALSE)</f>
        <v>BRA</v>
      </c>
      <c r="T155" t="str">
        <f>VLOOKUP(M155,Teams!A:B,2,FALSE)</f>
        <v>ESP</v>
      </c>
    </row>
    <row r="156" spans="1:20" x14ac:dyDescent="0.25">
      <c r="A156" t="str">
        <f t="shared" si="2"/>
        <v>FIFAWC1962-19</v>
      </c>
      <c r="B156" s="4">
        <v>19</v>
      </c>
      <c r="C156" s="3">
        <v>22804</v>
      </c>
      <c r="D156" s="7">
        <v>0.125</v>
      </c>
      <c r="E156">
        <v>1962</v>
      </c>
      <c r="F156" t="s">
        <v>1725</v>
      </c>
      <c r="G156" t="s">
        <v>1741</v>
      </c>
      <c r="H156" t="s">
        <v>1122</v>
      </c>
      <c r="I156" t="s">
        <v>1131</v>
      </c>
      <c r="J156" t="s">
        <v>1754</v>
      </c>
      <c r="K156">
        <v>2</v>
      </c>
      <c r="L156">
        <v>1</v>
      </c>
      <c r="M156" t="s">
        <v>916</v>
      </c>
      <c r="O156" t="s">
        <v>1393</v>
      </c>
      <c r="P156" t="s">
        <v>1399</v>
      </c>
      <c r="Q156">
        <v>9973</v>
      </c>
      <c r="R156" t="s">
        <v>1157</v>
      </c>
      <c r="S156" t="str">
        <f>VLOOKUP(J156,Teams!A:B,2,FALSE)</f>
        <v>URS</v>
      </c>
      <c r="T156" t="str">
        <f>VLOOKUP(M156,Teams!A:B,2,FALSE)</f>
        <v>URU</v>
      </c>
    </row>
    <row r="157" spans="1:20" x14ac:dyDescent="0.25">
      <c r="A157" t="str">
        <f t="shared" si="2"/>
        <v>FIFAWC1962-20</v>
      </c>
      <c r="B157" s="4">
        <v>20</v>
      </c>
      <c r="C157" s="3">
        <v>22804</v>
      </c>
      <c r="D157" s="7">
        <v>0.125</v>
      </c>
      <c r="E157">
        <v>1962</v>
      </c>
      <c r="F157" t="s">
        <v>1725</v>
      </c>
      <c r="G157" t="s">
        <v>1741</v>
      </c>
      <c r="H157" t="s">
        <v>1122</v>
      </c>
      <c r="I157" t="s">
        <v>1134</v>
      </c>
      <c r="J157" t="s">
        <v>297</v>
      </c>
      <c r="K157">
        <v>0</v>
      </c>
      <c r="L157">
        <v>0</v>
      </c>
      <c r="M157" t="s">
        <v>749</v>
      </c>
      <c r="O157" t="s">
        <v>1392</v>
      </c>
      <c r="P157" t="s">
        <v>1344</v>
      </c>
      <c r="Q157">
        <v>7945</v>
      </c>
      <c r="R157" t="s">
        <v>1157</v>
      </c>
      <c r="S157" t="str">
        <f>VLOOKUP(J157,Teams!A:B,2,FALSE)</f>
        <v>HUN</v>
      </c>
      <c r="T157" t="str">
        <f>VLOOKUP(M157,Teams!A:B,2,FALSE)</f>
        <v>ARG</v>
      </c>
    </row>
    <row r="158" spans="1:20" x14ac:dyDescent="0.25">
      <c r="A158" t="str">
        <f t="shared" si="2"/>
        <v>FIFAWC1962-21</v>
      </c>
      <c r="B158" s="4">
        <v>21</v>
      </c>
      <c r="C158" s="3">
        <v>22805</v>
      </c>
      <c r="D158" s="7">
        <v>0.125</v>
      </c>
      <c r="E158">
        <v>1962</v>
      </c>
      <c r="F158" t="s">
        <v>1725</v>
      </c>
      <c r="G158" t="s">
        <v>1741</v>
      </c>
      <c r="H158" t="s">
        <v>1122</v>
      </c>
      <c r="I158" t="s">
        <v>1132</v>
      </c>
      <c r="J158" t="s">
        <v>817</v>
      </c>
      <c r="K158">
        <v>3</v>
      </c>
      <c r="L158">
        <v>0</v>
      </c>
      <c r="M158" t="s">
        <v>901</v>
      </c>
      <c r="O158" t="s">
        <v>1389</v>
      </c>
      <c r="P158" t="s">
        <v>1390</v>
      </c>
      <c r="Q158">
        <v>59828</v>
      </c>
      <c r="R158" t="s">
        <v>1157</v>
      </c>
      <c r="S158" t="str">
        <f>VLOOKUP(J158,Teams!A:B,2,FALSE)</f>
        <v>ITA</v>
      </c>
      <c r="T158" t="str">
        <f>VLOOKUP(M158,Teams!A:B,2,FALSE)</f>
        <v>SUI</v>
      </c>
    </row>
    <row r="159" spans="1:20" x14ac:dyDescent="0.25">
      <c r="A159" t="str">
        <f t="shared" si="2"/>
        <v>FIFAWC1962-22</v>
      </c>
      <c r="B159" s="4">
        <v>22</v>
      </c>
      <c r="C159" s="3">
        <v>22805</v>
      </c>
      <c r="D159" s="7">
        <v>0.125</v>
      </c>
      <c r="E159">
        <v>1962</v>
      </c>
      <c r="F159" t="s">
        <v>1725</v>
      </c>
      <c r="G159" t="s">
        <v>1741</v>
      </c>
      <c r="H159" t="s">
        <v>1122</v>
      </c>
      <c r="I159" t="s">
        <v>1133</v>
      </c>
      <c r="J159" t="s">
        <v>845</v>
      </c>
      <c r="K159">
        <v>3</v>
      </c>
      <c r="L159">
        <v>1</v>
      </c>
      <c r="M159" t="s">
        <v>1037</v>
      </c>
      <c r="O159" t="s">
        <v>1391</v>
      </c>
      <c r="P159" t="s">
        <v>1361</v>
      </c>
      <c r="Q159">
        <v>10648</v>
      </c>
      <c r="R159" t="s">
        <v>1157</v>
      </c>
      <c r="S159" t="str">
        <f>VLOOKUP(J159,Teams!A:B,2,FALSE)</f>
        <v>MEX</v>
      </c>
      <c r="T159" t="str">
        <f>VLOOKUP(M159,Teams!A:B,2,FALSE)</f>
        <v>TCH</v>
      </c>
    </row>
    <row r="160" spans="1:20" x14ac:dyDescent="0.25">
      <c r="A160" t="str">
        <f t="shared" si="2"/>
        <v>FIFAWC1962-23</v>
      </c>
      <c r="B160" s="4">
        <v>23</v>
      </c>
      <c r="C160" s="3">
        <v>22805</v>
      </c>
      <c r="D160" s="7">
        <v>0.125</v>
      </c>
      <c r="E160">
        <v>1962</v>
      </c>
      <c r="F160" t="s">
        <v>1725</v>
      </c>
      <c r="G160" t="s">
        <v>1741</v>
      </c>
      <c r="H160" t="s">
        <v>1122</v>
      </c>
      <c r="I160" t="s">
        <v>1131</v>
      </c>
      <c r="J160" t="s">
        <v>1234</v>
      </c>
      <c r="K160">
        <v>5</v>
      </c>
      <c r="L160">
        <v>0</v>
      </c>
      <c r="M160" t="s">
        <v>771</v>
      </c>
      <c r="O160" t="s">
        <v>1393</v>
      </c>
      <c r="P160" t="s">
        <v>1396</v>
      </c>
      <c r="Q160">
        <v>7167</v>
      </c>
      <c r="R160" t="s">
        <v>1157</v>
      </c>
      <c r="S160" t="str">
        <f>VLOOKUP(J160,Teams!A:B,2,FALSE)</f>
        <v>YUG</v>
      </c>
      <c r="T160" t="str">
        <f>VLOOKUP(M160,Teams!A:B,2,FALSE)</f>
        <v>COL</v>
      </c>
    </row>
    <row r="161" spans="1:20" x14ac:dyDescent="0.25">
      <c r="A161" t="str">
        <f t="shared" si="2"/>
        <v>FIFAWC1962-24</v>
      </c>
      <c r="B161" s="4">
        <v>24</v>
      </c>
      <c r="C161" s="3">
        <v>22805</v>
      </c>
      <c r="D161" s="7">
        <v>0.125</v>
      </c>
      <c r="E161">
        <v>1962</v>
      </c>
      <c r="F161" t="s">
        <v>1725</v>
      </c>
      <c r="G161" t="s">
        <v>1741</v>
      </c>
      <c r="H161" t="s">
        <v>1122</v>
      </c>
      <c r="I161" t="s">
        <v>1134</v>
      </c>
      <c r="J161" t="s">
        <v>1021</v>
      </c>
      <c r="K161">
        <v>0</v>
      </c>
      <c r="L161">
        <v>0</v>
      </c>
      <c r="M161" t="s">
        <v>761</v>
      </c>
      <c r="O161" t="s">
        <v>1392</v>
      </c>
      <c r="P161" t="s">
        <v>1395</v>
      </c>
      <c r="Q161">
        <v>5700</v>
      </c>
      <c r="R161" t="s">
        <v>1157</v>
      </c>
      <c r="S161" t="str">
        <f>VLOOKUP(J161,Teams!A:B,2,FALSE)</f>
        <v>ENG</v>
      </c>
      <c r="T161" t="str">
        <f>VLOOKUP(M161,Teams!A:B,2,FALSE)</f>
        <v>BUL</v>
      </c>
    </row>
    <row r="162" spans="1:20" x14ac:dyDescent="0.25">
      <c r="A162" t="str">
        <f t="shared" si="2"/>
        <v>FIFAWC1962-25</v>
      </c>
      <c r="B162" s="4">
        <v>25</v>
      </c>
      <c r="C162" s="3">
        <v>22807</v>
      </c>
      <c r="D162" s="7">
        <v>0.125</v>
      </c>
      <c r="E162">
        <v>1962</v>
      </c>
      <c r="F162" t="s">
        <v>1725</v>
      </c>
      <c r="G162" t="s">
        <v>1741</v>
      </c>
      <c r="H162" t="s">
        <v>1759</v>
      </c>
      <c r="I162" t="s">
        <v>1139</v>
      </c>
      <c r="J162" t="s">
        <v>768</v>
      </c>
      <c r="K162">
        <v>2</v>
      </c>
      <c r="L162">
        <v>1</v>
      </c>
      <c r="M162" t="s">
        <v>1754</v>
      </c>
      <c r="O162" t="s">
        <v>1393</v>
      </c>
      <c r="P162" t="s">
        <v>1394</v>
      </c>
      <c r="Q162">
        <v>17268</v>
      </c>
      <c r="R162" t="s">
        <v>1157</v>
      </c>
      <c r="S162" t="str">
        <f>VLOOKUP(J162,Teams!A:B,2,FALSE)</f>
        <v>CHI</v>
      </c>
      <c r="T162" t="str">
        <f>VLOOKUP(M162,Teams!A:B,2,FALSE)</f>
        <v>URS</v>
      </c>
    </row>
    <row r="163" spans="1:20" x14ac:dyDescent="0.25">
      <c r="A163" t="str">
        <f t="shared" si="2"/>
        <v>FIFAWC1962-26</v>
      </c>
      <c r="B163" s="4">
        <v>26</v>
      </c>
      <c r="C163" s="3">
        <v>22807</v>
      </c>
      <c r="D163" s="7">
        <v>0.125</v>
      </c>
      <c r="E163">
        <v>1962</v>
      </c>
      <c r="F163" t="s">
        <v>1725</v>
      </c>
      <c r="G163" t="s">
        <v>1741</v>
      </c>
      <c r="H163" t="s">
        <v>1759</v>
      </c>
      <c r="I163" t="s">
        <v>1139</v>
      </c>
      <c r="J163" t="s">
        <v>1037</v>
      </c>
      <c r="K163">
        <v>1</v>
      </c>
      <c r="L163">
        <v>0</v>
      </c>
      <c r="M163" t="s">
        <v>297</v>
      </c>
      <c r="O163" t="s">
        <v>1392</v>
      </c>
      <c r="P163" t="s">
        <v>1390</v>
      </c>
      <c r="Q163">
        <v>11690</v>
      </c>
      <c r="R163" t="s">
        <v>1157</v>
      </c>
      <c r="S163" t="str">
        <f>VLOOKUP(J163,Teams!A:B,2,FALSE)</f>
        <v>TCH</v>
      </c>
      <c r="T163" t="str">
        <f>VLOOKUP(M163,Teams!A:B,2,FALSE)</f>
        <v>HUN</v>
      </c>
    </row>
    <row r="164" spans="1:20" x14ac:dyDescent="0.25">
      <c r="A164" t="str">
        <f t="shared" si="2"/>
        <v>FIFAWC1962-27</v>
      </c>
      <c r="B164" s="4">
        <v>27</v>
      </c>
      <c r="C164" s="3">
        <v>22807</v>
      </c>
      <c r="D164" s="7">
        <v>0.125</v>
      </c>
      <c r="E164">
        <v>1962</v>
      </c>
      <c r="F164" t="s">
        <v>1725</v>
      </c>
      <c r="G164" t="s">
        <v>1741</v>
      </c>
      <c r="H164" t="s">
        <v>1759</v>
      </c>
      <c r="I164" t="s">
        <v>1139</v>
      </c>
      <c r="J164" t="s">
        <v>760</v>
      </c>
      <c r="K164">
        <v>3</v>
      </c>
      <c r="L164">
        <v>1</v>
      </c>
      <c r="M164" t="s">
        <v>1021</v>
      </c>
      <c r="O164" t="s">
        <v>1391</v>
      </c>
      <c r="P164" t="s">
        <v>1362</v>
      </c>
      <c r="Q164">
        <v>17736</v>
      </c>
      <c r="R164" t="s">
        <v>1157</v>
      </c>
      <c r="S164" t="str">
        <f>VLOOKUP(J164,Teams!A:B,2,FALSE)</f>
        <v>BRA</v>
      </c>
      <c r="T164" t="str">
        <f>VLOOKUP(M164,Teams!A:B,2,FALSE)</f>
        <v>ENG</v>
      </c>
    </row>
    <row r="165" spans="1:20" x14ac:dyDescent="0.25">
      <c r="A165" t="str">
        <f t="shared" si="2"/>
        <v>FIFAWC1962-28</v>
      </c>
      <c r="B165" s="4">
        <v>28</v>
      </c>
      <c r="C165" s="3">
        <v>22807</v>
      </c>
      <c r="D165" s="7">
        <v>0.125</v>
      </c>
      <c r="E165">
        <v>1962</v>
      </c>
      <c r="F165" t="s">
        <v>1725</v>
      </c>
      <c r="G165" t="s">
        <v>1741</v>
      </c>
      <c r="H165" t="s">
        <v>1759</v>
      </c>
      <c r="I165" t="s">
        <v>1139</v>
      </c>
      <c r="J165" t="s">
        <v>1234</v>
      </c>
      <c r="K165">
        <v>1</v>
      </c>
      <c r="L165">
        <v>0</v>
      </c>
      <c r="M165" t="s">
        <v>797</v>
      </c>
      <c r="O165" t="s">
        <v>1389</v>
      </c>
      <c r="P165" t="s">
        <v>1344</v>
      </c>
      <c r="Q165">
        <v>63324</v>
      </c>
      <c r="R165" t="s">
        <v>1157</v>
      </c>
      <c r="S165" t="str">
        <f>VLOOKUP(J165,Teams!A:B,2,FALSE)</f>
        <v>YUG</v>
      </c>
      <c r="T165" t="str">
        <f>VLOOKUP(M165,Teams!A:B,2,FALSE)</f>
        <v>GER</v>
      </c>
    </row>
    <row r="166" spans="1:20" x14ac:dyDescent="0.25">
      <c r="A166" t="str">
        <f t="shared" si="2"/>
        <v>FIFAWC1962-29</v>
      </c>
      <c r="B166" s="4">
        <v>29</v>
      </c>
      <c r="C166" s="3">
        <v>22811</v>
      </c>
      <c r="D166" s="7">
        <v>0.10416666666666667</v>
      </c>
      <c r="E166">
        <v>1962</v>
      </c>
      <c r="F166" t="s">
        <v>1725</v>
      </c>
      <c r="G166" t="s">
        <v>1741</v>
      </c>
      <c r="H166" t="s">
        <v>1759</v>
      </c>
      <c r="I166" t="s">
        <v>1140</v>
      </c>
      <c r="J166" t="s">
        <v>760</v>
      </c>
      <c r="K166">
        <v>4</v>
      </c>
      <c r="L166">
        <v>2</v>
      </c>
      <c r="M166" t="s">
        <v>768</v>
      </c>
      <c r="O166" t="s">
        <v>1389</v>
      </c>
      <c r="P166" t="s">
        <v>1370</v>
      </c>
      <c r="Q166">
        <v>76500</v>
      </c>
      <c r="R166" t="s">
        <v>1157</v>
      </c>
      <c r="S166" t="str">
        <f>VLOOKUP(J166,Teams!A:B,2,FALSE)</f>
        <v>BRA</v>
      </c>
      <c r="T166" t="str">
        <f>VLOOKUP(M166,Teams!A:B,2,FALSE)</f>
        <v>CHI</v>
      </c>
    </row>
    <row r="167" spans="1:20" x14ac:dyDescent="0.25">
      <c r="A167" t="str">
        <f t="shared" si="2"/>
        <v>FIFAWC1962-30</v>
      </c>
      <c r="B167" s="4">
        <v>30</v>
      </c>
      <c r="C167" s="3">
        <v>22811</v>
      </c>
      <c r="D167" s="7">
        <v>0.10416666666666667</v>
      </c>
      <c r="E167">
        <v>1962</v>
      </c>
      <c r="F167" t="s">
        <v>1725</v>
      </c>
      <c r="G167" t="s">
        <v>1741</v>
      </c>
      <c r="H167" t="s">
        <v>1759</v>
      </c>
      <c r="I167" t="s">
        <v>1140</v>
      </c>
      <c r="J167" t="s">
        <v>1037</v>
      </c>
      <c r="K167">
        <v>3</v>
      </c>
      <c r="L167">
        <v>1</v>
      </c>
      <c r="M167" t="s">
        <v>1234</v>
      </c>
      <c r="O167" t="s">
        <v>1391</v>
      </c>
      <c r="P167" t="s">
        <v>1361</v>
      </c>
      <c r="Q167">
        <v>5890</v>
      </c>
      <c r="R167" t="s">
        <v>1157</v>
      </c>
      <c r="S167" t="str">
        <f>VLOOKUP(J167,Teams!A:B,2,FALSE)</f>
        <v>TCH</v>
      </c>
      <c r="T167" t="str">
        <f>VLOOKUP(M167,Teams!A:B,2,FALSE)</f>
        <v>YUG</v>
      </c>
    </row>
    <row r="168" spans="1:20" x14ac:dyDescent="0.25">
      <c r="A168" t="str">
        <f t="shared" si="2"/>
        <v>FIFAWC1962-31</v>
      </c>
      <c r="B168" s="4">
        <v>31</v>
      </c>
      <c r="C168" s="3">
        <v>22814</v>
      </c>
      <c r="D168" s="7">
        <v>0.10416666666666667</v>
      </c>
      <c r="E168">
        <v>1962</v>
      </c>
      <c r="F168" t="s">
        <v>1725</v>
      </c>
      <c r="G168" t="s">
        <v>1741</v>
      </c>
      <c r="H168" t="s">
        <v>1759</v>
      </c>
      <c r="I168" t="s">
        <v>1018</v>
      </c>
      <c r="J168" t="s">
        <v>768</v>
      </c>
      <c r="K168">
        <v>1</v>
      </c>
      <c r="L168">
        <v>0</v>
      </c>
      <c r="M168" t="s">
        <v>1234</v>
      </c>
      <c r="O168" t="s">
        <v>1389</v>
      </c>
      <c r="Q168">
        <v>67000</v>
      </c>
      <c r="R168" t="s">
        <v>1157</v>
      </c>
      <c r="S168" t="str">
        <f>VLOOKUP(J168,Teams!A:B,2,FALSE)</f>
        <v>CHI</v>
      </c>
      <c r="T168" t="str">
        <f>VLOOKUP(M168,Teams!A:B,2,FALSE)</f>
        <v>YUG</v>
      </c>
    </row>
    <row r="169" spans="1:20" x14ac:dyDescent="0.25">
      <c r="A169" t="str">
        <f t="shared" si="2"/>
        <v>FIFAWC1962-32</v>
      </c>
      <c r="B169" s="4">
        <v>32</v>
      </c>
      <c r="C169" s="3">
        <v>22815</v>
      </c>
      <c r="D169" s="7">
        <v>0.10416666666666667</v>
      </c>
      <c r="E169">
        <v>1962</v>
      </c>
      <c r="F169" t="s">
        <v>1725</v>
      </c>
      <c r="G169" t="s">
        <v>1741</v>
      </c>
      <c r="H169" t="s">
        <v>1759</v>
      </c>
      <c r="I169" t="s">
        <v>1141</v>
      </c>
      <c r="J169" t="s">
        <v>760</v>
      </c>
      <c r="K169">
        <v>3</v>
      </c>
      <c r="L169">
        <v>1</v>
      </c>
      <c r="M169" t="s">
        <v>1037</v>
      </c>
      <c r="O169" t="s">
        <v>1389</v>
      </c>
      <c r="P169" t="s">
        <v>1390</v>
      </c>
      <c r="Q169">
        <v>68679</v>
      </c>
      <c r="R169" t="s">
        <v>1157</v>
      </c>
      <c r="S169" t="str">
        <f>VLOOKUP(J169,Teams!A:B,2,FALSE)</f>
        <v>BRA</v>
      </c>
      <c r="T169" t="str">
        <f>VLOOKUP(M169,Teams!A:B,2,FALSE)</f>
        <v>TCH</v>
      </c>
    </row>
    <row r="170" spans="1:20" x14ac:dyDescent="0.25">
      <c r="A170" t="str">
        <f t="shared" si="2"/>
        <v>FIFAWC1966-1</v>
      </c>
      <c r="B170" s="4">
        <v>1</v>
      </c>
      <c r="C170" s="3">
        <v>24300</v>
      </c>
      <c r="D170" s="7">
        <v>0.10416666666666667</v>
      </c>
      <c r="E170">
        <v>1966</v>
      </c>
      <c r="F170" t="s">
        <v>1726</v>
      </c>
      <c r="G170" t="s">
        <v>1741</v>
      </c>
      <c r="H170" t="s">
        <v>1122</v>
      </c>
      <c r="I170" t="s">
        <v>1131</v>
      </c>
      <c r="J170" t="s">
        <v>1021</v>
      </c>
      <c r="K170">
        <v>0</v>
      </c>
      <c r="L170">
        <v>0</v>
      </c>
      <c r="M170" t="s">
        <v>916</v>
      </c>
      <c r="O170" t="s">
        <v>1360</v>
      </c>
      <c r="P170" t="s">
        <v>1388</v>
      </c>
      <c r="Q170">
        <v>87148</v>
      </c>
      <c r="R170" t="s">
        <v>1157</v>
      </c>
      <c r="S170" t="str">
        <f>VLOOKUP(J170,Teams!A:B,2,FALSE)</f>
        <v>ENG</v>
      </c>
      <c r="T170" t="str">
        <f>VLOOKUP(M170,Teams!A:B,2,FALSE)</f>
        <v>URU</v>
      </c>
    </row>
    <row r="171" spans="1:20" x14ac:dyDescent="0.25">
      <c r="A171" t="str">
        <f t="shared" si="2"/>
        <v>FIFAWC1966-2</v>
      </c>
      <c r="B171" s="4">
        <v>2</v>
      </c>
      <c r="C171" s="3">
        <v>24301</v>
      </c>
      <c r="D171" s="7">
        <v>0.10416666666666667</v>
      </c>
      <c r="E171">
        <v>1966</v>
      </c>
      <c r="F171" t="s">
        <v>1726</v>
      </c>
      <c r="G171" t="s">
        <v>1741</v>
      </c>
      <c r="H171" t="s">
        <v>1122</v>
      </c>
      <c r="I171" t="s">
        <v>1132</v>
      </c>
      <c r="J171" t="s">
        <v>797</v>
      </c>
      <c r="K171">
        <v>5</v>
      </c>
      <c r="L171">
        <v>0</v>
      </c>
      <c r="M171" t="s">
        <v>901</v>
      </c>
      <c r="O171" t="s">
        <v>1366</v>
      </c>
      <c r="P171" t="s">
        <v>1387</v>
      </c>
      <c r="Q171">
        <v>36000</v>
      </c>
      <c r="R171" t="s">
        <v>1157</v>
      </c>
      <c r="S171" t="str">
        <f>VLOOKUP(J171,Teams!A:B,2,FALSE)</f>
        <v>GER</v>
      </c>
      <c r="T171" t="str">
        <f>VLOOKUP(M171,Teams!A:B,2,FALSE)</f>
        <v>SUI</v>
      </c>
    </row>
    <row r="172" spans="1:20" x14ac:dyDescent="0.25">
      <c r="A172" t="str">
        <f t="shared" si="2"/>
        <v>FIFAWC1966-3</v>
      </c>
      <c r="B172" s="4">
        <v>3</v>
      </c>
      <c r="C172" s="3">
        <v>24301</v>
      </c>
      <c r="D172" s="7">
        <v>0.10416666666666667</v>
      </c>
      <c r="E172">
        <v>1966</v>
      </c>
      <c r="F172" t="s">
        <v>1726</v>
      </c>
      <c r="G172" t="s">
        <v>1741</v>
      </c>
      <c r="H172" t="s">
        <v>1122</v>
      </c>
      <c r="I172" t="s">
        <v>1133</v>
      </c>
      <c r="J172" t="s">
        <v>760</v>
      </c>
      <c r="K172">
        <v>2</v>
      </c>
      <c r="L172">
        <v>0</v>
      </c>
      <c r="M172" t="s">
        <v>761</v>
      </c>
      <c r="O172" t="s">
        <v>1363</v>
      </c>
      <c r="P172" t="s">
        <v>1332</v>
      </c>
      <c r="Q172">
        <v>48000</v>
      </c>
      <c r="R172" t="s">
        <v>1157</v>
      </c>
      <c r="S172" t="str">
        <f>VLOOKUP(J172,Teams!A:B,2,FALSE)</f>
        <v>BRA</v>
      </c>
      <c r="T172" t="str">
        <f>VLOOKUP(M172,Teams!A:B,2,FALSE)</f>
        <v>BUL</v>
      </c>
    </row>
    <row r="173" spans="1:20" x14ac:dyDescent="0.25">
      <c r="A173" t="str">
        <f t="shared" si="2"/>
        <v>FIFAWC1966-4</v>
      </c>
      <c r="B173" s="4">
        <v>4</v>
      </c>
      <c r="C173" s="3">
        <v>24301</v>
      </c>
      <c r="D173" s="7">
        <v>0.10416666666666667</v>
      </c>
      <c r="E173">
        <v>1966</v>
      </c>
      <c r="F173" t="s">
        <v>1726</v>
      </c>
      <c r="G173" t="s">
        <v>1741</v>
      </c>
      <c r="H173" t="s">
        <v>1122</v>
      </c>
      <c r="I173" t="s">
        <v>1134</v>
      </c>
      <c r="J173" t="s">
        <v>1754</v>
      </c>
      <c r="K173">
        <v>3</v>
      </c>
      <c r="L173">
        <v>0</v>
      </c>
      <c r="M173" t="s">
        <v>1055</v>
      </c>
      <c r="O173" t="s">
        <v>1376</v>
      </c>
      <c r="P173" t="s">
        <v>1370</v>
      </c>
      <c r="Q173">
        <v>22000</v>
      </c>
      <c r="R173" t="s">
        <v>1157</v>
      </c>
      <c r="S173" t="str">
        <f>VLOOKUP(J173,Teams!A:B,2,FALSE)</f>
        <v>URS</v>
      </c>
      <c r="T173" t="str">
        <f>VLOOKUP(M173,Teams!A:B,2,FALSE)</f>
        <v>PRK</v>
      </c>
    </row>
    <row r="174" spans="1:20" x14ac:dyDescent="0.25">
      <c r="A174" t="str">
        <f t="shared" si="2"/>
        <v>FIFAWC1966-5</v>
      </c>
      <c r="B174" s="4">
        <v>5</v>
      </c>
      <c r="C174" s="3">
        <v>24302</v>
      </c>
      <c r="D174" s="7">
        <v>0.10416666666666667</v>
      </c>
      <c r="E174">
        <v>1966</v>
      </c>
      <c r="F174" t="s">
        <v>1726</v>
      </c>
      <c r="G174" t="s">
        <v>1741</v>
      </c>
      <c r="H174" t="s">
        <v>1122</v>
      </c>
      <c r="I174" t="s">
        <v>1131</v>
      </c>
      <c r="J174" t="s">
        <v>224</v>
      </c>
      <c r="K174">
        <v>1</v>
      </c>
      <c r="L174">
        <v>1</v>
      </c>
      <c r="M174" t="s">
        <v>845</v>
      </c>
      <c r="O174" t="s">
        <v>1360</v>
      </c>
      <c r="P174" t="s">
        <v>1368</v>
      </c>
      <c r="Q174">
        <v>69237</v>
      </c>
      <c r="R174" t="s">
        <v>1157</v>
      </c>
      <c r="S174" t="str">
        <f>VLOOKUP(J174,Teams!A:B,2,FALSE)</f>
        <v>FRA</v>
      </c>
      <c r="T174" t="str">
        <f>VLOOKUP(M174,Teams!A:B,2,FALSE)</f>
        <v>MEX</v>
      </c>
    </row>
    <row r="175" spans="1:20" x14ac:dyDescent="0.25">
      <c r="A175" t="str">
        <f t="shared" si="2"/>
        <v>FIFAWC1966-6</v>
      </c>
      <c r="B175" s="4">
        <v>6</v>
      </c>
      <c r="C175" s="3">
        <v>24302</v>
      </c>
      <c r="D175" s="7">
        <v>0.10416666666666667</v>
      </c>
      <c r="E175">
        <v>1966</v>
      </c>
      <c r="F175" t="s">
        <v>1726</v>
      </c>
      <c r="G175" t="s">
        <v>1741</v>
      </c>
      <c r="H175" t="s">
        <v>1122</v>
      </c>
      <c r="I175" t="s">
        <v>1133</v>
      </c>
      <c r="J175" t="s">
        <v>871</v>
      </c>
      <c r="K175">
        <v>3</v>
      </c>
      <c r="L175">
        <v>1</v>
      </c>
      <c r="M175" t="s">
        <v>297</v>
      </c>
      <c r="O175" t="s">
        <v>1373</v>
      </c>
      <c r="P175" t="s">
        <v>1385</v>
      </c>
      <c r="Q175">
        <v>37000</v>
      </c>
      <c r="R175" t="s">
        <v>1157</v>
      </c>
      <c r="S175" t="str">
        <f>VLOOKUP(J175,Teams!A:B,2,FALSE)</f>
        <v>POR</v>
      </c>
      <c r="T175" t="str">
        <f>VLOOKUP(M175,Teams!A:B,2,FALSE)</f>
        <v>HUN</v>
      </c>
    </row>
    <row r="176" spans="1:20" x14ac:dyDescent="0.25">
      <c r="A176" t="str">
        <f t="shared" si="2"/>
        <v>FIFAWC1966-7</v>
      </c>
      <c r="B176" s="4">
        <v>7</v>
      </c>
      <c r="C176" s="3">
        <v>24302</v>
      </c>
      <c r="D176" s="7">
        <v>0.10416666666666667</v>
      </c>
      <c r="E176">
        <v>1966</v>
      </c>
      <c r="F176" t="s">
        <v>1726</v>
      </c>
      <c r="G176" t="s">
        <v>1741</v>
      </c>
      <c r="H176" t="s">
        <v>1122</v>
      </c>
      <c r="I176" t="s">
        <v>1132</v>
      </c>
      <c r="J176" t="s">
        <v>749</v>
      </c>
      <c r="K176">
        <v>2</v>
      </c>
      <c r="L176">
        <v>1</v>
      </c>
      <c r="M176" t="s">
        <v>895</v>
      </c>
      <c r="O176" t="s">
        <v>1375</v>
      </c>
      <c r="P176" t="s">
        <v>1386</v>
      </c>
      <c r="Q176">
        <v>48000</v>
      </c>
      <c r="R176" t="s">
        <v>1157</v>
      </c>
      <c r="S176" t="str">
        <f>VLOOKUP(J176,Teams!A:B,2,FALSE)</f>
        <v>ARG</v>
      </c>
      <c r="T176" t="str">
        <f>VLOOKUP(M176,Teams!A:B,2,FALSE)</f>
        <v>ESP</v>
      </c>
    </row>
    <row r="177" spans="1:20" x14ac:dyDescent="0.25">
      <c r="A177" t="str">
        <f t="shared" si="2"/>
        <v>FIFAWC1966-8</v>
      </c>
      <c r="B177" s="4">
        <v>8</v>
      </c>
      <c r="C177" s="3">
        <v>24302</v>
      </c>
      <c r="D177" s="7">
        <v>0.10416666666666667</v>
      </c>
      <c r="E177">
        <v>1966</v>
      </c>
      <c r="F177" t="s">
        <v>1726</v>
      </c>
      <c r="G177" t="s">
        <v>1741</v>
      </c>
      <c r="H177" t="s">
        <v>1122</v>
      </c>
      <c r="I177" t="s">
        <v>1134</v>
      </c>
      <c r="J177" t="s">
        <v>817</v>
      </c>
      <c r="K177">
        <v>2</v>
      </c>
      <c r="L177">
        <v>0</v>
      </c>
      <c r="M177" t="s">
        <v>768</v>
      </c>
      <c r="O177" t="s">
        <v>1369</v>
      </c>
      <c r="P177" t="s">
        <v>1361</v>
      </c>
      <c r="Q177">
        <v>30000</v>
      </c>
      <c r="R177" t="s">
        <v>1157</v>
      </c>
      <c r="S177" t="str">
        <f>VLOOKUP(J177,Teams!A:B,2,FALSE)</f>
        <v>ITA</v>
      </c>
      <c r="T177" t="str">
        <f>VLOOKUP(M177,Teams!A:B,2,FALSE)</f>
        <v>CHI</v>
      </c>
    </row>
    <row r="178" spans="1:20" x14ac:dyDescent="0.25">
      <c r="A178" t="str">
        <f t="shared" si="2"/>
        <v>FIFAWC1966-9</v>
      </c>
      <c r="B178" s="4">
        <v>9</v>
      </c>
      <c r="C178" s="3">
        <v>24304</v>
      </c>
      <c r="D178" s="7">
        <v>0.10416666666666667</v>
      </c>
      <c r="E178">
        <v>1966</v>
      </c>
      <c r="F178" t="s">
        <v>1726</v>
      </c>
      <c r="G178" t="s">
        <v>1741</v>
      </c>
      <c r="H178" t="s">
        <v>1122</v>
      </c>
      <c r="I178" t="s">
        <v>1131</v>
      </c>
      <c r="J178" t="s">
        <v>916</v>
      </c>
      <c r="K178">
        <v>2</v>
      </c>
      <c r="L178">
        <v>1</v>
      </c>
      <c r="M178" t="s">
        <v>224</v>
      </c>
      <c r="O178" t="s">
        <v>1383</v>
      </c>
      <c r="P178" t="s">
        <v>1384</v>
      </c>
      <c r="Q178">
        <v>45662</v>
      </c>
      <c r="R178" t="s">
        <v>1157</v>
      </c>
      <c r="S178" t="str">
        <f>VLOOKUP(J178,Teams!A:B,2,FALSE)</f>
        <v>URU</v>
      </c>
      <c r="T178" t="str">
        <f>VLOOKUP(M178,Teams!A:B,2,FALSE)</f>
        <v>FRA</v>
      </c>
    </row>
    <row r="179" spans="1:20" x14ac:dyDescent="0.25">
      <c r="A179" t="str">
        <f t="shared" si="2"/>
        <v>FIFAWC1966-10</v>
      </c>
      <c r="B179" s="4">
        <v>10</v>
      </c>
      <c r="C179" s="3">
        <v>24304</v>
      </c>
      <c r="D179" s="7">
        <v>0.10416666666666667</v>
      </c>
      <c r="E179">
        <v>1966</v>
      </c>
      <c r="F179" t="s">
        <v>1726</v>
      </c>
      <c r="G179" t="s">
        <v>1741</v>
      </c>
      <c r="H179" t="s">
        <v>1122</v>
      </c>
      <c r="I179" t="s">
        <v>1133</v>
      </c>
      <c r="J179" t="s">
        <v>297</v>
      </c>
      <c r="K179">
        <v>3</v>
      </c>
      <c r="L179">
        <v>1</v>
      </c>
      <c r="M179" t="s">
        <v>760</v>
      </c>
      <c r="O179" t="s">
        <v>1363</v>
      </c>
      <c r="P179" t="s">
        <v>1382</v>
      </c>
      <c r="Q179">
        <v>52000</v>
      </c>
      <c r="R179" t="s">
        <v>1157</v>
      </c>
      <c r="S179" t="str">
        <f>VLOOKUP(J179,Teams!A:B,2,FALSE)</f>
        <v>HUN</v>
      </c>
      <c r="T179" t="str">
        <f>VLOOKUP(M179,Teams!A:B,2,FALSE)</f>
        <v>BRA</v>
      </c>
    </row>
    <row r="180" spans="1:20" x14ac:dyDescent="0.25">
      <c r="A180" t="str">
        <f t="shared" si="2"/>
        <v>FIFAWC1966-11</v>
      </c>
      <c r="B180" s="4">
        <v>11</v>
      </c>
      <c r="C180" s="3">
        <v>24304</v>
      </c>
      <c r="D180" s="7">
        <v>0.10416666666666667</v>
      </c>
      <c r="E180">
        <v>1966</v>
      </c>
      <c r="F180" t="s">
        <v>1726</v>
      </c>
      <c r="G180" t="s">
        <v>1741</v>
      </c>
      <c r="H180" t="s">
        <v>1122</v>
      </c>
      <c r="I180" t="s">
        <v>1132</v>
      </c>
      <c r="J180" t="s">
        <v>895</v>
      </c>
      <c r="K180">
        <v>2</v>
      </c>
      <c r="L180">
        <v>1</v>
      </c>
      <c r="M180" t="s">
        <v>901</v>
      </c>
      <c r="O180" t="s">
        <v>1366</v>
      </c>
      <c r="P180" t="s">
        <v>1356</v>
      </c>
      <c r="Q180">
        <v>32000</v>
      </c>
      <c r="R180" t="s">
        <v>1157</v>
      </c>
      <c r="S180" t="str">
        <f>VLOOKUP(J180,Teams!A:B,2,FALSE)</f>
        <v>ESP</v>
      </c>
      <c r="T180" t="str">
        <f>VLOOKUP(M180,Teams!A:B,2,FALSE)</f>
        <v>SUI</v>
      </c>
    </row>
    <row r="181" spans="1:20" x14ac:dyDescent="0.25">
      <c r="A181" t="str">
        <f t="shared" si="2"/>
        <v>FIFAWC1966-12</v>
      </c>
      <c r="B181" s="4">
        <v>12</v>
      </c>
      <c r="C181" s="3">
        <v>24304</v>
      </c>
      <c r="D181" s="7">
        <v>0.10416666666666667</v>
      </c>
      <c r="E181">
        <v>1966</v>
      </c>
      <c r="F181" t="s">
        <v>1726</v>
      </c>
      <c r="G181" t="s">
        <v>1741</v>
      </c>
      <c r="H181" t="s">
        <v>1122</v>
      </c>
      <c r="I181" t="s">
        <v>1134</v>
      </c>
      <c r="J181" t="s">
        <v>1055</v>
      </c>
      <c r="K181">
        <v>1</v>
      </c>
      <c r="L181">
        <v>1</v>
      </c>
      <c r="M181" t="s">
        <v>768</v>
      </c>
      <c r="O181" t="s">
        <v>1376</v>
      </c>
      <c r="P181" t="s">
        <v>1355</v>
      </c>
      <c r="Q181">
        <v>16000</v>
      </c>
      <c r="R181" t="s">
        <v>1157</v>
      </c>
      <c r="S181" t="str">
        <f>VLOOKUP(J181,Teams!A:B,2,FALSE)</f>
        <v>PRK</v>
      </c>
      <c r="T181" t="str">
        <f>VLOOKUP(M181,Teams!A:B,2,FALSE)</f>
        <v>CHI</v>
      </c>
    </row>
    <row r="182" spans="1:20" x14ac:dyDescent="0.25">
      <c r="A182" t="str">
        <f t="shared" si="2"/>
        <v>FIFAWC1966-13</v>
      </c>
      <c r="B182" s="4">
        <v>13</v>
      </c>
      <c r="C182" s="3">
        <v>24304</v>
      </c>
      <c r="D182" s="7">
        <v>0.10416666666666667</v>
      </c>
      <c r="E182">
        <v>1966</v>
      </c>
      <c r="F182" t="s">
        <v>1726</v>
      </c>
      <c r="G182" t="s">
        <v>1741</v>
      </c>
      <c r="H182" t="s">
        <v>1122</v>
      </c>
      <c r="I182" t="s">
        <v>1132</v>
      </c>
      <c r="J182" t="s">
        <v>797</v>
      </c>
      <c r="K182">
        <v>0</v>
      </c>
      <c r="L182">
        <v>0</v>
      </c>
      <c r="M182" t="s">
        <v>749</v>
      </c>
      <c r="O182" t="s">
        <v>1375</v>
      </c>
      <c r="P182" t="s">
        <v>1381</v>
      </c>
      <c r="Q182">
        <v>51000</v>
      </c>
      <c r="R182" t="s">
        <v>1157</v>
      </c>
      <c r="S182" t="str">
        <f>VLOOKUP(J182,Teams!A:B,2,FALSE)</f>
        <v>GER</v>
      </c>
      <c r="T182" t="str">
        <f>VLOOKUP(M182,Teams!A:B,2,FALSE)</f>
        <v>ARG</v>
      </c>
    </row>
    <row r="183" spans="1:20" x14ac:dyDescent="0.25">
      <c r="A183" t="str">
        <f t="shared" si="2"/>
        <v>FIFAWC1966-14</v>
      </c>
      <c r="B183" s="4">
        <v>14</v>
      </c>
      <c r="C183" s="3">
        <v>24304</v>
      </c>
      <c r="D183" s="7">
        <v>0.10416666666666667</v>
      </c>
      <c r="E183">
        <v>1966</v>
      </c>
      <c r="F183" t="s">
        <v>1726</v>
      </c>
      <c r="G183" t="s">
        <v>1741</v>
      </c>
      <c r="H183" t="s">
        <v>1122</v>
      </c>
      <c r="I183" t="s">
        <v>1133</v>
      </c>
      <c r="J183" t="s">
        <v>871</v>
      </c>
      <c r="K183">
        <v>3</v>
      </c>
      <c r="L183">
        <v>0</v>
      </c>
      <c r="M183" t="s">
        <v>761</v>
      </c>
      <c r="O183" t="s">
        <v>1373</v>
      </c>
      <c r="P183" t="s">
        <v>1380</v>
      </c>
      <c r="Q183">
        <v>26000</v>
      </c>
      <c r="R183" t="s">
        <v>1157</v>
      </c>
      <c r="S183" t="str">
        <f>VLOOKUP(J183,Teams!A:B,2,FALSE)</f>
        <v>POR</v>
      </c>
      <c r="T183" t="str">
        <f>VLOOKUP(M183,Teams!A:B,2,FALSE)</f>
        <v>BUL</v>
      </c>
    </row>
    <row r="184" spans="1:20" x14ac:dyDescent="0.25">
      <c r="A184" t="str">
        <f t="shared" si="2"/>
        <v>FIFAWC1966-15</v>
      </c>
      <c r="B184" s="4">
        <v>15</v>
      </c>
      <c r="C184" s="3">
        <v>24304</v>
      </c>
      <c r="D184" s="7">
        <v>0.10416666666666667</v>
      </c>
      <c r="E184">
        <v>1966</v>
      </c>
      <c r="F184" t="s">
        <v>1726</v>
      </c>
      <c r="G184" t="s">
        <v>1741</v>
      </c>
      <c r="H184" t="s">
        <v>1122</v>
      </c>
      <c r="I184" t="s">
        <v>1134</v>
      </c>
      <c r="J184" t="s">
        <v>1754</v>
      </c>
      <c r="K184">
        <v>1</v>
      </c>
      <c r="L184">
        <v>0</v>
      </c>
      <c r="M184" t="s">
        <v>817</v>
      </c>
      <c r="O184" t="s">
        <v>1369</v>
      </c>
      <c r="P184" t="s">
        <v>1365</v>
      </c>
      <c r="Q184">
        <v>27800</v>
      </c>
      <c r="R184" t="s">
        <v>1157</v>
      </c>
      <c r="S184" t="str">
        <f>VLOOKUP(J184,Teams!A:B,2,FALSE)</f>
        <v>URS</v>
      </c>
      <c r="T184" t="str">
        <f>VLOOKUP(M184,Teams!A:B,2,FALSE)</f>
        <v>ITA</v>
      </c>
    </row>
    <row r="185" spans="1:20" x14ac:dyDescent="0.25">
      <c r="A185" t="str">
        <f t="shared" si="2"/>
        <v>FIFAWC1966-16</v>
      </c>
      <c r="B185" s="4">
        <v>16</v>
      </c>
      <c r="C185" s="3">
        <v>24305</v>
      </c>
      <c r="D185" s="7">
        <v>0.10416666666666667</v>
      </c>
      <c r="E185">
        <v>1966</v>
      </c>
      <c r="F185" t="s">
        <v>1726</v>
      </c>
      <c r="G185" t="s">
        <v>1741</v>
      </c>
      <c r="H185" t="s">
        <v>1122</v>
      </c>
      <c r="I185" t="s">
        <v>1131</v>
      </c>
      <c r="J185" t="s">
        <v>1021</v>
      </c>
      <c r="K185">
        <v>2</v>
      </c>
      <c r="L185">
        <v>0</v>
      </c>
      <c r="M185" t="s">
        <v>845</v>
      </c>
      <c r="O185" t="s">
        <v>1360</v>
      </c>
      <c r="P185" t="s">
        <v>1364</v>
      </c>
      <c r="Q185">
        <v>92570</v>
      </c>
      <c r="R185" t="s">
        <v>1157</v>
      </c>
      <c r="S185" t="str">
        <f>VLOOKUP(J185,Teams!A:B,2,FALSE)</f>
        <v>ENG</v>
      </c>
      <c r="T185" t="str">
        <f>VLOOKUP(M185,Teams!A:B,2,FALSE)</f>
        <v>MEX</v>
      </c>
    </row>
    <row r="186" spans="1:20" x14ac:dyDescent="0.25">
      <c r="A186" t="str">
        <f t="shared" si="2"/>
        <v>FIFAWC1966-17</v>
      </c>
      <c r="B186" s="4">
        <v>17</v>
      </c>
      <c r="C186" s="3">
        <v>24307</v>
      </c>
      <c r="D186" s="7">
        <v>0.97916666666666663</v>
      </c>
      <c r="E186">
        <v>1966</v>
      </c>
      <c r="F186" t="s">
        <v>1726</v>
      </c>
      <c r="G186" t="s">
        <v>1741</v>
      </c>
      <c r="H186" t="s">
        <v>1122</v>
      </c>
      <c r="I186" t="s">
        <v>1131</v>
      </c>
      <c r="J186" t="s">
        <v>916</v>
      </c>
      <c r="K186">
        <v>0</v>
      </c>
      <c r="L186">
        <v>0</v>
      </c>
      <c r="M186" t="s">
        <v>845</v>
      </c>
      <c r="O186" t="s">
        <v>1360</v>
      </c>
      <c r="P186" t="s">
        <v>1379</v>
      </c>
      <c r="Q186">
        <v>61112</v>
      </c>
      <c r="R186" t="s">
        <v>1157</v>
      </c>
      <c r="S186" t="str">
        <f>VLOOKUP(J186,Teams!A:B,2,FALSE)</f>
        <v>URU</v>
      </c>
      <c r="T186" t="str">
        <f>VLOOKUP(M186,Teams!A:B,2,FALSE)</f>
        <v>MEX</v>
      </c>
    </row>
    <row r="187" spans="1:20" x14ac:dyDescent="0.25">
      <c r="A187" t="str">
        <f t="shared" si="2"/>
        <v>FIFAWC1966-18</v>
      </c>
      <c r="B187" s="4">
        <v>18</v>
      </c>
      <c r="C187" s="3">
        <v>24308</v>
      </c>
      <c r="D187" s="7">
        <v>0.10416666666666667</v>
      </c>
      <c r="E187">
        <v>1966</v>
      </c>
      <c r="F187" t="s">
        <v>1726</v>
      </c>
      <c r="G187" t="s">
        <v>1741</v>
      </c>
      <c r="H187" t="s">
        <v>1122</v>
      </c>
      <c r="I187" t="s">
        <v>1132</v>
      </c>
      <c r="J187" t="s">
        <v>749</v>
      </c>
      <c r="K187">
        <v>2</v>
      </c>
      <c r="L187">
        <v>0</v>
      </c>
      <c r="M187" t="s">
        <v>901</v>
      </c>
      <c r="O187" t="s">
        <v>1366</v>
      </c>
      <c r="P187" t="s">
        <v>1378</v>
      </c>
      <c r="Q187">
        <v>32000</v>
      </c>
      <c r="R187" t="s">
        <v>1157</v>
      </c>
      <c r="S187" t="str">
        <f>VLOOKUP(J187,Teams!A:B,2,FALSE)</f>
        <v>ARG</v>
      </c>
      <c r="T187" t="str">
        <f>VLOOKUP(M187,Teams!A:B,2,FALSE)</f>
        <v>SUI</v>
      </c>
    </row>
    <row r="188" spans="1:20" x14ac:dyDescent="0.25">
      <c r="A188" t="str">
        <f t="shared" si="2"/>
        <v>FIFAWC1966-19</v>
      </c>
      <c r="B188" s="4">
        <v>19</v>
      </c>
      <c r="C188" s="3">
        <v>24308</v>
      </c>
      <c r="D188" s="7">
        <v>0.10416666666666667</v>
      </c>
      <c r="E188">
        <v>1966</v>
      </c>
      <c r="F188" t="s">
        <v>1726</v>
      </c>
      <c r="G188" t="s">
        <v>1741</v>
      </c>
      <c r="H188" t="s">
        <v>1122</v>
      </c>
      <c r="I188" t="s">
        <v>1133</v>
      </c>
      <c r="J188" t="s">
        <v>871</v>
      </c>
      <c r="K188">
        <v>3</v>
      </c>
      <c r="L188">
        <v>1</v>
      </c>
      <c r="M188" t="s">
        <v>760</v>
      </c>
      <c r="O188" t="s">
        <v>1363</v>
      </c>
      <c r="P188" t="s">
        <v>1377</v>
      </c>
      <c r="Q188">
        <v>62000</v>
      </c>
      <c r="R188" t="s">
        <v>1157</v>
      </c>
      <c r="S188" t="str">
        <f>VLOOKUP(J188,Teams!A:B,2,FALSE)</f>
        <v>POR</v>
      </c>
      <c r="T188" t="str">
        <f>VLOOKUP(M188,Teams!A:B,2,FALSE)</f>
        <v>BRA</v>
      </c>
    </row>
    <row r="189" spans="1:20" x14ac:dyDescent="0.25">
      <c r="A189" t="str">
        <f t="shared" si="2"/>
        <v>FIFAWC1966-20</v>
      </c>
      <c r="B189" s="4">
        <v>20</v>
      </c>
      <c r="C189" s="3">
        <v>24308</v>
      </c>
      <c r="D189" s="7">
        <v>0.10416666666666667</v>
      </c>
      <c r="E189">
        <v>1966</v>
      </c>
      <c r="F189" t="s">
        <v>1726</v>
      </c>
      <c r="G189" t="s">
        <v>1741</v>
      </c>
      <c r="H189" t="s">
        <v>1122</v>
      </c>
      <c r="I189" t="s">
        <v>1134</v>
      </c>
      <c r="J189" t="s">
        <v>1055</v>
      </c>
      <c r="K189">
        <v>1</v>
      </c>
      <c r="L189">
        <v>0</v>
      </c>
      <c r="M189" t="s">
        <v>817</v>
      </c>
      <c r="O189" t="s">
        <v>1376</v>
      </c>
      <c r="P189" t="s">
        <v>1362</v>
      </c>
      <c r="Q189">
        <v>18000</v>
      </c>
      <c r="R189" t="s">
        <v>1157</v>
      </c>
      <c r="S189" t="str">
        <f>VLOOKUP(J189,Teams!A:B,2,FALSE)</f>
        <v>PRK</v>
      </c>
      <c r="T189" t="str">
        <f>VLOOKUP(M189,Teams!A:B,2,FALSE)</f>
        <v>ITA</v>
      </c>
    </row>
    <row r="190" spans="1:20" x14ac:dyDescent="0.25">
      <c r="A190" t="str">
        <f t="shared" si="2"/>
        <v>FIFAWC1966-21</v>
      </c>
      <c r="B190" s="4">
        <v>21</v>
      </c>
      <c r="C190" s="3">
        <v>24309</v>
      </c>
      <c r="D190" s="7">
        <v>0.10416666666666667</v>
      </c>
      <c r="E190">
        <v>1966</v>
      </c>
      <c r="F190" t="s">
        <v>1726</v>
      </c>
      <c r="G190" t="s">
        <v>1741</v>
      </c>
      <c r="H190" t="s">
        <v>1122</v>
      </c>
      <c r="I190" t="s">
        <v>1132</v>
      </c>
      <c r="J190" t="s">
        <v>797</v>
      </c>
      <c r="K190">
        <v>2</v>
      </c>
      <c r="L190">
        <v>1</v>
      </c>
      <c r="M190" t="s">
        <v>895</v>
      </c>
      <c r="O190" t="s">
        <v>1375</v>
      </c>
      <c r="P190" t="s">
        <v>1339</v>
      </c>
      <c r="Q190">
        <v>51000</v>
      </c>
      <c r="R190" t="s">
        <v>1157</v>
      </c>
      <c r="S190" t="str">
        <f>VLOOKUP(J190,Teams!A:B,2,FALSE)</f>
        <v>GER</v>
      </c>
      <c r="T190" t="str">
        <f>VLOOKUP(M190,Teams!A:B,2,FALSE)</f>
        <v>ESP</v>
      </c>
    </row>
    <row r="191" spans="1:20" x14ac:dyDescent="0.25">
      <c r="A191" t="str">
        <f t="shared" si="2"/>
        <v>FIFAWC1966-22</v>
      </c>
      <c r="B191" s="4">
        <v>22</v>
      </c>
      <c r="C191" s="3">
        <v>24309</v>
      </c>
      <c r="D191" s="7">
        <v>0.10416666666666667</v>
      </c>
      <c r="E191">
        <v>1966</v>
      </c>
      <c r="F191" t="s">
        <v>1726</v>
      </c>
      <c r="G191" t="s">
        <v>1741</v>
      </c>
      <c r="H191" t="s">
        <v>1122</v>
      </c>
      <c r="I191" t="s">
        <v>1131</v>
      </c>
      <c r="J191" t="s">
        <v>1021</v>
      </c>
      <c r="K191">
        <v>2</v>
      </c>
      <c r="L191">
        <v>0</v>
      </c>
      <c r="M191" t="s">
        <v>224</v>
      </c>
      <c r="O191" t="s">
        <v>1360</v>
      </c>
      <c r="P191" t="s">
        <v>1372</v>
      </c>
      <c r="Q191">
        <v>98270</v>
      </c>
      <c r="R191" t="s">
        <v>1157</v>
      </c>
      <c r="S191" t="str">
        <f>VLOOKUP(J191,Teams!A:B,2,FALSE)</f>
        <v>ENG</v>
      </c>
      <c r="T191" t="str">
        <f>VLOOKUP(M191,Teams!A:B,2,FALSE)</f>
        <v>FRA</v>
      </c>
    </row>
    <row r="192" spans="1:20" x14ac:dyDescent="0.25">
      <c r="A192" t="str">
        <f t="shared" si="2"/>
        <v>FIFAWC1966-23</v>
      </c>
      <c r="B192" s="4">
        <v>23</v>
      </c>
      <c r="C192" s="3">
        <v>24309</v>
      </c>
      <c r="D192" s="7">
        <v>0.10416666666666667</v>
      </c>
      <c r="E192">
        <v>1966</v>
      </c>
      <c r="F192" t="s">
        <v>1726</v>
      </c>
      <c r="G192" t="s">
        <v>1741</v>
      </c>
      <c r="H192" t="s">
        <v>1122</v>
      </c>
      <c r="I192" t="s">
        <v>1134</v>
      </c>
      <c r="J192" t="s">
        <v>1754</v>
      </c>
      <c r="K192">
        <v>2</v>
      </c>
      <c r="L192">
        <v>1</v>
      </c>
      <c r="M192" t="s">
        <v>768</v>
      </c>
      <c r="O192" t="s">
        <v>1369</v>
      </c>
      <c r="P192" t="s">
        <v>1371</v>
      </c>
      <c r="Q192">
        <v>22000</v>
      </c>
      <c r="R192" t="s">
        <v>1157</v>
      </c>
      <c r="S192" t="str">
        <f>VLOOKUP(J192,Teams!A:B,2,FALSE)</f>
        <v>URS</v>
      </c>
      <c r="T192" t="str">
        <f>VLOOKUP(M192,Teams!A:B,2,FALSE)</f>
        <v>CHI</v>
      </c>
    </row>
    <row r="193" spans="1:20" x14ac:dyDescent="0.25">
      <c r="A193" t="str">
        <f t="shared" si="2"/>
        <v>FIFAWC1966-24</v>
      </c>
      <c r="B193" s="4">
        <v>24</v>
      </c>
      <c r="C193" s="3">
        <v>24309</v>
      </c>
      <c r="D193" s="7">
        <v>0.10416666666666667</v>
      </c>
      <c r="E193">
        <v>1966</v>
      </c>
      <c r="F193" t="s">
        <v>1726</v>
      </c>
      <c r="G193" t="s">
        <v>1741</v>
      </c>
      <c r="H193" t="s">
        <v>1122</v>
      </c>
      <c r="I193" t="s">
        <v>1133</v>
      </c>
      <c r="J193" t="s">
        <v>297</v>
      </c>
      <c r="K193">
        <v>3</v>
      </c>
      <c r="L193">
        <v>1</v>
      </c>
      <c r="M193" t="s">
        <v>761</v>
      </c>
      <c r="O193" t="s">
        <v>1373</v>
      </c>
      <c r="P193" t="s">
        <v>1374</v>
      </c>
      <c r="Q193">
        <v>22000</v>
      </c>
      <c r="R193" t="s">
        <v>1157</v>
      </c>
      <c r="S193" t="str">
        <f>VLOOKUP(J193,Teams!A:B,2,FALSE)</f>
        <v>HUN</v>
      </c>
      <c r="T193" t="str">
        <f>VLOOKUP(M193,Teams!A:B,2,FALSE)</f>
        <v>BUL</v>
      </c>
    </row>
    <row r="194" spans="1:20" x14ac:dyDescent="0.25">
      <c r="A194" t="str">
        <f t="shared" ref="A194:A257" si="3">F194&amp;"-"&amp;B194</f>
        <v>FIFAWC1966-25</v>
      </c>
      <c r="B194" s="4">
        <v>25</v>
      </c>
      <c r="C194" s="3">
        <v>24311</v>
      </c>
      <c r="D194" s="7">
        <v>0.9375</v>
      </c>
      <c r="E194">
        <v>1966</v>
      </c>
      <c r="F194" t="s">
        <v>1726</v>
      </c>
      <c r="G194" t="s">
        <v>1741</v>
      </c>
      <c r="H194" t="s">
        <v>1759</v>
      </c>
      <c r="I194" t="s">
        <v>1139</v>
      </c>
      <c r="J194" t="s">
        <v>797</v>
      </c>
      <c r="K194">
        <v>4</v>
      </c>
      <c r="L194">
        <v>0</v>
      </c>
      <c r="M194" t="s">
        <v>916</v>
      </c>
      <c r="O194" t="s">
        <v>1366</v>
      </c>
      <c r="P194" t="s">
        <v>1367</v>
      </c>
      <c r="Q194">
        <v>34000</v>
      </c>
      <c r="R194" t="s">
        <v>1157</v>
      </c>
      <c r="S194" t="str">
        <f>VLOOKUP(J194,Teams!A:B,2,FALSE)</f>
        <v>GER</v>
      </c>
      <c r="T194" t="str">
        <f>VLOOKUP(M194,Teams!A:B,2,FALSE)</f>
        <v>URU</v>
      </c>
    </row>
    <row r="195" spans="1:20" x14ac:dyDescent="0.25">
      <c r="A195" t="str">
        <f t="shared" si="3"/>
        <v>FIFAWC1966-26</v>
      </c>
      <c r="B195" s="4">
        <v>26</v>
      </c>
      <c r="C195" s="3">
        <v>24311</v>
      </c>
      <c r="D195" s="7">
        <v>0.9375</v>
      </c>
      <c r="E195">
        <v>1966</v>
      </c>
      <c r="F195" t="s">
        <v>1726</v>
      </c>
      <c r="G195" t="s">
        <v>1741</v>
      </c>
      <c r="H195" t="s">
        <v>1759</v>
      </c>
      <c r="I195" t="s">
        <v>1139</v>
      </c>
      <c r="J195" t="s">
        <v>1021</v>
      </c>
      <c r="K195">
        <v>1</v>
      </c>
      <c r="L195">
        <v>0</v>
      </c>
      <c r="M195" t="s">
        <v>749</v>
      </c>
      <c r="O195" t="s">
        <v>1360</v>
      </c>
      <c r="P195" t="s">
        <v>1365</v>
      </c>
      <c r="Q195">
        <v>90000</v>
      </c>
      <c r="R195" t="s">
        <v>1157</v>
      </c>
      <c r="S195" t="str">
        <f>VLOOKUP(J195,Teams!A:B,2,FALSE)</f>
        <v>ENG</v>
      </c>
      <c r="T195" t="str">
        <f>VLOOKUP(M195,Teams!A:B,2,FALSE)</f>
        <v>ARG</v>
      </c>
    </row>
    <row r="196" spans="1:20" x14ac:dyDescent="0.25">
      <c r="A196" t="str">
        <f t="shared" si="3"/>
        <v>FIFAWC1966-27</v>
      </c>
      <c r="B196" s="4">
        <v>27</v>
      </c>
      <c r="C196" s="3">
        <v>24311</v>
      </c>
      <c r="D196" s="7">
        <v>0.9375</v>
      </c>
      <c r="E196">
        <v>1966</v>
      </c>
      <c r="F196" t="s">
        <v>1726</v>
      </c>
      <c r="G196" t="s">
        <v>1741</v>
      </c>
      <c r="H196" t="s">
        <v>1759</v>
      </c>
      <c r="I196" t="s">
        <v>1139</v>
      </c>
      <c r="J196" t="s">
        <v>1754</v>
      </c>
      <c r="K196">
        <v>2</v>
      </c>
      <c r="L196">
        <v>1</v>
      </c>
      <c r="M196" t="s">
        <v>297</v>
      </c>
      <c r="O196" t="s">
        <v>1369</v>
      </c>
      <c r="P196" t="s">
        <v>1370</v>
      </c>
      <c r="Q196">
        <v>26844</v>
      </c>
      <c r="R196" t="s">
        <v>1157</v>
      </c>
      <c r="S196" t="str">
        <f>VLOOKUP(J196,Teams!A:B,2,FALSE)</f>
        <v>URS</v>
      </c>
      <c r="T196" t="str">
        <f>VLOOKUP(M196,Teams!A:B,2,FALSE)</f>
        <v>HUN</v>
      </c>
    </row>
    <row r="197" spans="1:20" x14ac:dyDescent="0.25">
      <c r="A197" t="str">
        <f t="shared" si="3"/>
        <v>FIFAWC1966-28</v>
      </c>
      <c r="B197" s="4">
        <v>28</v>
      </c>
      <c r="C197" s="3">
        <v>24311</v>
      </c>
      <c r="D197" s="7">
        <v>0.9375</v>
      </c>
      <c r="E197">
        <v>1966</v>
      </c>
      <c r="F197" t="s">
        <v>1726</v>
      </c>
      <c r="G197" t="s">
        <v>1741</v>
      </c>
      <c r="H197" t="s">
        <v>1759</v>
      </c>
      <c r="I197" t="s">
        <v>1139</v>
      </c>
      <c r="J197" t="s">
        <v>871</v>
      </c>
      <c r="K197">
        <v>5</v>
      </c>
      <c r="L197">
        <v>3</v>
      </c>
      <c r="M197" t="s">
        <v>1055</v>
      </c>
      <c r="O197" t="s">
        <v>1363</v>
      </c>
      <c r="P197" t="s">
        <v>1368</v>
      </c>
      <c r="Q197">
        <v>51780</v>
      </c>
      <c r="R197" t="s">
        <v>1157</v>
      </c>
      <c r="S197" t="str">
        <f>VLOOKUP(J197,Teams!A:B,2,FALSE)</f>
        <v>POR</v>
      </c>
      <c r="T197" t="str">
        <f>VLOOKUP(M197,Teams!A:B,2,FALSE)</f>
        <v>PRK</v>
      </c>
    </row>
    <row r="198" spans="1:20" x14ac:dyDescent="0.25">
      <c r="A198" t="str">
        <f t="shared" si="3"/>
        <v>FIFAWC1966-29</v>
      </c>
      <c r="B198" s="4">
        <v>29</v>
      </c>
      <c r="C198" s="3">
        <v>24314</v>
      </c>
      <c r="D198" s="7">
        <v>0.10416666666666667</v>
      </c>
      <c r="E198">
        <v>1966</v>
      </c>
      <c r="F198" t="s">
        <v>1726</v>
      </c>
      <c r="G198" t="s">
        <v>1741</v>
      </c>
      <c r="H198" t="s">
        <v>1759</v>
      </c>
      <c r="I198" t="s">
        <v>1140</v>
      </c>
      <c r="J198" t="s">
        <v>797</v>
      </c>
      <c r="K198">
        <v>2</v>
      </c>
      <c r="L198">
        <v>1</v>
      </c>
      <c r="M198" t="s">
        <v>1754</v>
      </c>
      <c r="O198" t="s">
        <v>1363</v>
      </c>
      <c r="P198" t="s">
        <v>1364</v>
      </c>
      <c r="Q198">
        <v>38300</v>
      </c>
      <c r="R198" t="s">
        <v>1157</v>
      </c>
      <c r="S198" t="str">
        <f>VLOOKUP(J198,Teams!A:B,2,FALSE)</f>
        <v>GER</v>
      </c>
      <c r="T198" t="str">
        <f>VLOOKUP(M198,Teams!A:B,2,FALSE)</f>
        <v>URS</v>
      </c>
    </row>
    <row r="199" spans="1:20" x14ac:dyDescent="0.25">
      <c r="A199" t="str">
        <f t="shared" si="3"/>
        <v>FIFAWC1966-30</v>
      </c>
      <c r="B199" s="4">
        <v>30</v>
      </c>
      <c r="C199" s="3">
        <v>24315</v>
      </c>
      <c r="D199" s="7">
        <v>0.10416666666666667</v>
      </c>
      <c r="E199">
        <v>1966</v>
      </c>
      <c r="F199" t="s">
        <v>1726</v>
      </c>
      <c r="G199" t="s">
        <v>1741</v>
      </c>
      <c r="H199" t="s">
        <v>1759</v>
      </c>
      <c r="I199" t="s">
        <v>1140</v>
      </c>
      <c r="J199" t="s">
        <v>1021</v>
      </c>
      <c r="K199">
        <v>2</v>
      </c>
      <c r="L199">
        <v>1</v>
      </c>
      <c r="M199" t="s">
        <v>871</v>
      </c>
      <c r="O199" t="s">
        <v>1360</v>
      </c>
      <c r="P199" t="s">
        <v>1362</v>
      </c>
      <c r="Q199">
        <v>95000</v>
      </c>
      <c r="R199" t="s">
        <v>1157</v>
      </c>
      <c r="S199" t="str">
        <f>VLOOKUP(J199,Teams!A:B,2,FALSE)</f>
        <v>ENG</v>
      </c>
      <c r="T199" t="str">
        <f>VLOOKUP(M199,Teams!A:B,2,FALSE)</f>
        <v>POR</v>
      </c>
    </row>
    <row r="200" spans="1:20" x14ac:dyDescent="0.25">
      <c r="A200" t="str">
        <f t="shared" si="3"/>
        <v>FIFAWC1966-31</v>
      </c>
      <c r="B200" s="4">
        <v>31</v>
      </c>
      <c r="C200" s="3">
        <v>24316</v>
      </c>
      <c r="D200" s="7">
        <v>0.10416666666666667</v>
      </c>
      <c r="E200">
        <v>1966</v>
      </c>
      <c r="F200" t="s">
        <v>1726</v>
      </c>
      <c r="G200" t="s">
        <v>1741</v>
      </c>
      <c r="H200" t="s">
        <v>1759</v>
      </c>
      <c r="I200" t="s">
        <v>1018</v>
      </c>
      <c r="J200" t="s">
        <v>871</v>
      </c>
      <c r="K200">
        <v>2</v>
      </c>
      <c r="L200">
        <v>1</v>
      </c>
      <c r="M200" t="s">
        <v>1754</v>
      </c>
      <c r="O200" t="s">
        <v>1360</v>
      </c>
      <c r="Q200">
        <v>87696</v>
      </c>
      <c r="R200" t="s">
        <v>1157</v>
      </c>
      <c r="S200" t="str">
        <f>VLOOKUP(J200,Teams!A:B,2,FALSE)</f>
        <v>POR</v>
      </c>
      <c r="T200" t="str">
        <f>VLOOKUP(M200,Teams!A:B,2,FALSE)</f>
        <v>URS</v>
      </c>
    </row>
    <row r="201" spans="1:20" x14ac:dyDescent="0.25">
      <c r="A201" t="str">
        <f t="shared" si="3"/>
        <v>FIFAWC1966-32</v>
      </c>
      <c r="B201" s="4">
        <v>32</v>
      </c>
      <c r="C201" s="3">
        <v>24318</v>
      </c>
      <c r="D201" s="7">
        <v>0.91666666666666663</v>
      </c>
      <c r="E201">
        <v>1966</v>
      </c>
      <c r="F201" t="s">
        <v>1726</v>
      </c>
      <c r="G201" t="s">
        <v>1741</v>
      </c>
      <c r="H201" t="s">
        <v>1759</v>
      </c>
      <c r="I201" t="s">
        <v>1141</v>
      </c>
      <c r="J201" t="s">
        <v>1021</v>
      </c>
      <c r="K201">
        <v>4</v>
      </c>
      <c r="L201">
        <v>2</v>
      </c>
      <c r="M201" t="s">
        <v>797</v>
      </c>
      <c r="O201" t="s">
        <v>1360</v>
      </c>
      <c r="P201" t="s">
        <v>1361</v>
      </c>
      <c r="Q201">
        <v>98000</v>
      </c>
      <c r="R201" t="s">
        <v>1157</v>
      </c>
      <c r="S201" t="str">
        <f>VLOOKUP(J201,Teams!A:B,2,FALSE)</f>
        <v>ENG</v>
      </c>
      <c r="T201" t="str">
        <f>VLOOKUP(M201,Teams!A:B,2,FALSE)</f>
        <v>GER</v>
      </c>
    </row>
    <row r="202" spans="1:20" x14ac:dyDescent="0.25">
      <c r="A202" t="str">
        <f t="shared" si="3"/>
        <v>FIFAWC1970-1</v>
      </c>
      <c r="B202" s="4">
        <v>1</v>
      </c>
      <c r="C202" s="3">
        <v>25720</v>
      </c>
      <c r="D202" s="7">
        <v>4.1666666666666664E-2</v>
      </c>
      <c r="E202">
        <v>1970</v>
      </c>
      <c r="F202" t="s">
        <v>1727</v>
      </c>
      <c r="G202" t="s">
        <v>1741</v>
      </c>
      <c r="H202" t="s">
        <v>1122</v>
      </c>
      <c r="I202" t="s">
        <v>1131</v>
      </c>
      <c r="J202" t="s">
        <v>845</v>
      </c>
      <c r="K202">
        <v>0</v>
      </c>
      <c r="L202">
        <v>0</v>
      </c>
      <c r="M202" t="s">
        <v>1754</v>
      </c>
      <c r="O202" t="s">
        <v>1181</v>
      </c>
      <c r="P202" t="s">
        <v>1332</v>
      </c>
      <c r="Q202">
        <v>107000</v>
      </c>
      <c r="R202" t="s">
        <v>1157</v>
      </c>
      <c r="S202" t="str">
        <f>VLOOKUP(J202,Teams!A:B,2,FALSE)</f>
        <v>MEX</v>
      </c>
      <c r="T202" t="str">
        <f>VLOOKUP(M202,Teams!A:B,2,FALSE)</f>
        <v>URS</v>
      </c>
    </row>
    <row r="203" spans="1:20" x14ac:dyDescent="0.25">
      <c r="A203" t="str">
        <f t="shared" si="3"/>
        <v>FIFAWC1970-2</v>
      </c>
      <c r="B203" s="4">
        <v>2</v>
      </c>
      <c r="C203" s="3">
        <v>25722</v>
      </c>
      <c r="D203" s="7">
        <v>0.20833333333333334</v>
      </c>
      <c r="E203">
        <v>1970</v>
      </c>
      <c r="F203" t="s">
        <v>1727</v>
      </c>
      <c r="G203" t="s">
        <v>1741</v>
      </c>
      <c r="H203" t="s">
        <v>1122</v>
      </c>
      <c r="I203" t="s">
        <v>1132</v>
      </c>
      <c r="J203" t="s">
        <v>916</v>
      </c>
      <c r="K203">
        <v>2</v>
      </c>
      <c r="L203">
        <v>0</v>
      </c>
      <c r="M203" t="s">
        <v>816</v>
      </c>
      <c r="O203" t="s">
        <v>1193</v>
      </c>
      <c r="P203" t="s">
        <v>1340</v>
      </c>
      <c r="Q203">
        <v>20000</v>
      </c>
      <c r="R203" t="s">
        <v>1157</v>
      </c>
      <c r="S203" t="str">
        <f>VLOOKUP(J203,Teams!A:B,2,FALSE)</f>
        <v>URU</v>
      </c>
      <c r="T203" t="str">
        <f>VLOOKUP(M203,Teams!A:B,2,FALSE)</f>
        <v>ISR</v>
      </c>
    </row>
    <row r="204" spans="1:20" x14ac:dyDescent="0.25">
      <c r="A204" t="str">
        <f t="shared" si="3"/>
        <v>FIFAWC1970-3</v>
      </c>
      <c r="B204" s="4">
        <v>3</v>
      </c>
      <c r="C204" s="3">
        <v>25722</v>
      </c>
      <c r="D204" s="7">
        <v>0.20833333333333334</v>
      </c>
      <c r="E204">
        <v>1970</v>
      </c>
      <c r="F204" t="s">
        <v>1727</v>
      </c>
      <c r="G204" t="s">
        <v>1741</v>
      </c>
      <c r="H204" t="s">
        <v>1122</v>
      </c>
      <c r="I204" t="s">
        <v>1133</v>
      </c>
      <c r="J204" t="s">
        <v>1021</v>
      </c>
      <c r="K204">
        <v>1</v>
      </c>
      <c r="L204">
        <v>0</v>
      </c>
      <c r="M204" t="s">
        <v>539</v>
      </c>
      <c r="O204" t="s">
        <v>1185</v>
      </c>
      <c r="P204" t="s">
        <v>1359</v>
      </c>
      <c r="Q204">
        <v>50560</v>
      </c>
      <c r="R204" t="s">
        <v>1157</v>
      </c>
      <c r="S204" t="str">
        <f>VLOOKUP(J204,Teams!A:B,2,FALSE)</f>
        <v>ENG</v>
      </c>
      <c r="T204" t="str">
        <f>VLOOKUP(M204,Teams!A:B,2,FALSE)</f>
        <v>ROU</v>
      </c>
    </row>
    <row r="205" spans="1:20" x14ac:dyDescent="0.25">
      <c r="A205" t="str">
        <f t="shared" si="3"/>
        <v>FIFAWC1970-4</v>
      </c>
      <c r="B205" s="4">
        <v>4</v>
      </c>
      <c r="C205" s="3">
        <v>25722</v>
      </c>
      <c r="D205" s="7">
        <v>0.20833333333333334</v>
      </c>
      <c r="E205">
        <v>1970</v>
      </c>
      <c r="F205" t="s">
        <v>1727</v>
      </c>
      <c r="G205" t="s">
        <v>1741</v>
      </c>
      <c r="H205" t="s">
        <v>1122</v>
      </c>
      <c r="I205" t="s">
        <v>1134</v>
      </c>
      <c r="J205" t="s">
        <v>867</v>
      </c>
      <c r="K205">
        <v>3</v>
      </c>
      <c r="L205">
        <v>2</v>
      </c>
      <c r="M205" t="s">
        <v>761</v>
      </c>
      <c r="O205" t="s">
        <v>1189</v>
      </c>
      <c r="P205" t="s">
        <v>1343</v>
      </c>
      <c r="Q205">
        <v>13765</v>
      </c>
      <c r="R205" t="s">
        <v>1157</v>
      </c>
      <c r="S205" t="str">
        <f>VLOOKUP(J205,Teams!A:B,2,FALSE)</f>
        <v>PER</v>
      </c>
      <c r="T205" t="str">
        <f>VLOOKUP(M205,Teams!A:B,2,FALSE)</f>
        <v>BUL</v>
      </c>
    </row>
    <row r="206" spans="1:20" x14ac:dyDescent="0.25">
      <c r="A206" t="str">
        <f t="shared" si="3"/>
        <v>FIFAWC1970-5</v>
      </c>
      <c r="B206" s="4">
        <v>5</v>
      </c>
      <c r="C206" s="3">
        <v>25723</v>
      </c>
      <c r="D206" s="7">
        <v>0.20833333333333334</v>
      </c>
      <c r="E206">
        <v>1970</v>
      </c>
      <c r="F206" t="s">
        <v>1727</v>
      </c>
      <c r="G206" t="s">
        <v>1741</v>
      </c>
      <c r="H206" t="s">
        <v>1122</v>
      </c>
      <c r="I206" t="s">
        <v>1131</v>
      </c>
      <c r="J206" t="s">
        <v>756</v>
      </c>
      <c r="K206">
        <v>3</v>
      </c>
      <c r="L206">
        <v>0</v>
      </c>
      <c r="M206" t="s">
        <v>784</v>
      </c>
      <c r="O206" t="s">
        <v>1181</v>
      </c>
      <c r="P206" t="s">
        <v>1358</v>
      </c>
      <c r="Q206">
        <v>92000</v>
      </c>
      <c r="R206" t="s">
        <v>1157</v>
      </c>
      <c r="S206" t="str">
        <f>VLOOKUP(J206,Teams!A:B,2,FALSE)</f>
        <v>BEL</v>
      </c>
      <c r="T206" t="str">
        <f>VLOOKUP(M206,Teams!A:B,2,FALSE)</f>
        <v>SLV</v>
      </c>
    </row>
    <row r="207" spans="1:20" x14ac:dyDescent="0.25">
      <c r="A207" t="str">
        <f t="shared" si="3"/>
        <v>FIFAWC1970-6</v>
      </c>
      <c r="B207" s="4">
        <v>6</v>
      </c>
      <c r="C207" s="3">
        <v>25723</v>
      </c>
      <c r="D207" s="7">
        <v>0.20833333333333334</v>
      </c>
      <c r="E207">
        <v>1970</v>
      </c>
      <c r="F207" t="s">
        <v>1727</v>
      </c>
      <c r="G207" t="s">
        <v>1741</v>
      </c>
      <c r="H207" t="s">
        <v>1122</v>
      </c>
      <c r="I207" t="s">
        <v>1132</v>
      </c>
      <c r="J207" t="s">
        <v>817</v>
      </c>
      <c r="K207">
        <v>1</v>
      </c>
      <c r="L207">
        <v>0</v>
      </c>
      <c r="M207" t="s">
        <v>900</v>
      </c>
      <c r="O207" t="s">
        <v>1175</v>
      </c>
      <c r="P207" t="s">
        <v>1326</v>
      </c>
      <c r="Q207">
        <v>14000</v>
      </c>
      <c r="R207" t="s">
        <v>1157</v>
      </c>
      <c r="S207" t="str">
        <f>VLOOKUP(J207,Teams!A:B,2,FALSE)</f>
        <v>ITA</v>
      </c>
      <c r="T207" t="str">
        <f>VLOOKUP(M207,Teams!A:B,2,FALSE)</f>
        <v>SWE</v>
      </c>
    </row>
    <row r="208" spans="1:20" x14ac:dyDescent="0.25">
      <c r="A208" t="str">
        <f t="shared" si="3"/>
        <v>FIFAWC1970-7</v>
      </c>
      <c r="B208" s="4">
        <v>7</v>
      </c>
      <c r="C208" s="3">
        <v>25723</v>
      </c>
      <c r="D208" s="7">
        <v>0.20833333333333334</v>
      </c>
      <c r="E208">
        <v>1970</v>
      </c>
      <c r="F208" t="s">
        <v>1727</v>
      </c>
      <c r="G208" t="s">
        <v>1741</v>
      </c>
      <c r="H208" t="s">
        <v>1122</v>
      </c>
      <c r="I208" t="s">
        <v>1133</v>
      </c>
      <c r="J208" t="s">
        <v>760</v>
      </c>
      <c r="K208">
        <v>4</v>
      </c>
      <c r="L208">
        <v>1</v>
      </c>
      <c r="M208" t="s">
        <v>1037</v>
      </c>
      <c r="O208" t="s">
        <v>1185</v>
      </c>
      <c r="P208" t="s">
        <v>1309</v>
      </c>
      <c r="Q208">
        <v>52897</v>
      </c>
      <c r="R208" t="s">
        <v>1157</v>
      </c>
      <c r="S208" t="str">
        <f>VLOOKUP(J208,Teams!A:B,2,FALSE)</f>
        <v>BRA</v>
      </c>
      <c r="T208" t="str">
        <f>VLOOKUP(M208,Teams!A:B,2,FALSE)</f>
        <v>TCH</v>
      </c>
    </row>
    <row r="209" spans="1:20" x14ac:dyDescent="0.25">
      <c r="A209" t="str">
        <f t="shared" si="3"/>
        <v>FIFAWC1970-8</v>
      </c>
      <c r="B209" s="4">
        <v>8</v>
      </c>
      <c r="C209" s="3">
        <v>25723</v>
      </c>
      <c r="D209" s="7">
        <v>0.20833333333333334</v>
      </c>
      <c r="E209">
        <v>1970</v>
      </c>
      <c r="F209" t="s">
        <v>1727</v>
      </c>
      <c r="G209" t="s">
        <v>1741</v>
      </c>
      <c r="H209" t="s">
        <v>1122</v>
      </c>
      <c r="I209" t="s">
        <v>1134</v>
      </c>
      <c r="J209" t="s">
        <v>797</v>
      </c>
      <c r="K209">
        <v>2</v>
      </c>
      <c r="L209">
        <v>1</v>
      </c>
      <c r="M209" t="s">
        <v>849</v>
      </c>
      <c r="O209" t="s">
        <v>1189</v>
      </c>
      <c r="P209" t="s">
        <v>1346</v>
      </c>
      <c r="Q209">
        <v>12942</v>
      </c>
      <c r="R209" t="s">
        <v>1157</v>
      </c>
      <c r="S209" t="str">
        <f>VLOOKUP(J209,Teams!A:B,2,FALSE)</f>
        <v>GER</v>
      </c>
      <c r="T209" t="str">
        <f>VLOOKUP(M209,Teams!A:B,2,FALSE)</f>
        <v>MAR</v>
      </c>
    </row>
    <row r="210" spans="1:20" x14ac:dyDescent="0.25">
      <c r="A210" t="str">
        <f t="shared" si="3"/>
        <v>FIFAWC1970-9</v>
      </c>
      <c r="B210" s="4">
        <v>9</v>
      </c>
      <c r="C210" s="3">
        <v>25726</v>
      </c>
      <c r="D210" s="7">
        <v>0.20833333333333334</v>
      </c>
      <c r="E210">
        <v>1970</v>
      </c>
      <c r="F210" t="s">
        <v>1727</v>
      </c>
      <c r="G210" t="s">
        <v>1741</v>
      </c>
      <c r="H210" t="s">
        <v>1122</v>
      </c>
      <c r="I210" t="s">
        <v>1131</v>
      </c>
      <c r="J210" t="s">
        <v>1754</v>
      </c>
      <c r="K210">
        <v>4</v>
      </c>
      <c r="L210">
        <v>1</v>
      </c>
      <c r="M210" t="s">
        <v>756</v>
      </c>
      <c r="O210" t="s">
        <v>1181</v>
      </c>
      <c r="P210" t="s">
        <v>1336</v>
      </c>
      <c r="Q210">
        <v>59000</v>
      </c>
      <c r="R210" t="s">
        <v>1157</v>
      </c>
      <c r="S210" t="str">
        <f>VLOOKUP(J210,Teams!A:B,2,FALSE)</f>
        <v>URS</v>
      </c>
      <c r="T210" t="str">
        <f>VLOOKUP(M210,Teams!A:B,2,FALSE)</f>
        <v>BEL</v>
      </c>
    </row>
    <row r="211" spans="1:20" x14ac:dyDescent="0.25">
      <c r="A211" t="str">
        <f t="shared" si="3"/>
        <v>FIFAWC1970-10</v>
      </c>
      <c r="B211" s="4">
        <v>10</v>
      </c>
      <c r="C211" s="3">
        <v>25726</v>
      </c>
      <c r="D211" s="7">
        <v>0.20833333333333334</v>
      </c>
      <c r="E211">
        <v>1970</v>
      </c>
      <c r="F211" t="s">
        <v>1727</v>
      </c>
      <c r="G211" t="s">
        <v>1741</v>
      </c>
      <c r="H211" t="s">
        <v>1122</v>
      </c>
      <c r="I211" t="s">
        <v>1132</v>
      </c>
      <c r="J211" t="s">
        <v>916</v>
      </c>
      <c r="K211">
        <v>0</v>
      </c>
      <c r="L211">
        <v>0</v>
      </c>
      <c r="M211" t="s">
        <v>817</v>
      </c>
      <c r="O211" t="s">
        <v>1193</v>
      </c>
      <c r="P211" t="s">
        <v>1335</v>
      </c>
      <c r="Q211">
        <v>30000</v>
      </c>
      <c r="R211" t="s">
        <v>1157</v>
      </c>
      <c r="S211" t="str">
        <f>VLOOKUP(J211,Teams!A:B,2,FALSE)</f>
        <v>URU</v>
      </c>
      <c r="T211" t="str">
        <f>VLOOKUP(M211,Teams!A:B,2,FALSE)</f>
        <v>ITA</v>
      </c>
    </row>
    <row r="212" spans="1:20" x14ac:dyDescent="0.25">
      <c r="A212" t="str">
        <f t="shared" si="3"/>
        <v>FIFAWC1970-11</v>
      </c>
      <c r="B212" s="4">
        <v>11</v>
      </c>
      <c r="C212" s="3">
        <v>25726</v>
      </c>
      <c r="D212" s="7">
        <v>0.20833333333333334</v>
      </c>
      <c r="E212">
        <v>1970</v>
      </c>
      <c r="F212" t="s">
        <v>1727</v>
      </c>
      <c r="G212" t="s">
        <v>1741</v>
      </c>
      <c r="H212" t="s">
        <v>1122</v>
      </c>
      <c r="I212" t="s">
        <v>1134</v>
      </c>
      <c r="J212" t="s">
        <v>867</v>
      </c>
      <c r="K212">
        <v>3</v>
      </c>
      <c r="L212">
        <v>0</v>
      </c>
      <c r="M212" t="s">
        <v>849</v>
      </c>
      <c r="O212" t="s">
        <v>1189</v>
      </c>
      <c r="P212" t="s">
        <v>1356</v>
      </c>
      <c r="Q212">
        <v>13537</v>
      </c>
      <c r="R212" t="s">
        <v>1157</v>
      </c>
      <c r="S212" t="str">
        <f>VLOOKUP(J212,Teams!A:B,2,FALSE)</f>
        <v>PER</v>
      </c>
      <c r="T212" t="str">
        <f>VLOOKUP(M212,Teams!A:B,2,FALSE)</f>
        <v>MAR</v>
      </c>
    </row>
    <row r="213" spans="1:20" x14ac:dyDescent="0.25">
      <c r="A213" t="str">
        <f t="shared" si="3"/>
        <v>FIFAWC1970-12</v>
      </c>
      <c r="B213" s="4">
        <v>12</v>
      </c>
      <c r="C213" s="3">
        <v>25726</v>
      </c>
      <c r="D213" s="7">
        <v>0.20833333333333334</v>
      </c>
      <c r="E213">
        <v>1970</v>
      </c>
      <c r="F213" t="s">
        <v>1727</v>
      </c>
      <c r="G213" t="s">
        <v>1741</v>
      </c>
      <c r="H213" t="s">
        <v>1122</v>
      </c>
      <c r="I213" t="s">
        <v>1133</v>
      </c>
      <c r="J213" t="s">
        <v>539</v>
      </c>
      <c r="K213">
        <v>2</v>
      </c>
      <c r="L213">
        <v>1</v>
      </c>
      <c r="M213" t="s">
        <v>1037</v>
      </c>
      <c r="O213" t="s">
        <v>1185</v>
      </c>
      <c r="P213" t="s">
        <v>1357</v>
      </c>
      <c r="Q213">
        <v>56818</v>
      </c>
      <c r="R213" t="s">
        <v>1157</v>
      </c>
      <c r="S213" t="str">
        <f>VLOOKUP(J213,Teams!A:B,2,FALSE)</f>
        <v>ROU</v>
      </c>
      <c r="T213" t="str">
        <f>VLOOKUP(M213,Teams!A:B,2,FALSE)</f>
        <v>TCH</v>
      </c>
    </row>
    <row r="214" spans="1:20" x14ac:dyDescent="0.25">
      <c r="A214" t="str">
        <f t="shared" si="3"/>
        <v>FIFAWC1970-13</v>
      </c>
      <c r="B214" s="4">
        <v>13</v>
      </c>
      <c r="C214" s="3">
        <v>25727</v>
      </c>
      <c r="D214" s="7">
        <v>0.20833333333333334</v>
      </c>
      <c r="E214">
        <v>1970</v>
      </c>
      <c r="F214" t="s">
        <v>1727</v>
      </c>
      <c r="G214" t="s">
        <v>1741</v>
      </c>
      <c r="H214" t="s">
        <v>1122</v>
      </c>
      <c r="I214" t="s">
        <v>1131</v>
      </c>
      <c r="J214" t="s">
        <v>845</v>
      </c>
      <c r="K214">
        <v>4</v>
      </c>
      <c r="L214">
        <v>0</v>
      </c>
      <c r="M214" t="s">
        <v>784</v>
      </c>
      <c r="O214" t="s">
        <v>1181</v>
      </c>
      <c r="P214" t="s">
        <v>1355</v>
      </c>
      <c r="Q214">
        <v>103000</v>
      </c>
      <c r="R214" t="s">
        <v>1157</v>
      </c>
      <c r="S214" t="str">
        <f>VLOOKUP(J214,Teams!A:B,2,FALSE)</f>
        <v>MEX</v>
      </c>
      <c r="T214" t="str">
        <f>VLOOKUP(M214,Teams!A:B,2,FALSE)</f>
        <v>SLV</v>
      </c>
    </row>
    <row r="215" spans="1:20" x14ac:dyDescent="0.25">
      <c r="A215" t="str">
        <f t="shared" si="3"/>
        <v>FIFAWC1970-14</v>
      </c>
      <c r="B215" s="4">
        <v>14</v>
      </c>
      <c r="C215" s="3">
        <v>25727</v>
      </c>
      <c r="D215" s="7">
        <v>0.20833333333333334</v>
      </c>
      <c r="E215">
        <v>1970</v>
      </c>
      <c r="F215" t="s">
        <v>1727</v>
      </c>
      <c r="G215" t="s">
        <v>1741</v>
      </c>
      <c r="H215" t="s">
        <v>1122</v>
      </c>
      <c r="I215" t="s">
        <v>1132</v>
      </c>
      <c r="J215" t="s">
        <v>900</v>
      </c>
      <c r="K215">
        <v>1</v>
      </c>
      <c r="L215">
        <v>1</v>
      </c>
      <c r="M215" t="s">
        <v>816</v>
      </c>
      <c r="O215" t="s">
        <v>1175</v>
      </c>
      <c r="P215" t="s">
        <v>1354</v>
      </c>
      <c r="Q215">
        <v>10000</v>
      </c>
      <c r="R215" t="s">
        <v>1157</v>
      </c>
      <c r="S215" t="str">
        <f>VLOOKUP(J215,Teams!A:B,2,FALSE)</f>
        <v>SWE</v>
      </c>
      <c r="T215" t="str">
        <f>VLOOKUP(M215,Teams!A:B,2,FALSE)</f>
        <v>ISR</v>
      </c>
    </row>
    <row r="216" spans="1:20" x14ac:dyDescent="0.25">
      <c r="A216" t="str">
        <f t="shared" si="3"/>
        <v>FIFAWC1970-15</v>
      </c>
      <c r="B216" s="4">
        <v>15</v>
      </c>
      <c r="C216" s="3">
        <v>25727</v>
      </c>
      <c r="D216" s="7">
        <v>0.20833333333333334</v>
      </c>
      <c r="E216">
        <v>1970</v>
      </c>
      <c r="F216" t="s">
        <v>1727</v>
      </c>
      <c r="G216" t="s">
        <v>1741</v>
      </c>
      <c r="H216" t="s">
        <v>1122</v>
      </c>
      <c r="I216" t="s">
        <v>1134</v>
      </c>
      <c r="J216" t="s">
        <v>797</v>
      </c>
      <c r="K216">
        <v>5</v>
      </c>
      <c r="L216">
        <v>2</v>
      </c>
      <c r="M216" t="s">
        <v>761</v>
      </c>
      <c r="O216" t="s">
        <v>1189</v>
      </c>
      <c r="P216" t="s">
        <v>1345</v>
      </c>
      <c r="Q216">
        <v>12710</v>
      </c>
      <c r="R216" t="s">
        <v>1157</v>
      </c>
      <c r="S216" t="str">
        <f>VLOOKUP(J216,Teams!A:B,2,FALSE)</f>
        <v>GER</v>
      </c>
      <c r="T216" t="str">
        <f>VLOOKUP(M216,Teams!A:B,2,FALSE)</f>
        <v>BUL</v>
      </c>
    </row>
    <row r="217" spans="1:20" x14ac:dyDescent="0.25">
      <c r="A217" t="str">
        <f t="shared" si="3"/>
        <v>FIFAWC1970-16</v>
      </c>
      <c r="B217" s="4">
        <v>16</v>
      </c>
      <c r="C217" s="3">
        <v>25727</v>
      </c>
      <c r="D217" s="7">
        <v>0.20833333333333334</v>
      </c>
      <c r="E217">
        <v>1970</v>
      </c>
      <c r="F217" t="s">
        <v>1727</v>
      </c>
      <c r="G217" t="s">
        <v>1741</v>
      </c>
      <c r="H217" t="s">
        <v>1122</v>
      </c>
      <c r="I217" t="s">
        <v>1133</v>
      </c>
      <c r="J217" t="s">
        <v>760</v>
      </c>
      <c r="K217">
        <v>1</v>
      </c>
      <c r="L217">
        <v>0</v>
      </c>
      <c r="M217" t="s">
        <v>1021</v>
      </c>
      <c r="O217" t="s">
        <v>1185</v>
      </c>
      <c r="P217" t="s">
        <v>1217</v>
      </c>
      <c r="Q217">
        <v>66834</v>
      </c>
      <c r="R217" t="s">
        <v>1157</v>
      </c>
      <c r="S217" t="str">
        <f>VLOOKUP(J217,Teams!A:B,2,FALSE)</f>
        <v>BRA</v>
      </c>
      <c r="T217" t="str">
        <f>VLOOKUP(M217,Teams!A:B,2,FALSE)</f>
        <v>ENG</v>
      </c>
    </row>
    <row r="218" spans="1:20" x14ac:dyDescent="0.25">
      <c r="A218" t="str">
        <f t="shared" si="3"/>
        <v>FIFAWC1970-17</v>
      </c>
      <c r="B218" s="4">
        <v>17</v>
      </c>
      <c r="C218" s="3">
        <v>25730</v>
      </c>
      <c r="D218" s="7">
        <v>0.20833333333333334</v>
      </c>
      <c r="E218">
        <v>1970</v>
      </c>
      <c r="F218" t="s">
        <v>1727</v>
      </c>
      <c r="G218" t="s">
        <v>1741</v>
      </c>
      <c r="H218" t="s">
        <v>1122</v>
      </c>
      <c r="I218" t="s">
        <v>1131</v>
      </c>
      <c r="J218" t="s">
        <v>1754</v>
      </c>
      <c r="K218">
        <v>2</v>
      </c>
      <c r="L218">
        <v>0</v>
      </c>
      <c r="M218" t="s">
        <v>784</v>
      </c>
      <c r="O218" t="s">
        <v>1181</v>
      </c>
      <c r="P218" t="s">
        <v>1353</v>
      </c>
      <c r="Q218">
        <v>89000</v>
      </c>
      <c r="R218" t="s">
        <v>1157</v>
      </c>
      <c r="S218" t="str">
        <f>VLOOKUP(J218,Teams!A:B,2,FALSE)</f>
        <v>URS</v>
      </c>
      <c r="T218" t="str">
        <f>VLOOKUP(M218,Teams!A:B,2,FALSE)</f>
        <v>SLV</v>
      </c>
    </row>
    <row r="219" spans="1:20" x14ac:dyDescent="0.25">
      <c r="A219" t="str">
        <f t="shared" si="3"/>
        <v>FIFAWC1970-18</v>
      </c>
      <c r="B219" s="4">
        <v>18</v>
      </c>
      <c r="C219" s="3">
        <v>25730</v>
      </c>
      <c r="D219" s="7">
        <v>0.20833333333333334</v>
      </c>
      <c r="E219">
        <v>1970</v>
      </c>
      <c r="F219" t="s">
        <v>1727</v>
      </c>
      <c r="G219" t="s">
        <v>1741</v>
      </c>
      <c r="H219" t="s">
        <v>1122</v>
      </c>
      <c r="I219" t="s">
        <v>1134</v>
      </c>
      <c r="J219" t="s">
        <v>797</v>
      </c>
      <c r="K219">
        <v>3</v>
      </c>
      <c r="L219">
        <v>1</v>
      </c>
      <c r="M219" t="s">
        <v>867</v>
      </c>
      <c r="O219" t="s">
        <v>1189</v>
      </c>
      <c r="P219" t="s">
        <v>1350</v>
      </c>
      <c r="Q219">
        <v>17875</v>
      </c>
      <c r="R219" t="s">
        <v>1157</v>
      </c>
      <c r="S219" t="str">
        <f>VLOOKUP(J219,Teams!A:B,2,FALSE)</f>
        <v>GER</v>
      </c>
      <c r="T219" t="str">
        <f>VLOOKUP(M219,Teams!A:B,2,FALSE)</f>
        <v>PER</v>
      </c>
    </row>
    <row r="220" spans="1:20" x14ac:dyDescent="0.25">
      <c r="A220" t="str">
        <f t="shared" si="3"/>
        <v>FIFAWC1970-19</v>
      </c>
      <c r="B220" s="4">
        <v>19</v>
      </c>
      <c r="C220" s="3">
        <v>25730</v>
      </c>
      <c r="D220" s="7">
        <v>0.20833333333333334</v>
      </c>
      <c r="E220">
        <v>1970</v>
      </c>
      <c r="F220" t="s">
        <v>1727</v>
      </c>
      <c r="G220" t="s">
        <v>1741</v>
      </c>
      <c r="H220" t="s">
        <v>1122</v>
      </c>
      <c r="I220" t="s">
        <v>1133</v>
      </c>
      <c r="J220" t="s">
        <v>760</v>
      </c>
      <c r="K220">
        <v>3</v>
      </c>
      <c r="L220">
        <v>2</v>
      </c>
      <c r="M220" t="s">
        <v>539</v>
      </c>
      <c r="O220" t="s">
        <v>1185</v>
      </c>
      <c r="P220" t="s">
        <v>1351</v>
      </c>
      <c r="Q220">
        <v>50804</v>
      </c>
      <c r="R220" t="s">
        <v>1157</v>
      </c>
      <c r="S220" t="str">
        <f>VLOOKUP(J220,Teams!A:B,2,FALSE)</f>
        <v>BRA</v>
      </c>
      <c r="T220" t="str">
        <f>VLOOKUP(M220,Teams!A:B,2,FALSE)</f>
        <v>ROU</v>
      </c>
    </row>
    <row r="221" spans="1:20" x14ac:dyDescent="0.25">
      <c r="A221" t="str">
        <f t="shared" si="3"/>
        <v>FIFAWC1970-20</v>
      </c>
      <c r="B221" s="4">
        <v>20</v>
      </c>
      <c r="C221" s="3">
        <v>25730</v>
      </c>
      <c r="D221" s="7">
        <v>0.20833333333333334</v>
      </c>
      <c r="E221">
        <v>1970</v>
      </c>
      <c r="F221" t="s">
        <v>1727</v>
      </c>
      <c r="G221" t="s">
        <v>1741</v>
      </c>
      <c r="H221" t="s">
        <v>1122</v>
      </c>
      <c r="I221" t="s">
        <v>1132</v>
      </c>
      <c r="J221" t="s">
        <v>900</v>
      </c>
      <c r="K221">
        <v>1</v>
      </c>
      <c r="L221">
        <v>0</v>
      </c>
      <c r="M221" t="s">
        <v>916</v>
      </c>
      <c r="O221" t="s">
        <v>1193</v>
      </c>
      <c r="P221" t="s">
        <v>1352</v>
      </c>
      <c r="Q221">
        <v>18000</v>
      </c>
      <c r="R221" t="s">
        <v>1157</v>
      </c>
      <c r="S221" t="str">
        <f>VLOOKUP(J221,Teams!A:B,2,FALSE)</f>
        <v>SWE</v>
      </c>
      <c r="T221" t="str">
        <f>VLOOKUP(M221,Teams!A:B,2,FALSE)</f>
        <v>URU</v>
      </c>
    </row>
    <row r="222" spans="1:20" x14ac:dyDescent="0.25">
      <c r="A222" t="str">
        <f t="shared" si="3"/>
        <v>FIFAWC1970-21</v>
      </c>
      <c r="B222" s="4">
        <v>21</v>
      </c>
      <c r="C222" s="3">
        <v>25731</v>
      </c>
      <c r="D222" s="7">
        <v>0.20833333333333334</v>
      </c>
      <c r="E222">
        <v>1970</v>
      </c>
      <c r="F222" t="s">
        <v>1727</v>
      </c>
      <c r="G222" t="s">
        <v>1741</v>
      </c>
      <c r="H222" t="s">
        <v>1122</v>
      </c>
      <c r="I222" t="s">
        <v>1131</v>
      </c>
      <c r="J222" t="s">
        <v>845</v>
      </c>
      <c r="K222">
        <v>1</v>
      </c>
      <c r="L222">
        <v>0</v>
      </c>
      <c r="M222" t="s">
        <v>756</v>
      </c>
      <c r="O222" t="s">
        <v>1181</v>
      </c>
      <c r="P222" t="s">
        <v>1324</v>
      </c>
      <c r="Q222">
        <v>105000</v>
      </c>
      <c r="R222" t="s">
        <v>1157</v>
      </c>
      <c r="S222" t="str">
        <f>VLOOKUP(J222,Teams!A:B,2,FALSE)</f>
        <v>MEX</v>
      </c>
      <c r="T222" t="str">
        <f>VLOOKUP(M222,Teams!A:B,2,FALSE)</f>
        <v>BEL</v>
      </c>
    </row>
    <row r="223" spans="1:20" x14ac:dyDescent="0.25">
      <c r="A223" t="str">
        <f t="shared" si="3"/>
        <v>FIFAWC1970-22</v>
      </c>
      <c r="B223" s="4">
        <v>22</v>
      </c>
      <c r="C223" s="3">
        <v>25731</v>
      </c>
      <c r="D223" s="7">
        <v>0.20833333333333334</v>
      </c>
      <c r="E223">
        <v>1970</v>
      </c>
      <c r="F223" t="s">
        <v>1727</v>
      </c>
      <c r="G223" t="s">
        <v>1741</v>
      </c>
      <c r="H223" t="s">
        <v>1122</v>
      </c>
      <c r="I223" t="s">
        <v>1132</v>
      </c>
      <c r="J223" t="s">
        <v>817</v>
      </c>
      <c r="K223">
        <v>0</v>
      </c>
      <c r="L223">
        <v>0</v>
      </c>
      <c r="M223" t="s">
        <v>816</v>
      </c>
      <c r="O223" t="s">
        <v>1175</v>
      </c>
      <c r="P223" t="s">
        <v>1349</v>
      </c>
      <c r="Q223">
        <v>10000</v>
      </c>
      <c r="R223" t="s">
        <v>1157</v>
      </c>
      <c r="S223" t="str">
        <f>VLOOKUP(J223,Teams!A:B,2,FALSE)</f>
        <v>ITA</v>
      </c>
      <c r="T223" t="str">
        <f>VLOOKUP(M223,Teams!A:B,2,FALSE)</f>
        <v>ISR</v>
      </c>
    </row>
    <row r="224" spans="1:20" x14ac:dyDescent="0.25">
      <c r="A224" t="str">
        <f t="shared" si="3"/>
        <v>FIFAWC1970-23</v>
      </c>
      <c r="B224" s="4">
        <v>23</v>
      </c>
      <c r="C224" s="3">
        <v>25731</v>
      </c>
      <c r="D224" s="7">
        <v>0.20833333333333334</v>
      </c>
      <c r="E224">
        <v>1970</v>
      </c>
      <c r="F224" t="s">
        <v>1727</v>
      </c>
      <c r="G224" t="s">
        <v>1741</v>
      </c>
      <c r="H224" t="s">
        <v>1122</v>
      </c>
      <c r="I224" t="s">
        <v>1134</v>
      </c>
      <c r="J224" t="s">
        <v>761</v>
      </c>
      <c r="K224">
        <v>1</v>
      </c>
      <c r="L224">
        <v>1</v>
      </c>
      <c r="M224" t="s">
        <v>849</v>
      </c>
      <c r="O224" t="s">
        <v>1189</v>
      </c>
      <c r="P224" t="s">
        <v>1347</v>
      </c>
      <c r="Q224">
        <v>12299</v>
      </c>
      <c r="R224" t="s">
        <v>1157</v>
      </c>
      <c r="S224" t="str">
        <f>VLOOKUP(J224,Teams!A:B,2,FALSE)</f>
        <v>BUL</v>
      </c>
      <c r="T224" t="str">
        <f>VLOOKUP(M224,Teams!A:B,2,FALSE)</f>
        <v>MAR</v>
      </c>
    </row>
    <row r="225" spans="1:20" x14ac:dyDescent="0.25">
      <c r="A225" t="str">
        <f t="shared" si="3"/>
        <v>FIFAWC1970-24</v>
      </c>
      <c r="B225" s="4">
        <v>24</v>
      </c>
      <c r="C225" s="3">
        <v>25731</v>
      </c>
      <c r="D225" s="7">
        <v>0.20833333333333334</v>
      </c>
      <c r="E225">
        <v>1970</v>
      </c>
      <c r="F225" t="s">
        <v>1727</v>
      </c>
      <c r="G225" t="s">
        <v>1741</v>
      </c>
      <c r="H225" t="s">
        <v>1122</v>
      </c>
      <c r="I225" t="s">
        <v>1133</v>
      </c>
      <c r="J225" t="s">
        <v>1021</v>
      </c>
      <c r="K225">
        <v>1</v>
      </c>
      <c r="L225">
        <v>0</v>
      </c>
      <c r="M225" t="s">
        <v>1037</v>
      </c>
      <c r="O225" t="s">
        <v>1185</v>
      </c>
      <c r="P225" t="s">
        <v>1348</v>
      </c>
      <c r="Q225">
        <v>49262</v>
      </c>
      <c r="R225" t="s">
        <v>1157</v>
      </c>
      <c r="S225" t="str">
        <f>VLOOKUP(J225,Teams!A:B,2,FALSE)</f>
        <v>ENG</v>
      </c>
      <c r="T225" t="str">
        <f>VLOOKUP(M225,Teams!A:B,2,FALSE)</f>
        <v>TCH</v>
      </c>
    </row>
    <row r="226" spans="1:20" x14ac:dyDescent="0.25">
      <c r="A226" t="str">
        <f t="shared" si="3"/>
        <v>FIFAWC1970-25</v>
      </c>
      <c r="B226" s="4">
        <v>25</v>
      </c>
      <c r="C226" s="3">
        <v>25734</v>
      </c>
      <c r="D226" s="7">
        <v>0.20833333333333334</v>
      </c>
      <c r="E226">
        <v>1970</v>
      </c>
      <c r="F226" t="s">
        <v>1727</v>
      </c>
      <c r="G226" t="s">
        <v>1741</v>
      </c>
      <c r="H226" t="s">
        <v>1759</v>
      </c>
      <c r="I226" t="s">
        <v>1139</v>
      </c>
      <c r="J226" t="s">
        <v>797</v>
      </c>
      <c r="K226">
        <v>3</v>
      </c>
      <c r="L226">
        <v>2</v>
      </c>
      <c r="M226" t="s">
        <v>1021</v>
      </c>
      <c r="O226" t="s">
        <v>1189</v>
      </c>
      <c r="P226" t="s">
        <v>1324</v>
      </c>
      <c r="Q226">
        <v>23357</v>
      </c>
      <c r="R226" t="s">
        <v>1157</v>
      </c>
      <c r="S226" t="str">
        <f>VLOOKUP(J226,Teams!A:B,2,FALSE)</f>
        <v>GER</v>
      </c>
      <c r="T226" t="str">
        <f>VLOOKUP(M226,Teams!A:B,2,FALSE)</f>
        <v>ENG</v>
      </c>
    </row>
    <row r="227" spans="1:20" x14ac:dyDescent="0.25">
      <c r="A227" t="str">
        <f t="shared" si="3"/>
        <v>FIFAWC1970-26</v>
      </c>
      <c r="B227" s="4">
        <v>26</v>
      </c>
      <c r="C227" s="3">
        <v>25734</v>
      </c>
      <c r="D227" s="7">
        <v>0.20833333333333334</v>
      </c>
      <c r="E227">
        <v>1970</v>
      </c>
      <c r="F227" t="s">
        <v>1727</v>
      </c>
      <c r="G227" t="s">
        <v>1741</v>
      </c>
      <c r="H227" t="s">
        <v>1759</v>
      </c>
      <c r="I227" t="s">
        <v>1139</v>
      </c>
      <c r="J227" t="s">
        <v>916</v>
      </c>
      <c r="K227">
        <v>1</v>
      </c>
      <c r="L227">
        <v>0</v>
      </c>
      <c r="M227" t="s">
        <v>1754</v>
      </c>
      <c r="O227" t="s">
        <v>1181</v>
      </c>
      <c r="P227" t="s">
        <v>1346</v>
      </c>
      <c r="Q227">
        <v>24550</v>
      </c>
      <c r="R227" t="s">
        <v>1157</v>
      </c>
      <c r="S227" t="str">
        <f>VLOOKUP(J227,Teams!A:B,2,FALSE)</f>
        <v>URU</v>
      </c>
      <c r="T227" t="str">
        <f>VLOOKUP(M227,Teams!A:B,2,FALSE)</f>
        <v>URS</v>
      </c>
    </row>
    <row r="228" spans="1:20" x14ac:dyDescent="0.25">
      <c r="A228" t="str">
        <f t="shared" si="3"/>
        <v>FIFAWC1970-27</v>
      </c>
      <c r="B228" s="4">
        <v>27</v>
      </c>
      <c r="C228" s="3">
        <v>25734</v>
      </c>
      <c r="D228" s="7">
        <v>0.20833333333333334</v>
      </c>
      <c r="E228">
        <v>1970</v>
      </c>
      <c r="F228" t="s">
        <v>1727</v>
      </c>
      <c r="G228" t="s">
        <v>1741</v>
      </c>
      <c r="H228" t="s">
        <v>1759</v>
      </c>
      <c r="I228" t="s">
        <v>1139</v>
      </c>
      <c r="J228" t="s">
        <v>817</v>
      </c>
      <c r="K228">
        <v>4</v>
      </c>
      <c r="L228">
        <v>1</v>
      </c>
      <c r="M228" t="s">
        <v>845</v>
      </c>
      <c r="O228" t="s">
        <v>1175</v>
      </c>
      <c r="P228" t="s">
        <v>1336</v>
      </c>
      <c r="Q228">
        <v>26851</v>
      </c>
      <c r="R228" t="s">
        <v>1157</v>
      </c>
      <c r="S228" t="str">
        <f>VLOOKUP(J228,Teams!A:B,2,FALSE)</f>
        <v>ITA</v>
      </c>
      <c r="T228" t="str">
        <f>VLOOKUP(M228,Teams!A:B,2,FALSE)</f>
        <v>MEX</v>
      </c>
    </row>
    <row r="229" spans="1:20" x14ac:dyDescent="0.25">
      <c r="A229" t="str">
        <f t="shared" si="3"/>
        <v>FIFAWC1970-28</v>
      </c>
      <c r="B229" s="4">
        <v>28</v>
      </c>
      <c r="C229" s="3">
        <v>25734</v>
      </c>
      <c r="D229" s="7">
        <v>0.20833333333333334</v>
      </c>
      <c r="E229">
        <v>1970</v>
      </c>
      <c r="F229" t="s">
        <v>1727</v>
      </c>
      <c r="G229" t="s">
        <v>1741</v>
      </c>
      <c r="H229" t="s">
        <v>1759</v>
      </c>
      <c r="I229" t="s">
        <v>1139</v>
      </c>
      <c r="J229" t="s">
        <v>760</v>
      </c>
      <c r="K229">
        <v>4</v>
      </c>
      <c r="L229">
        <v>2</v>
      </c>
      <c r="M229" t="s">
        <v>867</v>
      </c>
      <c r="O229" t="s">
        <v>1185</v>
      </c>
      <c r="P229" t="s">
        <v>1338</v>
      </c>
      <c r="Q229">
        <v>54233</v>
      </c>
      <c r="R229" t="s">
        <v>1157</v>
      </c>
      <c r="S229" t="str">
        <f>VLOOKUP(J229,Teams!A:B,2,FALSE)</f>
        <v>BRA</v>
      </c>
      <c r="T229" t="str">
        <f>VLOOKUP(M229,Teams!A:B,2,FALSE)</f>
        <v>PER</v>
      </c>
    </row>
    <row r="230" spans="1:20" x14ac:dyDescent="0.25">
      <c r="A230" t="str">
        <f t="shared" si="3"/>
        <v>FIFAWC1970-29</v>
      </c>
      <c r="B230" s="4">
        <v>29</v>
      </c>
      <c r="C230" s="3">
        <v>25737</v>
      </c>
      <c r="D230" s="7">
        <v>0.20833333333333334</v>
      </c>
      <c r="E230">
        <v>1970</v>
      </c>
      <c r="F230" t="s">
        <v>1727</v>
      </c>
      <c r="G230" t="s">
        <v>1741</v>
      </c>
      <c r="H230" t="s">
        <v>1759</v>
      </c>
      <c r="I230" t="s">
        <v>1140</v>
      </c>
      <c r="J230" t="s">
        <v>760</v>
      </c>
      <c r="K230">
        <v>3</v>
      </c>
      <c r="L230">
        <v>1</v>
      </c>
      <c r="M230" t="s">
        <v>916</v>
      </c>
      <c r="O230" t="s">
        <v>1185</v>
      </c>
      <c r="P230" t="s">
        <v>1345</v>
      </c>
      <c r="Q230">
        <v>51261</v>
      </c>
      <c r="R230" t="s">
        <v>1157</v>
      </c>
      <c r="S230" t="str">
        <f>VLOOKUP(J230,Teams!A:B,2,FALSE)</f>
        <v>BRA</v>
      </c>
      <c r="T230" t="str">
        <f>VLOOKUP(M230,Teams!A:B,2,FALSE)</f>
        <v>URU</v>
      </c>
    </row>
    <row r="231" spans="1:20" x14ac:dyDescent="0.25">
      <c r="A231" t="str">
        <f t="shared" si="3"/>
        <v>FIFAWC1970-30</v>
      </c>
      <c r="B231" s="4">
        <v>30</v>
      </c>
      <c r="C231" s="3">
        <v>25737</v>
      </c>
      <c r="D231" s="7">
        <v>0.20833333333333334</v>
      </c>
      <c r="E231">
        <v>1970</v>
      </c>
      <c r="F231" t="s">
        <v>1727</v>
      </c>
      <c r="G231" t="s">
        <v>1741</v>
      </c>
      <c r="H231" t="s">
        <v>1759</v>
      </c>
      <c r="I231" t="s">
        <v>1140</v>
      </c>
      <c r="J231" t="s">
        <v>817</v>
      </c>
      <c r="K231">
        <v>4</v>
      </c>
      <c r="L231">
        <v>3</v>
      </c>
      <c r="M231" t="s">
        <v>797</v>
      </c>
      <c r="O231" t="s">
        <v>1181</v>
      </c>
      <c r="P231" t="s">
        <v>1344</v>
      </c>
      <c r="Q231">
        <v>102444</v>
      </c>
      <c r="R231" t="s">
        <v>1157</v>
      </c>
      <c r="S231" t="str">
        <f>VLOOKUP(J231,Teams!A:B,2,FALSE)</f>
        <v>ITA</v>
      </c>
      <c r="T231" t="str">
        <f>VLOOKUP(M231,Teams!A:B,2,FALSE)</f>
        <v>GER</v>
      </c>
    </row>
    <row r="232" spans="1:20" x14ac:dyDescent="0.25">
      <c r="A232" t="str">
        <f t="shared" si="3"/>
        <v>FIFAWC1970-31</v>
      </c>
      <c r="B232" s="4">
        <v>31</v>
      </c>
      <c r="C232" s="3">
        <v>25740</v>
      </c>
      <c r="D232" s="7">
        <v>0.20833333333333334</v>
      </c>
      <c r="E232">
        <v>1970</v>
      </c>
      <c r="F232" t="s">
        <v>1727</v>
      </c>
      <c r="G232" t="s">
        <v>1741</v>
      </c>
      <c r="H232" t="s">
        <v>1759</v>
      </c>
      <c r="I232" t="s">
        <v>1018</v>
      </c>
      <c r="J232" t="s">
        <v>797</v>
      </c>
      <c r="K232">
        <v>1</v>
      </c>
      <c r="L232">
        <v>0</v>
      </c>
      <c r="M232" t="s">
        <v>916</v>
      </c>
      <c r="O232" t="s">
        <v>1181</v>
      </c>
      <c r="P232" t="s">
        <v>1343</v>
      </c>
      <c r="Q232">
        <v>104403</v>
      </c>
      <c r="R232" t="s">
        <v>1157</v>
      </c>
      <c r="S232" t="str">
        <f>VLOOKUP(J232,Teams!A:B,2,FALSE)</f>
        <v>GER</v>
      </c>
      <c r="T232" t="str">
        <f>VLOOKUP(M232,Teams!A:B,2,FALSE)</f>
        <v>URU</v>
      </c>
    </row>
    <row r="233" spans="1:20" x14ac:dyDescent="0.25">
      <c r="A233" t="str">
        <f t="shared" si="3"/>
        <v>FIFAWC1970-32</v>
      </c>
      <c r="B233" s="4">
        <v>32</v>
      </c>
      <c r="C233" s="3">
        <v>25741</v>
      </c>
      <c r="D233" s="7">
        <v>0.20833333333333334</v>
      </c>
      <c r="E233">
        <v>1970</v>
      </c>
      <c r="F233" t="s">
        <v>1727</v>
      </c>
      <c r="G233" t="s">
        <v>1741</v>
      </c>
      <c r="H233" t="s">
        <v>1759</v>
      </c>
      <c r="I233" t="s">
        <v>1141</v>
      </c>
      <c r="J233" t="s">
        <v>760</v>
      </c>
      <c r="K233">
        <v>4</v>
      </c>
      <c r="L233">
        <v>1</v>
      </c>
      <c r="M233" t="s">
        <v>817</v>
      </c>
      <c r="O233" t="s">
        <v>1181</v>
      </c>
      <c r="P233" t="s">
        <v>1335</v>
      </c>
      <c r="Q233">
        <v>107412</v>
      </c>
      <c r="R233" t="s">
        <v>1157</v>
      </c>
      <c r="S233" t="str">
        <f>VLOOKUP(J233,Teams!A:B,2,FALSE)</f>
        <v>BRA</v>
      </c>
      <c r="T233" t="str">
        <f>VLOOKUP(M233,Teams!A:B,2,FALSE)</f>
        <v>ITA</v>
      </c>
    </row>
    <row r="234" spans="1:20" x14ac:dyDescent="0.25">
      <c r="A234" t="str">
        <f t="shared" si="3"/>
        <v>FIFAWC1974-1</v>
      </c>
      <c r="B234" s="4">
        <v>1</v>
      </c>
      <c r="C234" s="3">
        <v>27193</v>
      </c>
      <c r="D234" s="7">
        <v>0.95833333333333337</v>
      </c>
      <c r="E234">
        <v>1974</v>
      </c>
      <c r="F234" t="s">
        <v>1728</v>
      </c>
      <c r="G234" t="s">
        <v>1741</v>
      </c>
      <c r="H234" t="s">
        <v>1122</v>
      </c>
      <c r="I234" t="s">
        <v>1132</v>
      </c>
      <c r="J234" t="s">
        <v>760</v>
      </c>
      <c r="K234">
        <v>0</v>
      </c>
      <c r="L234">
        <v>0</v>
      </c>
      <c r="M234" t="s">
        <v>1234</v>
      </c>
      <c r="O234" t="s">
        <v>1341</v>
      </c>
      <c r="Q234">
        <v>62000</v>
      </c>
      <c r="R234" t="s">
        <v>1157</v>
      </c>
      <c r="S234" t="str">
        <f>VLOOKUP(J234,Teams!A:B,2,FALSE)</f>
        <v>BRA</v>
      </c>
      <c r="T234" t="str">
        <f>VLOOKUP(M234,Teams!A:B,2,FALSE)</f>
        <v>YUG</v>
      </c>
    </row>
    <row r="235" spans="1:20" x14ac:dyDescent="0.25">
      <c r="A235" t="str">
        <f t="shared" si="3"/>
        <v>FIFAWC1974-2</v>
      </c>
      <c r="B235" s="4">
        <v>2</v>
      </c>
      <c r="C235" s="3">
        <v>27194</v>
      </c>
      <c r="D235" s="7">
        <v>0.91666666666666663</v>
      </c>
      <c r="E235">
        <v>1974</v>
      </c>
      <c r="F235" t="s">
        <v>1728</v>
      </c>
      <c r="G235" t="s">
        <v>1741</v>
      </c>
      <c r="H235" t="s">
        <v>1122</v>
      </c>
      <c r="I235" t="s">
        <v>1131</v>
      </c>
      <c r="J235" t="s">
        <v>1121</v>
      </c>
      <c r="K235">
        <v>1</v>
      </c>
      <c r="L235">
        <v>0</v>
      </c>
      <c r="M235" t="s">
        <v>768</v>
      </c>
      <c r="O235" t="s">
        <v>1325</v>
      </c>
      <c r="Q235">
        <v>81100</v>
      </c>
      <c r="R235" t="s">
        <v>1157</v>
      </c>
      <c r="S235" t="str">
        <f>VLOOKUP(J235,Teams!A:B,2,FALSE)</f>
        <v>PRG</v>
      </c>
      <c r="T235" t="str">
        <f>VLOOKUP(M235,Teams!A:B,2,FALSE)</f>
        <v>CHI</v>
      </c>
    </row>
    <row r="236" spans="1:20" x14ac:dyDescent="0.25">
      <c r="A236" t="str">
        <f t="shared" si="3"/>
        <v>FIFAWC1974-3</v>
      </c>
      <c r="B236" s="4">
        <v>3</v>
      </c>
      <c r="C236" s="3">
        <v>27195</v>
      </c>
      <c r="D236" s="7">
        <v>6.25E-2</v>
      </c>
      <c r="E236">
        <v>1974</v>
      </c>
      <c r="F236" t="s">
        <v>1728</v>
      </c>
      <c r="G236" t="s">
        <v>1741</v>
      </c>
      <c r="H236" t="s">
        <v>1122</v>
      </c>
      <c r="I236" t="s">
        <v>1132</v>
      </c>
      <c r="J236" t="s">
        <v>1052</v>
      </c>
      <c r="K236">
        <v>2</v>
      </c>
      <c r="L236">
        <v>0</v>
      </c>
      <c r="M236" t="s">
        <v>128</v>
      </c>
      <c r="O236" t="s">
        <v>1342</v>
      </c>
      <c r="Q236">
        <v>17000</v>
      </c>
      <c r="R236" t="s">
        <v>1157</v>
      </c>
      <c r="S236" t="str">
        <f>VLOOKUP(J236,Teams!A:B,2,FALSE)</f>
        <v>GDR</v>
      </c>
      <c r="T236" t="str">
        <f>VLOOKUP(M236,Teams!A:B,2,FALSE)</f>
        <v>AUS</v>
      </c>
    </row>
    <row r="237" spans="1:20" x14ac:dyDescent="0.25">
      <c r="A237" t="str">
        <f t="shared" si="3"/>
        <v>FIFAWC1974-4</v>
      </c>
      <c r="B237" s="4">
        <v>4</v>
      </c>
      <c r="C237" s="3">
        <v>27195</v>
      </c>
      <c r="D237" s="7">
        <v>6.25E-2</v>
      </c>
      <c r="E237">
        <v>1974</v>
      </c>
      <c r="F237" t="s">
        <v>1728</v>
      </c>
      <c r="G237" t="s">
        <v>1741</v>
      </c>
      <c r="H237" t="s">
        <v>1122</v>
      </c>
      <c r="I237" t="s">
        <v>1132</v>
      </c>
      <c r="J237" t="s">
        <v>1756</v>
      </c>
      <c r="K237">
        <v>0</v>
      </c>
      <c r="L237">
        <v>2</v>
      </c>
      <c r="M237" t="s">
        <v>1026</v>
      </c>
      <c r="O237" t="s">
        <v>1331</v>
      </c>
      <c r="Q237">
        <v>27000</v>
      </c>
      <c r="R237" t="s">
        <v>1157</v>
      </c>
      <c r="S237" t="str">
        <f>VLOOKUP(J237,Teams!A:B,2,FALSE)</f>
        <v>ZAI</v>
      </c>
      <c r="T237" t="str">
        <f>VLOOKUP(M237,Teams!A:B,2,FALSE)</f>
        <v>SCO</v>
      </c>
    </row>
    <row r="238" spans="1:20" x14ac:dyDescent="0.25">
      <c r="A238" t="str">
        <f t="shared" si="3"/>
        <v>FIFAWC1974-5</v>
      </c>
      <c r="B238" s="4">
        <v>5</v>
      </c>
      <c r="C238" s="3">
        <v>27195</v>
      </c>
      <c r="D238" s="7">
        <v>0.9375</v>
      </c>
      <c r="E238">
        <v>1974</v>
      </c>
      <c r="F238" t="s">
        <v>1728</v>
      </c>
      <c r="G238" t="s">
        <v>1741</v>
      </c>
      <c r="H238" t="s">
        <v>1122</v>
      </c>
      <c r="I238" t="s">
        <v>1133</v>
      </c>
      <c r="J238" t="s">
        <v>916</v>
      </c>
      <c r="K238">
        <v>0</v>
      </c>
      <c r="L238">
        <v>2</v>
      </c>
      <c r="M238" t="s">
        <v>33</v>
      </c>
      <c r="O238" t="s">
        <v>1337</v>
      </c>
      <c r="Q238">
        <v>55100</v>
      </c>
      <c r="R238" t="s">
        <v>1157</v>
      </c>
      <c r="S238" t="str">
        <f>VLOOKUP(J238,Teams!A:B,2,FALSE)</f>
        <v>URU</v>
      </c>
      <c r="T238" t="str">
        <f>VLOOKUP(M238,Teams!A:B,2,FALSE)</f>
        <v>NED</v>
      </c>
    </row>
    <row r="239" spans="1:20" x14ac:dyDescent="0.25">
      <c r="A239" t="str">
        <f t="shared" si="3"/>
        <v>FIFAWC1974-6</v>
      </c>
      <c r="B239" s="4">
        <v>6</v>
      </c>
      <c r="C239" s="3">
        <v>27195</v>
      </c>
      <c r="D239" s="7">
        <v>0.9375</v>
      </c>
      <c r="E239">
        <v>1974</v>
      </c>
      <c r="F239" t="s">
        <v>1728</v>
      </c>
      <c r="G239" t="s">
        <v>1741</v>
      </c>
      <c r="H239" t="s">
        <v>1122</v>
      </c>
      <c r="I239" t="s">
        <v>1133</v>
      </c>
      <c r="J239" t="s">
        <v>900</v>
      </c>
      <c r="K239">
        <v>0</v>
      </c>
      <c r="L239">
        <v>0</v>
      </c>
      <c r="M239" t="s">
        <v>761</v>
      </c>
      <c r="O239" t="s">
        <v>1328</v>
      </c>
      <c r="Q239">
        <v>23800</v>
      </c>
      <c r="R239" t="s">
        <v>1157</v>
      </c>
      <c r="S239" t="str">
        <f>VLOOKUP(J239,Teams!A:B,2,FALSE)</f>
        <v>SWE</v>
      </c>
      <c r="T239" t="str">
        <f>VLOOKUP(M239,Teams!A:B,2,FALSE)</f>
        <v>BUL</v>
      </c>
    </row>
    <row r="240" spans="1:20" x14ac:dyDescent="0.25">
      <c r="A240" t="str">
        <f t="shared" si="3"/>
        <v>FIFAWC1974-7</v>
      </c>
      <c r="B240" s="4">
        <v>7</v>
      </c>
      <c r="C240" s="3">
        <v>27196</v>
      </c>
      <c r="D240" s="7">
        <v>1</v>
      </c>
      <c r="E240">
        <v>1974</v>
      </c>
      <c r="F240" t="s">
        <v>1728</v>
      </c>
      <c r="G240" t="s">
        <v>1741</v>
      </c>
      <c r="H240" t="s">
        <v>1122</v>
      </c>
      <c r="I240" t="s">
        <v>1134</v>
      </c>
      <c r="J240" t="s">
        <v>870</v>
      </c>
      <c r="K240">
        <v>3</v>
      </c>
      <c r="L240">
        <v>2</v>
      </c>
      <c r="M240" t="s">
        <v>749</v>
      </c>
      <c r="O240" t="s">
        <v>1161</v>
      </c>
      <c r="Q240">
        <v>32700</v>
      </c>
      <c r="R240" t="s">
        <v>1157</v>
      </c>
      <c r="S240" t="str">
        <f>VLOOKUP(J240,Teams!A:B,2,FALSE)</f>
        <v>POL</v>
      </c>
      <c r="T240" t="str">
        <f>VLOOKUP(M240,Teams!A:B,2,FALSE)</f>
        <v>ARG</v>
      </c>
    </row>
    <row r="241" spans="1:20" x14ac:dyDescent="0.25">
      <c r="A241" t="str">
        <f t="shared" si="3"/>
        <v>FIFAWC1974-8</v>
      </c>
      <c r="B241" s="4">
        <v>8</v>
      </c>
      <c r="C241" s="3">
        <v>27196</v>
      </c>
      <c r="D241" s="7">
        <v>1</v>
      </c>
      <c r="E241">
        <v>1974</v>
      </c>
      <c r="F241" t="s">
        <v>1728</v>
      </c>
      <c r="G241" t="s">
        <v>1741</v>
      </c>
      <c r="H241" t="s">
        <v>1122</v>
      </c>
      <c r="I241" t="s">
        <v>1134</v>
      </c>
      <c r="J241" t="s">
        <v>817</v>
      </c>
      <c r="K241">
        <v>3</v>
      </c>
      <c r="L241">
        <v>1</v>
      </c>
      <c r="M241" t="s">
        <v>807</v>
      </c>
      <c r="O241" t="s">
        <v>1325</v>
      </c>
      <c r="Q241">
        <v>53000</v>
      </c>
      <c r="R241" t="s">
        <v>1157</v>
      </c>
      <c r="S241" t="str">
        <f>VLOOKUP(J241,Teams!A:B,2,FALSE)</f>
        <v>ITA</v>
      </c>
      <c r="T241" t="str">
        <f>VLOOKUP(M241,Teams!A:B,2,FALSE)</f>
        <v>HAI</v>
      </c>
    </row>
    <row r="242" spans="1:20" x14ac:dyDescent="0.25">
      <c r="A242" t="str">
        <f t="shared" si="3"/>
        <v>FIFAWC1974-9</v>
      </c>
      <c r="B242" s="4">
        <v>9</v>
      </c>
      <c r="C242" s="3">
        <v>27198</v>
      </c>
      <c r="D242" s="7">
        <v>0.91666666666666663</v>
      </c>
      <c r="E242">
        <v>1974</v>
      </c>
      <c r="F242" t="s">
        <v>1728</v>
      </c>
      <c r="G242" t="s">
        <v>1741</v>
      </c>
      <c r="H242" t="s">
        <v>1122</v>
      </c>
      <c r="I242" t="s">
        <v>1131</v>
      </c>
      <c r="J242" t="s">
        <v>128</v>
      </c>
      <c r="K242">
        <v>0</v>
      </c>
      <c r="L242">
        <v>3</v>
      </c>
      <c r="M242" t="s">
        <v>797</v>
      </c>
      <c r="O242" t="s">
        <v>1342</v>
      </c>
      <c r="Q242">
        <v>53300</v>
      </c>
      <c r="R242" t="s">
        <v>1157</v>
      </c>
      <c r="S242" t="str">
        <f>VLOOKUP(J242,Teams!A:B,2,FALSE)</f>
        <v>AUS</v>
      </c>
      <c r="T242" t="str">
        <f>VLOOKUP(M242,Teams!A:B,2,FALSE)</f>
        <v>GER</v>
      </c>
    </row>
    <row r="243" spans="1:20" x14ac:dyDescent="0.25">
      <c r="A243" t="str">
        <f>F243&amp;"-"&amp;B243</f>
        <v>FIFAWC1974-10</v>
      </c>
      <c r="B243" s="4">
        <v>10</v>
      </c>
      <c r="C243" s="3">
        <v>27199</v>
      </c>
      <c r="D243" s="7">
        <v>6.25E-2</v>
      </c>
      <c r="E243">
        <v>1974</v>
      </c>
      <c r="F243" t="s">
        <v>1728</v>
      </c>
      <c r="G243" t="s">
        <v>1741</v>
      </c>
      <c r="H243" t="s">
        <v>1122</v>
      </c>
      <c r="I243" t="s">
        <v>1132</v>
      </c>
      <c r="J243" t="s">
        <v>1026</v>
      </c>
      <c r="K243">
        <v>0</v>
      </c>
      <c r="L243">
        <v>0</v>
      </c>
      <c r="M243" t="s">
        <v>760</v>
      </c>
      <c r="O243" t="s">
        <v>1341</v>
      </c>
      <c r="Q243">
        <v>62000</v>
      </c>
      <c r="R243" t="s">
        <v>1157</v>
      </c>
      <c r="S243" t="str">
        <f>VLOOKUP(J243,Teams!A:B,2,FALSE)</f>
        <v>SCO</v>
      </c>
      <c r="T243" t="str">
        <f>VLOOKUP(M243,Teams!A:B,2,FALSE)</f>
        <v>BRA</v>
      </c>
    </row>
    <row r="244" spans="1:20" x14ac:dyDescent="0.25">
      <c r="A244" t="str">
        <f t="shared" si="3"/>
        <v>FIFAWC1974-11</v>
      </c>
      <c r="B244" s="4">
        <v>11</v>
      </c>
      <c r="C244" s="3">
        <v>27199</v>
      </c>
      <c r="D244" s="7">
        <v>6.25E-2</v>
      </c>
      <c r="E244">
        <v>1974</v>
      </c>
      <c r="F244" t="s">
        <v>1728</v>
      </c>
      <c r="G244" t="s">
        <v>1741</v>
      </c>
      <c r="H244" t="s">
        <v>1122</v>
      </c>
      <c r="I244" t="s">
        <v>1131</v>
      </c>
      <c r="J244" t="s">
        <v>768</v>
      </c>
      <c r="K244">
        <v>1</v>
      </c>
      <c r="L244">
        <v>1</v>
      </c>
      <c r="M244" t="s">
        <v>1052</v>
      </c>
      <c r="O244" t="s">
        <v>1325</v>
      </c>
      <c r="Q244">
        <v>28300</v>
      </c>
      <c r="R244" t="s">
        <v>1157</v>
      </c>
      <c r="S244" t="str">
        <f>VLOOKUP(J244,Teams!A:B,2,FALSE)</f>
        <v>CHI</v>
      </c>
      <c r="T244" t="str">
        <f>VLOOKUP(M244,Teams!A:B,2,FALSE)</f>
        <v>GDR</v>
      </c>
    </row>
    <row r="245" spans="1:20" x14ac:dyDescent="0.25">
      <c r="A245" t="str">
        <f t="shared" si="3"/>
        <v>FIFAWC1974-12</v>
      </c>
      <c r="B245" s="4">
        <v>12</v>
      </c>
      <c r="C245" s="3">
        <v>27199</v>
      </c>
      <c r="D245" s="7">
        <v>6.25E-2</v>
      </c>
      <c r="E245">
        <v>1974</v>
      </c>
      <c r="F245" t="s">
        <v>1728</v>
      </c>
      <c r="G245" t="s">
        <v>1741</v>
      </c>
      <c r="H245" t="s">
        <v>1122</v>
      </c>
      <c r="I245" t="s">
        <v>1132</v>
      </c>
      <c r="J245" t="s">
        <v>1234</v>
      </c>
      <c r="K245">
        <v>9</v>
      </c>
      <c r="L245">
        <v>0</v>
      </c>
      <c r="M245" t="s">
        <v>1756</v>
      </c>
      <c r="O245" t="s">
        <v>1333</v>
      </c>
      <c r="Q245">
        <v>31700</v>
      </c>
      <c r="R245" t="s">
        <v>1157</v>
      </c>
      <c r="S245" t="str">
        <f>VLOOKUP(J245,Teams!A:B,2,FALSE)</f>
        <v>YUG</v>
      </c>
      <c r="T245" t="str">
        <f>VLOOKUP(M245,Teams!A:B,2,FALSE)</f>
        <v>ZAI</v>
      </c>
    </row>
    <row r="246" spans="1:20" x14ac:dyDescent="0.25">
      <c r="A246" t="str">
        <f t="shared" si="3"/>
        <v>FIFAWC1974-13</v>
      </c>
      <c r="B246" s="4">
        <v>13</v>
      </c>
      <c r="C246" s="3">
        <v>27200</v>
      </c>
      <c r="D246" s="7">
        <v>6.25E-2</v>
      </c>
      <c r="E246">
        <v>1974</v>
      </c>
      <c r="F246" t="s">
        <v>1728</v>
      </c>
      <c r="G246" t="s">
        <v>1741</v>
      </c>
      <c r="H246" t="s">
        <v>1122</v>
      </c>
      <c r="I246" t="s">
        <v>1133</v>
      </c>
      <c r="J246" t="s">
        <v>33</v>
      </c>
      <c r="K246">
        <v>0</v>
      </c>
      <c r="L246">
        <v>0</v>
      </c>
      <c r="M246" t="s">
        <v>900</v>
      </c>
      <c r="O246" t="s">
        <v>1331</v>
      </c>
      <c r="Q246">
        <v>53700</v>
      </c>
      <c r="R246" t="s">
        <v>1157</v>
      </c>
      <c r="S246" t="str">
        <f>VLOOKUP(J246,Teams!A:B,2,FALSE)</f>
        <v>NED</v>
      </c>
      <c r="T246" t="str">
        <f>VLOOKUP(M246,Teams!A:B,2,FALSE)</f>
        <v>SWE</v>
      </c>
    </row>
    <row r="247" spans="1:20" x14ac:dyDescent="0.25">
      <c r="A247" t="str">
        <f t="shared" si="3"/>
        <v>FIFAWC1974-14</v>
      </c>
      <c r="B247" s="4">
        <v>14</v>
      </c>
      <c r="C247" s="3">
        <v>27200</v>
      </c>
      <c r="D247" s="7">
        <v>6.25E-2</v>
      </c>
      <c r="E247">
        <v>1974</v>
      </c>
      <c r="F247" t="s">
        <v>1728</v>
      </c>
      <c r="G247" t="s">
        <v>1741</v>
      </c>
      <c r="H247" t="s">
        <v>1122</v>
      </c>
      <c r="I247" t="s">
        <v>1133</v>
      </c>
      <c r="J247" t="s">
        <v>761</v>
      </c>
      <c r="K247">
        <v>1</v>
      </c>
      <c r="L247">
        <v>1</v>
      </c>
      <c r="M247" t="s">
        <v>916</v>
      </c>
      <c r="O247" t="s">
        <v>1337</v>
      </c>
      <c r="Q247">
        <v>13400</v>
      </c>
      <c r="R247" t="s">
        <v>1157</v>
      </c>
      <c r="S247" t="str">
        <f>VLOOKUP(J247,Teams!A:B,2,FALSE)</f>
        <v>BUL</v>
      </c>
      <c r="T247" t="str">
        <f>VLOOKUP(M247,Teams!A:B,2,FALSE)</f>
        <v>URU</v>
      </c>
    </row>
    <row r="248" spans="1:20" x14ac:dyDescent="0.25">
      <c r="A248" t="str">
        <f>F248&amp;"-"&amp;B248</f>
        <v>FIFAWC1974-15</v>
      </c>
      <c r="B248" s="4">
        <v>15</v>
      </c>
      <c r="C248" s="3">
        <v>27200</v>
      </c>
      <c r="D248" s="7">
        <v>6.25E-2</v>
      </c>
      <c r="E248">
        <v>1974</v>
      </c>
      <c r="F248" t="s">
        <v>1728</v>
      </c>
      <c r="G248" t="s">
        <v>1741</v>
      </c>
      <c r="H248" t="s">
        <v>1122</v>
      </c>
      <c r="I248" t="s">
        <v>1134</v>
      </c>
      <c r="J248" t="s">
        <v>807</v>
      </c>
      <c r="K248">
        <v>0</v>
      </c>
      <c r="L248">
        <v>7</v>
      </c>
      <c r="M248" t="s">
        <v>870</v>
      </c>
      <c r="O248" t="s">
        <v>1325</v>
      </c>
      <c r="Q248">
        <v>25300</v>
      </c>
      <c r="R248" t="s">
        <v>1157</v>
      </c>
      <c r="S248" t="str">
        <f>VLOOKUP(J248,Teams!A:B,2,FALSE)</f>
        <v>HAI</v>
      </c>
      <c r="T248" t="str">
        <f>VLOOKUP(M248,Teams!A:B,2,FALSE)</f>
        <v>POL</v>
      </c>
    </row>
    <row r="249" spans="1:20" x14ac:dyDescent="0.25">
      <c r="A249" t="str">
        <f t="shared" si="3"/>
        <v>FIFAWC1974-16</v>
      </c>
      <c r="B249" s="4">
        <v>16</v>
      </c>
      <c r="C249" s="3">
        <v>27200</v>
      </c>
      <c r="D249" s="7">
        <v>6.25E-2</v>
      </c>
      <c r="E249">
        <v>1974</v>
      </c>
      <c r="F249" t="s">
        <v>1728</v>
      </c>
      <c r="G249" t="s">
        <v>1741</v>
      </c>
      <c r="H249" t="s">
        <v>1122</v>
      </c>
      <c r="I249" t="s">
        <v>1134</v>
      </c>
      <c r="J249" t="s">
        <v>749</v>
      </c>
      <c r="K249">
        <v>1</v>
      </c>
      <c r="L249">
        <v>1</v>
      </c>
      <c r="M249" t="s">
        <v>817</v>
      </c>
      <c r="O249" t="s">
        <v>1161</v>
      </c>
      <c r="Q249">
        <v>70100</v>
      </c>
      <c r="R249" t="s">
        <v>1157</v>
      </c>
      <c r="S249" t="str">
        <f>VLOOKUP(J249,Teams!A:B,2,FALSE)</f>
        <v>ARG</v>
      </c>
      <c r="T249" t="str">
        <f>VLOOKUP(M249,Teams!A:B,2,FALSE)</f>
        <v>ITA</v>
      </c>
    </row>
    <row r="250" spans="1:20" x14ac:dyDescent="0.25">
      <c r="A250" t="str">
        <f t="shared" si="3"/>
        <v>FIFAWC1974-17</v>
      </c>
      <c r="B250" s="4">
        <v>17</v>
      </c>
      <c r="C250" s="3">
        <v>27202</v>
      </c>
      <c r="D250" s="7">
        <v>0.91666666666666663</v>
      </c>
      <c r="E250">
        <v>1974</v>
      </c>
      <c r="F250" t="s">
        <v>1728</v>
      </c>
      <c r="G250" t="s">
        <v>1741</v>
      </c>
      <c r="H250" t="s">
        <v>1122</v>
      </c>
      <c r="I250" t="s">
        <v>1131</v>
      </c>
      <c r="J250" t="s">
        <v>128</v>
      </c>
      <c r="K250">
        <v>0</v>
      </c>
      <c r="L250">
        <v>0</v>
      </c>
      <c r="M250" t="s">
        <v>768</v>
      </c>
      <c r="O250" t="s">
        <v>1325</v>
      </c>
      <c r="Q250">
        <v>17400</v>
      </c>
      <c r="R250" t="s">
        <v>1157</v>
      </c>
      <c r="S250" t="str">
        <f>VLOOKUP(J250,Teams!A:B,2,FALSE)</f>
        <v>AUS</v>
      </c>
      <c r="T250" t="str">
        <f>VLOOKUP(M250,Teams!A:B,2,FALSE)</f>
        <v>CHI</v>
      </c>
    </row>
    <row r="251" spans="1:20" x14ac:dyDescent="0.25">
      <c r="A251" t="str">
        <f>F251&amp;"-"&amp;B251</f>
        <v>FIFAWC1974-18</v>
      </c>
      <c r="B251" s="4">
        <v>18</v>
      </c>
      <c r="C251" s="3">
        <v>27202</v>
      </c>
      <c r="D251" s="7">
        <v>0.91666666666666663</v>
      </c>
      <c r="E251">
        <v>1974</v>
      </c>
      <c r="F251" t="s">
        <v>1728</v>
      </c>
      <c r="G251" t="s">
        <v>1741</v>
      </c>
      <c r="H251" t="s">
        <v>1122</v>
      </c>
      <c r="I251" t="s">
        <v>1132</v>
      </c>
      <c r="J251" t="s">
        <v>1026</v>
      </c>
      <c r="K251">
        <v>1</v>
      </c>
      <c r="L251">
        <v>1</v>
      </c>
      <c r="M251" t="s">
        <v>1234</v>
      </c>
      <c r="O251" t="s">
        <v>1341</v>
      </c>
      <c r="Q251">
        <v>56000</v>
      </c>
      <c r="R251" t="s">
        <v>1157</v>
      </c>
      <c r="S251" t="str">
        <f>VLOOKUP(J251,Teams!A:B,2,FALSE)</f>
        <v>SCO</v>
      </c>
      <c r="T251" t="str">
        <f>VLOOKUP(M251,Teams!A:B,2,FALSE)</f>
        <v>YUG</v>
      </c>
    </row>
    <row r="252" spans="1:20" x14ac:dyDescent="0.25">
      <c r="A252" t="str">
        <f>F252&amp;"-"&amp;B252</f>
        <v>FIFAWC1974-19</v>
      </c>
      <c r="B252" s="4">
        <v>19</v>
      </c>
      <c r="C252" s="3">
        <v>27202</v>
      </c>
      <c r="D252" s="7">
        <v>0.91666666666666663</v>
      </c>
      <c r="E252">
        <v>1974</v>
      </c>
      <c r="F252" t="s">
        <v>1728</v>
      </c>
      <c r="G252" t="s">
        <v>1741</v>
      </c>
      <c r="H252" t="s">
        <v>1122</v>
      </c>
      <c r="I252" t="s">
        <v>1132</v>
      </c>
      <c r="J252" t="s">
        <v>1756</v>
      </c>
      <c r="K252">
        <v>0</v>
      </c>
      <c r="L252">
        <v>3</v>
      </c>
      <c r="M252" t="s">
        <v>760</v>
      </c>
      <c r="O252" t="s">
        <v>1333</v>
      </c>
      <c r="Q252">
        <v>36200</v>
      </c>
      <c r="R252" t="s">
        <v>1157</v>
      </c>
      <c r="S252" t="str">
        <f>VLOOKUP(J252,Teams!A:B,2,FALSE)</f>
        <v>ZAI</v>
      </c>
      <c r="T252" t="str">
        <f>VLOOKUP(M252,Teams!A:B,2,FALSE)</f>
        <v>BRA</v>
      </c>
    </row>
    <row r="253" spans="1:20" x14ac:dyDescent="0.25">
      <c r="A253" t="str">
        <f t="shared" si="3"/>
        <v>FIFAWC1974-20</v>
      </c>
      <c r="B253" s="4">
        <v>20</v>
      </c>
      <c r="C253" s="3">
        <v>27202</v>
      </c>
      <c r="D253" s="7">
        <v>6.25E-2</v>
      </c>
      <c r="E253">
        <v>1974</v>
      </c>
      <c r="F253" t="s">
        <v>1728</v>
      </c>
      <c r="G253" t="s">
        <v>1741</v>
      </c>
      <c r="H253" t="s">
        <v>1122</v>
      </c>
      <c r="I253" t="s">
        <v>1131</v>
      </c>
      <c r="J253" t="s">
        <v>1052</v>
      </c>
      <c r="K253">
        <v>1</v>
      </c>
      <c r="L253">
        <v>0</v>
      </c>
      <c r="M253" t="s">
        <v>797</v>
      </c>
      <c r="O253" t="s">
        <v>1342</v>
      </c>
      <c r="Q253">
        <v>60200</v>
      </c>
      <c r="R253" t="s">
        <v>1157</v>
      </c>
      <c r="S253" t="str">
        <f>VLOOKUP(J253,Teams!A:B,2,FALSE)</f>
        <v>GDR</v>
      </c>
      <c r="T253" t="str">
        <f>VLOOKUP(M253,Teams!A:B,2,FALSE)</f>
        <v>GER</v>
      </c>
    </row>
    <row r="254" spans="1:20" x14ac:dyDescent="0.25">
      <c r="A254" t="str">
        <f>F254&amp;"-"&amp;B254</f>
        <v>FIFAWC1974-21</v>
      </c>
      <c r="B254" s="4">
        <v>21</v>
      </c>
      <c r="C254" s="3">
        <v>27203</v>
      </c>
      <c r="D254" s="7">
        <v>0.91666666666666663</v>
      </c>
      <c r="E254">
        <v>1974</v>
      </c>
      <c r="F254" t="s">
        <v>1728</v>
      </c>
      <c r="G254" t="s">
        <v>1741</v>
      </c>
      <c r="H254" t="s">
        <v>1122</v>
      </c>
      <c r="I254" t="s">
        <v>1131</v>
      </c>
      <c r="J254" t="s">
        <v>900</v>
      </c>
      <c r="K254">
        <v>3</v>
      </c>
      <c r="L254">
        <v>0</v>
      </c>
      <c r="M254" t="s">
        <v>916</v>
      </c>
      <c r="O254" t="s">
        <v>1328</v>
      </c>
      <c r="Q254">
        <v>28300</v>
      </c>
      <c r="R254" t="s">
        <v>1157</v>
      </c>
      <c r="S254" t="str">
        <f>VLOOKUP(J254,Teams!A:B,2,FALSE)</f>
        <v>SWE</v>
      </c>
      <c r="T254" t="str">
        <f>VLOOKUP(M254,Teams!A:B,2,FALSE)</f>
        <v>URU</v>
      </c>
    </row>
    <row r="255" spans="1:20" x14ac:dyDescent="0.25">
      <c r="A255" t="str">
        <f>F255&amp;"-"&amp;B255</f>
        <v>FIFAWC1974-22</v>
      </c>
      <c r="B255" s="4">
        <v>22</v>
      </c>
      <c r="C255" s="3">
        <v>27203</v>
      </c>
      <c r="D255" s="7">
        <v>0.91666666666666663</v>
      </c>
      <c r="E255">
        <v>1974</v>
      </c>
      <c r="F255" t="s">
        <v>1728</v>
      </c>
      <c r="G255" t="s">
        <v>1741</v>
      </c>
      <c r="H255" t="s">
        <v>1122</v>
      </c>
      <c r="I255" t="s">
        <v>1134</v>
      </c>
      <c r="J255" t="s">
        <v>870</v>
      </c>
      <c r="K255">
        <v>2</v>
      </c>
      <c r="L255">
        <v>1</v>
      </c>
      <c r="M255" t="s">
        <v>817</v>
      </c>
      <c r="O255" t="s">
        <v>1161</v>
      </c>
      <c r="Q255">
        <v>70100</v>
      </c>
      <c r="R255" t="s">
        <v>1157</v>
      </c>
      <c r="S255" t="str">
        <f>VLOOKUP(J255,Teams!A:B,2,FALSE)</f>
        <v>POL</v>
      </c>
      <c r="T255" t="str">
        <f>VLOOKUP(M255,Teams!A:B,2,FALSE)</f>
        <v>ITA</v>
      </c>
    </row>
    <row r="256" spans="1:20" x14ac:dyDescent="0.25">
      <c r="A256" t="str">
        <f>F256&amp;"-"&amp;B256</f>
        <v>FIFAWC1974-23</v>
      </c>
      <c r="B256" s="4">
        <v>23</v>
      </c>
      <c r="C256" s="3">
        <v>27203</v>
      </c>
      <c r="D256" s="7">
        <v>0.91666666666666663</v>
      </c>
      <c r="E256">
        <v>1974</v>
      </c>
      <c r="F256" t="s">
        <v>1728</v>
      </c>
      <c r="G256" t="s">
        <v>1741</v>
      </c>
      <c r="H256" t="s">
        <v>1122</v>
      </c>
      <c r="I256" t="s">
        <v>1134</v>
      </c>
      <c r="J256" t="s">
        <v>749</v>
      </c>
      <c r="K256">
        <v>4</v>
      </c>
      <c r="L256">
        <v>1</v>
      </c>
      <c r="M256" t="s">
        <v>807</v>
      </c>
      <c r="O256" t="s">
        <v>1325</v>
      </c>
      <c r="Q256">
        <v>25900</v>
      </c>
      <c r="R256" t="s">
        <v>1157</v>
      </c>
      <c r="S256" t="str">
        <f>VLOOKUP(J256,Teams!A:B,2,FALSE)</f>
        <v>ARG</v>
      </c>
      <c r="T256" t="str">
        <f>VLOOKUP(M256,Teams!A:B,2,FALSE)</f>
        <v>HAI</v>
      </c>
    </row>
    <row r="257" spans="1:20" x14ac:dyDescent="0.25">
      <c r="A257" t="str">
        <f t="shared" si="3"/>
        <v>FIFAWC1974-24</v>
      </c>
      <c r="B257" s="4">
        <v>24</v>
      </c>
      <c r="C257" s="3">
        <v>27203</v>
      </c>
      <c r="D257" s="7">
        <v>0.91666666666666663</v>
      </c>
      <c r="E257">
        <v>1974</v>
      </c>
      <c r="F257" t="s">
        <v>1728</v>
      </c>
      <c r="G257" t="s">
        <v>1741</v>
      </c>
      <c r="H257" t="s">
        <v>1122</v>
      </c>
      <c r="I257" t="s">
        <v>1133</v>
      </c>
      <c r="J257" t="s">
        <v>761</v>
      </c>
      <c r="K257">
        <v>1</v>
      </c>
      <c r="L257">
        <v>4</v>
      </c>
      <c r="M257" t="s">
        <v>33</v>
      </c>
      <c r="O257" t="s">
        <v>1331</v>
      </c>
      <c r="Q257">
        <v>53300</v>
      </c>
      <c r="R257" t="s">
        <v>1157</v>
      </c>
      <c r="S257" t="str">
        <f>VLOOKUP(J257,Teams!A:B,2,FALSE)</f>
        <v>BUL</v>
      </c>
      <c r="T257" t="str">
        <f>VLOOKUP(M257,Teams!A:B,2,FALSE)</f>
        <v>NED</v>
      </c>
    </row>
    <row r="258" spans="1:20" x14ac:dyDescent="0.25">
      <c r="A258" t="str">
        <f>F258&amp;"-"&amp;B258</f>
        <v>FIFAWC1974-25</v>
      </c>
      <c r="B258" s="4">
        <v>25</v>
      </c>
      <c r="C258" s="3">
        <v>27206</v>
      </c>
      <c r="D258" s="7">
        <v>0.91666666666666663</v>
      </c>
      <c r="E258">
        <v>1974</v>
      </c>
      <c r="F258" t="s">
        <v>1728</v>
      </c>
      <c r="G258" t="s">
        <v>1741</v>
      </c>
      <c r="H258" t="s">
        <v>1122</v>
      </c>
      <c r="I258" t="s">
        <v>1742</v>
      </c>
      <c r="J258" t="s">
        <v>1234</v>
      </c>
      <c r="K258">
        <v>0</v>
      </c>
      <c r="L258">
        <v>2</v>
      </c>
      <c r="M258" t="s">
        <v>797</v>
      </c>
      <c r="O258" t="s">
        <v>1328</v>
      </c>
      <c r="P258" t="s">
        <v>1339</v>
      </c>
      <c r="Q258">
        <v>66085</v>
      </c>
      <c r="R258" t="s">
        <v>1157</v>
      </c>
      <c r="S258" t="str">
        <f>VLOOKUP(J258,Teams!A:B,2,FALSE)</f>
        <v>YUG</v>
      </c>
      <c r="T258" t="str">
        <f>VLOOKUP(M258,Teams!A:B,2,FALSE)</f>
        <v>GER</v>
      </c>
    </row>
    <row r="259" spans="1:20" x14ac:dyDescent="0.25">
      <c r="A259" t="str">
        <f>F259&amp;"-"&amp;B259</f>
        <v>FIFAWC1974-26</v>
      </c>
      <c r="B259" s="4">
        <v>26</v>
      </c>
      <c r="C259" s="3">
        <v>27207</v>
      </c>
      <c r="D259" s="7">
        <v>6.25E-2</v>
      </c>
      <c r="E259">
        <v>1974</v>
      </c>
      <c r="F259" t="s">
        <v>1728</v>
      </c>
      <c r="G259" t="s">
        <v>1741</v>
      </c>
      <c r="H259" t="s">
        <v>1122</v>
      </c>
      <c r="I259" t="s">
        <v>1742</v>
      </c>
      <c r="J259" t="s">
        <v>900</v>
      </c>
      <c r="K259">
        <v>0</v>
      </c>
      <c r="L259">
        <v>1</v>
      </c>
      <c r="M259" t="s">
        <v>870</v>
      </c>
      <c r="O259" t="s">
        <v>1161</v>
      </c>
      <c r="P259" t="s">
        <v>1309</v>
      </c>
      <c r="Q259">
        <v>43755</v>
      </c>
      <c r="R259" t="s">
        <v>1157</v>
      </c>
      <c r="S259" t="str">
        <f>VLOOKUP(J259,Teams!A:B,2,FALSE)</f>
        <v>SWE</v>
      </c>
      <c r="T259" t="str">
        <f>VLOOKUP(M259,Teams!A:B,2,FALSE)</f>
        <v>POL</v>
      </c>
    </row>
    <row r="260" spans="1:20" x14ac:dyDescent="0.25">
      <c r="A260" t="str">
        <f>F260&amp;"-"&amp;B260</f>
        <v>FIFAWC1974-27</v>
      </c>
      <c r="B260" s="4">
        <v>27</v>
      </c>
      <c r="C260" s="3">
        <v>27207</v>
      </c>
      <c r="D260" s="7">
        <v>6.25E-2</v>
      </c>
      <c r="E260">
        <v>1974</v>
      </c>
      <c r="F260" t="s">
        <v>1728</v>
      </c>
      <c r="G260" t="s">
        <v>1741</v>
      </c>
      <c r="H260" t="s">
        <v>1122</v>
      </c>
      <c r="I260" t="s">
        <v>1743</v>
      </c>
      <c r="J260" t="s">
        <v>760</v>
      </c>
      <c r="K260">
        <v>1</v>
      </c>
      <c r="L260">
        <v>0</v>
      </c>
      <c r="M260" t="s">
        <v>1052</v>
      </c>
      <c r="O260" t="s">
        <v>1337</v>
      </c>
      <c r="P260" t="s">
        <v>1323</v>
      </c>
      <c r="Q260">
        <v>58463</v>
      </c>
      <c r="R260" t="s">
        <v>1157</v>
      </c>
      <c r="S260" t="str">
        <f>VLOOKUP(J260,Teams!A:B,2,FALSE)</f>
        <v>BRA</v>
      </c>
      <c r="T260" t="str">
        <f>VLOOKUP(M260,Teams!A:B,2,FALSE)</f>
        <v>GDR</v>
      </c>
    </row>
    <row r="261" spans="1:20" x14ac:dyDescent="0.25">
      <c r="A261" t="str">
        <f t="shared" ref="A261:A283" si="4">F261&amp;"-"&amp;B261</f>
        <v>FIFAWC1974-28</v>
      </c>
      <c r="B261" s="4">
        <v>28</v>
      </c>
      <c r="C261" s="3">
        <v>27207</v>
      </c>
      <c r="D261" s="7">
        <v>6.25E-2</v>
      </c>
      <c r="E261">
        <v>1974</v>
      </c>
      <c r="F261" t="s">
        <v>1728</v>
      </c>
      <c r="G261" t="s">
        <v>1741</v>
      </c>
      <c r="H261" t="s">
        <v>1122</v>
      </c>
      <c r="I261" t="s">
        <v>1743</v>
      </c>
      <c r="J261" t="s">
        <v>33</v>
      </c>
      <c r="K261">
        <v>4</v>
      </c>
      <c r="L261">
        <v>0</v>
      </c>
      <c r="M261" t="s">
        <v>749</v>
      </c>
      <c r="O261" t="s">
        <v>1333</v>
      </c>
      <c r="P261" t="s">
        <v>1340</v>
      </c>
      <c r="Q261">
        <v>55348</v>
      </c>
      <c r="R261" t="s">
        <v>1157</v>
      </c>
      <c r="S261" t="str">
        <f>VLOOKUP(J261,Teams!A:B,2,FALSE)</f>
        <v>NED</v>
      </c>
      <c r="T261" t="str">
        <f>VLOOKUP(M261,Teams!A:B,2,FALSE)</f>
        <v>ARG</v>
      </c>
    </row>
    <row r="262" spans="1:20" x14ac:dyDescent="0.25">
      <c r="A262" t="str">
        <f>F262&amp;"-"&amp;B262</f>
        <v>FIFAWC1974-29</v>
      </c>
      <c r="B262" s="4">
        <v>29</v>
      </c>
      <c r="C262" s="3">
        <v>27210</v>
      </c>
      <c r="D262" s="7">
        <v>0.91666666666666663</v>
      </c>
      <c r="E262">
        <v>1974</v>
      </c>
      <c r="F262" t="s">
        <v>1728</v>
      </c>
      <c r="G262" t="s">
        <v>1741</v>
      </c>
      <c r="H262" t="s">
        <v>1122</v>
      </c>
      <c r="I262" t="s">
        <v>1742</v>
      </c>
      <c r="J262" t="s">
        <v>870</v>
      </c>
      <c r="K262">
        <v>2</v>
      </c>
      <c r="L262">
        <v>1</v>
      </c>
      <c r="M262" t="s">
        <v>1234</v>
      </c>
      <c r="O262" t="s">
        <v>1330</v>
      </c>
      <c r="P262" t="s">
        <v>1335</v>
      </c>
      <c r="Q262">
        <v>55000</v>
      </c>
      <c r="R262" t="s">
        <v>1157</v>
      </c>
      <c r="S262" t="str">
        <f>VLOOKUP(J262,Teams!A:B,2,FALSE)</f>
        <v>POL</v>
      </c>
      <c r="T262" t="str">
        <f>VLOOKUP(M262,Teams!A:B,2,FALSE)</f>
        <v>YUG</v>
      </c>
    </row>
    <row r="263" spans="1:20" x14ac:dyDescent="0.25">
      <c r="A263" t="str">
        <f t="shared" si="4"/>
        <v>FIFAWC1974-30</v>
      </c>
      <c r="B263" s="4">
        <v>30</v>
      </c>
      <c r="C263" s="3">
        <v>27210</v>
      </c>
      <c r="D263" s="7">
        <v>0.91666666666666663</v>
      </c>
      <c r="E263">
        <v>1974</v>
      </c>
      <c r="F263" t="s">
        <v>1728</v>
      </c>
      <c r="G263" t="s">
        <v>1741</v>
      </c>
      <c r="H263" t="s">
        <v>1122</v>
      </c>
      <c r="I263" t="s">
        <v>1743</v>
      </c>
      <c r="J263" t="s">
        <v>749</v>
      </c>
      <c r="K263">
        <v>1</v>
      </c>
      <c r="L263">
        <v>2</v>
      </c>
      <c r="M263" t="s">
        <v>760</v>
      </c>
      <c r="O263" t="s">
        <v>1337</v>
      </c>
      <c r="P263" t="s">
        <v>1338</v>
      </c>
      <c r="Q263">
        <v>38000</v>
      </c>
      <c r="R263" t="s">
        <v>1157</v>
      </c>
      <c r="S263" t="str">
        <f>VLOOKUP(J263,Teams!A:B,2,FALSE)</f>
        <v>ARG</v>
      </c>
      <c r="T263" t="str">
        <f>VLOOKUP(M263,Teams!A:B,2,FALSE)</f>
        <v>BRA</v>
      </c>
    </row>
    <row r="264" spans="1:20" x14ac:dyDescent="0.25">
      <c r="A264" t="str">
        <f t="shared" si="4"/>
        <v>FIFAWC1974-31</v>
      </c>
      <c r="B264" s="4">
        <v>31</v>
      </c>
      <c r="C264" s="3">
        <v>27210</v>
      </c>
      <c r="D264" s="7">
        <v>0.91666666666666663</v>
      </c>
      <c r="E264">
        <v>1974</v>
      </c>
      <c r="F264" t="s">
        <v>1728</v>
      </c>
      <c r="G264" t="s">
        <v>1741</v>
      </c>
      <c r="H264" t="s">
        <v>1122</v>
      </c>
      <c r="I264" t="s">
        <v>1743</v>
      </c>
      <c r="J264" t="s">
        <v>1052</v>
      </c>
      <c r="K264">
        <v>0</v>
      </c>
      <c r="L264">
        <v>2</v>
      </c>
      <c r="M264" t="s">
        <v>33</v>
      </c>
      <c r="O264" t="s">
        <v>1333</v>
      </c>
      <c r="P264" t="s">
        <v>1336</v>
      </c>
      <c r="Q264">
        <v>67148</v>
      </c>
      <c r="R264" t="s">
        <v>1157</v>
      </c>
      <c r="S264" t="str">
        <f>VLOOKUP(J264,Teams!A:B,2,FALSE)</f>
        <v>GDR</v>
      </c>
      <c r="T264" t="str">
        <f>VLOOKUP(M264,Teams!A:B,2,FALSE)</f>
        <v>NED</v>
      </c>
    </row>
    <row r="265" spans="1:20" x14ac:dyDescent="0.25">
      <c r="A265" t="str">
        <f t="shared" si="4"/>
        <v>FIFAWC1974-32</v>
      </c>
      <c r="B265" s="4">
        <v>32</v>
      </c>
      <c r="C265" s="3">
        <v>27211</v>
      </c>
      <c r="D265" s="7">
        <v>6.25E-2</v>
      </c>
      <c r="E265">
        <v>1974</v>
      </c>
      <c r="F265" t="s">
        <v>1728</v>
      </c>
      <c r="G265" t="s">
        <v>1741</v>
      </c>
      <c r="H265" t="s">
        <v>1122</v>
      </c>
      <c r="I265" t="s">
        <v>1742</v>
      </c>
      <c r="J265" t="s">
        <v>797</v>
      </c>
      <c r="K265">
        <v>4</v>
      </c>
      <c r="L265">
        <v>2</v>
      </c>
      <c r="M265" t="s">
        <v>900</v>
      </c>
      <c r="O265" t="s">
        <v>1328</v>
      </c>
      <c r="P265" t="s">
        <v>1334</v>
      </c>
      <c r="Q265">
        <v>66500</v>
      </c>
      <c r="R265" t="s">
        <v>1157</v>
      </c>
      <c r="S265" t="str">
        <f>VLOOKUP(J265,Teams!A:B,2,FALSE)</f>
        <v>GER</v>
      </c>
      <c r="T265" t="str">
        <f>VLOOKUP(M265,Teams!A:B,2,FALSE)</f>
        <v>SWE</v>
      </c>
    </row>
    <row r="266" spans="1:20" x14ac:dyDescent="0.25">
      <c r="A266" t="str">
        <f>F266&amp;"-"&amp;B266</f>
        <v>FIFAWC1974-33</v>
      </c>
      <c r="B266" s="4">
        <v>33</v>
      </c>
      <c r="C266" s="3">
        <v>27213</v>
      </c>
      <c r="D266" s="7">
        <v>0.95833333333333337</v>
      </c>
      <c r="E266">
        <v>1974</v>
      </c>
      <c r="F266" t="s">
        <v>1728</v>
      </c>
      <c r="G266" t="s">
        <v>1741</v>
      </c>
      <c r="H266" t="s">
        <v>1122</v>
      </c>
      <c r="I266" t="s">
        <v>1742</v>
      </c>
      <c r="J266" t="s">
        <v>870</v>
      </c>
      <c r="K266">
        <v>0</v>
      </c>
      <c r="L266">
        <v>1</v>
      </c>
      <c r="M266" t="s">
        <v>797</v>
      </c>
      <c r="O266" t="s">
        <v>1330</v>
      </c>
      <c r="P266" t="s">
        <v>1313</v>
      </c>
      <c r="Q266">
        <v>59000</v>
      </c>
      <c r="R266" t="s">
        <v>1157</v>
      </c>
      <c r="S266" t="str">
        <f>VLOOKUP(J266,Teams!A:B,2,FALSE)</f>
        <v>POL</v>
      </c>
      <c r="T266" t="str">
        <f>VLOOKUP(M266,Teams!A:B,2,FALSE)</f>
        <v>GER</v>
      </c>
    </row>
    <row r="267" spans="1:20" x14ac:dyDescent="0.25">
      <c r="A267" t="str">
        <f>F267&amp;"-"&amp;B267</f>
        <v>FIFAWC1974-34</v>
      </c>
      <c r="B267" s="4">
        <v>34</v>
      </c>
      <c r="C267" s="3">
        <v>27214</v>
      </c>
      <c r="D267" s="7">
        <v>6.25E-2</v>
      </c>
      <c r="E267">
        <v>1974</v>
      </c>
      <c r="F267" t="s">
        <v>1728</v>
      </c>
      <c r="G267" t="s">
        <v>1741</v>
      </c>
      <c r="H267" t="s">
        <v>1122</v>
      </c>
      <c r="I267" t="s">
        <v>1743</v>
      </c>
      <c r="J267" t="s">
        <v>33</v>
      </c>
      <c r="K267">
        <v>2</v>
      </c>
      <c r="L267">
        <v>0</v>
      </c>
      <c r="M267" t="s">
        <v>760</v>
      </c>
      <c r="O267" t="s">
        <v>1331</v>
      </c>
      <c r="P267" t="s">
        <v>1332</v>
      </c>
      <c r="Q267">
        <v>52500</v>
      </c>
      <c r="R267" t="s">
        <v>1157</v>
      </c>
      <c r="S267" t="str">
        <f>VLOOKUP(J267,Teams!A:B,2,FALSE)</f>
        <v>NED</v>
      </c>
      <c r="T267" t="str">
        <f>VLOOKUP(M267,Teams!A:B,2,FALSE)</f>
        <v>BRA</v>
      </c>
    </row>
    <row r="268" spans="1:20" x14ac:dyDescent="0.25">
      <c r="A268" t="str">
        <f t="shared" si="4"/>
        <v>FIFAWC1974-35</v>
      </c>
      <c r="B268" s="4">
        <v>35</v>
      </c>
      <c r="C268" s="3">
        <v>27214</v>
      </c>
      <c r="D268" s="7">
        <v>6.25E-2</v>
      </c>
      <c r="E268">
        <v>1974</v>
      </c>
      <c r="F268" t="s">
        <v>1728</v>
      </c>
      <c r="G268" t="s">
        <v>1741</v>
      </c>
      <c r="H268" t="s">
        <v>1122</v>
      </c>
      <c r="I268" t="s">
        <v>1743</v>
      </c>
      <c r="J268" t="s">
        <v>749</v>
      </c>
      <c r="K268">
        <v>1</v>
      </c>
      <c r="L268">
        <v>1</v>
      </c>
      <c r="M268" t="s">
        <v>1052</v>
      </c>
      <c r="O268" t="s">
        <v>1333</v>
      </c>
      <c r="P268" t="s">
        <v>1326</v>
      </c>
      <c r="Q268">
        <v>53054</v>
      </c>
      <c r="R268" t="s">
        <v>1157</v>
      </c>
      <c r="S268" t="str">
        <f>VLOOKUP(J268,Teams!A:B,2,FALSE)</f>
        <v>ARG</v>
      </c>
      <c r="T268" t="str">
        <f>VLOOKUP(M268,Teams!A:B,2,FALSE)</f>
        <v>GDR</v>
      </c>
    </row>
    <row r="269" spans="1:20" x14ac:dyDescent="0.25">
      <c r="A269" t="str">
        <f t="shared" si="4"/>
        <v>FIFAWC1974-36</v>
      </c>
      <c r="B269" s="4">
        <v>36</v>
      </c>
      <c r="C269" s="3">
        <v>27214</v>
      </c>
      <c r="D269" s="7">
        <v>6.25E-2</v>
      </c>
      <c r="E269">
        <v>1974</v>
      </c>
      <c r="F269" t="s">
        <v>1728</v>
      </c>
      <c r="G269" t="s">
        <v>1741</v>
      </c>
      <c r="H269" t="s">
        <v>1122</v>
      </c>
      <c r="I269" t="s">
        <v>1742</v>
      </c>
      <c r="J269" t="s">
        <v>900</v>
      </c>
      <c r="K269">
        <v>2</v>
      </c>
      <c r="L269">
        <v>1</v>
      </c>
      <c r="M269" t="s">
        <v>1234</v>
      </c>
      <c r="O269" t="s">
        <v>1328</v>
      </c>
      <c r="P269" t="s">
        <v>1329</v>
      </c>
      <c r="Q269">
        <v>4000</v>
      </c>
      <c r="R269" t="s">
        <v>1157</v>
      </c>
      <c r="S269" t="str">
        <f>VLOOKUP(J269,Teams!A:B,2,FALSE)</f>
        <v>SWE</v>
      </c>
      <c r="T269" t="str">
        <f>VLOOKUP(M269,Teams!A:B,2,FALSE)</f>
        <v>YUG</v>
      </c>
    </row>
    <row r="270" spans="1:20" x14ac:dyDescent="0.25">
      <c r="A270" t="str">
        <f t="shared" si="4"/>
        <v>FIFAWC1974-37</v>
      </c>
      <c r="B270" s="4">
        <v>37</v>
      </c>
      <c r="C270" s="3">
        <v>27216</v>
      </c>
      <c r="D270" s="7">
        <v>0.91666666666666663</v>
      </c>
      <c r="E270">
        <v>1974</v>
      </c>
      <c r="F270" t="s">
        <v>1728</v>
      </c>
      <c r="G270" t="s">
        <v>1741</v>
      </c>
      <c r="H270" t="s">
        <v>1759</v>
      </c>
      <c r="I270" t="s">
        <v>1018</v>
      </c>
      <c r="J270" t="s">
        <v>760</v>
      </c>
      <c r="K270">
        <v>0</v>
      </c>
      <c r="L270">
        <v>1</v>
      </c>
      <c r="M270" t="s">
        <v>870</v>
      </c>
      <c r="O270" t="s">
        <v>1325</v>
      </c>
      <c r="P270" t="s">
        <v>1327</v>
      </c>
      <c r="Q270">
        <v>74100</v>
      </c>
      <c r="R270" t="s">
        <v>1157</v>
      </c>
      <c r="S270" t="str">
        <f>VLOOKUP(J270,Teams!A:B,2,FALSE)</f>
        <v>BRA</v>
      </c>
      <c r="T270" t="str">
        <f>VLOOKUP(M270,Teams!A:B,2,FALSE)</f>
        <v>POL</v>
      </c>
    </row>
    <row r="271" spans="1:20" x14ac:dyDescent="0.25">
      <c r="A271" t="str">
        <f t="shared" si="4"/>
        <v>FIFAWC1974-38</v>
      </c>
      <c r="B271" s="4">
        <v>38</v>
      </c>
      <c r="C271" s="3">
        <v>27217</v>
      </c>
      <c r="D271" s="7">
        <v>0.91666666666666663</v>
      </c>
      <c r="E271">
        <v>1974</v>
      </c>
      <c r="F271" t="s">
        <v>1728</v>
      </c>
      <c r="G271" t="s">
        <v>1741</v>
      </c>
      <c r="H271" t="s">
        <v>1759</v>
      </c>
      <c r="I271" t="s">
        <v>1141</v>
      </c>
      <c r="J271" t="s">
        <v>33</v>
      </c>
      <c r="K271">
        <v>1</v>
      </c>
      <c r="L271">
        <v>2</v>
      </c>
      <c r="M271" t="s">
        <v>797</v>
      </c>
      <c r="O271" t="s">
        <v>1325</v>
      </c>
      <c r="P271" t="s">
        <v>1326</v>
      </c>
      <c r="Q271">
        <v>75200</v>
      </c>
      <c r="R271" t="s">
        <v>1157</v>
      </c>
      <c r="S271" t="str">
        <f>VLOOKUP(J271,Teams!A:B,2,FALSE)</f>
        <v>NED</v>
      </c>
      <c r="T271" t="str">
        <f>VLOOKUP(M271,Teams!A:B,2,FALSE)</f>
        <v>GER</v>
      </c>
    </row>
    <row r="272" spans="1:20" x14ac:dyDescent="0.25">
      <c r="A272" t="str">
        <f t="shared" si="4"/>
        <v>FIFAWC1978-1</v>
      </c>
      <c r="B272" s="4">
        <v>1</v>
      </c>
      <c r="C272" s="3">
        <v>28643</v>
      </c>
      <c r="D272" s="7">
        <v>4.1666666666666664E-2</v>
      </c>
      <c r="E272">
        <v>1978</v>
      </c>
      <c r="F272" t="s">
        <v>1729</v>
      </c>
      <c r="G272" t="s">
        <v>1741</v>
      </c>
      <c r="H272" t="s">
        <v>1122</v>
      </c>
      <c r="I272" t="s">
        <v>1132</v>
      </c>
      <c r="J272" t="s">
        <v>797</v>
      </c>
      <c r="K272">
        <v>0</v>
      </c>
      <c r="L272">
        <v>0</v>
      </c>
      <c r="M272" t="s">
        <v>870</v>
      </c>
      <c r="O272" t="s">
        <v>1299</v>
      </c>
      <c r="P272" t="s">
        <v>1324</v>
      </c>
      <c r="Q272">
        <v>67579</v>
      </c>
      <c r="R272" t="s">
        <v>1157</v>
      </c>
      <c r="S272" t="str">
        <f>VLOOKUP(J272,Teams!A:B,2,FALSE)</f>
        <v>GER</v>
      </c>
      <c r="T272" t="str">
        <f>VLOOKUP(M272,Teams!A:B,2,FALSE)</f>
        <v>POL</v>
      </c>
    </row>
    <row r="273" spans="1:20" x14ac:dyDescent="0.25">
      <c r="A273" t="str">
        <f t="shared" si="4"/>
        <v>FIFAWC1978-2</v>
      </c>
      <c r="B273" s="4">
        <v>2</v>
      </c>
      <c r="C273" s="3">
        <v>28643</v>
      </c>
      <c r="D273" s="7">
        <v>0.98958333333333337</v>
      </c>
      <c r="E273">
        <v>1978</v>
      </c>
      <c r="F273" t="s">
        <v>1729</v>
      </c>
      <c r="G273" t="s">
        <v>1741</v>
      </c>
      <c r="H273" t="s">
        <v>1122</v>
      </c>
      <c r="I273" t="s">
        <v>1131</v>
      </c>
      <c r="J273" t="s">
        <v>817</v>
      </c>
      <c r="K273">
        <v>2</v>
      </c>
      <c r="L273">
        <v>1</v>
      </c>
      <c r="M273" t="s">
        <v>224</v>
      </c>
      <c r="O273" t="s">
        <v>1314</v>
      </c>
      <c r="P273" t="s">
        <v>1226</v>
      </c>
      <c r="Q273">
        <v>38100</v>
      </c>
      <c r="R273" t="s">
        <v>1157</v>
      </c>
      <c r="S273" t="str">
        <f>VLOOKUP(J273,Teams!A:B,2,FALSE)</f>
        <v>ITA</v>
      </c>
      <c r="T273" t="str">
        <f>VLOOKUP(M273,Teams!A:B,2,FALSE)</f>
        <v>FRA</v>
      </c>
    </row>
    <row r="274" spans="1:20" x14ac:dyDescent="0.25">
      <c r="A274" t="str">
        <f>F274&amp;"-"&amp;B274</f>
        <v>FIFAWC1978-3</v>
      </c>
      <c r="B274" s="4">
        <v>3</v>
      </c>
      <c r="C274" s="3">
        <v>28644</v>
      </c>
      <c r="D274" s="7">
        <v>0.11458333333333333</v>
      </c>
      <c r="E274">
        <v>1978</v>
      </c>
      <c r="F274" t="s">
        <v>1729</v>
      </c>
      <c r="G274" t="s">
        <v>1741</v>
      </c>
      <c r="H274" t="s">
        <v>1122</v>
      </c>
      <c r="I274" t="s">
        <v>1132</v>
      </c>
      <c r="J274" t="s">
        <v>911</v>
      </c>
      <c r="K274">
        <v>3</v>
      </c>
      <c r="L274">
        <v>1</v>
      </c>
      <c r="M274" t="s">
        <v>845</v>
      </c>
      <c r="O274" t="s">
        <v>1301</v>
      </c>
      <c r="P274" t="s">
        <v>1312</v>
      </c>
      <c r="Q274">
        <v>17396</v>
      </c>
      <c r="R274" t="s">
        <v>1157</v>
      </c>
      <c r="S274" t="str">
        <f>VLOOKUP(J274,Teams!A:B,2,FALSE)</f>
        <v>TUN</v>
      </c>
      <c r="T274" t="str">
        <f>VLOOKUP(M274,Teams!A:B,2,FALSE)</f>
        <v>MEX</v>
      </c>
    </row>
    <row r="275" spans="1:20" x14ac:dyDescent="0.25">
      <c r="A275" t="str">
        <f t="shared" si="4"/>
        <v>FIFAWC1978-4</v>
      </c>
      <c r="B275" s="4">
        <v>4</v>
      </c>
      <c r="C275" s="3">
        <v>28644</v>
      </c>
      <c r="D275" s="7">
        <v>0.21875</v>
      </c>
      <c r="E275">
        <v>1978</v>
      </c>
      <c r="F275" t="s">
        <v>1729</v>
      </c>
      <c r="G275" t="s">
        <v>1741</v>
      </c>
      <c r="H275" t="s">
        <v>1122</v>
      </c>
      <c r="I275" t="s">
        <v>1131</v>
      </c>
      <c r="J275" t="s">
        <v>749</v>
      </c>
      <c r="K275">
        <v>2</v>
      </c>
      <c r="L275">
        <v>1</v>
      </c>
      <c r="M275" t="s">
        <v>297</v>
      </c>
      <c r="O275" t="s">
        <v>1299</v>
      </c>
      <c r="P275" t="s">
        <v>1211</v>
      </c>
      <c r="Q275">
        <v>71615</v>
      </c>
      <c r="R275" t="s">
        <v>1157</v>
      </c>
      <c r="S275" t="str">
        <f>VLOOKUP(J275,Teams!A:B,2,FALSE)</f>
        <v>ARG</v>
      </c>
      <c r="T275" t="str">
        <f>VLOOKUP(M275,Teams!A:B,2,FALSE)</f>
        <v>HUN</v>
      </c>
    </row>
    <row r="276" spans="1:20" x14ac:dyDescent="0.25">
      <c r="A276" t="str">
        <f t="shared" si="4"/>
        <v>FIFAWC1978-5</v>
      </c>
      <c r="B276" s="4">
        <v>5</v>
      </c>
      <c r="C276" s="3">
        <v>28644</v>
      </c>
      <c r="D276" s="7">
        <v>0.98958333333333337</v>
      </c>
      <c r="E276">
        <v>1978</v>
      </c>
      <c r="F276" t="s">
        <v>1729</v>
      </c>
      <c r="G276" t="s">
        <v>1741</v>
      </c>
      <c r="H276" t="s">
        <v>1122</v>
      </c>
      <c r="I276" t="s">
        <v>1133</v>
      </c>
      <c r="J276" t="s">
        <v>751</v>
      </c>
      <c r="K276">
        <v>2</v>
      </c>
      <c r="L276">
        <v>1</v>
      </c>
      <c r="M276" t="s">
        <v>895</v>
      </c>
      <c r="O276" t="s">
        <v>1315</v>
      </c>
      <c r="P276" t="s">
        <v>1227</v>
      </c>
      <c r="Q276">
        <v>40841</v>
      </c>
      <c r="R276" t="s">
        <v>1157</v>
      </c>
      <c r="S276" t="str">
        <f>VLOOKUP(J276,Teams!A:B,2,FALSE)</f>
        <v>AUT</v>
      </c>
      <c r="T276" t="str">
        <f>VLOOKUP(M276,Teams!A:B,2,FALSE)</f>
        <v>ESP</v>
      </c>
    </row>
    <row r="277" spans="1:20" x14ac:dyDescent="0.25">
      <c r="A277" t="str">
        <f t="shared" si="4"/>
        <v>FIFAWC1978-6</v>
      </c>
      <c r="B277" s="4">
        <v>6</v>
      </c>
      <c r="C277" s="3">
        <v>28644</v>
      </c>
      <c r="D277" s="7">
        <v>0.98958333333333337</v>
      </c>
      <c r="E277">
        <v>1978</v>
      </c>
      <c r="F277" t="s">
        <v>1729</v>
      </c>
      <c r="G277" t="s">
        <v>1741</v>
      </c>
      <c r="H277" t="s">
        <v>1122</v>
      </c>
      <c r="I277" t="s">
        <v>1133</v>
      </c>
      <c r="J277" t="s">
        <v>900</v>
      </c>
      <c r="K277">
        <v>1</v>
      </c>
      <c r="L277">
        <v>1</v>
      </c>
      <c r="M277" t="s">
        <v>760</v>
      </c>
      <c r="O277" t="s">
        <v>1314</v>
      </c>
      <c r="P277" t="s">
        <v>1323</v>
      </c>
      <c r="Q277">
        <v>32569</v>
      </c>
      <c r="R277" t="s">
        <v>1157</v>
      </c>
      <c r="S277" t="str">
        <f>VLOOKUP(J277,Teams!A:B,2,FALSE)</f>
        <v>SWE</v>
      </c>
      <c r="T277" t="str">
        <f>VLOOKUP(M277,Teams!A:B,2,FALSE)</f>
        <v>BRA</v>
      </c>
    </row>
    <row r="278" spans="1:20" x14ac:dyDescent="0.25">
      <c r="A278" t="str">
        <f>F278&amp;"-"&amp;B278</f>
        <v>FIFAWC1978-7</v>
      </c>
      <c r="B278" s="4">
        <v>7</v>
      </c>
      <c r="C278" s="3">
        <v>28645</v>
      </c>
      <c r="D278" s="7">
        <v>0.11458333333333333</v>
      </c>
      <c r="E278">
        <v>1978</v>
      </c>
      <c r="F278" t="s">
        <v>1729</v>
      </c>
      <c r="G278" t="s">
        <v>1741</v>
      </c>
      <c r="H278" t="s">
        <v>1122</v>
      </c>
      <c r="I278" t="s">
        <v>1134</v>
      </c>
      <c r="J278" t="s">
        <v>33</v>
      </c>
      <c r="K278">
        <v>3</v>
      </c>
      <c r="L278">
        <v>0</v>
      </c>
      <c r="M278" t="s">
        <v>1051</v>
      </c>
      <c r="O278" t="s">
        <v>1303</v>
      </c>
      <c r="P278" t="s">
        <v>1322</v>
      </c>
      <c r="Q278">
        <v>33431</v>
      </c>
      <c r="R278" t="s">
        <v>1157</v>
      </c>
      <c r="S278" t="str">
        <f>VLOOKUP(J278,Teams!A:B,2,FALSE)</f>
        <v>NED</v>
      </c>
      <c r="T278" t="str">
        <f>VLOOKUP(M278,Teams!A:B,2,FALSE)</f>
        <v>IRN</v>
      </c>
    </row>
    <row r="279" spans="1:20" x14ac:dyDescent="0.25">
      <c r="A279" t="str">
        <f t="shared" si="4"/>
        <v>FIFAWC1978-8</v>
      </c>
      <c r="B279" s="4">
        <v>8</v>
      </c>
      <c r="C279" s="3">
        <v>28645</v>
      </c>
      <c r="D279" s="7">
        <v>0.11458333333333333</v>
      </c>
      <c r="E279">
        <v>1978</v>
      </c>
      <c r="F279" t="s">
        <v>1729</v>
      </c>
      <c r="G279" t="s">
        <v>1741</v>
      </c>
      <c r="H279" t="s">
        <v>1122</v>
      </c>
      <c r="I279" t="s">
        <v>1134</v>
      </c>
      <c r="J279" t="s">
        <v>867</v>
      </c>
      <c r="K279">
        <v>3</v>
      </c>
      <c r="L279">
        <v>1</v>
      </c>
      <c r="M279" t="s">
        <v>1026</v>
      </c>
      <c r="O279" t="s">
        <v>1306</v>
      </c>
      <c r="P279" t="s">
        <v>1310</v>
      </c>
      <c r="Q279">
        <v>37927</v>
      </c>
      <c r="R279" t="s">
        <v>1157</v>
      </c>
      <c r="S279" t="str">
        <f>VLOOKUP(J279,Teams!A:B,2,FALSE)</f>
        <v>PER</v>
      </c>
      <c r="T279" t="str">
        <f>VLOOKUP(M279,Teams!A:B,2,FALSE)</f>
        <v>SCO</v>
      </c>
    </row>
    <row r="280" spans="1:20" x14ac:dyDescent="0.25">
      <c r="A280" t="str">
        <f t="shared" si="4"/>
        <v>FIFAWC1978-9</v>
      </c>
      <c r="B280" s="4">
        <v>9</v>
      </c>
      <c r="C280" s="3">
        <v>28647</v>
      </c>
      <c r="D280" s="7">
        <v>0.98958333333333337</v>
      </c>
      <c r="E280">
        <v>1978</v>
      </c>
      <c r="F280" t="s">
        <v>1729</v>
      </c>
      <c r="G280" t="s">
        <v>1741</v>
      </c>
      <c r="H280" t="s">
        <v>1122</v>
      </c>
      <c r="I280" t="s">
        <v>1131</v>
      </c>
      <c r="J280" t="s">
        <v>817</v>
      </c>
      <c r="K280">
        <v>3</v>
      </c>
      <c r="L280">
        <v>1</v>
      </c>
      <c r="M280" t="s">
        <v>297</v>
      </c>
      <c r="O280" t="s">
        <v>1314</v>
      </c>
      <c r="P280" t="s">
        <v>1309</v>
      </c>
      <c r="Q280">
        <v>26533</v>
      </c>
      <c r="R280" t="s">
        <v>1157</v>
      </c>
      <c r="S280" t="str">
        <f>VLOOKUP(J280,Teams!A:B,2,FALSE)</f>
        <v>ITA</v>
      </c>
      <c r="T280" t="str">
        <f>VLOOKUP(M280,Teams!A:B,2,FALSE)</f>
        <v>HUN</v>
      </c>
    </row>
    <row r="281" spans="1:20" x14ac:dyDescent="0.25">
      <c r="A281" t="str">
        <f>F281&amp;"-"&amp;B281</f>
        <v>FIFAWC1978-10</v>
      </c>
      <c r="B281" s="4">
        <v>10</v>
      </c>
      <c r="C281" s="3">
        <v>28648</v>
      </c>
      <c r="D281" s="7">
        <v>0.11458333333333333</v>
      </c>
      <c r="E281">
        <v>1978</v>
      </c>
      <c r="F281" t="s">
        <v>1729</v>
      </c>
      <c r="G281" t="s">
        <v>1741</v>
      </c>
      <c r="H281" t="s">
        <v>1122</v>
      </c>
      <c r="I281" t="s">
        <v>1132</v>
      </c>
      <c r="J281" t="s">
        <v>797</v>
      </c>
      <c r="K281">
        <v>6</v>
      </c>
      <c r="L281">
        <v>0</v>
      </c>
      <c r="M281" t="s">
        <v>845</v>
      </c>
      <c r="O281" t="s">
        <v>1301</v>
      </c>
      <c r="P281" t="s">
        <v>1320</v>
      </c>
      <c r="Q281">
        <v>35258</v>
      </c>
      <c r="R281" t="s">
        <v>1157</v>
      </c>
      <c r="S281" t="str">
        <f>VLOOKUP(J281,Teams!A:B,2,FALSE)</f>
        <v>GER</v>
      </c>
      <c r="T281" t="str">
        <f>VLOOKUP(M281,Teams!A:B,2,FALSE)</f>
        <v>MEX</v>
      </c>
    </row>
    <row r="282" spans="1:20" x14ac:dyDescent="0.25">
      <c r="A282" t="str">
        <f>F282&amp;"-"&amp;B282</f>
        <v>FIFAWC1978-11</v>
      </c>
      <c r="B282" s="4">
        <v>11</v>
      </c>
      <c r="C282" s="3">
        <v>28648</v>
      </c>
      <c r="D282" s="7">
        <v>0.11458333333333333</v>
      </c>
      <c r="E282">
        <v>1978</v>
      </c>
      <c r="F282" t="s">
        <v>1729</v>
      </c>
      <c r="G282" t="s">
        <v>1741</v>
      </c>
      <c r="H282" t="s">
        <v>1122</v>
      </c>
      <c r="I282" t="s">
        <v>1132</v>
      </c>
      <c r="J282" t="s">
        <v>870</v>
      </c>
      <c r="K282">
        <v>1</v>
      </c>
      <c r="L282">
        <v>0</v>
      </c>
      <c r="M282" t="s">
        <v>911</v>
      </c>
      <c r="O282" t="s">
        <v>1301</v>
      </c>
      <c r="P282" t="s">
        <v>1305</v>
      </c>
      <c r="Q282">
        <v>9624</v>
      </c>
      <c r="R282" t="s">
        <v>1157</v>
      </c>
      <c r="S282" t="str">
        <f>VLOOKUP(J282,Teams!A:B,2,FALSE)</f>
        <v>POL</v>
      </c>
      <c r="T282" t="str">
        <f>VLOOKUP(M282,Teams!A:B,2,FALSE)</f>
        <v>TUN</v>
      </c>
    </row>
    <row r="283" spans="1:20" x14ac:dyDescent="0.25">
      <c r="A283" t="str">
        <f t="shared" si="4"/>
        <v>FIFAWC1978-12</v>
      </c>
      <c r="B283" s="4">
        <v>12</v>
      </c>
      <c r="C283" s="3">
        <v>28648</v>
      </c>
      <c r="D283" s="7">
        <v>0.21875</v>
      </c>
      <c r="E283">
        <v>1978</v>
      </c>
      <c r="F283" t="s">
        <v>1729</v>
      </c>
      <c r="G283" t="s">
        <v>1741</v>
      </c>
      <c r="H283" t="s">
        <v>1122</v>
      </c>
      <c r="I283" t="s">
        <v>1131</v>
      </c>
      <c r="J283" t="s">
        <v>749</v>
      </c>
      <c r="K283">
        <v>2</v>
      </c>
      <c r="L283">
        <v>1</v>
      </c>
      <c r="M283" t="s">
        <v>224</v>
      </c>
      <c r="O283" t="s">
        <v>1299</v>
      </c>
      <c r="P283" t="s">
        <v>1321</v>
      </c>
      <c r="Q283">
        <v>71666</v>
      </c>
      <c r="R283" t="s">
        <v>1157</v>
      </c>
      <c r="S283" t="str">
        <f>VLOOKUP(J283,Teams!A:B,2,FALSE)</f>
        <v>ARG</v>
      </c>
      <c r="T283" t="str">
        <f>VLOOKUP(M283,Teams!A:B,2,FALSE)</f>
        <v>FRA</v>
      </c>
    </row>
    <row r="284" spans="1:20" x14ac:dyDescent="0.25">
      <c r="A284" t="str">
        <f>F284&amp;"-"&amp;B284</f>
        <v>FIFAWC1978-13</v>
      </c>
      <c r="B284" s="4">
        <v>13</v>
      </c>
      <c r="C284" s="3">
        <v>28648</v>
      </c>
      <c r="D284" s="7">
        <v>0.98958333333333337</v>
      </c>
      <c r="E284">
        <v>1978</v>
      </c>
      <c r="F284" t="s">
        <v>1729</v>
      </c>
      <c r="G284" t="s">
        <v>1741</v>
      </c>
      <c r="H284" t="s">
        <v>1122</v>
      </c>
      <c r="I284" t="s">
        <v>1133</v>
      </c>
      <c r="J284" t="s">
        <v>760</v>
      </c>
      <c r="K284">
        <v>0</v>
      </c>
      <c r="L284">
        <v>0</v>
      </c>
      <c r="M284" t="s">
        <v>895</v>
      </c>
      <c r="O284" t="s">
        <v>1314</v>
      </c>
      <c r="P284" t="s">
        <v>1300</v>
      </c>
      <c r="Q284">
        <v>34771</v>
      </c>
      <c r="R284" t="s">
        <v>1157</v>
      </c>
      <c r="S284" t="str">
        <f>VLOOKUP(J284,Teams!A:B,2,FALSE)</f>
        <v>BRA</v>
      </c>
      <c r="T284" t="str">
        <f>VLOOKUP(M284,Teams!A:B,2,FALSE)</f>
        <v>ESP</v>
      </c>
    </row>
    <row r="285" spans="1:20" x14ac:dyDescent="0.25">
      <c r="A285" t="str">
        <f t="shared" ref="A285:A347" si="5">F285&amp;"-"&amp;B285</f>
        <v>FIFAWC1978-14</v>
      </c>
      <c r="B285" s="4">
        <v>14</v>
      </c>
      <c r="C285" s="3">
        <v>28648</v>
      </c>
      <c r="D285" s="7">
        <v>0.98958333333333337</v>
      </c>
      <c r="E285">
        <v>1978</v>
      </c>
      <c r="F285" t="s">
        <v>1729</v>
      </c>
      <c r="G285" t="s">
        <v>1741</v>
      </c>
      <c r="H285" t="s">
        <v>1122</v>
      </c>
      <c r="I285" t="s">
        <v>1133</v>
      </c>
      <c r="J285" t="s">
        <v>751</v>
      </c>
      <c r="K285">
        <v>1</v>
      </c>
      <c r="L285">
        <v>0</v>
      </c>
      <c r="M285" t="s">
        <v>900</v>
      </c>
      <c r="O285" t="s">
        <v>1315</v>
      </c>
      <c r="P285" t="s">
        <v>1213</v>
      </c>
      <c r="Q285">
        <v>41424</v>
      </c>
      <c r="R285" t="s">
        <v>1157</v>
      </c>
      <c r="S285" t="str">
        <f>VLOOKUP(J285,Teams!A:B,2,FALSE)</f>
        <v>AUT</v>
      </c>
      <c r="T285" t="str">
        <f>VLOOKUP(M285,Teams!A:B,2,FALSE)</f>
        <v>SWE</v>
      </c>
    </row>
    <row r="286" spans="1:20" x14ac:dyDescent="0.25">
      <c r="A286" t="str">
        <f>F286&amp;"-"&amp;B286</f>
        <v>FIFAWC1978-15</v>
      </c>
      <c r="B286" s="4">
        <v>15</v>
      </c>
      <c r="C286" s="3">
        <v>28649</v>
      </c>
      <c r="D286" s="7">
        <v>0.11458333333333333</v>
      </c>
      <c r="E286">
        <v>1978</v>
      </c>
      <c r="F286" t="s">
        <v>1729</v>
      </c>
      <c r="G286" t="s">
        <v>1741</v>
      </c>
      <c r="H286" t="s">
        <v>1122</v>
      </c>
      <c r="I286" t="s">
        <v>1134</v>
      </c>
      <c r="J286" t="s">
        <v>33</v>
      </c>
      <c r="K286">
        <v>0</v>
      </c>
      <c r="L286">
        <v>0</v>
      </c>
      <c r="M286" t="s">
        <v>867</v>
      </c>
      <c r="O286" t="s">
        <v>1303</v>
      </c>
      <c r="P286" t="s">
        <v>1224</v>
      </c>
      <c r="Q286">
        <v>28125</v>
      </c>
      <c r="R286" t="s">
        <v>1157</v>
      </c>
      <c r="S286" t="str">
        <f>VLOOKUP(J286,Teams!A:B,2,FALSE)</f>
        <v>NED</v>
      </c>
      <c r="T286" t="str">
        <f>VLOOKUP(M286,Teams!A:B,2,FALSE)</f>
        <v>PER</v>
      </c>
    </row>
    <row r="287" spans="1:20" x14ac:dyDescent="0.25">
      <c r="A287" t="str">
        <f t="shared" si="5"/>
        <v>FIFAWC1978-16</v>
      </c>
      <c r="B287" s="4">
        <v>16</v>
      </c>
      <c r="C287" s="3">
        <v>28649</v>
      </c>
      <c r="D287" s="7">
        <v>0.11458333333333333</v>
      </c>
      <c r="E287">
        <v>1978</v>
      </c>
      <c r="F287" t="s">
        <v>1729</v>
      </c>
      <c r="G287" t="s">
        <v>1741</v>
      </c>
      <c r="H287" t="s">
        <v>1122</v>
      </c>
      <c r="I287" t="s">
        <v>1134</v>
      </c>
      <c r="J287" t="s">
        <v>1026</v>
      </c>
      <c r="K287">
        <v>1</v>
      </c>
      <c r="L287">
        <v>1</v>
      </c>
      <c r="M287" t="s">
        <v>1051</v>
      </c>
      <c r="O287" t="s">
        <v>1306</v>
      </c>
      <c r="P287" t="s">
        <v>1319</v>
      </c>
      <c r="Q287">
        <v>7938</v>
      </c>
      <c r="R287" t="s">
        <v>1157</v>
      </c>
      <c r="S287" t="str">
        <f>VLOOKUP(J287,Teams!A:B,2,FALSE)</f>
        <v>SCO</v>
      </c>
      <c r="T287" t="str">
        <f>VLOOKUP(M287,Teams!A:B,2,FALSE)</f>
        <v>IRN</v>
      </c>
    </row>
    <row r="288" spans="1:20" x14ac:dyDescent="0.25">
      <c r="A288" t="str">
        <f t="shared" si="5"/>
        <v>FIFAWC1978-17</v>
      </c>
      <c r="B288" s="4">
        <v>17</v>
      </c>
      <c r="C288" s="3">
        <v>28652</v>
      </c>
      <c r="D288" s="7">
        <v>4.8611111111111112E-2</v>
      </c>
      <c r="E288">
        <v>1978</v>
      </c>
      <c r="F288" t="s">
        <v>1729</v>
      </c>
      <c r="G288" t="s">
        <v>1741</v>
      </c>
      <c r="H288" t="s">
        <v>1122</v>
      </c>
      <c r="I288" t="s">
        <v>1131</v>
      </c>
      <c r="J288" t="s">
        <v>224</v>
      </c>
      <c r="K288">
        <v>3</v>
      </c>
      <c r="L288">
        <v>1</v>
      </c>
      <c r="M288" t="s">
        <v>297</v>
      </c>
      <c r="O288" t="s">
        <v>1314</v>
      </c>
      <c r="P288" t="s">
        <v>1209</v>
      </c>
      <c r="Q288">
        <v>23127</v>
      </c>
      <c r="R288" t="s">
        <v>1157</v>
      </c>
      <c r="S288" t="str">
        <f>VLOOKUP(J288,Teams!A:B,2,FALSE)</f>
        <v>FRA</v>
      </c>
      <c r="T288" t="str">
        <f>VLOOKUP(M288,Teams!A:B,2,FALSE)</f>
        <v>HUN</v>
      </c>
    </row>
    <row r="289" spans="1:20" x14ac:dyDescent="0.25">
      <c r="A289" t="str">
        <f>F289&amp;"-"&amp;B289</f>
        <v>FIFAWC1978-18</v>
      </c>
      <c r="B289" s="4">
        <v>18</v>
      </c>
      <c r="C289" s="3">
        <v>28652</v>
      </c>
      <c r="D289" s="7">
        <v>0.11458333333333333</v>
      </c>
      <c r="E289">
        <v>1978</v>
      </c>
      <c r="F289" t="s">
        <v>1729</v>
      </c>
      <c r="G289" t="s">
        <v>1741</v>
      </c>
      <c r="H289" t="s">
        <v>1122</v>
      </c>
      <c r="I289" t="s">
        <v>1132</v>
      </c>
      <c r="J289" t="s">
        <v>870</v>
      </c>
      <c r="K289">
        <v>3</v>
      </c>
      <c r="L289">
        <v>1</v>
      </c>
      <c r="M289" t="s">
        <v>845</v>
      </c>
      <c r="O289" t="s">
        <v>1301</v>
      </c>
      <c r="P289" t="s">
        <v>1317</v>
      </c>
      <c r="Q289">
        <v>22651</v>
      </c>
      <c r="R289" t="s">
        <v>1157</v>
      </c>
      <c r="S289" t="str">
        <f>VLOOKUP(J289,Teams!A:B,2,FALSE)</f>
        <v>POL</v>
      </c>
      <c r="T289" t="str">
        <f>VLOOKUP(M289,Teams!A:B,2,FALSE)</f>
        <v>MEX</v>
      </c>
    </row>
    <row r="290" spans="1:20" x14ac:dyDescent="0.25">
      <c r="A290" t="str">
        <f>F290&amp;"-"&amp;B290</f>
        <v>FIFAWC1978-19</v>
      </c>
      <c r="B290" s="4">
        <v>19</v>
      </c>
      <c r="C290" s="3">
        <v>28652</v>
      </c>
      <c r="D290" s="7">
        <v>0.11458333333333333</v>
      </c>
      <c r="E290">
        <v>1978</v>
      </c>
      <c r="F290" t="s">
        <v>1729</v>
      </c>
      <c r="G290" t="s">
        <v>1741</v>
      </c>
      <c r="H290" t="s">
        <v>1122</v>
      </c>
      <c r="I290" t="s">
        <v>1132</v>
      </c>
      <c r="J290" t="s">
        <v>797</v>
      </c>
      <c r="K290">
        <v>0</v>
      </c>
      <c r="L290">
        <v>0</v>
      </c>
      <c r="M290" t="s">
        <v>911</v>
      </c>
      <c r="O290" t="s">
        <v>1306</v>
      </c>
      <c r="P290" t="s">
        <v>1318</v>
      </c>
      <c r="Q290">
        <v>30667</v>
      </c>
      <c r="R290" t="s">
        <v>1157</v>
      </c>
      <c r="S290" t="str">
        <f>VLOOKUP(J290,Teams!A:B,2,FALSE)</f>
        <v>GER</v>
      </c>
      <c r="T290" t="str">
        <f>VLOOKUP(M290,Teams!A:B,2,FALSE)</f>
        <v>TUN</v>
      </c>
    </row>
    <row r="291" spans="1:20" x14ac:dyDescent="0.25">
      <c r="A291" t="str">
        <f t="shared" si="5"/>
        <v>FIFAWC1978-20</v>
      </c>
      <c r="B291" s="4">
        <v>20</v>
      </c>
      <c r="C291" s="3">
        <v>28652</v>
      </c>
      <c r="D291" s="7">
        <v>0.21875</v>
      </c>
      <c r="E291">
        <v>1978</v>
      </c>
      <c r="F291" t="s">
        <v>1729</v>
      </c>
      <c r="G291" t="s">
        <v>1741</v>
      </c>
      <c r="H291" t="s">
        <v>1122</v>
      </c>
      <c r="I291" t="s">
        <v>1131</v>
      </c>
      <c r="J291" t="s">
        <v>817</v>
      </c>
      <c r="K291">
        <v>1</v>
      </c>
      <c r="L291">
        <v>0</v>
      </c>
      <c r="M291" t="s">
        <v>749</v>
      </c>
      <c r="O291" t="s">
        <v>1299</v>
      </c>
      <c r="P291" t="s">
        <v>1217</v>
      </c>
      <c r="Q291">
        <v>71712</v>
      </c>
      <c r="R291" t="s">
        <v>1157</v>
      </c>
      <c r="S291" t="str">
        <f>VLOOKUP(J291,Teams!A:B,2,FALSE)</f>
        <v>ITA</v>
      </c>
      <c r="T291" t="str">
        <f>VLOOKUP(M291,Teams!A:B,2,FALSE)</f>
        <v>ARG</v>
      </c>
    </row>
    <row r="292" spans="1:20" x14ac:dyDescent="0.25">
      <c r="A292" t="str">
        <f>F292&amp;"-"&amp;B292</f>
        <v>FIFAWC1978-21</v>
      </c>
      <c r="B292" s="4">
        <v>21</v>
      </c>
      <c r="C292" s="3">
        <v>28652</v>
      </c>
      <c r="D292" s="7">
        <v>0.98958333333333337</v>
      </c>
      <c r="E292">
        <v>1978</v>
      </c>
      <c r="F292" t="s">
        <v>1729</v>
      </c>
      <c r="G292" t="s">
        <v>1741</v>
      </c>
      <c r="H292" t="s">
        <v>1122</v>
      </c>
      <c r="I292" t="s">
        <v>1133</v>
      </c>
      <c r="J292" t="s">
        <v>760</v>
      </c>
      <c r="K292">
        <v>1</v>
      </c>
      <c r="L292">
        <v>0</v>
      </c>
      <c r="M292" t="s">
        <v>751</v>
      </c>
      <c r="O292" t="s">
        <v>1314</v>
      </c>
      <c r="P292" t="s">
        <v>1302</v>
      </c>
      <c r="Q292">
        <v>35221</v>
      </c>
      <c r="R292" t="s">
        <v>1157</v>
      </c>
      <c r="S292" t="str">
        <f>VLOOKUP(J292,Teams!A:B,2,FALSE)</f>
        <v>BRA</v>
      </c>
      <c r="T292" t="str">
        <f>VLOOKUP(M292,Teams!A:B,2,FALSE)</f>
        <v>AUT</v>
      </c>
    </row>
    <row r="293" spans="1:20" x14ac:dyDescent="0.25">
      <c r="A293" t="str">
        <f t="shared" si="5"/>
        <v>FIFAWC1978-22</v>
      </c>
      <c r="B293" s="4">
        <v>22</v>
      </c>
      <c r="C293" s="3">
        <v>28652</v>
      </c>
      <c r="D293" s="7">
        <v>0.98958333333333337</v>
      </c>
      <c r="E293">
        <v>1978</v>
      </c>
      <c r="F293" t="s">
        <v>1729</v>
      </c>
      <c r="G293" t="s">
        <v>1741</v>
      </c>
      <c r="H293" t="s">
        <v>1122</v>
      </c>
      <c r="I293" t="s">
        <v>1133</v>
      </c>
      <c r="J293" t="s">
        <v>895</v>
      </c>
      <c r="K293">
        <v>1</v>
      </c>
      <c r="L293">
        <v>0</v>
      </c>
      <c r="M293" t="s">
        <v>900</v>
      </c>
      <c r="O293" t="s">
        <v>1315</v>
      </c>
      <c r="P293" t="s">
        <v>1316</v>
      </c>
      <c r="Q293">
        <v>46765</v>
      </c>
      <c r="R293" t="s">
        <v>1157</v>
      </c>
      <c r="S293" t="str">
        <f>VLOOKUP(J293,Teams!A:B,2,FALSE)</f>
        <v>ESP</v>
      </c>
      <c r="T293" t="str">
        <f>VLOOKUP(M293,Teams!A:B,2,FALSE)</f>
        <v>SWE</v>
      </c>
    </row>
    <row r="294" spans="1:20" x14ac:dyDescent="0.25">
      <c r="A294" t="str">
        <f t="shared" si="5"/>
        <v>FIFAWC1978-23</v>
      </c>
      <c r="B294" s="4">
        <v>23</v>
      </c>
      <c r="C294" s="3">
        <v>28653</v>
      </c>
      <c r="D294" s="7">
        <v>0.11458333333333333</v>
      </c>
      <c r="E294">
        <v>1978</v>
      </c>
      <c r="F294" t="s">
        <v>1729</v>
      </c>
      <c r="G294" t="s">
        <v>1741</v>
      </c>
      <c r="H294" t="s">
        <v>1122</v>
      </c>
      <c r="I294" t="s">
        <v>1134</v>
      </c>
      <c r="J294" t="s">
        <v>867</v>
      </c>
      <c r="K294">
        <v>4</v>
      </c>
      <c r="L294">
        <v>1</v>
      </c>
      <c r="M294" t="s">
        <v>1051</v>
      </c>
      <c r="O294" t="s">
        <v>1306</v>
      </c>
      <c r="P294" t="s">
        <v>1220</v>
      </c>
      <c r="Q294">
        <v>21262</v>
      </c>
      <c r="R294" t="s">
        <v>1157</v>
      </c>
      <c r="S294" t="str">
        <f>VLOOKUP(J294,Teams!A:B,2,FALSE)</f>
        <v>PER</v>
      </c>
      <c r="T294" t="str">
        <f>VLOOKUP(M294,Teams!A:B,2,FALSE)</f>
        <v>IRN</v>
      </c>
    </row>
    <row r="295" spans="1:20" x14ac:dyDescent="0.25">
      <c r="A295" t="str">
        <f t="shared" si="5"/>
        <v>FIFAWC1978-24</v>
      </c>
      <c r="B295" s="4">
        <v>24</v>
      </c>
      <c r="C295" s="3">
        <v>28653</v>
      </c>
      <c r="D295" s="7">
        <v>0.11458333333333333</v>
      </c>
      <c r="E295">
        <v>1978</v>
      </c>
      <c r="F295" t="s">
        <v>1729</v>
      </c>
      <c r="G295" t="s">
        <v>1741</v>
      </c>
      <c r="H295" t="s">
        <v>1122</v>
      </c>
      <c r="I295" t="s">
        <v>1134</v>
      </c>
      <c r="J295" t="s">
        <v>1026</v>
      </c>
      <c r="K295">
        <v>3</v>
      </c>
      <c r="L295">
        <v>2</v>
      </c>
      <c r="M295" t="s">
        <v>33</v>
      </c>
      <c r="O295" t="s">
        <v>1303</v>
      </c>
      <c r="P295" t="s">
        <v>1313</v>
      </c>
      <c r="Q295">
        <v>35130</v>
      </c>
      <c r="R295" t="s">
        <v>1157</v>
      </c>
      <c r="S295" t="str">
        <f>VLOOKUP(J295,Teams!A:B,2,FALSE)</f>
        <v>SCO</v>
      </c>
      <c r="T295" t="str">
        <f>VLOOKUP(M295,Teams!A:B,2,FALSE)</f>
        <v>NED</v>
      </c>
    </row>
    <row r="296" spans="1:20" x14ac:dyDescent="0.25">
      <c r="A296" t="str">
        <f t="shared" si="5"/>
        <v>FIFAWC1978-25</v>
      </c>
      <c r="B296" s="4">
        <v>25</v>
      </c>
      <c r="C296" s="3">
        <v>28655</v>
      </c>
      <c r="D296" s="7">
        <v>0.98958333333333337</v>
      </c>
      <c r="E296">
        <v>1978</v>
      </c>
      <c r="F296" t="s">
        <v>1729</v>
      </c>
      <c r="G296" t="s">
        <v>1741</v>
      </c>
      <c r="H296" t="s">
        <v>1122</v>
      </c>
      <c r="I296" t="s">
        <v>1743</v>
      </c>
      <c r="J296" t="s">
        <v>33</v>
      </c>
      <c r="K296">
        <v>5</v>
      </c>
      <c r="L296">
        <v>1</v>
      </c>
      <c r="M296" t="s">
        <v>751</v>
      </c>
      <c r="O296" t="s">
        <v>1306</v>
      </c>
      <c r="P296" t="s">
        <v>1312</v>
      </c>
      <c r="Q296">
        <v>25050</v>
      </c>
      <c r="R296" t="s">
        <v>1157</v>
      </c>
      <c r="S296" t="str">
        <f>VLOOKUP(J296,Teams!A:B,2,FALSE)</f>
        <v>NED</v>
      </c>
      <c r="T296" t="str">
        <f>VLOOKUP(M296,Teams!A:B,2,FALSE)</f>
        <v>AUT</v>
      </c>
    </row>
    <row r="297" spans="1:20" x14ac:dyDescent="0.25">
      <c r="A297" t="str">
        <f t="shared" si="5"/>
        <v>FIFAWC1978-26</v>
      </c>
      <c r="B297" s="4">
        <v>26</v>
      </c>
      <c r="C297" s="3">
        <v>28655</v>
      </c>
      <c r="D297" s="7">
        <v>0.98958333333333337</v>
      </c>
      <c r="E297">
        <v>1978</v>
      </c>
      <c r="F297" t="s">
        <v>1729</v>
      </c>
      <c r="G297" t="s">
        <v>1741</v>
      </c>
      <c r="H297" t="s">
        <v>1122</v>
      </c>
      <c r="I297" t="s">
        <v>1743</v>
      </c>
      <c r="J297" t="s">
        <v>797</v>
      </c>
      <c r="K297">
        <v>0</v>
      </c>
      <c r="L297">
        <v>0</v>
      </c>
      <c r="M297" t="s">
        <v>817</v>
      </c>
      <c r="O297" t="s">
        <v>1299</v>
      </c>
      <c r="P297" t="s">
        <v>1311</v>
      </c>
      <c r="Q297">
        <v>67547</v>
      </c>
      <c r="R297" t="s">
        <v>1157</v>
      </c>
      <c r="S297" t="str">
        <f>VLOOKUP(J297,Teams!A:B,2,FALSE)</f>
        <v>GER</v>
      </c>
      <c r="T297" t="str">
        <f>VLOOKUP(M297,Teams!A:B,2,FALSE)</f>
        <v>ITA</v>
      </c>
    </row>
    <row r="298" spans="1:20" x14ac:dyDescent="0.25">
      <c r="A298" t="str">
        <f t="shared" si="5"/>
        <v>FIFAWC1978-27</v>
      </c>
      <c r="B298" s="4">
        <v>27</v>
      </c>
      <c r="C298" s="3">
        <v>28656</v>
      </c>
      <c r="D298" s="7">
        <v>0.11458333333333333</v>
      </c>
      <c r="E298">
        <v>1978</v>
      </c>
      <c r="F298" t="s">
        <v>1729</v>
      </c>
      <c r="G298" t="s">
        <v>1741</v>
      </c>
      <c r="H298" t="s">
        <v>1122</v>
      </c>
      <c r="I298" t="s">
        <v>1742</v>
      </c>
      <c r="J298" t="s">
        <v>760</v>
      </c>
      <c r="K298">
        <v>3</v>
      </c>
      <c r="L298">
        <v>0</v>
      </c>
      <c r="M298" t="s">
        <v>867</v>
      </c>
      <c r="O298" t="s">
        <v>1303</v>
      </c>
      <c r="P298" t="s">
        <v>1226</v>
      </c>
      <c r="Q298">
        <v>31278</v>
      </c>
      <c r="R298" t="s">
        <v>1157</v>
      </c>
      <c r="S298" t="str">
        <f>VLOOKUP(J298,Teams!A:B,2,FALSE)</f>
        <v>BRA</v>
      </c>
      <c r="T298" t="str">
        <f>VLOOKUP(M298,Teams!A:B,2,FALSE)</f>
        <v>PER</v>
      </c>
    </row>
    <row r="299" spans="1:20" x14ac:dyDescent="0.25">
      <c r="A299" t="str">
        <f t="shared" si="5"/>
        <v>FIFAWC1978-28</v>
      </c>
      <c r="B299" s="4">
        <v>28</v>
      </c>
      <c r="C299" s="3">
        <v>28656</v>
      </c>
      <c r="D299" s="7">
        <v>0.23958333333333334</v>
      </c>
      <c r="E299">
        <v>1978</v>
      </c>
      <c r="F299" t="s">
        <v>1729</v>
      </c>
      <c r="G299" t="s">
        <v>1741</v>
      </c>
      <c r="H299" t="s">
        <v>1122</v>
      </c>
      <c r="I299" t="s">
        <v>1742</v>
      </c>
      <c r="J299" t="s">
        <v>749</v>
      </c>
      <c r="K299">
        <v>2</v>
      </c>
      <c r="L299">
        <v>0</v>
      </c>
      <c r="M299" t="s">
        <v>870</v>
      </c>
      <c r="O299" t="s">
        <v>1301</v>
      </c>
      <c r="P299" t="s">
        <v>1310</v>
      </c>
      <c r="Q299">
        <v>37091</v>
      </c>
      <c r="R299" t="s">
        <v>1157</v>
      </c>
      <c r="S299" t="str">
        <f>VLOOKUP(J299,Teams!A:B,2,FALSE)</f>
        <v>ARG</v>
      </c>
      <c r="T299" t="str">
        <f>VLOOKUP(M299,Teams!A:B,2,FALSE)</f>
        <v>POL</v>
      </c>
    </row>
    <row r="300" spans="1:20" x14ac:dyDescent="0.25">
      <c r="A300" t="str">
        <f>F300&amp;"-"&amp;B300</f>
        <v>FIFAWC1978-29</v>
      </c>
      <c r="B300" s="4">
        <v>29</v>
      </c>
      <c r="C300" s="3">
        <v>28659</v>
      </c>
      <c r="D300" s="7">
        <v>0.98958333333333337</v>
      </c>
      <c r="E300">
        <v>1978</v>
      </c>
      <c r="F300" t="s">
        <v>1729</v>
      </c>
      <c r="G300" t="s">
        <v>1741</v>
      </c>
      <c r="H300" t="s">
        <v>1122</v>
      </c>
      <c r="I300" t="s">
        <v>1742</v>
      </c>
      <c r="J300" t="s">
        <v>870</v>
      </c>
      <c r="K300">
        <v>1</v>
      </c>
      <c r="L300">
        <v>0</v>
      </c>
      <c r="M300" t="s">
        <v>867</v>
      </c>
      <c r="O300" t="s">
        <v>1303</v>
      </c>
      <c r="P300" t="s">
        <v>1307</v>
      </c>
      <c r="Q300">
        <v>35288</v>
      </c>
      <c r="R300" t="s">
        <v>1157</v>
      </c>
      <c r="S300" t="str">
        <f>VLOOKUP(J300,Teams!A:B,2,FALSE)</f>
        <v>POL</v>
      </c>
      <c r="T300" t="str">
        <f>VLOOKUP(M300,Teams!A:B,2,FALSE)</f>
        <v>PER</v>
      </c>
    </row>
    <row r="301" spans="1:20" x14ac:dyDescent="0.25">
      <c r="A301" t="str">
        <f t="shared" si="5"/>
        <v>FIFAWC1978-30</v>
      </c>
      <c r="B301" s="4">
        <v>30</v>
      </c>
      <c r="C301" s="3">
        <v>28660</v>
      </c>
      <c r="D301" s="7">
        <v>0.11458333333333333</v>
      </c>
      <c r="E301">
        <v>1978</v>
      </c>
      <c r="F301" t="s">
        <v>1729</v>
      </c>
      <c r="G301" t="s">
        <v>1741</v>
      </c>
      <c r="H301" t="s">
        <v>1122</v>
      </c>
      <c r="I301" t="s">
        <v>1743</v>
      </c>
      <c r="J301" t="s">
        <v>797</v>
      </c>
      <c r="K301">
        <v>2</v>
      </c>
      <c r="L301">
        <v>2</v>
      </c>
      <c r="M301" t="s">
        <v>33</v>
      </c>
      <c r="O301" t="s">
        <v>1306</v>
      </c>
      <c r="P301" t="s">
        <v>1309</v>
      </c>
      <c r="Q301">
        <v>40750</v>
      </c>
      <c r="R301" t="s">
        <v>1157</v>
      </c>
      <c r="S301" t="str">
        <f>VLOOKUP(J301,Teams!A:B,2,FALSE)</f>
        <v>GER</v>
      </c>
      <c r="T301" t="str">
        <f>VLOOKUP(M301,Teams!A:B,2,FALSE)</f>
        <v>NED</v>
      </c>
    </row>
    <row r="302" spans="1:20" x14ac:dyDescent="0.25">
      <c r="A302" t="str">
        <f t="shared" si="5"/>
        <v>FIFAWC1978-31</v>
      </c>
      <c r="B302" s="4">
        <v>31</v>
      </c>
      <c r="C302" s="3">
        <v>28660</v>
      </c>
      <c r="D302" s="7">
        <v>0.11458333333333333</v>
      </c>
      <c r="E302">
        <v>1978</v>
      </c>
      <c r="F302" t="s">
        <v>1729</v>
      </c>
      <c r="G302" t="s">
        <v>1741</v>
      </c>
      <c r="H302" t="s">
        <v>1122</v>
      </c>
      <c r="I302" t="s">
        <v>1743</v>
      </c>
      <c r="J302" t="s">
        <v>817</v>
      </c>
      <c r="K302">
        <v>1</v>
      </c>
      <c r="L302">
        <v>0</v>
      </c>
      <c r="M302" t="s">
        <v>751</v>
      </c>
      <c r="O302" t="s">
        <v>1299</v>
      </c>
      <c r="P302" t="s">
        <v>1308</v>
      </c>
      <c r="Q302">
        <v>66695</v>
      </c>
      <c r="R302" t="s">
        <v>1157</v>
      </c>
      <c r="S302" t="str">
        <f>VLOOKUP(J302,Teams!A:B,2,FALSE)</f>
        <v>ITA</v>
      </c>
      <c r="T302" t="str">
        <f>VLOOKUP(M302,Teams!A:B,2,FALSE)</f>
        <v>AUT</v>
      </c>
    </row>
    <row r="303" spans="1:20" x14ac:dyDescent="0.25">
      <c r="A303" t="str">
        <f t="shared" si="5"/>
        <v>FIFAWC1978-32</v>
      </c>
      <c r="B303" s="4">
        <v>32</v>
      </c>
      <c r="C303" s="3">
        <v>28660</v>
      </c>
      <c r="D303" s="7">
        <v>0.21875</v>
      </c>
      <c r="E303">
        <v>1978</v>
      </c>
      <c r="F303" t="s">
        <v>1729</v>
      </c>
      <c r="G303" t="s">
        <v>1741</v>
      </c>
      <c r="H303" t="s">
        <v>1122</v>
      </c>
      <c r="I303" t="s">
        <v>1742</v>
      </c>
      <c r="J303" t="s">
        <v>749</v>
      </c>
      <c r="K303">
        <v>0</v>
      </c>
      <c r="L303">
        <v>0</v>
      </c>
      <c r="M303" t="s">
        <v>760</v>
      </c>
      <c r="O303" t="s">
        <v>1301</v>
      </c>
      <c r="P303" t="s">
        <v>1227</v>
      </c>
      <c r="Q303">
        <v>37326</v>
      </c>
      <c r="R303" t="s">
        <v>1157</v>
      </c>
      <c r="S303" t="str">
        <f>VLOOKUP(J303,Teams!A:B,2,FALSE)</f>
        <v>ARG</v>
      </c>
      <c r="T303" t="str">
        <f>VLOOKUP(M303,Teams!A:B,2,FALSE)</f>
        <v>BRA</v>
      </c>
    </row>
    <row r="304" spans="1:20" x14ac:dyDescent="0.25">
      <c r="A304" t="str">
        <f t="shared" si="5"/>
        <v>FIFAWC1978-33</v>
      </c>
      <c r="B304" s="4">
        <v>33</v>
      </c>
      <c r="C304" s="3">
        <v>28662</v>
      </c>
      <c r="D304" s="7">
        <v>0.98958333333333337</v>
      </c>
      <c r="E304">
        <v>1978</v>
      </c>
      <c r="F304" t="s">
        <v>1729</v>
      </c>
      <c r="G304" t="s">
        <v>1741</v>
      </c>
      <c r="H304" t="s">
        <v>1122</v>
      </c>
      <c r="I304" t="s">
        <v>1743</v>
      </c>
      <c r="J304" t="s">
        <v>751</v>
      </c>
      <c r="K304">
        <v>3</v>
      </c>
      <c r="L304">
        <v>2</v>
      </c>
      <c r="M304" t="s">
        <v>797</v>
      </c>
      <c r="O304" t="s">
        <v>1306</v>
      </c>
      <c r="P304" t="s">
        <v>1217</v>
      </c>
      <c r="Q304">
        <v>38318</v>
      </c>
      <c r="R304" t="s">
        <v>1157</v>
      </c>
      <c r="S304" t="str">
        <f>VLOOKUP(J304,Teams!A:B,2,FALSE)</f>
        <v>AUT</v>
      </c>
      <c r="T304" t="str">
        <f>VLOOKUP(M304,Teams!A:B,2,FALSE)</f>
        <v>GER</v>
      </c>
    </row>
    <row r="305" spans="1:20" x14ac:dyDescent="0.25">
      <c r="A305" t="str">
        <f t="shared" si="5"/>
        <v>FIFAWC1978-34</v>
      </c>
      <c r="B305" s="4">
        <v>34</v>
      </c>
      <c r="C305" s="3">
        <v>28662</v>
      </c>
      <c r="D305" s="7">
        <v>0.98958333333333337</v>
      </c>
      <c r="E305">
        <v>1978</v>
      </c>
      <c r="F305" t="s">
        <v>1729</v>
      </c>
      <c r="G305" t="s">
        <v>1741</v>
      </c>
      <c r="H305" t="s">
        <v>1122</v>
      </c>
      <c r="I305" t="s">
        <v>1743</v>
      </c>
      <c r="J305" t="s">
        <v>33</v>
      </c>
      <c r="K305">
        <v>2</v>
      </c>
      <c r="L305">
        <v>1</v>
      </c>
      <c r="M305" t="s">
        <v>817</v>
      </c>
      <c r="O305" t="s">
        <v>1299</v>
      </c>
      <c r="P305" t="s">
        <v>1305</v>
      </c>
      <c r="Q305">
        <v>67433</v>
      </c>
      <c r="R305" t="s">
        <v>1157</v>
      </c>
      <c r="S305" t="str">
        <f>VLOOKUP(J305,Teams!A:B,2,FALSE)</f>
        <v>NED</v>
      </c>
      <c r="T305" t="str">
        <f>VLOOKUP(M305,Teams!A:B,2,FALSE)</f>
        <v>ITA</v>
      </c>
    </row>
    <row r="306" spans="1:20" x14ac:dyDescent="0.25">
      <c r="A306" t="str">
        <f>F306&amp;"-"&amp;B306</f>
        <v>FIFAWC1978-35</v>
      </c>
      <c r="B306" s="4">
        <v>35</v>
      </c>
      <c r="C306" s="3">
        <v>28663</v>
      </c>
      <c r="D306" s="7">
        <v>0.11458333333333333</v>
      </c>
      <c r="E306">
        <v>1978</v>
      </c>
      <c r="F306" t="s">
        <v>1729</v>
      </c>
      <c r="G306" t="s">
        <v>1741</v>
      </c>
      <c r="H306" t="s">
        <v>1122</v>
      </c>
      <c r="I306" t="s">
        <v>1742</v>
      </c>
      <c r="J306" t="s">
        <v>760</v>
      </c>
      <c r="K306">
        <v>3</v>
      </c>
      <c r="L306">
        <v>1</v>
      </c>
      <c r="M306" t="s">
        <v>870</v>
      </c>
      <c r="O306" t="s">
        <v>1303</v>
      </c>
      <c r="P306" t="s">
        <v>1304</v>
      </c>
      <c r="Q306">
        <v>39586</v>
      </c>
      <c r="R306" t="s">
        <v>1157</v>
      </c>
      <c r="S306" t="str">
        <f>VLOOKUP(J306,Teams!A:B,2,FALSE)</f>
        <v>BRA</v>
      </c>
      <c r="T306" t="str">
        <f>VLOOKUP(M306,Teams!A:B,2,FALSE)</f>
        <v>POL</v>
      </c>
    </row>
    <row r="307" spans="1:20" x14ac:dyDescent="0.25">
      <c r="A307" t="str">
        <f t="shared" si="5"/>
        <v>FIFAWC1978-36</v>
      </c>
      <c r="B307" s="4">
        <v>36</v>
      </c>
      <c r="C307" s="3">
        <v>28663</v>
      </c>
      <c r="D307" s="7">
        <v>0.21875</v>
      </c>
      <c r="E307">
        <v>1978</v>
      </c>
      <c r="F307" t="s">
        <v>1729</v>
      </c>
      <c r="G307" t="s">
        <v>1741</v>
      </c>
      <c r="H307" t="s">
        <v>1122</v>
      </c>
      <c r="I307" t="s">
        <v>1742</v>
      </c>
      <c r="J307" t="s">
        <v>749</v>
      </c>
      <c r="K307">
        <v>6</v>
      </c>
      <c r="L307">
        <v>0</v>
      </c>
      <c r="M307" t="s">
        <v>867</v>
      </c>
      <c r="O307" t="s">
        <v>1301</v>
      </c>
      <c r="P307" t="s">
        <v>1302</v>
      </c>
      <c r="Q307">
        <v>37315</v>
      </c>
      <c r="R307" t="s">
        <v>1157</v>
      </c>
      <c r="S307" t="str">
        <f>VLOOKUP(J307,Teams!A:B,2,FALSE)</f>
        <v>ARG</v>
      </c>
      <c r="T307" t="str">
        <f>VLOOKUP(M307,Teams!A:B,2,FALSE)</f>
        <v>PER</v>
      </c>
    </row>
    <row r="308" spans="1:20" x14ac:dyDescent="0.25">
      <c r="A308" t="str">
        <f t="shared" si="5"/>
        <v>FIFAWC1978-37</v>
      </c>
      <c r="B308" s="4">
        <v>37</v>
      </c>
      <c r="C308" s="3">
        <v>28666</v>
      </c>
      <c r="D308" s="7">
        <v>4.1666666666666664E-2</v>
      </c>
      <c r="E308">
        <v>1978</v>
      </c>
      <c r="F308" t="s">
        <v>1729</v>
      </c>
      <c r="G308" t="s">
        <v>1741</v>
      </c>
      <c r="H308" t="s">
        <v>1759</v>
      </c>
      <c r="I308" t="s">
        <v>1018</v>
      </c>
      <c r="J308" t="s">
        <v>760</v>
      </c>
      <c r="K308">
        <v>2</v>
      </c>
      <c r="L308">
        <v>1</v>
      </c>
      <c r="M308" t="s">
        <v>817</v>
      </c>
      <c r="O308" t="s">
        <v>1299</v>
      </c>
      <c r="P308" t="s">
        <v>1217</v>
      </c>
      <c r="Q308">
        <v>69659</v>
      </c>
      <c r="R308" t="s">
        <v>1157</v>
      </c>
      <c r="S308" t="str">
        <f>VLOOKUP(J308,Teams!A:B,2,FALSE)</f>
        <v>BRA</v>
      </c>
      <c r="T308" t="str">
        <f>VLOOKUP(M308,Teams!A:B,2,FALSE)</f>
        <v>ITA</v>
      </c>
    </row>
    <row r="309" spans="1:20" x14ac:dyDescent="0.25">
      <c r="A309" t="str">
        <f t="shared" si="5"/>
        <v>FIFAWC1978-38</v>
      </c>
      <c r="B309" s="4">
        <v>38</v>
      </c>
      <c r="C309" s="3">
        <v>28667</v>
      </c>
      <c r="D309" s="7">
        <v>4.1666666666666664E-2</v>
      </c>
      <c r="E309">
        <v>1978</v>
      </c>
      <c r="F309" t="s">
        <v>1729</v>
      </c>
      <c r="G309" t="s">
        <v>1741</v>
      </c>
      <c r="H309" t="s">
        <v>1759</v>
      </c>
      <c r="I309" t="s">
        <v>1141</v>
      </c>
      <c r="J309" t="s">
        <v>749</v>
      </c>
      <c r="K309">
        <v>3</v>
      </c>
      <c r="L309">
        <v>1</v>
      </c>
      <c r="M309" t="s">
        <v>33</v>
      </c>
      <c r="O309" t="s">
        <v>1299</v>
      </c>
      <c r="P309" t="s">
        <v>1300</v>
      </c>
      <c r="Q309">
        <v>71483</v>
      </c>
      <c r="R309" t="s">
        <v>1157</v>
      </c>
      <c r="S309" t="str">
        <f>VLOOKUP(J309,Teams!A:B,2,FALSE)</f>
        <v>ARG</v>
      </c>
      <c r="T309" t="str">
        <f>VLOOKUP(M309,Teams!A:B,2,FALSE)</f>
        <v>NED</v>
      </c>
    </row>
    <row r="310" spans="1:20" x14ac:dyDescent="0.25">
      <c r="A310" t="str">
        <f t="shared" si="5"/>
        <v>FIFAWC1982-1</v>
      </c>
      <c r="B310" s="4">
        <v>1</v>
      </c>
      <c r="C310" s="3">
        <v>30116</v>
      </c>
      <c r="D310" s="7">
        <v>4.1666666666666664E-2</v>
      </c>
      <c r="E310">
        <v>1982</v>
      </c>
      <c r="F310" t="s">
        <v>1730</v>
      </c>
      <c r="G310" t="s">
        <v>1741</v>
      </c>
      <c r="H310" t="s">
        <v>1122</v>
      </c>
      <c r="I310" t="s">
        <v>1133</v>
      </c>
      <c r="J310" t="s">
        <v>749</v>
      </c>
      <c r="K310">
        <v>0</v>
      </c>
      <c r="L310">
        <v>1</v>
      </c>
      <c r="M310" t="s">
        <v>756</v>
      </c>
      <c r="O310" t="s">
        <v>1214</v>
      </c>
      <c r="P310" t="s">
        <v>1197</v>
      </c>
      <c r="Q310">
        <v>95500</v>
      </c>
      <c r="R310" t="s">
        <v>1157</v>
      </c>
      <c r="S310" t="str">
        <f>VLOOKUP(J310,Teams!A:B,2,FALSE)</f>
        <v>ARG</v>
      </c>
      <c r="T310" t="str">
        <f>VLOOKUP(M310,Teams!A:B,2,FALSE)</f>
        <v>BEL</v>
      </c>
    </row>
    <row r="311" spans="1:20" x14ac:dyDescent="0.25">
      <c r="A311" t="str">
        <f t="shared" si="5"/>
        <v>FIFAWC1982-2</v>
      </c>
      <c r="B311" s="4">
        <v>2</v>
      </c>
      <c r="C311" s="3">
        <v>30116</v>
      </c>
      <c r="D311" s="7">
        <v>0.94791666666666663</v>
      </c>
      <c r="E311">
        <v>1982</v>
      </c>
      <c r="F311" t="s">
        <v>1730</v>
      </c>
      <c r="G311" t="s">
        <v>1741</v>
      </c>
      <c r="H311" t="s">
        <v>1122</v>
      </c>
      <c r="I311" t="s">
        <v>1131</v>
      </c>
      <c r="J311" t="s">
        <v>817</v>
      </c>
      <c r="K311">
        <v>0</v>
      </c>
      <c r="L311">
        <v>0</v>
      </c>
      <c r="M311" t="s">
        <v>870</v>
      </c>
      <c r="O311" t="s">
        <v>1279</v>
      </c>
      <c r="P311" t="s">
        <v>1225</v>
      </c>
      <c r="Q311">
        <v>33000</v>
      </c>
      <c r="R311" t="s">
        <v>1157</v>
      </c>
      <c r="S311" t="str">
        <f>VLOOKUP(J311,Teams!A:B,2,FALSE)</f>
        <v>ITA</v>
      </c>
      <c r="T311" t="str">
        <f>VLOOKUP(M311,Teams!A:B,2,FALSE)</f>
        <v>POL</v>
      </c>
    </row>
    <row r="312" spans="1:20" x14ac:dyDescent="0.25">
      <c r="A312" t="str">
        <f t="shared" si="5"/>
        <v>FIFAWC1982-3</v>
      </c>
      <c r="B312" s="4">
        <v>3</v>
      </c>
      <c r="C312" s="3">
        <v>30117</v>
      </c>
      <c r="D312" s="7">
        <v>0.11458333333333333</v>
      </c>
      <c r="E312">
        <v>1982</v>
      </c>
      <c r="F312" t="s">
        <v>1730</v>
      </c>
      <c r="G312" t="s">
        <v>1741</v>
      </c>
      <c r="H312" t="s">
        <v>1122</v>
      </c>
      <c r="I312" t="s">
        <v>1136</v>
      </c>
      <c r="J312" t="s">
        <v>760</v>
      </c>
      <c r="K312">
        <v>2</v>
      </c>
      <c r="L312">
        <v>1</v>
      </c>
      <c r="M312" t="s">
        <v>1754</v>
      </c>
      <c r="O312" t="s">
        <v>1212</v>
      </c>
      <c r="P312" t="s">
        <v>1298</v>
      </c>
      <c r="Q312">
        <v>68000</v>
      </c>
      <c r="R312" t="s">
        <v>1157</v>
      </c>
      <c r="S312" t="str">
        <f>VLOOKUP(J312,Teams!A:B,2,FALSE)</f>
        <v>BRA</v>
      </c>
      <c r="T312" t="str">
        <f>VLOOKUP(M312,Teams!A:B,2,FALSE)</f>
        <v>URS</v>
      </c>
    </row>
    <row r="313" spans="1:20" x14ac:dyDescent="0.25">
      <c r="A313" t="str">
        <f t="shared" si="5"/>
        <v>FIFAWC1982-4</v>
      </c>
      <c r="B313" s="4">
        <v>4</v>
      </c>
      <c r="C313" s="3">
        <v>30117</v>
      </c>
      <c r="D313" s="7">
        <v>0.94791666666666663</v>
      </c>
      <c r="E313">
        <v>1982</v>
      </c>
      <c r="F313" t="s">
        <v>1730</v>
      </c>
      <c r="G313" t="s">
        <v>1741</v>
      </c>
      <c r="H313" t="s">
        <v>1122</v>
      </c>
      <c r="I313" t="s">
        <v>1131</v>
      </c>
      <c r="J313" t="s">
        <v>867</v>
      </c>
      <c r="K313">
        <v>0</v>
      </c>
      <c r="L313">
        <v>0</v>
      </c>
      <c r="M313" t="s">
        <v>764</v>
      </c>
      <c r="O313" t="s">
        <v>1283</v>
      </c>
      <c r="P313" t="s">
        <v>1297</v>
      </c>
      <c r="Q313">
        <v>11000</v>
      </c>
      <c r="R313" t="s">
        <v>1157</v>
      </c>
      <c r="S313" t="str">
        <f>VLOOKUP(J313,Teams!A:B,2,FALSE)</f>
        <v>PER</v>
      </c>
      <c r="T313" t="str">
        <f>VLOOKUP(M313,Teams!A:B,2,FALSE)</f>
        <v>CMR</v>
      </c>
    </row>
    <row r="314" spans="1:20" x14ac:dyDescent="0.25">
      <c r="A314" t="str">
        <f>F314&amp;"-"&amp;B314</f>
        <v>FIFAWC1982-5</v>
      </c>
      <c r="B314" s="4">
        <v>5</v>
      </c>
      <c r="C314" s="3">
        <v>30118</v>
      </c>
      <c r="D314" s="7">
        <v>8.3333333333333329E-2</v>
      </c>
      <c r="E314">
        <v>1982</v>
      </c>
      <c r="F314" t="s">
        <v>1730</v>
      </c>
      <c r="G314" t="s">
        <v>1741</v>
      </c>
      <c r="H314" t="s">
        <v>1122</v>
      </c>
      <c r="I314" t="s">
        <v>1136</v>
      </c>
      <c r="J314" t="s">
        <v>1026</v>
      </c>
      <c r="K314">
        <v>5</v>
      </c>
      <c r="L314">
        <v>2</v>
      </c>
      <c r="M314" t="s">
        <v>147</v>
      </c>
      <c r="O314" t="s">
        <v>1280</v>
      </c>
      <c r="P314" t="s">
        <v>1263</v>
      </c>
      <c r="Q314">
        <v>36000</v>
      </c>
      <c r="R314" t="s">
        <v>1157</v>
      </c>
      <c r="S314" t="str">
        <f>VLOOKUP(J314,Teams!A:B,2,FALSE)</f>
        <v>SCO</v>
      </c>
      <c r="T314" t="str">
        <f>VLOOKUP(M314,Teams!A:B,2,FALSE)</f>
        <v>NZL</v>
      </c>
    </row>
    <row r="315" spans="1:20" x14ac:dyDescent="0.25">
      <c r="A315" t="str">
        <f t="shared" si="5"/>
        <v>FIFAWC1982-6</v>
      </c>
      <c r="B315" s="4">
        <v>6</v>
      </c>
      <c r="C315" s="3">
        <v>30118</v>
      </c>
      <c r="D315" s="7">
        <v>8.3333333333333329E-2</v>
      </c>
      <c r="E315">
        <v>1982</v>
      </c>
      <c r="F315" t="s">
        <v>1730</v>
      </c>
      <c r="G315" t="s">
        <v>1741</v>
      </c>
      <c r="H315" t="s">
        <v>1122</v>
      </c>
      <c r="I315" t="s">
        <v>1133</v>
      </c>
      <c r="J315" t="s">
        <v>297</v>
      </c>
      <c r="K315">
        <v>10</v>
      </c>
      <c r="L315">
        <v>1</v>
      </c>
      <c r="M315" t="s">
        <v>784</v>
      </c>
      <c r="O315" t="s">
        <v>1281</v>
      </c>
      <c r="P315" t="s">
        <v>1296</v>
      </c>
      <c r="Q315">
        <v>23000</v>
      </c>
      <c r="R315" t="s">
        <v>1157</v>
      </c>
      <c r="S315" t="str">
        <f>VLOOKUP(J315,Teams!A:B,2,FALSE)</f>
        <v>HUN</v>
      </c>
      <c r="T315" t="str">
        <f>VLOOKUP(M315,Teams!A:B,2,FALSE)</f>
        <v>SLV</v>
      </c>
    </row>
    <row r="316" spans="1:20" x14ac:dyDescent="0.25">
      <c r="A316" t="str">
        <f>F316&amp;"-"&amp;B316</f>
        <v>FIFAWC1982-7</v>
      </c>
      <c r="B316" s="4">
        <v>7</v>
      </c>
      <c r="C316" s="3">
        <v>30118</v>
      </c>
      <c r="D316" s="7">
        <v>0.94791666666666663</v>
      </c>
      <c r="E316">
        <v>1982</v>
      </c>
      <c r="F316" t="s">
        <v>1730</v>
      </c>
      <c r="G316" t="s">
        <v>1741</v>
      </c>
      <c r="H316" t="s">
        <v>1122</v>
      </c>
      <c r="I316" t="s">
        <v>1134</v>
      </c>
      <c r="J316" t="s">
        <v>1021</v>
      </c>
      <c r="K316">
        <v>3</v>
      </c>
      <c r="L316">
        <v>1</v>
      </c>
      <c r="M316" t="s">
        <v>224</v>
      </c>
      <c r="O316" t="s">
        <v>1269</v>
      </c>
      <c r="P316" t="s">
        <v>1211</v>
      </c>
      <c r="Q316">
        <v>44172</v>
      </c>
      <c r="R316" t="s">
        <v>1157</v>
      </c>
      <c r="S316" t="str">
        <f>VLOOKUP(J316,Teams!A:B,2,FALSE)</f>
        <v>ENG</v>
      </c>
      <c r="T316" t="str">
        <f>VLOOKUP(M316,Teams!A:B,2,FALSE)</f>
        <v>FRA</v>
      </c>
    </row>
    <row r="317" spans="1:20" x14ac:dyDescent="0.25">
      <c r="A317" t="str">
        <f t="shared" si="5"/>
        <v>FIFAWC1982-8</v>
      </c>
      <c r="B317" s="4">
        <v>8</v>
      </c>
      <c r="C317" s="3">
        <v>30118</v>
      </c>
      <c r="D317" s="7">
        <v>0.94791666666666663</v>
      </c>
      <c r="E317">
        <v>1982</v>
      </c>
      <c r="F317" t="s">
        <v>1730</v>
      </c>
      <c r="G317" t="s">
        <v>1741</v>
      </c>
      <c r="H317" t="s">
        <v>1122</v>
      </c>
      <c r="I317" t="s">
        <v>1132</v>
      </c>
      <c r="J317" t="s">
        <v>797</v>
      </c>
      <c r="K317">
        <v>1</v>
      </c>
      <c r="L317">
        <v>2</v>
      </c>
      <c r="M317" t="s">
        <v>745</v>
      </c>
      <c r="O317" t="s">
        <v>1271</v>
      </c>
      <c r="P317" t="s">
        <v>1295</v>
      </c>
      <c r="Q317">
        <v>42000</v>
      </c>
      <c r="R317" t="s">
        <v>1157</v>
      </c>
      <c r="S317" t="str">
        <f>VLOOKUP(J317,Teams!A:B,2,FALSE)</f>
        <v>GER</v>
      </c>
      <c r="T317" t="str">
        <f>VLOOKUP(M317,Teams!A:B,2,FALSE)</f>
        <v>ALG</v>
      </c>
    </row>
    <row r="318" spans="1:20" x14ac:dyDescent="0.25">
      <c r="A318" t="str">
        <f t="shared" si="5"/>
        <v>FIFAWC1982-9</v>
      </c>
      <c r="B318" s="4">
        <v>9</v>
      </c>
      <c r="C318" s="3">
        <v>30119</v>
      </c>
      <c r="D318" s="7">
        <v>8.3333333333333329E-2</v>
      </c>
      <c r="E318">
        <v>1982</v>
      </c>
      <c r="F318" t="s">
        <v>1730</v>
      </c>
      <c r="G318" t="s">
        <v>1741</v>
      </c>
      <c r="H318" t="s">
        <v>1122</v>
      </c>
      <c r="I318" t="s">
        <v>1135</v>
      </c>
      <c r="J318" t="s">
        <v>895</v>
      </c>
      <c r="K318">
        <v>1</v>
      </c>
      <c r="L318">
        <v>1</v>
      </c>
      <c r="M318" t="s">
        <v>810</v>
      </c>
      <c r="O318" t="s">
        <v>1267</v>
      </c>
      <c r="P318" t="s">
        <v>1294</v>
      </c>
      <c r="Q318">
        <v>49562</v>
      </c>
      <c r="R318" t="s">
        <v>1157</v>
      </c>
      <c r="S318" t="str">
        <f>VLOOKUP(J318,Teams!A:B,2,FALSE)</f>
        <v>ESP</v>
      </c>
      <c r="T318" t="str">
        <f>VLOOKUP(M318,Teams!A:B,2,FALSE)</f>
        <v>HON</v>
      </c>
    </row>
    <row r="319" spans="1:20" x14ac:dyDescent="0.25">
      <c r="A319" t="str">
        <f t="shared" si="5"/>
        <v>FIFAWC1982-10</v>
      </c>
      <c r="B319" s="4">
        <v>10</v>
      </c>
      <c r="C319" s="3">
        <v>30119</v>
      </c>
      <c r="D319" s="7">
        <v>0.92708333333333337</v>
      </c>
      <c r="E319">
        <v>1982</v>
      </c>
      <c r="F319" t="s">
        <v>1730</v>
      </c>
      <c r="G319" t="s">
        <v>1741</v>
      </c>
      <c r="H319" t="s">
        <v>1122</v>
      </c>
      <c r="I319" t="s">
        <v>1132</v>
      </c>
      <c r="J319" t="s">
        <v>768</v>
      </c>
      <c r="K319">
        <v>0</v>
      </c>
      <c r="L319">
        <v>1</v>
      </c>
      <c r="M319" t="s">
        <v>751</v>
      </c>
      <c r="O319" t="s">
        <v>1275</v>
      </c>
      <c r="P319" t="s">
        <v>1215</v>
      </c>
      <c r="Q319">
        <v>22500</v>
      </c>
      <c r="R319" t="s">
        <v>1157</v>
      </c>
      <c r="S319" t="str">
        <f>VLOOKUP(J319,Teams!A:B,2,FALSE)</f>
        <v>CHI</v>
      </c>
      <c r="T319" t="str">
        <f>VLOOKUP(M319,Teams!A:B,2,FALSE)</f>
        <v>AUT</v>
      </c>
    </row>
    <row r="320" spans="1:20" x14ac:dyDescent="0.25">
      <c r="A320" t="str">
        <f t="shared" si="5"/>
        <v>FIFAWC1982-11</v>
      </c>
      <c r="B320" s="4">
        <v>11</v>
      </c>
      <c r="C320" s="3">
        <v>30119</v>
      </c>
      <c r="D320" s="7">
        <v>0.94791666666666663</v>
      </c>
      <c r="E320">
        <v>1982</v>
      </c>
      <c r="F320" t="s">
        <v>1730</v>
      </c>
      <c r="G320" t="s">
        <v>1741</v>
      </c>
      <c r="H320" t="s">
        <v>1122</v>
      </c>
      <c r="I320" t="s">
        <v>1134</v>
      </c>
      <c r="J320" t="s">
        <v>1037</v>
      </c>
      <c r="K320">
        <v>1</v>
      </c>
      <c r="L320">
        <v>1</v>
      </c>
      <c r="M320" t="s">
        <v>823</v>
      </c>
      <c r="O320" t="s">
        <v>1274</v>
      </c>
      <c r="P320" t="s">
        <v>1293</v>
      </c>
      <c r="Q320">
        <v>25000</v>
      </c>
      <c r="R320" t="s">
        <v>1157</v>
      </c>
      <c r="S320" t="str">
        <f>VLOOKUP(J320,Teams!A:B,2,FALSE)</f>
        <v>TCH</v>
      </c>
      <c r="T320" t="str">
        <f>VLOOKUP(M320,Teams!A:B,2,FALSE)</f>
        <v>KUW</v>
      </c>
    </row>
    <row r="321" spans="1:20" x14ac:dyDescent="0.25">
      <c r="A321" t="str">
        <f t="shared" si="5"/>
        <v>FIFAWC1982-12</v>
      </c>
      <c r="B321" s="4">
        <v>12</v>
      </c>
      <c r="C321" s="3">
        <v>30120</v>
      </c>
      <c r="D321" s="7">
        <v>8.3333333333333329E-2</v>
      </c>
      <c r="E321">
        <v>1982</v>
      </c>
      <c r="F321" t="s">
        <v>1730</v>
      </c>
      <c r="G321" t="s">
        <v>1741</v>
      </c>
      <c r="H321" t="s">
        <v>1122</v>
      </c>
      <c r="I321" t="s">
        <v>1135</v>
      </c>
      <c r="J321" t="s">
        <v>1234</v>
      </c>
      <c r="K321">
        <v>0</v>
      </c>
      <c r="L321">
        <v>0</v>
      </c>
      <c r="M321" t="s">
        <v>1033</v>
      </c>
      <c r="O321" t="s">
        <v>1272</v>
      </c>
      <c r="P321" t="s">
        <v>1207</v>
      </c>
      <c r="Q321">
        <v>25000</v>
      </c>
      <c r="R321" t="s">
        <v>1157</v>
      </c>
      <c r="S321" t="str">
        <f>VLOOKUP(J321,Teams!A:B,2,FALSE)</f>
        <v>YUG</v>
      </c>
      <c r="T321" t="str">
        <f>VLOOKUP(M321,Teams!A:B,2,FALSE)</f>
        <v>NIR</v>
      </c>
    </row>
    <row r="322" spans="1:20" x14ac:dyDescent="0.25">
      <c r="A322" t="str">
        <f t="shared" si="5"/>
        <v>FIFAWC1982-13</v>
      </c>
      <c r="B322" s="4">
        <v>13</v>
      </c>
      <c r="C322" s="3">
        <v>30120</v>
      </c>
      <c r="D322" s="7">
        <v>0.92708333333333337</v>
      </c>
      <c r="E322">
        <v>1982</v>
      </c>
      <c r="F322" t="s">
        <v>1730</v>
      </c>
      <c r="G322" t="s">
        <v>1741</v>
      </c>
      <c r="H322" t="s">
        <v>1122</v>
      </c>
      <c r="I322" t="s">
        <v>1131</v>
      </c>
      <c r="J322" t="s">
        <v>817</v>
      </c>
      <c r="K322">
        <v>1</v>
      </c>
      <c r="L322">
        <v>1</v>
      </c>
      <c r="M322" t="s">
        <v>867</v>
      </c>
      <c r="O322" t="s">
        <v>1279</v>
      </c>
      <c r="P322" t="s">
        <v>1292</v>
      </c>
      <c r="Q322">
        <v>25000</v>
      </c>
      <c r="R322" t="s">
        <v>1157</v>
      </c>
      <c r="S322" t="str">
        <f>VLOOKUP(J322,Teams!A:B,2,FALSE)</f>
        <v>ITA</v>
      </c>
      <c r="T322" t="str">
        <f>VLOOKUP(M322,Teams!A:B,2,FALSE)</f>
        <v>PER</v>
      </c>
    </row>
    <row r="323" spans="1:20" x14ac:dyDescent="0.25">
      <c r="A323" t="str">
        <f t="shared" si="5"/>
        <v>FIFAWC1982-14</v>
      </c>
      <c r="B323" s="4">
        <v>14</v>
      </c>
      <c r="C323" s="3">
        <v>30121</v>
      </c>
      <c r="D323" s="7">
        <v>8.3333333333333329E-2</v>
      </c>
      <c r="E323">
        <v>1982</v>
      </c>
      <c r="F323" t="s">
        <v>1730</v>
      </c>
      <c r="G323" t="s">
        <v>1741</v>
      </c>
      <c r="H323" t="s">
        <v>1122</v>
      </c>
      <c r="I323" t="s">
        <v>1133</v>
      </c>
      <c r="J323" t="s">
        <v>749</v>
      </c>
      <c r="K323">
        <v>4</v>
      </c>
      <c r="L323">
        <v>1</v>
      </c>
      <c r="M323" t="s">
        <v>297</v>
      </c>
      <c r="O323" t="s">
        <v>1210</v>
      </c>
      <c r="P323" t="s">
        <v>1291</v>
      </c>
      <c r="Q323">
        <v>32093</v>
      </c>
      <c r="R323" t="s">
        <v>1157</v>
      </c>
      <c r="S323" t="str">
        <f>VLOOKUP(J323,Teams!A:B,2,FALSE)</f>
        <v>ARG</v>
      </c>
      <c r="T323" t="str">
        <f>VLOOKUP(M323,Teams!A:B,2,FALSE)</f>
        <v>HUN</v>
      </c>
    </row>
    <row r="324" spans="1:20" x14ac:dyDescent="0.25">
      <c r="A324" t="str">
        <f t="shared" si="5"/>
        <v>FIFAWC1982-15</v>
      </c>
      <c r="B324" s="4">
        <v>15</v>
      </c>
      <c r="C324" s="3">
        <v>30121</v>
      </c>
      <c r="D324" s="7">
        <v>8.3333333333333329E-2</v>
      </c>
      <c r="E324">
        <v>1982</v>
      </c>
      <c r="F324" t="s">
        <v>1730</v>
      </c>
      <c r="G324" t="s">
        <v>1741</v>
      </c>
      <c r="H324" t="s">
        <v>1122</v>
      </c>
      <c r="I324" t="s">
        <v>1136</v>
      </c>
      <c r="J324" t="s">
        <v>760</v>
      </c>
      <c r="K324">
        <v>4</v>
      </c>
      <c r="L324">
        <v>1</v>
      </c>
      <c r="M324" t="s">
        <v>1026</v>
      </c>
      <c r="O324" t="s">
        <v>1276</v>
      </c>
      <c r="P324" t="s">
        <v>1266</v>
      </c>
      <c r="Q324">
        <v>47379</v>
      </c>
      <c r="R324" t="s">
        <v>1157</v>
      </c>
      <c r="S324" t="str">
        <f>VLOOKUP(J324,Teams!A:B,2,FALSE)</f>
        <v>BRA</v>
      </c>
      <c r="T324" t="str">
        <f>VLOOKUP(M324,Teams!A:B,2,FALSE)</f>
        <v>SCO</v>
      </c>
    </row>
    <row r="325" spans="1:20" x14ac:dyDescent="0.25">
      <c r="A325" t="str">
        <f t="shared" si="5"/>
        <v>FIFAWC1982-16</v>
      </c>
      <c r="B325" s="4">
        <v>16</v>
      </c>
      <c r="C325" s="3">
        <v>30122</v>
      </c>
      <c r="D325" s="7">
        <v>1.0416666666666666E-2</v>
      </c>
      <c r="E325">
        <v>1982</v>
      </c>
      <c r="F325" t="s">
        <v>1730</v>
      </c>
      <c r="G325" t="s">
        <v>1741</v>
      </c>
      <c r="H325" t="s">
        <v>1122</v>
      </c>
      <c r="I325" t="s">
        <v>1131</v>
      </c>
      <c r="J325" t="s">
        <v>870</v>
      </c>
      <c r="K325">
        <v>0</v>
      </c>
      <c r="L325">
        <v>0</v>
      </c>
      <c r="M325" t="s">
        <v>764</v>
      </c>
      <c r="O325" t="s">
        <v>1283</v>
      </c>
      <c r="P325" t="s">
        <v>1218</v>
      </c>
      <c r="Q325">
        <v>19000</v>
      </c>
      <c r="R325" t="s">
        <v>1157</v>
      </c>
      <c r="S325" t="str">
        <f>VLOOKUP(J325,Teams!A:B,2,FALSE)</f>
        <v>POL</v>
      </c>
      <c r="T325" t="str">
        <f>VLOOKUP(M325,Teams!A:B,2,FALSE)</f>
        <v>CMR</v>
      </c>
    </row>
    <row r="326" spans="1:20" x14ac:dyDescent="0.25">
      <c r="A326" t="str">
        <f t="shared" si="5"/>
        <v>FIFAWC1982-17</v>
      </c>
      <c r="B326" s="4">
        <v>17</v>
      </c>
      <c r="C326" s="3">
        <v>30122</v>
      </c>
      <c r="D326" s="7">
        <v>8.3333333333333329E-2</v>
      </c>
      <c r="E326">
        <v>1982</v>
      </c>
      <c r="F326" t="s">
        <v>1730</v>
      </c>
      <c r="G326" t="s">
        <v>1741</v>
      </c>
      <c r="H326" t="s">
        <v>1122</v>
      </c>
      <c r="I326" t="s">
        <v>1133</v>
      </c>
      <c r="J326" t="s">
        <v>756</v>
      </c>
      <c r="K326">
        <v>1</v>
      </c>
      <c r="L326">
        <v>0</v>
      </c>
      <c r="M326" t="s">
        <v>784</v>
      </c>
      <c r="O326" t="s">
        <v>1281</v>
      </c>
      <c r="P326" t="s">
        <v>1290</v>
      </c>
      <c r="Q326">
        <v>15000</v>
      </c>
      <c r="R326" t="s">
        <v>1157</v>
      </c>
      <c r="S326" t="str">
        <f>VLOOKUP(J326,Teams!A:B,2,FALSE)</f>
        <v>BEL</v>
      </c>
      <c r="T326" t="str">
        <f>VLOOKUP(M326,Teams!A:B,2,FALSE)</f>
        <v>SLV</v>
      </c>
    </row>
    <row r="327" spans="1:20" x14ac:dyDescent="0.25">
      <c r="A327" t="str">
        <f t="shared" si="5"/>
        <v>FIFAWC1982-18</v>
      </c>
      <c r="B327" s="4">
        <v>18</v>
      </c>
      <c r="C327" s="3">
        <v>30122</v>
      </c>
      <c r="D327" s="7">
        <v>8.3333333333333329E-2</v>
      </c>
      <c r="E327">
        <v>1982</v>
      </c>
      <c r="F327" t="s">
        <v>1730</v>
      </c>
      <c r="G327" t="s">
        <v>1741</v>
      </c>
      <c r="H327" t="s">
        <v>1122</v>
      </c>
      <c r="I327" t="s">
        <v>1136</v>
      </c>
      <c r="J327" t="s">
        <v>1754</v>
      </c>
      <c r="K327">
        <v>3</v>
      </c>
      <c r="L327">
        <v>0</v>
      </c>
      <c r="M327" t="s">
        <v>147</v>
      </c>
      <c r="O327" t="s">
        <v>1280</v>
      </c>
      <c r="P327" t="s">
        <v>1289</v>
      </c>
      <c r="Q327">
        <v>19000</v>
      </c>
      <c r="R327" t="s">
        <v>1157</v>
      </c>
      <c r="S327" t="str">
        <f>VLOOKUP(J327,Teams!A:B,2,FALSE)</f>
        <v>URS</v>
      </c>
      <c r="T327" t="str">
        <f>VLOOKUP(M327,Teams!A:B,2,FALSE)</f>
        <v>NZL</v>
      </c>
    </row>
    <row r="328" spans="1:20" x14ac:dyDescent="0.25">
      <c r="A328" t="str">
        <f t="shared" si="5"/>
        <v>FIFAWC1982-19</v>
      </c>
      <c r="B328" s="4">
        <v>19</v>
      </c>
      <c r="C328" s="3">
        <v>30122</v>
      </c>
      <c r="D328" s="7">
        <v>0.94791666666666663</v>
      </c>
      <c r="E328">
        <v>1982</v>
      </c>
      <c r="F328" t="s">
        <v>1730</v>
      </c>
      <c r="G328" t="s">
        <v>1741</v>
      </c>
      <c r="H328" t="s">
        <v>1122</v>
      </c>
      <c r="I328" t="s">
        <v>1132</v>
      </c>
      <c r="J328" t="s">
        <v>797</v>
      </c>
      <c r="K328">
        <v>4</v>
      </c>
      <c r="L328">
        <v>1</v>
      </c>
      <c r="M328" t="s">
        <v>768</v>
      </c>
      <c r="O328" t="s">
        <v>1271</v>
      </c>
      <c r="P328" t="s">
        <v>1288</v>
      </c>
      <c r="Q328">
        <v>42000</v>
      </c>
      <c r="R328" t="s">
        <v>1157</v>
      </c>
      <c r="S328" t="str">
        <f>VLOOKUP(J328,Teams!A:B,2,FALSE)</f>
        <v>GER</v>
      </c>
      <c r="T328" t="str">
        <f>VLOOKUP(M328,Teams!A:B,2,FALSE)</f>
        <v>CHI</v>
      </c>
    </row>
    <row r="329" spans="1:20" x14ac:dyDescent="0.25">
      <c r="A329" t="str">
        <f t="shared" si="5"/>
        <v>FIFAWC1982-20</v>
      </c>
      <c r="B329" s="4">
        <v>20</v>
      </c>
      <c r="C329" s="3">
        <v>30122</v>
      </c>
      <c r="D329" s="7">
        <v>0.94791666666666663</v>
      </c>
      <c r="E329">
        <v>1982</v>
      </c>
      <c r="F329" t="s">
        <v>1730</v>
      </c>
      <c r="G329" t="s">
        <v>1741</v>
      </c>
      <c r="H329" t="s">
        <v>1122</v>
      </c>
      <c r="I329" t="s">
        <v>1134</v>
      </c>
      <c r="J329" t="s">
        <v>1021</v>
      </c>
      <c r="K329">
        <v>2</v>
      </c>
      <c r="L329">
        <v>0</v>
      </c>
      <c r="M329" t="s">
        <v>1037</v>
      </c>
      <c r="O329" t="s">
        <v>1269</v>
      </c>
      <c r="P329" t="s">
        <v>1213</v>
      </c>
      <c r="Q329">
        <v>41123</v>
      </c>
      <c r="R329" t="s">
        <v>1157</v>
      </c>
      <c r="S329" t="str">
        <f>VLOOKUP(J329,Teams!A:B,2,FALSE)</f>
        <v>ENG</v>
      </c>
      <c r="T329" t="str">
        <f>VLOOKUP(M329,Teams!A:B,2,FALSE)</f>
        <v>TCH</v>
      </c>
    </row>
    <row r="330" spans="1:20" x14ac:dyDescent="0.25">
      <c r="A330" t="str">
        <f t="shared" si="5"/>
        <v>FIFAWC1982-21</v>
      </c>
      <c r="B330" s="4">
        <v>21</v>
      </c>
      <c r="C330" s="3">
        <v>30123</v>
      </c>
      <c r="D330" s="7">
        <v>9.375E-2</v>
      </c>
      <c r="E330">
        <v>1982</v>
      </c>
      <c r="F330" t="s">
        <v>1730</v>
      </c>
      <c r="G330" t="s">
        <v>1741</v>
      </c>
      <c r="H330" t="s">
        <v>1122</v>
      </c>
      <c r="I330" t="s">
        <v>1135</v>
      </c>
      <c r="J330" t="s">
        <v>895</v>
      </c>
      <c r="K330">
        <v>2</v>
      </c>
      <c r="L330">
        <v>1</v>
      </c>
      <c r="M330" t="s">
        <v>1234</v>
      </c>
      <c r="O330" t="s">
        <v>1267</v>
      </c>
      <c r="P330" t="s">
        <v>1287</v>
      </c>
      <c r="Q330">
        <v>48000</v>
      </c>
      <c r="R330" t="s">
        <v>1157</v>
      </c>
      <c r="S330" t="str">
        <f>VLOOKUP(J330,Teams!A:B,2,FALSE)</f>
        <v>ESP</v>
      </c>
      <c r="T330" t="str">
        <f>VLOOKUP(M330,Teams!A:B,2,FALSE)</f>
        <v>YUG</v>
      </c>
    </row>
    <row r="331" spans="1:20" x14ac:dyDescent="0.25">
      <c r="A331" t="str">
        <f t="shared" si="5"/>
        <v>FIFAWC1982-22</v>
      </c>
      <c r="B331" s="4">
        <v>22</v>
      </c>
      <c r="C331" s="3">
        <v>30123</v>
      </c>
      <c r="D331" s="7">
        <v>0.92708333333333337</v>
      </c>
      <c r="E331">
        <v>1982</v>
      </c>
      <c r="F331" t="s">
        <v>1730</v>
      </c>
      <c r="G331" t="s">
        <v>1741</v>
      </c>
      <c r="H331" t="s">
        <v>1122</v>
      </c>
      <c r="I331" t="s">
        <v>1132</v>
      </c>
      <c r="J331" t="s">
        <v>745</v>
      </c>
      <c r="K331">
        <v>0</v>
      </c>
      <c r="L331">
        <v>2</v>
      </c>
      <c r="M331" t="s">
        <v>751</v>
      </c>
      <c r="O331" t="s">
        <v>1275</v>
      </c>
      <c r="P331" t="s">
        <v>1286</v>
      </c>
      <c r="Q331">
        <v>22000</v>
      </c>
      <c r="R331" t="s">
        <v>1157</v>
      </c>
      <c r="S331" t="str">
        <f>VLOOKUP(J331,Teams!A:B,2,FALSE)</f>
        <v>ALG</v>
      </c>
      <c r="T331" t="str">
        <f>VLOOKUP(M331,Teams!A:B,2,FALSE)</f>
        <v>AUT</v>
      </c>
    </row>
    <row r="332" spans="1:20" x14ac:dyDescent="0.25">
      <c r="A332" t="str">
        <f t="shared" si="5"/>
        <v>FIFAWC1982-23</v>
      </c>
      <c r="B332" s="4">
        <v>23</v>
      </c>
      <c r="C332" s="3">
        <v>30123</v>
      </c>
      <c r="D332" s="7">
        <v>0.92708333333333337</v>
      </c>
      <c r="E332">
        <v>1982</v>
      </c>
      <c r="F332" t="s">
        <v>1730</v>
      </c>
      <c r="G332" t="s">
        <v>1741</v>
      </c>
      <c r="H332" t="s">
        <v>1122</v>
      </c>
      <c r="I332" t="s">
        <v>1134</v>
      </c>
      <c r="J332" t="s">
        <v>224</v>
      </c>
      <c r="K332">
        <v>4</v>
      </c>
      <c r="L332">
        <v>1</v>
      </c>
      <c r="M332" t="s">
        <v>823</v>
      </c>
      <c r="O332" t="s">
        <v>1274</v>
      </c>
      <c r="P332" t="s">
        <v>1285</v>
      </c>
      <c r="Q332">
        <v>30043</v>
      </c>
      <c r="R332" t="s">
        <v>1157</v>
      </c>
      <c r="S332" t="str">
        <f>VLOOKUP(J332,Teams!A:B,2,FALSE)</f>
        <v>FRA</v>
      </c>
      <c r="T332" t="str">
        <f>VLOOKUP(M332,Teams!A:B,2,FALSE)</f>
        <v>KUW</v>
      </c>
    </row>
    <row r="333" spans="1:20" x14ac:dyDescent="0.25">
      <c r="A333" t="str">
        <f t="shared" si="5"/>
        <v>FIFAWC1982-24</v>
      </c>
      <c r="B333" s="4">
        <v>24</v>
      </c>
      <c r="C333" s="3">
        <v>30124</v>
      </c>
      <c r="D333" s="7">
        <v>8.3333333333333329E-2</v>
      </c>
      <c r="E333">
        <v>1982</v>
      </c>
      <c r="F333" t="s">
        <v>1730</v>
      </c>
      <c r="G333" t="s">
        <v>1741</v>
      </c>
      <c r="H333" t="s">
        <v>1122</v>
      </c>
      <c r="I333" t="s">
        <v>1135</v>
      </c>
      <c r="J333" t="s">
        <v>810</v>
      </c>
      <c r="K333">
        <v>1</v>
      </c>
      <c r="L333">
        <v>1</v>
      </c>
      <c r="M333" t="s">
        <v>1033</v>
      </c>
      <c r="O333" t="s">
        <v>1272</v>
      </c>
      <c r="P333" t="s">
        <v>1284</v>
      </c>
      <c r="Q333">
        <v>15000</v>
      </c>
      <c r="R333" t="s">
        <v>1157</v>
      </c>
      <c r="S333" t="str">
        <f>VLOOKUP(J333,Teams!A:B,2,FALSE)</f>
        <v>HON</v>
      </c>
      <c r="T333" t="str">
        <f>VLOOKUP(M333,Teams!A:B,2,FALSE)</f>
        <v>NIR</v>
      </c>
    </row>
    <row r="334" spans="1:20" x14ac:dyDescent="0.25">
      <c r="A334" t="str">
        <f t="shared" si="5"/>
        <v>FIFAWC1982-25</v>
      </c>
      <c r="B334" s="4">
        <v>25</v>
      </c>
      <c r="C334" s="3">
        <v>30124</v>
      </c>
      <c r="D334" s="7">
        <v>0.92708333333333337</v>
      </c>
      <c r="E334">
        <v>1982</v>
      </c>
      <c r="F334" t="s">
        <v>1730</v>
      </c>
      <c r="G334" t="s">
        <v>1741</v>
      </c>
      <c r="H334" t="s">
        <v>1122</v>
      </c>
      <c r="I334" t="s">
        <v>1131</v>
      </c>
      <c r="J334" t="s">
        <v>870</v>
      </c>
      <c r="K334">
        <v>5</v>
      </c>
      <c r="L334">
        <v>1</v>
      </c>
      <c r="M334" t="s">
        <v>867</v>
      </c>
      <c r="O334" t="s">
        <v>1283</v>
      </c>
      <c r="P334" t="s">
        <v>1222</v>
      </c>
      <c r="Q334">
        <v>25000</v>
      </c>
      <c r="R334" t="s">
        <v>1157</v>
      </c>
      <c r="S334" t="str">
        <f>VLOOKUP(J334,Teams!A:B,2,FALSE)</f>
        <v>POL</v>
      </c>
      <c r="T334" t="str">
        <f>VLOOKUP(M334,Teams!A:B,2,FALSE)</f>
        <v>PER</v>
      </c>
    </row>
    <row r="335" spans="1:20" x14ac:dyDescent="0.25">
      <c r="A335" t="str">
        <f t="shared" si="5"/>
        <v>FIFAWC1982-26</v>
      </c>
      <c r="B335" s="4">
        <v>26</v>
      </c>
      <c r="C335" s="3">
        <v>30125</v>
      </c>
      <c r="D335" s="7">
        <v>8.3333333333333329E-2</v>
      </c>
      <c r="E335">
        <v>1982</v>
      </c>
      <c r="F335" t="s">
        <v>1730</v>
      </c>
      <c r="G335" t="s">
        <v>1741</v>
      </c>
      <c r="H335" t="s">
        <v>1122</v>
      </c>
      <c r="I335" t="s">
        <v>1133</v>
      </c>
      <c r="J335" t="s">
        <v>756</v>
      </c>
      <c r="K335">
        <v>1</v>
      </c>
      <c r="L335">
        <v>1</v>
      </c>
      <c r="M335" t="s">
        <v>297</v>
      </c>
      <c r="O335" t="s">
        <v>1281</v>
      </c>
      <c r="P335" t="s">
        <v>1282</v>
      </c>
      <c r="Q335">
        <v>37000</v>
      </c>
      <c r="R335" t="s">
        <v>1157</v>
      </c>
      <c r="S335" t="str">
        <f>VLOOKUP(J335,Teams!A:B,2,FALSE)</f>
        <v>BEL</v>
      </c>
      <c r="T335" t="str">
        <f>VLOOKUP(M335,Teams!A:B,2,FALSE)</f>
        <v>HUN</v>
      </c>
    </row>
    <row r="336" spans="1:20" x14ac:dyDescent="0.25">
      <c r="A336" t="str">
        <f t="shared" si="5"/>
        <v>FIFAWC1982-27</v>
      </c>
      <c r="B336" s="4">
        <v>27</v>
      </c>
      <c r="C336" s="3">
        <v>30125</v>
      </c>
      <c r="D336" s="7">
        <v>8.3333333333333329E-2</v>
      </c>
      <c r="E336">
        <v>1982</v>
      </c>
      <c r="F336" t="s">
        <v>1730</v>
      </c>
      <c r="G336" t="s">
        <v>1741</v>
      </c>
      <c r="H336" t="s">
        <v>1122</v>
      </c>
      <c r="I336" t="s">
        <v>1136</v>
      </c>
      <c r="J336" t="s">
        <v>1754</v>
      </c>
      <c r="K336">
        <v>2</v>
      </c>
      <c r="L336">
        <v>2</v>
      </c>
      <c r="M336" t="s">
        <v>1026</v>
      </c>
      <c r="O336" t="s">
        <v>1280</v>
      </c>
      <c r="P336" t="s">
        <v>1226</v>
      </c>
      <c r="Q336">
        <v>45000</v>
      </c>
      <c r="R336" t="s">
        <v>1157</v>
      </c>
      <c r="S336" t="str">
        <f>VLOOKUP(J336,Teams!A:B,2,FALSE)</f>
        <v>URS</v>
      </c>
      <c r="T336" t="str">
        <f>VLOOKUP(M336,Teams!A:B,2,FALSE)</f>
        <v>SCO</v>
      </c>
    </row>
    <row r="337" spans="1:20" x14ac:dyDescent="0.25">
      <c r="A337" t="str">
        <f t="shared" si="5"/>
        <v>FIFAWC1982-28</v>
      </c>
      <c r="B337" s="4">
        <v>28</v>
      </c>
      <c r="C337" s="3">
        <v>30125</v>
      </c>
      <c r="D337" s="7">
        <v>0.92708333333333337</v>
      </c>
      <c r="E337">
        <v>1982</v>
      </c>
      <c r="F337" t="s">
        <v>1730</v>
      </c>
      <c r="G337" t="s">
        <v>1741</v>
      </c>
      <c r="H337" t="s">
        <v>1122</v>
      </c>
      <c r="I337" t="s">
        <v>1131</v>
      </c>
      <c r="J337" t="s">
        <v>817</v>
      </c>
      <c r="K337">
        <v>1</v>
      </c>
      <c r="L337">
        <v>1</v>
      </c>
      <c r="M337" t="s">
        <v>764</v>
      </c>
      <c r="O337" t="s">
        <v>1279</v>
      </c>
      <c r="P337" t="s">
        <v>1261</v>
      </c>
      <c r="Q337">
        <v>20000</v>
      </c>
      <c r="R337" t="s">
        <v>1157</v>
      </c>
      <c r="S337" t="str">
        <f>VLOOKUP(J337,Teams!A:B,2,FALSE)</f>
        <v>ITA</v>
      </c>
      <c r="T337" t="str">
        <f>VLOOKUP(M337,Teams!A:B,2,FALSE)</f>
        <v>CMR</v>
      </c>
    </row>
    <row r="338" spans="1:20" x14ac:dyDescent="0.25">
      <c r="A338" t="str">
        <f t="shared" si="5"/>
        <v>FIFAWC1982-29</v>
      </c>
      <c r="B338" s="4">
        <v>29</v>
      </c>
      <c r="C338" s="3">
        <v>30126</v>
      </c>
      <c r="D338" s="7">
        <v>8.3333333333333329E-2</v>
      </c>
      <c r="E338">
        <v>1982</v>
      </c>
      <c r="F338" t="s">
        <v>1730</v>
      </c>
      <c r="G338" t="s">
        <v>1741</v>
      </c>
      <c r="H338" t="s">
        <v>1122</v>
      </c>
      <c r="I338" t="s">
        <v>1133</v>
      </c>
      <c r="J338" t="s">
        <v>749</v>
      </c>
      <c r="K338">
        <v>2</v>
      </c>
      <c r="L338">
        <v>0</v>
      </c>
      <c r="M338" t="s">
        <v>784</v>
      </c>
      <c r="O338" t="s">
        <v>1210</v>
      </c>
      <c r="P338" t="s">
        <v>1278</v>
      </c>
      <c r="Q338">
        <v>32500</v>
      </c>
      <c r="R338" t="s">
        <v>1157</v>
      </c>
      <c r="S338" t="str">
        <f>VLOOKUP(J338,Teams!A:B,2,FALSE)</f>
        <v>ARG</v>
      </c>
      <c r="T338" t="str">
        <f>VLOOKUP(M338,Teams!A:B,2,FALSE)</f>
        <v>SLV</v>
      </c>
    </row>
    <row r="339" spans="1:20" x14ac:dyDescent="0.25">
      <c r="A339" t="str">
        <f t="shared" si="5"/>
        <v>FIFAWC1982-30</v>
      </c>
      <c r="B339" s="4">
        <v>30</v>
      </c>
      <c r="C339" s="3">
        <v>30126</v>
      </c>
      <c r="D339" s="7">
        <v>8.3333333333333329E-2</v>
      </c>
      <c r="E339">
        <v>1982</v>
      </c>
      <c r="F339" t="s">
        <v>1730</v>
      </c>
      <c r="G339" t="s">
        <v>1741</v>
      </c>
      <c r="H339" t="s">
        <v>1122</v>
      </c>
      <c r="I339" t="s">
        <v>1136</v>
      </c>
      <c r="J339" t="s">
        <v>760</v>
      </c>
      <c r="K339">
        <v>4</v>
      </c>
      <c r="L339">
        <v>0</v>
      </c>
      <c r="M339" t="s">
        <v>147</v>
      </c>
      <c r="O339" t="s">
        <v>1276</v>
      </c>
      <c r="P339" t="s">
        <v>1277</v>
      </c>
      <c r="Q339">
        <v>43000</v>
      </c>
      <c r="R339" t="s">
        <v>1157</v>
      </c>
      <c r="S339" t="str">
        <f>VLOOKUP(J339,Teams!A:B,2,FALSE)</f>
        <v>BRA</v>
      </c>
      <c r="T339" t="str">
        <f>VLOOKUP(M339,Teams!A:B,2,FALSE)</f>
        <v>NZL</v>
      </c>
    </row>
    <row r="340" spans="1:20" x14ac:dyDescent="0.25">
      <c r="A340" t="str">
        <f t="shared" si="5"/>
        <v>FIFAWC1982-31</v>
      </c>
      <c r="B340" s="4">
        <v>31</v>
      </c>
      <c r="C340" s="3">
        <v>30126</v>
      </c>
      <c r="D340" s="7">
        <v>0.92708333333333337</v>
      </c>
      <c r="E340">
        <v>1982</v>
      </c>
      <c r="F340" t="s">
        <v>1730</v>
      </c>
      <c r="G340" t="s">
        <v>1741</v>
      </c>
      <c r="H340" t="s">
        <v>1122</v>
      </c>
      <c r="I340" t="s">
        <v>1132</v>
      </c>
      <c r="J340" t="s">
        <v>745</v>
      </c>
      <c r="K340">
        <v>3</v>
      </c>
      <c r="L340">
        <v>2</v>
      </c>
      <c r="M340" t="s">
        <v>768</v>
      </c>
      <c r="O340" t="s">
        <v>1275</v>
      </c>
      <c r="P340" t="s">
        <v>1186</v>
      </c>
      <c r="Q340">
        <v>16000</v>
      </c>
      <c r="R340" t="s">
        <v>1157</v>
      </c>
      <c r="S340" t="str">
        <f>VLOOKUP(J340,Teams!A:B,2,FALSE)</f>
        <v>ALG</v>
      </c>
      <c r="T340" t="str">
        <f>VLOOKUP(M340,Teams!A:B,2,FALSE)</f>
        <v>CHI</v>
      </c>
    </row>
    <row r="341" spans="1:20" x14ac:dyDescent="0.25">
      <c r="A341" t="str">
        <f t="shared" si="5"/>
        <v>FIFAWC1982-32</v>
      </c>
      <c r="B341" s="4">
        <v>32</v>
      </c>
      <c r="C341" s="3">
        <v>30126</v>
      </c>
      <c r="D341" s="7">
        <v>0.92708333333333337</v>
      </c>
      <c r="E341">
        <v>1982</v>
      </c>
      <c r="F341" t="s">
        <v>1730</v>
      </c>
      <c r="G341" t="s">
        <v>1741</v>
      </c>
      <c r="H341" t="s">
        <v>1122</v>
      </c>
      <c r="I341" t="s">
        <v>1134</v>
      </c>
      <c r="J341" t="s">
        <v>224</v>
      </c>
      <c r="K341">
        <v>1</v>
      </c>
      <c r="L341">
        <v>1</v>
      </c>
      <c r="M341" t="s">
        <v>1037</v>
      </c>
      <c r="O341" t="s">
        <v>1274</v>
      </c>
      <c r="P341" t="s">
        <v>1223</v>
      </c>
      <c r="Q341">
        <v>28000</v>
      </c>
      <c r="R341" t="s">
        <v>1157</v>
      </c>
      <c r="S341" t="str">
        <f>VLOOKUP(J341,Teams!A:B,2,FALSE)</f>
        <v>FRA</v>
      </c>
      <c r="T341" t="str">
        <f>VLOOKUP(M341,Teams!A:B,2,FALSE)</f>
        <v>TCH</v>
      </c>
    </row>
    <row r="342" spans="1:20" x14ac:dyDescent="0.25">
      <c r="A342" t="str">
        <f t="shared" si="5"/>
        <v>FIFAWC1982-33</v>
      </c>
      <c r="B342" s="4">
        <v>33</v>
      </c>
      <c r="C342" s="3">
        <v>30127</v>
      </c>
      <c r="D342" s="7">
        <v>8.3333333333333329E-2</v>
      </c>
      <c r="E342">
        <v>1982</v>
      </c>
      <c r="F342" t="s">
        <v>1730</v>
      </c>
      <c r="G342" t="s">
        <v>1741</v>
      </c>
      <c r="H342" t="s">
        <v>1122</v>
      </c>
      <c r="I342" t="s">
        <v>1135</v>
      </c>
      <c r="J342" t="s">
        <v>810</v>
      </c>
      <c r="K342">
        <v>0</v>
      </c>
      <c r="L342">
        <v>1</v>
      </c>
      <c r="M342" t="s">
        <v>1234</v>
      </c>
      <c r="O342" t="s">
        <v>1272</v>
      </c>
      <c r="P342" t="s">
        <v>1273</v>
      </c>
      <c r="Q342">
        <v>25000</v>
      </c>
      <c r="R342" t="s">
        <v>1157</v>
      </c>
      <c r="S342" t="str">
        <f>VLOOKUP(J342,Teams!A:B,2,FALSE)</f>
        <v>HON</v>
      </c>
      <c r="T342" t="str">
        <f>VLOOKUP(M342,Teams!A:B,2,FALSE)</f>
        <v>YUG</v>
      </c>
    </row>
    <row r="343" spans="1:20" x14ac:dyDescent="0.25">
      <c r="A343" t="str">
        <f t="shared" si="5"/>
        <v>FIFAWC1982-34</v>
      </c>
      <c r="B343" s="4">
        <v>34</v>
      </c>
      <c r="C343" s="3">
        <v>30127</v>
      </c>
      <c r="D343" s="7">
        <v>0.92708333333333337</v>
      </c>
      <c r="E343">
        <v>1982</v>
      </c>
      <c r="F343" t="s">
        <v>1730</v>
      </c>
      <c r="G343" t="s">
        <v>1741</v>
      </c>
      <c r="H343" t="s">
        <v>1122</v>
      </c>
      <c r="I343" t="s">
        <v>1132</v>
      </c>
      <c r="J343" t="s">
        <v>797</v>
      </c>
      <c r="K343">
        <v>1</v>
      </c>
      <c r="L343">
        <v>0</v>
      </c>
      <c r="M343" t="s">
        <v>751</v>
      </c>
      <c r="O343" t="s">
        <v>1271</v>
      </c>
      <c r="P343" t="s">
        <v>1221</v>
      </c>
      <c r="Q343">
        <v>41000</v>
      </c>
      <c r="R343" t="s">
        <v>1157</v>
      </c>
      <c r="S343" t="str">
        <f>VLOOKUP(J343,Teams!A:B,2,FALSE)</f>
        <v>GER</v>
      </c>
      <c r="T343" t="str">
        <f>VLOOKUP(M343,Teams!A:B,2,FALSE)</f>
        <v>AUT</v>
      </c>
    </row>
    <row r="344" spans="1:20" x14ac:dyDescent="0.25">
      <c r="A344" t="str">
        <f t="shared" si="5"/>
        <v>FIFAWC1982-35</v>
      </c>
      <c r="B344" s="4">
        <v>35</v>
      </c>
      <c r="C344" s="3">
        <v>30127</v>
      </c>
      <c r="D344" s="7">
        <v>0.92708333333333337</v>
      </c>
      <c r="E344">
        <v>1982</v>
      </c>
      <c r="F344" t="s">
        <v>1730</v>
      </c>
      <c r="G344" t="s">
        <v>1741</v>
      </c>
      <c r="H344" t="s">
        <v>1122</v>
      </c>
      <c r="I344" t="s">
        <v>1134</v>
      </c>
      <c r="J344" t="s">
        <v>1021</v>
      </c>
      <c r="K344">
        <v>1</v>
      </c>
      <c r="L344">
        <v>0</v>
      </c>
      <c r="M344" t="s">
        <v>823</v>
      </c>
      <c r="O344" t="s">
        <v>1269</v>
      </c>
      <c r="P344" t="s">
        <v>1270</v>
      </c>
      <c r="Q344">
        <v>39700</v>
      </c>
      <c r="R344" t="s">
        <v>1157</v>
      </c>
      <c r="S344" t="str">
        <f>VLOOKUP(J344,Teams!A:B,2,FALSE)</f>
        <v>ENG</v>
      </c>
      <c r="T344" t="str">
        <f>VLOOKUP(M344,Teams!A:B,2,FALSE)</f>
        <v>KUW</v>
      </c>
    </row>
    <row r="345" spans="1:20" x14ac:dyDescent="0.25">
      <c r="A345" t="str">
        <f t="shared" si="5"/>
        <v>FIFAWC1982-36</v>
      </c>
      <c r="B345" s="4">
        <v>36</v>
      </c>
      <c r="C345" s="3">
        <v>30128</v>
      </c>
      <c r="D345" s="7">
        <v>8.3333333333333329E-2</v>
      </c>
      <c r="E345">
        <v>1982</v>
      </c>
      <c r="F345" t="s">
        <v>1730</v>
      </c>
      <c r="G345" t="s">
        <v>1741</v>
      </c>
      <c r="H345" t="s">
        <v>1122</v>
      </c>
      <c r="I345" t="s">
        <v>1135</v>
      </c>
      <c r="J345" t="s">
        <v>1033</v>
      </c>
      <c r="K345">
        <v>1</v>
      </c>
      <c r="L345">
        <v>0</v>
      </c>
      <c r="M345" t="s">
        <v>895</v>
      </c>
      <c r="O345" t="s">
        <v>1267</v>
      </c>
      <c r="P345" t="s">
        <v>1268</v>
      </c>
      <c r="Q345">
        <v>49562</v>
      </c>
      <c r="R345" t="s">
        <v>1157</v>
      </c>
      <c r="S345" t="str">
        <f>VLOOKUP(J345,Teams!A:B,2,FALSE)</f>
        <v>NIR</v>
      </c>
      <c r="T345" t="str">
        <f>VLOOKUP(M345,Teams!A:B,2,FALSE)</f>
        <v>ESP</v>
      </c>
    </row>
    <row r="346" spans="1:20" x14ac:dyDescent="0.25">
      <c r="A346" t="str">
        <f>F346&amp;"-"&amp;B346</f>
        <v>FIFAWC1982-37</v>
      </c>
      <c r="B346" s="4">
        <v>37</v>
      </c>
      <c r="C346" s="3">
        <v>30130</v>
      </c>
      <c r="D346" s="7">
        <v>0.92708333333333337</v>
      </c>
      <c r="E346">
        <v>1982</v>
      </c>
      <c r="F346" t="s">
        <v>1730</v>
      </c>
      <c r="G346" t="s">
        <v>1741</v>
      </c>
      <c r="H346" t="s">
        <v>1122</v>
      </c>
      <c r="I346" t="s">
        <v>1134</v>
      </c>
      <c r="J346" t="s">
        <v>751</v>
      </c>
      <c r="K346">
        <v>0</v>
      </c>
      <c r="L346">
        <v>1</v>
      </c>
      <c r="M346" t="s">
        <v>224</v>
      </c>
      <c r="O346" t="s">
        <v>1219</v>
      </c>
      <c r="P346" t="s">
        <v>1227</v>
      </c>
      <c r="Q346">
        <v>37000</v>
      </c>
      <c r="R346" t="s">
        <v>1157</v>
      </c>
      <c r="S346" t="str">
        <f>VLOOKUP(J346,Teams!A:B,2,FALSE)</f>
        <v>AUT</v>
      </c>
      <c r="T346" t="str">
        <f>VLOOKUP(M346,Teams!A:B,2,FALSE)</f>
        <v>FRA</v>
      </c>
    </row>
    <row r="347" spans="1:20" x14ac:dyDescent="0.25">
      <c r="A347" t="str">
        <f t="shared" si="5"/>
        <v>FIFAWC1982-38</v>
      </c>
      <c r="B347" s="4">
        <v>38</v>
      </c>
      <c r="C347" s="3">
        <v>30131</v>
      </c>
      <c r="D347" s="7">
        <v>8.3333333333333329E-2</v>
      </c>
      <c r="E347">
        <v>1982</v>
      </c>
      <c r="F347" t="s">
        <v>1730</v>
      </c>
      <c r="G347" t="s">
        <v>1741</v>
      </c>
      <c r="H347" t="s">
        <v>1122</v>
      </c>
      <c r="I347" t="s">
        <v>1131</v>
      </c>
      <c r="J347" t="s">
        <v>870</v>
      </c>
      <c r="K347">
        <v>3</v>
      </c>
      <c r="L347">
        <v>0</v>
      </c>
      <c r="M347" t="s">
        <v>756</v>
      </c>
      <c r="O347" t="s">
        <v>1214</v>
      </c>
      <c r="P347" t="s">
        <v>1266</v>
      </c>
      <c r="Q347">
        <v>65000</v>
      </c>
      <c r="R347" t="s">
        <v>1157</v>
      </c>
      <c r="S347" t="str">
        <f>VLOOKUP(J347,Teams!A:B,2,FALSE)</f>
        <v>POL</v>
      </c>
      <c r="T347" t="str">
        <f>VLOOKUP(M347,Teams!A:B,2,FALSE)</f>
        <v>BEL</v>
      </c>
    </row>
    <row r="348" spans="1:20" x14ac:dyDescent="0.25">
      <c r="A348" t="str">
        <f>F348&amp;"-"&amp;B348</f>
        <v>FIFAWC1982-39</v>
      </c>
      <c r="B348" s="4">
        <v>39</v>
      </c>
      <c r="C348" s="3">
        <v>30131</v>
      </c>
      <c r="D348" s="7">
        <v>0.92708333333333337</v>
      </c>
      <c r="E348">
        <v>1982</v>
      </c>
      <c r="F348" t="s">
        <v>1730</v>
      </c>
      <c r="G348" t="s">
        <v>1741</v>
      </c>
      <c r="H348" t="s">
        <v>1122</v>
      </c>
      <c r="I348" t="s">
        <v>1133</v>
      </c>
      <c r="J348" t="s">
        <v>817</v>
      </c>
      <c r="K348">
        <v>2</v>
      </c>
      <c r="L348">
        <v>1</v>
      </c>
      <c r="M348" t="s">
        <v>749</v>
      </c>
      <c r="O348" t="s">
        <v>1216</v>
      </c>
      <c r="P348" t="s">
        <v>1226</v>
      </c>
      <c r="Q348">
        <v>43000</v>
      </c>
      <c r="R348" t="s">
        <v>1157</v>
      </c>
      <c r="S348" t="str">
        <f>VLOOKUP(J348,Teams!A:B,2,FALSE)</f>
        <v>ITA</v>
      </c>
      <c r="T348" t="str">
        <f>VLOOKUP(M348,Teams!A:B,2,FALSE)</f>
        <v>ARG</v>
      </c>
    </row>
    <row r="349" spans="1:20" x14ac:dyDescent="0.25">
      <c r="A349" t="str">
        <f t="shared" ref="A349:A411" si="6">F349&amp;"-"&amp;B349</f>
        <v>FIFAWC1982-40</v>
      </c>
      <c r="B349" s="4">
        <v>40</v>
      </c>
      <c r="C349" s="3">
        <v>30132</v>
      </c>
      <c r="D349" s="7">
        <v>8.3333333333333329E-2</v>
      </c>
      <c r="E349">
        <v>1982</v>
      </c>
      <c r="F349" t="s">
        <v>1730</v>
      </c>
      <c r="G349" t="s">
        <v>1741</v>
      </c>
      <c r="H349" t="s">
        <v>1122</v>
      </c>
      <c r="I349" t="s">
        <v>1132</v>
      </c>
      <c r="J349" t="s">
        <v>797</v>
      </c>
      <c r="K349">
        <v>0</v>
      </c>
      <c r="L349">
        <v>0</v>
      </c>
      <c r="M349" t="s">
        <v>1021</v>
      </c>
      <c r="O349" t="s">
        <v>1208</v>
      </c>
      <c r="P349" t="s">
        <v>1209</v>
      </c>
      <c r="Q349">
        <v>75000</v>
      </c>
      <c r="R349" t="s">
        <v>1157</v>
      </c>
      <c r="S349" t="str">
        <f>VLOOKUP(J349,Teams!A:B,2,FALSE)</f>
        <v>GER</v>
      </c>
      <c r="T349" t="str">
        <f>VLOOKUP(M349,Teams!A:B,2,FALSE)</f>
        <v>ENG</v>
      </c>
    </row>
    <row r="350" spans="1:20" x14ac:dyDescent="0.25">
      <c r="A350" t="str">
        <f>F350&amp;"-"&amp;B350</f>
        <v>FIFAWC1982-41</v>
      </c>
      <c r="B350" s="4">
        <v>41</v>
      </c>
      <c r="C350" s="3">
        <v>30133</v>
      </c>
      <c r="D350" s="7">
        <v>0.92708333333333337</v>
      </c>
      <c r="E350">
        <v>1982</v>
      </c>
      <c r="F350" t="s">
        <v>1730</v>
      </c>
      <c r="G350" t="s">
        <v>1741</v>
      </c>
      <c r="H350" t="s">
        <v>1122</v>
      </c>
      <c r="I350" t="s">
        <v>1134</v>
      </c>
      <c r="J350" t="s">
        <v>751</v>
      </c>
      <c r="K350">
        <v>2</v>
      </c>
      <c r="L350">
        <v>2</v>
      </c>
      <c r="M350" t="s">
        <v>1033</v>
      </c>
      <c r="O350" t="s">
        <v>1219</v>
      </c>
      <c r="P350" t="s">
        <v>1224</v>
      </c>
      <c r="Q350">
        <v>20000</v>
      </c>
      <c r="R350" t="s">
        <v>1157</v>
      </c>
      <c r="S350" t="str">
        <f>VLOOKUP(J350,Teams!A:B,2,FALSE)</f>
        <v>AUT</v>
      </c>
      <c r="T350" t="str">
        <f>VLOOKUP(M350,Teams!A:B,2,FALSE)</f>
        <v>NIR</v>
      </c>
    </row>
    <row r="351" spans="1:20" x14ac:dyDescent="0.25">
      <c r="A351" t="str">
        <f t="shared" si="6"/>
        <v>FIFAWC1982-42</v>
      </c>
      <c r="B351" s="4">
        <v>42</v>
      </c>
      <c r="C351" s="3">
        <v>30134</v>
      </c>
      <c r="D351" s="7">
        <v>8.3333333333333329E-2</v>
      </c>
      <c r="E351">
        <v>1982</v>
      </c>
      <c r="F351" t="s">
        <v>1730</v>
      </c>
      <c r="G351" t="s">
        <v>1741</v>
      </c>
      <c r="H351" t="s">
        <v>1122</v>
      </c>
      <c r="I351" t="s">
        <v>1131</v>
      </c>
      <c r="J351" t="s">
        <v>756</v>
      </c>
      <c r="K351">
        <v>0</v>
      </c>
      <c r="L351">
        <v>1</v>
      </c>
      <c r="M351" t="s">
        <v>1754</v>
      </c>
      <c r="O351" t="s">
        <v>1214</v>
      </c>
      <c r="P351" t="s">
        <v>1225</v>
      </c>
      <c r="Q351">
        <v>45000</v>
      </c>
      <c r="R351" t="s">
        <v>1157</v>
      </c>
      <c r="S351" t="str">
        <f>VLOOKUP(J351,Teams!A:B,2,FALSE)</f>
        <v>BEL</v>
      </c>
      <c r="T351" t="str">
        <f>VLOOKUP(M351,Teams!A:B,2,FALSE)</f>
        <v>URS</v>
      </c>
    </row>
    <row r="352" spans="1:20" x14ac:dyDescent="0.25">
      <c r="A352" t="str">
        <f>F352&amp;"-"&amp;B352</f>
        <v>FIFAWC1982-43</v>
      </c>
      <c r="B352" s="4">
        <v>43</v>
      </c>
      <c r="C352" s="3">
        <v>30134</v>
      </c>
      <c r="D352" s="7">
        <v>0.92708333333333337</v>
      </c>
      <c r="E352">
        <v>1982</v>
      </c>
      <c r="F352" t="s">
        <v>1730</v>
      </c>
      <c r="G352" t="s">
        <v>1741</v>
      </c>
      <c r="H352" t="s">
        <v>1122</v>
      </c>
      <c r="I352" t="s">
        <v>1133</v>
      </c>
      <c r="J352" t="s">
        <v>749</v>
      </c>
      <c r="K352">
        <v>1</v>
      </c>
      <c r="L352">
        <v>3</v>
      </c>
      <c r="M352" t="s">
        <v>760</v>
      </c>
      <c r="O352" t="s">
        <v>1216</v>
      </c>
      <c r="P352" t="s">
        <v>1222</v>
      </c>
      <c r="Q352">
        <v>43000</v>
      </c>
      <c r="R352" t="s">
        <v>1157</v>
      </c>
      <c r="S352" t="str">
        <f>VLOOKUP(J352,Teams!A:B,2,FALSE)</f>
        <v>ARG</v>
      </c>
      <c r="T352" t="str">
        <f>VLOOKUP(M352,Teams!A:B,2,FALSE)</f>
        <v>BRA</v>
      </c>
    </row>
    <row r="353" spans="1:20" x14ac:dyDescent="0.25">
      <c r="A353" t="str">
        <f t="shared" si="6"/>
        <v>FIFAWC1982-44</v>
      </c>
      <c r="B353" s="4">
        <v>44</v>
      </c>
      <c r="C353" s="3">
        <v>30135</v>
      </c>
      <c r="D353" s="7">
        <v>8.3333333333333329E-2</v>
      </c>
      <c r="E353">
        <v>1982</v>
      </c>
      <c r="F353" t="s">
        <v>1730</v>
      </c>
      <c r="G353" t="s">
        <v>1741</v>
      </c>
      <c r="H353" t="s">
        <v>1122</v>
      </c>
      <c r="I353" t="s">
        <v>1132</v>
      </c>
      <c r="J353" t="s">
        <v>797</v>
      </c>
      <c r="K353">
        <v>2</v>
      </c>
      <c r="L353">
        <v>1</v>
      </c>
      <c r="M353" t="s">
        <v>895</v>
      </c>
      <c r="O353" t="s">
        <v>1208</v>
      </c>
      <c r="P353" t="s">
        <v>1223</v>
      </c>
      <c r="Q353">
        <v>90089</v>
      </c>
      <c r="R353" t="s">
        <v>1157</v>
      </c>
      <c r="S353" t="str">
        <f>VLOOKUP(J353,Teams!A:B,2,FALSE)</f>
        <v>GER</v>
      </c>
      <c r="T353" t="str">
        <f>VLOOKUP(M353,Teams!A:B,2,FALSE)</f>
        <v>ESP</v>
      </c>
    </row>
    <row r="354" spans="1:20" x14ac:dyDescent="0.25">
      <c r="A354" t="str">
        <f>F354&amp;"-"&amp;B354</f>
        <v>FIFAWC1982-45</v>
      </c>
      <c r="B354" s="4">
        <v>45</v>
      </c>
      <c r="C354" s="3">
        <v>30136</v>
      </c>
      <c r="D354" s="7">
        <v>0.92708333333333337</v>
      </c>
      <c r="E354">
        <v>1982</v>
      </c>
      <c r="F354" t="s">
        <v>1730</v>
      </c>
      <c r="G354" t="s">
        <v>1741</v>
      </c>
      <c r="H354" t="s">
        <v>1122</v>
      </c>
      <c r="I354" t="s">
        <v>1134</v>
      </c>
      <c r="J354" t="s">
        <v>224</v>
      </c>
      <c r="K354">
        <v>4</v>
      </c>
      <c r="L354">
        <v>1</v>
      </c>
      <c r="M354" t="s">
        <v>1033</v>
      </c>
      <c r="O354" t="s">
        <v>1219</v>
      </c>
      <c r="P354" t="s">
        <v>1220</v>
      </c>
      <c r="Q354">
        <v>37000</v>
      </c>
      <c r="R354" t="s">
        <v>1157</v>
      </c>
      <c r="S354" t="str">
        <f>VLOOKUP(J354,Teams!A:B,2,FALSE)</f>
        <v>FRA</v>
      </c>
      <c r="T354" t="str">
        <f>VLOOKUP(M354,Teams!A:B,2,FALSE)</f>
        <v>NIR</v>
      </c>
    </row>
    <row r="355" spans="1:20" x14ac:dyDescent="0.25">
      <c r="A355" t="str">
        <f t="shared" si="6"/>
        <v>FIFAWC1982-46</v>
      </c>
      <c r="B355" s="4">
        <v>46</v>
      </c>
      <c r="C355" s="3">
        <v>30137</v>
      </c>
      <c r="D355" s="7">
        <v>8.3333333333333329E-2</v>
      </c>
      <c r="E355">
        <v>1982</v>
      </c>
      <c r="F355" t="s">
        <v>1730</v>
      </c>
      <c r="G355" t="s">
        <v>1741</v>
      </c>
      <c r="H355" t="s">
        <v>1122</v>
      </c>
      <c r="I355" t="s">
        <v>1131</v>
      </c>
      <c r="J355" t="s">
        <v>870</v>
      </c>
      <c r="K355">
        <v>0</v>
      </c>
      <c r="L355">
        <v>0</v>
      </c>
      <c r="M355" t="s">
        <v>1754</v>
      </c>
      <c r="O355" t="s">
        <v>1214</v>
      </c>
      <c r="P355" t="s">
        <v>1221</v>
      </c>
      <c r="Q355">
        <v>65000</v>
      </c>
      <c r="R355" t="s">
        <v>1157</v>
      </c>
      <c r="S355" t="str">
        <f>VLOOKUP(J355,Teams!A:B,2,FALSE)</f>
        <v>POL</v>
      </c>
      <c r="T355" t="str">
        <f>VLOOKUP(M355,Teams!A:B,2,FALSE)</f>
        <v>URS</v>
      </c>
    </row>
    <row r="356" spans="1:20" x14ac:dyDescent="0.25">
      <c r="A356" t="str">
        <f>F356&amp;"-"&amp;B356</f>
        <v>FIFAWC1982-47</v>
      </c>
      <c r="B356" s="4">
        <v>47</v>
      </c>
      <c r="C356" s="3">
        <v>30137</v>
      </c>
      <c r="D356" s="7">
        <v>0.92708333333333337</v>
      </c>
      <c r="E356">
        <v>1982</v>
      </c>
      <c r="F356" t="s">
        <v>1730</v>
      </c>
      <c r="G356" t="s">
        <v>1741</v>
      </c>
      <c r="H356" t="s">
        <v>1122</v>
      </c>
      <c r="I356" t="s">
        <v>1133</v>
      </c>
      <c r="J356" t="s">
        <v>817</v>
      </c>
      <c r="K356">
        <v>3</v>
      </c>
      <c r="L356">
        <v>2</v>
      </c>
      <c r="M356" t="s">
        <v>760</v>
      </c>
      <c r="O356" t="s">
        <v>1216</v>
      </c>
      <c r="P356" t="s">
        <v>1217</v>
      </c>
      <c r="Q356">
        <v>44000</v>
      </c>
      <c r="R356" t="s">
        <v>1157</v>
      </c>
      <c r="S356" t="str">
        <f>VLOOKUP(J356,Teams!A:B,2,FALSE)</f>
        <v>ITA</v>
      </c>
      <c r="T356" t="str">
        <f>VLOOKUP(M356,Teams!A:B,2,FALSE)</f>
        <v>BRA</v>
      </c>
    </row>
    <row r="357" spans="1:20" x14ac:dyDescent="0.25">
      <c r="A357" t="str">
        <f t="shared" si="6"/>
        <v>FIFAWC1982-48</v>
      </c>
      <c r="B357" s="4">
        <v>48</v>
      </c>
      <c r="C357" s="3">
        <v>30138</v>
      </c>
      <c r="D357" s="7">
        <v>8.3333333333333329E-2</v>
      </c>
      <c r="E357">
        <v>1982</v>
      </c>
      <c r="F357" t="s">
        <v>1730</v>
      </c>
      <c r="G357" t="s">
        <v>1741</v>
      </c>
      <c r="H357" t="s">
        <v>1122</v>
      </c>
      <c r="I357" t="s">
        <v>1132</v>
      </c>
      <c r="J357" t="s">
        <v>895</v>
      </c>
      <c r="K357">
        <v>0</v>
      </c>
      <c r="L357">
        <v>0</v>
      </c>
      <c r="M357" t="s">
        <v>1021</v>
      </c>
      <c r="O357" t="s">
        <v>1208</v>
      </c>
      <c r="P357" t="s">
        <v>1218</v>
      </c>
      <c r="Q357">
        <v>75000</v>
      </c>
      <c r="R357" t="s">
        <v>1157</v>
      </c>
      <c r="S357" t="str">
        <f>VLOOKUP(J357,Teams!A:B,2,FALSE)</f>
        <v>ESP</v>
      </c>
      <c r="T357" t="str">
        <f>VLOOKUP(M357,Teams!A:B,2,FALSE)</f>
        <v>ENG</v>
      </c>
    </row>
    <row r="358" spans="1:20" x14ac:dyDescent="0.25">
      <c r="A358" t="str">
        <f t="shared" si="6"/>
        <v>FIFAWC1982-49</v>
      </c>
      <c r="B358" s="4">
        <v>49</v>
      </c>
      <c r="C358" s="3">
        <v>30140</v>
      </c>
      <c r="D358" s="7">
        <v>0.92708333333333337</v>
      </c>
      <c r="E358">
        <v>1982</v>
      </c>
      <c r="F358" t="s">
        <v>1730</v>
      </c>
      <c r="G358" t="s">
        <v>1741</v>
      </c>
      <c r="H358" t="s">
        <v>1759</v>
      </c>
      <c r="I358" t="s">
        <v>1140</v>
      </c>
      <c r="J358" t="s">
        <v>870</v>
      </c>
      <c r="K358">
        <v>0</v>
      </c>
      <c r="L358">
        <v>2</v>
      </c>
      <c r="M358" t="s">
        <v>817</v>
      </c>
      <c r="O358" t="s">
        <v>1214</v>
      </c>
      <c r="P358" t="s">
        <v>1215</v>
      </c>
      <c r="Q358">
        <v>50000</v>
      </c>
      <c r="R358" t="s">
        <v>1157</v>
      </c>
      <c r="S358" t="str">
        <f>VLOOKUP(J358,Teams!A:B,2,FALSE)</f>
        <v>POL</v>
      </c>
      <c r="T358" t="str">
        <f>VLOOKUP(M358,Teams!A:B,2,FALSE)</f>
        <v>ITA</v>
      </c>
    </row>
    <row r="359" spans="1:20" x14ac:dyDescent="0.25">
      <c r="A359" t="str">
        <f t="shared" si="6"/>
        <v>FIFAWC1982-50</v>
      </c>
      <c r="B359" s="4">
        <v>50</v>
      </c>
      <c r="C359" s="3">
        <v>30141</v>
      </c>
      <c r="D359" s="7">
        <v>8.3333333333333329E-2</v>
      </c>
      <c r="E359">
        <v>1982</v>
      </c>
      <c r="F359" t="s">
        <v>1730</v>
      </c>
      <c r="G359" t="s">
        <v>1741</v>
      </c>
      <c r="H359" t="s">
        <v>1759</v>
      </c>
      <c r="I359" t="s">
        <v>1140</v>
      </c>
      <c r="J359" t="s">
        <v>797</v>
      </c>
      <c r="K359">
        <v>3</v>
      </c>
      <c r="L359">
        <v>3</v>
      </c>
      <c r="M359" t="s">
        <v>224</v>
      </c>
      <c r="N359" t="s">
        <v>1767</v>
      </c>
      <c r="O359" t="s">
        <v>1212</v>
      </c>
      <c r="P359" t="s">
        <v>1213</v>
      </c>
      <c r="Q359">
        <v>70000</v>
      </c>
      <c r="R359" t="s">
        <v>1157</v>
      </c>
      <c r="S359" t="str">
        <f>VLOOKUP(J359,Teams!A:B,2,FALSE)</f>
        <v>GER</v>
      </c>
      <c r="T359" t="str">
        <f>VLOOKUP(M359,Teams!A:B,2,FALSE)</f>
        <v>FRA</v>
      </c>
    </row>
    <row r="360" spans="1:20" x14ac:dyDescent="0.25">
      <c r="A360" t="str">
        <f t="shared" si="6"/>
        <v>FIFAWC1982-51</v>
      </c>
      <c r="B360" s="4">
        <v>51</v>
      </c>
      <c r="C360" s="3">
        <v>30143</v>
      </c>
      <c r="D360" s="7">
        <v>4.1666666666666664E-2</v>
      </c>
      <c r="E360">
        <v>1982</v>
      </c>
      <c r="F360" t="s">
        <v>1730</v>
      </c>
      <c r="G360" t="s">
        <v>1741</v>
      </c>
      <c r="H360" t="s">
        <v>1759</v>
      </c>
      <c r="I360" t="s">
        <v>1018</v>
      </c>
      <c r="J360" t="s">
        <v>870</v>
      </c>
      <c r="K360">
        <v>3</v>
      </c>
      <c r="L360">
        <v>2</v>
      </c>
      <c r="M360" t="s">
        <v>224</v>
      </c>
      <c r="O360" t="s">
        <v>1210</v>
      </c>
      <c r="P360" t="s">
        <v>1211</v>
      </c>
      <c r="Q360">
        <v>28000</v>
      </c>
      <c r="R360" t="s">
        <v>1157</v>
      </c>
      <c r="S360" t="str">
        <f>VLOOKUP(J360,Teams!A:B,2,FALSE)</f>
        <v>POL</v>
      </c>
      <c r="T360" t="str">
        <f>VLOOKUP(M360,Teams!A:B,2,FALSE)</f>
        <v>FRA</v>
      </c>
    </row>
    <row r="361" spans="1:20" x14ac:dyDescent="0.25">
      <c r="A361" t="str">
        <f t="shared" si="6"/>
        <v>FIFAWC1982-52</v>
      </c>
      <c r="B361" s="4">
        <v>52</v>
      </c>
      <c r="C361" s="3">
        <v>30144</v>
      </c>
      <c r="D361" s="7">
        <v>4.1666666666666664E-2</v>
      </c>
      <c r="E361">
        <v>1982</v>
      </c>
      <c r="F361" t="s">
        <v>1730</v>
      </c>
      <c r="G361" t="s">
        <v>1741</v>
      </c>
      <c r="H361" t="s">
        <v>1759</v>
      </c>
      <c r="I361" t="s">
        <v>1141</v>
      </c>
      <c r="J361" t="s">
        <v>817</v>
      </c>
      <c r="K361">
        <v>3</v>
      </c>
      <c r="L361">
        <v>1</v>
      </c>
      <c r="M361" t="s">
        <v>797</v>
      </c>
      <c r="O361" t="s">
        <v>1208</v>
      </c>
      <c r="P361" t="s">
        <v>1209</v>
      </c>
      <c r="Q361">
        <v>90000</v>
      </c>
      <c r="R361" t="s">
        <v>1157</v>
      </c>
      <c r="S361" t="str">
        <f>VLOOKUP(J361,Teams!A:B,2,FALSE)</f>
        <v>ITA</v>
      </c>
      <c r="T361" t="str">
        <f>VLOOKUP(M361,Teams!A:B,2,FALSE)</f>
        <v>GER</v>
      </c>
    </row>
    <row r="362" spans="1:20" x14ac:dyDescent="0.25">
      <c r="A362" t="str">
        <f t="shared" si="6"/>
        <v>FIFAWC1986-1</v>
      </c>
      <c r="B362" s="4">
        <v>1</v>
      </c>
      <c r="C362" s="3">
        <v>31564</v>
      </c>
      <c r="D362" s="7">
        <v>1</v>
      </c>
      <c r="E362">
        <v>1986</v>
      </c>
      <c r="F362" t="s">
        <v>1731</v>
      </c>
      <c r="G362" t="s">
        <v>1741</v>
      </c>
      <c r="H362" t="s">
        <v>1122</v>
      </c>
      <c r="I362" t="s">
        <v>1743</v>
      </c>
      <c r="J362" t="s">
        <v>761</v>
      </c>
      <c r="K362">
        <v>1</v>
      </c>
      <c r="L362">
        <v>1</v>
      </c>
      <c r="M362" t="s">
        <v>817</v>
      </c>
      <c r="O362" t="s">
        <v>1181</v>
      </c>
      <c r="P362" t="s">
        <v>1207</v>
      </c>
      <c r="Q362">
        <v>96000</v>
      </c>
      <c r="R362" t="s">
        <v>1157</v>
      </c>
      <c r="S362" t="str">
        <f>VLOOKUP(J362,Teams!A:B,2,FALSE)</f>
        <v>BUL</v>
      </c>
      <c r="T362" t="str">
        <f>VLOOKUP(M362,Teams!A:B,2,FALSE)</f>
        <v>ITA</v>
      </c>
    </row>
    <row r="363" spans="1:20" x14ac:dyDescent="0.25">
      <c r="A363" t="str">
        <f>F363&amp;"-"&amp;B363</f>
        <v>FIFAWC1986-2</v>
      </c>
      <c r="B363" s="4">
        <v>2</v>
      </c>
      <c r="C363" s="3">
        <v>31565</v>
      </c>
      <c r="D363" s="7">
        <v>1</v>
      </c>
      <c r="E363">
        <v>1986</v>
      </c>
      <c r="F363" t="s">
        <v>1731</v>
      </c>
      <c r="G363" t="s">
        <v>1741</v>
      </c>
      <c r="H363" t="s">
        <v>1122</v>
      </c>
      <c r="I363" t="s">
        <v>1745</v>
      </c>
      <c r="J363" t="s">
        <v>760</v>
      </c>
      <c r="K363">
        <v>1</v>
      </c>
      <c r="L363">
        <v>0</v>
      </c>
      <c r="M363" t="s">
        <v>895</v>
      </c>
      <c r="O363" t="s">
        <v>1185</v>
      </c>
      <c r="P363" t="s">
        <v>1205</v>
      </c>
      <c r="Q363">
        <v>35748</v>
      </c>
      <c r="R363" t="s">
        <v>1157</v>
      </c>
      <c r="S363" t="str">
        <f>VLOOKUP(J363,Teams!A:B,2,FALSE)</f>
        <v>BRA</v>
      </c>
      <c r="T363" t="str">
        <f>VLOOKUP(M363,Teams!A:B,2,FALSE)</f>
        <v>ESP</v>
      </c>
    </row>
    <row r="364" spans="1:20" x14ac:dyDescent="0.25">
      <c r="A364" t="str">
        <f t="shared" si="6"/>
        <v>FIFAWC1986-3</v>
      </c>
      <c r="B364" s="4">
        <v>3</v>
      </c>
      <c r="C364" s="3">
        <v>31565</v>
      </c>
      <c r="D364" s="7">
        <v>0.16666666666666666</v>
      </c>
      <c r="E364">
        <v>1986</v>
      </c>
      <c r="F364" t="s">
        <v>1731</v>
      </c>
      <c r="G364" t="s">
        <v>1741</v>
      </c>
      <c r="H364" t="s">
        <v>1122</v>
      </c>
      <c r="I364" t="s">
        <v>1744</v>
      </c>
      <c r="J364" t="s">
        <v>109</v>
      </c>
      <c r="K364">
        <v>0</v>
      </c>
      <c r="L364">
        <v>1</v>
      </c>
      <c r="M364" t="s">
        <v>224</v>
      </c>
      <c r="O364" t="s">
        <v>1189</v>
      </c>
      <c r="P364" t="s">
        <v>1206</v>
      </c>
      <c r="Q364">
        <v>36000</v>
      </c>
      <c r="R364" t="s">
        <v>1157</v>
      </c>
      <c r="S364" t="str">
        <f>VLOOKUP(J364,Teams!A:B,2,FALSE)</f>
        <v>CAN</v>
      </c>
      <c r="T364" t="str">
        <f>VLOOKUP(M364,Teams!A:B,2,FALSE)</f>
        <v>FRA</v>
      </c>
    </row>
    <row r="365" spans="1:20" x14ac:dyDescent="0.25">
      <c r="A365" t="str">
        <f t="shared" si="6"/>
        <v>FIFAWC1986-4</v>
      </c>
      <c r="B365" s="4">
        <v>4</v>
      </c>
      <c r="C365" s="3">
        <v>31566</v>
      </c>
      <c r="D365" s="7">
        <v>1</v>
      </c>
      <c r="E365">
        <v>1986</v>
      </c>
      <c r="F365" t="s">
        <v>1731</v>
      </c>
      <c r="G365" t="s">
        <v>1741</v>
      </c>
      <c r="H365" t="s">
        <v>1122</v>
      </c>
      <c r="I365" t="s">
        <v>1743</v>
      </c>
      <c r="J365" t="s">
        <v>1056</v>
      </c>
      <c r="K365">
        <v>1</v>
      </c>
      <c r="L365">
        <v>3</v>
      </c>
      <c r="M365" t="s">
        <v>749</v>
      </c>
      <c r="O365" t="s">
        <v>1191</v>
      </c>
      <c r="P365" t="s">
        <v>1204</v>
      </c>
      <c r="Q365">
        <v>60000</v>
      </c>
      <c r="R365" t="s">
        <v>1157</v>
      </c>
      <c r="S365" t="str">
        <f>VLOOKUP(J365,Teams!A:B,2,FALSE)</f>
        <v>KOR</v>
      </c>
      <c r="T365" t="str">
        <f>VLOOKUP(M365,Teams!A:B,2,FALSE)</f>
        <v>ARG</v>
      </c>
    </row>
    <row r="366" spans="1:20" x14ac:dyDescent="0.25">
      <c r="A366" t="str">
        <f t="shared" si="6"/>
        <v>FIFAWC1986-5</v>
      </c>
      <c r="B366" s="4">
        <v>5</v>
      </c>
      <c r="C366" s="3">
        <v>31566</v>
      </c>
      <c r="D366" s="7">
        <v>1</v>
      </c>
      <c r="E366">
        <v>1986</v>
      </c>
      <c r="F366" t="s">
        <v>1731</v>
      </c>
      <c r="G366" t="s">
        <v>1741</v>
      </c>
      <c r="H366" t="s">
        <v>1122</v>
      </c>
      <c r="I366" t="s">
        <v>1744</v>
      </c>
      <c r="J366" t="s">
        <v>1754</v>
      </c>
      <c r="K366">
        <v>6</v>
      </c>
      <c r="L366">
        <v>0</v>
      </c>
      <c r="M366" t="s">
        <v>297</v>
      </c>
      <c r="O366" t="s">
        <v>1187</v>
      </c>
      <c r="P366" t="s">
        <v>1203</v>
      </c>
      <c r="Q366">
        <v>16500</v>
      </c>
      <c r="R366" t="s">
        <v>1157</v>
      </c>
      <c r="S366" t="str">
        <f>VLOOKUP(J366,Teams!A:B,2,FALSE)</f>
        <v>URS</v>
      </c>
      <c r="T366" t="str">
        <f>VLOOKUP(M366,Teams!A:B,2,FALSE)</f>
        <v>HUN</v>
      </c>
    </row>
    <row r="367" spans="1:20" x14ac:dyDescent="0.25">
      <c r="A367" t="str">
        <f t="shared" si="6"/>
        <v>FIFAWC1986-6</v>
      </c>
      <c r="B367" s="4">
        <v>6</v>
      </c>
      <c r="C367" s="3">
        <v>31566</v>
      </c>
      <c r="D367" s="7">
        <v>0.16666666666666666</v>
      </c>
      <c r="E367">
        <v>1986</v>
      </c>
      <c r="F367" t="s">
        <v>1731</v>
      </c>
      <c r="G367" t="s">
        <v>1741</v>
      </c>
      <c r="H367" t="s">
        <v>1122</v>
      </c>
      <c r="I367" t="s">
        <v>1747</v>
      </c>
      <c r="J367" t="s">
        <v>849</v>
      </c>
      <c r="K367">
        <v>0</v>
      </c>
      <c r="L367">
        <v>0</v>
      </c>
      <c r="M367" t="s">
        <v>870</v>
      </c>
      <c r="O367" t="s">
        <v>1177</v>
      </c>
      <c r="P367" t="s">
        <v>1202</v>
      </c>
      <c r="Q367">
        <v>19900</v>
      </c>
      <c r="R367" t="s">
        <v>1157</v>
      </c>
      <c r="S367" t="str">
        <f>VLOOKUP(J367,Teams!A:B,2,FALSE)</f>
        <v>MAR</v>
      </c>
      <c r="T367" t="str">
        <f>VLOOKUP(M367,Teams!A:B,2,FALSE)</f>
        <v>POL</v>
      </c>
    </row>
    <row r="368" spans="1:20" x14ac:dyDescent="0.25">
      <c r="A368" t="str">
        <f t="shared" si="6"/>
        <v>FIFAWC1986-7</v>
      </c>
      <c r="B368" s="4">
        <v>7</v>
      </c>
      <c r="C368" s="3">
        <v>31567</v>
      </c>
      <c r="D368" s="7">
        <v>1</v>
      </c>
      <c r="E368">
        <v>1986</v>
      </c>
      <c r="F368" t="s">
        <v>1731</v>
      </c>
      <c r="G368" t="s">
        <v>1741</v>
      </c>
      <c r="H368" t="s">
        <v>1122</v>
      </c>
      <c r="I368" t="s">
        <v>1742</v>
      </c>
      <c r="J368" t="s">
        <v>756</v>
      </c>
      <c r="K368">
        <v>1</v>
      </c>
      <c r="L368">
        <v>2</v>
      </c>
      <c r="M368" t="s">
        <v>845</v>
      </c>
      <c r="O368" t="s">
        <v>1181</v>
      </c>
      <c r="P368" t="s">
        <v>1201</v>
      </c>
      <c r="Q368">
        <v>110000</v>
      </c>
      <c r="R368" t="s">
        <v>1157</v>
      </c>
      <c r="S368" t="str">
        <f>VLOOKUP(J368,Teams!A:B,2,FALSE)</f>
        <v>BEL</v>
      </c>
      <c r="T368" t="str">
        <f>VLOOKUP(M368,Teams!A:B,2,FALSE)</f>
        <v>MEX</v>
      </c>
    </row>
    <row r="369" spans="1:20" x14ac:dyDescent="0.25">
      <c r="A369" t="str">
        <f t="shared" si="6"/>
        <v>FIFAWC1986-8</v>
      </c>
      <c r="B369" s="4">
        <v>8</v>
      </c>
      <c r="C369" s="3">
        <v>31567</v>
      </c>
      <c r="D369" s="7">
        <v>1</v>
      </c>
      <c r="E369">
        <v>1986</v>
      </c>
      <c r="F369" t="s">
        <v>1731</v>
      </c>
      <c r="G369" t="s">
        <v>1741</v>
      </c>
      <c r="H369" t="s">
        <v>1122</v>
      </c>
      <c r="I369" t="s">
        <v>1745</v>
      </c>
      <c r="J369" t="s">
        <v>745</v>
      </c>
      <c r="K369">
        <v>1</v>
      </c>
      <c r="L369">
        <v>1</v>
      </c>
      <c r="M369" t="s">
        <v>1033</v>
      </c>
      <c r="O369" t="s">
        <v>1179</v>
      </c>
      <c r="P369" t="s">
        <v>1200</v>
      </c>
      <c r="Q369">
        <v>22000</v>
      </c>
      <c r="R369" t="s">
        <v>1157</v>
      </c>
      <c r="S369" t="str">
        <f>VLOOKUP(J369,Teams!A:B,2,FALSE)</f>
        <v>ALG</v>
      </c>
      <c r="T369" t="str">
        <f>VLOOKUP(M369,Teams!A:B,2,FALSE)</f>
        <v>NIR</v>
      </c>
    </row>
    <row r="370" spans="1:20" x14ac:dyDescent="0.25">
      <c r="A370" t="str">
        <f t="shared" si="6"/>
        <v>FIFAWC1986-9</v>
      </c>
      <c r="B370" s="4">
        <v>9</v>
      </c>
      <c r="C370" s="3">
        <v>31567</v>
      </c>
      <c r="D370" s="7">
        <v>0.16666666666666666</v>
      </c>
      <c r="E370">
        <v>1986</v>
      </c>
      <c r="F370" t="s">
        <v>1731</v>
      </c>
      <c r="G370" t="s">
        <v>1741</v>
      </c>
      <c r="H370" t="s">
        <v>1122</v>
      </c>
      <c r="I370" t="s">
        <v>1747</v>
      </c>
      <c r="J370" t="s">
        <v>871</v>
      </c>
      <c r="K370">
        <v>1</v>
      </c>
      <c r="L370">
        <v>0</v>
      </c>
      <c r="M370" t="s">
        <v>1021</v>
      </c>
      <c r="O370" t="s">
        <v>1183</v>
      </c>
      <c r="P370" t="s">
        <v>1199</v>
      </c>
      <c r="Q370">
        <v>23000</v>
      </c>
      <c r="R370" t="s">
        <v>1157</v>
      </c>
      <c r="S370" t="str">
        <f>VLOOKUP(J370,Teams!A:B,2,FALSE)</f>
        <v>POR</v>
      </c>
      <c r="T370" t="str">
        <f>VLOOKUP(M370,Teams!A:B,2,FALSE)</f>
        <v>ENG</v>
      </c>
    </row>
    <row r="371" spans="1:20" x14ac:dyDescent="0.25">
      <c r="A371" t="str">
        <f t="shared" si="6"/>
        <v>FIFAWC1986-10</v>
      </c>
      <c r="B371" s="4">
        <v>10</v>
      </c>
      <c r="C371" s="3">
        <v>31568</v>
      </c>
      <c r="D371" s="7">
        <v>1</v>
      </c>
      <c r="E371">
        <v>1986</v>
      </c>
      <c r="F371" t="s">
        <v>1731</v>
      </c>
      <c r="G371" t="s">
        <v>1741</v>
      </c>
      <c r="H371" t="s">
        <v>1122</v>
      </c>
      <c r="I371" t="s">
        <v>1742</v>
      </c>
      <c r="J371" t="s">
        <v>866</v>
      </c>
      <c r="K371">
        <v>1</v>
      </c>
      <c r="L371">
        <v>0</v>
      </c>
      <c r="M371" t="s">
        <v>814</v>
      </c>
      <c r="O371" t="s">
        <v>1175</v>
      </c>
      <c r="P371" t="s">
        <v>1198</v>
      </c>
      <c r="Q371">
        <v>24000</v>
      </c>
      <c r="R371" t="s">
        <v>1157</v>
      </c>
      <c r="S371" t="str">
        <f>VLOOKUP(J371,Teams!A:B,2,FALSE)</f>
        <v>PAR</v>
      </c>
      <c r="T371" t="str">
        <f>VLOOKUP(M371,Teams!A:B,2,FALSE)</f>
        <v>IRQ</v>
      </c>
    </row>
    <row r="372" spans="1:20" x14ac:dyDescent="0.25">
      <c r="A372" t="str">
        <f t="shared" si="6"/>
        <v>FIFAWC1986-11</v>
      </c>
      <c r="B372" s="4">
        <v>11</v>
      </c>
      <c r="C372" s="3">
        <v>31568</v>
      </c>
      <c r="D372" s="7">
        <v>1</v>
      </c>
      <c r="E372">
        <v>1986</v>
      </c>
      <c r="F372" t="s">
        <v>1731</v>
      </c>
      <c r="G372" t="s">
        <v>1741</v>
      </c>
      <c r="H372" t="s">
        <v>1122</v>
      </c>
      <c r="I372" t="s">
        <v>1746</v>
      </c>
      <c r="J372" t="s">
        <v>916</v>
      </c>
      <c r="K372">
        <v>1</v>
      </c>
      <c r="L372">
        <v>1</v>
      </c>
      <c r="M372" t="s">
        <v>797</v>
      </c>
      <c r="O372" t="s">
        <v>1173</v>
      </c>
      <c r="P372" t="s">
        <v>1197</v>
      </c>
      <c r="Q372">
        <v>30500</v>
      </c>
      <c r="R372" t="s">
        <v>1157</v>
      </c>
      <c r="S372" t="str">
        <f>VLOOKUP(J372,Teams!A:B,2,FALSE)</f>
        <v>URU</v>
      </c>
      <c r="T372" t="str">
        <f>VLOOKUP(M372,Teams!A:B,2,FALSE)</f>
        <v>GER</v>
      </c>
    </row>
    <row r="373" spans="1:20" x14ac:dyDescent="0.25">
      <c r="A373" t="str">
        <f t="shared" si="6"/>
        <v>FIFAWC1986-12</v>
      </c>
      <c r="B373" s="4">
        <v>12</v>
      </c>
      <c r="C373" s="3">
        <v>31568</v>
      </c>
      <c r="D373" s="7">
        <v>0.16666666666666666</v>
      </c>
      <c r="E373">
        <v>1986</v>
      </c>
      <c r="F373" t="s">
        <v>1731</v>
      </c>
      <c r="G373" t="s">
        <v>1741</v>
      </c>
      <c r="H373" t="s">
        <v>1122</v>
      </c>
      <c r="I373" t="s">
        <v>1746</v>
      </c>
      <c r="J373" t="s">
        <v>1026</v>
      </c>
      <c r="K373">
        <v>0</v>
      </c>
      <c r="L373">
        <v>1</v>
      </c>
      <c r="M373" t="s">
        <v>211</v>
      </c>
      <c r="O373" t="s">
        <v>1195</v>
      </c>
      <c r="P373" t="s">
        <v>1196</v>
      </c>
      <c r="Q373">
        <v>18000</v>
      </c>
      <c r="R373" t="s">
        <v>1157</v>
      </c>
      <c r="S373" t="str">
        <f>VLOOKUP(J373,Teams!A:B,2,FALSE)</f>
        <v>SCO</v>
      </c>
      <c r="T373" t="str">
        <f>VLOOKUP(M373,Teams!A:B,2,FALSE)</f>
        <v>DEN</v>
      </c>
    </row>
    <row r="374" spans="1:20" x14ac:dyDescent="0.25">
      <c r="A374" t="str">
        <f t="shared" si="6"/>
        <v>FIFAWC1986-13</v>
      </c>
      <c r="B374" s="4">
        <v>13</v>
      </c>
      <c r="C374" s="3">
        <v>31569</v>
      </c>
      <c r="D374" s="7">
        <v>1</v>
      </c>
      <c r="E374">
        <v>1986</v>
      </c>
      <c r="F374" t="s">
        <v>1731</v>
      </c>
      <c r="G374" t="s">
        <v>1741</v>
      </c>
      <c r="H374" t="s">
        <v>1122</v>
      </c>
      <c r="I374" t="s">
        <v>1743</v>
      </c>
      <c r="J374" t="s">
        <v>817</v>
      </c>
      <c r="K374">
        <v>1</v>
      </c>
      <c r="L374">
        <v>1</v>
      </c>
      <c r="M374" t="s">
        <v>749</v>
      </c>
      <c r="O374" t="s">
        <v>1193</v>
      </c>
      <c r="P374" t="s">
        <v>1194</v>
      </c>
      <c r="Q374">
        <v>32000</v>
      </c>
      <c r="R374" t="s">
        <v>1157</v>
      </c>
      <c r="S374" t="str">
        <f>VLOOKUP(J374,Teams!A:B,2,FALSE)</f>
        <v>ITA</v>
      </c>
      <c r="T374" t="str">
        <f>VLOOKUP(M374,Teams!A:B,2,FALSE)</f>
        <v>ARG</v>
      </c>
    </row>
    <row r="375" spans="1:20" x14ac:dyDescent="0.25">
      <c r="A375" t="str">
        <f>F375&amp;"-"&amp;B375</f>
        <v>FIFAWC1986-14</v>
      </c>
      <c r="B375" s="4">
        <v>14</v>
      </c>
      <c r="C375" s="3">
        <v>31569</v>
      </c>
      <c r="D375" s="7">
        <v>1</v>
      </c>
      <c r="E375">
        <v>1986</v>
      </c>
      <c r="F375" t="s">
        <v>1731</v>
      </c>
      <c r="G375" t="s">
        <v>1741</v>
      </c>
      <c r="H375" t="s">
        <v>1122</v>
      </c>
      <c r="I375" t="s">
        <v>1744</v>
      </c>
      <c r="J375" t="s">
        <v>224</v>
      </c>
      <c r="K375">
        <v>1</v>
      </c>
      <c r="L375">
        <v>1</v>
      </c>
      <c r="M375" t="s">
        <v>1754</v>
      </c>
      <c r="O375" t="s">
        <v>1189</v>
      </c>
      <c r="P375" t="s">
        <v>1190</v>
      </c>
      <c r="Q375">
        <v>36540</v>
      </c>
      <c r="R375" t="s">
        <v>1157</v>
      </c>
      <c r="S375" t="str">
        <f>VLOOKUP(J375,Teams!A:B,2,FALSE)</f>
        <v>FRA</v>
      </c>
      <c r="T375" t="str">
        <f>VLOOKUP(M375,Teams!A:B,2,FALSE)</f>
        <v>URS</v>
      </c>
    </row>
    <row r="376" spans="1:20" x14ac:dyDescent="0.25">
      <c r="A376" t="str">
        <f t="shared" si="6"/>
        <v>FIFAWC1986-15</v>
      </c>
      <c r="B376" s="4">
        <v>15</v>
      </c>
      <c r="C376" s="3">
        <v>31569</v>
      </c>
      <c r="D376" s="7">
        <v>0.16666666666666666</v>
      </c>
      <c r="E376">
        <v>1986</v>
      </c>
      <c r="F376" t="s">
        <v>1731</v>
      </c>
      <c r="G376" t="s">
        <v>1741</v>
      </c>
      <c r="H376" t="s">
        <v>1122</v>
      </c>
      <c r="I376" t="s">
        <v>1743</v>
      </c>
      <c r="J376" t="s">
        <v>1056</v>
      </c>
      <c r="K376">
        <v>1</v>
      </c>
      <c r="L376">
        <v>1</v>
      </c>
      <c r="M376" t="s">
        <v>761</v>
      </c>
      <c r="O376" t="s">
        <v>1191</v>
      </c>
      <c r="P376" t="s">
        <v>1192</v>
      </c>
      <c r="Q376">
        <v>45000</v>
      </c>
      <c r="R376" t="s">
        <v>1157</v>
      </c>
      <c r="S376" t="str">
        <f>VLOOKUP(J376,Teams!A:B,2,FALSE)</f>
        <v>KOR</v>
      </c>
      <c r="T376" t="str">
        <f>VLOOKUP(M376,Teams!A:B,2,FALSE)</f>
        <v>BUL</v>
      </c>
    </row>
    <row r="377" spans="1:20" x14ac:dyDescent="0.25">
      <c r="A377" t="str">
        <f t="shared" si="6"/>
        <v>FIFAWC1986-16</v>
      </c>
      <c r="B377" s="4">
        <v>16</v>
      </c>
      <c r="C377" s="3">
        <v>31570</v>
      </c>
      <c r="D377" s="7">
        <v>1</v>
      </c>
      <c r="E377">
        <v>1986</v>
      </c>
      <c r="F377" t="s">
        <v>1731</v>
      </c>
      <c r="G377" t="s">
        <v>1741</v>
      </c>
      <c r="H377" t="s">
        <v>1122</v>
      </c>
      <c r="I377" t="s">
        <v>1744</v>
      </c>
      <c r="J377" t="s">
        <v>297</v>
      </c>
      <c r="K377">
        <v>2</v>
      </c>
      <c r="L377">
        <v>0</v>
      </c>
      <c r="M377" t="s">
        <v>109</v>
      </c>
      <c r="O377" t="s">
        <v>1187</v>
      </c>
      <c r="P377" t="s">
        <v>1188</v>
      </c>
      <c r="Q377">
        <v>13800</v>
      </c>
      <c r="R377" t="s">
        <v>1157</v>
      </c>
      <c r="S377" t="str">
        <f>VLOOKUP(J377,Teams!A:B,2,FALSE)</f>
        <v>HUN</v>
      </c>
      <c r="T377" t="str">
        <f>VLOOKUP(M377,Teams!A:B,2,FALSE)</f>
        <v>CAN</v>
      </c>
    </row>
    <row r="378" spans="1:20" x14ac:dyDescent="0.25">
      <c r="A378" t="str">
        <f t="shared" si="6"/>
        <v>FIFAWC1986-17</v>
      </c>
      <c r="B378" s="4">
        <v>17</v>
      </c>
      <c r="C378" s="3">
        <v>31570</v>
      </c>
      <c r="D378" s="7">
        <v>1</v>
      </c>
      <c r="E378">
        <v>1986</v>
      </c>
      <c r="F378" t="s">
        <v>1731</v>
      </c>
      <c r="G378" t="s">
        <v>1741</v>
      </c>
      <c r="H378" t="s">
        <v>1122</v>
      </c>
      <c r="I378" t="s">
        <v>1745</v>
      </c>
      <c r="J378" t="s">
        <v>760</v>
      </c>
      <c r="K378">
        <v>1</v>
      </c>
      <c r="L378">
        <v>0</v>
      </c>
      <c r="M378" t="s">
        <v>745</v>
      </c>
      <c r="O378" t="s">
        <v>1185</v>
      </c>
      <c r="P378" t="s">
        <v>1186</v>
      </c>
      <c r="Q378">
        <v>48000</v>
      </c>
      <c r="R378" t="s">
        <v>1157</v>
      </c>
      <c r="S378" t="str">
        <f>VLOOKUP(J378,Teams!A:B,2,FALSE)</f>
        <v>BRA</v>
      </c>
      <c r="T378" t="str">
        <f>VLOOKUP(M378,Teams!A:B,2,FALSE)</f>
        <v>ALG</v>
      </c>
    </row>
    <row r="379" spans="1:20" x14ac:dyDescent="0.25">
      <c r="A379" t="str">
        <f t="shared" si="6"/>
        <v>FIFAWC1986-18</v>
      </c>
      <c r="B379" s="4">
        <v>18</v>
      </c>
      <c r="C379" s="3">
        <v>31570</v>
      </c>
      <c r="D379" s="7">
        <v>0.16666666666666666</v>
      </c>
      <c r="E379">
        <v>1986</v>
      </c>
      <c r="F379" t="s">
        <v>1731</v>
      </c>
      <c r="G379" t="s">
        <v>1741</v>
      </c>
      <c r="H379" t="s">
        <v>1122</v>
      </c>
      <c r="I379" t="s">
        <v>1747</v>
      </c>
      <c r="J379" t="s">
        <v>1021</v>
      </c>
      <c r="K379">
        <v>0</v>
      </c>
      <c r="L379">
        <v>0</v>
      </c>
      <c r="M379" t="s">
        <v>849</v>
      </c>
      <c r="O379" t="s">
        <v>1183</v>
      </c>
      <c r="P379" t="s">
        <v>1184</v>
      </c>
      <c r="Q379">
        <v>20200</v>
      </c>
      <c r="R379" t="s">
        <v>1157</v>
      </c>
      <c r="S379" t="str">
        <f>VLOOKUP(J379,Teams!A:B,2,FALSE)</f>
        <v>ENG</v>
      </c>
      <c r="T379" t="str">
        <f>VLOOKUP(M379,Teams!A:B,2,FALSE)</f>
        <v>MAR</v>
      </c>
    </row>
    <row r="380" spans="1:20" x14ac:dyDescent="0.25">
      <c r="A380" t="str">
        <f t="shared" si="6"/>
        <v>FIFAWC1986-19</v>
      </c>
      <c r="B380" s="4">
        <v>19</v>
      </c>
      <c r="C380" s="3">
        <v>31571</v>
      </c>
      <c r="D380" s="7">
        <v>1</v>
      </c>
      <c r="E380">
        <v>1986</v>
      </c>
      <c r="F380" t="s">
        <v>1731</v>
      </c>
      <c r="G380" t="s">
        <v>1741</v>
      </c>
      <c r="H380" t="s">
        <v>1122</v>
      </c>
      <c r="I380" t="s">
        <v>1742</v>
      </c>
      <c r="J380" t="s">
        <v>845</v>
      </c>
      <c r="K380">
        <v>1</v>
      </c>
      <c r="L380">
        <v>1</v>
      </c>
      <c r="M380" t="s">
        <v>866</v>
      </c>
      <c r="O380" t="s">
        <v>1181</v>
      </c>
      <c r="P380" t="s">
        <v>1182</v>
      </c>
      <c r="Q380">
        <v>14600</v>
      </c>
      <c r="R380" t="s">
        <v>1157</v>
      </c>
      <c r="S380" t="str">
        <f>VLOOKUP(J380,Teams!A:B,2,FALSE)</f>
        <v>MEX</v>
      </c>
      <c r="T380" t="str">
        <f>VLOOKUP(M380,Teams!A:B,2,FALSE)</f>
        <v>PAR</v>
      </c>
    </row>
    <row r="381" spans="1:20" x14ac:dyDescent="0.25">
      <c r="A381" t="str">
        <f t="shared" si="6"/>
        <v>FIFAWC1986-20</v>
      </c>
      <c r="B381" s="4">
        <v>20</v>
      </c>
      <c r="C381" s="3">
        <v>31571</v>
      </c>
      <c r="D381" s="7">
        <v>1</v>
      </c>
      <c r="E381">
        <v>1986</v>
      </c>
      <c r="F381" t="s">
        <v>1731</v>
      </c>
      <c r="G381" t="s">
        <v>1741</v>
      </c>
      <c r="H381" t="s">
        <v>1122</v>
      </c>
      <c r="I381" t="s">
        <v>1745</v>
      </c>
      <c r="J381" t="s">
        <v>1033</v>
      </c>
      <c r="K381">
        <v>1</v>
      </c>
      <c r="L381">
        <v>2</v>
      </c>
      <c r="M381" t="s">
        <v>895</v>
      </c>
      <c r="O381" t="s">
        <v>1179</v>
      </c>
      <c r="P381" t="s">
        <v>1180</v>
      </c>
      <c r="Q381">
        <v>28000</v>
      </c>
      <c r="R381" t="s">
        <v>1157</v>
      </c>
      <c r="S381" t="str">
        <f>VLOOKUP(J381,Teams!A:B,2,FALSE)</f>
        <v>NIR</v>
      </c>
      <c r="T381" t="str">
        <f>VLOOKUP(M381,Teams!A:B,2,FALSE)</f>
        <v>ESP</v>
      </c>
    </row>
    <row r="382" spans="1:20" x14ac:dyDescent="0.25">
      <c r="A382" t="str">
        <f t="shared" si="6"/>
        <v>FIFAWC1986-21</v>
      </c>
      <c r="B382" s="4">
        <v>21</v>
      </c>
      <c r="C382" s="3">
        <v>31571</v>
      </c>
      <c r="D382" s="7">
        <v>0.16666666666666666</v>
      </c>
      <c r="E382">
        <v>1986</v>
      </c>
      <c r="F382" t="s">
        <v>1731</v>
      </c>
      <c r="G382" t="s">
        <v>1741</v>
      </c>
      <c r="H382" t="s">
        <v>1122</v>
      </c>
      <c r="I382" t="s">
        <v>1747</v>
      </c>
      <c r="J382" t="s">
        <v>870</v>
      </c>
      <c r="K382">
        <v>1</v>
      </c>
      <c r="L382">
        <v>0</v>
      </c>
      <c r="M382" t="s">
        <v>871</v>
      </c>
      <c r="O382" t="s">
        <v>1177</v>
      </c>
      <c r="P382" t="s">
        <v>1178</v>
      </c>
      <c r="Q382">
        <v>19915</v>
      </c>
      <c r="R382" t="s">
        <v>1157</v>
      </c>
      <c r="S382" t="str">
        <f>VLOOKUP(J382,Teams!A:B,2,FALSE)</f>
        <v>POL</v>
      </c>
      <c r="T382" t="str">
        <f>VLOOKUP(M382,Teams!A:B,2,FALSE)</f>
        <v>POR</v>
      </c>
    </row>
    <row r="383" spans="1:20" x14ac:dyDescent="0.25">
      <c r="A383" t="str">
        <f>F383&amp;"-"&amp;B383</f>
        <v>FIFAWC1986-22</v>
      </c>
      <c r="B383" s="4">
        <v>22</v>
      </c>
      <c r="C383" s="3">
        <v>31572</v>
      </c>
      <c r="D383" s="7">
        <v>1</v>
      </c>
      <c r="E383">
        <v>1986</v>
      </c>
      <c r="F383" t="s">
        <v>1731</v>
      </c>
      <c r="G383" t="s">
        <v>1741</v>
      </c>
      <c r="H383" t="s">
        <v>1122</v>
      </c>
      <c r="I383" t="s">
        <v>1746</v>
      </c>
      <c r="J383" t="s">
        <v>797</v>
      </c>
      <c r="K383">
        <v>2</v>
      </c>
      <c r="L383">
        <v>1</v>
      </c>
      <c r="M383" t="s">
        <v>1026</v>
      </c>
      <c r="O383" t="s">
        <v>1173</v>
      </c>
      <c r="P383" t="s">
        <v>1174</v>
      </c>
      <c r="Q383">
        <v>30000</v>
      </c>
      <c r="R383" t="s">
        <v>1157</v>
      </c>
      <c r="S383" t="str">
        <f>VLOOKUP(J383,Teams!A:B,2,FALSE)</f>
        <v>GER</v>
      </c>
      <c r="T383" t="str">
        <f>VLOOKUP(M383,Teams!A:B,2,FALSE)</f>
        <v>SCO</v>
      </c>
    </row>
    <row r="384" spans="1:20" x14ac:dyDescent="0.25">
      <c r="A384" t="str">
        <f t="shared" si="6"/>
        <v>FIFAWC1986-23</v>
      </c>
      <c r="B384" s="4">
        <v>23</v>
      </c>
      <c r="C384" s="3">
        <v>31572</v>
      </c>
      <c r="D384" s="7">
        <v>1</v>
      </c>
      <c r="E384">
        <v>1986</v>
      </c>
      <c r="F384" t="s">
        <v>1731</v>
      </c>
      <c r="G384" t="s">
        <v>1741</v>
      </c>
      <c r="H384" t="s">
        <v>1122</v>
      </c>
      <c r="I384" t="s">
        <v>1742</v>
      </c>
      <c r="J384" t="s">
        <v>814</v>
      </c>
      <c r="K384">
        <v>1</v>
      </c>
      <c r="L384">
        <v>2</v>
      </c>
      <c r="M384" t="s">
        <v>756</v>
      </c>
      <c r="O384" t="s">
        <v>1175</v>
      </c>
      <c r="P384" t="s">
        <v>1176</v>
      </c>
      <c r="Q384">
        <v>20000</v>
      </c>
      <c r="R384" t="s">
        <v>1157</v>
      </c>
      <c r="S384" t="str">
        <f>VLOOKUP(J384,Teams!A:B,2,FALSE)</f>
        <v>IRQ</v>
      </c>
      <c r="T384" t="str">
        <f>VLOOKUP(M384,Teams!A:B,2,FALSE)</f>
        <v>BEL</v>
      </c>
    </row>
    <row r="385" spans="1:20" x14ac:dyDescent="0.25">
      <c r="A385" t="str">
        <f t="shared" si="6"/>
        <v>FIFAWC1986-24</v>
      </c>
      <c r="B385" s="4">
        <v>24</v>
      </c>
      <c r="C385" s="3">
        <v>31572</v>
      </c>
      <c r="D385" s="7">
        <v>0.16666666666666666</v>
      </c>
      <c r="E385">
        <v>1986</v>
      </c>
      <c r="F385" t="s">
        <v>1731</v>
      </c>
      <c r="G385" t="s">
        <v>1741</v>
      </c>
      <c r="H385" t="s">
        <v>1122</v>
      </c>
      <c r="I385" t="s">
        <v>1746</v>
      </c>
      <c r="J385" t="s">
        <v>211</v>
      </c>
      <c r="K385">
        <v>6</v>
      </c>
      <c r="L385">
        <v>1</v>
      </c>
      <c r="M385" t="s">
        <v>916</v>
      </c>
      <c r="O385" t="s">
        <v>1195</v>
      </c>
      <c r="P385" t="s">
        <v>1253</v>
      </c>
      <c r="Q385">
        <v>26500</v>
      </c>
      <c r="R385" t="s">
        <v>1157</v>
      </c>
      <c r="S385" t="str">
        <f>VLOOKUP(J385,Teams!A:B,2,FALSE)</f>
        <v>DEN</v>
      </c>
      <c r="T385" t="str">
        <f>VLOOKUP(M385,Teams!A:B,2,FALSE)</f>
        <v>URU</v>
      </c>
    </row>
    <row r="386" spans="1:20" x14ac:dyDescent="0.25">
      <c r="A386" t="str">
        <f>F386&amp;"-"&amp;B386</f>
        <v>FIFAWC1986-25</v>
      </c>
      <c r="B386" s="4">
        <v>25</v>
      </c>
      <c r="C386" s="3">
        <v>31573</v>
      </c>
      <c r="D386" s="7">
        <v>1</v>
      </c>
      <c r="E386">
        <v>1986</v>
      </c>
      <c r="F386" t="s">
        <v>1731</v>
      </c>
      <c r="G386" t="s">
        <v>1741</v>
      </c>
      <c r="H386" t="s">
        <v>1122</v>
      </c>
      <c r="I386" t="s">
        <v>1744</v>
      </c>
      <c r="J386" t="s">
        <v>1754</v>
      </c>
      <c r="K386">
        <v>2</v>
      </c>
      <c r="L386">
        <v>0</v>
      </c>
      <c r="M386" t="s">
        <v>109</v>
      </c>
      <c r="O386" t="s">
        <v>1187</v>
      </c>
      <c r="P386" t="s">
        <v>1264</v>
      </c>
      <c r="Q386">
        <v>14200</v>
      </c>
      <c r="R386" t="s">
        <v>1157</v>
      </c>
      <c r="S386" t="str">
        <f>VLOOKUP(J386,Teams!A:B,2,FALSE)</f>
        <v>URS</v>
      </c>
      <c r="T386" t="str">
        <f>VLOOKUP(M386,Teams!A:B,2,FALSE)</f>
        <v>CAN</v>
      </c>
    </row>
    <row r="387" spans="1:20" x14ac:dyDescent="0.25">
      <c r="A387" t="str">
        <f t="shared" si="6"/>
        <v>FIFAWC1986-26</v>
      </c>
      <c r="B387" s="4">
        <v>26</v>
      </c>
      <c r="C387" s="3">
        <v>31573</v>
      </c>
      <c r="D387" s="7">
        <v>1</v>
      </c>
      <c r="E387">
        <v>1986</v>
      </c>
      <c r="F387" t="s">
        <v>1731</v>
      </c>
      <c r="G387" t="s">
        <v>1741</v>
      </c>
      <c r="H387" t="s">
        <v>1122</v>
      </c>
      <c r="I387" t="s">
        <v>1744</v>
      </c>
      <c r="J387" t="s">
        <v>297</v>
      </c>
      <c r="K387">
        <v>0</v>
      </c>
      <c r="L387">
        <v>3</v>
      </c>
      <c r="M387" t="s">
        <v>224</v>
      </c>
      <c r="O387" t="s">
        <v>1189</v>
      </c>
      <c r="P387" t="s">
        <v>1265</v>
      </c>
      <c r="Q387">
        <v>31420</v>
      </c>
      <c r="R387" t="s">
        <v>1157</v>
      </c>
      <c r="S387" t="str">
        <f>VLOOKUP(J387,Teams!A:B,2,FALSE)</f>
        <v>HUN</v>
      </c>
      <c r="T387" t="str">
        <f>VLOOKUP(M387,Teams!A:B,2,FALSE)</f>
        <v>FRA</v>
      </c>
    </row>
    <row r="388" spans="1:20" x14ac:dyDescent="0.25">
      <c r="A388" t="str">
        <f>F388&amp;"-"&amp;B388</f>
        <v>FIFAWC1986-27</v>
      </c>
      <c r="B388" s="4">
        <v>27</v>
      </c>
      <c r="C388" s="3">
        <v>31574</v>
      </c>
      <c r="D388" s="7">
        <v>1</v>
      </c>
      <c r="E388">
        <v>1986</v>
      </c>
      <c r="F388" t="s">
        <v>1731</v>
      </c>
      <c r="G388" t="s">
        <v>1741</v>
      </c>
      <c r="H388" t="s">
        <v>1122</v>
      </c>
      <c r="I388" t="s">
        <v>1743</v>
      </c>
      <c r="J388" t="s">
        <v>749</v>
      </c>
      <c r="K388">
        <v>2</v>
      </c>
      <c r="L388">
        <v>0</v>
      </c>
      <c r="M388" t="s">
        <v>761</v>
      </c>
      <c r="O388" t="s">
        <v>1191</v>
      </c>
      <c r="P388" t="s">
        <v>1262</v>
      </c>
      <c r="Q388">
        <v>65000</v>
      </c>
      <c r="R388" t="s">
        <v>1157</v>
      </c>
      <c r="S388" t="str">
        <f>VLOOKUP(J388,Teams!A:B,2,FALSE)</f>
        <v>ARG</v>
      </c>
      <c r="T388" t="str">
        <f>VLOOKUP(M388,Teams!A:B,2,FALSE)</f>
        <v>BUL</v>
      </c>
    </row>
    <row r="389" spans="1:20" x14ac:dyDescent="0.25">
      <c r="A389" t="str">
        <f t="shared" si="6"/>
        <v>FIFAWC1986-28</v>
      </c>
      <c r="B389" s="4">
        <v>28</v>
      </c>
      <c r="C389" s="3">
        <v>31574</v>
      </c>
      <c r="D389" s="7">
        <v>1</v>
      </c>
      <c r="E389">
        <v>1986</v>
      </c>
      <c r="F389" t="s">
        <v>1731</v>
      </c>
      <c r="G389" t="s">
        <v>1741</v>
      </c>
      <c r="H389" t="s">
        <v>1122</v>
      </c>
      <c r="I389" t="s">
        <v>1743</v>
      </c>
      <c r="J389" t="s">
        <v>1056</v>
      </c>
      <c r="K389">
        <v>2</v>
      </c>
      <c r="L389">
        <v>3</v>
      </c>
      <c r="M389" t="s">
        <v>817</v>
      </c>
      <c r="O389" t="s">
        <v>1193</v>
      </c>
      <c r="P389" t="s">
        <v>1263</v>
      </c>
      <c r="Q389">
        <v>20000</v>
      </c>
      <c r="R389" t="s">
        <v>1157</v>
      </c>
      <c r="S389" t="str">
        <f>VLOOKUP(J389,Teams!A:B,2,FALSE)</f>
        <v>KOR</v>
      </c>
      <c r="T389" t="str">
        <f>VLOOKUP(M389,Teams!A:B,2,FALSE)</f>
        <v>ITA</v>
      </c>
    </row>
    <row r="390" spans="1:20" x14ac:dyDescent="0.25">
      <c r="A390" t="str">
        <f t="shared" si="6"/>
        <v>FIFAWC1986-29</v>
      </c>
      <c r="B390" s="4">
        <v>29</v>
      </c>
      <c r="C390" s="3">
        <v>31575</v>
      </c>
      <c r="D390" s="7">
        <v>1</v>
      </c>
      <c r="E390">
        <v>1986</v>
      </c>
      <c r="F390" t="s">
        <v>1731</v>
      </c>
      <c r="G390" t="s">
        <v>1741</v>
      </c>
      <c r="H390" t="s">
        <v>1122</v>
      </c>
      <c r="I390" t="s">
        <v>1742</v>
      </c>
      <c r="J390" t="s">
        <v>866</v>
      </c>
      <c r="K390">
        <v>2</v>
      </c>
      <c r="L390">
        <v>2</v>
      </c>
      <c r="M390" t="s">
        <v>756</v>
      </c>
      <c r="O390" t="s">
        <v>1175</v>
      </c>
      <c r="P390" t="s">
        <v>1261</v>
      </c>
      <c r="Q390">
        <v>16000</v>
      </c>
      <c r="R390" t="s">
        <v>1157</v>
      </c>
      <c r="S390" t="str">
        <f>VLOOKUP(J390,Teams!A:B,2,FALSE)</f>
        <v>PAR</v>
      </c>
      <c r="T390" t="str">
        <f>VLOOKUP(M390,Teams!A:B,2,FALSE)</f>
        <v>BEL</v>
      </c>
    </row>
    <row r="391" spans="1:20" x14ac:dyDescent="0.25">
      <c r="A391" t="str">
        <f t="shared" si="6"/>
        <v>FIFAWC1986-30</v>
      </c>
      <c r="B391" s="4">
        <v>30</v>
      </c>
      <c r="C391" s="3">
        <v>31575</v>
      </c>
      <c r="D391" s="7">
        <v>1</v>
      </c>
      <c r="E391">
        <v>1986</v>
      </c>
      <c r="F391" t="s">
        <v>1731</v>
      </c>
      <c r="G391" t="s">
        <v>1741</v>
      </c>
      <c r="H391" t="s">
        <v>1122</v>
      </c>
      <c r="I391" t="s">
        <v>1742</v>
      </c>
      <c r="J391" t="s">
        <v>814</v>
      </c>
      <c r="K391">
        <v>0</v>
      </c>
      <c r="L391">
        <v>1</v>
      </c>
      <c r="M391" t="s">
        <v>845</v>
      </c>
      <c r="O391" t="s">
        <v>1181</v>
      </c>
      <c r="P391" t="s">
        <v>1260</v>
      </c>
      <c r="Q391">
        <v>103763</v>
      </c>
      <c r="R391" t="s">
        <v>1157</v>
      </c>
      <c r="S391" t="str">
        <f>VLOOKUP(J391,Teams!A:B,2,FALSE)</f>
        <v>IRQ</v>
      </c>
      <c r="T391" t="str">
        <f>VLOOKUP(M391,Teams!A:B,2,FALSE)</f>
        <v>MEX</v>
      </c>
    </row>
    <row r="392" spans="1:20" x14ac:dyDescent="0.25">
      <c r="A392" t="str">
        <f t="shared" si="6"/>
        <v>FIFAWC1986-31</v>
      </c>
      <c r="B392" s="4">
        <v>31</v>
      </c>
      <c r="C392" s="3">
        <v>31575</v>
      </c>
      <c r="D392" s="7">
        <v>0.16666666666666666</v>
      </c>
      <c r="E392">
        <v>1986</v>
      </c>
      <c r="F392" t="s">
        <v>1731</v>
      </c>
      <c r="G392" t="s">
        <v>1741</v>
      </c>
      <c r="H392" t="s">
        <v>1122</v>
      </c>
      <c r="I392" t="s">
        <v>1747</v>
      </c>
      <c r="J392" t="s">
        <v>1021</v>
      </c>
      <c r="K392">
        <v>3</v>
      </c>
      <c r="L392">
        <v>0</v>
      </c>
      <c r="M392" t="s">
        <v>870</v>
      </c>
      <c r="O392" t="s">
        <v>1177</v>
      </c>
      <c r="P392" t="s">
        <v>1259</v>
      </c>
      <c r="Q392">
        <v>22700</v>
      </c>
      <c r="R392" t="s">
        <v>1157</v>
      </c>
      <c r="S392" t="str">
        <f>VLOOKUP(J392,Teams!A:B,2,FALSE)</f>
        <v>ENG</v>
      </c>
      <c r="T392" t="str">
        <f>VLOOKUP(M392,Teams!A:B,2,FALSE)</f>
        <v>POL</v>
      </c>
    </row>
    <row r="393" spans="1:20" x14ac:dyDescent="0.25">
      <c r="A393" t="str">
        <f t="shared" si="6"/>
        <v>FIFAWC1986-32</v>
      </c>
      <c r="B393" s="4">
        <v>32</v>
      </c>
      <c r="C393" s="3">
        <v>31575</v>
      </c>
      <c r="D393" s="7">
        <v>0.16666666666666666</v>
      </c>
      <c r="E393">
        <v>1986</v>
      </c>
      <c r="F393" t="s">
        <v>1731</v>
      </c>
      <c r="G393" t="s">
        <v>1741</v>
      </c>
      <c r="H393" t="s">
        <v>1122</v>
      </c>
      <c r="I393" t="s">
        <v>1747</v>
      </c>
      <c r="J393" t="s">
        <v>871</v>
      </c>
      <c r="K393">
        <v>1</v>
      </c>
      <c r="L393">
        <v>3</v>
      </c>
      <c r="M393" t="s">
        <v>849</v>
      </c>
      <c r="O393" t="s">
        <v>1179</v>
      </c>
      <c r="P393" t="s">
        <v>1258</v>
      </c>
      <c r="Q393">
        <v>28000</v>
      </c>
      <c r="R393" t="s">
        <v>1157</v>
      </c>
      <c r="S393" t="str">
        <f>VLOOKUP(J393,Teams!A:B,2,FALSE)</f>
        <v>POR</v>
      </c>
      <c r="T393" t="str">
        <f>VLOOKUP(M393,Teams!A:B,2,FALSE)</f>
        <v>MAR</v>
      </c>
    </row>
    <row r="394" spans="1:20" x14ac:dyDescent="0.25">
      <c r="A394" t="str">
        <f>F394&amp;"-"&amp;B394</f>
        <v>FIFAWC1986-33</v>
      </c>
      <c r="B394" s="4">
        <v>33</v>
      </c>
      <c r="C394" s="3">
        <v>31576</v>
      </c>
      <c r="D394" s="7">
        <v>1</v>
      </c>
      <c r="E394">
        <v>1986</v>
      </c>
      <c r="F394" t="s">
        <v>1731</v>
      </c>
      <c r="G394" t="s">
        <v>1741</v>
      </c>
      <c r="H394" t="s">
        <v>1122</v>
      </c>
      <c r="I394" t="s">
        <v>1745</v>
      </c>
      <c r="J394" t="s">
        <v>745</v>
      </c>
      <c r="K394">
        <v>0</v>
      </c>
      <c r="L394">
        <v>3</v>
      </c>
      <c r="M394" t="s">
        <v>895</v>
      </c>
      <c r="O394" t="s">
        <v>1183</v>
      </c>
      <c r="P394" t="s">
        <v>1257</v>
      </c>
      <c r="Q394">
        <v>23980</v>
      </c>
      <c r="R394" t="s">
        <v>1157</v>
      </c>
      <c r="S394" t="str">
        <f>VLOOKUP(J394,Teams!A:B,2,FALSE)</f>
        <v>ALG</v>
      </c>
      <c r="T394" t="str">
        <f>VLOOKUP(M394,Teams!A:B,2,FALSE)</f>
        <v>ESP</v>
      </c>
    </row>
    <row r="395" spans="1:20" x14ac:dyDescent="0.25">
      <c r="A395" t="str">
        <f t="shared" si="6"/>
        <v>FIFAWC1986-34</v>
      </c>
      <c r="B395" s="4">
        <v>34</v>
      </c>
      <c r="C395" s="3">
        <v>31576</v>
      </c>
      <c r="D395" s="7">
        <v>1</v>
      </c>
      <c r="E395">
        <v>1986</v>
      </c>
      <c r="F395" t="s">
        <v>1731</v>
      </c>
      <c r="G395" t="s">
        <v>1741</v>
      </c>
      <c r="H395" t="s">
        <v>1122</v>
      </c>
      <c r="I395" t="s">
        <v>1745</v>
      </c>
      <c r="J395" t="s">
        <v>1033</v>
      </c>
      <c r="K395">
        <v>0</v>
      </c>
      <c r="L395">
        <v>3</v>
      </c>
      <c r="M395" t="s">
        <v>760</v>
      </c>
      <c r="O395" t="s">
        <v>1185</v>
      </c>
      <c r="P395" t="s">
        <v>1254</v>
      </c>
      <c r="Q395">
        <v>51000</v>
      </c>
      <c r="R395" t="s">
        <v>1157</v>
      </c>
      <c r="S395" t="str">
        <f>VLOOKUP(J395,Teams!A:B,2,FALSE)</f>
        <v>NIR</v>
      </c>
      <c r="T395" t="str">
        <f>VLOOKUP(M395,Teams!A:B,2,FALSE)</f>
        <v>BRA</v>
      </c>
    </row>
    <row r="396" spans="1:20" x14ac:dyDescent="0.25">
      <c r="A396" t="str">
        <f t="shared" si="6"/>
        <v>FIFAWC1986-35</v>
      </c>
      <c r="B396" s="4">
        <v>35</v>
      </c>
      <c r="C396" s="3">
        <v>31577</v>
      </c>
      <c r="D396" s="7">
        <v>1</v>
      </c>
      <c r="E396">
        <v>1986</v>
      </c>
      <c r="F396" t="s">
        <v>1731</v>
      </c>
      <c r="G396" t="s">
        <v>1741</v>
      </c>
      <c r="H396" t="s">
        <v>1122</v>
      </c>
      <c r="I396" t="s">
        <v>1746</v>
      </c>
      <c r="J396" t="s">
        <v>211</v>
      </c>
      <c r="K396">
        <v>2</v>
      </c>
      <c r="L396">
        <v>0</v>
      </c>
      <c r="M396" t="s">
        <v>797</v>
      </c>
      <c r="O396" t="s">
        <v>1173</v>
      </c>
      <c r="P396" t="s">
        <v>1218</v>
      </c>
      <c r="Q396">
        <v>36000</v>
      </c>
      <c r="R396" t="s">
        <v>1157</v>
      </c>
      <c r="S396" t="str">
        <f>VLOOKUP(J396,Teams!A:B,2,FALSE)</f>
        <v>DEN</v>
      </c>
      <c r="T396" t="str">
        <f>VLOOKUP(M396,Teams!A:B,2,FALSE)</f>
        <v>GER</v>
      </c>
    </row>
    <row r="397" spans="1:20" x14ac:dyDescent="0.25">
      <c r="A397" t="str">
        <f t="shared" si="6"/>
        <v>FIFAWC1986-36</v>
      </c>
      <c r="B397" s="4">
        <v>36</v>
      </c>
      <c r="C397" s="3">
        <v>31577</v>
      </c>
      <c r="D397" s="7">
        <v>1</v>
      </c>
      <c r="E397">
        <v>1986</v>
      </c>
      <c r="F397" t="s">
        <v>1731</v>
      </c>
      <c r="G397" t="s">
        <v>1741</v>
      </c>
      <c r="H397" t="s">
        <v>1122</v>
      </c>
      <c r="I397" t="s">
        <v>1746</v>
      </c>
      <c r="J397" t="s">
        <v>1026</v>
      </c>
      <c r="K397">
        <v>0</v>
      </c>
      <c r="L397">
        <v>0</v>
      </c>
      <c r="M397" t="s">
        <v>916</v>
      </c>
      <c r="O397" t="s">
        <v>1195</v>
      </c>
      <c r="P397" t="s">
        <v>1256</v>
      </c>
      <c r="Q397">
        <v>20000</v>
      </c>
      <c r="R397" t="s">
        <v>1157</v>
      </c>
      <c r="S397" t="str">
        <f>VLOOKUP(J397,Teams!A:B,2,FALSE)</f>
        <v>SCO</v>
      </c>
      <c r="T397" t="str">
        <f>VLOOKUP(M397,Teams!A:B,2,FALSE)</f>
        <v>URU</v>
      </c>
    </row>
    <row r="398" spans="1:20" x14ac:dyDescent="0.25">
      <c r="A398" t="str">
        <f t="shared" si="6"/>
        <v>FIFAWC1986-37</v>
      </c>
      <c r="B398" s="4">
        <v>37</v>
      </c>
      <c r="C398" s="3">
        <v>31579</v>
      </c>
      <c r="D398" s="7">
        <v>1</v>
      </c>
      <c r="E398">
        <v>1986</v>
      </c>
      <c r="F398" t="s">
        <v>1731</v>
      </c>
      <c r="G398" t="s">
        <v>1741</v>
      </c>
      <c r="H398" t="s">
        <v>1759</v>
      </c>
      <c r="I398" t="s">
        <v>1138</v>
      </c>
      <c r="J398" t="s">
        <v>845</v>
      </c>
      <c r="K398">
        <v>2</v>
      </c>
      <c r="L398">
        <v>0</v>
      </c>
      <c r="M398" t="s">
        <v>761</v>
      </c>
      <c r="O398" t="s">
        <v>1181</v>
      </c>
      <c r="P398" t="s">
        <v>1190</v>
      </c>
      <c r="Q398">
        <v>114580</v>
      </c>
      <c r="R398" t="s">
        <v>1157</v>
      </c>
      <c r="S398" t="str">
        <f>VLOOKUP(J398,Teams!A:B,2,FALSE)</f>
        <v>MEX</v>
      </c>
      <c r="T398" t="str">
        <f>VLOOKUP(M398,Teams!A:B,2,FALSE)</f>
        <v>BUL</v>
      </c>
    </row>
    <row r="399" spans="1:20" x14ac:dyDescent="0.25">
      <c r="A399" t="str">
        <f t="shared" si="6"/>
        <v>FIFAWC1986-38</v>
      </c>
      <c r="B399" s="4">
        <v>38</v>
      </c>
      <c r="C399" s="3">
        <v>31579</v>
      </c>
      <c r="D399" s="7">
        <v>0.16666666666666666</v>
      </c>
      <c r="E399">
        <v>1986</v>
      </c>
      <c r="F399" t="s">
        <v>1731</v>
      </c>
      <c r="G399" t="s">
        <v>1741</v>
      </c>
      <c r="H399" t="s">
        <v>1759</v>
      </c>
      <c r="I399" t="s">
        <v>1138</v>
      </c>
      <c r="J399" t="s">
        <v>1754</v>
      </c>
      <c r="K399">
        <v>3</v>
      </c>
      <c r="L399">
        <v>4</v>
      </c>
      <c r="M399" t="s">
        <v>756</v>
      </c>
      <c r="O399" t="s">
        <v>1189</v>
      </c>
      <c r="P399" t="s">
        <v>1207</v>
      </c>
      <c r="Q399">
        <v>32277</v>
      </c>
      <c r="R399" t="s">
        <v>1157</v>
      </c>
      <c r="S399" t="str">
        <f>VLOOKUP(J399,Teams!A:B,2,FALSE)</f>
        <v>URS</v>
      </c>
      <c r="T399" t="str">
        <f>VLOOKUP(M399,Teams!A:B,2,FALSE)</f>
        <v>BEL</v>
      </c>
    </row>
    <row r="400" spans="1:20" x14ac:dyDescent="0.25">
      <c r="A400" t="str">
        <f t="shared" si="6"/>
        <v>FIFAWC1986-39</v>
      </c>
      <c r="B400" s="4">
        <v>39</v>
      </c>
      <c r="C400" s="3">
        <v>31580</v>
      </c>
      <c r="D400" s="7">
        <v>1</v>
      </c>
      <c r="E400">
        <v>1986</v>
      </c>
      <c r="F400" t="s">
        <v>1731</v>
      </c>
      <c r="G400" t="s">
        <v>1741</v>
      </c>
      <c r="H400" t="s">
        <v>1759</v>
      </c>
      <c r="I400" t="s">
        <v>1138</v>
      </c>
      <c r="J400" t="s">
        <v>760</v>
      </c>
      <c r="K400">
        <v>4</v>
      </c>
      <c r="L400">
        <v>0</v>
      </c>
      <c r="M400" t="s">
        <v>870</v>
      </c>
      <c r="O400" t="s">
        <v>1185</v>
      </c>
      <c r="P400" t="s">
        <v>1199</v>
      </c>
      <c r="Q400">
        <v>45000</v>
      </c>
      <c r="R400" t="s">
        <v>1157</v>
      </c>
      <c r="S400" t="str">
        <f>VLOOKUP(J400,Teams!A:B,2,FALSE)</f>
        <v>BRA</v>
      </c>
      <c r="T400" t="str">
        <f>VLOOKUP(M400,Teams!A:B,2,FALSE)</f>
        <v>POL</v>
      </c>
    </row>
    <row r="401" spans="1:20" x14ac:dyDescent="0.25">
      <c r="A401" t="str">
        <f t="shared" si="6"/>
        <v>FIFAWC1986-40</v>
      </c>
      <c r="B401" s="4">
        <v>40</v>
      </c>
      <c r="C401" s="3">
        <v>31580</v>
      </c>
      <c r="D401" s="7">
        <v>0.16666666666666666</v>
      </c>
      <c r="E401">
        <v>1986</v>
      </c>
      <c r="F401" t="s">
        <v>1731</v>
      </c>
      <c r="G401" t="s">
        <v>1741</v>
      </c>
      <c r="H401" t="s">
        <v>1759</v>
      </c>
      <c r="I401" t="s">
        <v>1138</v>
      </c>
      <c r="J401" t="s">
        <v>749</v>
      </c>
      <c r="K401">
        <v>1</v>
      </c>
      <c r="L401">
        <v>0</v>
      </c>
      <c r="M401" t="s">
        <v>916</v>
      </c>
      <c r="O401" t="s">
        <v>1193</v>
      </c>
      <c r="P401" t="s">
        <v>1203</v>
      </c>
      <c r="Q401">
        <v>26000</v>
      </c>
      <c r="R401" t="s">
        <v>1157</v>
      </c>
      <c r="S401" t="str">
        <f>VLOOKUP(J401,Teams!A:B,2,FALSE)</f>
        <v>ARG</v>
      </c>
      <c r="T401" t="str">
        <f>VLOOKUP(M401,Teams!A:B,2,FALSE)</f>
        <v>URU</v>
      </c>
    </row>
    <row r="402" spans="1:20" x14ac:dyDescent="0.25">
      <c r="A402" t="str">
        <f t="shared" si="6"/>
        <v>FIFAWC1986-41</v>
      </c>
      <c r="B402" s="4">
        <v>41</v>
      </c>
      <c r="C402" s="3">
        <v>31581</v>
      </c>
      <c r="D402" s="7">
        <v>1</v>
      </c>
      <c r="E402">
        <v>1986</v>
      </c>
      <c r="F402" t="s">
        <v>1731</v>
      </c>
      <c r="G402" t="s">
        <v>1741</v>
      </c>
      <c r="H402" t="s">
        <v>1759</v>
      </c>
      <c r="I402" t="s">
        <v>1138</v>
      </c>
      <c r="J402" t="s">
        <v>817</v>
      </c>
      <c r="K402">
        <v>0</v>
      </c>
      <c r="L402">
        <v>2</v>
      </c>
      <c r="M402" t="s">
        <v>224</v>
      </c>
      <c r="O402" t="s">
        <v>1191</v>
      </c>
      <c r="Q402">
        <v>70000</v>
      </c>
      <c r="R402" t="s">
        <v>1157</v>
      </c>
      <c r="S402" t="str">
        <f>VLOOKUP(J402,Teams!A:B,2,FALSE)</f>
        <v>ITA</v>
      </c>
      <c r="T402" t="str">
        <f>VLOOKUP(M402,Teams!A:B,2,FALSE)</f>
        <v>FRA</v>
      </c>
    </row>
    <row r="403" spans="1:20" x14ac:dyDescent="0.25">
      <c r="A403" t="str">
        <f t="shared" si="6"/>
        <v>FIFAWC1986-42</v>
      </c>
      <c r="B403" s="4">
        <v>42</v>
      </c>
      <c r="C403" s="3">
        <v>31581</v>
      </c>
      <c r="D403" s="7">
        <v>0.16666666666666666</v>
      </c>
      <c r="E403">
        <v>1986</v>
      </c>
      <c r="F403" t="s">
        <v>1731</v>
      </c>
      <c r="G403" t="s">
        <v>1741</v>
      </c>
      <c r="H403" t="s">
        <v>1759</v>
      </c>
      <c r="I403" t="s">
        <v>1138</v>
      </c>
      <c r="J403" t="s">
        <v>849</v>
      </c>
      <c r="K403">
        <v>0</v>
      </c>
      <c r="L403">
        <v>1</v>
      </c>
      <c r="M403" t="s">
        <v>797</v>
      </c>
      <c r="O403" t="s">
        <v>1177</v>
      </c>
      <c r="Q403">
        <v>19800</v>
      </c>
      <c r="R403" t="s">
        <v>1157</v>
      </c>
      <c r="S403" t="str">
        <f>VLOOKUP(J403,Teams!A:B,2,FALSE)</f>
        <v>MAR</v>
      </c>
      <c r="T403" t="str">
        <f>VLOOKUP(M403,Teams!A:B,2,FALSE)</f>
        <v>GER</v>
      </c>
    </row>
    <row r="404" spans="1:20" x14ac:dyDescent="0.25">
      <c r="A404" t="str">
        <f t="shared" si="6"/>
        <v>FIFAWC1986-43</v>
      </c>
      <c r="B404" s="4">
        <v>43</v>
      </c>
      <c r="C404" s="3">
        <v>31582</v>
      </c>
      <c r="D404" s="7">
        <v>1</v>
      </c>
      <c r="E404">
        <v>1986</v>
      </c>
      <c r="F404" t="s">
        <v>1731</v>
      </c>
      <c r="G404" t="s">
        <v>1741</v>
      </c>
      <c r="H404" t="s">
        <v>1759</v>
      </c>
      <c r="I404" t="s">
        <v>1138</v>
      </c>
      <c r="J404" t="s">
        <v>1021</v>
      </c>
      <c r="K404">
        <v>3</v>
      </c>
      <c r="L404">
        <v>0</v>
      </c>
      <c r="M404" t="s">
        <v>866</v>
      </c>
      <c r="O404" t="s">
        <v>1181</v>
      </c>
      <c r="P404" t="s">
        <v>1188</v>
      </c>
      <c r="Q404">
        <v>98728</v>
      </c>
      <c r="R404" t="s">
        <v>1157</v>
      </c>
      <c r="S404" t="str">
        <f>VLOOKUP(J404,Teams!A:B,2,FALSE)</f>
        <v>ENG</v>
      </c>
      <c r="T404" t="str">
        <f>VLOOKUP(M404,Teams!A:B,2,FALSE)</f>
        <v>PAR</v>
      </c>
    </row>
    <row r="405" spans="1:20" x14ac:dyDescent="0.25">
      <c r="A405" t="str">
        <f t="shared" si="6"/>
        <v>FIFAWC1986-44</v>
      </c>
      <c r="B405" s="4">
        <v>44</v>
      </c>
      <c r="C405" s="3">
        <v>31582</v>
      </c>
      <c r="D405" s="7">
        <v>0.16666666666666666</v>
      </c>
      <c r="E405">
        <v>1986</v>
      </c>
      <c r="F405" t="s">
        <v>1731</v>
      </c>
      <c r="G405" t="s">
        <v>1741</v>
      </c>
      <c r="H405" t="s">
        <v>1759</v>
      </c>
      <c r="I405" t="s">
        <v>1138</v>
      </c>
      <c r="J405" t="s">
        <v>211</v>
      </c>
      <c r="K405">
        <v>1</v>
      </c>
      <c r="L405">
        <v>5</v>
      </c>
      <c r="M405" t="s">
        <v>895</v>
      </c>
      <c r="O405" t="s">
        <v>1173</v>
      </c>
      <c r="P405" t="s">
        <v>1194</v>
      </c>
      <c r="Q405">
        <v>38500</v>
      </c>
      <c r="R405" t="s">
        <v>1157</v>
      </c>
      <c r="S405" t="str">
        <f>VLOOKUP(J405,Teams!A:B,2,FALSE)</f>
        <v>DEN</v>
      </c>
      <c r="T405" t="str">
        <f>VLOOKUP(M405,Teams!A:B,2,FALSE)</f>
        <v>ESP</v>
      </c>
    </row>
    <row r="406" spans="1:20" x14ac:dyDescent="0.25">
      <c r="A406" t="str">
        <f t="shared" si="6"/>
        <v>FIFAWC1986-45</v>
      </c>
      <c r="B406" s="4">
        <v>45</v>
      </c>
      <c r="C406" s="3">
        <v>31585</v>
      </c>
      <c r="D406" s="7">
        <v>1</v>
      </c>
      <c r="E406">
        <v>1986</v>
      </c>
      <c r="F406" t="s">
        <v>1731</v>
      </c>
      <c r="G406" t="s">
        <v>1741</v>
      </c>
      <c r="H406" t="s">
        <v>1759</v>
      </c>
      <c r="I406" t="s">
        <v>1139</v>
      </c>
      <c r="J406" t="s">
        <v>760</v>
      </c>
      <c r="K406">
        <v>1</v>
      </c>
      <c r="L406">
        <v>1</v>
      </c>
      <c r="M406" t="s">
        <v>224</v>
      </c>
      <c r="O406" t="s">
        <v>1185</v>
      </c>
      <c r="P406" t="s">
        <v>1174</v>
      </c>
      <c r="Q406">
        <v>65000</v>
      </c>
      <c r="R406" t="s">
        <v>1157</v>
      </c>
      <c r="S406" t="str">
        <f>VLOOKUP(J406,Teams!A:B,2,FALSE)</f>
        <v>BRA</v>
      </c>
      <c r="T406" t="str">
        <f>VLOOKUP(M406,Teams!A:B,2,FALSE)</f>
        <v>FRA</v>
      </c>
    </row>
    <row r="407" spans="1:20" x14ac:dyDescent="0.25">
      <c r="A407" t="str">
        <f t="shared" si="6"/>
        <v>FIFAWC1986-46</v>
      </c>
      <c r="B407" s="4">
        <v>46</v>
      </c>
      <c r="C407" s="3">
        <v>31585</v>
      </c>
      <c r="D407" s="7">
        <v>0.16666666666666666</v>
      </c>
      <c r="E407">
        <v>1986</v>
      </c>
      <c r="F407" t="s">
        <v>1731</v>
      </c>
      <c r="G407" t="s">
        <v>1741</v>
      </c>
      <c r="H407" t="s">
        <v>1759</v>
      </c>
      <c r="I407" t="s">
        <v>1139</v>
      </c>
      <c r="J407" t="s">
        <v>797</v>
      </c>
      <c r="K407">
        <v>0</v>
      </c>
      <c r="L407">
        <v>0</v>
      </c>
      <c r="M407" t="s">
        <v>845</v>
      </c>
      <c r="O407" t="s">
        <v>1177</v>
      </c>
      <c r="P407" t="s">
        <v>1176</v>
      </c>
      <c r="Q407">
        <v>41700</v>
      </c>
      <c r="R407" t="s">
        <v>1157</v>
      </c>
      <c r="S407" t="str">
        <f>VLOOKUP(J407,Teams!A:B,2,FALSE)</f>
        <v>GER</v>
      </c>
      <c r="T407" t="str">
        <f>VLOOKUP(M407,Teams!A:B,2,FALSE)</f>
        <v>MEX</v>
      </c>
    </row>
    <row r="408" spans="1:20" x14ac:dyDescent="0.25">
      <c r="A408" t="str">
        <f t="shared" si="6"/>
        <v>FIFAWC1986-47</v>
      </c>
      <c r="B408" s="4">
        <v>47</v>
      </c>
      <c r="C408" s="3">
        <v>31586</v>
      </c>
      <c r="D408" s="7">
        <v>1</v>
      </c>
      <c r="E408">
        <v>1986</v>
      </c>
      <c r="F408" t="s">
        <v>1731</v>
      </c>
      <c r="G408" t="s">
        <v>1741</v>
      </c>
      <c r="H408" t="s">
        <v>1759</v>
      </c>
      <c r="I408" t="s">
        <v>1139</v>
      </c>
      <c r="J408" t="s">
        <v>749</v>
      </c>
      <c r="K408">
        <v>2</v>
      </c>
      <c r="L408">
        <v>1</v>
      </c>
      <c r="M408" t="s">
        <v>1021</v>
      </c>
      <c r="O408" t="s">
        <v>1181</v>
      </c>
      <c r="P408" t="s">
        <v>1255</v>
      </c>
      <c r="Q408">
        <v>114580</v>
      </c>
      <c r="R408" t="s">
        <v>1157</v>
      </c>
      <c r="S408" t="str">
        <f>VLOOKUP(J408,Teams!A:B,2,FALSE)</f>
        <v>ARG</v>
      </c>
      <c r="T408" t="str">
        <f>VLOOKUP(M408,Teams!A:B,2,FALSE)</f>
        <v>ENG</v>
      </c>
    </row>
    <row r="409" spans="1:20" x14ac:dyDescent="0.25">
      <c r="A409" t="str">
        <f t="shared" si="6"/>
        <v>FIFAWC1986-48</v>
      </c>
      <c r="B409" s="4">
        <v>48</v>
      </c>
      <c r="C409" s="3">
        <v>31586</v>
      </c>
      <c r="D409" s="7">
        <v>0.16666666666666666</v>
      </c>
      <c r="E409">
        <v>1986</v>
      </c>
      <c r="F409" t="s">
        <v>1731</v>
      </c>
      <c r="G409" t="s">
        <v>1741</v>
      </c>
      <c r="H409" t="s">
        <v>1759</v>
      </c>
      <c r="I409" t="s">
        <v>1139</v>
      </c>
      <c r="J409" t="s">
        <v>895</v>
      </c>
      <c r="K409">
        <v>1</v>
      </c>
      <c r="L409">
        <v>1</v>
      </c>
      <c r="M409" t="s">
        <v>756</v>
      </c>
      <c r="N409" t="s">
        <v>1766</v>
      </c>
      <c r="O409" t="s">
        <v>1193</v>
      </c>
      <c r="P409" t="s">
        <v>1254</v>
      </c>
      <c r="Q409">
        <v>45000</v>
      </c>
      <c r="R409" t="s">
        <v>1157</v>
      </c>
      <c r="S409" t="str">
        <f>VLOOKUP(J409,Teams!A:B,2,FALSE)</f>
        <v>ESP</v>
      </c>
      <c r="T409" t="str">
        <f>VLOOKUP(M409,Teams!A:B,2,FALSE)</f>
        <v>BEL</v>
      </c>
    </row>
    <row r="410" spans="1:20" x14ac:dyDescent="0.25">
      <c r="A410" t="str">
        <f t="shared" si="6"/>
        <v>FIFAWC1986-49</v>
      </c>
      <c r="B410" s="4">
        <v>49</v>
      </c>
      <c r="C410" s="3">
        <v>31589</v>
      </c>
      <c r="D410" s="7">
        <v>1</v>
      </c>
      <c r="E410">
        <v>1986</v>
      </c>
      <c r="F410" t="s">
        <v>1731</v>
      </c>
      <c r="G410" t="s">
        <v>1741</v>
      </c>
      <c r="H410" t="s">
        <v>1759</v>
      </c>
      <c r="I410" t="s">
        <v>1140</v>
      </c>
      <c r="J410" t="s">
        <v>224</v>
      </c>
      <c r="K410">
        <v>0</v>
      </c>
      <c r="L410">
        <v>2</v>
      </c>
      <c r="M410" t="s">
        <v>797</v>
      </c>
      <c r="O410" t="s">
        <v>1185</v>
      </c>
      <c r="P410" t="s">
        <v>1203</v>
      </c>
      <c r="Q410">
        <v>45000</v>
      </c>
      <c r="R410" t="s">
        <v>1157</v>
      </c>
      <c r="S410" t="str">
        <f>VLOOKUP(J410,Teams!A:B,2,FALSE)</f>
        <v>FRA</v>
      </c>
      <c r="T410" t="str">
        <f>VLOOKUP(M410,Teams!A:B,2,FALSE)</f>
        <v>GER</v>
      </c>
    </row>
    <row r="411" spans="1:20" x14ac:dyDescent="0.25">
      <c r="A411" t="str">
        <f t="shared" si="6"/>
        <v>FIFAWC1986-50</v>
      </c>
      <c r="B411" s="4">
        <v>50</v>
      </c>
      <c r="C411" s="3">
        <v>31589</v>
      </c>
      <c r="D411" s="7">
        <v>0.16666666666666666</v>
      </c>
      <c r="E411">
        <v>1986</v>
      </c>
      <c r="F411" t="s">
        <v>1731</v>
      </c>
      <c r="G411" t="s">
        <v>1741</v>
      </c>
      <c r="H411" t="s">
        <v>1759</v>
      </c>
      <c r="I411" t="s">
        <v>1140</v>
      </c>
      <c r="J411" t="s">
        <v>749</v>
      </c>
      <c r="K411">
        <v>2</v>
      </c>
      <c r="L411">
        <v>0</v>
      </c>
      <c r="M411" t="s">
        <v>756</v>
      </c>
      <c r="O411" t="s">
        <v>1181</v>
      </c>
      <c r="P411" t="s">
        <v>1253</v>
      </c>
      <c r="Q411">
        <v>114500</v>
      </c>
      <c r="R411" t="s">
        <v>1157</v>
      </c>
      <c r="S411" t="str">
        <f>VLOOKUP(J411,Teams!A:B,2,FALSE)</f>
        <v>ARG</v>
      </c>
      <c r="T411" t="str">
        <f>VLOOKUP(M411,Teams!A:B,2,FALSE)</f>
        <v>BEL</v>
      </c>
    </row>
    <row r="412" spans="1:20" x14ac:dyDescent="0.25">
      <c r="A412" t="str">
        <f t="shared" ref="A412:A475" si="7">F412&amp;"-"&amp;B412</f>
        <v>FIFAWC1986-51</v>
      </c>
      <c r="B412" s="4">
        <v>51</v>
      </c>
      <c r="C412" s="3">
        <v>31592</v>
      </c>
      <c r="D412" s="7">
        <v>1</v>
      </c>
      <c r="E412">
        <v>1986</v>
      </c>
      <c r="F412" t="s">
        <v>1731</v>
      </c>
      <c r="G412" t="s">
        <v>1741</v>
      </c>
      <c r="H412" t="s">
        <v>1759</v>
      </c>
      <c r="I412" t="s">
        <v>1018</v>
      </c>
      <c r="J412" t="s">
        <v>224</v>
      </c>
      <c r="K412">
        <v>4</v>
      </c>
      <c r="L412">
        <v>2</v>
      </c>
      <c r="M412" t="s">
        <v>756</v>
      </c>
      <c r="O412" t="s">
        <v>1193</v>
      </c>
      <c r="P412" t="s">
        <v>1182</v>
      </c>
      <c r="Q412">
        <v>21000</v>
      </c>
      <c r="R412" t="s">
        <v>1157</v>
      </c>
      <c r="S412" t="str">
        <f>VLOOKUP(J412,Teams!A:B,2,FALSE)</f>
        <v>FRA</v>
      </c>
      <c r="T412" t="str">
        <f>VLOOKUP(M412,Teams!A:B,2,FALSE)</f>
        <v>BEL</v>
      </c>
    </row>
    <row r="413" spans="1:20" x14ac:dyDescent="0.25">
      <c r="A413" t="str">
        <f t="shared" si="7"/>
        <v>FIFAWC1986-52</v>
      </c>
      <c r="B413" s="4">
        <v>52</v>
      </c>
      <c r="C413" s="3">
        <v>31593</v>
      </c>
      <c r="D413" s="7">
        <v>1</v>
      </c>
      <c r="E413">
        <v>1986</v>
      </c>
      <c r="F413" t="s">
        <v>1731</v>
      </c>
      <c r="G413" t="s">
        <v>1741</v>
      </c>
      <c r="H413" t="s">
        <v>1759</v>
      </c>
      <c r="I413" t="s">
        <v>1141</v>
      </c>
      <c r="J413" t="s">
        <v>749</v>
      </c>
      <c r="K413">
        <v>3</v>
      </c>
      <c r="L413">
        <v>2</v>
      </c>
      <c r="M413" t="s">
        <v>797</v>
      </c>
      <c r="O413" t="s">
        <v>1181</v>
      </c>
      <c r="P413" t="s">
        <v>1190</v>
      </c>
      <c r="Q413">
        <v>114600</v>
      </c>
      <c r="R413" t="s">
        <v>1157</v>
      </c>
      <c r="S413" t="str">
        <f>VLOOKUP(J413,Teams!A:B,2,FALSE)</f>
        <v>ARG</v>
      </c>
      <c r="T413" t="str">
        <f>VLOOKUP(M413,Teams!A:B,2,FALSE)</f>
        <v>GER</v>
      </c>
    </row>
    <row r="414" spans="1:20" x14ac:dyDescent="0.25">
      <c r="A414" t="str">
        <f t="shared" si="7"/>
        <v>FIFAWC1990-1</v>
      </c>
      <c r="B414" s="4">
        <v>1</v>
      </c>
      <c r="C414" s="3">
        <v>33032</v>
      </c>
      <c r="D414" s="7">
        <v>0.95833333333333337</v>
      </c>
      <c r="E414">
        <v>1990</v>
      </c>
      <c r="F414" t="s">
        <v>1732</v>
      </c>
      <c r="G414" t="s">
        <v>1741</v>
      </c>
      <c r="H414" t="s">
        <v>1122</v>
      </c>
      <c r="I414" t="s">
        <v>1742</v>
      </c>
      <c r="J414" t="s">
        <v>749</v>
      </c>
      <c r="K414">
        <v>0</v>
      </c>
      <c r="L414">
        <v>1</v>
      </c>
      <c r="M414" t="s">
        <v>764</v>
      </c>
      <c r="O414" t="s">
        <v>1230</v>
      </c>
      <c r="P414" t="s">
        <v>1225</v>
      </c>
      <c r="Q414">
        <v>73780</v>
      </c>
      <c r="R414" t="s">
        <v>1157</v>
      </c>
      <c r="S414" t="str">
        <f>VLOOKUP(J414,Teams!A:B,2,FALSE)</f>
        <v>ARG</v>
      </c>
      <c r="T414" t="str">
        <f>VLOOKUP(M414,Teams!A:B,2,FALSE)</f>
        <v>CMR</v>
      </c>
    </row>
    <row r="415" spans="1:20" x14ac:dyDescent="0.25">
      <c r="A415" t="str">
        <f>F415&amp;"-"&amp;B415</f>
        <v>FIFAWC1990-2</v>
      </c>
      <c r="B415" s="4">
        <v>2</v>
      </c>
      <c r="C415" s="3">
        <v>33033</v>
      </c>
      <c r="D415" s="7">
        <v>0.91666666666666663</v>
      </c>
      <c r="E415">
        <v>1990</v>
      </c>
      <c r="F415" t="s">
        <v>1732</v>
      </c>
      <c r="G415" t="s">
        <v>1741</v>
      </c>
      <c r="H415" t="s">
        <v>1122</v>
      </c>
      <c r="I415" t="s">
        <v>1745</v>
      </c>
      <c r="J415" t="s">
        <v>1079</v>
      </c>
      <c r="K415">
        <v>0</v>
      </c>
      <c r="L415">
        <v>2</v>
      </c>
      <c r="M415" t="s">
        <v>771</v>
      </c>
      <c r="O415" t="s">
        <v>1235</v>
      </c>
      <c r="P415" t="s">
        <v>1182</v>
      </c>
      <c r="Q415">
        <v>30791</v>
      </c>
      <c r="R415" t="s">
        <v>1157</v>
      </c>
      <c r="S415" t="str">
        <f>VLOOKUP(J415,Teams!A:B,2,FALSE)</f>
        <v>UAE</v>
      </c>
      <c r="T415" t="str">
        <f>VLOOKUP(M415,Teams!A:B,2,FALSE)</f>
        <v>COL</v>
      </c>
    </row>
    <row r="416" spans="1:20" x14ac:dyDescent="0.25">
      <c r="A416" t="str">
        <f>F416&amp;"-"&amp;B416</f>
        <v>FIFAWC1990-3</v>
      </c>
      <c r="B416" s="4">
        <v>3</v>
      </c>
      <c r="C416" s="3">
        <v>33033</v>
      </c>
      <c r="D416" s="7">
        <v>0.91666666666666663</v>
      </c>
      <c r="E416">
        <v>1990</v>
      </c>
      <c r="F416" t="s">
        <v>1732</v>
      </c>
      <c r="G416" t="s">
        <v>1741</v>
      </c>
      <c r="H416" t="s">
        <v>1122</v>
      </c>
      <c r="I416" t="s">
        <v>1742</v>
      </c>
      <c r="J416" t="s">
        <v>1754</v>
      </c>
      <c r="K416">
        <v>0</v>
      </c>
      <c r="L416">
        <v>2</v>
      </c>
      <c r="M416" t="s">
        <v>539</v>
      </c>
      <c r="O416" t="s">
        <v>1236</v>
      </c>
      <c r="P416" t="s">
        <v>1215</v>
      </c>
      <c r="Q416">
        <v>42907</v>
      </c>
      <c r="R416" t="s">
        <v>1157</v>
      </c>
      <c r="S416" t="str">
        <f>VLOOKUP(J416,Teams!A:B,2,FALSE)</f>
        <v>URS</v>
      </c>
      <c r="T416" t="str">
        <f>VLOOKUP(M416,Teams!A:B,2,FALSE)</f>
        <v>ROU</v>
      </c>
    </row>
    <row r="417" spans="1:20" x14ac:dyDescent="0.25">
      <c r="A417" t="str">
        <f t="shared" si="7"/>
        <v>FIFAWC1990-4</v>
      </c>
      <c r="B417" s="4">
        <v>4</v>
      </c>
      <c r="C417" s="3">
        <v>33034</v>
      </c>
      <c r="D417" s="7">
        <v>8.3333333333333329E-2</v>
      </c>
      <c r="E417">
        <v>1990</v>
      </c>
      <c r="F417" t="s">
        <v>1732</v>
      </c>
      <c r="G417" t="s">
        <v>1741</v>
      </c>
      <c r="H417" t="s">
        <v>1122</v>
      </c>
      <c r="I417" t="s">
        <v>1743</v>
      </c>
      <c r="J417" t="s">
        <v>817</v>
      </c>
      <c r="K417">
        <v>1</v>
      </c>
      <c r="L417">
        <v>0</v>
      </c>
      <c r="M417" t="s">
        <v>751</v>
      </c>
      <c r="O417" t="s">
        <v>1237</v>
      </c>
      <c r="P417" t="s">
        <v>1252</v>
      </c>
      <c r="Q417">
        <v>73303</v>
      </c>
      <c r="R417" t="s">
        <v>1157</v>
      </c>
      <c r="S417" t="str">
        <f>VLOOKUP(J417,Teams!A:B,2,FALSE)</f>
        <v>ITA</v>
      </c>
      <c r="T417" t="str">
        <f>VLOOKUP(M417,Teams!A:B,2,FALSE)</f>
        <v>AUT</v>
      </c>
    </row>
    <row r="418" spans="1:20" x14ac:dyDescent="0.25">
      <c r="A418" t="str">
        <f t="shared" si="7"/>
        <v>FIFAWC1990-5</v>
      </c>
      <c r="B418" s="4">
        <v>5</v>
      </c>
      <c r="C418" s="3">
        <v>33034</v>
      </c>
      <c r="D418" s="7">
        <v>0.91666666666666663</v>
      </c>
      <c r="E418">
        <v>1990</v>
      </c>
      <c r="F418" t="s">
        <v>1732</v>
      </c>
      <c r="G418" t="s">
        <v>1741</v>
      </c>
      <c r="H418" t="s">
        <v>1122</v>
      </c>
      <c r="I418" t="s">
        <v>1743</v>
      </c>
      <c r="J418" t="s">
        <v>702</v>
      </c>
      <c r="K418">
        <v>1</v>
      </c>
      <c r="L418">
        <v>5</v>
      </c>
      <c r="M418" t="s">
        <v>1037</v>
      </c>
      <c r="O418" t="s">
        <v>1232</v>
      </c>
      <c r="P418" t="s">
        <v>1251</v>
      </c>
      <c r="Q418">
        <v>33266</v>
      </c>
      <c r="R418" t="s">
        <v>1157</v>
      </c>
      <c r="S418" t="str">
        <f>VLOOKUP(J418,Teams!A:B,2,FALSE)</f>
        <v>USA</v>
      </c>
      <c r="T418" t="str">
        <f>VLOOKUP(M418,Teams!A:B,2,FALSE)</f>
        <v>TCH</v>
      </c>
    </row>
    <row r="419" spans="1:20" x14ac:dyDescent="0.25">
      <c r="A419" t="str">
        <f t="shared" si="7"/>
        <v>FIFAWC1990-6</v>
      </c>
      <c r="B419" s="4">
        <v>6</v>
      </c>
      <c r="C419" s="3">
        <v>33035</v>
      </c>
      <c r="D419" s="7">
        <v>8.3333333333333329E-2</v>
      </c>
      <c r="E419">
        <v>1990</v>
      </c>
      <c r="F419" t="s">
        <v>1732</v>
      </c>
      <c r="G419" t="s">
        <v>1741</v>
      </c>
      <c r="H419" t="s">
        <v>1122</v>
      </c>
      <c r="I419" t="s">
        <v>1744</v>
      </c>
      <c r="J419" t="s">
        <v>760</v>
      </c>
      <c r="K419">
        <v>2</v>
      </c>
      <c r="L419">
        <v>1</v>
      </c>
      <c r="M419" t="s">
        <v>900</v>
      </c>
      <c r="O419" t="s">
        <v>1228</v>
      </c>
      <c r="P419" t="s">
        <v>1250</v>
      </c>
      <c r="Q419">
        <v>62628</v>
      </c>
      <c r="R419" t="s">
        <v>1157</v>
      </c>
      <c r="S419" t="str">
        <f>VLOOKUP(J419,Teams!A:B,2,FALSE)</f>
        <v>BRA</v>
      </c>
      <c r="T419" t="str">
        <f>VLOOKUP(M419,Teams!A:B,2,FALSE)</f>
        <v>SWE</v>
      </c>
    </row>
    <row r="420" spans="1:20" x14ac:dyDescent="0.25">
      <c r="A420" t="str">
        <f t="shared" si="7"/>
        <v>FIFAWC1990-7</v>
      </c>
      <c r="B420" s="4">
        <v>7</v>
      </c>
      <c r="C420" s="3">
        <v>33035</v>
      </c>
      <c r="D420" s="7">
        <v>8.3333333333333329E-2</v>
      </c>
      <c r="E420">
        <v>1990</v>
      </c>
      <c r="F420" t="s">
        <v>1732</v>
      </c>
      <c r="G420" t="s">
        <v>1741</v>
      </c>
      <c r="H420" t="s">
        <v>1122</v>
      </c>
      <c r="I420" t="s">
        <v>1745</v>
      </c>
      <c r="J420" t="s">
        <v>797</v>
      </c>
      <c r="K420">
        <v>4</v>
      </c>
      <c r="L420">
        <v>1</v>
      </c>
      <c r="M420" t="s">
        <v>1234</v>
      </c>
      <c r="O420" t="s">
        <v>1230</v>
      </c>
      <c r="P420" t="s">
        <v>1249</v>
      </c>
      <c r="Q420">
        <v>74765</v>
      </c>
      <c r="R420" t="s">
        <v>1157</v>
      </c>
      <c r="S420" t="str">
        <f>VLOOKUP(J420,Teams!A:B,2,FALSE)</f>
        <v>GER</v>
      </c>
      <c r="T420" t="str">
        <f>VLOOKUP(M420,Teams!A:B,2,FALSE)</f>
        <v>YUG</v>
      </c>
    </row>
    <row r="421" spans="1:20" x14ac:dyDescent="0.25">
      <c r="A421" t="str">
        <f t="shared" si="7"/>
        <v>FIFAWC1990-8</v>
      </c>
      <c r="B421" s="4">
        <v>8</v>
      </c>
      <c r="C421" s="3">
        <v>33035</v>
      </c>
      <c r="D421" s="7">
        <v>0.91666666666666663</v>
      </c>
      <c r="E421">
        <v>1990</v>
      </c>
      <c r="F421" t="s">
        <v>1732</v>
      </c>
      <c r="G421" t="s">
        <v>1741</v>
      </c>
      <c r="H421" t="s">
        <v>1122</v>
      </c>
      <c r="I421" t="s">
        <v>1744</v>
      </c>
      <c r="J421" t="s">
        <v>774</v>
      </c>
      <c r="K421">
        <v>1</v>
      </c>
      <c r="L421">
        <v>0</v>
      </c>
      <c r="M421" t="s">
        <v>1026</v>
      </c>
      <c r="O421" t="s">
        <v>1171</v>
      </c>
      <c r="P421" t="s">
        <v>1248</v>
      </c>
      <c r="Q421">
        <v>30867</v>
      </c>
      <c r="R421" t="s">
        <v>1157</v>
      </c>
      <c r="S421" t="str">
        <f>VLOOKUP(J421,Teams!A:B,2,FALSE)</f>
        <v>CRC</v>
      </c>
      <c r="T421" t="str">
        <f>VLOOKUP(M421,Teams!A:B,2,FALSE)</f>
        <v>SCO</v>
      </c>
    </row>
    <row r="422" spans="1:20" x14ac:dyDescent="0.25">
      <c r="A422" t="str">
        <f t="shared" si="7"/>
        <v>FIFAWC1990-9</v>
      </c>
      <c r="B422" s="4">
        <v>9</v>
      </c>
      <c r="C422" s="3">
        <v>33036</v>
      </c>
      <c r="D422" s="7">
        <v>8.3333333333333329E-2</v>
      </c>
      <c r="E422">
        <v>1990</v>
      </c>
      <c r="F422" t="s">
        <v>1732</v>
      </c>
      <c r="G422" t="s">
        <v>1741</v>
      </c>
      <c r="H422" t="s">
        <v>1122</v>
      </c>
      <c r="I422" t="s">
        <v>1747</v>
      </c>
      <c r="J422" t="s">
        <v>1021</v>
      </c>
      <c r="K422">
        <v>1</v>
      </c>
      <c r="L422">
        <v>1</v>
      </c>
      <c r="M422" t="s">
        <v>1109</v>
      </c>
      <c r="O422" t="s">
        <v>1246</v>
      </c>
      <c r="P422" t="s">
        <v>1247</v>
      </c>
      <c r="Q422">
        <v>35238</v>
      </c>
      <c r="R422" t="s">
        <v>1157</v>
      </c>
      <c r="S422" t="str">
        <f>VLOOKUP(J422,Teams!A:B,2,FALSE)</f>
        <v>ENG</v>
      </c>
      <c r="T422" t="str">
        <f>VLOOKUP(M422,Teams!A:B,2,FALSE)</f>
        <v>IRL</v>
      </c>
    </row>
    <row r="423" spans="1:20" x14ac:dyDescent="0.25">
      <c r="A423" t="str">
        <f t="shared" si="7"/>
        <v>FIFAWC1990-10</v>
      </c>
      <c r="B423" s="4">
        <v>10</v>
      </c>
      <c r="C423" s="3">
        <v>33036</v>
      </c>
      <c r="D423" s="7">
        <v>0.91666666666666663</v>
      </c>
      <c r="E423">
        <v>1990</v>
      </c>
      <c r="F423" t="s">
        <v>1732</v>
      </c>
      <c r="G423" t="s">
        <v>1741</v>
      </c>
      <c r="H423" t="s">
        <v>1122</v>
      </c>
      <c r="I423" t="s">
        <v>1746</v>
      </c>
      <c r="J423" t="s">
        <v>756</v>
      </c>
      <c r="K423">
        <v>2</v>
      </c>
      <c r="L423">
        <v>0</v>
      </c>
      <c r="M423" t="s">
        <v>1056</v>
      </c>
      <c r="O423" t="s">
        <v>1244</v>
      </c>
      <c r="P423" t="s">
        <v>1245</v>
      </c>
      <c r="Q423">
        <v>32790</v>
      </c>
      <c r="R423" t="s">
        <v>1157</v>
      </c>
      <c r="S423" t="str">
        <f>VLOOKUP(J423,Teams!A:B,2,FALSE)</f>
        <v>BEL</v>
      </c>
      <c r="T423" t="str">
        <f>VLOOKUP(M423,Teams!A:B,2,FALSE)</f>
        <v>KOR</v>
      </c>
    </row>
    <row r="424" spans="1:20" x14ac:dyDescent="0.25">
      <c r="A424" t="str">
        <f t="shared" si="7"/>
        <v>FIFAWC1990-11</v>
      </c>
      <c r="B424" s="4">
        <v>11</v>
      </c>
      <c r="C424" s="3">
        <v>33037</v>
      </c>
      <c r="D424" s="7">
        <v>8.3333333333333329E-2</v>
      </c>
      <c r="E424">
        <v>1990</v>
      </c>
      <c r="F424" t="s">
        <v>1732</v>
      </c>
      <c r="G424" t="s">
        <v>1741</v>
      </c>
      <c r="H424" t="s">
        <v>1122</v>
      </c>
      <c r="I424" t="s">
        <v>1747</v>
      </c>
      <c r="J424" t="s">
        <v>33</v>
      </c>
      <c r="K424">
        <v>1</v>
      </c>
      <c r="L424">
        <v>1</v>
      </c>
      <c r="M424" t="s">
        <v>783</v>
      </c>
      <c r="O424" t="s">
        <v>1242</v>
      </c>
      <c r="P424" t="s">
        <v>1243</v>
      </c>
      <c r="Q424">
        <v>33421</v>
      </c>
      <c r="R424" t="s">
        <v>1157</v>
      </c>
      <c r="S424" t="str">
        <f>VLOOKUP(J424,Teams!A:B,2,FALSE)</f>
        <v>NED</v>
      </c>
      <c r="T424" t="str">
        <f>VLOOKUP(M424,Teams!A:B,2,FALSE)</f>
        <v>EGY</v>
      </c>
    </row>
    <row r="425" spans="1:20" x14ac:dyDescent="0.25">
      <c r="A425" t="str">
        <f>F425&amp;"-"&amp;B425</f>
        <v>FIFAWC1990-12</v>
      </c>
      <c r="B425" s="4">
        <v>12</v>
      </c>
      <c r="C425" s="3">
        <v>33037</v>
      </c>
      <c r="D425" s="7">
        <v>0.91666666666666663</v>
      </c>
      <c r="E425">
        <v>1990</v>
      </c>
      <c r="F425" t="s">
        <v>1732</v>
      </c>
      <c r="G425" t="s">
        <v>1741</v>
      </c>
      <c r="H425" t="s">
        <v>1122</v>
      </c>
      <c r="I425" t="s">
        <v>1746</v>
      </c>
      <c r="J425" t="s">
        <v>916</v>
      </c>
      <c r="K425">
        <v>0</v>
      </c>
      <c r="L425">
        <v>0</v>
      </c>
      <c r="M425" t="s">
        <v>895</v>
      </c>
      <c r="O425" t="s">
        <v>1239</v>
      </c>
      <c r="P425" t="s">
        <v>1240</v>
      </c>
      <c r="Q425">
        <v>35713</v>
      </c>
      <c r="R425" t="s">
        <v>1157</v>
      </c>
      <c r="S425" t="str">
        <f>VLOOKUP(J425,Teams!A:B,2,FALSE)</f>
        <v>URU</v>
      </c>
      <c r="T425" t="str">
        <f>VLOOKUP(M425,Teams!A:B,2,FALSE)</f>
        <v>ESP</v>
      </c>
    </row>
    <row r="426" spans="1:20" x14ac:dyDescent="0.25">
      <c r="A426" t="str">
        <f t="shared" si="7"/>
        <v>FIFAWC1990-13</v>
      </c>
      <c r="B426" s="4">
        <v>13</v>
      </c>
      <c r="C426" s="3">
        <v>33038</v>
      </c>
      <c r="D426" s="7">
        <v>8.3333333333333329E-2</v>
      </c>
      <c r="E426">
        <v>1990</v>
      </c>
      <c r="F426" t="s">
        <v>1732</v>
      </c>
      <c r="G426" t="s">
        <v>1741</v>
      </c>
      <c r="H426" t="s">
        <v>1122</v>
      </c>
      <c r="I426" t="s">
        <v>1742</v>
      </c>
      <c r="J426" t="s">
        <v>749</v>
      </c>
      <c r="K426">
        <v>2</v>
      </c>
      <c r="L426">
        <v>0</v>
      </c>
      <c r="M426" t="s">
        <v>1754</v>
      </c>
      <c r="O426" t="s">
        <v>1241</v>
      </c>
      <c r="P426" t="s">
        <v>1207</v>
      </c>
      <c r="Q426">
        <v>55759</v>
      </c>
      <c r="R426" t="s">
        <v>1157</v>
      </c>
      <c r="S426" t="str">
        <f>VLOOKUP(J426,Teams!A:B,2,FALSE)</f>
        <v>ARG</v>
      </c>
      <c r="T426" t="str">
        <f>VLOOKUP(M426,Teams!A:B,2,FALSE)</f>
        <v>URS</v>
      </c>
    </row>
    <row r="427" spans="1:20" x14ac:dyDescent="0.25">
      <c r="A427" t="str">
        <f>F427&amp;"-"&amp;B427</f>
        <v>FIFAWC1990-14</v>
      </c>
      <c r="B427" s="4">
        <v>14</v>
      </c>
      <c r="C427" s="3">
        <v>33038</v>
      </c>
      <c r="D427" s="7">
        <v>0.91666666666666663</v>
      </c>
      <c r="E427">
        <v>1990</v>
      </c>
      <c r="F427" t="s">
        <v>1732</v>
      </c>
      <c r="G427" t="s">
        <v>1741</v>
      </c>
      <c r="H427" t="s">
        <v>1122</v>
      </c>
      <c r="I427" t="s">
        <v>1743</v>
      </c>
      <c r="J427" t="s">
        <v>1234</v>
      </c>
      <c r="K427">
        <v>1</v>
      </c>
      <c r="L427">
        <v>0</v>
      </c>
      <c r="M427" t="s">
        <v>771</v>
      </c>
      <c r="O427" t="s">
        <v>1232</v>
      </c>
      <c r="P427" t="s">
        <v>1233</v>
      </c>
      <c r="Q427">
        <v>38962</v>
      </c>
      <c r="R427" t="s">
        <v>1157</v>
      </c>
      <c r="S427" t="str">
        <f>VLOOKUP(J427,Teams!A:B,2,FALSE)</f>
        <v>YUG</v>
      </c>
      <c r="T427" t="str">
        <f>VLOOKUP(M427,Teams!A:B,2,FALSE)</f>
        <v>COL</v>
      </c>
    </row>
    <row r="428" spans="1:20" x14ac:dyDescent="0.25">
      <c r="A428" t="str">
        <f>F428&amp;"-"&amp;B428</f>
        <v>FIFAWC1990-15</v>
      </c>
      <c r="B428" s="4">
        <v>15</v>
      </c>
      <c r="C428" s="3">
        <v>33038</v>
      </c>
      <c r="D428" s="7">
        <v>0.91666666666666663</v>
      </c>
      <c r="E428">
        <v>1990</v>
      </c>
      <c r="F428" t="s">
        <v>1732</v>
      </c>
      <c r="G428" t="s">
        <v>1741</v>
      </c>
      <c r="H428" t="s">
        <v>1122</v>
      </c>
      <c r="I428" t="s">
        <v>1742</v>
      </c>
      <c r="J428" t="s">
        <v>764</v>
      </c>
      <c r="K428">
        <v>2</v>
      </c>
      <c r="L428">
        <v>1</v>
      </c>
      <c r="M428" t="s">
        <v>539</v>
      </c>
      <c r="O428" t="s">
        <v>1236</v>
      </c>
      <c r="P428" t="s">
        <v>1206</v>
      </c>
      <c r="Q428">
        <v>38687</v>
      </c>
      <c r="R428" t="s">
        <v>1157</v>
      </c>
      <c r="S428" t="str">
        <f>VLOOKUP(J428,Teams!A:B,2,FALSE)</f>
        <v>CMR</v>
      </c>
      <c r="T428" t="str">
        <f>VLOOKUP(M428,Teams!A:B,2,FALSE)</f>
        <v>ROU</v>
      </c>
    </row>
    <row r="429" spans="1:20" x14ac:dyDescent="0.25">
      <c r="A429" t="str">
        <f t="shared" si="7"/>
        <v>FIFAWC1990-16</v>
      </c>
      <c r="B429" s="4">
        <v>16</v>
      </c>
      <c r="C429" s="3">
        <v>33039</v>
      </c>
      <c r="D429" s="7">
        <v>8.3333333333333329E-2</v>
      </c>
      <c r="E429">
        <v>1990</v>
      </c>
      <c r="F429" t="s">
        <v>1732</v>
      </c>
      <c r="G429" t="s">
        <v>1741</v>
      </c>
      <c r="H429" t="s">
        <v>1122</v>
      </c>
      <c r="I429" t="s">
        <v>1743</v>
      </c>
      <c r="J429" t="s">
        <v>817</v>
      </c>
      <c r="K429">
        <v>1</v>
      </c>
      <c r="L429">
        <v>0</v>
      </c>
      <c r="M429" t="s">
        <v>702</v>
      </c>
      <c r="O429" t="s">
        <v>1237</v>
      </c>
      <c r="P429" t="s">
        <v>1238</v>
      </c>
      <c r="Q429">
        <v>73423</v>
      </c>
      <c r="R429" t="s">
        <v>1157</v>
      </c>
      <c r="S429" t="str">
        <f>VLOOKUP(J429,Teams!A:B,2,FALSE)</f>
        <v>ITA</v>
      </c>
      <c r="T429" t="str">
        <f>VLOOKUP(M429,Teams!A:B,2,FALSE)</f>
        <v>USA</v>
      </c>
    </row>
    <row r="430" spans="1:20" x14ac:dyDescent="0.25">
      <c r="A430" t="str">
        <f t="shared" si="7"/>
        <v>FIFAWC1990-17</v>
      </c>
      <c r="B430" s="4">
        <v>17</v>
      </c>
      <c r="C430" s="3">
        <v>33039</v>
      </c>
      <c r="D430" s="7">
        <v>0.91666666666666663</v>
      </c>
      <c r="E430">
        <v>1990</v>
      </c>
      <c r="F430" t="s">
        <v>1732</v>
      </c>
      <c r="G430" t="s">
        <v>1741</v>
      </c>
      <c r="H430" t="s">
        <v>1122</v>
      </c>
      <c r="I430" t="s">
        <v>1745</v>
      </c>
      <c r="J430" t="s">
        <v>751</v>
      </c>
      <c r="K430">
        <v>1</v>
      </c>
      <c r="L430">
        <v>0</v>
      </c>
      <c r="M430" t="s">
        <v>1037</v>
      </c>
      <c r="O430" t="s">
        <v>1235</v>
      </c>
      <c r="P430" t="s">
        <v>1203</v>
      </c>
      <c r="Q430">
        <v>32257</v>
      </c>
      <c r="R430" t="s">
        <v>1157</v>
      </c>
      <c r="S430" t="str">
        <f>VLOOKUP(J430,Teams!A:B,2,FALSE)</f>
        <v>AUT</v>
      </c>
      <c r="T430" t="str">
        <f>VLOOKUP(M430,Teams!A:B,2,FALSE)</f>
        <v>TCH</v>
      </c>
    </row>
    <row r="431" spans="1:20" x14ac:dyDescent="0.25">
      <c r="A431" t="str">
        <f t="shared" si="7"/>
        <v>FIFAWC1990-18</v>
      </c>
      <c r="B431" s="4">
        <v>18</v>
      </c>
      <c r="C431" s="3">
        <v>33040</v>
      </c>
      <c r="D431" s="7">
        <v>8.3333333333333329E-2</v>
      </c>
      <c r="E431">
        <v>1990</v>
      </c>
      <c r="F431" t="s">
        <v>1732</v>
      </c>
      <c r="G431" t="s">
        <v>1741</v>
      </c>
      <c r="H431" t="s">
        <v>1122</v>
      </c>
      <c r="I431" t="s">
        <v>1745</v>
      </c>
      <c r="J431" t="s">
        <v>797</v>
      </c>
      <c r="K431">
        <v>5</v>
      </c>
      <c r="L431">
        <v>1</v>
      </c>
      <c r="M431" t="s">
        <v>1079</v>
      </c>
      <c r="O431" t="s">
        <v>1230</v>
      </c>
      <c r="P431" t="s">
        <v>1231</v>
      </c>
      <c r="Q431">
        <v>71169</v>
      </c>
      <c r="R431" t="s">
        <v>1157</v>
      </c>
      <c r="S431" t="str">
        <f>VLOOKUP(J431,Teams!A:B,2,FALSE)</f>
        <v>GER</v>
      </c>
      <c r="T431" t="str">
        <f>VLOOKUP(M431,Teams!A:B,2,FALSE)</f>
        <v>UAE</v>
      </c>
    </row>
    <row r="432" spans="1:20" x14ac:dyDescent="0.25">
      <c r="A432" t="str">
        <f t="shared" si="7"/>
        <v>FIFAWC1990-19</v>
      </c>
      <c r="B432" s="4">
        <v>19</v>
      </c>
      <c r="C432" s="3">
        <v>33040</v>
      </c>
      <c r="D432" s="7">
        <v>0.91666666666666663</v>
      </c>
      <c r="E432">
        <v>1990</v>
      </c>
      <c r="F432" t="s">
        <v>1732</v>
      </c>
      <c r="G432" t="s">
        <v>1741</v>
      </c>
      <c r="H432" t="s">
        <v>1122</v>
      </c>
      <c r="I432" t="s">
        <v>1744</v>
      </c>
      <c r="J432" t="s">
        <v>760</v>
      </c>
      <c r="K432">
        <v>1</v>
      </c>
      <c r="L432">
        <v>0</v>
      </c>
      <c r="M432" t="s">
        <v>774</v>
      </c>
      <c r="O432" t="s">
        <v>1228</v>
      </c>
      <c r="P432" t="s">
        <v>1229</v>
      </c>
      <c r="Q432">
        <v>58007</v>
      </c>
      <c r="R432" t="s">
        <v>1157</v>
      </c>
      <c r="S432" t="str">
        <f>VLOOKUP(J432,Teams!A:B,2,FALSE)</f>
        <v>BRA</v>
      </c>
      <c r="T432" t="str">
        <f>VLOOKUP(M432,Teams!A:B,2,FALSE)</f>
        <v>CRC</v>
      </c>
    </row>
    <row r="433" spans="1:20" x14ac:dyDescent="0.25">
      <c r="A433" t="str">
        <f t="shared" si="7"/>
        <v>FIFAWC1990-20</v>
      </c>
      <c r="B433" s="4">
        <v>20</v>
      </c>
      <c r="C433" s="3">
        <v>33041</v>
      </c>
      <c r="D433" s="7">
        <v>8.3333333333333329E-2</v>
      </c>
      <c r="E433">
        <v>1990</v>
      </c>
      <c r="F433" t="s">
        <v>1732</v>
      </c>
      <c r="G433" t="s">
        <v>1741</v>
      </c>
      <c r="H433" t="s">
        <v>1122</v>
      </c>
      <c r="I433" t="s">
        <v>1744</v>
      </c>
      <c r="J433" t="s">
        <v>900</v>
      </c>
      <c r="K433">
        <v>1</v>
      </c>
      <c r="L433">
        <v>2</v>
      </c>
      <c r="M433" t="s">
        <v>1026</v>
      </c>
      <c r="O433" t="s">
        <v>1171</v>
      </c>
      <c r="P433" t="s">
        <v>1172</v>
      </c>
      <c r="Q433">
        <v>31823</v>
      </c>
      <c r="R433" t="s">
        <v>1157</v>
      </c>
      <c r="S433" t="str">
        <f>VLOOKUP(J433,Teams!A:B,2,FALSE)</f>
        <v>SWE</v>
      </c>
      <c r="T433" t="str">
        <f>VLOOKUP(M433,Teams!A:B,2,FALSE)</f>
        <v>SCO</v>
      </c>
    </row>
    <row r="434" spans="1:20" x14ac:dyDescent="0.25">
      <c r="A434" t="str">
        <f t="shared" si="7"/>
        <v>FIFAWC1990-21</v>
      </c>
      <c r="B434" s="4">
        <v>21</v>
      </c>
      <c r="C434" s="3">
        <v>33041</v>
      </c>
      <c r="D434" s="7">
        <v>8.3333333333333329E-2</v>
      </c>
      <c r="E434">
        <v>1990</v>
      </c>
      <c r="F434" t="s">
        <v>1732</v>
      </c>
      <c r="G434" t="s">
        <v>1741</v>
      </c>
      <c r="H434" t="s">
        <v>1122</v>
      </c>
      <c r="I434" t="s">
        <v>1747</v>
      </c>
      <c r="J434" t="s">
        <v>1021</v>
      </c>
      <c r="K434">
        <v>0</v>
      </c>
      <c r="L434">
        <v>0</v>
      </c>
      <c r="M434" t="s">
        <v>33</v>
      </c>
      <c r="O434" t="s">
        <v>1246</v>
      </c>
      <c r="P434" t="s">
        <v>1260</v>
      </c>
      <c r="Q434">
        <v>35267</v>
      </c>
      <c r="R434" t="s">
        <v>1157</v>
      </c>
      <c r="S434" t="str">
        <f>VLOOKUP(J434,Teams!A:B,2,FALSE)</f>
        <v>ENG</v>
      </c>
      <c r="T434" t="str">
        <f>VLOOKUP(M434,Teams!A:B,2,FALSE)</f>
        <v>NED</v>
      </c>
    </row>
    <row r="435" spans="1:20" x14ac:dyDescent="0.25">
      <c r="A435" t="str">
        <f>F435&amp;"-"&amp;B435</f>
        <v>FIFAWC1990-22</v>
      </c>
      <c r="B435" s="4">
        <v>22</v>
      </c>
      <c r="C435" s="3">
        <v>33041</v>
      </c>
      <c r="D435" s="7">
        <v>0.91666666666666663</v>
      </c>
      <c r="E435">
        <v>1990</v>
      </c>
      <c r="F435" t="s">
        <v>1732</v>
      </c>
      <c r="G435" t="s">
        <v>1741</v>
      </c>
      <c r="H435" t="s">
        <v>1122</v>
      </c>
      <c r="I435" t="s">
        <v>1747</v>
      </c>
      <c r="J435" t="s">
        <v>1109</v>
      </c>
      <c r="K435">
        <v>0</v>
      </c>
      <c r="L435">
        <v>0</v>
      </c>
      <c r="M435" t="s">
        <v>783</v>
      </c>
      <c r="O435" t="s">
        <v>1242</v>
      </c>
      <c r="P435" t="s">
        <v>1697</v>
      </c>
      <c r="Q435">
        <v>33288</v>
      </c>
      <c r="R435" t="s">
        <v>1157</v>
      </c>
      <c r="S435" t="str">
        <f>VLOOKUP(J435,Teams!A:B,2,FALSE)</f>
        <v>IRL</v>
      </c>
      <c r="T435" t="str">
        <f>VLOOKUP(M435,Teams!A:B,2,FALSE)</f>
        <v>EGY</v>
      </c>
    </row>
    <row r="436" spans="1:20" x14ac:dyDescent="0.25">
      <c r="A436" t="str">
        <f>F436&amp;"-"&amp;B436</f>
        <v>FIFAWC1990-23</v>
      </c>
      <c r="B436" s="4">
        <v>23</v>
      </c>
      <c r="C436" s="3">
        <v>33042</v>
      </c>
      <c r="D436" s="7">
        <v>8.3333333333333329E-2</v>
      </c>
      <c r="E436">
        <v>1990</v>
      </c>
      <c r="F436" t="s">
        <v>1732</v>
      </c>
      <c r="G436" t="s">
        <v>1741</v>
      </c>
      <c r="H436" t="s">
        <v>1122</v>
      </c>
      <c r="I436" t="s">
        <v>1746</v>
      </c>
      <c r="J436" t="s">
        <v>1056</v>
      </c>
      <c r="K436">
        <v>1</v>
      </c>
      <c r="L436">
        <v>3</v>
      </c>
      <c r="M436" t="s">
        <v>895</v>
      </c>
      <c r="O436" t="s">
        <v>1239</v>
      </c>
      <c r="P436" t="s">
        <v>1698</v>
      </c>
      <c r="Q436">
        <v>32733</v>
      </c>
      <c r="R436" t="s">
        <v>1157</v>
      </c>
      <c r="S436" t="str">
        <f>VLOOKUP(J436,Teams!A:B,2,FALSE)</f>
        <v>KOR</v>
      </c>
      <c r="T436" t="str">
        <f>VLOOKUP(M436,Teams!A:B,2,FALSE)</f>
        <v>ESP</v>
      </c>
    </row>
    <row r="437" spans="1:20" x14ac:dyDescent="0.25">
      <c r="A437" t="str">
        <f t="shared" si="7"/>
        <v>FIFAWC1990-24</v>
      </c>
      <c r="B437" s="4">
        <v>24</v>
      </c>
      <c r="C437" s="3">
        <v>33042</v>
      </c>
      <c r="D437" s="7">
        <v>8.3333333333333329E-2</v>
      </c>
      <c r="E437">
        <v>1990</v>
      </c>
      <c r="F437" t="s">
        <v>1732</v>
      </c>
      <c r="G437" t="s">
        <v>1741</v>
      </c>
      <c r="H437" t="s">
        <v>1122</v>
      </c>
      <c r="I437" t="s">
        <v>1746</v>
      </c>
      <c r="J437" t="s">
        <v>756</v>
      </c>
      <c r="K437">
        <v>3</v>
      </c>
      <c r="L437">
        <v>1</v>
      </c>
      <c r="M437" t="s">
        <v>916</v>
      </c>
      <c r="O437" t="s">
        <v>1244</v>
      </c>
      <c r="P437" t="s">
        <v>1254</v>
      </c>
      <c r="Q437">
        <v>33759</v>
      </c>
      <c r="R437" t="s">
        <v>1157</v>
      </c>
      <c r="S437" t="str">
        <f>VLOOKUP(J437,Teams!A:B,2,FALSE)</f>
        <v>BEL</v>
      </c>
      <c r="T437" t="str">
        <f>VLOOKUP(M437,Teams!A:B,2,FALSE)</f>
        <v>URU</v>
      </c>
    </row>
    <row r="438" spans="1:20" x14ac:dyDescent="0.25">
      <c r="A438" t="str">
        <f t="shared" si="7"/>
        <v>FIFAWC1990-25</v>
      </c>
      <c r="B438" s="4">
        <v>25</v>
      </c>
      <c r="C438" s="3">
        <v>33043</v>
      </c>
      <c r="D438" s="7">
        <v>8.3333333333333329E-2</v>
      </c>
      <c r="E438">
        <v>1990</v>
      </c>
      <c r="F438" t="s">
        <v>1732</v>
      </c>
      <c r="G438" t="s">
        <v>1741</v>
      </c>
      <c r="H438" t="s">
        <v>1122</v>
      </c>
      <c r="I438" t="s">
        <v>1742</v>
      </c>
      <c r="J438" t="s">
        <v>749</v>
      </c>
      <c r="K438">
        <v>1</v>
      </c>
      <c r="L438">
        <v>1</v>
      </c>
      <c r="M438" t="s">
        <v>539</v>
      </c>
      <c r="O438" t="s">
        <v>1241</v>
      </c>
      <c r="P438" t="s">
        <v>1265</v>
      </c>
      <c r="Q438">
        <v>52733</v>
      </c>
      <c r="R438" t="s">
        <v>1157</v>
      </c>
      <c r="S438" t="str">
        <f>VLOOKUP(J438,Teams!A:B,2,FALSE)</f>
        <v>ARG</v>
      </c>
      <c r="T438" t="str">
        <f>VLOOKUP(M438,Teams!A:B,2,FALSE)</f>
        <v>ROU</v>
      </c>
    </row>
    <row r="439" spans="1:20" x14ac:dyDescent="0.25">
      <c r="A439" t="str">
        <f t="shared" si="7"/>
        <v>FIFAWC1990-26</v>
      </c>
      <c r="B439" s="4">
        <v>26</v>
      </c>
      <c r="C439" s="3">
        <v>33043</v>
      </c>
      <c r="D439" s="7">
        <v>8.3333333333333329E-2</v>
      </c>
      <c r="E439">
        <v>1990</v>
      </c>
      <c r="F439" t="s">
        <v>1732</v>
      </c>
      <c r="G439" t="s">
        <v>1741</v>
      </c>
      <c r="H439" t="s">
        <v>1122</v>
      </c>
      <c r="I439" t="s">
        <v>1742</v>
      </c>
      <c r="J439" t="s">
        <v>764</v>
      </c>
      <c r="K439">
        <v>0</v>
      </c>
      <c r="L439">
        <v>4</v>
      </c>
      <c r="M439" t="s">
        <v>1754</v>
      </c>
      <c r="O439" t="s">
        <v>1236</v>
      </c>
      <c r="P439" t="s">
        <v>1252</v>
      </c>
      <c r="Q439">
        <v>37307</v>
      </c>
      <c r="R439" t="s">
        <v>1157</v>
      </c>
      <c r="S439" t="str">
        <f>VLOOKUP(J439,Teams!A:B,2,FALSE)</f>
        <v>CMR</v>
      </c>
      <c r="T439" t="str">
        <f>VLOOKUP(M439,Teams!A:B,2,FALSE)</f>
        <v>URS</v>
      </c>
    </row>
    <row r="440" spans="1:20" x14ac:dyDescent="0.25">
      <c r="A440" t="str">
        <f>F440&amp;"-"&amp;B440</f>
        <v>FIFAWC1990-27</v>
      </c>
      <c r="B440" s="4">
        <v>27</v>
      </c>
      <c r="C440" s="3">
        <v>33043</v>
      </c>
      <c r="D440" s="7">
        <v>0.91666666666666663</v>
      </c>
      <c r="E440">
        <v>1990</v>
      </c>
      <c r="F440" t="s">
        <v>1732</v>
      </c>
      <c r="G440" t="s">
        <v>1741</v>
      </c>
      <c r="H440" t="s">
        <v>1122</v>
      </c>
      <c r="I440" t="s">
        <v>1745</v>
      </c>
      <c r="J440" t="s">
        <v>797</v>
      </c>
      <c r="K440">
        <v>1</v>
      </c>
      <c r="L440">
        <v>1</v>
      </c>
      <c r="M440" t="s">
        <v>771</v>
      </c>
      <c r="O440" t="s">
        <v>1230</v>
      </c>
      <c r="P440" t="s">
        <v>1258</v>
      </c>
      <c r="Q440">
        <v>72510</v>
      </c>
      <c r="R440" t="s">
        <v>1157</v>
      </c>
      <c r="S440" t="str">
        <f>VLOOKUP(J440,Teams!A:B,2,FALSE)</f>
        <v>GER</v>
      </c>
      <c r="T440" t="str">
        <f>VLOOKUP(M440,Teams!A:B,2,FALSE)</f>
        <v>COL</v>
      </c>
    </row>
    <row r="441" spans="1:20" x14ac:dyDescent="0.25">
      <c r="A441" t="str">
        <f>F441&amp;"-"&amp;B441</f>
        <v>FIFAWC1990-28</v>
      </c>
      <c r="B441" s="4">
        <v>28</v>
      </c>
      <c r="C441" s="3">
        <v>33043</v>
      </c>
      <c r="D441" s="7">
        <v>0.91666666666666663</v>
      </c>
      <c r="E441">
        <v>1990</v>
      </c>
      <c r="F441" t="s">
        <v>1732</v>
      </c>
      <c r="G441" t="s">
        <v>1741</v>
      </c>
      <c r="H441" t="s">
        <v>1122</v>
      </c>
      <c r="I441" t="s">
        <v>1745</v>
      </c>
      <c r="J441" t="s">
        <v>1234</v>
      </c>
      <c r="K441">
        <v>4</v>
      </c>
      <c r="L441">
        <v>1</v>
      </c>
      <c r="M441" t="s">
        <v>1079</v>
      </c>
      <c r="O441" t="s">
        <v>1235</v>
      </c>
      <c r="P441" t="s">
        <v>1257</v>
      </c>
      <c r="Q441">
        <v>27833</v>
      </c>
      <c r="R441" t="s">
        <v>1157</v>
      </c>
      <c r="S441" t="str">
        <f>VLOOKUP(J441,Teams!A:B,2,FALSE)</f>
        <v>YUG</v>
      </c>
      <c r="T441" t="str">
        <f>VLOOKUP(M441,Teams!A:B,2,FALSE)</f>
        <v>UAE</v>
      </c>
    </row>
    <row r="442" spans="1:20" x14ac:dyDescent="0.25">
      <c r="A442" t="str">
        <f t="shared" si="7"/>
        <v>FIFAWC1990-29</v>
      </c>
      <c r="B442" s="4">
        <v>29</v>
      </c>
      <c r="C442" s="3">
        <v>33044</v>
      </c>
      <c r="D442" s="7">
        <v>8.3333333333333329E-2</v>
      </c>
      <c r="E442">
        <v>1990</v>
      </c>
      <c r="F442" t="s">
        <v>1732</v>
      </c>
      <c r="G442" t="s">
        <v>1741</v>
      </c>
      <c r="H442" t="s">
        <v>1122</v>
      </c>
      <c r="I442" t="s">
        <v>1743</v>
      </c>
      <c r="J442" t="s">
        <v>817</v>
      </c>
      <c r="K442">
        <v>2</v>
      </c>
      <c r="L442">
        <v>0</v>
      </c>
      <c r="M442" t="s">
        <v>1037</v>
      </c>
      <c r="O442" t="s">
        <v>1237</v>
      </c>
      <c r="P442" t="s">
        <v>1256</v>
      </c>
      <c r="Q442">
        <v>73303</v>
      </c>
      <c r="R442" t="s">
        <v>1157</v>
      </c>
      <c r="S442" t="str">
        <f>VLOOKUP(J442,Teams!A:B,2,FALSE)</f>
        <v>ITA</v>
      </c>
      <c r="T442" t="str">
        <f>VLOOKUP(M442,Teams!A:B,2,FALSE)</f>
        <v>TCH</v>
      </c>
    </row>
    <row r="443" spans="1:20" x14ac:dyDescent="0.25">
      <c r="A443" t="str">
        <f t="shared" si="7"/>
        <v>FIFAWC1990-30</v>
      </c>
      <c r="B443" s="4">
        <v>30</v>
      </c>
      <c r="C443" s="3">
        <v>33044</v>
      </c>
      <c r="D443" s="7">
        <v>8.3333333333333329E-2</v>
      </c>
      <c r="E443">
        <v>1990</v>
      </c>
      <c r="F443" t="s">
        <v>1732</v>
      </c>
      <c r="G443" t="s">
        <v>1741</v>
      </c>
      <c r="H443" t="s">
        <v>1122</v>
      </c>
      <c r="I443" t="s">
        <v>1743</v>
      </c>
      <c r="J443" t="s">
        <v>751</v>
      </c>
      <c r="K443">
        <v>2</v>
      </c>
      <c r="L443">
        <v>1</v>
      </c>
      <c r="M443" t="s">
        <v>702</v>
      </c>
      <c r="O443" t="s">
        <v>1232</v>
      </c>
      <c r="P443" t="s">
        <v>1188</v>
      </c>
      <c r="Q443">
        <v>34857</v>
      </c>
      <c r="R443" t="s">
        <v>1157</v>
      </c>
      <c r="S443" t="str">
        <f>VLOOKUP(J443,Teams!A:B,2,FALSE)</f>
        <v>AUT</v>
      </c>
      <c r="T443" t="str">
        <f>VLOOKUP(M443,Teams!A:B,2,FALSE)</f>
        <v>USA</v>
      </c>
    </row>
    <row r="444" spans="1:20" x14ac:dyDescent="0.25">
      <c r="A444" t="str">
        <f t="shared" si="7"/>
        <v>FIFAWC1990-31</v>
      </c>
      <c r="B444" s="4">
        <v>31</v>
      </c>
      <c r="C444" s="3">
        <v>33045</v>
      </c>
      <c r="D444" s="7">
        <v>8.3333333333333329E-2</v>
      </c>
      <c r="E444">
        <v>1990</v>
      </c>
      <c r="F444" t="s">
        <v>1732</v>
      </c>
      <c r="G444" t="s">
        <v>1741</v>
      </c>
      <c r="H444" t="s">
        <v>1122</v>
      </c>
      <c r="I444" t="s">
        <v>1744</v>
      </c>
      <c r="J444" t="s">
        <v>760</v>
      </c>
      <c r="K444">
        <v>1</v>
      </c>
      <c r="L444">
        <v>0</v>
      </c>
      <c r="M444" t="s">
        <v>1026</v>
      </c>
      <c r="O444" t="s">
        <v>1228</v>
      </c>
      <c r="P444" t="s">
        <v>1240</v>
      </c>
      <c r="Q444">
        <v>62502</v>
      </c>
      <c r="R444" t="s">
        <v>1157</v>
      </c>
      <c r="S444" t="str">
        <f>VLOOKUP(J444,Teams!A:B,2,FALSE)</f>
        <v>BRA</v>
      </c>
      <c r="T444" t="str">
        <f>VLOOKUP(M444,Teams!A:B,2,FALSE)</f>
        <v>SCO</v>
      </c>
    </row>
    <row r="445" spans="1:20" x14ac:dyDescent="0.25">
      <c r="A445" t="str">
        <f t="shared" si="7"/>
        <v>FIFAWC1990-32</v>
      </c>
      <c r="B445" s="4">
        <v>32</v>
      </c>
      <c r="C445" s="3">
        <v>33045</v>
      </c>
      <c r="D445" s="7">
        <v>8.3333333333333329E-2</v>
      </c>
      <c r="E445">
        <v>1990</v>
      </c>
      <c r="F445" t="s">
        <v>1732</v>
      </c>
      <c r="G445" t="s">
        <v>1741</v>
      </c>
      <c r="H445" t="s">
        <v>1122</v>
      </c>
      <c r="I445" t="s">
        <v>1744</v>
      </c>
      <c r="J445" t="s">
        <v>900</v>
      </c>
      <c r="K445">
        <v>1</v>
      </c>
      <c r="L445">
        <v>2</v>
      </c>
      <c r="M445" t="s">
        <v>774</v>
      </c>
      <c r="O445" t="s">
        <v>1171</v>
      </c>
      <c r="P445" t="s">
        <v>1260</v>
      </c>
      <c r="Q445">
        <v>30223</v>
      </c>
      <c r="R445" t="s">
        <v>1157</v>
      </c>
      <c r="S445" t="str">
        <f>VLOOKUP(J445,Teams!A:B,2,FALSE)</f>
        <v>SWE</v>
      </c>
      <c r="T445" t="str">
        <f>VLOOKUP(M445,Teams!A:B,2,FALSE)</f>
        <v>CRC</v>
      </c>
    </row>
    <row r="446" spans="1:20" x14ac:dyDescent="0.25">
      <c r="A446" t="str">
        <f>F446&amp;"-"&amp;B446</f>
        <v>FIFAWC1990-33</v>
      </c>
      <c r="B446" s="4">
        <v>33</v>
      </c>
      <c r="C446" s="3">
        <v>33045</v>
      </c>
      <c r="D446" s="7">
        <v>0.91666666666666663</v>
      </c>
      <c r="E446">
        <v>1990</v>
      </c>
      <c r="F446" t="s">
        <v>1732</v>
      </c>
      <c r="G446" t="s">
        <v>1741</v>
      </c>
      <c r="H446" t="s">
        <v>1122</v>
      </c>
      <c r="I446" t="s">
        <v>1746</v>
      </c>
      <c r="J446" t="s">
        <v>1056</v>
      </c>
      <c r="K446">
        <v>0</v>
      </c>
      <c r="L446">
        <v>1</v>
      </c>
      <c r="M446" t="s">
        <v>774</v>
      </c>
      <c r="O446" t="s">
        <v>1239</v>
      </c>
      <c r="P446" t="s">
        <v>1250</v>
      </c>
      <c r="Q446">
        <v>29039</v>
      </c>
      <c r="R446" t="s">
        <v>1157</v>
      </c>
      <c r="S446" t="str">
        <f>VLOOKUP(J446,Teams!A:B,2,FALSE)</f>
        <v>KOR</v>
      </c>
      <c r="T446" t="str">
        <f>VLOOKUP(M446,Teams!A:B,2,FALSE)</f>
        <v>CRC</v>
      </c>
    </row>
    <row r="447" spans="1:20" x14ac:dyDescent="0.25">
      <c r="A447" t="str">
        <f t="shared" si="7"/>
        <v>FIFAWC1990-34</v>
      </c>
      <c r="B447" s="4">
        <v>34</v>
      </c>
      <c r="C447" s="3">
        <v>33045</v>
      </c>
      <c r="D447" s="7">
        <v>0.91666666666666663</v>
      </c>
      <c r="E447">
        <v>1990</v>
      </c>
      <c r="F447" t="s">
        <v>1732</v>
      </c>
      <c r="G447" t="s">
        <v>1741</v>
      </c>
      <c r="H447" t="s">
        <v>1122</v>
      </c>
      <c r="I447" t="s">
        <v>1746</v>
      </c>
      <c r="J447" t="s">
        <v>756</v>
      </c>
      <c r="K447">
        <v>1</v>
      </c>
      <c r="L447">
        <v>2</v>
      </c>
      <c r="M447" t="s">
        <v>895</v>
      </c>
      <c r="O447" t="s">
        <v>1244</v>
      </c>
      <c r="P447" t="s">
        <v>1248</v>
      </c>
      <c r="Q447">
        <v>35950</v>
      </c>
      <c r="R447" t="s">
        <v>1157</v>
      </c>
      <c r="S447" t="str">
        <f>VLOOKUP(J447,Teams!A:B,2,FALSE)</f>
        <v>BEL</v>
      </c>
      <c r="T447" t="str">
        <f>VLOOKUP(M447,Teams!A:B,2,FALSE)</f>
        <v>ESP</v>
      </c>
    </row>
    <row r="448" spans="1:20" x14ac:dyDescent="0.25">
      <c r="A448" t="str">
        <f t="shared" si="7"/>
        <v>FIFAWC1990-35</v>
      </c>
      <c r="B448" s="4">
        <v>35</v>
      </c>
      <c r="C448" s="3">
        <v>33046</v>
      </c>
      <c r="D448" s="7">
        <v>8.3333333333333329E-2</v>
      </c>
      <c r="E448">
        <v>1990</v>
      </c>
      <c r="F448" t="s">
        <v>1732</v>
      </c>
      <c r="G448" t="s">
        <v>1741</v>
      </c>
      <c r="H448" t="s">
        <v>1122</v>
      </c>
      <c r="I448" t="s">
        <v>1747</v>
      </c>
      <c r="J448" t="s">
        <v>1021</v>
      </c>
      <c r="K448">
        <v>1</v>
      </c>
      <c r="L448">
        <v>0</v>
      </c>
      <c r="M448" t="s">
        <v>783</v>
      </c>
      <c r="O448" t="s">
        <v>1246</v>
      </c>
      <c r="P448" t="s">
        <v>1251</v>
      </c>
      <c r="Q448">
        <v>34959</v>
      </c>
      <c r="R448" t="s">
        <v>1157</v>
      </c>
      <c r="S448" t="str">
        <f>VLOOKUP(J448,Teams!A:B,2,FALSE)</f>
        <v>ENG</v>
      </c>
      <c r="T448" t="str">
        <f>VLOOKUP(M448,Teams!A:B,2,FALSE)</f>
        <v>EGY</v>
      </c>
    </row>
    <row r="449" spans="1:20" x14ac:dyDescent="0.25">
      <c r="A449" t="str">
        <f t="shared" si="7"/>
        <v>FIFAWC1990-36</v>
      </c>
      <c r="B449" s="4">
        <v>36</v>
      </c>
      <c r="C449" s="3">
        <v>33046</v>
      </c>
      <c r="D449" s="7">
        <v>8.3333333333333329E-2</v>
      </c>
      <c r="E449">
        <v>1990</v>
      </c>
      <c r="F449" t="s">
        <v>1732</v>
      </c>
      <c r="G449" t="s">
        <v>1741</v>
      </c>
      <c r="H449" t="s">
        <v>1122</v>
      </c>
      <c r="I449" t="s">
        <v>1747</v>
      </c>
      <c r="J449" t="s">
        <v>1109</v>
      </c>
      <c r="K449">
        <v>1</v>
      </c>
      <c r="L449">
        <v>1</v>
      </c>
      <c r="M449" t="s">
        <v>33</v>
      </c>
      <c r="O449" t="s">
        <v>1242</v>
      </c>
      <c r="P449" t="s">
        <v>1225</v>
      </c>
      <c r="Q449">
        <v>33288</v>
      </c>
      <c r="R449" t="s">
        <v>1157</v>
      </c>
      <c r="S449" t="str">
        <f>VLOOKUP(J449,Teams!A:B,2,FALSE)</f>
        <v>IRL</v>
      </c>
      <c r="T449" t="str">
        <f>VLOOKUP(M449,Teams!A:B,2,FALSE)</f>
        <v>NED</v>
      </c>
    </row>
    <row r="450" spans="1:20" x14ac:dyDescent="0.25">
      <c r="A450" t="str">
        <f t="shared" si="7"/>
        <v>FIFAWC1990-37</v>
      </c>
      <c r="B450" s="4">
        <v>37</v>
      </c>
      <c r="C450" s="3">
        <v>33047</v>
      </c>
      <c r="D450" s="7">
        <v>0.91666666666666663</v>
      </c>
      <c r="E450">
        <v>1990</v>
      </c>
      <c r="F450" t="s">
        <v>1732</v>
      </c>
      <c r="G450" t="s">
        <v>1741</v>
      </c>
      <c r="H450" t="s">
        <v>1759</v>
      </c>
      <c r="I450" t="s">
        <v>1138</v>
      </c>
      <c r="J450" t="s">
        <v>764</v>
      </c>
      <c r="K450">
        <v>2</v>
      </c>
      <c r="L450">
        <v>1</v>
      </c>
      <c r="M450" t="s">
        <v>771</v>
      </c>
      <c r="O450" t="s">
        <v>1241</v>
      </c>
      <c r="P450" t="s">
        <v>1696</v>
      </c>
      <c r="Q450">
        <v>50026</v>
      </c>
      <c r="R450" t="s">
        <v>1157</v>
      </c>
      <c r="S450" t="str">
        <f>VLOOKUP(J450,Teams!A:B,2,FALSE)</f>
        <v>CMR</v>
      </c>
      <c r="T450" t="str">
        <f>VLOOKUP(M450,Teams!A:B,2,FALSE)</f>
        <v>COL</v>
      </c>
    </row>
    <row r="451" spans="1:20" x14ac:dyDescent="0.25">
      <c r="A451" t="str">
        <f t="shared" si="7"/>
        <v>FIFAWC1990-38</v>
      </c>
      <c r="B451" s="4">
        <v>38</v>
      </c>
      <c r="C451" s="3">
        <v>33048</v>
      </c>
      <c r="D451" s="7">
        <v>8.3333333333333329E-2</v>
      </c>
      <c r="E451">
        <v>1990</v>
      </c>
      <c r="F451" t="s">
        <v>1732</v>
      </c>
      <c r="G451" t="s">
        <v>1741</v>
      </c>
      <c r="H451" t="s">
        <v>1759</v>
      </c>
      <c r="I451" t="s">
        <v>1138</v>
      </c>
      <c r="J451" t="s">
        <v>1037</v>
      </c>
      <c r="K451">
        <v>4</v>
      </c>
      <c r="L451">
        <v>1</v>
      </c>
      <c r="M451" t="s">
        <v>774</v>
      </c>
      <c r="O451" t="s">
        <v>1236</v>
      </c>
      <c r="P451" t="s">
        <v>1254</v>
      </c>
      <c r="Q451">
        <v>47673</v>
      </c>
      <c r="R451" t="s">
        <v>1157</v>
      </c>
      <c r="S451" t="str">
        <f>VLOOKUP(J451,Teams!A:B,2,FALSE)</f>
        <v>TCH</v>
      </c>
      <c r="T451" t="str">
        <f>VLOOKUP(M451,Teams!A:B,2,FALSE)</f>
        <v>CRC</v>
      </c>
    </row>
    <row r="452" spans="1:20" x14ac:dyDescent="0.25">
      <c r="A452" t="str">
        <f t="shared" si="7"/>
        <v>FIFAWC1990-39</v>
      </c>
      <c r="B452" s="4">
        <v>39</v>
      </c>
      <c r="C452" s="3">
        <v>33048</v>
      </c>
      <c r="D452" s="7">
        <v>0.91666666666666663</v>
      </c>
      <c r="E452">
        <v>1990</v>
      </c>
      <c r="F452" t="s">
        <v>1732</v>
      </c>
      <c r="G452" t="s">
        <v>1741</v>
      </c>
      <c r="H452" t="s">
        <v>1759</v>
      </c>
      <c r="I452" t="s">
        <v>1138</v>
      </c>
      <c r="J452" t="s">
        <v>760</v>
      </c>
      <c r="K452">
        <v>0</v>
      </c>
      <c r="L452">
        <v>1</v>
      </c>
      <c r="M452" t="s">
        <v>749</v>
      </c>
      <c r="O452" t="s">
        <v>1228</v>
      </c>
      <c r="P452" t="s">
        <v>1256</v>
      </c>
      <c r="Q452">
        <v>61381</v>
      </c>
      <c r="R452" t="s">
        <v>1157</v>
      </c>
      <c r="S452" t="str">
        <f>VLOOKUP(J452,Teams!A:B,2,FALSE)</f>
        <v>BRA</v>
      </c>
      <c r="T452" t="str">
        <f>VLOOKUP(M452,Teams!A:B,2,FALSE)</f>
        <v>ARG</v>
      </c>
    </row>
    <row r="453" spans="1:20" x14ac:dyDescent="0.25">
      <c r="A453" t="str">
        <f t="shared" si="7"/>
        <v>FIFAWC1990-40</v>
      </c>
      <c r="B453" s="4">
        <v>40</v>
      </c>
      <c r="C453" s="3">
        <v>33049</v>
      </c>
      <c r="D453" s="7">
        <v>8.3333333333333329E-2</v>
      </c>
      <c r="E453">
        <v>1990</v>
      </c>
      <c r="F453" t="s">
        <v>1732</v>
      </c>
      <c r="G453" t="s">
        <v>1741</v>
      </c>
      <c r="H453" t="s">
        <v>1759</v>
      </c>
      <c r="I453" t="s">
        <v>1138</v>
      </c>
      <c r="J453" t="s">
        <v>797</v>
      </c>
      <c r="K453">
        <v>2</v>
      </c>
      <c r="L453">
        <v>1</v>
      </c>
      <c r="M453" t="s">
        <v>33</v>
      </c>
      <c r="O453" t="s">
        <v>1230</v>
      </c>
      <c r="P453" t="s">
        <v>1248</v>
      </c>
      <c r="Q453">
        <v>74559</v>
      </c>
      <c r="R453" t="s">
        <v>1157</v>
      </c>
      <c r="S453" t="str">
        <f>VLOOKUP(J453,Teams!A:B,2,FALSE)</f>
        <v>GER</v>
      </c>
      <c r="T453" t="str">
        <f>VLOOKUP(M453,Teams!A:B,2,FALSE)</f>
        <v>NED</v>
      </c>
    </row>
    <row r="454" spans="1:20" x14ac:dyDescent="0.25">
      <c r="A454" t="str">
        <f t="shared" si="7"/>
        <v>FIFAWC1990-41</v>
      </c>
      <c r="B454" s="4">
        <v>41</v>
      </c>
      <c r="C454" s="3">
        <v>33049</v>
      </c>
      <c r="D454" s="7">
        <v>0.91666666666666663</v>
      </c>
      <c r="E454">
        <v>1990</v>
      </c>
      <c r="F454" t="s">
        <v>1732</v>
      </c>
      <c r="G454" t="s">
        <v>1741</v>
      </c>
      <c r="H454" t="s">
        <v>1759</v>
      </c>
      <c r="I454" t="s">
        <v>1138</v>
      </c>
      <c r="J454" t="s">
        <v>1109</v>
      </c>
      <c r="K454">
        <v>0</v>
      </c>
      <c r="L454">
        <v>0</v>
      </c>
      <c r="M454" t="s">
        <v>539</v>
      </c>
      <c r="N454" t="s">
        <v>1768</v>
      </c>
      <c r="O454" t="s">
        <v>1171</v>
      </c>
      <c r="P454" t="s">
        <v>1252</v>
      </c>
      <c r="Q454">
        <v>31818</v>
      </c>
      <c r="R454" t="s">
        <v>1157</v>
      </c>
      <c r="S454" t="str">
        <f>VLOOKUP(J454,Teams!A:B,2,FALSE)</f>
        <v>IRL</v>
      </c>
      <c r="T454" t="str">
        <f>VLOOKUP(M454,Teams!A:B,2,FALSE)</f>
        <v>ROU</v>
      </c>
    </row>
    <row r="455" spans="1:20" x14ac:dyDescent="0.25">
      <c r="A455" t="str">
        <f t="shared" si="7"/>
        <v>FIFAWC1990-42</v>
      </c>
      <c r="B455" s="4">
        <v>42</v>
      </c>
      <c r="C455" s="3">
        <v>33050</v>
      </c>
      <c r="D455" s="7">
        <v>8.3333333333333329E-2</v>
      </c>
      <c r="E455">
        <v>1990</v>
      </c>
      <c r="F455" t="s">
        <v>1732</v>
      </c>
      <c r="G455" t="s">
        <v>1741</v>
      </c>
      <c r="H455" t="s">
        <v>1759</v>
      </c>
      <c r="I455" t="s">
        <v>1138</v>
      </c>
      <c r="J455" t="s">
        <v>817</v>
      </c>
      <c r="K455">
        <v>2</v>
      </c>
      <c r="L455">
        <v>0</v>
      </c>
      <c r="M455" t="s">
        <v>916</v>
      </c>
      <c r="O455" t="s">
        <v>1237</v>
      </c>
      <c r="P455" t="s">
        <v>1182</v>
      </c>
      <c r="Q455">
        <v>73303</v>
      </c>
      <c r="R455" t="s">
        <v>1157</v>
      </c>
      <c r="S455" t="str">
        <f>VLOOKUP(J455,Teams!A:B,2,FALSE)</f>
        <v>ITA</v>
      </c>
      <c r="T455" t="str">
        <f>VLOOKUP(M455,Teams!A:B,2,FALSE)</f>
        <v>URU</v>
      </c>
    </row>
    <row r="456" spans="1:20" x14ac:dyDescent="0.25">
      <c r="A456" t="str">
        <f t="shared" si="7"/>
        <v>FIFAWC1990-43</v>
      </c>
      <c r="B456" s="4">
        <v>43</v>
      </c>
      <c r="C456" s="3">
        <v>33050</v>
      </c>
      <c r="D456" s="7">
        <v>0.91666666666666663</v>
      </c>
      <c r="E456">
        <v>1990</v>
      </c>
      <c r="F456" t="s">
        <v>1732</v>
      </c>
      <c r="G456" t="s">
        <v>1741</v>
      </c>
      <c r="H456" t="s">
        <v>1759</v>
      </c>
      <c r="I456" t="s">
        <v>1138</v>
      </c>
      <c r="J456" t="s">
        <v>895</v>
      </c>
      <c r="K456">
        <v>1</v>
      </c>
      <c r="L456">
        <v>2</v>
      </c>
      <c r="M456" t="s">
        <v>1234</v>
      </c>
      <c r="O456" t="s">
        <v>1244</v>
      </c>
      <c r="P456" t="s">
        <v>1247</v>
      </c>
      <c r="Q456">
        <v>35500</v>
      </c>
      <c r="R456" t="s">
        <v>1157</v>
      </c>
      <c r="S456" t="str">
        <f>VLOOKUP(J456,Teams!A:B,2,FALSE)</f>
        <v>ESP</v>
      </c>
      <c r="T456" t="str">
        <f>VLOOKUP(M456,Teams!A:B,2,FALSE)</f>
        <v>YUG</v>
      </c>
    </row>
    <row r="457" spans="1:20" x14ac:dyDescent="0.25">
      <c r="A457" t="str">
        <f t="shared" si="7"/>
        <v>FIFAWC1990-44</v>
      </c>
      <c r="B457" s="4">
        <v>44</v>
      </c>
      <c r="C457" s="3">
        <v>33051</v>
      </c>
      <c r="D457" s="7">
        <v>8.3333333333333329E-2</v>
      </c>
      <c r="E457">
        <v>1990</v>
      </c>
      <c r="F457" t="s">
        <v>1732</v>
      </c>
      <c r="G457" t="s">
        <v>1741</v>
      </c>
      <c r="H457" t="s">
        <v>1759</v>
      </c>
      <c r="I457" t="s">
        <v>1138</v>
      </c>
      <c r="J457" t="s">
        <v>1021</v>
      </c>
      <c r="K457">
        <v>1</v>
      </c>
      <c r="L457">
        <v>0</v>
      </c>
      <c r="M457" t="s">
        <v>756</v>
      </c>
      <c r="O457" t="s">
        <v>1235</v>
      </c>
      <c r="P457" t="s">
        <v>1249</v>
      </c>
      <c r="Q457">
        <v>34520</v>
      </c>
      <c r="R457" t="s">
        <v>1157</v>
      </c>
      <c r="S457" t="str">
        <f>VLOOKUP(J457,Teams!A:B,2,FALSE)</f>
        <v>ENG</v>
      </c>
      <c r="T457" t="str">
        <f>VLOOKUP(M457,Teams!A:B,2,FALSE)</f>
        <v>BEL</v>
      </c>
    </row>
    <row r="458" spans="1:20" x14ac:dyDescent="0.25">
      <c r="A458" t="str">
        <f t="shared" si="7"/>
        <v>FIFAWC1990-45</v>
      </c>
      <c r="B458" s="4">
        <v>45</v>
      </c>
      <c r="C458" s="3">
        <v>33054</v>
      </c>
      <c r="D458" s="7">
        <v>0.91666666666666663</v>
      </c>
      <c r="E458">
        <v>1990</v>
      </c>
      <c r="F458" t="s">
        <v>1732</v>
      </c>
      <c r="G458" t="s">
        <v>1741</v>
      </c>
      <c r="H458" t="s">
        <v>1759</v>
      </c>
      <c r="I458" t="s">
        <v>1139</v>
      </c>
      <c r="J458" t="s">
        <v>1234</v>
      </c>
      <c r="K458">
        <v>0</v>
      </c>
      <c r="L458">
        <v>0</v>
      </c>
      <c r="M458" t="s">
        <v>749</v>
      </c>
      <c r="N458" t="s">
        <v>1769</v>
      </c>
      <c r="O458" t="s">
        <v>1232</v>
      </c>
      <c r="P458" t="s">
        <v>1251</v>
      </c>
      <c r="Q458">
        <v>38971</v>
      </c>
      <c r="R458" t="s">
        <v>1157</v>
      </c>
      <c r="S458" t="str">
        <f>VLOOKUP(J458,Teams!A:B,2,FALSE)</f>
        <v>YUG</v>
      </c>
      <c r="T458" t="str">
        <f>VLOOKUP(M458,Teams!A:B,2,FALSE)</f>
        <v>ARG</v>
      </c>
    </row>
    <row r="459" spans="1:20" x14ac:dyDescent="0.25">
      <c r="A459" t="str">
        <f t="shared" si="7"/>
        <v>FIFAWC1990-46</v>
      </c>
      <c r="B459" s="4">
        <v>46</v>
      </c>
      <c r="C459" s="3">
        <v>33055</v>
      </c>
      <c r="D459" s="7">
        <v>8.3333333333333329E-2</v>
      </c>
      <c r="E459">
        <v>1990</v>
      </c>
      <c r="F459" t="s">
        <v>1732</v>
      </c>
      <c r="G459" t="s">
        <v>1741</v>
      </c>
      <c r="H459" t="s">
        <v>1759</v>
      </c>
      <c r="I459" t="s">
        <v>1139</v>
      </c>
      <c r="J459" t="s">
        <v>817</v>
      </c>
      <c r="K459">
        <v>1</v>
      </c>
      <c r="L459">
        <v>0</v>
      </c>
      <c r="M459" t="s">
        <v>1109</v>
      </c>
      <c r="O459" t="s">
        <v>1237</v>
      </c>
      <c r="P459" t="s">
        <v>1265</v>
      </c>
      <c r="Q459">
        <v>73303</v>
      </c>
      <c r="R459" t="s">
        <v>1157</v>
      </c>
      <c r="S459" t="str">
        <f>VLOOKUP(J459,Teams!A:B,2,FALSE)</f>
        <v>ITA</v>
      </c>
      <c r="T459" t="str">
        <f>VLOOKUP(M459,Teams!A:B,2,FALSE)</f>
        <v>IRL</v>
      </c>
    </row>
    <row r="460" spans="1:20" x14ac:dyDescent="0.25">
      <c r="A460" t="str">
        <f t="shared" si="7"/>
        <v>FIFAWC1990-47</v>
      </c>
      <c r="B460" s="4">
        <v>47</v>
      </c>
      <c r="C460" s="3">
        <v>33055</v>
      </c>
      <c r="D460" s="7">
        <v>0.91666666666666663</v>
      </c>
      <c r="E460">
        <v>1990</v>
      </c>
      <c r="F460" t="s">
        <v>1732</v>
      </c>
      <c r="G460" t="s">
        <v>1741</v>
      </c>
      <c r="H460" t="s">
        <v>1759</v>
      </c>
      <c r="I460" t="s">
        <v>1139</v>
      </c>
      <c r="J460" t="s">
        <v>797</v>
      </c>
      <c r="K460">
        <v>1</v>
      </c>
      <c r="L460">
        <v>0</v>
      </c>
      <c r="M460" t="s">
        <v>1037</v>
      </c>
      <c r="O460" t="s">
        <v>1230</v>
      </c>
      <c r="P460" t="s">
        <v>1240</v>
      </c>
      <c r="Q460">
        <v>73347</v>
      </c>
      <c r="R460" t="s">
        <v>1157</v>
      </c>
      <c r="S460" t="str">
        <f>VLOOKUP(J460,Teams!A:B,2,FALSE)</f>
        <v>GER</v>
      </c>
      <c r="T460" t="str">
        <f>VLOOKUP(M460,Teams!A:B,2,FALSE)</f>
        <v>TCH</v>
      </c>
    </row>
    <row r="461" spans="1:20" x14ac:dyDescent="0.25">
      <c r="A461" t="str">
        <f t="shared" si="7"/>
        <v>FIFAWC1990-48</v>
      </c>
      <c r="B461" s="4">
        <v>48</v>
      </c>
      <c r="C461" s="3">
        <v>33056</v>
      </c>
      <c r="D461" s="7">
        <v>8.3333333333333329E-2</v>
      </c>
      <c r="E461">
        <v>1990</v>
      </c>
      <c r="F461" t="s">
        <v>1732</v>
      </c>
      <c r="G461" t="s">
        <v>1741</v>
      </c>
      <c r="H461" t="s">
        <v>1759</v>
      </c>
      <c r="I461" t="s">
        <v>1139</v>
      </c>
      <c r="J461" t="s">
        <v>1021</v>
      </c>
      <c r="K461">
        <v>3</v>
      </c>
      <c r="L461">
        <v>2</v>
      </c>
      <c r="M461" t="s">
        <v>764</v>
      </c>
      <c r="O461" t="s">
        <v>1241</v>
      </c>
      <c r="P461" t="s">
        <v>1238</v>
      </c>
      <c r="Q461">
        <v>55205</v>
      </c>
      <c r="R461" t="s">
        <v>1157</v>
      </c>
      <c r="S461" t="str">
        <f>VLOOKUP(J461,Teams!A:B,2,FALSE)</f>
        <v>ENG</v>
      </c>
      <c r="T461" t="str">
        <f>VLOOKUP(M461,Teams!A:B,2,FALSE)</f>
        <v>CMR</v>
      </c>
    </row>
    <row r="462" spans="1:20" x14ac:dyDescent="0.25">
      <c r="A462" t="str">
        <f t="shared" si="7"/>
        <v>FIFAWC1990-49</v>
      </c>
      <c r="B462" s="4">
        <v>49</v>
      </c>
      <c r="C462" s="3">
        <v>33058</v>
      </c>
      <c r="D462" s="7">
        <v>4.1666666666666664E-2</v>
      </c>
      <c r="E462">
        <v>1990</v>
      </c>
      <c r="F462" t="s">
        <v>1732</v>
      </c>
      <c r="G462" t="s">
        <v>1741</v>
      </c>
      <c r="H462" t="s">
        <v>1759</v>
      </c>
      <c r="I462" t="s">
        <v>1140</v>
      </c>
      <c r="J462" t="s">
        <v>817</v>
      </c>
      <c r="K462">
        <v>1</v>
      </c>
      <c r="L462">
        <v>1</v>
      </c>
      <c r="M462" t="s">
        <v>749</v>
      </c>
      <c r="N462" t="s">
        <v>1770</v>
      </c>
      <c r="O462" t="s">
        <v>1241</v>
      </c>
      <c r="P462" t="s">
        <v>1225</v>
      </c>
      <c r="Q462">
        <v>59978</v>
      </c>
      <c r="R462" t="s">
        <v>1157</v>
      </c>
      <c r="S462" t="str">
        <f>VLOOKUP(J462,Teams!A:B,2,FALSE)</f>
        <v>ITA</v>
      </c>
      <c r="T462" t="str">
        <f>VLOOKUP(M462,Teams!A:B,2,FALSE)</f>
        <v>ARG</v>
      </c>
    </row>
    <row r="463" spans="1:20" x14ac:dyDescent="0.25">
      <c r="A463" t="str">
        <f t="shared" si="7"/>
        <v>FIFAWC1990-50</v>
      </c>
      <c r="B463" s="4">
        <v>50</v>
      </c>
      <c r="C463" s="3">
        <v>33059</v>
      </c>
      <c r="D463" s="7">
        <v>4.1666666666666664E-2</v>
      </c>
      <c r="E463">
        <v>1990</v>
      </c>
      <c r="F463" t="s">
        <v>1732</v>
      </c>
      <c r="G463" t="s">
        <v>1741</v>
      </c>
      <c r="H463" t="s">
        <v>1759</v>
      </c>
      <c r="I463" t="s">
        <v>1140</v>
      </c>
      <c r="J463" t="s">
        <v>797</v>
      </c>
      <c r="K463">
        <v>1</v>
      </c>
      <c r="L463">
        <v>1</v>
      </c>
      <c r="M463" t="s">
        <v>1021</v>
      </c>
      <c r="N463" t="s">
        <v>1771</v>
      </c>
      <c r="O463" t="s">
        <v>1228</v>
      </c>
      <c r="P463" t="s">
        <v>1252</v>
      </c>
      <c r="Q463">
        <v>62628</v>
      </c>
      <c r="R463" t="s">
        <v>1157</v>
      </c>
      <c r="S463" t="str">
        <f>VLOOKUP(J463,Teams!A:B,2,FALSE)</f>
        <v>GER</v>
      </c>
      <c r="T463" t="str">
        <f>VLOOKUP(M463,Teams!A:B,2,FALSE)</f>
        <v>ENG</v>
      </c>
    </row>
    <row r="464" spans="1:20" x14ac:dyDescent="0.25">
      <c r="A464" t="str">
        <f t="shared" si="7"/>
        <v>FIFAWC1990-51</v>
      </c>
      <c r="B464" s="4">
        <v>51</v>
      </c>
      <c r="C464" s="3">
        <v>33062</v>
      </c>
      <c r="D464" s="7">
        <v>4.1666666666666664E-2</v>
      </c>
      <c r="E464">
        <v>1990</v>
      </c>
      <c r="F464" t="s">
        <v>1732</v>
      </c>
      <c r="G464" t="s">
        <v>1741</v>
      </c>
      <c r="H464" t="s">
        <v>1759</v>
      </c>
      <c r="I464" t="s">
        <v>1018</v>
      </c>
      <c r="J464" t="s">
        <v>817</v>
      </c>
      <c r="K464">
        <v>2</v>
      </c>
      <c r="L464">
        <v>1</v>
      </c>
      <c r="M464" t="s">
        <v>1021</v>
      </c>
      <c r="O464" t="s">
        <v>1236</v>
      </c>
      <c r="P464" t="s">
        <v>1256</v>
      </c>
      <c r="Q464">
        <v>51426</v>
      </c>
      <c r="R464" t="s">
        <v>1157</v>
      </c>
      <c r="S464" t="str">
        <f>VLOOKUP(J464,Teams!A:B,2,FALSE)</f>
        <v>ITA</v>
      </c>
      <c r="T464" t="str">
        <f>VLOOKUP(M464,Teams!A:B,2,FALSE)</f>
        <v>ENG</v>
      </c>
    </row>
    <row r="465" spans="1:20" x14ac:dyDescent="0.25">
      <c r="A465" t="str">
        <f t="shared" si="7"/>
        <v>FIFAWC1990-52</v>
      </c>
      <c r="B465" s="4">
        <v>52</v>
      </c>
      <c r="C465" s="3">
        <v>33063</v>
      </c>
      <c r="D465" s="7">
        <v>4.1666666666666664E-2</v>
      </c>
      <c r="E465">
        <v>1990</v>
      </c>
      <c r="F465" t="s">
        <v>1732</v>
      </c>
      <c r="G465" t="s">
        <v>1741</v>
      </c>
      <c r="H465" t="s">
        <v>1759</v>
      </c>
      <c r="I465" t="s">
        <v>1141</v>
      </c>
      <c r="J465" t="s">
        <v>797</v>
      </c>
      <c r="K465">
        <v>1</v>
      </c>
      <c r="L465">
        <v>0</v>
      </c>
      <c r="M465" t="s">
        <v>749</v>
      </c>
      <c r="O465" t="s">
        <v>1237</v>
      </c>
      <c r="P465" t="s">
        <v>1238</v>
      </c>
      <c r="Q465">
        <v>73603</v>
      </c>
      <c r="R465" t="s">
        <v>1157</v>
      </c>
      <c r="S465" t="str">
        <f>VLOOKUP(J465,Teams!A:B,2,FALSE)</f>
        <v>GER</v>
      </c>
      <c r="T465" t="str">
        <f>VLOOKUP(M465,Teams!A:B,2,FALSE)</f>
        <v>ARG</v>
      </c>
    </row>
    <row r="466" spans="1:20" x14ac:dyDescent="0.25">
      <c r="A466" t="str">
        <f t="shared" si="7"/>
        <v>FIFAWC1994-1</v>
      </c>
      <c r="B466" s="4">
        <v>1</v>
      </c>
      <c r="C466" s="3">
        <v>34503</v>
      </c>
      <c r="D466" s="7">
        <v>0.125</v>
      </c>
      <c r="E466">
        <v>1994</v>
      </c>
      <c r="F466" t="s">
        <v>1733</v>
      </c>
      <c r="G466" t="s">
        <v>1741</v>
      </c>
      <c r="H466" t="s">
        <v>1122</v>
      </c>
      <c r="I466" t="s">
        <v>1744</v>
      </c>
      <c r="J466" t="s">
        <v>797</v>
      </c>
      <c r="K466">
        <v>1</v>
      </c>
      <c r="L466">
        <v>0</v>
      </c>
      <c r="M466" t="s">
        <v>1075</v>
      </c>
      <c r="O466" t="s">
        <v>1686</v>
      </c>
      <c r="P466" t="s">
        <v>1646</v>
      </c>
      <c r="Q466">
        <v>63117</v>
      </c>
      <c r="R466" t="s">
        <v>1157</v>
      </c>
      <c r="S466" t="str">
        <f>VLOOKUP(J466,Teams!A:B,2,FALSE)</f>
        <v>GER</v>
      </c>
      <c r="T466" t="str">
        <f>VLOOKUP(M466,Teams!A:B,2,FALSE)</f>
        <v>BOL</v>
      </c>
    </row>
    <row r="467" spans="1:20" x14ac:dyDescent="0.25">
      <c r="A467" t="str">
        <f t="shared" si="7"/>
        <v>FIFAWC1994-2</v>
      </c>
      <c r="B467" s="4">
        <v>2</v>
      </c>
      <c r="C467" s="3">
        <v>34503</v>
      </c>
      <c r="D467" s="7">
        <v>0.3125</v>
      </c>
      <c r="E467">
        <v>1994</v>
      </c>
      <c r="F467" t="s">
        <v>1733</v>
      </c>
      <c r="G467" t="s">
        <v>1741</v>
      </c>
      <c r="H467" t="s">
        <v>1122</v>
      </c>
      <c r="I467" t="s">
        <v>1744</v>
      </c>
      <c r="J467" t="s">
        <v>895</v>
      </c>
      <c r="K467">
        <v>2</v>
      </c>
      <c r="L467">
        <v>2</v>
      </c>
      <c r="M467" t="s">
        <v>1056</v>
      </c>
      <c r="O467" t="s">
        <v>1679</v>
      </c>
      <c r="P467" t="s">
        <v>1249</v>
      </c>
      <c r="Q467">
        <v>56247</v>
      </c>
      <c r="R467" t="s">
        <v>1157</v>
      </c>
      <c r="S467" t="str">
        <f>VLOOKUP(J467,Teams!A:B,2,FALSE)</f>
        <v>ESP</v>
      </c>
      <c r="T467" t="str">
        <f>VLOOKUP(M467,Teams!A:B,2,FALSE)</f>
        <v>KOR</v>
      </c>
    </row>
    <row r="468" spans="1:20" x14ac:dyDescent="0.25">
      <c r="A468" t="str">
        <f t="shared" si="7"/>
        <v>FIFAWC1994-3</v>
      </c>
      <c r="B468" s="4">
        <v>3</v>
      </c>
      <c r="C468" s="3">
        <v>34503</v>
      </c>
      <c r="D468" s="7">
        <v>0.9375</v>
      </c>
      <c r="E468">
        <v>1994</v>
      </c>
      <c r="F468" t="s">
        <v>1733</v>
      </c>
      <c r="G468" t="s">
        <v>1741</v>
      </c>
      <c r="H468" t="s">
        <v>1122</v>
      </c>
      <c r="I468" t="s">
        <v>1743</v>
      </c>
      <c r="J468" t="s">
        <v>702</v>
      </c>
      <c r="K468">
        <v>1</v>
      </c>
      <c r="L468">
        <v>1</v>
      </c>
      <c r="M468" t="s">
        <v>901</v>
      </c>
      <c r="O468" t="s">
        <v>1690</v>
      </c>
      <c r="P468" t="s">
        <v>1689</v>
      </c>
      <c r="Q468">
        <v>73425</v>
      </c>
      <c r="R468" t="s">
        <v>1157</v>
      </c>
      <c r="S468" t="str">
        <f>VLOOKUP(J468,Teams!A:B,2,FALSE)</f>
        <v>USA</v>
      </c>
      <c r="T468" t="str">
        <f>VLOOKUP(M468,Teams!A:B,2,FALSE)</f>
        <v>SUI</v>
      </c>
    </row>
    <row r="469" spans="1:20" x14ac:dyDescent="0.25">
      <c r="A469" t="str">
        <f>F469&amp;"-"&amp;B469</f>
        <v>FIFAWC1994-4</v>
      </c>
      <c r="B469" s="4">
        <v>4</v>
      </c>
      <c r="C469" s="3">
        <v>34504</v>
      </c>
      <c r="D469" s="7">
        <v>0.125</v>
      </c>
      <c r="E469">
        <v>1994</v>
      </c>
      <c r="F469" t="s">
        <v>1733</v>
      </c>
      <c r="G469" t="s">
        <v>1741</v>
      </c>
      <c r="H469" t="s">
        <v>1122</v>
      </c>
      <c r="I469" t="s">
        <v>1746</v>
      </c>
      <c r="J469" t="s">
        <v>817</v>
      </c>
      <c r="K469">
        <v>0</v>
      </c>
      <c r="L469">
        <v>1</v>
      </c>
      <c r="M469" t="s">
        <v>1109</v>
      </c>
      <c r="O469" t="s">
        <v>1169</v>
      </c>
      <c r="P469" t="s">
        <v>1658</v>
      </c>
      <c r="Q469">
        <v>75338</v>
      </c>
      <c r="R469" t="s">
        <v>1157</v>
      </c>
      <c r="S469" t="str">
        <f>VLOOKUP(J469,Teams!A:B,2,FALSE)</f>
        <v>ITA</v>
      </c>
      <c r="T469" t="str">
        <f>VLOOKUP(M469,Teams!A:B,2,FALSE)</f>
        <v>IRL</v>
      </c>
    </row>
    <row r="470" spans="1:20" x14ac:dyDescent="0.25">
      <c r="A470" t="str">
        <f t="shared" si="7"/>
        <v>FIFAWC1994-5</v>
      </c>
      <c r="B470" s="4">
        <v>5</v>
      </c>
      <c r="C470" s="3">
        <v>34504</v>
      </c>
      <c r="D470" s="7">
        <v>0.39583333333333331</v>
      </c>
      <c r="E470">
        <v>1994</v>
      </c>
      <c r="F470" t="s">
        <v>1733</v>
      </c>
      <c r="G470" t="s">
        <v>1741</v>
      </c>
      <c r="H470" t="s">
        <v>1122</v>
      </c>
      <c r="I470" t="s">
        <v>1743</v>
      </c>
      <c r="J470" t="s">
        <v>771</v>
      </c>
      <c r="K470">
        <v>1</v>
      </c>
      <c r="L470">
        <v>3</v>
      </c>
      <c r="M470" t="s">
        <v>539</v>
      </c>
      <c r="O470" t="s">
        <v>1674</v>
      </c>
      <c r="P470" t="s">
        <v>1188</v>
      </c>
      <c r="Q470">
        <v>91856</v>
      </c>
      <c r="R470" t="s">
        <v>1157</v>
      </c>
      <c r="S470" t="str">
        <f>VLOOKUP(J470,Teams!A:B,2,FALSE)</f>
        <v>COL</v>
      </c>
      <c r="T470" t="str">
        <f>VLOOKUP(M470,Teams!A:B,2,FALSE)</f>
        <v>ROU</v>
      </c>
    </row>
    <row r="471" spans="1:20" x14ac:dyDescent="0.25">
      <c r="A471" t="str">
        <f>F471&amp;"-"&amp;B471</f>
        <v>FIFAWC1994-6</v>
      </c>
      <c r="B471" s="4">
        <v>6</v>
      </c>
      <c r="C471" s="3">
        <v>34504</v>
      </c>
      <c r="D471" s="7">
        <v>0.9375</v>
      </c>
      <c r="E471">
        <v>1994</v>
      </c>
      <c r="F471" t="s">
        <v>1733</v>
      </c>
      <c r="G471" t="s">
        <v>1741</v>
      </c>
      <c r="H471" t="s">
        <v>1122</v>
      </c>
      <c r="I471" t="s">
        <v>1747</v>
      </c>
      <c r="J471" t="s">
        <v>756</v>
      </c>
      <c r="K471">
        <v>1</v>
      </c>
      <c r="L471">
        <v>0</v>
      </c>
      <c r="M471" t="s">
        <v>849</v>
      </c>
      <c r="O471" t="s">
        <v>1682</v>
      </c>
      <c r="P471" t="s">
        <v>1676</v>
      </c>
      <c r="Q471">
        <v>61219</v>
      </c>
      <c r="R471" t="s">
        <v>1157</v>
      </c>
      <c r="S471" t="str">
        <f>VLOOKUP(J471,Teams!A:B,2,FALSE)</f>
        <v>BEL</v>
      </c>
      <c r="T471" t="str">
        <f>VLOOKUP(M471,Teams!A:B,2,FALSE)</f>
        <v>MAR</v>
      </c>
    </row>
    <row r="472" spans="1:20" x14ac:dyDescent="0.25">
      <c r="A472" t="str">
        <f>F472&amp;"-"&amp;B472</f>
        <v>FIFAWC1994-7</v>
      </c>
      <c r="B472" s="4">
        <v>7</v>
      </c>
      <c r="C472" s="3">
        <v>34505</v>
      </c>
      <c r="D472" s="7">
        <v>0.125</v>
      </c>
      <c r="E472">
        <v>1994</v>
      </c>
      <c r="F472" t="s">
        <v>1733</v>
      </c>
      <c r="G472" t="s">
        <v>1741</v>
      </c>
      <c r="H472" t="s">
        <v>1122</v>
      </c>
      <c r="I472" t="s">
        <v>1746</v>
      </c>
      <c r="J472" t="s">
        <v>84</v>
      </c>
      <c r="K472">
        <v>1</v>
      </c>
      <c r="L472">
        <v>0</v>
      </c>
      <c r="M472" t="s">
        <v>845</v>
      </c>
      <c r="O472" t="s">
        <v>1685</v>
      </c>
      <c r="P472" t="s">
        <v>1675</v>
      </c>
      <c r="Q472">
        <v>52395</v>
      </c>
      <c r="R472" t="s">
        <v>1157</v>
      </c>
      <c r="S472" t="str">
        <f>VLOOKUP(J472,Teams!A:B,2,FALSE)</f>
        <v>NOR</v>
      </c>
      <c r="T472" t="str">
        <f>VLOOKUP(M472,Teams!A:B,2,FALSE)</f>
        <v>MEX</v>
      </c>
    </row>
    <row r="473" spans="1:20" x14ac:dyDescent="0.25">
      <c r="A473" t="str">
        <f t="shared" si="7"/>
        <v>FIFAWC1994-8</v>
      </c>
      <c r="B473" s="4">
        <v>8</v>
      </c>
      <c r="C473" s="3">
        <v>34505</v>
      </c>
      <c r="D473" s="7">
        <v>0.39583333333333331</v>
      </c>
      <c r="E473">
        <v>1994</v>
      </c>
      <c r="F473" t="s">
        <v>1733</v>
      </c>
      <c r="G473" t="s">
        <v>1741</v>
      </c>
      <c r="H473" t="s">
        <v>1122</v>
      </c>
      <c r="I473" t="s">
        <v>1742</v>
      </c>
      <c r="J473" t="s">
        <v>900</v>
      </c>
      <c r="K473">
        <v>2</v>
      </c>
      <c r="L473">
        <v>2</v>
      </c>
      <c r="M473" t="s">
        <v>764</v>
      </c>
      <c r="O473" t="s">
        <v>1674</v>
      </c>
      <c r="P473" t="s">
        <v>1688</v>
      </c>
      <c r="Q473">
        <v>93194</v>
      </c>
      <c r="R473" t="s">
        <v>1157</v>
      </c>
      <c r="S473" t="str">
        <f>VLOOKUP(J473,Teams!A:B,2,FALSE)</f>
        <v>SWE</v>
      </c>
      <c r="T473" t="str">
        <f>VLOOKUP(M473,Teams!A:B,2,FALSE)</f>
        <v>CMR</v>
      </c>
    </row>
    <row r="474" spans="1:20" x14ac:dyDescent="0.25">
      <c r="A474" t="str">
        <f t="shared" si="7"/>
        <v>FIFAWC1994-9</v>
      </c>
      <c r="B474" s="4">
        <v>9</v>
      </c>
      <c r="C474" s="3">
        <v>34506</v>
      </c>
      <c r="D474" s="7">
        <v>0.25</v>
      </c>
      <c r="E474">
        <v>1994</v>
      </c>
      <c r="F474" t="s">
        <v>1733</v>
      </c>
      <c r="G474" t="s">
        <v>1741</v>
      </c>
      <c r="H474" t="s">
        <v>1122</v>
      </c>
      <c r="I474" t="s">
        <v>1742</v>
      </c>
      <c r="J474" t="s">
        <v>760</v>
      </c>
      <c r="K474">
        <v>2</v>
      </c>
      <c r="L474">
        <v>0</v>
      </c>
      <c r="M474" t="s">
        <v>1041</v>
      </c>
      <c r="O474" t="s">
        <v>1677</v>
      </c>
      <c r="P474" t="s">
        <v>1670</v>
      </c>
      <c r="Q474">
        <v>81061</v>
      </c>
      <c r="R474" t="s">
        <v>1157</v>
      </c>
      <c r="S474" t="str">
        <f>VLOOKUP(J474,Teams!A:B,2,FALSE)</f>
        <v>BRA</v>
      </c>
      <c r="T474" t="str">
        <f>VLOOKUP(M474,Teams!A:B,2,FALSE)</f>
        <v>RUS</v>
      </c>
    </row>
    <row r="475" spans="1:20" x14ac:dyDescent="0.25">
      <c r="A475" t="str">
        <f t="shared" si="7"/>
        <v>FIFAWC1994-10</v>
      </c>
      <c r="B475" s="4">
        <v>10</v>
      </c>
      <c r="C475" s="3">
        <v>34506</v>
      </c>
      <c r="D475" s="7">
        <v>0.27083333333333331</v>
      </c>
      <c r="E475">
        <v>1994</v>
      </c>
      <c r="F475" t="s">
        <v>1733</v>
      </c>
      <c r="G475" t="s">
        <v>1741</v>
      </c>
      <c r="H475" t="s">
        <v>1122</v>
      </c>
      <c r="I475" t="s">
        <v>1747</v>
      </c>
      <c r="J475" t="s">
        <v>33</v>
      </c>
      <c r="K475">
        <v>2</v>
      </c>
      <c r="L475">
        <v>1</v>
      </c>
      <c r="M475" t="s">
        <v>882</v>
      </c>
      <c r="O475" t="s">
        <v>1685</v>
      </c>
      <c r="P475" t="s">
        <v>1695</v>
      </c>
      <c r="Q475">
        <v>50535</v>
      </c>
      <c r="R475" t="s">
        <v>1157</v>
      </c>
      <c r="S475" t="str">
        <f>VLOOKUP(J475,Teams!A:B,2,FALSE)</f>
        <v>NED</v>
      </c>
      <c r="T475" t="str">
        <f>VLOOKUP(M475,Teams!A:B,2,FALSE)</f>
        <v>KSA</v>
      </c>
    </row>
    <row r="476" spans="1:20" x14ac:dyDescent="0.25">
      <c r="A476" t="str">
        <f>F476&amp;"-"&amp;B476</f>
        <v>FIFAWC1994-11</v>
      </c>
      <c r="B476" s="4">
        <v>11</v>
      </c>
      <c r="C476" s="3">
        <v>34506</v>
      </c>
      <c r="D476" s="7">
        <v>0.97916666666666663</v>
      </c>
      <c r="E476">
        <v>1994</v>
      </c>
      <c r="F476" t="s">
        <v>1733</v>
      </c>
      <c r="G476" t="s">
        <v>1741</v>
      </c>
      <c r="H476" t="s">
        <v>1122</v>
      </c>
      <c r="I476" t="s">
        <v>1745</v>
      </c>
      <c r="J476" t="s">
        <v>749</v>
      </c>
      <c r="K476">
        <v>4</v>
      </c>
      <c r="L476">
        <v>0</v>
      </c>
      <c r="M476" t="s">
        <v>799</v>
      </c>
      <c r="O476" t="s">
        <v>1681</v>
      </c>
      <c r="P476" t="s">
        <v>1693</v>
      </c>
      <c r="Q476">
        <v>54456</v>
      </c>
      <c r="R476" t="s">
        <v>1157</v>
      </c>
      <c r="S476" t="str">
        <f>VLOOKUP(J476,Teams!A:B,2,FALSE)</f>
        <v>ARG</v>
      </c>
      <c r="T476" t="str">
        <f>VLOOKUP(M476,Teams!A:B,2,FALSE)</f>
        <v>GRE</v>
      </c>
    </row>
    <row r="477" spans="1:20" x14ac:dyDescent="0.25">
      <c r="A477" t="str">
        <f t="shared" ref="A477:A539" si="8">F477&amp;"-"&amp;B477</f>
        <v>FIFAWC1994-12</v>
      </c>
      <c r="B477" s="4">
        <v>12</v>
      </c>
      <c r="C477" s="3">
        <v>34507</v>
      </c>
      <c r="D477" s="7">
        <v>0.16666666666666666</v>
      </c>
      <c r="E477">
        <v>1994</v>
      </c>
      <c r="F477" t="s">
        <v>1733</v>
      </c>
      <c r="G477" t="s">
        <v>1741</v>
      </c>
      <c r="H477" t="s">
        <v>1122</v>
      </c>
      <c r="I477" t="s">
        <v>1744</v>
      </c>
      <c r="J477" t="s">
        <v>797</v>
      </c>
      <c r="K477">
        <v>1</v>
      </c>
      <c r="L477">
        <v>1</v>
      </c>
      <c r="M477" t="s">
        <v>895</v>
      </c>
      <c r="O477" t="s">
        <v>1686</v>
      </c>
      <c r="P477" t="s">
        <v>1694</v>
      </c>
      <c r="Q477">
        <v>69113</v>
      </c>
      <c r="R477" t="s">
        <v>1157</v>
      </c>
      <c r="S477" t="str">
        <f>VLOOKUP(J477,Teams!A:B,2,FALSE)</f>
        <v>GER</v>
      </c>
      <c r="T477" t="str">
        <f>VLOOKUP(M477,Teams!A:B,2,FALSE)</f>
        <v>ESP</v>
      </c>
    </row>
    <row r="478" spans="1:20" x14ac:dyDescent="0.25">
      <c r="A478" t="str">
        <f t="shared" si="8"/>
        <v>FIFAWC1994-13</v>
      </c>
      <c r="B478" s="4">
        <v>13</v>
      </c>
      <c r="C478" s="3">
        <v>34507</v>
      </c>
      <c r="D478" s="7">
        <v>0.3125</v>
      </c>
      <c r="E478">
        <v>1994</v>
      </c>
      <c r="F478" t="s">
        <v>1733</v>
      </c>
      <c r="G478" t="s">
        <v>1741</v>
      </c>
      <c r="H478" t="s">
        <v>1122</v>
      </c>
      <c r="I478" t="s">
        <v>1745</v>
      </c>
      <c r="J478" t="s">
        <v>857</v>
      </c>
      <c r="K478">
        <v>3</v>
      </c>
      <c r="L478">
        <v>0</v>
      </c>
      <c r="M478" t="s">
        <v>761</v>
      </c>
      <c r="O478" t="s">
        <v>1679</v>
      </c>
      <c r="P478" t="s">
        <v>1680</v>
      </c>
      <c r="Q478">
        <v>44132</v>
      </c>
      <c r="R478" t="s">
        <v>1157</v>
      </c>
      <c r="S478" t="str">
        <f>VLOOKUP(J478,Teams!A:B,2,FALSE)</f>
        <v>NGA</v>
      </c>
      <c r="T478" t="str">
        <f>VLOOKUP(M478,Teams!A:B,2,FALSE)</f>
        <v>BUL</v>
      </c>
    </row>
    <row r="479" spans="1:20" x14ac:dyDescent="0.25">
      <c r="A479" t="str">
        <f t="shared" si="8"/>
        <v>FIFAWC1994-14</v>
      </c>
      <c r="B479" s="4">
        <v>14</v>
      </c>
      <c r="C479" s="3">
        <v>34508</v>
      </c>
      <c r="D479" s="7">
        <v>0.125</v>
      </c>
      <c r="E479">
        <v>1994</v>
      </c>
      <c r="F479" t="s">
        <v>1733</v>
      </c>
      <c r="G479" t="s">
        <v>1741</v>
      </c>
      <c r="H479" t="s">
        <v>1122</v>
      </c>
      <c r="I479" t="s">
        <v>1743</v>
      </c>
      <c r="J479" t="s">
        <v>539</v>
      </c>
      <c r="K479">
        <v>4</v>
      </c>
      <c r="L479">
        <v>1</v>
      </c>
      <c r="M479" t="s">
        <v>901</v>
      </c>
      <c r="O479" t="s">
        <v>1690</v>
      </c>
      <c r="P479" t="s">
        <v>1229</v>
      </c>
      <c r="Q479">
        <v>61428</v>
      </c>
      <c r="R479" t="s">
        <v>1157</v>
      </c>
      <c r="S479" t="str">
        <f>VLOOKUP(J479,Teams!A:B,2,FALSE)</f>
        <v>ROU</v>
      </c>
      <c r="T479" t="str">
        <f>VLOOKUP(M479,Teams!A:B,2,FALSE)</f>
        <v>SUI</v>
      </c>
    </row>
    <row r="480" spans="1:20" x14ac:dyDescent="0.25">
      <c r="A480" t="str">
        <f t="shared" si="8"/>
        <v>FIFAWC1994-15</v>
      </c>
      <c r="B480" s="4">
        <v>15</v>
      </c>
      <c r="C480" s="3">
        <v>34508</v>
      </c>
      <c r="D480" s="7">
        <v>0.39583333333333331</v>
      </c>
      <c r="E480">
        <v>1994</v>
      </c>
      <c r="F480" t="s">
        <v>1733</v>
      </c>
      <c r="G480" t="s">
        <v>1741</v>
      </c>
      <c r="H480" t="s">
        <v>1122</v>
      </c>
      <c r="I480" t="s">
        <v>1743</v>
      </c>
      <c r="J480" t="s">
        <v>702</v>
      </c>
      <c r="K480">
        <v>2</v>
      </c>
      <c r="L480">
        <v>1</v>
      </c>
      <c r="M480" t="s">
        <v>771</v>
      </c>
      <c r="O480" t="s">
        <v>1674</v>
      </c>
      <c r="P480" t="s">
        <v>1692</v>
      </c>
      <c r="Q480">
        <v>93869</v>
      </c>
      <c r="R480" t="s">
        <v>1157</v>
      </c>
      <c r="S480" t="str">
        <f>VLOOKUP(J480,Teams!A:B,2,FALSE)</f>
        <v>USA</v>
      </c>
      <c r="T480" t="str">
        <f>VLOOKUP(M480,Teams!A:B,2,FALSE)</f>
        <v>COL</v>
      </c>
    </row>
    <row r="481" spans="1:20" x14ac:dyDescent="0.25">
      <c r="A481" t="str">
        <f>F481&amp;"-"&amp;B481</f>
        <v>FIFAWC1994-16</v>
      </c>
      <c r="B481" s="4">
        <v>16</v>
      </c>
      <c r="C481" s="3">
        <v>34509</v>
      </c>
      <c r="D481" s="7">
        <v>0.125</v>
      </c>
      <c r="E481">
        <v>1994</v>
      </c>
      <c r="F481" t="s">
        <v>1733</v>
      </c>
      <c r="G481" t="s">
        <v>1741</v>
      </c>
      <c r="H481" t="s">
        <v>1122</v>
      </c>
      <c r="I481" t="s">
        <v>1746</v>
      </c>
      <c r="J481" t="s">
        <v>817</v>
      </c>
      <c r="K481">
        <v>1</v>
      </c>
      <c r="L481">
        <v>0</v>
      </c>
      <c r="M481" t="s">
        <v>84</v>
      </c>
      <c r="O481" t="s">
        <v>1169</v>
      </c>
      <c r="P481" t="s">
        <v>1170</v>
      </c>
      <c r="Q481">
        <v>74624</v>
      </c>
      <c r="R481" t="s">
        <v>1157</v>
      </c>
      <c r="S481" t="str">
        <f>VLOOKUP(J481,Teams!A:B,2,FALSE)</f>
        <v>ITA</v>
      </c>
      <c r="T481" t="str">
        <f>VLOOKUP(M481,Teams!A:B,2,FALSE)</f>
        <v>NOR</v>
      </c>
    </row>
    <row r="482" spans="1:20" x14ac:dyDescent="0.25">
      <c r="A482" t="str">
        <f t="shared" si="8"/>
        <v>FIFAWC1994-17</v>
      </c>
      <c r="B482" s="4">
        <v>17</v>
      </c>
      <c r="C482" s="3">
        <v>34509</v>
      </c>
      <c r="D482" s="7">
        <v>0.27083333333333331</v>
      </c>
      <c r="E482">
        <v>1994</v>
      </c>
      <c r="F482" t="s">
        <v>1733</v>
      </c>
      <c r="G482" t="s">
        <v>1741</v>
      </c>
      <c r="H482" t="s">
        <v>1122</v>
      </c>
      <c r="I482" t="s">
        <v>1744</v>
      </c>
      <c r="J482" t="s">
        <v>1056</v>
      </c>
      <c r="K482">
        <v>0</v>
      </c>
      <c r="L482">
        <v>0</v>
      </c>
      <c r="M482" t="s">
        <v>1075</v>
      </c>
      <c r="O482" t="s">
        <v>1681</v>
      </c>
      <c r="P482" t="s">
        <v>1687</v>
      </c>
      <c r="Q482">
        <v>54453</v>
      </c>
      <c r="R482" t="s">
        <v>1157</v>
      </c>
      <c r="S482" t="str">
        <f>VLOOKUP(J482,Teams!A:B,2,FALSE)</f>
        <v>KOR</v>
      </c>
      <c r="T482" t="str">
        <f>VLOOKUP(M482,Teams!A:B,2,FALSE)</f>
        <v>BOL</v>
      </c>
    </row>
    <row r="483" spans="1:20" x14ac:dyDescent="0.25">
      <c r="A483" t="str">
        <f>F483&amp;"-"&amp;B483</f>
        <v>FIFAWC1994-18</v>
      </c>
      <c r="B483" s="4">
        <v>18</v>
      </c>
      <c r="C483" s="3">
        <v>34509</v>
      </c>
      <c r="D483" s="7">
        <v>0.97916666666666663</v>
      </c>
      <c r="E483">
        <v>1994</v>
      </c>
      <c r="F483" t="s">
        <v>1733</v>
      </c>
      <c r="G483" t="s">
        <v>1741</v>
      </c>
      <c r="H483" t="s">
        <v>1122</v>
      </c>
      <c r="I483" t="s">
        <v>1746</v>
      </c>
      <c r="J483" t="s">
        <v>845</v>
      </c>
      <c r="K483">
        <v>2</v>
      </c>
      <c r="L483">
        <v>1</v>
      </c>
      <c r="M483" t="s">
        <v>1109</v>
      </c>
      <c r="O483" t="s">
        <v>1682</v>
      </c>
      <c r="P483" t="s">
        <v>1251</v>
      </c>
      <c r="Q483">
        <v>60790</v>
      </c>
      <c r="R483" t="s">
        <v>1157</v>
      </c>
      <c r="S483" t="str">
        <f>VLOOKUP(J483,Teams!A:B,2,FALSE)</f>
        <v>MEX</v>
      </c>
      <c r="T483" t="str">
        <f>VLOOKUP(M483,Teams!A:B,2,FALSE)</f>
        <v>IRL</v>
      </c>
    </row>
    <row r="484" spans="1:20" x14ac:dyDescent="0.25">
      <c r="A484" t="str">
        <f t="shared" si="8"/>
        <v>FIFAWC1994-19</v>
      </c>
      <c r="B484" s="4">
        <v>19</v>
      </c>
      <c r="C484" s="3">
        <v>34510</v>
      </c>
      <c r="D484" s="7">
        <v>0.25</v>
      </c>
      <c r="E484">
        <v>1994</v>
      </c>
      <c r="F484" t="s">
        <v>1733</v>
      </c>
      <c r="G484" t="s">
        <v>1741</v>
      </c>
      <c r="H484" t="s">
        <v>1122</v>
      </c>
      <c r="I484" t="s">
        <v>1742</v>
      </c>
      <c r="J484" t="s">
        <v>760</v>
      </c>
      <c r="K484">
        <v>3</v>
      </c>
      <c r="L484">
        <v>0</v>
      </c>
      <c r="M484" t="s">
        <v>764</v>
      </c>
      <c r="O484" t="s">
        <v>1677</v>
      </c>
      <c r="P484" t="s">
        <v>1646</v>
      </c>
      <c r="Q484">
        <v>83401</v>
      </c>
      <c r="R484" t="s">
        <v>1157</v>
      </c>
      <c r="S484" t="str">
        <f>VLOOKUP(J484,Teams!A:B,2,FALSE)</f>
        <v>BRA</v>
      </c>
      <c r="T484" t="str">
        <f>VLOOKUP(M484,Teams!A:B,2,FALSE)</f>
        <v>CMR</v>
      </c>
    </row>
    <row r="485" spans="1:20" x14ac:dyDescent="0.25">
      <c r="A485" t="str">
        <f t="shared" si="8"/>
        <v>FIFAWC1994-20</v>
      </c>
      <c r="B485" s="4">
        <v>20</v>
      </c>
      <c r="C485" s="3">
        <v>34510</v>
      </c>
      <c r="D485" s="7">
        <v>0.27083333333333331</v>
      </c>
      <c r="E485">
        <v>1994</v>
      </c>
      <c r="F485" t="s">
        <v>1733</v>
      </c>
      <c r="G485" t="s">
        <v>1741</v>
      </c>
      <c r="H485" t="s">
        <v>1122</v>
      </c>
      <c r="I485" t="s">
        <v>1742</v>
      </c>
      <c r="J485" t="s">
        <v>900</v>
      </c>
      <c r="K485">
        <v>3</v>
      </c>
      <c r="L485">
        <v>1</v>
      </c>
      <c r="M485" t="s">
        <v>1041</v>
      </c>
      <c r="O485" t="s">
        <v>1690</v>
      </c>
      <c r="P485" t="s">
        <v>1256</v>
      </c>
      <c r="Q485">
        <v>71528</v>
      </c>
      <c r="R485" t="s">
        <v>1157</v>
      </c>
      <c r="S485" t="str">
        <f>VLOOKUP(J485,Teams!A:B,2,FALSE)</f>
        <v>SWE</v>
      </c>
      <c r="T485" t="str">
        <f>VLOOKUP(M485,Teams!A:B,2,FALSE)</f>
        <v>RUS</v>
      </c>
    </row>
    <row r="486" spans="1:20" x14ac:dyDescent="0.25">
      <c r="A486" t="str">
        <f>F486&amp;"-"&amp;B486</f>
        <v>FIFAWC1994-21</v>
      </c>
      <c r="B486" s="4">
        <v>21</v>
      </c>
      <c r="C486" s="3">
        <v>34510</v>
      </c>
      <c r="D486" s="7">
        <v>0.97916666666666663</v>
      </c>
      <c r="E486">
        <v>1994</v>
      </c>
      <c r="F486" t="s">
        <v>1733</v>
      </c>
      <c r="G486" t="s">
        <v>1741</v>
      </c>
      <c r="H486" t="s">
        <v>1122</v>
      </c>
      <c r="I486" t="s">
        <v>1747</v>
      </c>
      <c r="J486" t="s">
        <v>756</v>
      </c>
      <c r="K486">
        <v>1</v>
      </c>
      <c r="L486">
        <v>0</v>
      </c>
      <c r="M486" t="s">
        <v>33</v>
      </c>
      <c r="O486" t="s">
        <v>1682</v>
      </c>
      <c r="P486" t="s">
        <v>1684</v>
      </c>
      <c r="Q486">
        <v>62387</v>
      </c>
      <c r="R486" t="s">
        <v>1157</v>
      </c>
      <c r="S486" t="str">
        <f>VLOOKUP(J486,Teams!A:B,2,FALSE)</f>
        <v>BEL</v>
      </c>
      <c r="T486" t="str">
        <f>VLOOKUP(M486,Teams!A:B,2,FALSE)</f>
        <v>NED</v>
      </c>
    </row>
    <row r="487" spans="1:20" x14ac:dyDescent="0.25">
      <c r="A487" t="str">
        <f>F487&amp;"-"&amp;B487</f>
        <v>FIFAWC1994-22</v>
      </c>
      <c r="B487" s="4">
        <v>22</v>
      </c>
      <c r="C487" s="3">
        <v>34510</v>
      </c>
      <c r="D487" s="7">
        <v>0.97916666666666663</v>
      </c>
      <c r="E487">
        <v>1994</v>
      </c>
      <c r="F487" t="s">
        <v>1733</v>
      </c>
      <c r="G487" t="s">
        <v>1741</v>
      </c>
      <c r="H487" t="s">
        <v>1122</v>
      </c>
      <c r="I487" t="s">
        <v>1747</v>
      </c>
      <c r="J487" t="s">
        <v>882</v>
      </c>
      <c r="K487">
        <v>2</v>
      </c>
      <c r="L487">
        <v>1</v>
      </c>
      <c r="M487" t="s">
        <v>849</v>
      </c>
      <c r="O487" t="s">
        <v>1169</v>
      </c>
      <c r="P487" t="s">
        <v>1678</v>
      </c>
      <c r="Q487">
        <v>76322</v>
      </c>
      <c r="R487" t="s">
        <v>1157</v>
      </c>
      <c r="S487" t="str">
        <f>VLOOKUP(J487,Teams!A:B,2,FALSE)</f>
        <v>KSA</v>
      </c>
      <c r="T487" t="str">
        <f>VLOOKUP(M487,Teams!A:B,2,FALSE)</f>
        <v>MAR</v>
      </c>
    </row>
    <row r="488" spans="1:20" x14ac:dyDescent="0.25">
      <c r="A488" t="str">
        <f t="shared" si="8"/>
        <v>FIFAWC1994-23</v>
      </c>
      <c r="B488" s="4">
        <v>23</v>
      </c>
      <c r="C488" s="3">
        <v>34511</v>
      </c>
      <c r="D488" s="7">
        <v>0.125</v>
      </c>
      <c r="E488">
        <v>1994</v>
      </c>
      <c r="F488" t="s">
        <v>1733</v>
      </c>
      <c r="G488" t="s">
        <v>1741</v>
      </c>
      <c r="H488" t="s">
        <v>1122</v>
      </c>
      <c r="I488" t="s">
        <v>1745</v>
      </c>
      <c r="J488" t="s">
        <v>749</v>
      </c>
      <c r="K488">
        <v>2</v>
      </c>
      <c r="L488">
        <v>1</v>
      </c>
      <c r="M488" t="s">
        <v>857</v>
      </c>
      <c r="O488" t="s">
        <v>1681</v>
      </c>
      <c r="P488" t="s">
        <v>1691</v>
      </c>
      <c r="Q488">
        <v>54453</v>
      </c>
      <c r="R488" t="s">
        <v>1157</v>
      </c>
      <c r="S488" t="str">
        <f>VLOOKUP(J488,Teams!A:B,2,FALSE)</f>
        <v>ARG</v>
      </c>
      <c r="T488" t="str">
        <f>VLOOKUP(M488,Teams!A:B,2,FALSE)</f>
        <v>NGA</v>
      </c>
    </row>
    <row r="489" spans="1:20" x14ac:dyDescent="0.25">
      <c r="A489" t="str">
        <f>F489&amp;"-"&amp;B489</f>
        <v>FIFAWC1994-24</v>
      </c>
      <c r="B489" s="4">
        <v>24</v>
      </c>
      <c r="C489" s="3">
        <v>34511</v>
      </c>
      <c r="D489" s="7">
        <v>1.0208333333333333</v>
      </c>
      <c r="E489">
        <v>1994</v>
      </c>
      <c r="F489" t="s">
        <v>1733</v>
      </c>
      <c r="G489" t="s">
        <v>1741</v>
      </c>
      <c r="H489" t="s">
        <v>1122</v>
      </c>
      <c r="I489" t="s">
        <v>1745</v>
      </c>
      <c r="J489" t="s">
        <v>761</v>
      </c>
      <c r="K489">
        <v>4</v>
      </c>
      <c r="L489">
        <v>0</v>
      </c>
      <c r="M489" t="s">
        <v>799</v>
      </c>
      <c r="O489" t="s">
        <v>1686</v>
      </c>
      <c r="P489" t="s">
        <v>1627</v>
      </c>
      <c r="Q489">
        <v>63160</v>
      </c>
      <c r="R489" t="s">
        <v>1157</v>
      </c>
      <c r="S489" t="str">
        <f>VLOOKUP(J489,Teams!A:B,2,FALSE)</f>
        <v>BUL</v>
      </c>
      <c r="T489" t="str">
        <f>VLOOKUP(M489,Teams!A:B,2,FALSE)</f>
        <v>GRE</v>
      </c>
    </row>
    <row r="490" spans="1:20" x14ac:dyDescent="0.25">
      <c r="A490" t="str">
        <f t="shared" si="8"/>
        <v>FIFAWC1994-25</v>
      </c>
      <c r="B490" s="4">
        <v>25</v>
      </c>
      <c r="C490" s="3">
        <v>34511</v>
      </c>
      <c r="D490" s="7">
        <v>0.25</v>
      </c>
      <c r="E490">
        <v>1994</v>
      </c>
      <c r="F490" t="s">
        <v>1733</v>
      </c>
      <c r="G490" t="s">
        <v>1741</v>
      </c>
      <c r="H490" t="s">
        <v>1122</v>
      </c>
      <c r="I490" t="s">
        <v>1743</v>
      </c>
      <c r="J490" t="s">
        <v>702</v>
      </c>
      <c r="K490">
        <v>0</v>
      </c>
      <c r="L490">
        <v>1</v>
      </c>
      <c r="M490" t="s">
        <v>539</v>
      </c>
      <c r="O490" t="s">
        <v>1674</v>
      </c>
      <c r="P490" t="s">
        <v>1658</v>
      </c>
      <c r="Q490">
        <v>93869</v>
      </c>
      <c r="R490" t="s">
        <v>1157</v>
      </c>
      <c r="S490" t="str">
        <f>VLOOKUP(J490,Teams!A:B,2,FALSE)</f>
        <v>USA</v>
      </c>
      <c r="T490" t="str">
        <f>VLOOKUP(M490,Teams!A:B,2,FALSE)</f>
        <v>ROU</v>
      </c>
    </row>
    <row r="491" spans="1:20" x14ac:dyDescent="0.25">
      <c r="A491" t="str">
        <f>F491&amp;"-"&amp;B491</f>
        <v>FIFAWC1994-26</v>
      </c>
      <c r="B491" s="4">
        <v>26</v>
      </c>
      <c r="C491" s="3">
        <v>34511</v>
      </c>
      <c r="D491" s="7">
        <v>0.25</v>
      </c>
      <c r="E491">
        <v>1994</v>
      </c>
      <c r="F491" t="s">
        <v>1733</v>
      </c>
      <c r="G491" t="s">
        <v>1741</v>
      </c>
      <c r="H491" t="s">
        <v>1122</v>
      </c>
      <c r="I491" t="s">
        <v>1743</v>
      </c>
      <c r="J491" t="s">
        <v>901</v>
      </c>
      <c r="K491">
        <v>0</v>
      </c>
      <c r="L491">
        <v>2</v>
      </c>
      <c r="M491" t="s">
        <v>771</v>
      </c>
      <c r="O491" t="s">
        <v>1677</v>
      </c>
      <c r="P491" t="s">
        <v>1249</v>
      </c>
      <c r="Q491">
        <v>83401</v>
      </c>
      <c r="R491" t="s">
        <v>1157</v>
      </c>
      <c r="S491" t="str">
        <f>VLOOKUP(J491,Teams!A:B,2,FALSE)</f>
        <v>SUI</v>
      </c>
      <c r="T491" t="str">
        <f>VLOOKUP(M491,Teams!A:B,2,FALSE)</f>
        <v>COL</v>
      </c>
    </row>
    <row r="492" spans="1:20" x14ac:dyDescent="0.25">
      <c r="A492" t="str">
        <f t="shared" si="8"/>
        <v>FIFAWC1994-27</v>
      </c>
      <c r="B492" s="4">
        <v>27</v>
      </c>
      <c r="C492" s="3">
        <v>34513</v>
      </c>
      <c r="D492" s="7">
        <v>0.16666666666666666</v>
      </c>
      <c r="E492">
        <v>1994</v>
      </c>
      <c r="F492" t="s">
        <v>1733</v>
      </c>
      <c r="G492" t="s">
        <v>1741</v>
      </c>
      <c r="H492" t="s">
        <v>1122</v>
      </c>
      <c r="I492" t="s">
        <v>1744</v>
      </c>
      <c r="J492" t="s">
        <v>1075</v>
      </c>
      <c r="K492">
        <v>1</v>
      </c>
      <c r="L492">
        <v>3</v>
      </c>
      <c r="M492" t="s">
        <v>895</v>
      </c>
      <c r="O492" t="s">
        <v>1686</v>
      </c>
      <c r="P492" t="s">
        <v>1680</v>
      </c>
      <c r="Q492">
        <v>63089</v>
      </c>
      <c r="R492" t="s">
        <v>1157</v>
      </c>
      <c r="S492" t="str">
        <f>VLOOKUP(J492,Teams!A:B,2,FALSE)</f>
        <v>BOL</v>
      </c>
      <c r="T492" t="str">
        <f>VLOOKUP(M492,Teams!A:B,2,FALSE)</f>
        <v>ESP</v>
      </c>
    </row>
    <row r="493" spans="1:20" x14ac:dyDescent="0.25">
      <c r="A493" t="str">
        <f t="shared" si="8"/>
        <v>FIFAWC1994-28</v>
      </c>
      <c r="B493" s="4">
        <v>28</v>
      </c>
      <c r="C493" s="3">
        <v>34513</v>
      </c>
      <c r="D493" s="7">
        <v>0.16666666666666666</v>
      </c>
      <c r="E493">
        <v>1994</v>
      </c>
      <c r="F493" t="s">
        <v>1733</v>
      </c>
      <c r="G493" t="s">
        <v>1741</v>
      </c>
      <c r="H493" t="s">
        <v>1122</v>
      </c>
      <c r="I493" t="s">
        <v>1744</v>
      </c>
      <c r="J493" t="s">
        <v>797</v>
      </c>
      <c r="K493">
        <v>3</v>
      </c>
      <c r="L493">
        <v>2</v>
      </c>
      <c r="M493" t="s">
        <v>1056</v>
      </c>
      <c r="O493" t="s">
        <v>1679</v>
      </c>
      <c r="P493" t="s">
        <v>1256</v>
      </c>
      <c r="Q493">
        <v>63998</v>
      </c>
      <c r="R493" t="s">
        <v>1157</v>
      </c>
      <c r="S493" t="str">
        <f>VLOOKUP(J493,Teams!A:B,2,FALSE)</f>
        <v>GER</v>
      </c>
      <c r="T493" t="str">
        <f>VLOOKUP(M493,Teams!A:B,2,FALSE)</f>
        <v>KOR</v>
      </c>
    </row>
    <row r="494" spans="1:20" x14ac:dyDescent="0.25">
      <c r="A494" t="str">
        <f>F494&amp;"-"&amp;B494</f>
        <v>FIFAWC1994-29</v>
      </c>
      <c r="B494" s="4">
        <v>29</v>
      </c>
      <c r="C494" s="3">
        <v>34513</v>
      </c>
      <c r="D494" s="7">
        <v>0.97916666666666663</v>
      </c>
      <c r="E494">
        <v>1994</v>
      </c>
      <c r="F494" t="s">
        <v>1733</v>
      </c>
      <c r="G494" t="s">
        <v>1741</v>
      </c>
      <c r="H494" t="s">
        <v>1122</v>
      </c>
      <c r="I494" t="s">
        <v>1746</v>
      </c>
      <c r="J494" t="s">
        <v>817</v>
      </c>
      <c r="K494">
        <v>1</v>
      </c>
      <c r="L494">
        <v>1</v>
      </c>
      <c r="M494" t="s">
        <v>845</v>
      </c>
      <c r="O494" t="s">
        <v>1685</v>
      </c>
      <c r="P494" t="s">
        <v>1689</v>
      </c>
      <c r="Q494">
        <v>52535</v>
      </c>
      <c r="R494" t="s">
        <v>1157</v>
      </c>
      <c r="S494" t="str">
        <f>VLOOKUP(J494,Teams!A:B,2,FALSE)</f>
        <v>ITA</v>
      </c>
      <c r="T494" t="str">
        <f>VLOOKUP(M494,Teams!A:B,2,FALSE)</f>
        <v>MEX</v>
      </c>
    </row>
    <row r="495" spans="1:20" x14ac:dyDescent="0.25">
      <c r="A495" t="str">
        <f>F495&amp;"-"&amp;B495</f>
        <v>FIFAWC1994-30</v>
      </c>
      <c r="B495" s="4">
        <v>30</v>
      </c>
      <c r="C495" s="3">
        <v>34513</v>
      </c>
      <c r="D495" s="7">
        <v>0.97916666666666663</v>
      </c>
      <c r="E495">
        <v>1994</v>
      </c>
      <c r="F495" t="s">
        <v>1733</v>
      </c>
      <c r="G495" t="s">
        <v>1741</v>
      </c>
      <c r="H495" t="s">
        <v>1122</v>
      </c>
      <c r="I495" t="s">
        <v>1746</v>
      </c>
      <c r="J495" t="s">
        <v>1109</v>
      </c>
      <c r="K495">
        <v>0</v>
      </c>
      <c r="L495">
        <v>0</v>
      </c>
      <c r="M495" t="s">
        <v>84</v>
      </c>
      <c r="O495" t="s">
        <v>1169</v>
      </c>
      <c r="P495" t="s">
        <v>1676</v>
      </c>
      <c r="Q495">
        <v>72404</v>
      </c>
      <c r="R495" t="s">
        <v>1157</v>
      </c>
      <c r="S495" t="str">
        <f>VLOOKUP(J495,Teams!A:B,2,FALSE)</f>
        <v>IRL</v>
      </c>
      <c r="T495" t="str">
        <f>VLOOKUP(M495,Teams!A:B,2,FALSE)</f>
        <v>NOR</v>
      </c>
    </row>
    <row r="496" spans="1:20" x14ac:dyDescent="0.25">
      <c r="A496" t="str">
        <f>F496&amp;"-"&amp;B496</f>
        <v>FIFAWC1994-31</v>
      </c>
      <c r="B496" s="4">
        <v>31</v>
      </c>
      <c r="C496" s="3">
        <v>34514</v>
      </c>
      <c r="D496" s="7">
        <v>0.125</v>
      </c>
      <c r="E496">
        <v>1994</v>
      </c>
      <c r="F496" t="s">
        <v>1733</v>
      </c>
      <c r="G496" t="s">
        <v>1741</v>
      </c>
      <c r="H496" t="s">
        <v>1122</v>
      </c>
      <c r="I496" t="s">
        <v>1742</v>
      </c>
      <c r="J496" t="s">
        <v>760</v>
      </c>
      <c r="K496">
        <v>1</v>
      </c>
      <c r="L496">
        <v>1</v>
      </c>
      <c r="M496" t="s">
        <v>900</v>
      </c>
      <c r="O496" t="s">
        <v>1690</v>
      </c>
      <c r="P496" t="s">
        <v>1675</v>
      </c>
      <c r="Q496">
        <v>77217</v>
      </c>
      <c r="R496" t="s">
        <v>1157</v>
      </c>
      <c r="S496" t="str">
        <f>VLOOKUP(J496,Teams!A:B,2,FALSE)</f>
        <v>BRA</v>
      </c>
      <c r="T496" t="str">
        <f>VLOOKUP(M496,Teams!A:B,2,FALSE)</f>
        <v>SWE</v>
      </c>
    </row>
    <row r="497" spans="1:20" x14ac:dyDescent="0.25">
      <c r="A497" t="str">
        <f t="shared" si="8"/>
        <v>FIFAWC1994-32</v>
      </c>
      <c r="B497" s="4">
        <v>32</v>
      </c>
      <c r="C497" s="3">
        <v>34514</v>
      </c>
      <c r="D497" s="7">
        <v>0.25</v>
      </c>
      <c r="E497">
        <v>1994</v>
      </c>
      <c r="F497" t="s">
        <v>1733</v>
      </c>
      <c r="G497" t="s">
        <v>1741</v>
      </c>
      <c r="H497" t="s">
        <v>1122</v>
      </c>
      <c r="I497" t="s">
        <v>1742</v>
      </c>
      <c r="J497" t="s">
        <v>1041</v>
      </c>
      <c r="K497">
        <v>6</v>
      </c>
      <c r="L497">
        <v>1</v>
      </c>
      <c r="M497" t="s">
        <v>764</v>
      </c>
      <c r="O497" t="s">
        <v>1677</v>
      </c>
      <c r="P497" t="s">
        <v>1188</v>
      </c>
      <c r="Q497">
        <v>74914</v>
      </c>
      <c r="R497" t="s">
        <v>1157</v>
      </c>
      <c r="S497" t="str">
        <f>VLOOKUP(J497,Teams!A:B,2,FALSE)</f>
        <v>RUS</v>
      </c>
      <c r="T497" t="str">
        <f>VLOOKUP(M497,Teams!A:B,2,FALSE)</f>
        <v>CMR</v>
      </c>
    </row>
    <row r="498" spans="1:20" x14ac:dyDescent="0.25">
      <c r="A498" t="str">
        <f t="shared" si="8"/>
        <v>FIFAWC1994-33</v>
      </c>
      <c r="B498" s="4">
        <v>33</v>
      </c>
      <c r="C498" s="3">
        <v>34514</v>
      </c>
      <c r="D498" s="7">
        <v>0.97916666666666663</v>
      </c>
      <c r="E498">
        <v>1994</v>
      </c>
      <c r="F498" t="s">
        <v>1733</v>
      </c>
      <c r="G498" t="s">
        <v>1741</v>
      </c>
      <c r="H498" t="s">
        <v>1122</v>
      </c>
      <c r="I498" t="s">
        <v>1747</v>
      </c>
      <c r="J498" t="s">
        <v>756</v>
      </c>
      <c r="K498">
        <v>0</v>
      </c>
      <c r="L498">
        <v>1</v>
      </c>
      <c r="M498" t="s">
        <v>882</v>
      </c>
      <c r="O498" t="s">
        <v>1685</v>
      </c>
      <c r="P498" t="s">
        <v>1170</v>
      </c>
      <c r="Q498">
        <v>52959</v>
      </c>
      <c r="R498" t="s">
        <v>1157</v>
      </c>
      <c r="S498" t="str">
        <f>VLOOKUP(J498,Teams!A:B,2,FALSE)</f>
        <v>BEL</v>
      </c>
      <c r="T498" t="str">
        <f>VLOOKUP(M498,Teams!A:B,2,FALSE)</f>
        <v>KSA</v>
      </c>
    </row>
    <row r="499" spans="1:20" x14ac:dyDescent="0.25">
      <c r="A499" t="str">
        <f t="shared" si="8"/>
        <v>FIFAWC1994-34</v>
      </c>
      <c r="B499" s="4">
        <v>34</v>
      </c>
      <c r="C499" s="3">
        <v>34514</v>
      </c>
      <c r="D499" s="7">
        <v>0.97916666666666663</v>
      </c>
      <c r="E499">
        <v>1994</v>
      </c>
      <c r="F499" t="s">
        <v>1733</v>
      </c>
      <c r="G499" t="s">
        <v>1741</v>
      </c>
      <c r="H499" t="s">
        <v>1122</v>
      </c>
      <c r="I499" t="s">
        <v>1747</v>
      </c>
      <c r="J499" t="s">
        <v>849</v>
      </c>
      <c r="K499">
        <v>1</v>
      </c>
      <c r="L499">
        <v>2</v>
      </c>
      <c r="M499" t="s">
        <v>33</v>
      </c>
      <c r="O499" t="s">
        <v>1682</v>
      </c>
      <c r="P499" t="s">
        <v>1688</v>
      </c>
      <c r="Q499">
        <v>60578</v>
      </c>
      <c r="R499" t="s">
        <v>1157</v>
      </c>
      <c r="S499" t="str">
        <f>VLOOKUP(J499,Teams!A:B,2,FALSE)</f>
        <v>MAR</v>
      </c>
      <c r="T499" t="str">
        <f>VLOOKUP(M499,Teams!A:B,2,FALSE)</f>
        <v>NED</v>
      </c>
    </row>
    <row r="500" spans="1:20" x14ac:dyDescent="0.25">
      <c r="A500" t="str">
        <f t="shared" si="8"/>
        <v>FIFAWC1994-35</v>
      </c>
      <c r="B500" s="4">
        <v>35</v>
      </c>
      <c r="C500" s="3">
        <v>34516</v>
      </c>
      <c r="D500" s="7">
        <v>0.27083333333333331</v>
      </c>
      <c r="E500">
        <v>1994</v>
      </c>
      <c r="F500" t="s">
        <v>1733</v>
      </c>
      <c r="G500" t="s">
        <v>1741</v>
      </c>
      <c r="H500" t="s">
        <v>1122</v>
      </c>
      <c r="I500" t="s">
        <v>1745</v>
      </c>
      <c r="J500" t="s">
        <v>799</v>
      </c>
      <c r="K500">
        <v>0</v>
      </c>
      <c r="L500">
        <v>2</v>
      </c>
      <c r="M500" t="s">
        <v>857</v>
      </c>
      <c r="O500" t="s">
        <v>1681</v>
      </c>
      <c r="P500" t="s">
        <v>1687</v>
      </c>
      <c r="Q500">
        <v>53001</v>
      </c>
      <c r="R500" t="s">
        <v>1157</v>
      </c>
      <c r="S500" t="str">
        <f>VLOOKUP(J500,Teams!A:B,2,FALSE)</f>
        <v>GRE</v>
      </c>
      <c r="T500" t="str">
        <f>VLOOKUP(M500,Teams!A:B,2,FALSE)</f>
        <v>NGA</v>
      </c>
    </row>
    <row r="501" spans="1:20" x14ac:dyDescent="0.25">
      <c r="A501" t="str">
        <f>F501&amp;"-"&amp;B501</f>
        <v>FIFAWC1994-36</v>
      </c>
      <c r="B501" s="4">
        <v>36</v>
      </c>
      <c r="C501" s="3">
        <v>34516</v>
      </c>
      <c r="D501" s="7">
        <v>0.3125</v>
      </c>
      <c r="E501">
        <v>1994</v>
      </c>
      <c r="F501" t="s">
        <v>1733</v>
      </c>
      <c r="G501" t="s">
        <v>1741</v>
      </c>
      <c r="H501" t="s">
        <v>1122</v>
      </c>
      <c r="I501" t="s">
        <v>1745</v>
      </c>
      <c r="J501" t="s">
        <v>749</v>
      </c>
      <c r="K501">
        <v>0</v>
      </c>
      <c r="L501">
        <v>2</v>
      </c>
      <c r="M501" t="s">
        <v>761</v>
      </c>
      <c r="O501" t="s">
        <v>1679</v>
      </c>
      <c r="P501" t="s">
        <v>1229</v>
      </c>
      <c r="Q501">
        <v>63998</v>
      </c>
      <c r="R501" t="s">
        <v>1157</v>
      </c>
      <c r="S501" t="str">
        <f>VLOOKUP(J501,Teams!A:B,2,FALSE)</f>
        <v>ARG</v>
      </c>
      <c r="T501" t="str">
        <f>VLOOKUP(M501,Teams!A:B,2,FALSE)</f>
        <v>BUL</v>
      </c>
    </row>
    <row r="502" spans="1:20" x14ac:dyDescent="0.25">
      <c r="A502" t="str">
        <f t="shared" si="8"/>
        <v>FIFAWC1994-37</v>
      </c>
      <c r="B502" s="4">
        <v>37</v>
      </c>
      <c r="C502" s="3">
        <v>34518</v>
      </c>
      <c r="D502" s="7">
        <v>1</v>
      </c>
      <c r="E502">
        <v>1994</v>
      </c>
      <c r="F502" t="s">
        <v>1733</v>
      </c>
      <c r="G502" t="s">
        <v>1741</v>
      </c>
      <c r="H502" t="s">
        <v>1759</v>
      </c>
      <c r="I502" t="s">
        <v>1138</v>
      </c>
      <c r="J502" t="s">
        <v>797</v>
      </c>
      <c r="K502">
        <v>3</v>
      </c>
      <c r="L502">
        <v>2</v>
      </c>
      <c r="M502" t="s">
        <v>756</v>
      </c>
      <c r="O502" t="s">
        <v>1686</v>
      </c>
      <c r="P502" t="s">
        <v>1251</v>
      </c>
      <c r="Q502">
        <v>60246</v>
      </c>
      <c r="R502" t="s">
        <v>1157</v>
      </c>
      <c r="S502" t="str">
        <f>VLOOKUP(J502,Teams!A:B,2,FALSE)</f>
        <v>GER</v>
      </c>
      <c r="T502" t="str">
        <f>VLOOKUP(M502,Teams!A:B,2,FALSE)</f>
        <v>BEL</v>
      </c>
    </row>
    <row r="503" spans="1:20" x14ac:dyDescent="0.25">
      <c r="A503" t="str">
        <f t="shared" si="8"/>
        <v>FIFAWC1994-38</v>
      </c>
      <c r="B503" s="4">
        <v>38</v>
      </c>
      <c r="C503" s="3">
        <v>34518</v>
      </c>
      <c r="D503" s="7">
        <v>0.14583333333333334</v>
      </c>
      <c r="E503">
        <v>1994</v>
      </c>
      <c r="F503" t="s">
        <v>1733</v>
      </c>
      <c r="G503" t="s">
        <v>1741</v>
      </c>
      <c r="H503" t="s">
        <v>1759</v>
      </c>
      <c r="I503" t="s">
        <v>1138</v>
      </c>
      <c r="J503" t="s">
        <v>895</v>
      </c>
      <c r="K503">
        <v>3</v>
      </c>
      <c r="L503">
        <v>0</v>
      </c>
      <c r="M503" t="s">
        <v>901</v>
      </c>
      <c r="O503" t="s">
        <v>1685</v>
      </c>
      <c r="P503" t="s">
        <v>1658</v>
      </c>
      <c r="Q503">
        <v>53121</v>
      </c>
      <c r="R503" t="s">
        <v>1157</v>
      </c>
      <c r="S503" t="str">
        <f>VLOOKUP(J503,Teams!A:B,2,FALSE)</f>
        <v>ESP</v>
      </c>
      <c r="T503" t="str">
        <f>VLOOKUP(M503,Teams!A:B,2,FALSE)</f>
        <v>SUI</v>
      </c>
    </row>
    <row r="504" spans="1:20" x14ac:dyDescent="0.25">
      <c r="A504" t="str">
        <f t="shared" si="8"/>
        <v>FIFAWC1994-39</v>
      </c>
      <c r="B504" s="4">
        <v>39</v>
      </c>
      <c r="C504" s="3">
        <v>34519</v>
      </c>
      <c r="D504" s="7">
        <v>1</v>
      </c>
      <c r="E504">
        <v>1994</v>
      </c>
      <c r="F504" t="s">
        <v>1733</v>
      </c>
      <c r="G504" t="s">
        <v>1741</v>
      </c>
      <c r="H504" t="s">
        <v>1759</v>
      </c>
      <c r="I504" t="s">
        <v>1138</v>
      </c>
      <c r="J504" t="s">
        <v>882</v>
      </c>
      <c r="K504">
        <v>1</v>
      </c>
      <c r="L504">
        <v>3</v>
      </c>
      <c r="M504" t="s">
        <v>900</v>
      </c>
      <c r="O504" t="s">
        <v>1679</v>
      </c>
      <c r="P504" t="s">
        <v>1684</v>
      </c>
      <c r="Q504">
        <v>60277</v>
      </c>
      <c r="R504" t="s">
        <v>1157</v>
      </c>
      <c r="S504" t="str">
        <f>VLOOKUP(J504,Teams!A:B,2,FALSE)</f>
        <v>KSA</v>
      </c>
      <c r="T504" t="str">
        <f>VLOOKUP(M504,Teams!A:B,2,FALSE)</f>
        <v>SWE</v>
      </c>
    </row>
    <row r="505" spans="1:20" x14ac:dyDescent="0.25">
      <c r="A505" t="str">
        <f t="shared" si="8"/>
        <v>FIFAWC1994-40</v>
      </c>
      <c r="B505" s="4">
        <v>40</v>
      </c>
      <c r="C505" s="3">
        <v>34519</v>
      </c>
      <c r="D505" s="7">
        <v>0.14583333333333334</v>
      </c>
      <c r="E505">
        <v>1994</v>
      </c>
      <c r="F505" t="s">
        <v>1733</v>
      </c>
      <c r="G505" t="s">
        <v>1741</v>
      </c>
      <c r="H505" t="s">
        <v>1759</v>
      </c>
      <c r="I505" t="s">
        <v>1138</v>
      </c>
      <c r="J505" t="s">
        <v>539</v>
      </c>
      <c r="K505">
        <v>3</v>
      </c>
      <c r="L505">
        <v>2</v>
      </c>
      <c r="M505" t="s">
        <v>749</v>
      </c>
      <c r="O505" t="s">
        <v>1674</v>
      </c>
      <c r="P505" t="s">
        <v>1683</v>
      </c>
      <c r="Q505">
        <v>90469</v>
      </c>
      <c r="R505" t="s">
        <v>1157</v>
      </c>
      <c r="S505" t="str">
        <f>VLOOKUP(J505,Teams!A:B,2,FALSE)</f>
        <v>ROU</v>
      </c>
      <c r="T505" t="str">
        <f>VLOOKUP(M505,Teams!A:B,2,FALSE)</f>
        <v>ARG</v>
      </c>
    </row>
    <row r="506" spans="1:20" x14ac:dyDescent="0.25">
      <c r="A506" t="str">
        <f t="shared" si="8"/>
        <v>FIFAWC1994-41</v>
      </c>
      <c r="B506" s="4">
        <v>41</v>
      </c>
      <c r="C506" s="3">
        <v>34519</v>
      </c>
      <c r="D506" s="7">
        <v>0.97916666666666663</v>
      </c>
      <c r="E506">
        <v>1994</v>
      </c>
      <c r="F506" t="s">
        <v>1733</v>
      </c>
      <c r="G506" t="s">
        <v>1741</v>
      </c>
      <c r="H506" t="s">
        <v>1759</v>
      </c>
      <c r="I506" t="s">
        <v>1138</v>
      </c>
      <c r="J506" t="s">
        <v>33</v>
      </c>
      <c r="K506">
        <v>2</v>
      </c>
      <c r="L506">
        <v>0</v>
      </c>
      <c r="M506" t="s">
        <v>1109</v>
      </c>
      <c r="O506" t="s">
        <v>1682</v>
      </c>
      <c r="P506" t="s">
        <v>1249</v>
      </c>
      <c r="Q506">
        <v>61355</v>
      </c>
      <c r="R506" t="s">
        <v>1157</v>
      </c>
      <c r="S506" t="str">
        <f>VLOOKUP(J506,Teams!A:B,2,FALSE)</f>
        <v>NED</v>
      </c>
      <c r="T506" t="str">
        <f>VLOOKUP(M506,Teams!A:B,2,FALSE)</f>
        <v>IRL</v>
      </c>
    </row>
    <row r="507" spans="1:20" x14ac:dyDescent="0.25">
      <c r="A507" t="str">
        <f t="shared" si="8"/>
        <v>FIFAWC1994-42</v>
      </c>
      <c r="B507" s="4">
        <v>42</v>
      </c>
      <c r="C507" s="3">
        <v>34520</v>
      </c>
      <c r="D507" s="7">
        <v>0.10416666666666667</v>
      </c>
      <c r="E507">
        <v>1994</v>
      </c>
      <c r="F507" t="s">
        <v>1733</v>
      </c>
      <c r="G507" t="s">
        <v>1741</v>
      </c>
      <c r="H507" t="s">
        <v>1759</v>
      </c>
      <c r="I507" t="s">
        <v>1138</v>
      </c>
      <c r="J507" t="s">
        <v>760</v>
      </c>
      <c r="K507">
        <v>1</v>
      </c>
      <c r="L507">
        <v>0</v>
      </c>
      <c r="M507" t="s">
        <v>702</v>
      </c>
      <c r="O507" t="s">
        <v>1677</v>
      </c>
      <c r="P507" t="s">
        <v>1256</v>
      </c>
      <c r="Q507">
        <v>84147</v>
      </c>
      <c r="R507" t="s">
        <v>1157</v>
      </c>
      <c r="S507" t="str">
        <f>VLOOKUP(J507,Teams!A:B,2,FALSE)</f>
        <v>BRA</v>
      </c>
      <c r="T507" t="str">
        <f>VLOOKUP(M507,Teams!A:B,2,FALSE)</f>
        <v>USA</v>
      </c>
    </row>
    <row r="508" spans="1:20" x14ac:dyDescent="0.25">
      <c r="A508" t="str">
        <f t="shared" si="8"/>
        <v>FIFAWC1994-43</v>
      </c>
      <c r="B508" s="4">
        <v>43</v>
      </c>
      <c r="C508" s="3">
        <v>34521</v>
      </c>
      <c r="D508" s="7">
        <v>1</v>
      </c>
      <c r="E508">
        <v>1994</v>
      </c>
      <c r="F508" t="s">
        <v>1733</v>
      </c>
      <c r="G508" t="s">
        <v>1741</v>
      </c>
      <c r="H508" t="s">
        <v>1759</v>
      </c>
      <c r="I508" t="s">
        <v>1138</v>
      </c>
      <c r="J508" t="s">
        <v>857</v>
      </c>
      <c r="K508">
        <v>1</v>
      </c>
      <c r="L508">
        <v>2</v>
      </c>
      <c r="M508" t="s">
        <v>817</v>
      </c>
      <c r="O508" t="s">
        <v>1681</v>
      </c>
      <c r="P508" t="s">
        <v>1646</v>
      </c>
      <c r="Q508">
        <v>54367</v>
      </c>
      <c r="R508" t="s">
        <v>1157</v>
      </c>
      <c r="S508" t="str">
        <f>VLOOKUP(J508,Teams!A:B,2,FALSE)</f>
        <v>NGA</v>
      </c>
      <c r="T508" t="str">
        <f>VLOOKUP(M508,Teams!A:B,2,FALSE)</f>
        <v>ITA</v>
      </c>
    </row>
    <row r="509" spans="1:20" x14ac:dyDescent="0.25">
      <c r="A509" t="str">
        <f t="shared" si="8"/>
        <v>FIFAWC1994-44</v>
      </c>
      <c r="B509" s="4">
        <v>44</v>
      </c>
      <c r="C509" s="3">
        <v>34521</v>
      </c>
      <c r="D509" s="7">
        <v>0.14583333333333334</v>
      </c>
      <c r="E509">
        <v>1994</v>
      </c>
      <c r="F509" t="s">
        <v>1733</v>
      </c>
      <c r="G509" t="s">
        <v>1741</v>
      </c>
      <c r="H509" t="s">
        <v>1759</v>
      </c>
      <c r="I509" t="s">
        <v>1138</v>
      </c>
      <c r="J509" t="s">
        <v>845</v>
      </c>
      <c r="K509">
        <v>1</v>
      </c>
      <c r="L509">
        <v>1</v>
      </c>
      <c r="M509" t="s">
        <v>761</v>
      </c>
      <c r="N509" t="s">
        <v>1772</v>
      </c>
      <c r="O509" t="s">
        <v>1169</v>
      </c>
      <c r="P509" t="s">
        <v>1188</v>
      </c>
      <c r="Q509">
        <v>71030</v>
      </c>
      <c r="R509" t="s">
        <v>1157</v>
      </c>
      <c r="S509" t="str">
        <f>VLOOKUP(J509,Teams!A:B,2,FALSE)</f>
        <v>MEX</v>
      </c>
      <c r="T509" t="str">
        <f>VLOOKUP(M509,Teams!A:B,2,FALSE)</f>
        <v>BUL</v>
      </c>
    </row>
    <row r="510" spans="1:20" x14ac:dyDescent="0.25">
      <c r="A510" t="str">
        <f t="shared" si="8"/>
        <v>FIFAWC1994-45</v>
      </c>
      <c r="B510" s="4">
        <v>45</v>
      </c>
      <c r="C510" s="3">
        <v>34524</v>
      </c>
      <c r="D510" s="7">
        <v>0.97916666666666663</v>
      </c>
      <c r="E510">
        <v>1994</v>
      </c>
      <c r="F510" t="s">
        <v>1733</v>
      </c>
      <c r="G510" t="s">
        <v>1741</v>
      </c>
      <c r="H510" t="s">
        <v>1759</v>
      </c>
      <c r="I510" t="s">
        <v>1139</v>
      </c>
      <c r="J510" t="s">
        <v>817</v>
      </c>
      <c r="K510">
        <v>2</v>
      </c>
      <c r="L510">
        <v>1</v>
      </c>
      <c r="M510" t="s">
        <v>895</v>
      </c>
      <c r="O510" t="s">
        <v>1681</v>
      </c>
      <c r="P510" t="s">
        <v>1675</v>
      </c>
      <c r="Q510">
        <v>53400</v>
      </c>
      <c r="R510" t="s">
        <v>1157</v>
      </c>
      <c r="S510" t="str">
        <f>VLOOKUP(J510,Teams!A:B,2,FALSE)</f>
        <v>ITA</v>
      </c>
      <c r="T510" t="str">
        <f>VLOOKUP(M510,Teams!A:B,2,FALSE)</f>
        <v>ESP</v>
      </c>
    </row>
    <row r="511" spans="1:20" x14ac:dyDescent="0.25">
      <c r="A511" t="str">
        <f t="shared" si="8"/>
        <v>FIFAWC1994-46</v>
      </c>
      <c r="B511" s="4">
        <v>46</v>
      </c>
      <c r="C511" s="3">
        <v>34525</v>
      </c>
      <c r="D511" s="7">
        <v>0.10416666666666667</v>
      </c>
      <c r="E511">
        <v>1994</v>
      </c>
      <c r="F511" t="s">
        <v>1733</v>
      </c>
      <c r="G511" t="s">
        <v>1741</v>
      </c>
      <c r="H511" t="s">
        <v>1759</v>
      </c>
      <c r="I511" t="s">
        <v>1139</v>
      </c>
      <c r="J511" t="s">
        <v>33</v>
      </c>
      <c r="K511">
        <v>2</v>
      </c>
      <c r="L511">
        <v>3</v>
      </c>
      <c r="M511" t="s">
        <v>760</v>
      </c>
      <c r="O511" t="s">
        <v>1679</v>
      </c>
      <c r="P511" t="s">
        <v>1680</v>
      </c>
      <c r="Q511">
        <v>63500</v>
      </c>
      <c r="R511" t="s">
        <v>1157</v>
      </c>
      <c r="S511" t="str">
        <f>VLOOKUP(J511,Teams!A:B,2,FALSE)</f>
        <v>NED</v>
      </c>
      <c r="T511" t="str">
        <f>VLOOKUP(M511,Teams!A:B,2,FALSE)</f>
        <v>BRA</v>
      </c>
    </row>
    <row r="512" spans="1:20" x14ac:dyDescent="0.25">
      <c r="A512" t="str">
        <f t="shared" si="8"/>
        <v>FIFAWC1994-47</v>
      </c>
      <c r="B512" s="4">
        <v>47</v>
      </c>
      <c r="C512" s="3">
        <v>34525</v>
      </c>
      <c r="D512" s="7">
        <v>0.97916666666666663</v>
      </c>
      <c r="E512">
        <v>1994</v>
      </c>
      <c r="F512" t="s">
        <v>1733</v>
      </c>
      <c r="G512" t="s">
        <v>1741</v>
      </c>
      <c r="H512" t="s">
        <v>1759</v>
      </c>
      <c r="I512" t="s">
        <v>1139</v>
      </c>
      <c r="J512" t="s">
        <v>761</v>
      </c>
      <c r="K512">
        <v>2</v>
      </c>
      <c r="L512">
        <v>1</v>
      </c>
      <c r="M512" t="s">
        <v>797</v>
      </c>
      <c r="O512" t="s">
        <v>1169</v>
      </c>
      <c r="P512" t="s">
        <v>1676</v>
      </c>
      <c r="Q512">
        <v>72000</v>
      </c>
      <c r="R512" t="s">
        <v>1157</v>
      </c>
      <c r="S512" t="str">
        <f>VLOOKUP(J512,Teams!A:B,2,FALSE)</f>
        <v>BUL</v>
      </c>
      <c r="T512" t="str">
        <f>VLOOKUP(M512,Teams!A:B,2,FALSE)</f>
        <v>GER</v>
      </c>
    </row>
    <row r="513" spans="1:20" x14ac:dyDescent="0.25">
      <c r="A513" t="str">
        <f t="shared" si="8"/>
        <v>FIFAWC1994-48</v>
      </c>
      <c r="B513" s="4">
        <v>48</v>
      </c>
      <c r="C513" s="3">
        <v>34526</v>
      </c>
      <c r="D513" s="7">
        <v>0.10416666666666667</v>
      </c>
      <c r="E513">
        <v>1994</v>
      </c>
      <c r="F513" t="s">
        <v>1733</v>
      </c>
      <c r="G513" t="s">
        <v>1741</v>
      </c>
      <c r="H513" t="s">
        <v>1759</v>
      </c>
      <c r="I513" t="s">
        <v>1139</v>
      </c>
      <c r="J513" t="s">
        <v>539</v>
      </c>
      <c r="K513">
        <v>2</v>
      </c>
      <c r="L513">
        <v>2</v>
      </c>
      <c r="M513" t="s">
        <v>900</v>
      </c>
      <c r="N513" t="s">
        <v>1773</v>
      </c>
      <c r="O513" t="s">
        <v>1677</v>
      </c>
      <c r="P513" t="s">
        <v>1678</v>
      </c>
      <c r="Q513">
        <v>83500</v>
      </c>
      <c r="R513" t="s">
        <v>1157</v>
      </c>
      <c r="S513" t="str">
        <f>VLOOKUP(J513,Teams!A:B,2,FALSE)</f>
        <v>ROU</v>
      </c>
      <c r="T513" t="str">
        <f>VLOOKUP(M513,Teams!A:B,2,FALSE)</f>
        <v>SWE</v>
      </c>
    </row>
    <row r="514" spans="1:20" x14ac:dyDescent="0.25">
      <c r="A514" t="str">
        <f t="shared" si="8"/>
        <v>FIFAWC1994-49</v>
      </c>
      <c r="B514" s="4">
        <v>49</v>
      </c>
      <c r="C514" s="3">
        <v>34529</v>
      </c>
      <c r="D514" s="7">
        <v>0.14583333333333334</v>
      </c>
      <c r="E514">
        <v>1994</v>
      </c>
      <c r="F514" t="s">
        <v>1733</v>
      </c>
      <c r="G514" t="s">
        <v>1741</v>
      </c>
      <c r="H514" t="s">
        <v>1759</v>
      </c>
      <c r="I514" t="s">
        <v>1140</v>
      </c>
      <c r="J514" t="s">
        <v>817</v>
      </c>
      <c r="K514">
        <v>2</v>
      </c>
      <c r="L514">
        <v>1</v>
      </c>
      <c r="M514" t="s">
        <v>761</v>
      </c>
      <c r="O514" t="s">
        <v>1169</v>
      </c>
      <c r="P514" t="s">
        <v>1256</v>
      </c>
      <c r="Q514">
        <v>74110</v>
      </c>
      <c r="R514" t="s">
        <v>1157</v>
      </c>
      <c r="S514" t="str">
        <f>VLOOKUP(J514,Teams!A:B,2,FALSE)</f>
        <v>ITA</v>
      </c>
      <c r="T514" t="str">
        <f>VLOOKUP(M514,Teams!A:B,2,FALSE)</f>
        <v>BUL</v>
      </c>
    </row>
    <row r="515" spans="1:20" x14ac:dyDescent="0.25">
      <c r="A515" t="str">
        <f t="shared" si="8"/>
        <v>FIFAWC1994-50</v>
      </c>
      <c r="B515" s="4">
        <v>50</v>
      </c>
      <c r="C515" s="3">
        <v>34529</v>
      </c>
      <c r="D515" s="7">
        <v>0.27083333333333331</v>
      </c>
      <c r="E515">
        <v>1994</v>
      </c>
      <c r="F515" t="s">
        <v>1733</v>
      </c>
      <c r="G515" t="s">
        <v>1741</v>
      </c>
      <c r="H515" t="s">
        <v>1759</v>
      </c>
      <c r="I515" t="s">
        <v>1140</v>
      </c>
      <c r="J515" t="s">
        <v>900</v>
      </c>
      <c r="K515">
        <v>0</v>
      </c>
      <c r="L515">
        <v>1</v>
      </c>
      <c r="M515" t="s">
        <v>760</v>
      </c>
      <c r="O515" t="s">
        <v>1674</v>
      </c>
      <c r="P515" t="s">
        <v>1676</v>
      </c>
      <c r="Q515">
        <v>91856</v>
      </c>
      <c r="R515" t="s">
        <v>1157</v>
      </c>
      <c r="S515" t="str">
        <f>VLOOKUP(J515,Teams!A:B,2,FALSE)</f>
        <v>SWE</v>
      </c>
      <c r="T515" t="str">
        <f>VLOOKUP(M515,Teams!A:B,2,FALSE)</f>
        <v>BRA</v>
      </c>
    </row>
    <row r="516" spans="1:20" x14ac:dyDescent="0.25">
      <c r="A516" t="str">
        <f t="shared" si="8"/>
        <v>FIFAWC1994-51</v>
      </c>
      <c r="B516" s="4">
        <v>51</v>
      </c>
      <c r="C516" s="3">
        <v>34532</v>
      </c>
      <c r="D516" s="7">
        <v>0.10416666666666667</v>
      </c>
      <c r="E516">
        <v>1994</v>
      </c>
      <c r="F516" t="s">
        <v>1733</v>
      </c>
      <c r="G516" t="s">
        <v>1741</v>
      </c>
      <c r="H516" t="s">
        <v>1759</v>
      </c>
      <c r="I516" t="s">
        <v>1018</v>
      </c>
      <c r="J516" t="s">
        <v>900</v>
      </c>
      <c r="K516">
        <v>4</v>
      </c>
      <c r="L516">
        <v>0</v>
      </c>
      <c r="M516" t="s">
        <v>761</v>
      </c>
      <c r="O516" t="s">
        <v>1674</v>
      </c>
      <c r="P516" t="s">
        <v>1627</v>
      </c>
      <c r="Q516">
        <v>91500</v>
      </c>
      <c r="R516" t="s">
        <v>1157</v>
      </c>
      <c r="S516" t="str">
        <f>VLOOKUP(J516,Teams!A:B,2,FALSE)</f>
        <v>SWE</v>
      </c>
      <c r="T516" t="str">
        <f>VLOOKUP(M516,Teams!A:B,2,FALSE)</f>
        <v>BUL</v>
      </c>
    </row>
    <row r="517" spans="1:20" x14ac:dyDescent="0.25">
      <c r="A517" t="str">
        <f t="shared" si="8"/>
        <v>FIFAWC1994-52</v>
      </c>
      <c r="B517" s="4">
        <v>52</v>
      </c>
      <c r="C517" s="3">
        <v>34533</v>
      </c>
      <c r="D517" s="7">
        <v>0.10416666666666667</v>
      </c>
      <c r="E517">
        <v>1994</v>
      </c>
      <c r="F517" t="s">
        <v>1733</v>
      </c>
      <c r="G517" t="s">
        <v>1741</v>
      </c>
      <c r="H517" t="s">
        <v>1759</v>
      </c>
      <c r="I517" t="s">
        <v>1141</v>
      </c>
      <c r="J517" t="s">
        <v>760</v>
      </c>
      <c r="K517">
        <v>0</v>
      </c>
      <c r="L517">
        <v>0</v>
      </c>
      <c r="M517" t="s">
        <v>817</v>
      </c>
      <c r="N517" t="s">
        <v>1774</v>
      </c>
      <c r="O517" t="s">
        <v>1674</v>
      </c>
      <c r="P517" t="s">
        <v>1675</v>
      </c>
      <c r="Q517">
        <v>94194</v>
      </c>
      <c r="R517" t="s">
        <v>1157</v>
      </c>
      <c r="S517" t="str">
        <f>VLOOKUP(J517,Teams!A:B,2,FALSE)</f>
        <v>BRA</v>
      </c>
      <c r="T517" t="str">
        <f>VLOOKUP(M517,Teams!A:B,2,FALSE)</f>
        <v>ITA</v>
      </c>
    </row>
    <row r="518" spans="1:20" x14ac:dyDescent="0.25">
      <c r="A518" t="str">
        <f t="shared" si="8"/>
        <v>FIFAWC1998-1</v>
      </c>
      <c r="B518" s="4">
        <v>1</v>
      </c>
      <c r="C518" s="3">
        <v>35956</v>
      </c>
      <c r="D518" s="7">
        <v>0.9375</v>
      </c>
      <c r="E518">
        <v>1998</v>
      </c>
      <c r="F518" t="s">
        <v>1734</v>
      </c>
      <c r="G518" t="s">
        <v>1741</v>
      </c>
      <c r="H518" t="s">
        <v>1122</v>
      </c>
      <c r="I518" t="s">
        <v>1743</v>
      </c>
      <c r="J518" t="s">
        <v>760</v>
      </c>
      <c r="K518">
        <v>2</v>
      </c>
      <c r="L518">
        <v>1</v>
      </c>
      <c r="M518" t="s">
        <v>1026</v>
      </c>
      <c r="O518" t="s">
        <v>1641</v>
      </c>
      <c r="P518" t="s">
        <v>1673</v>
      </c>
      <c r="Q518">
        <v>80000</v>
      </c>
      <c r="R518" t="s">
        <v>1157</v>
      </c>
      <c r="S518" t="str">
        <f>VLOOKUP(J518,Teams!A:B,2,FALSE)</f>
        <v>BRA</v>
      </c>
      <c r="T518" t="str">
        <f>VLOOKUP(M518,Teams!A:B,2,FALSE)</f>
        <v>SCO</v>
      </c>
    </row>
    <row r="519" spans="1:20" x14ac:dyDescent="0.25">
      <c r="A519" t="str">
        <f t="shared" si="8"/>
        <v>FIFAWC1998-2</v>
      </c>
      <c r="B519" s="4">
        <v>2</v>
      </c>
      <c r="C519" s="3">
        <v>35957</v>
      </c>
      <c r="D519" s="7">
        <v>8.3333333333333329E-2</v>
      </c>
      <c r="E519">
        <v>1998</v>
      </c>
      <c r="F519" t="s">
        <v>1734</v>
      </c>
      <c r="G519" t="s">
        <v>1741</v>
      </c>
      <c r="H519" t="s">
        <v>1122</v>
      </c>
      <c r="I519" t="s">
        <v>1743</v>
      </c>
      <c r="J519" t="s">
        <v>849</v>
      </c>
      <c r="K519">
        <v>2</v>
      </c>
      <c r="L519">
        <v>2</v>
      </c>
      <c r="M519" t="s">
        <v>84</v>
      </c>
      <c r="O519" t="s">
        <v>1650</v>
      </c>
      <c r="P519" t="s">
        <v>1659</v>
      </c>
      <c r="Q519">
        <v>29800</v>
      </c>
      <c r="R519" t="s">
        <v>1157</v>
      </c>
      <c r="S519" t="str">
        <f>VLOOKUP(J519,Teams!A:B,2,FALSE)</f>
        <v>MAR</v>
      </c>
      <c r="T519" t="str">
        <f>VLOOKUP(M519,Teams!A:B,2,FALSE)</f>
        <v>NOR</v>
      </c>
    </row>
    <row r="520" spans="1:20" x14ac:dyDescent="0.25">
      <c r="A520" t="str">
        <f t="shared" si="8"/>
        <v>FIFAWC1998-3</v>
      </c>
      <c r="B520" s="4">
        <v>3</v>
      </c>
      <c r="C520" s="3">
        <v>35957</v>
      </c>
      <c r="D520" s="7">
        <v>0.9375</v>
      </c>
      <c r="E520">
        <v>1998</v>
      </c>
      <c r="F520" t="s">
        <v>1734</v>
      </c>
      <c r="G520" t="s">
        <v>1741</v>
      </c>
      <c r="H520" t="s">
        <v>1122</v>
      </c>
      <c r="I520" t="s">
        <v>1742</v>
      </c>
      <c r="J520" t="s">
        <v>817</v>
      </c>
      <c r="K520">
        <v>2</v>
      </c>
      <c r="L520">
        <v>2</v>
      </c>
      <c r="M520" t="s">
        <v>768</v>
      </c>
      <c r="O520" t="s">
        <v>1504</v>
      </c>
      <c r="P520" t="s">
        <v>1672</v>
      </c>
      <c r="Q520">
        <v>31800</v>
      </c>
      <c r="R520" t="s">
        <v>1157</v>
      </c>
      <c r="S520" t="str">
        <f>VLOOKUP(J520,Teams!A:B,2,FALSE)</f>
        <v>ITA</v>
      </c>
      <c r="T520" t="str">
        <f>VLOOKUP(M520,Teams!A:B,2,FALSE)</f>
        <v>CHI</v>
      </c>
    </row>
    <row r="521" spans="1:20" x14ac:dyDescent="0.25">
      <c r="A521" t="str">
        <f t="shared" si="8"/>
        <v>FIFAWC1998-4</v>
      </c>
      <c r="B521" s="4">
        <v>4</v>
      </c>
      <c r="C521" s="3">
        <v>35958</v>
      </c>
      <c r="D521" s="7">
        <v>8.3333333333333329E-2</v>
      </c>
      <c r="E521">
        <v>1998</v>
      </c>
      <c r="F521" t="s">
        <v>1734</v>
      </c>
      <c r="G521" t="s">
        <v>1741</v>
      </c>
      <c r="H521" t="s">
        <v>1122</v>
      </c>
      <c r="I521" t="s">
        <v>1742</v>
      </c>
      <c r="J521" t="s">
        <v>764</v>
      </c>
      <c r="K521">
        <v>1</v>
      </c>
      <c r="L521">
        <v>1</v>
      </c>
      <c r="M521" t="s">
        <v>751</v>
      </c>
      <c r="O521" t="s">
        <v>1511</v>
      </c>
      <c r="P521" t="s">
        <v>1166</v>
      </c>
      <c r="Q521">
        <v>33460</v>
      </c>
      <c r="R521" t="s">
        <v>1157</v>
      </c>
      <c r="S521" t="str">
        <f>VLOOKUP(J521,Teams!A:B,2,FALSE)</f>
        <v>CMR</v>
      </c>
      <c r="T521" t="str">
        <f>VLOOKUP(M521,Teams!A:B,2,FALSE)</f>
        <v>AUT</v>
      </c>
    </row>
    <row r="522" spans="1:20" x14ac:dyDescent="0.25">
      <c r="A522" t="str">
        <f>F522&amp;"-"&amp;B522</f>
        <v>FIFAWC1998-5</v>
      </c>
      <c r="B522" s="4">
        <v>5</v>
      </c>
      <c r="C522" s="3">
        <v>35958</v>
      </c>
      <c r="D522" s="7">
        <v>0.8125</v>
      </c>
      <c r="E522">
        <v>1998</v>
      </c>
      <c r="F522" t="s">
        <v>1734</v>
      </c>
      <c r="G522" t="s">
        <v>1741</v>
      </c>
      <c r="H522" t="s">
        <v>1122</v>
      </c>
      <c r="I522" t="s">
        <v>1745</v>
      </c>
      <c r="J522" t="s">
        <v>866</v>
      </c>
      <c r="K522">
        <v>0</v>
      </c>
      <c r="L522">
        <v>0</v>
      </c>
      <c r="M522" t="s">
        <v>761</v>
      </c>
      <c r="O522" t="s">
        <v>1650</v>
      </c>
      <c r="P522" t="s">
        <v>1657</v>
      </c>
      <c r="Q522">
        <v>27650</v>
      </c>
      <c r="R522" t="s">
        <v>1157</v>
      </c>
      <c r="S522" t="str">
        <f>VLOOKUP(J522,Teams!A:B,2,FALSE)</f>
        <v>PAR</v>
      </c>
      <c r="T522" t="str">
        <f>VLOOKUP(M522,Teams!A:B,2,FALSE)</f>
        <v>BUL</v>
      </c>
    </row>
    <row r="523" spans="1:20" x14ac:dyDescent="0.25">
      <c r="A523" t="str">
        <f t="shared" si="8"/>
        <v>FIFAWC1998-6</v>
      </c>
      <c r="B523" s="4">
        <v>6</v>
      </c>
      <c r="C523" s="3">
        <v>35958</v>
      </c>
      <c r="D523" s="7">
        <v>0.9375</v>
      </c>
      <c r="E523">
        <v>1998</v>
      </c>
      <c r="F523" t="s">
        <v>1734</v>
      </c>
      <c r="G523" t="s">
        <v>1741</v>
      </c>
      <c r="H523" t="s">
        <v>1122</v>
      </c>
      <c r="I523" t="s">
        <v>1744</v>
      </c>
      <c r="J523" t="s">
        <v>211</v>
      </c>
      <c r="K523">
        <v>1</v>
      </c>
      <c r="L523">
        <v>0</v>
      </c>
      <c r="M523" t="s">
        <v>882</v>
      </c>
      <c r="O523" t="s">
        <v>1651</v>
      </c>
      <c r="P523" t="s">
        <v>1649</v>
      </c>
      <c r="Q523">
        <v>38140</v>
      </c>
      <c r="R523" t="s">
        <v>1157</v>
      </c>
      <c r="S523" t="str">
        <f>VLOOKUP(J523,Teams!A:B,2,FALSE)</f>
        <v>DEN</v>
      </c>
      <c r="T523" t="str">
        <f>VLOOKUP(M523,Teams!A:B,2,FALSE)</f>
        <v>KSA</v>
      </c>
    </row>
    <row r="524" spans="1:20" x14ac:dyDescent="0.25">
      <c r="A524" t="str">
        <f t="shared" si="8"/>
        <v>FIFAWC1998-7</v>
      </c>
      <c r="B524" s="4">
        <v>7</v>
      </c>
      <c r="C524" s="3">
        <v>35959</v>
      </c>
      <c r="D524" s="7">
        <v>8.3333333333333329E-2</v>
      </c>
      <c r="E524">
        <v>1998</v>
      </c>
      <c r="F524" t="s">
        <v>1734</v>
      </c>
      <c r="G524" t="s">
        <v>1741</v>
      </c>
      <c r="H524" t="s">
        <v>1122</v>
      </c>
      <c r="I524" t="s">
        <v>1744</v>
      </c>
      <c r="J524" t="s">
        <v>224</v>
      </c>
      <c r="K524">
        <v>3</v>
      </c>
      <c r="L524">
        <v>0</v>
      </c>
      <c r="M524" t="s">
        <v>893</v>
      </c>
      <c r="O524" t="s">
        <v>1167</v>
      </c>
      <c r="P524" t="s">
        <v>1656</v>
      </c>
      <c r="Q524">
        <v>55000</v>
      </c>
      <c r="R524" t="s">
        <v>1157</v>
      </c>
      <c r="S524" t="str">
        <f>VLOOKUP(J524,Teams!A:B,2,FALSE)</f>
        <v>FRA</v>
      </c>
      <c r="T524" t="str">
        <f>VLOOKUP(M524,Teams!A:B,2,FALSE)</f>
        <v>RSA</v>
      </c>
    </row>
    <row r="525" spans="1:20" x14ac:dyDescent="0.25">
      <c r="A525" t="str">
        <f t="shared" si="8"/>
        <v>FIFAWC1998-8</v>
      </c>
      <c r="B525" s="4">
        <v>8</v>
      </c>
      <c r="C525" s="3">
        <v>35959</v>
      </c>
      <c r="D525" s="7">
        <v>0.8125</v>
      </c>
      <c r="E525">
        <v>1998</v>
      </c>
      <c r="F525" t="s">
        <v>1734</v>
      </c>
      <c r="G525" t="s">
        <v>1741</v>
      </c>
      <c r="H525" t="s">
        <v>1122</v>
      </c>
      <c r="I525" t="s">
        <v>1745</v>
      </c>
      <c r="J525" t="s">
        <v>895</v>
      </c>
      <c r="K525">
        <v>2</v>
      </c>
      <c r="L525">
        <v>3</v>
      </c>
      <c r="M525" t="s">
        <v>857</v>
      </c>
      <c r="O525" t="s">
        <v>1647</v>
      </c>
      <c r="P525" t="s">
        <v>1663</v>
      </c>
      <c r="Q525">
        <v>33257</v>
      </c>
      <c r="R525" t="s">
        <v>1157</v>
      </c>
      <c r="S525" t="str">
        <f>VLOOKUP(J525,Teams!A:B,2,FALSE)</f>
        <v>ESP</v>
      </c>
      <c r="T525" t="str">
        <f>VLOOKUP(M525,Teams!A:B,2,FALSE)</f>
        <v>NGA</v>
      </c>
    </row>
    <row r="526" spans="1:20" x14ac:dyDescent="0.25">
      <c r="A526" t="str">
        <f t="shared" si="8"/>
        <v>FIFAWC1998-9</v>
      </c>
      <c r="B526" s="4">
        <v>9</v>
      </c>
      <c r="C526" s="3">
        <v>35959</v>
      </c>
      <c r="D526" s="7">
        <v>0.9375</v>
      </c>
      <c r="E526">
        <v>1998</v>
      </c>
      <c r="F526" t="s">
        <v>1734</v>
      </c>
      <c r="G526" t="s">
        <v>1741</v>
      </c>
      <c r="H526" t="s">
        <v>1122</v>
      </c>
      <c r="I526" t="s">
        <v>1746</v>
      </c>
      <c r="J526" t="s">
        <v>1056</v>
      </c>
      <c r="K526">
        <v>1</v>
      </c>
      <c r="L526">
        <v>3</v>
      </c>
      <c r="M526" t="s">
        <v>845</v>
      </c>
      <c r="O526" t="s">
        <v>1644</v>
      </c>
      <c r="P526" t="s">
        <v>1654</v>
      </c>
      <c r="Q526">
        <v>39100</v>
      </c>
      <c r="R526" t="s">
        <v>1157</v>
      </c>
      <c r="S526" t="str">
        <f>VLOOKUP(J526,Teams!A:B,2,FALSE)</f>
        <v>KOR</v>
      </c>
      <c r="T526" t="str">
        <f>VLOOKUP(M526,Teams!A:B,2,FALSE)</f>
        <v>MEX</v>
      </c>
    </row>
    <row r="527" spans="1:20" x14ac:dyDescent="0.25">
      <c r="A527" t="str">
        <f t="shared" si="8"/>
        <v>FIFAWC1998-10</v>
      </c>
      <c r="B527" s="4">
        <v>10</v>
      </c>
      <c r="C527" s="3">
        <v>35960</v>
      </c>
      <c r="D527" s="7">
        <v>8.3333333333333329E-2</v>
      </c>
      <c r="E527">
        <v>1998</v>
      </c>
      <c r="F527" t="s">
        <v>1734</v>
      </c>
      <c r="G527" t="s">
        <v>1741</v>
      </c>
      <c r="H527" t="s">
        <v>1122</v>
      </c>
      <c r="I527" t="s">
        <v>1746</v>
      </c>
      <c r="J527" t="s">
        <v>33</v>
      </c>
      <c r="K527">
        <v>0</v>
      </c>
      <c r="L527">
        <v>0</v>
      </c>
      <c r="M527" t="s">
        <v>756</v>
      </c>
      <c r="O527" t="s">
        <v>1641</v>
      </c>
      <c r="P527" t="s">
        <v>1595</v>
      </c>
      <c r="Q527">
        <v>75000</v>
      </c>
      <c r="R527" t="s">
        <v>1157</v>
      </c>
      <c r="S527" t="str">
        <f>VLOOKUP(J527,Teams!A:B,2,FALSE)</f>
        <v>NED</v>
      </c>
      <c r="T527" t="str">
        <f>VLOOKUP(M527,Teams!A:B,2,FALSE)</f>
        <v>BEL</v>
      </c>
    </row>
    <row r="528" spans="1:20" x14ac:dyDescent="0.25">
      <c r="A528" t="str">
        <f>F528&amp;"-"&amp;B528</f>
        <v>FIFAWC1998-11</v>
      </c>
      <c r="B528" s="4">
        <v>11</v>
      </c>
      <c r="C528" s="3">
        <v>35960</v>
      </c>
      <c r="D528" s="7">
        <v>0.8125</v>
      </c>
      <c r="E528">
        <v>1998</v>
      </c>
      <c r="F528" t="s">
        <v>1734</v>
      </c>
      <c r="G528" t="s">
        <v>1741</v>
      </c>
      <c r="H528" t="s">
        <v>1122</v>
      </c>
      <c r="I528" t="s">
        <v>1749</v>
      </c>
      <c r="J528" t="s">
        <v>749</v>
      </c>
      <c r="K528">
        <v>1</v>
      </c>
      <c r="L528">
        <v>0</v>
      </c>
      <c r="M528" t="s">
        <v>330</v>
      </c>
      <c r="O528" t="s">
        <v>1511</v>
      </c>
      <c r="P528" t="s">
        <v>1658</v>
      </c>
      <c r="Q528">
        <v>33400</v>
      </c>
      <c r="R528" t="s">
        <v>1157</v>
      </c>
      <c r="S528" t="str">
        <f>VLOOKUP(J528,Teams!A:B,2,FALSE)</f>
        <v>ARG</v>
      </c>
      <c r="T528" t="str">
        <f>VLOOKUP(M528,Teams!A:B,2,FALSE)</f>
        <v>JPN</v>
      </c>
    </row>
    <row r="529" spans="1:20" x14ac:dyDescent="0.25">
      <c r="A529" t="str">
        <f t="shared" si="8"/>
        <v>FIFAWC1998-12</v>
      </c>
      <c r="B529" s="4">
        <v>12</v>
      </c>
      <c r="C529" s="3">
        <v>35960</v>
      </c>
      <c r="D529" s="7">
        <v>0.9375</v>
      </c>
      <c r="E529">
        <v>1998</v>
      </c>
      <c r="F529" t="s">
        <v>1734</v>
      </c>
      <c r="G529" t="s">
        <v>1741</v>
      </c>
      <c r="H529" t="s">
        <v>1122</v>
      </c>
      <c r="I529" t="s">
        <v>1747</v>
      </c>
      <c r="J529" t="s">
        <v>1234</v>
      </c>
      <c r="K529">
        <v>1</v>
      </c>
      <c r="L529">
        <v>0</v>
      </c>
      <c r="M529" t="s">
        <v>1051</v>
      </c>
      <c r="O529" t="s">
        <v>1648</v>
      </c>
      <c r="P529" t="s">
        <v>1671</v>
      </c>
      <c r="Q529">
        <v>30392</v>
      </c>
      <c r="R529" t="s">
        <v>1157</v>
      </c>
      <c r="S529" t="str">
        <f>VLOOKUP(J529,Teams!A:B,2,FALSE)</f>
        <v>YUG</v>
      </c>
      <c r="T529" t="str">
        <f>VLOOKUP(M529,Teams!A:B,2,FALSE)</f>
        <v>IRN</v>
      </c>
    </row>
    <row r="530" spans="1:20" x14ac:dyDescent="0.25">
      <c r="A530" t="str">
        <f t="shared" si="8"/>
        <v>FIFAWC1998-13</v>
      </c>
      <c r="B530" s="4">
        <v>13</v>
      </c>
      <c r="C530" s="3">
        <v>35961</v>
      </c>
      <c r="D530" s="7">
        <v>8.3333333333333329E-2</v>
      </c>
      <c r="E530">
        <v>1998</v>
      </c>
      <c r="F530" t="s">
        <v>1734</v>
      </c>
      <c r="G530" t="s">
        <v>1741</v>
      </c>
      <c r="H530" t="s">
        <v>1122</v>
      </c>
      <c r="I530" t="s">
        <v>1749</v>
      </c>
      <c r="J530" t="s">
        <v>327</v>
      </c>
      <c r="K530">
        <v>1</v>
      </c>
      <c r="L530">
        <v>3</v>
      </c>
      <c r="M530" t="s">
        <v>775</v>
      </c>
      <c r="O530" t="s">
        <v>1651</v>
      </c>
      <c r="P530" t="s">
        <v>1614</v>
      </c>
      <c r="Q530">
        <v>38058</v>
      </c>
      <c r="R530" t="s">
        <v>1157</v>
      </c>
      <c r="S530" t="str">
        <f>VLOOKUP(J530,Teams!A:B,2,FALSE)</f>
        <v>JAM</v>
      </c>
      <c r="T530" t="str">
        <f>VLOOKUP(M530,Teams!A:B,2,FALSE)</f>
        <v>CRO</v>
      </c>
    </row>
    <row r="531" spans="1:20" x14ac:dyDescent="0.25">
      <c r="A531" t="str">
        <f>F531&amp;"-"&amp;B531</f>
        <v>FIFAWC1998-14</v>
      </c>
      <c r="B531" s="4">
        <v>14</v>
      </c>
      <c r="C531" s="3">
        <v>35961</v>
      </c>
      <c r="D531" s="7">
        <v>0.8125</v>
      </c>
      <c r="E531">
        <v>1998</v>
      </c>
      <c r="F531" t="s">
        <v>1734</v>
      </c>
      <c r="G531" t="s">
        <v>1741</v>
      </c>
      <c r="H531" t="s">
        <v>1122</v>
      </c>
      <c r="I531" t="s">
        <v>1748</v>
      </c>
      <c r="J531" t="s">
        <v>1021</v>
      </c>
      <c r="K531">
        <v>2</v>
      </c>
      <c r="L531">
        <v>0</v>
      </c>
      <c r="M531" t="s">
        <v>911</v>
      </c>
      <c r="O531" t="s">
        <v>1167</v>
      </c>
      <c r="P531" t="s">
        <v>1168</v>
      </c>
      <c r="Q531">
        <v>54587</v>
      </c>
      <c r="R531" t="s">
        <v>1157</v>
      </c>
      <c r="S531" t="str">
        <f>VLOOKUP(J531,Teams!A:B,2,FALSE)</f>
        <v>ENG</v>
      </c>
      <c r="T531" t="str">
        <f>VLOOKUP(M531,Teams!A:B,2,FALSE)</f>
        <v>TUN</v>
      </c>
    </row>
    <row r="532" spans="1:20" x14ac:dyDescent="0.25">
      <c r="A532" t="str">
        <f>F532&amp;"-"&amp;B532</f>
        <v>FIFAWC1998-15</v>
      </c>
      <c r="B532" s="4">
        <v>15</v>
      </c>
      <c r="C532" s="3">
        <v>35961</v>
      </c>
      <c r="D532" s="7">
        <v>0.9375</v>
      </c>
      <c r="E532">
        <v>1998</v>
      </c>
      <c r="F532" t="s">
        <v>1734</v>
      </c>
      <c r="G532" t="s">
        <v>1741</v>
      </c>
      <c r="H532" t="s">
        <v>1122</v>
      </c>
      <c r="I532" t="s">
        <v>1748</v>
      </c>
      <c r="J532" t="s">
        <v>539</v>
      </c>
      <c r="K532">
        <v>1</v>
      </c>
      <c r="L532">
        <v>0</v>
      </c>
      <c r="M532" t="s">
        <v>771</v>
      </c>
      <c r="O532" t="s">
        <v>1644</v>
      </c>
      <c r="P532" t="s">
        <v>1670</v>
      </c>
      <c r="Q532">
        <v>37572</v>
      </c>
      <c r="R532" t="s">
        <v>1157</v>
      </c>
      <c r="S532" t="str">
        <f>VLOOKUP(J532,Teams!A:B,2,FALSE)</f>
        <v>ROU</v>
      </c>
      <c r="T532" t="str">
        <f>VLOOKUP(M532,Teams!A:B,2,FALSE)</f>
        <v>COL</v>
      </c>
    </row>
    <row r="533" spans="1:20" x14ac:dyDescent="0.25">
      <c r="A533" t="str">
        <f t="shared" si="8"/>
        <v>FIFAWC1998-16</v>
      </c>
      <c r="B533" s="4">
        <v>16</v>
      </c>
      <c r="C533" s="3">
        <v>35962</v>
      </c>
      <c r="D533" s="7">
        <v>8.3333333333333329E-2</v>
      </c>
      <c r="E533">
        <v>1998</v>
      </c>
      <c r="F533" t="s">
        <v>1734</v>
      </c>
      <c r="G533" t="s">
        <v>1741</v>
      </c>
      <c r="H533" t="s">
        <v>1122</v>
      </c>
      <c r="I533" t="s">
        <v>1747</v>
      </c>
      <c r="J533" t="s">
        <v>797</v>
      </c>
      <c r="K533">
        <v>2</v>
      </c>
      <c r="L533">
        <v>0</v>
      </c>
      <c r="M533" t="s">
        <v>11</v>
      </c>
      <c r="O533" t="s">
        <v>1165</v>
      </c>
      <c r="P533" t="s">
        <v>1642</v>
      </c>
      <c r="Q533">
        <v>43815</v>
      </c>
      <c r="R533" t="s">
        <v>1157</v>
      </c>
      <c r="S533" t="str">
        <f>VLOOKUP(J533,Teams!A:B,2,FALSE)</f>
        <v>GER</v>
      </c>
      <c r="T533" t="str">
        <f>VLOOKUP(M533,Teams!A:B,2,FALSE)</f>
        <v>USA</v>
      </c>
    </row>
    <row r="534" spans="1:20" x14ac:dyDescent="0.25">
      <c r="A534" t="str">
        <f t="shared" si="8"/>
        <v>FIFAWC1998-17</v>
      </c>
      <c r="B534" s="4">
        <v>17</v>
      </c>
      <c r="C534" s="3">
        <v>35962</v>
      </c>
      <c r="D534" s="7">
        <v>0.9375</v>
      </c>
      <c r="E534">
        <v>1998</v>
      </c>
      <c r="F534" t="s">
        <v>1734</v>
      </c>
      <c r="G534" t="s">
        <v>1741</v>
      </c>
      <c r="H534" t="s">
        <v>1122</v>
      </c>
      <c r="I534" t="s">
        <v>1743</v>
      </c>
      <c r="J534" t="s">
        <v>1026</v>
      </c>
      <c r="K534">
        <v>1</v>
      </c>
      <c r="L534">
        <v>1</v>
      </c>
      <c r="M534" t="s">
        <v>84</v>
      </c>
      <c r="O534" t="s">
        <v>1504</v>
      </c>
      <c r="P534" t="s">
        <v>1661</v>
      </c>
      <c r="Q534">
        <v>31800</v>
      </c>
      <c r="R534" t="s">
        <v>1157</v>
      </c>
      <c r="S534" t="str">
        <f>VLOOKUP(J534,Teams!A:B,2,FALSE)</f>
        <v>SCO</v>
      </c>
      <c r="T534" t="str">
        <f>VLOOKUP(M534,Teams!A:B,2,FALSE)</f>
        <v>NOR</v>
      </c>
    </row>
    <row r="535" spans="1:20" x14ac:dyDescent="0.25">
      <c r="A535" t="str">
        <f t="shared" si="8"/>
        <v>FIFAWC1998-18</v>
      </c>
      <c r="B535" s="4">
        <v>18</v>
      </c>
      <c r="C535" s="3">
        <v>35963</v>
      </c>
      <c r="D535" s="7">
        <v>8.3333333333333329E-2</v>
      </c>
      <c r="E535">
        <v>1998</v>
      </c>
      <c r="F535" t="s">
        <v>1734</v>
      </c>
      <c r="G535" t="s">
        <v>1741</v>
      </c>
      <c r="H535" t="s">
        <v>1122</v>
      </c>
      <c r="I535" t="s">
        <v>1743</v>
      </c>
      <c r="J535" t="s">
        <v>760</v>
      </c>
      <c r="K535">
        <v>3</v>
      </c>
      <c r="L535">
        <v>0</v>
      </c>
      <c r="M535" t="s">
        <v>849</v>
      </c>
      <c r="O535" t="s">
        <v>1647</v>
      </c>
      <c r="P535" t="s">
        <v>1669</v>
      </c>
      <c r="Q535">
        <v>35500</v>
      </c>
      <c r="R535" t="s">
        <v>1157</v>
      </c>
      <c r="S535" t="str">
        <f>VLOOKUP(J535,Teams!A:B,2,FALSE)</f>
        <v>BRA</v>
      </c>
      <c r="T535" t="str">
        <f>VLOOKUP(M535,Teams!A:B,2,FALSE)</f>
        <v>MAR</v>
      </c>
    </row>
    <row r="536" spans="1:20" x14ac:dyDescent="0.25">
      <c r="A536" t="str">
        <f t="shared" si="8"/>
        <v>FIFAWC1998-19</v>
      </c>
      <c r="B536" s="4">
        <v>19</v>
      </c>
      <c r="C536" s="3">
        <v>35963</v>
      </c>
      <c r="D536" s="7">
        <v>0.9375</v>
      </c>
      <c r="E536">
        <v>1998</v>
      </c>
      <c r="F536" t="s">
        <v>1734</v>
      </c>
      <c r="G536" t="s">
        <v>1741</v>
      </c>
      <c r="H536" t="s">
        <v>1122</v>
      </c>
      <c r="I536" t="s">
        <v>1742</v>
      </c>
      <c r="J536" t="s">
        <v>768</v>
      </c>
      <c r="K536">
        <v>1</v>
      </c>
      <c r="L536">
        <v>1</v>
      </c>
      <c r="M536" t="s">
        <v>751</v>
      </c>
      <c r="O536" t="s">
        <v>1648</v>
      </c>
      <c r="P536" t="s">
        <v>1603</v>
      </c>
      <c r="Q536">
        <v>30600</v>
      </c>
      <c r="R536" t="s">
        <v>1157</v>
      </c>
      <c r="S536" t="str">
        <f>VLOOKUP(J536,Teams!A:B,2,FALSE)</f>
        <v>CHI</v>
      </c>
      <c r="T536" t="str">
        <f>VLOOKUP(M536,Teams!A:B,2,FALSE)</f>
        <v>AUT</v>
      </c>
    </row>
    <row r="537" spans="1:20" x14ac:dyDescent="0.25">
      <c r="A537" t="str">
        <f t="shared" si="8"/>
        <v>FIFAWC1998-20</v>
      </c>
      <c r="B537" s="4">
        <v>20</v>
      </c>
      <c r="C537" s="3">
        <v>35964</v>
      </c>
      <c r="D537" s="7">
        <v>8.3333333333333329E-2</v>
      </c>
      <c r="E537">
        <v>1998</v>
      </c>
      <c r="F537" t="s">
        <v>1734</v>
      </c>
      <c r="G537" t="s">
        <v>1741</v>
      </c>
      <c r="H537" t="s">
        <v>1122</v>
      </c>
      <c r="I537" t="s">
        <v>1742</v>
      </c>
      <c r="J537" t="s">
        <v>817</v>
      </c>
      <c r="K537">
        <v>3</v>
      </c>
      <c r="L537">
        <v>0</v>
      </c>
      <c r="M537" t="s">
        <v>764</v>
      </c>
      <c r="O537" t="s">
        <v>1650</v>
      </c>
      <c r="P537" t="s">
        <v>1655</v>
      </c>
      <c r="Q537">
        <v>29800</v>
      </c>
      <c r="R537" t="s">
        <v>1157</v>
      </c>
      <c r="S537" t="str">
        <f>VLOOKUP(J537,Teams!A:B,2,FALSE)</f>
        <v>ITA</v>
      </c>
      <c r="T537" t="str">
        <f>VLOOKUP(M537,Teams!A:B,2,FALSE)</f>
        <v>CMR</v>
      </c>
    </row>
    <row r="538" spans="1:20" x14ac:dyDescent="0.25">
      <c r="A538" t="str">
        <f t="shared" si="8"/>
        <v>FIFAWC1998-21</v>
      </c>
      <c r="B538" s="4">
        <v>21</v>
      </c>
      <c r="C538" s="3">
        <v>35964</v>
      </c>
      <c r="D538" s="7">
        <v>0.9375</v>
      </c>
      <c r="E538">
        <v>1998</v>
      </c>
      <c r="F538" t="s">
        <v>1734</v>
      </c>
      <c r="G538" t="s">
        <v>1741</v>
      </c>
      <c r="H538" t="s">
        <v>1122</v>
      </c>
      <c r="I538" t="s">
        <v>1744</v>
      </c>
      <c r="J538" t="s">
        <v>893</v>
      </c>
      <c r="K538">
        <v>1</v>
      </c>
      <c r="L538">
        <v>1</v>
      </c>
      <c r="M538" t="s">
        <v>211</v>
      </c>
      <c r="O538" t="s">
        <v>1511</v>
      </c>
      <c r="P538" t="s">
        <v>1668</v>
      </c>
      <c r="Q538">
        <v>33300</v>
      </c>
      <c r="R538" t="s">
        <v>1157</v>
      </c>
      <c r="S538" t="str">
        <f>VLOOKUP(J538,Teams!A:B,2,FALSE)</f>
        <v>RSA</v>
      </c>
      <c r="T538" t="str">
        <f>VLOOKUP(M538,Teams!A:B,2,FALSE)</f>
        <v>DEN</v>
      </c>
    </row>
    <row r="539" spans="1:20" x14ac:dyDescent="0.25">
      <c r="A539" t="str">
        <f t="shared" si="8"/>
        <v>FIFAWC1998-22</v>
      </c>
      <c r="B539" s="4">
        <v>22</v>
      </c>
      <c r="C539" s="3">
        <v>35965</v>
      </c>
      <c r="D539" s="7">
        <v>8.3333333333333329E-2</v>
      </c>
      <c r="E539">
        <v>1998</v>
      </c>
      <c r="F539" t="s">
        <v>1734</v>
      </c>
      <c r="G539" t="s">
        <v>1741</v>
      </c>
      <c r="H539" t="s">
        <v>1122</v>
      </c>
      <c r="I539" t="s">
        <v>1744</v>
      </c>
      <c r="J539" t="s">
        <v>224</v>
      </c>
      <c r="K539">
        <v>4</v>
      </c>
      <c r="L539">
        <v>0</v>
      </c>
      <c r="M539" t="s">
        <v>882</v>
      </c>
      <c r="O539" t="s">
        <v>1641</v>
      </c>
      <c r="P539" t="s">
        <v>1646</v>
      </c>
      <c r="Q539">
        <v>80000</v>
      </c>
      <c r="R539" t="s">
        <v>1157</v>
      </c>
      <c r="S539" t="str">
        <f>VLOOKUP(J539,Teams!A:B,2,FALSE)</f>
        <v>FRA</v>
      </c>
      <c r="T539" t="str">
        <f>VLOOKUP(M539,Teams!A:B,2,FALSE)</f>
        <v>KSA</v>
      </c>
    </row>
    <row r="540" spans="1:20" x14ac:dyDescent="0.25">
      <c r="A540" t="str">
        <f t="shared" ref="A540:A599" si="9">F540&amp;"-"&amp;B540</f>
        <v>FIFAWC1998-23</v>
      </c>
      <c r="B540" s="4">
        <v>23</v>
      </c>
      <c r="C540" s="3">
        <v>35965</v>
      </c>
      <c r="D540" s="7">
        <v>0.9375</v>
      </c>
      <c r="E540">
        <v>1998</v>
      </c>
      <c r="F540" t="s">
        <v>1734</v>
      </c>
      <c r="G540" t="s">
        <v>1741</v>
      </c>
      <c r="H540" t="s">
        <v>1122</v>
      </c>
      <c r="I540" t="s">
        <v>1745</v>
      </c>
      <c r="J540" t="s">
        <v>857</v>
      </c>
      <c r="K540">
        <v>1</v>
      </c>
      <c r="L540">
        <v>0</v>
      </c>
      <c r="M540" t="s">
        <v>761</v>
      </c>
      <c r="O540" t="s">
        <v>1165</v>
      </c>
      <c r="P540" t="s">
        <v>1667</v>
      </c>
      <c r="Q540">
        <v>45500</v>
      </c>
      <c r="R540" t="s">
        <v>1157</v>
      </c>
      <c r="S540" t="str">
        <f>VLOOKUP(J540,Teams!A:B,2,FALSE)</f>
        <v>NGA</v>
      </c>
      <c r="T540" t="str">
        <f>VLOOKUP(M540,Teams!A:B,2,FALSE)</f>
        <v>BUL</v>
      </c>
    </row>
    <row r="541" spans="1:20" x14ac:dyDescent="0.25">
      <c r="A541" t="str">
        <f t="shared" si="9"/>
        <v>FIFAWC1998-24</v>
      </c>
      <c r="B541" s="4">
        <v>24</v>
      </c>
      <c r="C541" s="3">
        <v>35966</v>
      </c>
      <c r="D541" s="7">
        <v>8.3333333333333329E-2</v>
      </c>
      <c r="E541">
        <v>1998</v>
      </c>
      <c r="F541" t="s">
        <v>1734</v>
      </c>
      <c r="G541" t="s">
        <v>1741</v>
      </c>
      <c r="H541" t="s">
        <v>1122</v>
      </c>
      <c r="I541" t="s">
        <v>1745</v>
      </c>
      <c r="J541" t="s">
        <v>895</v>
      </c>
      <c r="K541">
        <v>0</v>
      </c>
      <c r="L541">
        <v>0</v>
      </c>
      <c r="M541" t="s">
        <v>866</v>
      </c>
      <c r="O541" t="s">
        <v>1648</v>
      </c>
      <c r="P541" t="s">
        <v>1666</v>
      </c>
      <c r="Q541">
        <v>30600</v>
      </c>
      <c r="R541" t="s">
        <v>1157</v>
      </c>
      <c r="S541" t="str">
        <f>VLOOKUP(J541,Teams!A:B,2,FALSE)</f>
        <v>ESP</v>
      </c>
      <c r="T541" t="str">
        <f>VLOOKUP(M541,Teams!A:B,2,FALSE)</f>
        <v>PAR</v>
      </c>
    </row>
    <row r="542" spans="1:20" x14ac:dyDescent="0.25">
      <c r="A542" t="str">
        <f>F542&amp;"-"&amp;B542</f>
        <v>FIFAWC1998-25</v>
      </c>
      <c r="B542" s="4">
        <v>25</v>
      </c>
      <c r="C542" s="3">
        <v>35966</v>
      </c>
      <c r="D542" s="7">
        <v>0.8125</v>
      </c>
      <c r="E542">
        <v>1998</v>
      </c>
      <c r="F542" t="s">
        <v>1734</v>
      </c>
      <c r="G542" t="s">
        <v>1741</v>
      </c>
      <c r="H542" t="s">
        <v>1122</v>
      </c>
      <c r="I542" t="s">
        <v>1749</v>
      </c>
      <c r="J542" t="s">
        <v>330</v>
      </c>
      <c r="K542">
        <v>0</v>
      </c>
      <c r="L542">
        <v>1</v>
      </c>
      <c r="M542" t="s">
        <v>775</v>
      </c>
      <c r="O542" t="s">
        <v>1647</v>
      </c>
      <c r="P542" t="s">
        <v>1664</v>
      </c>
      <c r="Q542">
        <v>35500</v>
      </c>
      <c r="R542" t="s">
        <v>1157</v>
      </c>
      <c r="S542" t="str">
        <f>VLOOKUP(J542,Teams!A:B,2,FALSE)</f>
        <v>JPN</v>
      </c>
      <c r="T542" t="str">
        <f>VLOOKUP(M542,Teams!A:B,2,FALSE)</f>
        <v>CRO</v>
      </c>
    </row>
    <row r="543" spans="1:20" x14ac:dyDescent="0.25">
      <c r="A543" t="str">
        <f t="shared" si="9"/>
        <v>FIFAWC1998-26</v>
      </c>
      <c r="B543" s="4">
        <v>26</v>
      </c>
      <c r="C543" s="3">
        <v>35966</v>
      </c>
      <c r="D543" s="7">
        <v>0.9375</v>
      </c>
      <c r="E543">
        <v>1998</v>
      </c>
      <c r="F543" t="s">
        <v>1734</v>
      </c>
      <c r="G543" t="s">
        <v>1741</v>
      </c>
      <c r="H543" t="s">
        <v>1122</v>
      </c>
      <c r="I543" t="s">
        <v>1746</v>
      </c>
      <c r="J543" t="s">
        <v>756</v>
      </c>
      <c r="K543">
        <v>2</v>
      </c>
      <c r="L543">
        <v>2</v>
      </c>
      <c r="M543" t="s">
        <v>845</v>
      </c>
      <c r="O543" t="s">
        <v>1504</v>
      </c>
      <c r="P543" t="s">
        <v>1605</v>
      </c>
      <c r="Q543">
        <v>31800</v>
      </c>
      <c r="R543" t="s">
        <v>1157</v>
      </c>
      <c r="S543" t="str">
        <f>VLOOKUP(J543,Teams!A:B,2,FALSE)</f>
        <v>BEL</v>
      </c>
      <c r="T543" t="str">
        <f>VLOOKUP(M543,Teams!A:B,2,FALSE)</f>
        <v>MEX</v>
      </c>
    </row>
    <row r="544" spans="1:20" x14ac:dyDescent="0.25">
      <c r="A544" t="str">
        <f t="shared" si="9"/>
        <v>FIFAWC1998-27</v>
      </c>
      <c r="B544" s="4">
        <v>27</v>
      </c>
      <c r="C544" s="3">
        <v>35967</v>
      </c>
      <c r="D544" s="7">
        <v>8.3333333333333329E-2</v>
      </c>
      <c r="E544">
        <v>1998</v>
      </c>
      <c r="F544" t="s">
        <v>1734</v>
      </c>
      <c r="G544" t="s">
        <v>1741</v>
      </c>
      <c r="H544" t="s">
        <v>1122</v>
      </c>
      <c r="I544" t="s">
        <v>1746</v>
      </c>
      <c r="J544" t="s">
        <v>33</v>
      </c>
      <c r="K544">
        <v>5</v>
      </c>
      <c r="L544">
        <v>0</v>
      </c>
      <c r="M544" t="s">
        <v>1056</v>
      </c>
      <c r="O544" t="s">
        <v>1167</v>
      </c>
      <c r="P544" t="s">
        <v>1665</v>
      </c>
      <c r="Q544">
        <v>55000</v>
      </c>
      <c r="R544" t="s">
        <v>1157</v>
      </c>
      <c r="S544" t="str">
        <f>VLOOKUP(J544,Teams!A:B,2,FALSE)</f>
        <v>NED</v>
      </c>
      <c r="T544" t="str">
        <f>VLOOKUP(M544,Teams!A:B,2,FALSE)</f>
        <v>KOR</v>
      </c>
    </row>
    <row r="545" spans="1:20" x14ac:dyDescent="0.25">
      <c r="A545" t="str">
        <f t="shared" si="9"/>
        <v>FIFAWC1998-28</v>
      </c>
      <c r="B545" s="4">
        <v>28</v>
      </c>
      <c r="C545" s="3">
        <v>35967</v>
      </c>
      <c r="D545" s="7">
        <v>0.8125</v>
      </c>
      <c r="E545">
        <v>1998</v>
      </c>
      <c r="F545" t="s">
        <v>1734</v>
      </c>
      <c r="G545" t="s">
        <v>1741</v>
      </c>
      <c r="H545" t="s">
        <v>1122</v>
      </c>
      <c r="I545" t="s">
        <v>1747</v>
      </c>
      <c r="J545" t="s">
        <v>797</v>
      </c>
      <c r="K545">
        <v>2</v>
      </c>
      <c r="L545">
        <v>2</v>
      </c>
      <c r="M545" t="s">
        <v>1234</v>
      </c>
      <c r="O545" t="s">
        <v>1651</v>
      </c>
      <c r="P545" t="s">
        <v>1164</v>
      </c>
      <c r="Q545">
        <v>38100</v>
      </c>
      <c r="R545" t="s">
        <v>1157</v>
      </c>
      <c r="S545" t="str">
        <f>VLOOKUP(J545,Teams!A:B,2,FALSE)</f>
        <v>GER</v>
      </c>
      <c r="T545" t="str">
        <f>VLOOKUP(M545,Teams!A:B,2,FALSE)</f>
        <v>YUG</v>
      </c>
    </row>
    <row r="546" spans="1:20" x14ac:dyDescent="0.25">
      <c r="A546" t="str">
        <f>F546&amp;"-"&amp;B546</f>
        <v>FIFAWC1998-29</v>
      </c>
      <c r="B546" s="4">
        <v>29</v>
      </c>
      <c r="C546" s="3">
        <v>35967</v>
      </c>
      <c r="D546" s="7">
        <v>0.9375</v>
      </c>
      <c r="E546">
        <v>1998</v>
      </c>
      <c r="F546" t="s">
        <v>1734</v>
      </c>
      <c r="G546" t="s">
        <v>1741</v>
      </c>
      <c r="H546" t="s">
        <v>1122</v>
      </c>
      <c r="I546" t="s">
        <v>1749</v>
      </c>
      <c r="J546" t="s">
        <v>749</v>
      </c>
      <c r="K546">
        <v>5</v>
      </c>
      <c r="L546">
        <v>0</v>
      </c>
      <c r="M546" t="s">
        <v>327</v>
      </c>
      <c r="O546" t="s">
        <v>1165</v>
      </c>
      <c r="P546" t="s">
        <v>1645</v>
      </c>
      <c r="Q546">
        <v>45000</v>
      </c>
      <c r="R546" t="s">
        <v>1157</v>
      </c>
      <c r="S546" t="str">
        <f>VLOOKUP(J546,Teams!A:B,2,FALSE)</f>
        <v>ARG</v>
      </c>
      <c r="T546" t="str">
        <f>VLOOKUP(M546,Teams!A:B,2,FALSE)</f>
        <v>JAM</v>
      </c>
    </row>
    <row r="547" spans="1:20" x14ac:dyDescent="0.25">
      <c r="A547" t="str">
        <f t="shared" si="9"/>
        <v>FIFAWC1998-30</v>
      </c>
      <c r="B547" s="4">
        <v>30</v>
      </c>
      <c r="C547" s="3">
        <v>35968</v>
      </c>
      <c r="D547" s="7">
        <v>8.3333333333333329E-2</v>
      </c>
      <c r="E547">
        <v>1998</v>
      </c>
      <c r="F547" t="s">
        <v>1734</v>
      </c>
      <c r="G547" t="s">
        <v>1741</v>
      </c>
      <c r="H547" t="s">
        <v>1122</v>
      </c>
      <c r="I547" t="s">
        <v>1747</v>
      </c>
      <c r="J547" t="s">
        <v>702</v>
      </c>
      <c r="K547">
        <v>1</v>
      </c>
      <c r="L547">
        <v>2</v>
      </c>
      <c r="M547" t="s">
        <v>1051</v>
      </c>
      <c r="O547" t="s">
        <v>1644</v>
      </c>
      <c r="P547" t="s">
        <v>1600</v>
      </c>
      <c r="Q547">
        <v>39100</v>
      </c>
      <c r="R547" t="s">
        <v>1157</v>
      </c>
      <c r="S547" t="str">
        <f>VLOOKUP(J547,Teams!A:B,2,FALSE)</f>
        <v>USA</v>
      </c>
      <c r="T547" t="str">
        <f>VLOOKUP(M547,Teams!A:B,2,FALSE)</f>
        <v>IRN</v>
      </c>
    </row>
    <row r="548" spans="1:20" x14ac:dyDescent="0.25">
      <c r="A548" t="str">
        <f t="shared" si="9"/>
        <v>FIFAWC1998-31</v>
      </c>
      <c r="B548" s="4">
        <v>31</v>
      </c>
      <c r="C548" s="3">
        <v>35968</v>
      </c>
      <c r="D548" s="7">
        <v>0.9375</v>
      </c>
      <c r="E548">
        <v>1998</v>
      </c>
      <c r="F548" t="s">
        <v>1734</v>
      </c>
      <c r="G548" t="s">
        <v>1741</v>
      </c>
      <c r="H548" t="s">
        <v>1122</v>
      </c>
      <c r="I548" t="s">
        <v>1748</v>
      </c>
      <c r="J548" t="s">
        <v>771</v>
      </c>
      <c r="K548">
        <v>1</v>
      </c>
      <c r="L548">
        <v>0</v>
      </c>
      <c r="M548" t="s">
        <v>911</v>
      </c>
      <c r="O548" t="s">
        <v>1650</v>
      </c>
      <c r="P548" t="s">
        <v>1653</v>
      </c>
      <c r="Q548">
        <v>29800</v>
      </c>
      <c r="R548" t="s">
        <v>1157</v>
      </c>
      <c r="S548" t="str">
        <f>VLOOKUP(J548,Teams!A:B,2,FALSE)</f>
        <v>COL</v>
      </c>
      <c r="T548" t="str">
        <f>VLOOKUP(M548,Teams!A:B,2,FALSE)</f>
        <v>TUN</v>
      </c>
    </row>
    <row r="549" spans="1:20" x14ac:dyDescent="0.25">
      <c r="A549" t="str">
        <f t="shared" si="9"/>
        <v>FIFAWC1998-32</v>
      </c>
      <c r="B549" s="4">
        <v>32</v>
      </c>
      <c r="C549" s="3">
        <v>35969</v>
      </c>
      <c r="D549" s="7">
        <v>8.3333333333333329E-2</v>
      </c>
      <c r="E549">
        <v>1998</v>
      </c>
      <c r="F549" t="s">
        <v>1734</v>
      </c>
      <c r="G549" t="s">
        <v>1741</v>
      </c>
      <c r="H549" t="s">
        <v>1122</v>
      </c>
      <c r="I549" t="s">
        <v>1748</v>
      </c>
      <c r="J549" t="s">
        <v>539</v>
      </c>
      <c r="K549">
        <v>2</v>
      </c>
      <c r="L549">
        <v>1</v>
      </c>
      <c r="M549" t="s">
        <v>1021</v>
      </c>
      <c r="O549" t="s">
        <v>1511</v>
      </c>
      <c r="P549" t="s">
        <v>1652</v>
      </c>
      <c r="Q549">
        <v>33500</v>
      </c>
      <c r="R549" t="s">
        <v>1157</v>
      </c>
      <c r="S549" t="str">
        <f>VLOOKUP(J549,Teams!A:B,2,FALSE)</f>
        <v>ROU</v>
      </c>
      <c r="T549" t="str">
        <f>VLOOKUP(M549,Teams!A:B,2,FALSE)</f>
        <v>ENG</v>
      </c>
    </row>
    <row r="550" spans="1:20" x14ac:dyDescent="0.25">
      <c r="A550" t="str">
        <f>F550&amp;"-"&amp;B550</f>
        <v>FIFAWC1998-33</v>
      </c>
      <c r="B550" s="4">
        <v>33</v>
      </c>
      <c r="C550" s="3">
        <v>35969</v>
      </c>
      <c r="D550" s="7">
        <v>0.875</v>
      </c>
      <c r="E550">
        <v>1998</v>
      </c>
      <c r="F550" t="s">
        <v>1734</v>
      </c>
      <c r="G550" t="s">
        <v>1741</v>
      </c>
      <c r="H550" t="s">
        <v>1122</v>
      </c>
      <c r="I550" t="s">
        <v>1742</v>
      </c>
      <c r="J550" t="s">
        <v>817</v>
      </c>
      <c r="K550">
        <v>2</v>
      </c>
      <c r="L550">
        <v>1</v>
      </c>
      <c r="M550" t="s">
        <v>751</v>
      </c>
      <c r="O550" t="s">
        <v>1641</v>
      </c>
      <c r="P550" t="s">
        <v>1662</v>
      </c>
      <c r="Q550">
        <v>80000</v>
      </c>
      <c r="R550" t="s">
        <v>1157</v>
      </c>
      <c r="S550" t="str">
        <f>VLOOKUP(J550,Teams!A:B,2,FALSE)</f>
        <v>ITA</v>
      </c>
      <c r="T550" t="str">
        <f>VLOOKUP(M550,Teams!A:B,2,FALSE)</f>
        <v>AUT</v>
      </c>
    </row>
    <row r="551" spans="1:20" x14ac:dyDescent="0.25">
      <c r="A551" t="str">
        <f>F551&amp;"-"&amp;B551</f>
        <v>FIFAWC1998-34</v>
      </c>
      <c r="B551" s="4">
        <v>34</v>
      </c>
      <c r="C551" s="3">
        <v>35970</v>
      </c>
      <c r="D551" s="7">
        <v>0.875</v>
      </c>
      <c r="E551">
        <v>1998</v>
      </c>
      <c r="F551" t="s">
        <v>1734</v>
      </c>
      <c r="G551" t="s">
        <v>1741</v>
      </c>
      <c r="H551" t="s">
        <v>1122</v>
      </c>
      <c r="I551" t="s">
        <v>1742</v>
      </c>
      <c r="J551" t="s">
        <v>768</v>
      </c>
      <c r="K551">
        <v>1</v>
      </c>
      <c r="L551">
        <v>1</v>
      </c>
      <c r="M551" t="s">
        <v>764</v>
      </c>
      <c r="O551" t="s">
        <v>1647</v>
      </c>
      <c r="P551" t="s">
        <v>1661</v>
      </c>
      <c r="Q551">
        <v>35500</v>
      </c>
      <c r="R551" t="s">
        <v>1157</v>
      </c>
      <c r="S551" t="str">
        <f>VLOOKUP(J551,Teams!A:B,2,FALSE)</f>
        <v>CHI</v>
      </c>
      <c r="T551" t="str">
        <f>VLOOKUP(M551,Teams!A:B,2,FALSE)</f>
        <v>CMR</v>
      </c>
    </row>
    <row r="552" spans="1:20" x14ac:dyDescent="0.25">
      <c r="A552" t="str">
        <f>F552&amp;"-"&amp;B552</f>
        <v>FIFAWC1998-35</v>
      </c>
      <c r="B552" s="4">
        <v>35</v>
      </c>
      <c r="C552" s="3">
        <v>35970</v>
      </c>
      <c r="D552" s="7">
        <v>8.3333333333333329E-2</v>
      </c>
      <c r="E552">
        <v>1998</v>
      </c>
      <c r="F552" t="s">
        <v>1734</v>
      </c>
      <c r="G552" t="s">
        <v>1741</v>
      </c>
      <c r="H552" t="s">
        <v>1122</v>
      </c>
      <c r="I552" t="s">
        <v>1743</v>
      </c>
      <c r="J552" t="s">
        <v>1026</v>
      </c>
      <c r="K552">
        <v>0</v>
      </c>
      <c r="L552">
        <v>3</v>
      </c>
      <c r="M552" t="s">
        <v>849</v>
      </c>
      <c r="O552" t="s">
        <v>1648</v>
      </c>
      <c r="P552" t="s">
        <v>1627</v>
      </c>
      <c r="Q552">
        <v>30600</v>
      </c>
      <c r="R552" t="s">
        <v>1157</v>
      </c>
      <c r="S552" t="str">
        <f>VLOOKUP(J552,Teams!A:B,2,FALSE)</f>
        <v>SCO</v>
      </c>
      <c r="T552" t="str">
        <f>VLOOKUP(M552,Teams!A:B,2,FALSE)</f>
        <v>MAR</v>
      </c>
    </row>
    <row r="553" spans="1:20" x14ac:dyDescent="0.25">
      <c r="A553" t="str">
        <f t="shared" si="9"/>
        <v>FIFAWC1998-36</v>
      </c>
      <c r="B553" s="4">
        <v>36</v>
      </c>
      <c r="C553" s="3">
        <v>35970</v>
      </c>
      <c r="D553" s="7">
        <v>8.3333333333333329E-2</v>
      </c>
      <c r="E553">
        <v>1998</v>
      </c>
      <c r="F553" t="s">
        <v>1734</v>
      </c>
      <c r="G553" t="s">
        <v>1741</v>
      </c>
      <c r="H553" t="s">
        <v>1122</v>
      </c>
      <c r="I553" t="s">
        <v>1743</v>
      </c>
      <c r="J553" t="s">
        <v>760</v>
      </c>
      <c r="K553">
        <v>1</v>
      </c>
      <c r="L553">
        <v>2</v>
      </c>
      <c r="M553" t="s">
        <v>84</v>
      </c>
      <c r="O553" t="s">
        <v>1167</v>
      </c>
      <c r="P553" t="s">
        <v>1663</v>
      </c>
      <c r="Q553">
        <v>55000</v>
      </c>
      <c r="R553" t="s">
        <v>1157</v>
      </c>
      <c r="S553" t="str">
        <f>VLOOKUP(J553,Teams!A:B,2,FALSE)</f>
        <v>BRA</v>
      </c>
      <c r="T553" t="str">
        <f>VLOOKUP(M553,Teams!A:B,2,FALSE)</f>
        <v>NOR</v>
      </c>
    </row>
    <row r="554" spans="1:20" x14ac:dyDescent="0.25">
      <c r="A554" t="str">
        <f>F554&amp;"-"&amp;B554</f>
        <v>FIFAWC1998-37</v>
      </c>
      <c r="B554" s="4">
        <v>37</v>
      </c>
      <c r="C554" s="3">
        <v>35970</v>
      </c>
      <c r="D554" s="7">
        <v>0.875</v>
      </c>
      <c r="E554">
        <v>1998</v>
      </c>
      <c r="F554" t="s">
        <v>1734</v>
      </c>
      <c r="G554" t="s">
        <v>1741</v>
      </c>
      <c r="H554" t="s">
        <v>1122</v>
      </c>
      <c r="I554" t="s">
        <v>1744</v>
      </c>
      <c r="J554" t="s">
        <v>893</v>
      </c>
      <c r="K554">
        <v>2</v>
      </c>
      <c r="L554">
        <v>2</v>
      </c>
      <c r="M554" t="s">
        <v>882</v>
      </c>
      <c r="O554" t="s">
        <v>1504</v>
      </c>
      <c r="P554" t="s">
        <v>1660</v>
      </c>
      <c r="Q554">
        <v>31800</v>
      </c>
      <c r="R554" t="s">
        <v>1157</v>
      </c>
      <c r="S554" t="str">
        <f>VLOOKUP(J554,Teams!A:B,2,FALSE)</f>
        <v>RSA</v>
      </c>
      <c r="T554" t="str">
        <f>VLOOKUP(M554,Teams!A:B,2,FALSE)</f>
        <v>KSA</v>
      </c>
    </row>
    <row r="555" spans="1:20" x14ac:dyDescent="0.25">
      <c r="A555" t="str">
        <f t="shared" si="9"/>
        <v>FIFAWC1998-38</v>
      </c>
      <c r="B555" s="4">
        <v>38</v>
      </c>
      <c r="C555" s="3">
        <v>35970</v>
      </c>
      <c r="D555" s="7">
        <v>0.875</v>
      </c>
      <c r="E555">
        <v>1998</v>
      </c>
      <c r="F555" t="s">
        <v>1734</v>
      </c>
      <c r="G555" t="s">
        <v>1741</v>
      </c>
      <c r="H555" t="s">
        <v>1122</v>
      </c>
      <c r="I555" t="s">
        <v>1744</v>
      </c>
      <c r="J555" t="s">
        <v>224</v>
      </c>
      <c r="K555">
        <v>2</v>
      </c>
      <c r="L555">
        <v>1</v>
      </c>
      <c r="M555" t="s">
        <v>211</v>
      </c>
      <c r="O555" t="s">
        <v>1644</v>
      </c>
      <c r="P555" t="s">
        <v>1595</v>
      </c>
      <c r="Q555">
        <v>39100</v>
      </c>
      <c r="R555" t="s">
        <v>1157</v>
      </c>
      <c r="S555" t="str">
        <f>VLOOKUP(J555,Teams!A:B,2,FALSE)</f>
        <v>FRA</v>
      </c>
      <c r="T555" t="str">
        <f>VLOOKUP(M555,Teams!A:B,2,FALSE)</f>
        <v>DEN</v>
      </c>
    </row>
    <row r="556" spans="1:20" x14ac:dyDescent="0.25">
      <c r="A556" t="str">
        <f t="shared" si="9"/>
        <v>FIFAWC1998-39</v>
      </c>
      <c r="B556" s="4">
        <v>39</v>
      </c>
      <c r="C556" s="3">
        <v>35971</v>
      </c>
      <c r="D556" s="7">
        <v>8.3333333333333329E-2</v>
      </c>
      <c r="E556">
        <v>1998</v>
      </c>
      <c r="F556" t="s">
        <v>1734</v>
      </c>
      <c r="G556" t="s">
        <v>1741</v>
      </c>
      <c r="H556" t="s">
        <v>1122</v>
      </c>
      <c r="I556" t="s">
        <v>1745</v>
      </c>
      <c r="J556" t="s">
        <v>857</v>
      </c>
      <c r="K556">
        <v>1</v>
      </c>
      <c r="L556">
        <v>3</v>
      </c>
      <c r="M556" t="s">
        <v>866</v>
      </c>
      <c r="O556" t="s">
        <v>1511</v>
      </c>
      <c r="P556" t="s">
        <v>1659</v>
      </c>
      <c r="Q556">
        <v>33500</v>
      </c>
      <c r="R556" t="s">
        <v>1157</v>
      </c>
      <c r="S556" t="str">
        <f>VLOOKUP(J556,Teams!A:B,2,FALSE)</f>
        <v>NGA</v>
      </c>
      <c r="T556" t="str">
        <f>VLOOKUP(M556,Teams!A:B,2,FALSE)</f>
        <v>PAR</v>
      </c>
    </row>
    <row r="557" spans="1:20" x14ac:dyDescent="0.25">
      <c r="A557" t="str">
        <f t="shared" si="9"/>
        <v>FIFAWC1998-40</v>
      </c>
      <c r="B557" s="4">
        <v>40</v>
      </c>
      <c r="C557" s="3">
        <v>35971</v>
      </c>
      <c r="D557" s="7">
        <v>8.3333333333333329E-2</v>
      </c>
      <c r="E557">
        <v>1998</v>
      </c>
      <c r="F557" t="s">
        <v>1734</v>
      </c>
      <c r="G557" t="s">
        <v>1741</v>
      </c>
      <c r="H557" t="s">
        <v>1122</v>
      </c>
      <c r="I557" t="s">
        <v>1745</v>
      </c>
      <c r="J557" t="s">
        <v>895</v>
      </c>
      <c r="K557">
        <v>6</v>
      </c>
      <c r="L557">
        <v>1</v>
      </c>
      <c r="M557" t="s">
        <v>761</v>
      </c>
      <c r="O557" t="s">
        <v>1651</v>
      </c>
      <c r="P557" t="s">
        <v>1658</v>
      </c>
      <c r="Q557">
        <v>38100</v>
      </c>
      <c r="R557" t="s">
        <v>1157</v>
      </c>
      <c r="S557" t="str">
        <f>VLOOKUP(J557,Teams!A:B,2,FALSE)</f>
        <v>ESP</v>
      </c>
      <c r="T557" t="str">
        <f>VLOOKUP(M557,Teams!A:B,2,FALSE)</f>
        <v>BUL</v>
      </c>
    </row>
    <row r="558" spans="1:20" x14ac:dyDescent="0.25">
      <c r="A558" t="str">
        <f>F558&amp;"-"&amp;B558</f>
        <v>FIFAWC1998-41</v>
      </c>
      <c r="B558" s="4">
        <v>41</v>
      </c>
      <c r="C558" s="3">
        <v>35971</v>
      </c>
      <c r="D558" s="7">
        <v>0.875</v>
      </c>
      <c r="E558">
        <v>1998</v>
      </c>
      <c r="F558" t="s">
        <v>1734</v>
      </c>
      <c r="G558" t="s">
        <v>1741</v>
      </c>
      <c r="H558" t="s">
        <v>1122</v>
      </c>
      <c r="I558" t="s">
        <v>1746</v>
      </c>
      <c r="J558" t="s">
        <v>756</v>
      </c>
      <c r="K558">
        <v>1</v>
      </c>
      <c r="L558">
        <v>1</v>
      </c>
      <c r="M558" t="s">
        <v>1056</v>
      </c>
      <c r="O558" t="s">
        <v>1165</v>
      </c>
      <c r="P558" t="s">
        <v>1656</v>
      </c>
      <c r="Q558">
        <v>45500</v>
      </c>
      <c r="R558" t="s">
        <v>1157</v>
      </c>
      <c r="S558" t="str">
        <f>VLOOKUP(J558,Teams!A:B,2,FALSE)</f>
        <v>BEL</v>
      </c>
      <c r="T558" t="str">
        <f>VLOOKUP(M558,Teams!A:B,2,FALSE)</f>
        <v>KOR</v>
      </c>
    </row>
    <row r="559" spans="1:20" x14ac:dyDescent="0.25">
      <c r="A559" t="str">
        <f t="shared" si="9"/>
        <v>FIFAWC1998-42</v>
      </c>
      <c r="B559" s="4">
        <v>42</v>
      </c>
      <c r="C559" s="3">
        <v>35971</v>
      </c>
      <c r="D559" s="7">
        <v>0.875</v>
      </c>
      <c r="E559">
        <v>1998</v>
      </c>
      <c r="F559" t="s">
        <v>1734</v>
      </c>
      <c r="G559" t="s">
        <v>1741</v>
      </c>
      <c r="H559" t="s">
        <v>1122</v>
      </c>
      <c r="I559" t="s">
        <v>1746</v>
      </c>
      <c r="J559" t="s">
        <v>33</v>
      </c>
      <c r="K559">
        <v>2</v>
      </c>
      <c r="L559">
        <v>2</v>
      </c>
      <c r="M559" t="s">
        <v>845</v>
      </c>
      <c r="O559" t="s">
        <v>1648</v>
      </c>
      <c r="P559" t="s">
        <v>1657</v>
      </c>
      <c r="Q559">
        <v>30600</v>
      </c>
      <c r="R559" t="s">
        <v>1157</v>
      </c>
      <c r="S559" t="str">
        <f>VLOOKUP(J559,Teams!A:B,2,FALSE)</f>
        <v>NED</v>
      </c>
      <c r="T559" t="str">
        <f>VLOOKUP(M559,Teams!A:B,2,FALSE)</f>
        <v>MEX</v>
      </c>
    </row>
    <row r="560" spans="1:20" x14ac:dyDescent="0.25">
      <c r="A560" t="str">
        <f>F560&amp;"-"&amp;B560</f>
        <v>FIFAWC1998-43</v>
      </c>
      <c r="B560" s="4">
        <v>43</v>
      </c>
      <c r="C560" s="3">
        <v>35972</v>
      </c>
      <c r="D560" s="7">
        <v>8.3333333333333329E-2</v>
      </c>
      <c r="E560">
        <v>1998</v>
      </c>
      <c r="F560" t="s">
        <v>1734</v>
      </c>
      <c r="G560" t="s">
        <v>1741</v>
      </c>
      <c r="H560" t="s">
        <v>1122</v>
      </c>
      <c r="I560" t="s">
        <v>1747</v>
      </c>
      <c r="J560" t="s">
        <v>797</v>
      </c>
      <c r="K560">
        <v>2</v>
      </c>
      <c r="L560">
        <v>0</v>
      </c>
      <c r="M560" t="s">
        <v>1051</v>
      </c>
      <c r="O560" t="s">
        <v>1650</v>
      </c>
      <c r="P560" t="s">
        <v>1166</v>
      </c>
      <c r="Q560">
        <v>29800</v>
      </c>
      <c r="R560" t="s">
        <v>1157</v>
      </c>
      <c r="S560" t="str">
        <f>VLOOKUP(J560,Teams!A:B,2,FALSE)</f>
        <v>GER</v>
      </c>
      <c r="T560" t="str">
        <f>VLOOKUP(M560,Teams!A:B,2,FALSE)</f>
        <v>IRN</v>
      </c>
    </row>
    <row r="561" spans="1:20" x14ac:dyDescent="0.25">
      <c r="A561" t="str">
        <f t="shared" si="9"/>
        <v>FIFAWC1998-44</v>
      </c>
      <c r="B561" s="4">
        <v>44</v>
      </c>
      <c r="C561" s="3">
        <v>35972</v>
      </c>
      <c r="D561" s="7">
        <v>8.3333333333333329E-2</v>
      </c>
      <c r="E561">
        <v>1998</v>
      </c>
      <c r="F561" t="s">
        <v>1734</v>
      </c>
      <c r="G561" t="s">
        <v>1741</v>
      </c>
      <c r="H561" t="s">
        <v>1122</v>
      </c>
      <c r="I561" t="s">
        <v>1747</v>
      </c>
      <c r="J561" t="s">
        <v>702</v>
      </c>
      <c r="K561">
        <v>0</v>
      </c>
      <c r="L561">
        <v>1</v>
      </c>
      <c r="M561" t="s">
        <v>1234</v>
      </c>
      <c r="O561" t="s">
        <v>1647</v>
      </c>
      <c r="P561" t="s">
        <v>1603</v>
      </c>
      <c r="Q561">
        <v>35500</v>
      </c>
      <c r="R561" t="s">
        <v>1157</v>
      </c>
      <c r="S561" t="str">
        <f>VLOOKUP(J561,Teams!A:B,2,FALSE)</f>
        <v>USA</v>
      </c>
      <c r="T561" t="str">
        <f>VLOOKUP(M561,Teams!A:B,2,FALSE)</f>
        <v>YUG</v>
      </c>
    </row>
    <row r="562" spans="1:20" x14ac:dyDescent="0.25">
      <c r="A562" t="str">
        <f>F562&amp;"-"&amp;B562</f>
        <v>FIFAWC1998-45</v>
      </c>
      <c r="B562" s="4">
        <v>45</v>
      </c>
      <c r="C562" s="3">
        <v>35972</v>
      </c>
      <c r="D562" s="7">
        <v>0.875</v>
      </c>
      <c r="E562">
        <v>1998</v>
      </c>
      <c r="F562" t="s">
        <v>1734</v>
      </c>
      <c r="G562" t="s">
        <v>1741</v>
      </c>
      <c r="H562" t="s">
        <v>1122</v>
      </c>
      <c r="I562" t="s">
        <v>1749</v>
      </c>
      <c r="J562" t="s">
        <v>327</v>
      </c>
      <c r="K562">
        <v>2</v>
      </c>
      <c r="L562">
        <v>1</v>
      </c>
      <c r="M562" t="s">
        <v>330</v>
      </c>
      <c r="O562" t="s">
        <v>1644</v>
      </c>
      <c r="P562" t="s">
        <v>1654</v>
      </c>
      <c r="Q562">
        <v>39100</v>
      </c>
      <c r="R562" t="s">
        <v>1157</v>
      </c>
      <c r="S562" t="str">
        <f>VLOOKUP(J562,Teams!A:B,2,FALSE)</f>
        <v>JAM</v>
      </c>
      <c r="T562" t="str">
        <f>VLOOKUP(M562,Teams!A:B,2,FALSE)</f>
        <v>JPN</v>
      </c>
    </row>
    <row r="563" spans="1:20" x14ac:dyDescent="0.25">
      <c r="A563" t="str">
        <f>F563&amp;"-"&amp;B563</f>
        <v>FIFAWC1998-46</v>
      </c>
      <c r="B563" s="4">
        <v>46</v>
      </c>
      <c r="C563" s="3">
        <v>35972</v>
      </c>
      <c r="D563" s="7">
        <v>0.875</v>
      </c>
      <c r="E563">
        <v>1998</v>
      </c>
      <c r="F563" t="s">
        <v>1734</v>
      </c>
      <c r="G563" t="s">
        <v>1741</v>
      </c>
      <c r="H563" t="s">
        <v>1122</v>
      </c>
      <c r="I563" t="s">
        <v>1749</v>
      </c>
      <c r="J563" t="s">
        <v>749</v>
      </c>
      <c r="K563">
        <v>1</v>
      </c>
      <c r="L563">
        <v>0</v>
      </c>
      <c r="M563" t="s">
        <v>775</v>
      </c>
      <c r="O563" t="s">
        <v>1504</v>
      </c>
      <c r="P563" t="s">
        <v>1642</v>
      </c>
      <c r="Q563">
        <v>31800</v>
      </c>
      <c r="R563" t="s">
        <v>1157</v>
      </c>
      <c r="S563" t="str">
        <f>VLOOKUP(J563,Teams!A:B,2,FALSE)</f>
        <v>ARG</v>
      </c>
      <c r="T563" t="str">
        <f>VLOOKUP(M563,Teams!A:B,2,FALSE)</f>
        <v>CRO</v>
      </c>
    </row>
    <row r="564" spans="1:20" x14ac:dyDescent="0.25">
      <c r="A564" t="str">
        <f>F564&amp;"-"&amp;B564</f>
        <v>FIFAWC1998-47</v>
      </c>
      <c r="B564" s="4">
        <v>47</v>
      </c>
      <c r="C564" s="3">
        <v>35973</v>
      </c>
      <c r="D564" s="7">
        <v>8.3333333333333329E-2</v>
      </c>
      <c r="E564">
        <v>1998</v>
      </c>
      <c r="F564" t="s">
        <v>1734</v>
      </c>
      <c r="G564" t="s">
        <v>1741</v>
      </c>
      <c r="H564" t="s">
        <v>1122</v>
      </c>
      <c r="I564" t="s">
        <v>1748</v>
      </c>
      <c r="J564" t="s">
        <v>539</v>
      </c>
      <c r="K564">
        <v>1</v>
      </c>
      <c r="L564">
        <v>1</v>
      </c>
      <c r="M564" t="s">
        <v>911</v>
      </c>
      <c r="O564" t="s">
        <v>1641</v>
      </c>
      <c r="P564" t="s">
        <v>1655</v>
      </c>
      <c r="Q564">
        <v>77000</v>
      </c>
      <c r="R564" t="s">
        <v>1157</v>
      </c>
      <c r="S564" t="str">
        <f>VLOOKUP(J564,Teams!A:B,2,FALSE)</f>
        <v>ROU</v>
      </c>
      <c r="T564" t="str">
        <f>VLOOKUP(M564,Teams!A:B,2,FALSE)</f>
        <v>TUN</v>
      </c>
    </row>
    <row r="565" spans="1:20" x14ac:dyDescent="0.25">
      <c r="A565" t="str">
        <f t="shared" si="9"/>
        <v>FIFAWC1998-48</v>
      </c>
      <c r="B565" s="4">
        <v>48</v>
      </c>
      <c r="C565" s="3">
        <v>35973</v>
      </c>
      <c r="D565" s="7">
        <v>8.3333333333333329E-2</v>
      </c>
      <c r="E565">
        <v>1998</v>
      </c>
      <c r="F565" t="s">
        <v>1734</v>
      </c>
      <c r="G565" t="s">
        <v>1741</v>
      </c>
      <c r="H565" t="s">
        <v>1122</v>
      </c>
      <c r="I565" t="s">
        <v>1748</v>
      </c>
      <c r="J565" t="s">
        <v>771</v>
      </c>
      <c r="K565">
        <v>0</v>
      </c>
      <c r="L565">
        <v>2</v>
      </c>
      <c r="M565" t="s">
        <v>1021</v>
      </c>
      <c r="O565" t="s">
        <v>1651</v>
      </c>
      <c r="P565" t="s">
        <v>1646</v>
      </c>
      <c r="Q565">
        <v>38100</v>
      </c>
      <c r="R565" t="s">
        <v>1157</v>
      </c>
      <c r="S565" t="str">
        <f>VLOOKUP(J565,Teams!A:B,2,FALSE)</f>
        <v>COL</v>
      </c>
      <c r="T565" t="str">
        <f>VLOOKUP(M565,Teams!A:B,2,FALSE)</f>
        <v>ENG</v>
      </c>
    </row>
    <row r="566" spans="1:20" x14ac:dyDescent="0.25">
      <c r="A566" t="str">
        <f t="shared" si="9"/>
        <v>FIFAWC1998-49</v>
      </c>
      <c r="B566" s="4">
        <v>49</v>
      </c>
      <c r="C566" s="3">
        <v>35973</v>
      </c>
      <c r="D566" s="7">
        <v>0.89583333333333337</v>
      </c>
      <c r="E566">
        <v>1998</v>
      </c>
      <c r="F566" t="s">
        <v>1734</v>
      </c>
      <c r="G566" t="s">
        <v>1741</v>
      </c>
      <c r="H566" t="s">
        <v>1759</v>
      </c>
      <c r="I566" t="s">
        <v>1138</v>
      </c>
      <c r="J566" t="s">
        <v>817</v>
      </c>
      <c r="K566">
        <v>1</v>
      </c>
      <c r="L566">
        <v>0</v>
      </c>
      <c r="M566" t="s">
        <v>84</v>
      </c>
      <c r="O566" t="s">
        <v>1167</v>
      </c>
      <c r="P566" t="s">
        <v>1653</v>
      </c>
      <c r="Q566">
        <v>55000</v>
      </c>
      <c r="R566" t="s">
        <v>1157</v>
      </c>
      <c r="S566" t="str">
        <f>VLOOKUP(J566,Teams!A:B,2,FALSE)</f>
        <v>ITA</v>
      </c>
      <c r="T566" t="str">
        <f>VLOOKUP(M566,Teams!A:B,2,FALSE)</f>
        <v>NOR</v>
      </c>
    </row>
    <row r="567" spans="1:20" x14ac:dyDescent="0.25">
      <c r="A567" t="str">
        <f t="shared" si="9"/>
        <v>FIFAWC1998-50</v>
      </c>
      <c r="B567" s="4">
        <v>50</v>
      </c>
      <c r="C567" s="3">
        <v>35974</v>
      </c>
      <c r="D567" s="7">
        <v>8.3333333333333329E-2</v>
      </c>
      <c r="E567">
        <v>1998</v>
      </c>
      <c r="F567" t="s">
        <v>1734</v>
      </c>
      <c r="G567" t="s">
        <v>1741</v>
      </c>
      <c r="H567" t="s">
        <v>1759</v>
      </c>
      <c r="I567" t="s">
        <v>1138</v>
      </c>
      <c r="J567" t="s">
        <v>760</v>
      </c>
      <c r="K567">
        <v>4</v>
      </c>
      <c r="L567">
        <v>1</v>
      </c>
      <c r="M567" t="s">
        <v>768</v>
      </c>
      <c r="O567" t="s">
        <v>1165</v>
      </c>
      <c r="P567" t="s">
        <v>1652</v>
      </c>
      <c r="Q567">
        <v>45000</v>
      </c>
      <c r="R567" t="s">
        <v>1157</v>
      </c>
      <c r="S567" t="str">
        <f>VLOOKUP(J567,Teams!A:B,2,FALSE)</f>
        <v>BRA</v>
      </c>
      <c r="T567" t="str">
        <f>VLOOKUP(M567,Teams!A:B,2,FALSE)</f>
        <v>CHI</v>
      </c>
    </row>
    <row r="568" spans="1:20" x14ac:dyDescent="0.25">
      <c r="A568" t="str">
        <f t="shared" si="9"/>
        <v>FIFAWC1998-51</v>
      </c>
      <c r="B568" s="4">
        <v>51</v>
      </c>
      <c r="C568" s="3">
        <v>35974</v>
      </c>
      <c r="D568" s="7">
        <v>0.89583333333333337</v>
      </c>
      <c r="E568">
        <v>1998</v>
      </c>
      <c r="F568" t="s">
        <v>1734</v>
      </c>
      <c r="G568" t="s">
        <v>1741</v>
      </c>
      <c r="H568" t="s">
        <v>1759</v>
      </c>
      <c r="I568" t="s">
        <v>1138</v>
      </c>
      <c r="J568" t="s">
        <v>224</v>
      </c>
      <c r="K568">
        <v>1</v>
      </c>
      <c r="L568">
        <v>0</v>
      </c>
      <c r="M568" t="s">
        <v>866</v>
      </c>
      <c r="O568" t="s">
        <v>1651</v>
      </c>
      <c r="P568" t="s">
        <v>1627</v>
      </c>
      <c r="Q568">
        <v>38100</v>
      </c>
      <c r="R568" t="s">
        <v>1157</v>
      </c>
      <c r="S568" t="str">
        <f>VLOOKUP(J568,Teams!A:B,2,FALSE)</f>
        <v>FRA</v>
      </c>
      <c r="T568" t="str">
        <f>VLOOKUP(M568,Teams!A:B,2,FALSE)</f>
        <v>PAR</v>
      </c>
    </row>
    <row r="569" spans="1:20" x14ac:dyDescent="0.25">
      <c r="A569" t="str">
        <f t="shared" si="9"/>
        <v>FIFAWC1998-52</v>
      </c>
      <c r="B569" s="4">
        <v>52</v>
      </c>
      <c r="C569" s="3">
        <v>35975</v>
      </c>
      <c r="D569" s="7">
        <v>8.3333333333333329E-2</v>
      </c>
      <c r="E569">
        <v>1998</v>
      </c>
      <c r="F569" t="s">
        <v>1734</v>
      </c>
      <c r="G569" t="s">
        <v>1741</v>
      </c>
      <c r="H569" t="s">
        <v>1759</v>
      </c>
      <c r="I569" t="s">
        <v>1138</v>
      </c>
      <c r="J569" t="s">
        <v>857</v>
      </c>
      <c r="K569">
        <v>1</v>
      </c>
      <c r="L569">
        <v>4</v>
      </c>
      <c r="M569" t="s">
        <v>211</v>
      </c>
      <c r="O569" t="s">
        <v>1641</v>
      </c>
      <c r="P569" t="s">
        <v>1600</v>
      </c>
      <c r="Q569">
        <v>77000</v>
      </c>
      <c r="R569" t="s">
        <v>1157</v>
      </c>
      <c r="S569" t="str">
        <f>VLOOKUP(J569,Teams!A:B,2,FALSE)</f>
        <v>NGA</v>
      </c>
      <c r="T569" t="str">
        <f>VLOOKUP(M569,Teams!A:B,2,FALSE)</f>
        <v>DEN</v>
      </c>
    </row>
    <row r="570" spans="1:20" x14ac:dyDescent="0.25">
      <c r="A570" t="str">
        <f t="shared" si="9"/>
        <v>FIFAWC1998-53</v>
      </c>
      <c r="B570" s="4">
        <v>53</v>
      </c>
      <c r="C570" s="3">
        <v>35975</v>
      </c>
      <c r="D570" s="7">
        <v>0.89583333333333337</v>
      </c>
      <c r="E570">
        <v>1998</v>
      </c>
      <c r="F570" t="s">
        <v>1734</v>
      </c>
      <c r="G570" t="s">
        <v>1741</v>
      </c>
      <c r="H570" t="s">
        <v>1759</v>
      </c>
      <c r="I570" t="s">
        <v>1138</v>
      </c>
      <c r="J570" t="s">
        <v>797</v>
      </c>
      <c r="K570">
        <v>2</v>
      </c>
      <c r="L570">
        <v>1</v>
      </c>
      <c r="M570" t="s">
        <v>845</v>
      </c>
      <c r="O570" t="s">
        <v>1650</v>
      </c>
      <c r="P570" t="s">
        <v>1614</v>
      </c>
      <c r="Q570">
        <v>29800</v>
      </c>
      <c r="R570" t="s">
        <v>1157</v>
      </c>
      <c r="S570" t="str">
        <f>VLOOKUP(J570,Teams!A:B,2,FALSE)</f>
        <v>GER</v>
      </c>
      <c r="T570" t="str">
        <f>VLOOKUP(M570,Teams!A:B,2,FALSE)</f>
        <v>MEX</v>
      </c>
    </row>
    <row r="571" spans="1:20" x14ac:dyDescent="0.25">
      <c r="A571" t="str">
        <f t="shared" si="9"/>
        <v>FIFAWC1998-54</v>
      </c>
      <c r="B571" s="4">
        <v>54</v>
      </c>
      <c r="C571" s="3">
        <v>35976</v>
      </c>
      <c r="D571" s="7">
        <v>8.3333333333333329E-2</v>
      </c>
      <c r="E571">
        <v>1998</v>
      </c>
      <c r="F571" t="s">
        <v>1734</v>
      </c>
      <c r="G571" t="s">
        <v>1741</v>
      </c>
      <c r="H571" t="s">
        <v>1759</v>
      </c>
      <c r="I571" t="s">
        <v>1138</v>
      </c>
      <c r="J571" t="s">
        <v>33</v>
      </c>
      <c r="K571">
        <v>2</v>
      </c>
      <c r="L571">
        <v>1</v>
      </c>
      <c r="M571" t="s">
        <v>1234</v>
      </c>
      <c r="O571" t="s">
        <v>1511</v>
      </c>
      <c r="P571" t="s">
        <v>1643</v>
      </c>
      <c r="Q571">
        <v>33500</v>
      </c>
      <c r="R571" t="s">
        <v>1157</v>
      </c>
      <c r="S571" t="str">
        <f>VLOOKUP(J571,Teams!A:B,2,FALSE)</f>
        <v>NED</v>
      </c>
      <c r="T571" t="str">
        <f>VLOOKUP(M571,Teams!A:B,2,FALSE)</f>
        <v>YUG</v>
      </c>
    </row>
    <row r="572" spans="1:20" x14ac:dyDescent="0.25">
      <c r="A572" t="str">
        <f t="shared" si="9"/>
        <v>FIFAWC1998-55</v>
      </c>
      <c r="B572" s="4">
        <v>55</v>
      </c>
      <c r="C572" s="3">
        <v>35976</v>
      </c>
      <c r="D572" s="7">
        <v>0.89583333333333337</v>
      </c>
      <c r="E572">
        <v>1998</v>
      </c>
      <c r="F572" t="s">
        <v>1734</v>
      </c>
      <c r="G572" t="s">
        <v>1741</v>
      </c>
      <c r="H572" t="s">
        <v>1759</v>
      </c>
      <c r="I572" t="s">
        <v>1138</v>
      </c>
      <c r="J572" t="s">
        <v>539</v>
      </c>
      <c r="K572">
        <v>0</v>
      </c>
      <c r="L572">
        <v>1</v>
      </c>
      <c r="M572" t="s">
        <v>775</v>
      </c>
      <c r="O572" t="s">
        <v>1504</v>
      </c>
      <c r="P572" t="s">
        <v>1649</v>
      </c>
      <c r="Q572">
        <v>31800</v>
      </c>
      <c r="R572" t="s">
        <v>1157</v>
      </c>
      <c r="S572" t="str">
        <f>VLOOKUP(J572,Teams!A:B,2,FALSE)</f>
        <v>ROU</v>
      </c>
      <c r="T572" t="str">
        <f>VLOOKUP(M572,Teams!A:B,2,FALSE)</f>
        <v>CRO</v>
      </c>
    </row>
    <row r="573" spans="1:20" x14ac:dyDescent="0.25">
      <c r="A573" t="str">
        <f t="shared" si="9"/>
        <v>FIFAWC1998-56</v>
      </c>
      <c r="B573" s="4">
        <v>56</v>
      </c>
      <c r="C573" s="3">
        <v>35977</v>
      </c>
      <c r="D573" s="7">
        <v>8.3333333333333329E-2</v>
      </c>
      <c r="E573">
        <v>1998</v>
      </c>
      <c r="F573" t="s">
        <v>1734</v>
      </c>
      <c r="G573" t="s">
        <v>1741</v>
      </c>
      <c r="H573" t="s">
        <v>1759</v>
      </c>
      <c r="I573" t="s">
        <v>1138</v>
      </c>
      <c r="J573" t="s">
        <v>749</v>
      </c>
      <c r="K573">
        <v>2</v>
      </c>
      <c r="L573">
        <v>2</v>
      </c>
      <c r="M573" t="s">
        <v>1021</v>
      </c>
      <c r="O573" t="s">
        <v>1648</v>
      </c>
      <c r="P573" t="s">
        <v>1164</v>
      </c>
      <c r="Q573">
        <v>30600</v>
      </c>
      <c r="R573" t="s">
        <v>1157</v>
      </c>
      <c r="S573" t="str">
        <f>VLOOKUP(J573,Teams!A:B,2,FALSE)</f>
        <v>ARG</v>
      </c>
      <c r="T573" t="str">
        <f>VLOOKUP(M573,Teams!A:B,2,FALSE)</f>
        <v>ENG</v>
      </c>
    </row>
    <row r="574" spans="1:20" x14ac:dyDescent="0.25">
      <c r="A574" t="str">
        <f t="shared" si="9"/>
        <v>FIFAWC1998-57</v>
      </c>
      <c r="B574" s="4">
        <v>57</v>
      </c>
      <c r="C574" s="3">
        <v>35979</v>
      </c>
      <c r="D574" s="7">
        <v>0.89583333333333337</v>
      </c>
      <c r="E574">
        <v>1998</v>
      </c>
      <c r="F574" t="s">
        <v>1734</v>
      </c>
      <c r="G574" t="s">
        <v>1741</v>
      </c>
      <c r="H574" t="s">
        <v>1759</v>
      </c>
      <c r="I574" t="s">
        <v>1139</v>
      </c>
      <c r="J574" t="s">
        <v>817</v>
      </c>
      <c r="K574">
        <v>0</v>
      </c>
      <c r="L574">
        <v>0</v>
      </c>
      <c r="M574" t="s">
        <v>224</v>
      </c>
      <c r="O574" t="s">
        <v>1641</v>
      </c>
      <c r="P574" t="s">
        <v>1605</v>
      </c>
      <c r="Q574">
        <v>77000</v>
      </c>
      <c r="R574" t="s">
        <v>1157</v>
      </c>
      <c r="S574" t="str">
        <f>VLOOKUP(J574,Teams!A:B,2,FALSE)</f>
        <v>ITA</v>
      </c>
      <c r="T574" t="str">
        <f>VLOOKUP(M574,Teams!A:B,2,FALSE)</f>
        <v>FRA</v>
      </c>
    </row>
    <row r="575" spans="1:20" x14ac:dyDescent="0.25">
      <c r="A575" t="str">
        <f t="shared" si="9"/>
        <v>FIFAWC1998-58</v>
      </c>
      <c r="B575" s="4">
        <v>58</v>
      </c>
      <c r="C575" s="3">
        <v>35980</v>
      </c>
      <c r="D575" s="7">
        <v>8.3333333333333329E-2</v>
      </c>
      <c r="E575">
        <v>1998</v>
      </c>
      <c r="F575" t="s">
        <v>1734</v>
      </c>
      <c r="G575" t="s">
        <v>1741</v>
      </c>
      <c r="H575" t="s">
        <v>1759</v>
      </c>
      <c r="I575" t="s">
        <v>1139</v>
      </c>
      <c r="J575" t="s">
        <v>760</v>
      </c>
      <c r="K575">
        <v>3</v>
      </c>
      <c r="L575">
        <v>2</v>
      </c>
      <c r="M575" t="s">
        <v>211</v>
      </c>
      <c r="O575" t="s">
        <v>1647</v>
      </c>
      <c r="P575" t="s">
        <v>1603</v>
      </c>
      <c r="Q575">
        <v>35500</v>
      </c>
      <c r="R575" t="s">
        <v>1157</v>
      </c>
      <c r="S575" t="str">
        <f>VLOOKUP(J575,Teams!A:B,2,FALSE)</f>
        <v>BRA</v>
      </c>
      <c r="T575" t="str">
        <f>VLOOKUP(M575,Teams!A:B,2,FALSE)</f>
        <v>DEN</v>
      </c>
    </row>
    <row r="576" spans="1:20" x14ac:dyDescent="0.25">
      <c r="A576" t="str">
        <f t="shared" si="9"/>
        <v>FIFAWC1998-59</v>
      </c>
      <c r="B576" s="4">
        <v>59</v>
      </c>
      <c r="C576" s="3">
        <v>35980</v>
      </c>
      <c r="D576" s="7">
        <v>0.89583333333333337</v>
      </c>
      <c r="E576">
        <v>1998</v>
      </c>
      <c r="F576" t="s">
        <v>1734</v>
      </c>
      <c r="G576" t="s">
        <v>1741</v>
      </c>
      <c r="H576" t="s">
        <v>1759</v>
      </c>
      <c r="I576" t="s">
        <v>1139</v>
      </c>
      <c r="J576" t="s">
        <v>33</v>
      </c>
      <c r="K576">
        <v>2</v>
      </c>
      <c r="L576">
        <v>1</v>
      </c>
      <c r="M576" t="s">
        <v>749</v>
      </c>
      <c r="O576" t="s">
        <v>1167</v>
      </c>
      <c r="P576" t="s">
        <v>1646</v>
      </c>
      <c r="Q576">
        <v>55000</v>
      </c>
      <c r="R576" t="s">
        <v>1157</v>
      </c>
      <c r="S576" t="str">
        <f>VLOOKUP(J576,Teams!A:B,2,FALSE)</f>
        <v>NED</v>
      </c>
      <c r="T576" t="str">
        <f>VLOOKUP(M576,Teams!A:B,2,FALSE)</f>
        <v>ARG</v>
      </c>
    </row>
    <row r="577" spans="1:20" x14ac:dyDescent="0.25">
      <c r="A577" t="str">
        <f t="shared" si="9"/>
        <v>FIFAWC1998-60</v>
      </c>
      <c r="B577" s="4">
        <v>60</v>
      </c>
      <c r="C577" s="3">
        <v>35981</v>
      </c>
      <c r="D577" s="7">
        <v>8.3333333333333329E-2</v>
      </c>
      <c r="E577">
        <v>1998</v>
      </c>
      <c r="F577" t="s">
        <v>1734</v>
      </c>
      <c r="G577" t="s">
        <v>1741</v>
      </c>
      <c r="H577" t="s">
        <v>1759</v>
      </c>
      <c r="I577" t="s">
        <v>1139</v>
      </c>
      <c r="J577" t="s">
        <v>797</v>
      </c>
      <c r="K577">
        <v>0</v>
      </c>
      <c r="L577">
        <v>3</v>
      </c>
      <c r="M577" t="s">
        <v>775</v>
      </c>
      <c r="O577" t="s">
        <v>1644</v>
      </c>
      <c r="P577" t="s">
        <v>1645</v>
      </c>
      <c r="Q577">
        <v>39100</v>
      </c>
      <c r="R577" t="s">
        <v>1157</v>
      </c>
      <c r="S577" t="str">
        <f>VLOOKUP(J577,Teams!A:B,2,FALSE)</f>
        <v>GER</v>
      </c>
      <c r="T577" t="str">
        <f>VLOOKUP(M577,Teams!A:B,2,FALSE)</f>
        <v>CRO</v>
      </c>
    </row>
    <row r="578" spans="1:20" x14ac:dyDescent="0.25">
      <c r="A578" t="str">
        <f t="shared" si="9"/>
        <v>FIFAWC1998-61</v>
      </c>
      <c r="B578" s="4">
        <v>61</v>
      </c>
      <c r="C578" s="3">
        <v>35984</v>
      </c>
      <c r="D578" s="7">
        <v>8.3333333333333329E-2</v>
      </c>
      <c r="E578">
        <v>1998</v>
      </c>
      <c r="F578" t="s">
        <v>1734</v>
      </c>
      <c r="G578" t="s">
        <v>1741</v>
      </c>
      <c r="H578" t="s">
        <v>1759</v>
      </c>
      <c r="I578" t="s">
        <v>1140</v>
      </c>
      <c r="J578" t="s">
        <v>760</v>
      </c>
      <c r="K578">
        <v>1</v>
      </c>
      <c r="L578">
        <v>1</v>
      </c>
      <c r="M578" t="s">
        <v>33</v>
      </c>
      <c r="N578" t="s">
        <v>1775</v>
      </c>
      <c r="O578" t="s">
        <v>1167</v>
      </c>
      <c r="P578" t="s">
        <v>1627</v>
      </c>
      <c r="Q578">
        <v>54000</v>
      </c>
      <c r="R578" t="s">
        <v>1157</v>
      </c>
      <c r="S578" t="str">
        <f>VLOOKUP(J578,Teams!A:B,2,FALSE)</f>
        <v>BRA</v>
      </c>
      <c r="T578" t="str">
        <f>VLOOKUP(M578,Teams!A:B,2,FALSE)</f>
        <v>NED</v>
      </c>
    </row>
    <row r="579" spans="1:20" x14ac:dyDescent="0.25">
      <c r="A579" t="str">
        <f t="shared" si="9"/>
        <v>FIFAWC1998-62</v>
      </c>
      <c r="B579" s="4">
        <v>62</v>
      </c>
      <c r="C579" s="3">
        <v>35985</v>
      </c>
      <c r="D579" s="7">
        <v>8.3333333333333329E-2</v>
      </c>
      <c r="E579">
        <v>1998</v>
      </c>
      <c r="F579" t="s">
        <v>1734</v>
      </c>
      <c r="G579" t="s">
        <v>1741</v>
      </c>
      <c r="H579" t="s">
        <v>1759</v>
      </c>
      <c r="I579" t="s">
        <v>1140</v>
      </c>
      <c r="J579" t="s">
        <v>224</v>
      </c>
      <c r="K579">
        <v>2</v>
      </c>
      <c r="L579">
        <v>1</v>
      </c>
      <c r="M579" t="s">
        <v>775</v>
      </c>
      <c r="O579" t="s">
        <v>1641</v>
      </c>
      <c r="P579" t="s">
        <v>1643</v>
      </c>
      <c r="Q579">
        <v>76000</v>
      </c>
      <c r="R579" t="s">
        <v>1157</v>
      </c>
      <c r="S579" t="str">
        <f>VLOOKUP(J579,Teams!A:B,2,FALSE)</f>
        <v>FRA</v>
      </c>
      <c r="T579" t="str">
        <f>VLOOKUP(M579,Teams!A:B,2,FALSE)</f>
        <v>CRO</v>
      </c>
    </row>
    <row r="580" spans="1:20" x14ac:dyDescent="0.25">
      <c r="A580" t="str">
        <f t="shared" si="9"/>
        <v>FIFAWC1998-63</v>
      </c>
      <c r="B580" s="4">
        <v>63</v>
      </c>
      <c r="C580" s="3">
        <v>35988</v>
      </c>
      <c r="D580" s="7">
        <v>8.3333333333333329E-2</v>
      </c>
      <c r="E580">
        <v>1998</v>
      </c>
      <c r="F580" t="s">
        <v>1734</v>
      </c>
      <c r="G580" t="s">
        <v>1741</v>
      </c>
      <c r="H580" t="s">
        <v>1759</v>
      </c>
      <c r="I580" t="s">
        <v>1018</v>
      </c>
      <c r="J580" t="s">
        <v>33</v>
      </c>
      <c r="K580">
        <v>1</v>
      </c>
      <c r="L580">
        <v>2</v>
      </c>
      <c r="M580" t="s">
        <v>775</v>
      </c>
      <c r="O580" t="s">
        <v>1165</v>
      </c>
      <c r="P580" t="s">
        <v>1166</v>
      </c>
      <c r="Q580">
        <v>45500</v>
      </c>
      <c r="R580" t="s">
        <v>1157</v>
      </c>
      <c r="S580" t="str">
        <f>VLOOKUP(J580,Teams!A:B,2,FALSE)</f>
        <v>NED</v>
      </c>
      <c r="T580" t="str">
        <f>VLOOKUP(M580,Teams!A:B,2,FALSE)</f>
        <v>CRO</v>
      </c>
    </row>
    <row r="581" spans="1:20" x14ac:dyDescent="0.25">
      <c r="A581" t="str">
        <f t="shared" si="9"/>
        <v>FIFAWC1998-64</v>
      </c>
      <c r="B581" s="4">
        <v>64</v>
      </c>
      <c r="C581" s="3">
        <v>35989</v>
      </c>
      <c r="D581" s="7">
        <v>8.3333333333333329E-2</v>
      </c>
      <c r="E581">
        <v>1998</v>
      </c>
      <c r="F581" t="s">
        <v>1734</v>
      </c>
      <c r="G581" t="s">
        <v>1741</v>
      </c>
      <c r="H581" t="s">
        <v>1759</v>
      </c>
      <c r="I581" t="s">
        <v>1141</v>
      </c>
      <c r="J581" t="s">
        <v>760</v>
      </c>
      <c r="K581">
        <v>0</v>
      </c>
      <c r="L581">
        <v>3</v>
      </c>
      <c r="M581" t="s">
        <v>224</v>
      </c>
      <c r="O581" t="s">
        <v>1641</v>
      </c>
      <c r="P581" t="s">
        <v>1642</v>
      </c>
      <c r="Q581">
        <v>80000</v>
      </c>
      <c r="R581" t="s">
        <v>1157</v>
      </c>
      <c r="S581" t="str">
        <f>VLOOKUP(J581,Teams!A:B,2,FALSE)</f>
        <v>BRA</v>
      </c>
      <c r="T581" t="str">
        <f>VLOOKUP(M581,Teams!A:B,2,FALSE)</f>
        <v>FRA</v>
      </c>
    </row>
    <row r="582" spans="1:20" x14ac:dyDescent="0.25">
      <c r="A582" t="str">
        <f t="shared" si="9"/>
        <v>FIFAWC2002-1</v>
      </c>
      <c r="B582" s="4">
        <v>1</v>
      </c>
      <c r="C582" s="3">
        <v>37407</v>
      </c>
      <c r="D582" s="7">
        <v>0.77083333333333337</v>
      </c>
      <c r="E582">
        <v>2002</v>
      </c>
      <c r="F582" t="s">
        <v>1735</v>
      </c>
      <c r="G582" t="s">
        <v>1741</v>
      </c>
      <c r="H582" t="s">
        <v>1122</v>
      </c>
      <c r="I582" t="s">
        <v>1743</v>
      </c>
      <c r="J582" t="s">
        <v>224</v>
      </c>
      <c r="K582">
        <v>0</v>
      </c>
      <c r="L582">
        <v>1</v>
      </c>
      <c r="M582" t="s">
        <v>883</v>
      </c>
      <c r="O582" t="s">
        <v>1599</v>
      </c>
      <c r="P582" t="s">
        <v>1627</v>
      </c>
      <c r="Q582">
        <v>62561</v>
      </c>
      <c r="R582" t="s">
        <v>1157</v>
      </c>
      <c r="S582" t="str">
        <f>VLOOKUP(J582,Teams!A:B,2,FALSE)</f>
        <v>FRA</v>
      </c>
      <c r="T582" t="str">
        <f>VLOOKUP(M582,Teams!A:B,2,FALSE)</f>
        <v>SEN</v>
      </c>
    </row>
    <row r="583" spans="1:20" x14ac:dyDescent="0.25">
      <c r="A583" t="str">
        <f>F583&amp;"-"&amp;B583</f>
        <v>FIFAWC2002-2</v>
      </c>
      <c r="B583" s="4">
        <v>2</v>
      </c>
      <c r="C583" s="3">
        <v>37408</v>
      </c>
      <c r="D583" s="7">
        <v>0.5625</v>
      </c>
      <c r="E583">
        <v>2002</v>
      </c>
      <c r="F583" t="s">
        <v>1735</v>
      </c>
      <c r="G583" t="s">
        <v>1741</v>
      </c>
      <c r="H583" t="s">
        <v>1122</v>
      </c>
      <c r="I583" t="s">
        <v>1746</v>
      </c>
      <c r="J583" t="s">
        <v>1109</v>
      </c>
      <c r="K583">
        <v>1</v>
      </c>
      <c r="L583">
        <v>1</v>
      </c>
      <c r="M583" t="s">
        <v>764</v>
      </c>
      <c r="O583" t="s">
        <v>1619</v>
      </c>
      <c r="P583" t="s">
        <v>1572</v>
      </c>
      <c r="Q583">
        <v>33679</v>
      </c>
      <c r="R583" t="s">
        <v>1157</v>
      </c>
      <c r="S583" t="str">
        <f>VLOOKUP(J583,Teams!A:B,2,FALSE)</f>
        <v>IRL</v>
      </c>
      <c r="T583" t="str">
        <f>VLOOKUP(M583,Teams!A:B,2,FALSE)</f>
        <v>CMR</v>
      </c>
    </row>
    <row r="584" spans="1:20" x14ac:dyDescent="0.25">
      <c r="A584" t="str">
        <f t="shared" si="9"/>
        <v>FIFAWC2002-3</v>
      </c>
      <c r="B584" s="4">
        <v>3</v>
      </c>
      <c r="C584" s="3">
        <v>37408</v>
      </c>
      <c r="D584" s="7">
        <v>0.66666666666666663</v>
      </c>
      <c r="E584">
        <v>2002</v>
      </c>
      <c r="F584" t="s">
        <v>1735</v>
      </c>
      <c r="G584" t="s">
        <v>1741</v>
      </c>
      <c r="H584" t="s">
        <v>1122</v>
      </c>
      <c r="I584" t="s">
        <v>1743</v>
      </c>
      <c r="J584" t="s">
        <v>916</v>
      </c>
      <c r="K584">
        <v>1</v>
      </c>
      <c r="L584">
        <v>2</v>
      </c>
      <c r="M584" t="s">
        <v>211</v>
      </c>
      <c r="O584" t="s">
        <v>1604</v>
      </c>
      <c r="P584" t="s">
        <v>1597</v>
      </c>
      <c r="Q584">
        <v>30157</v>
      </c>
      <c r="R584" t="s">
        <v>1157</v>
      </c>
      <c r="S584" t="str">
        <f>VLOOKUP(J584,Teams!A:B,2,FALSE)</f>
        <v>URU</v>
      </c>
      <c r="T584" t="str">
        <f>VLOOKUP(M584,Teams!A:B,2,FALSE)</f>
        <v>DEN</v>
      </c>
    </row>
    <row r="585" spans="1:20" x14ac:dyDescent="0.25">
      <c r="A585" t="str">
        <f t="shared" si="9"/>
        <v>FIFAWC2002-4</v>
      </c>
      <c r="B585" s="4">
        <v>4</v>
      </c>
      <c r="C585" s="3">
        <v>37408</v>
      </c>
      <c r="D585" s="7">
        <v>0.77083333333333337</v>
      </c>
      <c r="E585">
        <v>2002</v>
      </c>
      <c r="F585" t="s">
        <v>1735</v>
      </c>
      <c r="G585" t="s">
        <v>1741</v>
      </c>
      <c r="H585" t="s">
        <v>1122</v>
      </c>
      <c r="I585" t="s">
        <v>1746</v>
      </c>
      <c r="J585" t="s">
        <v>797</v>
      </c>
      <c r="K585">
        <v>8</v>
      </c>
      <c r="L585">
        <v>0</v>
      </c>
      <c r="M585" t="s">
        <v>882</v>
      </c>
      <c r="O585" t="s">
        <v>1634</v>
      </c>
      <c r="P585" t="s">
        <v>1618</v>
      </c>
      <c r="Q585">
        <v>32218</v>
      </c>
      <c r="R585" t="s">
        <v>1157</v>
      </c>
      <c r="S585" t="str">
        <f>VLOOKUP(J585,Teams!A:B,2,FALSE)</f>
        <v>GER</v>
      </c>
      <c r="T585" t="str">
        <f>VLOOKUP(M585,Teams!A:B,2,FALSE)</f>
        <v>KSA</v>
      </c>
    </row>
    <row r="586" spans="1:20" x14ac:dyDescent="0.25">
      <c r="A586" t="str">
        <f>F586&amp;"-"&amp;B586</f>
        <v>FIFAWC2002-5</v>
      </c>
      <c r="B586" s="4">
        <v>5</v>
      </c>
      <c r="C586" s="3">
        <v>37409</v>
      </c>
      <c r="D586" s="7">
        <v>0.52083333333333337</v>
      </c>
      <c r="E586">
        <v>2002</v>
      </c>
      <c r="F586" t="s">
        <v>1735</v>
      </c>
      <c r="G586" t="s">
        <v>1741</v>
      </c>
      <c r="H586" t="s">
        <v>1122</v>
      </c>
      <c r="I586" t="s">
        <v>1747</v>
      </c>
      <c r="J586" t="s">
        <v>749</v>
      </c>
      <c r="K586">
        <v>1</v>
      </c>
      <c r="L586">
        <v>0</v>
      </c>
      <c r="M586" t="s">
        <v>857</v>
      </c>
      <c r="O586" t="s">
        <v>1633</v>
      </c>
      <c r="P586" t="s">
        <v>1621</v>
      </c>
      <c r="Q586">
        <v>34050</v>
      </c>
      <c r="R586" t="s">
        <v>1157</v>
      </c>
      <c r="S586" t="str">
        <f>VLOOKUP(J586,Teams!A:B,2,FALSE)</f>
        <v>ARG</v>
      </c>
      <c r="T586" t="str">
        <f>VLOOKUP(M586,Teams!A:B,2,FALSE)</f>
        <v>NGA</v>
      </c>
    </row>
    <row r="587" spans="1:20" x14ac:dyDescent="0.25">
      <c r="A587" t="str">
        <f t="shared" si="9"/>
        <v>FIFAWC2002-6</v>
      </c>
      <c r="B587" s="4">
        <v>6</v>
      </c>
      <c r="C587" s="3">
        <v>37409</v>
      </c>
      <c r="D587" s="7">
        <v>0.60416666666666663</v>
      </c>
      <c r="E587">
        <v>2002</v>
      </c>
      <c r="F587" t="s">
        <v>1735</v>
      </c>
      <c r="G587" t="s">
        <v>1741</v>
      </c>
      <c r="H587" t="s">
        <v>1122</v>
      </c>
      <c r="I587" t="s">
        <v>1742</v>
      </c>
      <c r="J587" t="s">
        <v>866</v>
      </c>
      <c r="K587">
        <v>2</v>
      </c>
      <c r="L587">
        <v>2</v>
      </c>
      <c r="M587" t="s">
        <v>893</v>
      </c>
      <c r="O587" t="s">
        <v>1637</v>
      </c>
      <c r="P587" t="s">
        <v>1577</v>
      </c>
      <c r="Q587">
        <v>25186</v>
      </c>
      <c r="R587" t="s">
        <v>1157</v>
      </c>
      <c r="S587" t="str">
        <f>VLOOKUP(J587,Teams!A:B,2,FALSE)</f>
        <v>PAR</v>
      </c>
      <c r="T587" t="str">
        <f>VLOOKUP(M587,Teams!A:B,2,FALSE)</f>
        <v>RSA</v>
      </c>
    </row>
    <row r="588" spans="1:20" x14ac:dyDescent="0.25">
      <c r="A588" t="str">
        <f>F588&amp;"-"&amp;B588</f>
        <v>FIFAWC2002-7</v>
      </c>
      <c r="B588" s="4">
        <v>7</v>
      </c>
      <c r="C588" s="3">
        <v>37409</v>
      </c>
      <c r="D588" s="7">
        <v>0.6875</v>
      </c>
      <c r="E588">
        <v>2002</v>
      </c>
      <c r="F588" t="s">
        <v>1735</v>
      </c>
      <c r="G588" t="s">
        <v>1741</v>
      </c>
      <c r="H588" t="s">
        <v>1122</v>
      </c>
      <c r="I588" t="s">
        <v>1747</v>
      </c>
      <c r="J588" t="s">
        <v>1021</v>
      </c>
      <c r="K588">
        <v>1</v>
      </c>
      <c r="L588">
        <v>1</v>
      </c>
      <c r="M588" t="s">
        <v>900</v>
      </c>
      <c r="O588" t="s">
        <v>1598</v>
      </c>
      <c r="P588" t="s">
        <v>1162</v>
      </c>
      <c r="Q588">
        <v>52721</v>
      </c>
      <c r="R588" t="s">
        <v>1157</v>
      </c>
      <c r="S588" t="str">
        <f>VLOOKUP(J588,Teams!A:B,2,FALSE)</f>
        <v>ENG</v>
      </c>
      <c r="T588" t="str">
        <f>VLOOKUP(M588,Teams!A:B,2,FALSE)</f>
        <v>SWE</v>
      </c>
    </row>
    <row r="589" spans="1:20" x14ac:dyDescent="0.25">
      <c r="A589" t="str">
        <f t="shared" si="9"/>
        <v>FIFAWC2002-8</v>
      </c>
      <c r="B589" s="4">
        <v>8</v>
      </c>
      <c r="C589" s="3">
        <v>37409</v>
      </c>
      <c r="D589" s="7">
        <v>0.77083333333333337</v>
      </c>
      <c r="E589">
        <v>2002</v>
      </c>
      <c r="F589" t="s">
        <v>1735</v>
      </c>
      <c r="G589" t="s">
        <v>1741</v>
      </c>
      <c r="H589" t="s">
        <v>1122</v>
      </c>
      <c r="I589" t="s">
        <v>1742</v>
      </c>
      <c r="J589" t="s">
        <v>895</v>
      </c>
      <c r="K589">
        <v>3</v>
      </c>
      <c r="L589">
        <v>1</v>
      </c>
      <c r="M589" t="s">
        <v>890</v>
      </c>
      <c r="O589" t="s">
        <v>1602</v>
      </c>
      <c r="P589" t="s">
        <v>1640</v>
      </c>
      <c r="Q589">
        <v>28598</v>
      </c>
      <c r="R589" t="s">
        <v>1157</v>
      </c>
      <c r="S589" t="str">
        <f>VLOOKUP(J589,Teams!A:B,2,FALSE)</f>
        <v>ESP</v>
      </c>
      <c r="T589" t="str">
        <f>VLOOKUP(M589,Teams!A:B,2,FALSE)</f>
        <v>SVN</v>
      </c>
    </row>
    <row r="590" spans="1:20" x14ac:dyDescent="0.25">
      <c r="A590" t="str">
        <f>F590&amp;"-"&amp;B590</f>
        <v>FIFAWC2002-9</v>
      </c>
      <c r="B590" s="4">
        <v>9</v>
      </c>
      <c r="C590" s="3">
        <v>37410</v>
      </c>
      <c r="D590" s="7">
        <v>0.5625</v>
      </c>
      <c r="E590">
        <v>2002</v>
      </c>
      <c r="F590" t="s">
        <v>1735</v>
      </c>
      <c r="G590" t="s">
        <v>1741</v>
      </c>
      <c r="H590" t="s">
        <v>1122</v>
      </c>
      <c r="I590" t="s">
        <v>1748</v>
      </c>
      <c r="J590" t="s">
        <v>775</v>
      </c>
      <c r="K590">
        <v>0</v>
      </c>
      <c r="L590">
        <v>1</v>
      </c>
      <c r="M590" t="s">
        <v>845</v>
      </c>
      <c r="O590" t="s">
        <v>1619</v>
      </c>
      <c r="P590" t="s">
        <v>1622</v>
      </c>
      <c r="Q590">
        <v>32239</v>
      </c>
      <c r="R590" t="s">
        <v>1157</v>
      </c>
      <c r="S590" t="str">
        <f>VLOOKUP(J590,Teams!A:B,2,FALSE)</f>
        <v>CRO</v>
      </c>
      <c r="T590" t="str">
        <f>VLOOKUP(M590,Teams!A:B,2,FALSE)</f>
        <v>MEX</v>
      </c>
    </row>
    <row r="591" spans="1:20" x14ac:dyDescent="0.25">
      <c r="A591" t="str">
        <f t="shared" si="9"/>
        <v>FIFAWC2002-10</v>
      </c>
      <c r="B591" s="4">
        <v>10</v>
      </c>
      <c r="C591" s="3">
        <v>37410</v>
      </c>
      <c r="D591" s="7">
        <v>0.66666666666666663</v>
      </c>
      <c r="E591">
        <v>2002</v>
      </c>
      <c r="F591" t="s">
        <v>1735</v>
      </c>
      <c r="G591" t="s">
        <v>1741</v>
      </c>
      <c r="H591" t="s">
        <v>1122</v>
      </c>
      <c r="I591" t="s">
        <v>1744</v>
      </c>
      <c r="J591" t="s">
        <v>760</v>
      </c>
      <c r="K591">
        <v>2</v>
      </c>
      <c r="L591">
        <v>1</v>
      </c>
      <c r="M591" t="s">
        <v>912</v>
      </c>
      <c r="O591" t="s">
        <v>1604</v>
      </c>
      <c r="P591" t="s">
        <v>1639</v>
      </c>
      <c r="Q591">
        <v>33842</v>
      </c>
      <c r="R591" t="s">
        <v>1157</v>
      </c>
      <c r="S591" t="str">
        <f>VLOOKUP(J591,Teams!A:B,2,FALSE)</f>
        <v>BRA</v>
      </c>
      <c r="T591" t="str">
        <f>VLOOKUP(M591,Teams!A:B,2,FALSE)</f>
        <v>TUR</v>
      </c>
    </row>
    <row r="592" spans="1:20" x14ac:dyDescent="0.25">
      <c r="A592" t="str">
        <f t="shared" si="9"/>
        <v>FIFAWC2002-11</v>
      </c>
      <c r="B592" s="4">
        <v>11</v>
      </c>
      <c r="C592" s="3">
        <v>37410</v>
      </c>
      <c r="D592" s="7">
        <v>0.77083333333333337</v>
      </c>
      <c r="E592">
        <v>2002</v>
      </c>
      <c r="F592" t="s">
        <v>1735</v>
      </c>
      <c r="G592" t="s">
        <v>1741</v>
      </c>
      <c r="H592" t="s">
        <v>1122</v>
      </c>
      <c r="I592" t="s">
        <v>1748</v>
      </c>
      <c r="J592" t="s">
        <v>817</v>
      </c>
      <c r="K592">
        <v>2</v>
      </c>
      <c r="L592">
        <v>0</v>
      </c>
      <c r="M592" t="s">
        <v>782</v>
      </c>
      <c r="O592" t="s">
        <v>1634</v>
      </c>
      <c r="P592" t="s">
        <v>1626</v>
      </c>
      <c r="Q592">
        <v>31081</v>
      </c>
      <c r="R592" t="s">
        <v>1157</v>
      </c>
      <c r="S592" t="str">
        <f>VLOOKUP(J592,Teams!A:B,2,FALSE)</f>
        <v>ITA</v>
      </c>
      <c r="T592" t="str">
        <f>VLOOKUP(M592,Teams!A:B,2,FALSE)</f>
        <v>ECU</v>
      </c>
    </row>
    <row r="593" spans="1:20" x14ac:dyDescent="0.25">
      <c r="A593" t="str">
        <f t="shared" si="9"/>
        <v>FIFAWC2002-12</v>
      </c>
      <c r="B593" s="4">
        <v>12</v>
      </c>
      <c r="C593" s="3">
        <v>37411</v>
      </c>
      <c r="D593" s="7">
        <v>0.5625</v>
      </c>
      <c r="E593">
        <v>2002</v>
      </c>
      <c r="F593" t="s">
        <v>1735</v>
      </c>
      <c r="G593" t="s">
        <v>1741</v>
      </c>
      <c r="H593" t="s">
        <v>1122</v>
      </c>
      <c r="I593" t="s">
        <v>1744</v>
      </c>
      <c r="J593" t="s">
        <v>294</v>
      </c>
      <c r="K593">
        <v>0</v>
      </c>
      <c r="L593">
        <v>2</v>
      </c>
      <c r="M593" t="s">
        <v>774</v>
      </c>
      <c r="O593" t="s">
        <v>1602</v>
      </c>
      <c r="P593" t="s">
        <v>1638</v>
      </c>
      <c r="Q593">
        <v>27217</v>
      </c>
      <c r="R593" t="s">
        <v>1157</v>
      </c>
      <c r="S593" t="str">
        <f>VLOOKUP(J593,Teams!A:B,2,FALSE)</f>
        <v>CHN</v>
      </c>
      <c r="T593" t="str">
        <f>VLOOKUP(M593,Teams!A:B,2,FALSE)</f>
        <v>CRC</v>
      </c>
    </row>
    <row r="594" spans="1:20" x14ac:dyDescent="0.25">
      <c r="A594" t="str">
        <f>F594&amp;"-"&amp;B594</f>
        <v>FIFAWC2002-13</v>
      </c>
      <c r="B594" s="4">
        <v>13</v>
      </c>
      <c r="C594" s="3">
        <v>37411</v>
      </c>
      <c r="D594" s="7">
        <v>0.66666666666666663</v>
      </c>
      <c r="E594">
        <v>2002</v>
      </c>
      <c r="F594" t="s">
        <v>1735</v>
      </c>
      <c r="G594" t="s">
        <v>1741</v>
      </c>
      <c r="H594" t="s">
        <v>1122</v>
      </c>
      <c r="I594" t="s">
        <v>1749</v>
      </c>
      <c r="J594" t="s">
        <v>330</v>
      </c>
      <c r="K594">
        <v>2</v>
      </c>
      <c r="L594">
        <v>2</v>
      </c>
      <c r="M594" t="s">
        <v>756</v>
      </c>
      <c r="O594" t="s">
        <v>1598</v>
      </c>
      <c r="P594" t="s">
        <v>1625</v>
      </c>
      <c r="Q594">
        <v>55256</v>
      </c>
      <c r="R594" t="s">
        <v>1157</v>
      </c>
      <c r="S594" t="str">
        <f>VLOOKUP(J594,Teams!A:B,2,FALSE)</f>
        <v>JPN</v>
      </c>
      <c r="T594" t="str">
        <f>VLOOKUP(M594,Teams!A:B,2,FALSE)</f>
        <v>BEL</v>
      </c>
    </row>
    <row r="595" spans="1:20" x14ac:dyDescent="0.25">
      <c r="A595" t="str">
        <f t="shared" si="9"/>
        <v>FIFAWC2002-14</v>
      </c>
      <c r="B595" s="4">
        <v>14</v>
      </c>
      <c r="C595" s="3">
        <v>37411</v>
      </c>
      <c r="D595" s="7">
        <v>0.77083333333333337</v>
      </c>
      <c r="E595">
        <v>2002</v>
      </c>
      <c r="F595" t="s">
        <v>1735</v>
      </c>
      <c r="G595" t="s">
        <v>1741</v>
      </c>
      <c r="H595" t="s">
        <v>1122</v>
      </c>
      <c r="I595" t="s">
        <v>1745</v>
      </c>
      <c r="J595" t="s">
        <v>870</v>
      </c>
      <c r="K595">
        <v>0</v>
      </c>
      <c r="L595">
        <v>2</v>
      </c>
      <c r="M595" t="s">
        <v>1056</v>
      </c>
      <c r="O595" t="s">
        <v>1637</v>
      </c>
      <c r="P595" t="s">
        <v>1562</v>
      </c>
      <c r="Q595">
        <v>48760</v>
      </c>
      <c r="R595" t="s">
        <v>1157</v>
      </c>
      <c r="S595" t="str">
        <f>VLOOKUP(J595,Teams!A:B,2,FALSE)</f>
        <v>POL</v>
      </c>
      <c r="T595" t="str">
        <f>VLOOKUP(M595,Teams!A:B,2,FALSE)</f>
        <v>KOR</v>
      </c>
    </row>
    <row r="596" spans="1:20" x14ac:dyDescent="0.25">
      <c r="A596" t="str">
        <f>F596&amp;"-"&amp;B596</f>
        <v>FIFAWC2002-15</v>
      </c>
      <c r="B596" s="4">
        <v>15</v>
      </c>
      <c r="C596" s="3">
        <v>37412</v>
      </c>
      <c r="D596" s="7">
        <v>0.5625</v>
      </c>
      <c r="E596">
        <v>2002</v>
      </c>
      <c r="F596" t="s">
        <v>1735</v>
      </c>
      <c r="G596" t="s">
        <v>1741</v>
      </c>
      <c r="H596" t="s">
        <v>1122</v>
      </c>
      <c r="I596" t="s">
        <v>1749</v>
      </c>
      <c r="J596" t="s">
        <v>1041</v>
      </c>
      <c r="K596">
        <v>2</v>
      </c>
      <c r="L596">
        <v>0</v>
      </c>
      <c r="M596" t="s">
        <v>911</v>
      </c>
      <c r="O596" t="s">
        <v>1611</v>
      </c>
      <c r="P596" t="s">
        <v>1612</v>
      </c>
      <c r="Q596">
        <v>30957</v>
      </c>
      <c r="R596" t="s">
        <v>1157</v>
      </c>
      <c r="S596" t="str">
        <f>VLOOKUP(J596,Teams!A:B,2,FALSE)</f>
        <v>RUS</v>
      </c>
      <c r="T596" t="str">
        <f>VLOOKUP(M596,Teams!A:B,2,FALSE)</f>
        <v>TUN</v>
      </c>
    </row>
    <row r="597" spans="1:20" x14ac:dyDescent="0.25">
      <c r="A597" t="str">
        <f t="shared" si="9"/>
        <v>FIFAWC2002-16</v>
      </c>
      <c r="B597" s="4">
        <v>16</v>
      </c>
      <c r="C597" s="3">
        <v>37412</v>
      </c>
      <c r="D597" s="7">
        <v>0.66666666666666663</v>
      </c>
      <c r="E597">
        <v>2002</v>
      </c>
      <c r="F597" t="s">
        <v>1735</v>
      </c>
      <c r="G597" t="s">
        <v>1741</v>
      </c>
      <c r="H597" t="s">
        <v>1122</v>
      </c>
      <c r="I597" t="s">
        <v>1745</v>
      </c>
      <c r="J597" t="s">
        <v>702</v>
      </c>
      <c r="K597">
        <v>3</v>
      </c>
      <c r="L597">
        <v>2</v>
      </c>
      <c r="M597" t="s">
        <v>871</v>
      </c>
      <c r="O597" t="s">
        <v>1615</v>
      </c>
      <c r="P597" t="s">
        <v>1608</v>
      </c>
      <c r="Q597">
        <v>37306</v>
      </c>
      <c r="R597" t="s">
        <v>1157</v>
      </c>
      <c r="S597" t="str">
        <f>VLOOKUP(J597,Teams!A:B,2,FALSE)</f>
        <v>USA</v>
      </c>
      <c r="T597" t="str">
        <f>VLOOKUP(M597,Teams!A:B,2,FALSE)</f>
        <v>POR</v>
      </c>
    </row>
    <row r="598" spans="1:20" x14ac:dyDescent="0.25">
      <c r="A598" t="str">
        <f t="shared" si="9"/>
        <v>FIFAWC2002-17</v>
      </c>
      <c r="B598" s="4">
        <v>17</v>
      </c>
      <c r="C598" s="3">
        <v>37412</v>
      </c>
      <c r="D598" s="7">
        <v>0.77083333333333337</v>
      </c>
      <c r="E598">
        <v>2002</v>
      </c>
      <c r="F598" t="s">
        <v>1735</v>
      </c>
      <c r="G598" t="s">
        <v>1741</v>
      </c>
      <c r="H598" t="s">
        <v>1122</v>
      </c>
      <c r="I598" t="s">
        <v>1746</v>
      </c>
      <c r="J598" t="s">
        <v>797</v>
      </c>
      <c r="K598">
        <v>1</v>
      </c>
      <c r="L598">
        <v>1</v>
      </c>
      <c r="M598" t="s">
        <v>1109</v>
      </c>
      <c r="O598" t="s">
        <v>1633</v>
      </c>
      <c r="P598" t="s">
        <v>1164</v>
      </c>
      <c r="Q598">
        <v>35854</v>
      </c>
      <c r="R598" t="s">
        <v>1157</v>
      </c>
      <c r="S598" t="str">
        <f>VLOOKUP(J598,Teams!A:B,2,FALSE)</f>
        <v>GER</v>
      </c>
      <c r="T598" t="str">
        <f>VLOOKUP(M598,Teams!A:B,2,FALSE)</f>
        <v>IRL</v>
      </c>
    </row>
    <row r="599" spans="1:20" x14ac:dyDescent="0.25">
      <c r="A599" t="str">
        <f t="shared" si="9"/>
        <v>FIFAWC2002-18</v>
      </c>
      <c r="B599" s="4">
        <v>18</v>
      </c>
      <c r="C599" s="3">
        <v>37413</v>
      </c>
      <c r="D599" s="7">
        <v>0.5625</v>
      </c>
      <c r="E599">
        <v>2002</v>
      </c>
      <c r="F599" t="s">
        <v>1735</v>
      </c>
      <c r="G599" t="s">
        <v>1741</v>
      </c>
      <c r="H599" t="s">
        <v>1122</v>
      </c>
      <c r="I599" t="s">
        <v>1743</v>
      </c>
      <c r="J599" t="s">
        <v>211</v>
      </c>
      <c r="K599">
        <v>1</v>
      </c>
      <c r="L599">
        <v>1</v>
      </c>
      <c r="M599" t="s">
        <v>883</v>
      </c>
      <c r="O599" t="s">
        <v>1596</v>
      </c>
      <c r="P599" t="s">
        <v>1547</v>
      </c>
      <c r="Q599">
        <v>43500</v>
      </c>
      <c r="R599" t="s">
        <v>1157</v>
      </c>
      <c r="S599" t="str">
        <f>VLOOKUP(J599,Teams!A:B,2,FALSE)</f>
        <v>DEN</v>
      </c>
      <c r="T599" t="str">
        <f>VLOOKUP(M599,Teams!A:B,2,FALSE)</f>
        <v>SEN</v>
      </c>
    </row>
    <row r="600" spans="1:20" x14ac:dyDescent="0.25">
      <c r="A600" t="str">
        <f>F600&amp;"-"&amp;B600</f>
        <v>FIFAWC2002-19</v>
      </c>
      <c r="B600" s="4">
        <v>19</v>
      </c>
      <c r="C600" s="3">
        <v>37413</v>
      </c>
      <c r="D600" s="7">
        <v>0.66666666666666663</v>
      </c>
      <c r="E600">
        <v>2002</v>
      </c>
      <c r="F600" t="s">
        <v>1735</v>
      </c>
      <c r="G600" t="s">
        <v>1741</v>
      </c>
      <c r="H600" t="s">
        <v>1122</v>
      </c>
      <c r="I600" t="s">
        <v>1746</v>
      </c>
      <c r="J600" t="s">
        <v>764</v>
      </c>
      <c r="K600">
        <v>1</v>
      </c>
      <c r="L600">
        <v>0</v>
      </c>
      <c r="M600" t="s">
        <v>882</v>
      </c>
      <c r="O600" t="s">
        <v>1598</v>
      </c>
      <c r="P600" t="s">
        <v>1636</v>
      </c>
      <c r="Q600">
        <v>52328</v>
      </c>
      <c r="R600" t="s">
        <v>1157</v>
      </c>
      <c r="S600" t="str">
        <f>VLOOKUP(J600,Teams!A:B,2,FALSE)</f>
        <v>CMR</v>
      </c>
      <c r="T600" t="str">
        <f>VLOOKUP(M600,Teams!A:B,2,FALSE)</f>
        <v>KSA</v>
      </c>
    </row>
    <row r="601" spans="1:20" x14ac:dyDescent="0.25">
      <c r="A601" t="str">
        <f>F601&amp;"-"&amp;B601</f>
        <v>FIFAWC2002-20</v>
      </c>
      <c r="B601" s="4">
        <v>20</v>
      </c>
      <c r="C601" s="3">
        <v>37413</v>
      </c>
      <c r="D601" s="7">
        <v>0.77083333333333337</v>
      </c>
      <c r="E601">
        <v>2002</v>
      </c>
      <c r="F601" t="s">
        <v>1735</v>
      </c>
      <c r="G601" t="s">
        <v>1741</v>
      </c>
      <c r="H601" t="s">
        <v>1122</v>
      </c>
      <c r="I601" t="s">
        <v>1743</v>
      </c>
      <c r="J601" t="s">
        <v>224</v>
      </c>
      <c r="K601">
        <v>0</v>
      </c>
      <c r="L601">
        <v>0</v>
      </c>
      <c r="M601" t="s">
        <v>916</v>
      </c>
      <c r="O601" t="s">
        <v>1637</v>
      </c>
      <c r="P601" t="s">
        <v>1606</v>
      </c>
      <c r="Q601">
        <v>38289</v>
      </c>
      <c r="R601" t="s">
        <v>1157</v>
      </c>
      <c r="S601" t="str">
        <f>VLOOKUP(J601,Teams!A:B,2,FALSE)</f>
        <v>FRA</v>
      </c>
      <c r="T601" t="str">
        <f>VLOOKUP(M601,Teams!A:B,2,FALSE)</f>
        <v>URU</v>
      </c>
    </row>
    <row r="602" spans="1:20" x14ac:dyDescent="0.25">
      <c r="A602" t="str">
        <f>F602&amp;"-"&amp;B602</f>
        <v>FIFAWC2002-21</v>
      </c>
      <c r="B602" s="4">
        <v>21</v>
      </c>
      <c r="C602" s="3">
        <v>37414</v>
      </c>
      <c r="D602" s="7">
        <v>0.5625</v>
      </c>
      <c r="E602">
        <v>2002</v>
      </c>
      <c r="F602" t="s">
        <v>1735</v>
      </c>
      <c r="G602" t="s">
        <v>1741</v>
      </c>
      <c r="H602" t="s">
        <v>1122</v>
      </c>
      <c r="I602" t="s">
        <v>1747</v>
      </c>
      <c r="J602" t="s">
        <v>900</v>
      </c>
      <c r="K602">
        <v>2</v>
      </c>
      <c r="L602">
        <v>1</v>
      </c>
      <c r="M602" t="s">
        <v>857</v>
      </c>
      <c r="O602" t="s">
        <v>1611</v>
      </c>
      <c r="P602" t="s">
        <v>1635</v>
      </c>
      <c r="Q602">
        <v>36194</v>
      </c>
      <c r="R602" t="s">
        <v>1157</v>
      </c>
      <c r="S602" t="str">
        <f>VLOOKUP(J602,Teams!A:B,2,FALSE)</f>
        <v>SWE</v>
      </c>
      <c r="T602" t="str">
        <f>VLOOKUP(M602,Teams!A:B,2,FALSE)</f>
        <v>NGA</v>
      </c>
    </row>
    <row r="603" spans="1:20" x14ac:dyDescent="0.25">
      <c r="A603" t="str">
        <f>F603&amp;"-"&amp;B603</f>
        <v>FIFAWC2002-22</v>
      </c>
      <c r="B603" s="4">
        <v>22</v>
      </c>
      <c r="C603" s="3">
        <v>37414</v>
      </c>
      <c r="D603" s="7">
        <v>0.66666666666666663</v>
      </c>
      <c r="E603">
        <v>2002</v>
      </c>
      <c r="F603" t="s">
        <v>1735</v>
      </c>
      <c r="G603" t="s">
        <v>1741</v>
      </c>
      <c r="H603" t="s">
        <v>1122</v>
      </c>
      <c r="I603" t="s">
        <v>1742</v>
      </c>
      <c r="J603" t="s">
        <v>895</v>
      </c>
      <c r="K603">
        <v>3</v>
      </c>
      <c r="L603">
        <v>1</v>
      </c>
      <c r="M603" t="s">
        <v>866</v>
      </c>
      <c r="O603" t="s">
        <v>1613</v>
      </c>
      <c r="P603" t="s">
        <v>1603</v>
      </c>
      <c r="Q603">
        <v>24000</v>
      </c>
      <c r="R603" t="s">
        <v>1157</v>
      </c>
      <c r="S603" t="str">
        <f>VLOOKUP(J603,Teams!A:B,2,FALSE)</f>
        <v>ESP</v>
      </c>
      <c r="T603" t="str">
        <f>VLOOKUP(M603,Teams!A:B,2,FALSE)</f>
        <v>PAR</v>
      </c>
    </row>
    <row r="604" spans="1:20" x14ac:dyDescent="0.25">
      <c r="A604" t="str">
        <f>F604&amp;"-"&amp;B604</f>
        <v>FIFAWC2002-23</v>
      </c>
      <c r="B604" s="4">
        <v>23</v>
      </c>
      <c r="C604" s="3">
        <v>37414</v>
      </c>
      <c r="D604" s="7">
        <v>0.77083333333333337</v>
      </c>
      <c r="E604">
        <v>2002</v>
      </c>
      <c r="F604" t="s">
        <v>1735</v>
      </c>
      <c r="G604" t="s">
        <v>1741</v>
      </c>
      <c r="H604" t="s">
        <v>1122</v>
      </c>
      <c r="I604" t="s">
        <v>1747</v>
      </c>
      <c r="J604" t="s">
        <v>749</v>
      </c>
      <c r="K604">
        <v>0</v>
      </c>
      <c r="L604">
        <v>1</v>
      </c>
      <c r="M604" t="s">
        <v>1021</v>
      </c>
      <c r="O604" t="s">
        <v>1634</v>
      </c>
      <c r="P604" t="s">
        <v>1595</v>
      </c>
      <c r="Q604">
        <v>35927</v>
      </c>
      <c r="R604" t="s">
        <v>1157</v>
      </c>
      <c r="S604" t="str">
        <f>VLOOKUP(J604,Teams!A:B,2,FALSE)</f>
        <v>ARG</v>
      </c>
      <c r="T604" t="str">
        <f>VLOOKUP(M604,Teams!A:B,2,FALSE)</f>
        <v>ENG</v>
      </c>
    </row>
    <row r="605" spans="1:20" x14ac:dyDescent="0.25">
      <c r="A605" t="str">
        <f t="shared" ref="A605:A667" si="10">F605&amp;"-"&amp;B605</f>
        <v>FIFAWC2002-24</v>
      </c>
      <c r="B605" s="4">
        <v>24</v>
      </c>
      <c r="C605" s="3">
        <v>37415</v>
      </c>
      <c r="D605" s="7">
        <v>0.5625</v>
      </c>
      <c r="E605">
        <v>2002</v>
      </c>
      <c r="F605" t="s">
        <v>1735</v>
      </c>
      <c r="G605" t="s">
        <v>1741</v>
      </c>
      <c r="H605" t="s">
        <v>1122</v>
      </c>
      <c r="I605" t="s">
        <v>1742</v>
      </c>
      <c r="J605" t="s">
        <v>893</v>
      </c>
      <c r="K605">
        <v>1</v>
      </c>
      <c r="L605">
        <v>0</v>
      </c>
      <c r="M605" t="s">
        <v>890</v>
      </c>
      <c r="O605" t="s">
        <v>1596</v>
      </c>
      <c r="P605" t="s">
        <v>1624</v>
      </c>
      <c r="Q605">
        <v>47226</v>
      </c>
      <c r="R605" t="s">
        <v>1157</v>
      </c>
      <c r="S605" t="str">
        <f>VLOOKUP(J605,Teams!A:B,2,FALSE)</f>
        <v>RSA</v>
      </c>
      <c r="T605" t="str">
        <f>VLOOKUP(M605,Teams!A:B,2,FALSE)</f>
        <v>SVN</v>
      </c>
    </row>
    <row r="606" spans="1:20" x14ac:dyDescent="0.25">
      <c r="A606" t="str">
        <f>F606&amp;"-"&amp;B606</f>
        <v>FIFAWC2002-25</v>
      </c>
      <c r="B606" s="4">
        <v>25</v>
      </c>
      <c r="C606" s="3">
        <v>37415</v>
      </c>
      <c r="D606" s="7">
        <v>0.66666666666666663</v>
      </c>
      <c r="E606">
        <v>2002</v>
      </c>
      <c r="F606" t="s">
        <v>1735</v>
      </c>
      <c r="G606" t="s">
        <v>1741</v>
      </c>
      <c r="H606" t="s">
        <v>1122</v>
      </c>
      <c r="I606" t="s">
        <v>1748</v>
      </c>
      <c r="J606" t="s">
        <v>817</v>
      </c>
      <c r="K606">
        <v>1</v>
      </c>
      <c r="L606">
        <v>2</v>
      </c>
      <c r="M606" t="s">
        <v>775</v>
      </c>
      <c r="O606" t="s">
        <v>1633</v>
      </c>
      <c r="P606" t="s">
        <v>1584</v>
      </c>
      <c r="Q606">
        <v>36472</v>
      </c>
      <c r="R606" t="s">
        <v>1157</v>
      </c>
      <c r="S606" t="str">
        <f>VLOOKUP(J606,Teams!A:B,2,FALSE)</f>
        <v>ITA</v>
      </c>
      <c r="T606" t="str">
        <f>VLOOKUP(M606,Teams!A:B,2,FALSE)</f>
        <v>CRO</v>
      </c>
    </row>
    <row r="607" spans="1:20" x14ac:dyDescent="0.25">
      <c r="A607" t="str">
        <f t="shared" si="10"/>
        <v>FIFAWC2002-26</v>
      </c>
      <c r="B607" s="4">
        <v>26</v>
      </c>
      <c r="C607" s="3">
        <v>37415</v>
      </c>
      <c r="D607" s="7">
        <v>0.77083333333333337</v>
      </c>
      <c r="E607">
        <v>2002</v>
      </c>
      <c r="F607" t="s">
        <v>1735</v>
      </c>
      <c r="G607" t="s">
        <v>1741</v>
      </c>
      <c r="H607" t="s">
        <v>1122</v>
      </c>
      <c r="I607" t="s">
        <v>1744</v>
      </c>
      <c r="J607" t="s">
        <v>760</v>
      </c>
      <c r="K607">
        <v>4</v>
      </c>
      <c r="L607">
        <v>0</v>
      </c>
      <c r="M607" t="s">
        <v>294</v>
      </c>
      <c r="O607" t="s">
        <v>1620</v>
      </c>
      <c r="P607" t="s">
        <v>1616</v>
      </c>
      <c r="Q607">
        <v>36750</v>
      </c>
      <c r="R607" t="s">
        <v>1157</v>
      </c>
      <c r="S607" t="str">
        <f>VLOOKUP(J607,Teams!A:B,2,FALSE)</f>
        <v>BRA</v>
      </c>
      <c r="T607" t="str">
        <f>VLOOKUP(M607,Teams!A:B,2,FALSE)</f>
        <v>CHN</v>
      </c>
    </row>
    <row r="608" spans="1:20" x14ac:dyDescent="0.25">
      <c r="A608" t="str">
        <f>F608&amp;"-"&amp;B608</f>
        <v>FIFAWC2002-27</v>
      </c>
      <c r="B608" s="4">
        <v>27</v>
      </c>
      <c r="C608" s="3">
        <v>37416</v>
      </c>
      <c r="D608" s="7">
        <v>0.5625</v>
      </c>
      <c r="E608">
        <v>2002</v>
      </c>
      <c r="F608" t="s">
        <v>1735</v>
      </c>
      <c r="G608" t="s">
        <v>1741</v>
      </c>
      <c r="H608" t="s">
        <v>1122</v>
      </c>
      <c r="I608" t="s">
        <v>1748</v>
      </c>
      <c r="J608" t="s">
        <v>845</v>
      </c>
      <c r="K608">
        <v>2</v>
      </c>
      <c r="L608">
        <v>1</v>
      </c>
      <c r="M608" t="s">
        <v>782</v>
      </c>
      <c r="O608" t="s">
        <v>1609</v>
      </c>
      <c r="P608" t="s">
        <v>1631</v>
      </c>
      <c r="Q608">
        <v>45610</v>
      </c>
      <c r="R608" t="s">
        <v>1157</v>
      </c>
      <c r="S608" t="str">
        <f>VLOOKUP(J608,Teams!A:B,2,FALSE)</f>
        <v>MEX</v>
      </c>
      <c r="T608" t="str">
        <f>VLOOKUP(M608,Teams!A:B,2,FALSE)</f>
        <v>ECU</v>
      </c>
    </row>
    <row r="609" spans="1:20" x14ac:dyDescent="0.25">
      <c r="A609" t="str">
        <f t="shared" si="10"/>
        <v>FIFAWC2002-28</v>
      </c>
      <c r="B609" s="4">
        <v>28</v>
      </c>
      <c r="C609" s="3">
        <v>37416</v>
      </c>
      <c r="D609" s="7">
        <v>0.66666666666666663</v>
      </c>
      <c r="E609">
        <v>2002</v>
      </c>
      <c r="F609" t="s">
        <v>1735</v>
      </c>
      <c r="G609" t="s">
        <v>1741</v>
      </c>
      <c r="H609" t="s">
        <v>1122</v>
      </c>
      <c r="I609" t="s">
        <v>1744</v>
      </c>
      <c r="J609" t="s">
        <v>774</v>
      </c>
      <c r="K609">
        <v>1</v>
      </c>
      <c r="L609">
        <v>1</v>
      </c>
      <c r="M609" t="s">
        <v>912</v>
      </c>
      <c r="O609" t="s">
        <v>1623</v>
      </c>
      <c r="P609" t="s">
        <v>1632</v>
      </c>
      <c r="Q609">
        <v>42299</v>
      </c>
      <c r="R609" t="s">
        <v>1157</v>
      </c>
      <c r="S609" t="str">
        <f>VLOOKUP(J609,Teams!A:B,2,FALSE)</f>
        <v>CRC</v>
      </c>
      <c r="T609" t="str">
        <f>VLOOKUP(M609,Teams!A:B,2,FALSE)</f>
        <v>TUR</v>
      </c>
    </row>
    <row r="610" spans="1:20" x14ac:dyDescent="0.25">
      <c r="A610" t="str">
        <f t="shared" si="10"/>
        <v>FIFAWC2002-29</v>
      </c>
      <c r="B610" s="4">
        <v>29</v>
      </c>
      <c r="C610" s="3">
        <v>37416</v>
      </c>
      <c r="D610" s="7">
        <v>0.77083333333333337</v>
      </c>
      <c r="E610">
        <v>2002</v>
      </c>
      <c r="F610" t="s">
        <v>1735</v>
      </c>
      <c r="G610" t="s">
        <v>1741</v>
      </c>
      <c r="H610" t="s">
        <v>1122</v>
      </c>
      <c r="I610" t="s">
        <v>1749</v>
      </c>
      <c r="J610" t="s">
        <v>330</v>
      </c>
      <c r="K610">
        <v>1</v>
      </c>
      <c r="L610">
        <v>0</v>
      </c>
      <c r="M610" t="s">
        <v>1041</v>
      </c>
      <c r="O610" t="s">
        <v>1594</v>
      </c>
      <c r="P610" t="s">
        <v>1587</v>
      </c>
      <c r="Q610">
        <v>66108</v>
      </c>
      <c r="R610" t="s">
        <v>1157</v>
      </c>
      <c r="S610" t="str">
        <f>VLOOKUP(J610,Teams!A:B,2,FALSE)</f>
        <v>JPN</v>
      </c>
      <c r="T610" t="str">
        <f>VLOOKUP(M610,Teams!A:B,2,FALSE)</f>
        <v>RUS</v>
      </c>
    </row>
    <row r="611" spans="1:20" x14ac:dyDescent="0.25">
      <c r="A611" t="str">
        <f t="shared" si="10"/>
        <v>FIFAWC2002-30</v>
      </c>
      <c r="B611" s="4">
        <v>30</v>
      </c>
      <c r="C611" s="3">
        <v>37417</v>
      </c>
      <c r="D611" s="7">
        <v>0.5625</v>
      </c>
      <c r="E611">
        <v>2002</v>
      </c>
      <c r="F611" t="s">
        <v>1735</v>
      </c>
      <c r="G611" t="s">
        <v>1741</v>
      </c>
      <c r="H611" t="s">
        <v>1122</v>
      </c>
      <c r="I611" t="s">
        <v>1745</v>
      </c>
      <c r="J611" t="s">
        <v>1056</v>
      </c>
      <c r="K611">
        <v>1</v>
      </c>
      <c r="L611">
        <v>1</v>
      </c>
      <c r="M611" t="s">
        <v>702</v>
      </c>
      <c r="O611" t="s">
        <v>1596</v>
      </c>
      <c r="P611" t="s">
        <v>1600</v>
      </c>
      <c r="Q611">
        <v>60778</v>
      </c>
      <c r="R611" t="s">
        <v>1157</v>
      </c>
      <c r="S611" t="str">
        <f>VLOOKUP(J611,Teams!A:B,2,FALSE)</f>
        <v>KOR</v>
      </c>
      <c r="T611" t="str">
        <f>VLOOKUP(M611,Teams!A:B,2,FALSE)</f>
        <v>USA</v>
      </c>
    </row>
    <row r="612" spans="1:20" x14ac:dyDescent="0.25">
      <c r="A612" t="str">
        <f>F612&amp;"-"&amp;B612</f>
        <v>FIFAWC2002-31</v>
      </c>
      <c r="B612" s="4">
        <v>31</v>
      </c>
      <c r="C612" s="3">
        <v>37417</v>
      </c>
      <c r="D612" s="7">
        <v>0.66666666666666663</v>
      </c>
      <c r="E612">
        <v>2002</v>
      </c>
      <c r="F612" t="s">
        <v>1735</v>
      </c>
      <c r="G612" t="s">
        <v>1741</v>
      </c>
      <c r="H612" t="s">
        <v>1122</v>
      </c>
      <c r="I612" t="s">
        <v>1749</v>
      </c>
      <c r="J612" t="s">
        <v>911</v>
      </c>
      <c r="K612">
        <v>1</v>
      </c>
      <c r="L612">
        <v>1</v>
      </c>
      <c r="M612" t="s">
        <v>756</v>
      </c>
      <c r="O612" t="s">
        <v>1617</v>
      </c>
      <c r="P612" t="s">
        <v>1588</v>
      </c>
      <c r="Q612">
        <v>52000</v>
      </c>
      <c r="R612" t="s">
        <v>1157</v>
      </c>
      <c r="S612" t="str">
        <f>VLOOKUP(J612,Teams!A:B,2,FALSE)</f>
        <v>TUN</v>
      </c>
      <c r="T612" t="str">
        <f>VLOOKUP(M612,Teams!A:B,2,FALSE)</f>
        <v>BEL</v>
      </c>
    </row>
    <row r="613" spans="1:20" x14ac:dyDescent="0.25">
      <c r="A613" t="str">
        <f t="shared" si="10"/>
        <v>FIFAWC2002-32</v>
      </c>
      <c r="B613" s="4">
        <v>32</v>
      </c>
      <c r="C613" s="3">
        <v>37417</v>
      </c>
      <c r="D613" s="7">
        <v>0.77083333333333337</v>
      </c>
      <c r="E613">
        <v>2002</v>
      </c>
      <c r="F613" t="s">
        <v>1735</v>
      </c>
      <c r="G613" t="s">
        <v>1741</v>
      </c>
      <c r="H613" t="s">
        <v>1122</v>
      </c>
      <c r="I613" t="s">
        <v>1745</v>
      </c>
      <c r="J613" t="s">
        <v>871</v>
      </c>
      <c r="K613">
        <v>4</v>
      </c>
      <c r="L613">
        <v>0</v>
      </c>
      <c r="M613" t="s">
        <v>870</v>
      </c>
      <c r="O613" t="s">
        <v>1613</v>
      </c>
      <c r="P613" t="s">
        <v>1605</v>
      </c>
      <c r="Q613">
        <v>31000</v>
      </c>
      <c r="R613" t="s">
        <v>1157</v>
      </c>
      <c r="S613" t="str">
        <f>VLOOKUP(J613,Teams!A:B,2,FALSE)</f>
        <v>POR</v>
      </c>
      <c r="T613" t="str">
        <f>VLOOKUP(M613,Teams!A:B,2,FALSE)</f>
        <v>POL</v>
      </c>
    </row>
    <row r="614" spans="1:20" x14ac:dyDescent="0.25">
      <c r="A614" t="str">
        <f>F614&amp;"-"&amp;B614</f>
        <v>FIFAWC2002-33</v>
      </c>
      <c r="B614" s="4">
        <v>33</v>
      </c>
      <c r="C614" s="3">
        <v>37418</v>
      </c>
      <c r="D614" s="7">
        <v>0.5625</v>
      </c>
      <c r="E614">
        <v>2002</v>
      </c>
      <c r="F614" t="s">
        <v>1735</v>
      </c>
      <c r="G614" t="s">
        <v>1741</v>
      </c>
      <c r="H614" t="s">
        <v>1122</v>
      </c>
      <c r="I614" t="s">
        <v>1743</v>
      </c>
      <c r="J614" t="s">
        <v>883</v>
      </c>
      <c r="K614">
        <v>3</v>
      </c>
      <c r="L614">
        <v>3</v>
      </c>
      <c r="M614" t="s">
        <v>916</v>
      </c>
      <c r="O614" t="s">
        <v>1615</v>
      </c>
      <c r="P614" t="s">
        <v>1630</v>
      </c>
      <c r="Q614">
        <v>33681</v>
      </c>
      <c r="R614" t="s">
        <v>1157</v>
      </c>
      <c r="S614" t="str">
        <f>VLOOKUP(J614,Teams!A:B,2,FALSE)</f>
        <v>SEN</v>
      </c>
      <c r="T614" t="str">
        <f>VLOOKUP(M614,Teams!A:B,2,FALSE)</f>
        <v>URU</v>
      </c>
    </row>
    <row r="615" spans="1:20" x14ac:dyDescent="0.25">
      <c r="A615" t="str">
        <f t="shared" si="10"/>
        <v>FIFAWC2002-34</v>
      </c>
      <c r="B615" s="4">
        <v>34</v>
      </c>
      <c r="C615" s="3">
        <v>37418</v>
      </c>
      <c r="D615" s="7">
        <v>0.5625</v>
      </c>
      <c r="E615">
        <v>2002</v>
      </c>
      <c r="F615" t="s">
        <v>1735</v>
      </c>
      <c r="G615" t="s">
        <v>1741</v>
      </c>
      <c r="H615" t="s">
        <v>1122</v>
      </c>
      <c r="I615" t="s">
        <v>1743</v>
      </c>
      <c r="J615" t="s">
        <v>211</v>
      </c>
      <c r="K615">
        <v>2</v>
      </c>
      <c r="L615">
        <v>0</v>
      </c>
      <c r="M615" t="s">
        <v>224</v>
      </c>
      <c r="O615" t="s">
        <v>1623</v>
      </c>
      <c r="P615" t="s">
        <v>1614</v>
      </c>
      <c r="Q615">
        <v>48100</v>
      </c>
      <c r="R615" t="s">
        <v>1157</v>
      </c>
      <c r="S615" t="str">
        <f>VLOOKUP(J615,Teams!A:B,2,FALSE)</f>
        <v>DEN</v>
      </c>
      <c r="T615" t="str">
        <f>VLOOKUP(M615,Teams!A:B,2,FALSE)</f>
        <v>FRA</v>
      </c>
    </row>
    <row r="616" spans="1:20" x14ac:dyDescent="0.25">
      <c r="A616" t="str">
        <f>F616&amp;"-"&amp;B616</f>
        <v>FIFAWC2002-35</v>
      </c>
      <c r="B616" s="4">
        <v>35</v>
      </c>
      <c r="C616" s="3">
        <v>37418</v>
      </c>
      <c r="D616" s="7">
        <v>0.77083333333333337</v>
      </c>
      <c r="E616">
        <v>2002</v>
      </c>
      <c r="F616" t="s">
        <v>1735</v>
      </c>
      <c r="G616" t="s">
        <v>1741</v>
      </c>
      <c r="H616" t="s">
        <v>1122</v>
      </c>
      <c r="I616" t="s">
        <v>1746</v>
      </c>
      <c r="J616" t="s">
        <v>882</v>
      </c>
      <c r="K616">
        <v>0</v>
      </c>
      <c r="L616">
        <v>3</v>
      </c>
      <c r="M616" t="s">
        <v>1109</v>
      </c>
      <c r="O616" t="s">
        <v>1594</v>
      </c>
      <c r="P616" t="s">
        <v>1628</v>
      </c>
      <c r="Q616">
        <v>65320</v>
      </c>
      <c r="R616" t="s">
        <v>1157</v>
      </c>
      <c r="S616" t="str">
        <f>VLOOKUP(J616,Teams!A:B,2,FALSE)</f>
        <v>KSA</v>
      </c>
      <c r="T616" t="str">
        <f>VLOOKUP(M616,Teams!A:B,2,FALSE)</f>
        <v>IRL</v>
      </c>
    </row>
    <row r="617" spans="1:20" x14ac:dyDescent="0.25">
      <c r="A617" t="str">
        <f t="shared" si="10"/>
        <v>FIFAWC2002-36</v>
      </c>
      <c r="B617" s="4">
        <v>36</v>
      </c>
      <c r="C617" s="3">
        <v>37418</v>
      </c>
      <c r="D617" s="7">
        <v>0.77083333333333337</v>
      </c>
      <c r="E617">
        <v>2002</v>
      </c>
      <c r="F617" t="s">
        <v>1735</v>
      </c>
      <c r="G617" t="s">
        <v>1741</v>
      </c>
      <c r="H617" t="s">
        <v>1122</v>
      </c>
      <c r="I617" t="s">
        <v>1746</v>
      </c>
      <c r="J617" t="s">
        <v>764</v>
      </c>
      <c r="K617">
        <v>0</v>
      </c>
      <c r="L617">
        <v>2</v>
      </c>
      <c r="M617" t="s">
        <v>797</v>
      </c>
      <c r="O617" t="s">
        <v>1163</v>
      </c>
      <c r="P617" t="s">
        <v>1629</v>
      </c>
      <c r="Q617">
        <v>47085</v>
      </c>
      <c r="R617" t="s">
        <v>1157</v>
      </c>
      <c r="S617" t="str">
        <f>VLOOKUP(J617,Teams!A:B,2,FALSE)</f>
        <v>CMR</v>
      </c>
      <c r="T617" t="str">
        <f>VLOOKUP(M617,Teams!A:B,2,FALSE)</f>
        <v>GER</v>
      </c>
    </row>
    <row r="618" spans="1:20" x14ac:dyDescent="0.25">
      <c r="A618" t="str">
        <f>F618&amp;"-"&amp;B618</f>
        <v>FIFAWC2002-37</v>
      </c>
      <c r="B618" s="4">
        <v>37</v>
      </c>
      <c r="C618" s="3">
        <v>37419</v>
      </c>
      <c r="D618" s="7">
        <v>0.5625</v>
      </c>
      <c r="E618">
        <v>2002</v>
      </c>
      <c r="F618" t="s">
        <v>1735</v>
      </c>
      <c r="G618" t="s">
        <v>1741</v>
      </c>
      <c r="H618" t="s">
        <v>1122</v>
      </c>
      <c r="I618" t="s">
        <v>1747</v>
      </c>
      <c r="J618" t="s">
        <v>857</v>
      </c>
      <c r="K618">
        <v>0</v>
      </c>
      <c r="L618">
        <v>0</v>
      </c>
      <c r="M618" t="s">
        <v>1021</v>
      </c>
      <c r="O618" t="s">
        <v>1601</v>
      </c>
      <c r="P618" t="s">
        <v>1626</v>
      </c>
      <c r="Q618">
        <v>44684</v>
      </c>
      <c r="R618" t="s">
        <v>1157</v>
      </c>
      <c r="S618" t="str">
        <f>VLOOKUP(J618,Teams!A:B,2,FALSE)</f>
        <v>NGA</v>
      </c>
      <c r="T618" t="str">
        <f>VLOOKUP(M618,Teams!A:B,2,FALSE)</f>
        <v>ENG</v>
      </c>
    </row>
    <row r="619" spans="1:20" x14ac:dyDescent="0.25">
      <c r="A619" t="str">
        <f>F619&amp;"-"&amp;B619</f>
        <v>FIFAWC2002-38</v>
      </c>
      <c r="B619" s="4">
        <v>38</v>
      </c>
      <c r="C619" s="3">
        <v>37419</v>
      </c>
      <c r="D619" s="7">
        <v>0.5625</v>
      </c>
      <c r="E619">
        <v>2002</v>
      </c>
      <c r="F619" t="s">
        <v>1735</v>
      </c>
      <c r="G619" t="s">
        <v>1741</v>
      </c>
      <c r="H619" t="s">
        <v>1122</v>
      </c>
      <c r="I619" t="s">
        <v>1747</v>
      </c>
      <c r="J619" t="s">
        <v>900</v>
      </c>
      <c r="K619">
        <v>1</v>
      </c>
      <c r="L619">
        <v>1</v>
      </c>
      <c r="M619" t="s">
        <v>749</v>
      </c>
      <c r="O619" t="s">
        <v>1609</v>
      </c>
      <c r="P619" t="s">
        <v>1627</v>
      </c>
      <c r="Q619">
        <v>45777</v>
      </c>
      <c r="R619" t="s">
        <v>1157</v>
      </c>
      <c r="S619" t="str">
        <f>VLOOKUP(J619,Teams!A:B,2,FALSE)</f>
        <v>SWE</v>
      </c>
      <c r="T619" t="str">
        <f>VLOOKUP(M619,Teams!A:B,2,FALSE)</f>
        <v>ARG</v>
      </c>
    </row>
    <row r="620" spans="1:20" x14ac:dyDescent="0.25">
      <c r="A620" t="str">
        <f t="shared" si="10"/>
        <v>FIFAWC2002-39</v>
      </c>
      <c r="B620" s="4">
        <v>39</v>
      </c>
      <c r="C620" s="3">
        <v>37419</v>
      </c>
      <c r="D620" s="7">
        <v>0.77083333333333337</v>
      </c>
      <c r="E620">
        <v>2002</v>
      </c>
      <c r="F620" t="s">
        <v>1735</v>
      </c>
      <c r="G620" t="s">
        <v>1741</v>
      </c>
      <c r="H620" t="s">
        <v>1122</v>
      </c>
      <c r="I620" t="s">
        <v>1742</v>
      </c>
      <c r="J620" t="s">
        <v>893</v>
      </c>
      <c r="K620">
        <v>2</v>
      </c>
      <c r="L620">
        <v>3</v>
      </c>
      <c r="M620" t="s">
        <v>895</v>
      </c>
      <c r="O620" t="s">
        <v>1607</v>
      </c>
      <c r="P620" t="s">
        <v>1597</v>
      </c>
      <c r="Q620">
        <v>31024</v>
      </c>
      <c r="R620" t="s">
        <v>1157</v>
      </c>
      <c r="S620" t="str">
        <f>VLOOKUP(J620,Teams!A:B,2,FALSE)</f>
        <v>RSA</v>
      </c>
      <c r="T620" t="str">
        <f>VLOOKUP(M620,Teams!A:B,2,FALSE)</f>
        <v>ESP</v>
      </c>
    </row>
    <row r="621" spans="1:20" x14ac:dyDescent="0.25">
      <c r="A621" t="str">
        <f t="shared" si="10"/>
        <v>FIFAWC2002-40</v>
      </c>
      <c r="B621" s="4">
        <v>40</v>
      </c>
      <c r="C621" s="3">
        <v>37419</v>
      </c>
      <c r="D621" s="7">
        <v>0.77083333333333337</v>
      </c>
      <c r="E621">
        <v>2002</v>
      </c>
      <c r="F621" t="s">
        <v>1735</v>
      </c>
      <c r="G621" t="s">
        <v>1741</v>
      </c>
      <c r="H621" t="s">
        <v>1122</v>
      </c>
      <c r="I621" t="s">
        <v>1742</v>
      </c>
      <c r="J621" t="s">
        <v>890</v>
      </c>
      <c r="K621">
        <v>1</v>
      </c>
      <c r="L621">
        <v>3</v>
      </c>
      <c r="M621" t="s">
        <v>866</v>
      </c>
      <c r="O621" t="s">
        <v>1620</v>
      </c>
      <c r="P621" t="s">
        <v>1606</v>
      </c>
      <c r="Q621">
        <v>30176</v>
      </c>
      <c r="R621" t="s">
        <v>1157</v>
      </c>
      <c r="S621" t="str">
        <f>VLOOKUP(J621,Teams!A:B,2,FALSE)</f>
        <v>SVN</v>
      </c>
      <c r="T621" t="str">
        <f>VLOOKUP(M621,Teams!A:B,2,FALSE)</f>
        <v>PAR</v>
      </c>
    </row>
    <row r="622" spans="1:20" x14ac:dyDescent="0.25">
      <c r="A622" t="str">
        <f>F622&amp;"-"&amp;B622</f>
        <v>FIFAWC2002-41</v>
      </c>
      <c r="B622" s="4">
        <v>41</v>
      </c>
      <c r="C622" s="3">
        <v>37420</v>
      </c>
      <c r="D622" s="7">
        <v>0.5625</v>
      </c>
      <c r="E622">
        <v>2002</v>
      </c>
      <c r="F622" t="s">
        <v>1735</v>
      </c>
      <c r="G622" t="s">
        <v>1741</v>
      </c>
      <c r="H622" t="s">
        <v>1122</v>
      </c>
      <c r="I622" t="s">
        <v>1744</v>
      </c>
      <c r="J622" t="s">
        <v>912</v>
      </c>
      <c r="K622">
        <v>3</v>
      </c>
      <c r="L622">
        <v>0</v>
      </c>
      <c r="M622" t="s">
        <v>294</v>
      </c>
      <c r="O622" t="s">
        <v>1599</v>
      </c>
      <c r="P622" t="s">
        <v>1562</v>
      </c>
      <c r="Q622">
        <v>43605</v>
      </c>
      <c r="R622" t="s">
        <v>1157</v>
      </c>
      <c r="S622" t="str">
        <f>VLOOKUP(J622,Teams!A:B,2,FALSE)</f>
        <v>TUR</v>
      </c>
      <c r="T622" t="str">
        <f>VLOOKUP(M622,Teams!A:B,2,FALSE)</f>
        <v>CHN</v>
      </c>
    </row>
    <row r="623" spans="1:20" x14ac:dyDescent="0.25">
      <c r="A623" t="str">
        <f t="shared" si="10"/>
        <v>FIFAWC2002-42</v>
      </c>
      <c r="B623" s="4">
        <v>42</v>
      </c>
      <c r="C623" s="3">
        <v>37420</v>
      </c>
      <c r="D623" s="7">
        <v>0.5625</v>
      </c>
      <c r="E623">
        <v>2002</v>
      </c>
      <c r="F623" t="s">
        <v>1735</v>
      </c>
      <c r="G623" t="s">
        <v>1741</v>
      </c>
      <c r="H623" t="s">
        <v>1122</v>
      </c>
      <c r="I623" t="s">
        <v>1744</v>
      </c>
      <c r="J623" t="s">
        <v>774</v>
      </c>
      <c r="K623">
        <v>2</v>
      </c>
      <c r="L623">
        <v>5</v>
      </c>
      <c r="M623" t="s">
        <v>760</v>
      </c>
      <c r="O623" t="s">
        <v>1615</v>
      </c>
      <c r="P623" t="s">
        <v>1603</v>
      </c>
      <c r="Q623">
        <v>38524</v>
      </c>
      <c r="R623" t="s">
        <v>1157</v>
      </c>
      <c r="S623" t="str">
        <f>VLOOKUP(J623,Teams!A:B,2,FALSE)</f>
        <v>CRC</v>
      </c>
      <c r="T623" t="str">
        <f>VLOOKUP(M623,Teams!A:B,2,FALSE)</f>
        <v>BRA</v>
      </c>
    </row>
    <row r="624" spans="1:20" x14ac:dyDescent="0.25">
      <c r="A624" t="str">
        <f t="shared" si="10"/>
        <v>FIFAWC2002-43</v>
      </c>
      <c r="B624" s="4">
        <v>43</v>
      </c>
      <c r="C624" s="3">
        <v>37420</v>
      </c>
      <c r="D624" s="7">
        <v>0.77083333333333337</v>
      </c>
      <c r="E624">
        <v>2002</v>
      </c>
      <c r="F624" t="s">
        <v>1735</v>
      </c>
      <c r="G624" t="s">
        <v>1741</v>
      </c>
      <c r="H624" t="s">
        <v>1122</v>
      </c>
      <c r="I624" t="s">
        <v>1748</v>
      </c>
      <c r="J624" t="s">
        <v>845</v>
      </c>
      <c r="K624">
        <v>1</v>
      </c>
      <c r="L624">
        <v>1</v>
      </c>
      <c r="M624" t="s">
        <v>817</v>
      </c>
      <c r="O624" t="s">
        <v>1617</v>
      </c>
      <c r="P624" t="s">
        <v>1162</v>
      </c>
      <c r="Q624">
        <v>39291</v>
      </c>
      <c r="R624" t="s">
        <v>1157</v>
      </c>
      <c r="S624" t="str">
        <f>VLOOKUP(J624,Teams!A:B,2,FALSE)</f>
        <v>MEX</v>
      </c>
      <c r="T624" t="str">
        <f>VLOOKUP(M624,Teams!A:B,2,FALSE)</f>
        <v>ITA</v>
      </c>
    </row>
    <row r="625" spans="1:20" x14ac:dyDescent="0.25">
      <c r="A625" t="str">
        <f t="shared" si="10"/>
        <v>FIFAWC2002-44</v>
      </c>
      <c r="B625" s="4">
        <v>44</v>
      </c>
      <c r="C625" s="3">
        <v>37420</v>
      </c>
      <c r="D625" s="7">
        <v>0.77083333333333337</v>
      </c>
      <c r="E625">
        <v>2002</v>
      </c>
      <c r="F625" t="s">
        <v>1735</v>
      </c>
      <c r="G625" t="s">
        <v>1741</v>
      </c>
      <c r="H625" t="s">
        <v>1122</v>
      </c>
      <c r="I625" t="s">
        <v>1748</v>
      </c>
      <c r="J625" t="s">
        <v>782</v>
      </c>
      <c r="K625">
        <v>1</v>
      </c>
      <c r="L625">
        <v>0</v>
      </c>
      <c r="M625" t="s">
        <v>775</v>
      </c>
      <c r="O625" t="s">
        <v>1594</v>
      </c>
      <c r="P625" t="s">
        <v>1625</v>
      </c>
      <c r="Q625">
        <v>65862</v>
      </c>
      <c r="R625" t="s">
        <v>1157</v>
      </c>
      <c r="S625" t="str">
        <f>VLOOKUP(J625,Teams!A:B,2,FALSE)</f>
        <v>ECU</v>
      </c>
      <c r="T625" t="str">
        <f>VLOOKUP(M625,Teams!A:B,2,FALSE)</f>
        <v>CRO</v>
      </c>
    </row>
    <row r="626" spans="1:20" x14ac:dyDescent="0.25">
      <c r="A626" t="str">
        <f>F626&amp;"-"&amp;B626</f>
        <v>FIFAWC2002-45</v>
      </c>
      <c r="B626" s="4">
        <v>45</v>
      </c>
      <c r="C626" s="3">
        <v>37421</v>
      </c>
      <c r="D626" s="7">
        <v>0.5625</v>
      </c>
      <c r="E626">
        <v>2002</v>
      </c>
      <c r="F626" t="s">
        <v>1735</v>
      </c>
      <c r="G626" t="s">
        <v>1741</v>
      </c>
      <c r="H626" t="s">
        <v>1122</v>
      </c>
      <c r="I626" t="s">
        <v>1749</v>
      </c>
      <c r="J626" t="s">
        <v>911</v>
      </c>
      <c r="K626">
        <v>0</v>
      </c>
      <c r="L626">
        <v>2</v>
      </c>
      <c r="M626" t="s">
        <v>330</v>
      </c>
      <c r="O626" t="s">
        <v>1601</v>
      </c>
      <c r="P626" t="s">
        <v>1621</v>
      </c>
      <c r="Q626">
        <v>45213</v>
      </c>
      <c r="R626" t="s">
        <v>1157</v>
      </c>
      <c r="S626" t="str">
        <f>VLOOKUP(J626,Teams!A:B,2,FALSE)</f>
        <v>TUN</v>
      </c>
      <c r="T626" t="str">
        <f>VLOOKUP(M626,Teams!A:B,2,FALSE)</f>
        <v>JPN</v>
      </c>
    </row>
    <row r="627" spans="1:20" x14ac:dyDescent="0.25">
      <c r="A627" t="str">
        <f>F627&amp;"-"&amp;B627</f>
        <v>FIFAWC2002-46</v>
      </c>
      <c r="B627" s="4">
        <v>46</v>
      </c>
      <c r="C627" s="3">
        <v>37421</v>
      </c>
      <c r="D627" s="7">
        <v>0.5625</v>
      </c>
      <c r="E627">
        <v>2002</v>
      </c>
      <c r="F627" t="s">
        <v>1735</v>
      </c>
      <c r="G627" t="s">
        <v>1741</v>
      </c>
      <c r="H627" t="s">
        <v>1122</v>
      </c>
      <c r="I627" t="s">
        <v>1749</v>
      </c>
      <c r="J627" t="s">
        <v>756</v>
      </c>
      <c r="K627">
        <v>3</v>
      </c>
      <c r="L627">
        <v>2</v>
      </c>
      <c r="M627" t="s">
        <v>1041</v>
      </c>
      <c r="O627" t="s">
        <v>1163</v>
      </c>
      <c r="P627" t="s">
        <v>1164</v>
      </c>
      <c r="Q627">
        <v>46640</v>
      </c>
      <c r="R627" t="s">
        <v>1157</v>
      </c>
      <c r="S627" t="str">
        <f>VLOOKUP(J627,Teams!A:B,2,FALSE)</f>
        <v>BEL</v>
      </c>
      <c r="T627" t="str">
        <f>VLOOKUP(M627,Teams!A:B,2,FALSE)</f>
        <v>RUS</v>
      </c>
    </row>
    <row r="628" spans="1:20" x14ac:dyDescent="0.25">
      <c r="A628" t="str">
        <f t="shared" si="10"/>
        <v>FIFAWC2002-47</v>
      </c>
      <c r="B628" s="4">
        <v>47</v>
      </c>
      <c r="C628" s="3">
        <v>37421</v>
      </c>
      <c r="D628" s="7">
        <v>0.77083333333333337</v>
      </c>
      <c r="E628">
        <v>2002</v>
      </c>
      <c r="F628" t="s">
        <v>1735</v>
      </c>
      <c r="G628" t="s">
        <v>1741</v>
      </c>
      <c r="H628" t="s">
        <v>1122</v>
      </c>
      <c r="I628" t="s">
        <v>1745</v>
      </c>
      <c r="J628" t="s">
        <v>871</v>
      </c>
      <c r="K628">
        <v>0</v>
      </c>
      <c r="L628">
        <v>1</v>
      </c>
      <c r="M628" t="s">
        <v>1056</v>
      </c>
      <c r="O628" t="s">
        <v>1623</v>
      </c>
      <c r="P628" t="s">
        <v>1624</v>
      </c>
      <c r="Q628">
        <v>50239</v>
      </c>
      <c r="R628" t="s">
        <v>1157</v>
      </c>
      <c r="S628" t="str">
        <f>VLOOKUP(J628,Teams!A:B,2,FALSE)</f>
        <v>POR</v>
      </c>
      <c r="T628" t="str">
        <f>VLOOKUP(M628,Teams!A:B,2,FALSE)</f>
        <v>KOR</v>
      </c>
    </row>
    <row r="629" spans="1:20" x14ac:dyDescent="0.25">
      <c r="A629" t="str">
        <f t="shared" si="10"/>
        <v>FIFAWC2002-48</v>
      </c>
      <c r="B629" s="4">
        <v>48</v>
      </c>
      <c r="C629" s="3">
        <v>37421</v>
      </c>
      <c r="D629" s="7">
        <v>0.77083333333333337</v>
      </c>
      <c r="E629">
        <v>2002</v>
      </c>
      <c r="F629" t="s">
        <v>1735</v>
      </c>
      <c r="G629" t="s">
        <v>1741</v>
      </c>
      <c r="H629" t="s">
        <v>1122</v>
      </c>
      <c r="I629" t="s">
        <v>1745</v>
      </c>
      <c r="J629" t="s">
        <v>870</v>
      </c>
      <c r="K629">
        <v>3</v>
      </c>
      <c r="L629">
        <v>1</v>
      </c>
      <c r="M629" t="s">
        <v>702</v>
      </c>
      <c r="O629" t="s">
        <v>1607</v>
      </c>
      <c r="P629" t="s">
        <v>1622</v>
      </c>
      <c r="Q629">
        <v>26482</v>
      </c>
      <c r="R629" t="s">
        <v>1157</v>
      </c>
      <c r="S629" t="str">
        <f>VLOOKUP(J629,Teams!A:B,2,FALSE)</f>
        <v>POL</v>
      </c>
      <c r="T629" t="str">
        <f>VLOOKUP(M629,Teams!A:B,2,FALSE)</f>
        <v>USA</v>
      </c>
    </row>
    <row r="630" spans="1:20" x14ac:dyDescent="0.25">
      <c r="A630" t="str">
        <f t="shared" si="10"/>
        <v>FIFAWC2002-49</v>
      </c>
      <c r="B630" s="4">
        <v>49</v>
      </c>
      <c r="C630" s="3">
        <v>37422</v>
      </c>
      <c r="D630" s="7">
        <v>0.5625</v>
      </c>
      <c r="E630">
        <v>2002</v>
      </c>
      <c r="F630" t="s">
        <v>1735</v>
      </c>
      <c r="G630" t="s">
        <v>1741</v>
      </c>
      <c r="H630" t="s">
        <v>1759</v>
      </c>
      <c r="I630" t="s">
        <v>1138</v>
      </c>
      <c r="J630" t="s">
        <v>797</v>
      </c>
      <c r="K630">
        <v>1</v>
      </c>
      <c r="L630">
        <v>0</v>
      </c>
      <c r="M630" t="s">
        <v>866</v>
      </c>
      <c r="O630" t="s">
        <v>1620</v>
      </c>
      <c r="P630" t="s">
        <v>1547</v>
      </c>
      <c r="Q630">
        <v>25176</v>
      </c>
      <c r="R630" t="s">
        <v>1157</v>
      </c>
      <c r="S630" t="str">
        <f>VLOOKUP(J630,Teams!A:B,2,FALSE)</f>
        <v>GER</v>
      </c>
      <c r="T630" t="str">
        <f>VLOOKUP(M630,Teams!A:B,2,FALSE)</f>
        <v>PAR</v>
      </c>
    </row>
    <row r="631" spans="1:20" x14ac:dyDescent="0.25">
      <c r="A631" t="str">
        <f t="shared" si="10"/>
        <v>FIFAWC2002-50</v>
      </c>
      <c r="B631" s="4">
        <v>50</v>
      </c>
      <c r="C631" s="3">
        <v>37422</v>
      </c>
      <c r="D631" s="7">
        <v>0.77083333333333337</v>
      </c>
      <c r="E631">
        <v>2002</v>
      </c>
      <c r="F631" t="s">
        <v>1735</v>
      </c>
      <c r="G631" t="s">
        <v>1741</v>
      </c>
      <c r="H631" t="s">
        <v>1759</v>
      </c>
      <c r="I631" t="s">
        <v>1138</v>
      </c>
      <c r="J631" t="s">
        <v>211</v>
      </c>
      <c r="K631">
        <v>0</v>
      </c>
      <c r="L631">
        <v>3</v>
      </c>
      <c r="M631" t="s">
        <v>1021</v>
      </c>
      <c r="O631" t="s">
        <v>1619</v>
      </c>
      <c r="P631" t="s">
        <v>1587</v>
      </c>
      <c r="Q631">
        <v>40582</v>
      </c>
      <c r="R631" t="s">
        <v>1157</v>
      </c>
      <c r="S631" t="str">
        <f>VLOOKUP(J631,Teams!A:B,2,FALSE)</f>
        <v>DEN</v>
      </c>
      <c r="T631" t="str">
        <f>VLOOKUP(M631,Teams!A:B,2,FALSE)</f>
        <v>ENG</v>
      </c>
    </row>
    <row r="632" spans="1:20" x14ac:dyDescent="0.25">
      <c r="A632" t="str">
        <f t="shared" si="10"/>
        <v>FIFAWC2002-51</v>
      </c>
      <c r="B632" s="4">
        <v>51</v>
      </c>
      <c r="C632" s="3">
        <v>37423</v>
      </c>
      <c r="D632" s="7">
        <v>0.5625</v>
      </c>
      <c r="E632">
        <v>2002</v>
      </c>
      <c r="F632" t="s">
        <v>1735</v>
      </c>
      <c r="G632" t="s">
        <v>1741</v>
      </c>
      <c r="H632" t="s">
        <v>1759</v>
      </c>
      <c r="I632" t="s">
        <v>1138</v>
      </c>
      <c r="J632" t="s">
        <v>900</v>
      </c>
      <c r="K632">
        <v>1</v>
      </c>
      <c r="L632">
        <v>2</v>
      </c>
      <c r="M632" t="s">
        <v>883</v>
      </c>
      <c r="O632" t="s">
        <v>1617</v>
      </c>
      <c r="P632" t="s">
        <v>1618</v>
      </c>
      <c r="Q632">
        <v>39747</v>
      </c>
      <c r="R632" t="s">
        <v>1157</v>
      </c>
      <c r="S632" t="str">
        <f>VLOOKUP(J632,Teams!A:B,2,FALSE)</f>
        <v>SWE</v>
      </c>
      <c r="T632" t="str">
        <f>VLOOKUP(M632,Teams!A:B,2,FALSE)</f>
        <v>SEN</v>
      </c>
    </row>
    <row r="633" spans="1:20" x14ac:dyDescent="0.25">
      <c r="A633" t="str">
        <f t="shared" si="10"/>
        <v>FIFAWC2002-52</v>
      </c>
      <c r="B633" s="4">
        <v>52</v>
      </c>
      <c r="C633" s="3">
        <v>37423</v>
      </c>
      <c r="D633" s="7">
        <v>0.77083333333333337</v>
      </c>
      <c r="E633">
        <v>2002</v>
      </c>
      <c r="F633" t="s">
        <v>1735</v>
      </c>
      <c r="G633" t="s">
        <v>1741</v>
      </c>
      <c r="H633" t="s">
        <v>1759</v>
      </c>
      <c r="I633" t="s">
        <v>1138</v>
      </c>
      <c r="J633" t="s">
        <v>895</v>
      </c>
      <c r="K633">
        <v>1</v>
      </c>
      <c r="L633">
        <v>1</v>
      </c>
      <c r="M633" t="s">
        <v>1109</v>
      </c>
      <c r="N633" t="s">
        <v>1776</v>
      </c>
      <c r="O633" t="s">
        <v>1615</v>
      </c>
      <c r="P633" t="s">
        <v>1616</v>
      </c>
      <c r="Q633">
        <v>38926</v>
      </c>
      <c r="R633" t="s">
        <v>1157</v>
      </c>
      <c r="S633" t="str">
        <f>VLOOKUP(J633,Teams!A:B,2,FALSE)</f>
        <v>ESP</v>
      </c>
      <c r="T633" t="str">
        <f>VLOOKUP(M633,Teams!A:B,2,FALSE)</f>
        <v>IRL</v>
      </c>
    </row>
    <row r="634" spans="1:20" x14ac:dyDescent="0.25">
      <c r="A634" t="str">
        <f t="shared" si="10"/>
        <v>FIFAWC2002-53</v>
      </c>
      <c r="B634" s="4">
        <v>53</v>
      </c>
      <c r="C634" s="3">
        <v>37424</v>
      </c>
      <c r="D634" s="7">
        <v>0.5625</v>
      </c>
      <c r="E634">
        <v>2002</v>
      </c>
      <c r="F634" t="s">
        <v>1735</v>
      </c>
      <c r="G634" t="s">
        <v>1741</v>
      </c>
      <c r="H634" t="s">
        <v>1759</v>
      </c>
      <c r="I634" t="s">
        <v>1138</v>
      </c>
      <c r="J634" t="s">
        <v>845</v>
      </c>
      <c r="K634">
        <v>0</v>
      </c>
      <c r="L634">
        <v>2</v>
      </c>
      <c r="M634" t="s">
        <v>702</v>
      </c>
      <c r="O634" t="s">
        <v>1613</v>
      </c>
      <c r="P634" t="s">
        <v>1614</v>
      </c>
      <c r="Q634">
        <v>36380</v>
      </c>
      <c r="R634" t="s">
        <v>1157</v>
      </c>
      <c r="S634" t="str">
        <f>VLOOKUP(J634,Teams!A:B,2,FALSE)</f>
        <v>MEX</v>
      </c>
      <c r="T634" t="str">
        <f>VLOOKUP(M634,Teams!A:B,2,FALSE)</f>
        <v>USA</v>
      </c>
    </row>
    <row r="635" spans="1:20" x14ac:dyDescent="0.25">
      <c r="A635" t="str">
        <f t="shared" si="10"/>
        <v>FIFAWC2002-54</v>
      </c>
      <c r="B635" s="4">
        <v>54</v>
      </c>
      <c r="C635" s="3">
        <v>37424</v>
      </c>
      <c r="D635" s="7">
        <v>0.77083333333333337</v>
      </c>
      <c r="E635">
        <v>2002</v>
      </c>
      <c r="F635" t="s">
        <v>1735</v>
      </c>
      <c r="G635" t="s">
        <v>1741</v>
      </c>
      <c r="H635" t="s">
        <v>1759</v>
      </c>
      <c r="I635" t="s">
        <v>1138</v>
      </c>
      <c r="J635" t="s">
        <v>760</v>
      </c>
      <c r="K635">
        <v>2</v>
      </c>
      <c r="L635">
        <v>0</v>
      </c>
      <c r="M635" t="s">
        <v>756</v>
      </c>
      <c r="O635" t="s">
        <v>1611</v>
      </c>
      <c r="P635" t="s">
        <v>1612</v>
      </c>
      <c r="Q635">
        <v>40440</v>
      </c>
      <c r="R635" t="s">
        <v>1157</v>
      </c>
      <c r="S635" t="str">
        <f>VLOOKUP(J635,Teams!A:B,2,FALSE)</f>
        <v>BRA</v>
      </c>
      <c r="T635" t="str">
        <f>VLOOKUP(M635,Teams!A:B,2,FALSE)</f>
        <v>BEL</v>
      </c>
    </row>
    <row r="636" spans="1:20" x14ac:dyDescent="0.25">
      <c r="A636" t="str">
        <f t="shared" si="10"/>
        <v>FIFAWC2002-55</v>
      </c>
      <c r="B636" s="4">
        <v>55</v>
      </c>
      <c r="C636" s="3">
        <v>37425</v>
      </c>
      <c r="D636" s="7">
        <v>0.5625</v>
      </c>
      <c r="E636">
        <v>2002</v>
      </c>
      <c r="F636" t="s">
        <v>1735</v>
      </c>
      <c r="G636" t="s">
        <v>1741</v>
      </c>
      <c r="H636" t="s">
        <v>1759</v>
      </c>
      <c r="I636" t="s">
        <v>1138</v>
      </c>
      <c r="J636" t="s">
        <v>330</v>
      </c>
      <c r="K636">
        <v>0</v>
      </c>
      <c r="L636">
        <v>1</v>
      </c>
      <c r="M636" t="s">
        <v>912</v>
      </c>
      <c r="O636" t="s">
        <v>1609</v>
      </c>
      <c r="P636" t="s">
        <v>1610</v>
      </c>
      <c r="Q636">
        <v>45666</v>
      </c>
      <c r="R636" t="s">
        <v>1157</v>
      </c>
      <c r="S636" t="str">
        <f>VLOOKUP(J636,Teams!A:B,2,FALSE)</f>
        <v>JPN</v>
      </c>
      <c r="T636" t="str">
        <f>VLOOKUP(M636,Teams!A:B,2,FALSE)</f>
        <v>TUR</v>
      </c>
    </row>
    <row r="637" spans="1:20" x14ac:dyDescent="0.25">
      <c r="A637" t="str">
        <f t="shared" si="10"/>
        <v>FIFAWC2002-56</v>
      </c>
      <c r="B637" s="4">
        <v>56</v>
      </c>
      <c r="C637" s="3">
        <v>37425</v>
      </c>
      <c r="D637" s="7">
        <v>0.77083333333333337</v>
      </c>
      <c r="E637">
        <v>2002</v>
      </c>
      <c r="F637" t="s">
        <v>1735</v>
      </c>
      <c r="G637" t="s">
        <v>1741</v>
      </c>
      <c r="H637" t="s">
        <v>1759</v>
      </c>
      <c r="I637" t="s">
        <v>1138</v>
      </c>
      <c r="J637" t="s">
        <v>1056</v>
      </c>
      <c r="K637">
        <v>2</v>
      </c>
      <c r="L637">
        <v>1</v>
      </c>
      <c r="M637" t="s">
        <v>817</v>
      </c>
      <c r="O637" t="s">
        <v>1607</v>
      </c>
      <c r="P637" t="s">
        <v>1608</v>
      </c>
      <c r="Q637">
        <v>38588</v>
      </c>
      <c r="R637" t="s">
        <v>1157</v>
      </c>
      <c r="S637" t="str">
        <f>VLOOKUP(J637,Teams!A:B,2,FALSE)</f>
        <v>KOR</v>
      </c>
      <c r="T637" t="str">
        <f>VLOOKUP(M637,Teams!A:B,2,FALSE)</f>
        <v>ITA</v>
      </c>
    </row>
    <row r="638" spans="1:20" x14ac:dyDescent="0.25">
      <c r="A638" t="str">
        <f t="shared" si="10"/>
        <v>FIFAWC2002-57</v>
      </c>
      <c r="B638" s="4">
        <v>57</v>
      </c>
      <c r="C638" s="3">
        <v>37428</v>
      </c>
      <c r="D638" s="7">
        <v>0.5625</v>
      </c>
      <c r="E638">
        <v>2002</v>
      </c>
      <c r="F638" t="s">
        <v>1735</v>
      </c>
      <c r="G638" t="s">
        <v>1741</v>
      </c>
      <c r="H638" t="s">
        <v>1759</v>
      </c>
      <c r="I638" t="s">
        <v>1139</v>
      </c>
      <c r="J638" t="s">
        <v>1021</v>
      </c>
      <c r="K638">
        <v>1</v>
      </c>
      <c r="L638">
        <v>2</v>
      </c>
      <c r="M638" t="s">
        <v>760</v>
      </c>
      <c r="O638" t="s">
        <v>1163</v>
      </c>
      <c r="P638" t="s">
        <v>1606</v>
      </c>
      <c r="Q638">
        <v>47436</v>
      </c>
      <c r="R638" t="s">
        <v>1157</v>
      </c>
      <c r="S638" t="str">
        <f>VLOOKUP(J638,Teams!A:B,2,FALSE)</f>
        <v>ENG</v>
      </c>
      <c r="T638" t="str">
        <f>VLOOKUP(M638,Teams!A:B,2,FALSE)</f>
        <v>BRA</v>
      </c>
    </row>
    <row r="639" spans="1:20" x14ac:dyDescent="0.25">
      <c r="A639" t="str">
        <f t="shared" si="10"/>
        <v>FIFAWC2002-58</v>
      </c>
      <c r="B639" s="4">
        <v>58</v>
      </c>
      <c r="C639" s="3">
        <v>37428</v>
      </c>
      <c r="D639" s="7">
        <v>0.77083333333333337</v>
      </c>
      <c r="E639">
        <v>2002</v>
      </c>
      <c r="F639" t="s">
        <v>1735</v>
      </c>
      <c r="G639" t="s">
        <v>1741</v>
      </c>
      <c r="H639" t="s">
        <v>1759</v>
      </c>
      <c r="I639" t="s">
        <v>1139</v>
      </c>
      <c r="J639" t="s">
        <v>797</v>
      </c>
      <c r="K639">
        <v>1</v>
      </c>
      <c r="L639">
        <v>0</v>
      </c>
      <c r="M639" t="s">
        <v>702</v>
      </c>
      <c r="O639" t="s">
        <v>1604</v>
      </c>
      <c r="P639" t="s">
        <v>1605</v>
      </c>
      <c r="Q639">
        <v>37337</v>
      </c>
      <c r="R639" t="s">
        <v>1157</v>
      </c>
      <c r="S639" t="str">
        <f>VLOOKUP(J639,Teams!A:B,2,FALSE)</f>
        <v>GER</v>
      </c>
      <c r="T639" t="str">
        <f>VLOOKUP(M639,Teams!A:B,2,FALSE)</f>
        <v>USA</v>
      </c>
    </row>
    <row r="640" spans="1:20" x14ac:dyDescent="0.25">
      <c r="A640" t="str">
        <f t="shared" si="10"/>
        <v>FIFAWC2002-59</v>
      </c>
      <c r="B640" s="4">
        <v>59</v>
      </c>
      <c r="C640" s="3">
        <v>37429</v>
      </c>
      <c r="D640" s="7">
        <v>0.5625</v>
      </c>
      <c r="E640">
        <v>2002</v>
      </c>
      <c r="F640" t="s">
        <v>1735</v>
      </c>
      <c r="G640" t="s">
        <v>1741</v>
      </c>
      <c r="H640" t="s">
        <v>1759</v>
      </c>
      <c r="I640" t="s">
        <v>1139</v>
      </c>
      <c r="J640" t="s">
        <v>895</v>
      </c>
      <c r="K640">
        <v>0</v>
      </c>
      <c r="L640">
        <v>0</v>
      </c>
      <c r="M640" t="s">
        <v>1056</v>
      </c>
      <c r="N640" t="s">
        <v>1777</v>
      </c>
      <c r="O640" t="s">
        <v>1602</v>
      </c>
      <c r="P640" t="s">
        <v>1603</v>
      </c>
      <c r="Q640">
        <v>42114</v>
      </c>
      <c r="R640" t="s">
        <v>1157</v>
      </c>
      <c r="S640" t="str">
        <f>VLOOKUP(J640,Teams!A:B,2,FALSE)</f>
        <v>ESP</v>
      </c>
      <c r="T640" t="str">
        <f>VLOOKUP(M640,Teams!A:B,2,FALSE)</f>
        <v>KOR</v>
      </c>
    </row>
    <row r="641" spans="1:20" x14ac:dyDescent="0.25">
      <c r="A641" t="str">
        <f t="shared" si="10"/>
        <v>FIFAWC2002-60</v>
      </c>
      <c r="B641" s="4">
        <v>60</v>
      </c>
      <c r="C641" s="3">
        <v>37429</v>
      </c>
      <c r="D641" s="7">
        <v>0.77083333333333337</v>
      </c>
      <c r="E641">
        <v>2002</v>
      </c>
      <c r="F641" t="s">
        <v>1735</v>
      </c>
      <c r="G641" t="s">
        <v>1741</v>
      </c>
      <c r="H641" t="s">
        <v>1759</v>
      </c>
      <c r="I641" t="s">
        <v>1139</v>
      </c>
      <c r="J641" t="s">
        <v>883</v>
      </c>
      <c r="K641">
        <v>0</v>
      </c>
      <c r="L641">
        <v>1</v>
      </c>
      <c r="M641" t="s">
        <v>912</v>
      </c>
      <c r="O641" t="s">
        <v>1601</v>
      </c>
      <c r="P641" t="s">
        <v>1562</v>
      </c>
      <c r="Q641">
        <v>44233</v>
      </c>
      <c r="R641" t="s">
        <v>1157</v>
      </c>
      <c r="S641" t="str">
        <f>VLOOKUP(J641,Teams!A:B,2,FALSE)</f>
        <v>SEN</v>
      </c>
      <c r="T641" t="str">
        <f>VLOOKUP(M641,Teams!A:B,2,FALSE)</f>
        <v>TUR</v>
      </c>
    </row>
    <row r="642" spans="1:20" x14ac:dyDescent="0.25">
      <c r="A642" t="str">
        <f t="shared" si="10"/>
        <v>FIFAWC2002-61</v>
      </c>
      <c r="B642" s="4">
        <v>61</v>
      </c>
      <c r="C642" s="3">
        <v>37432</v>
      </c>
      <c r="D642" s="7">
        <v>0.77083333333333337</v>
      </c>
      <c r="E642">
        <v>2002</v>
      </c>
      <c r="F642" t="s">
        <v>1735</v>
      </c>
      <c r="G642" t="s">
        <v>1741</v>
      </c>
      <c r="H642" t="s">
        <v>1759</v>
      </c>
      <c r="I642" t="s">
        <v>1140</v>
      </c>
      <c r="J642" t="s">
        <v>797</v>
      </c>
      <c r="K642">
        <v>1</v>
      </c>
      <c r="L642">
        <v>0</v>
      </c>
      <c r="M642" t="s">
        <v>1056</v>
      </c>
      <c r="O642" t="s">
        <v>1599</v>
      </c>
      <c r="P642" t="s">
        <v>1600</v>
      </c>
      <c r="Q642">
        <v>65256</v>
      </c>
      <c r="R642" t="s">
        <v>1157</v>
      </c>
      <c r="S642" t="str">
        <f>VLOOKUP(J642,Teams!A:B,2,FALSE)</f>
        <v>GER</v>
      </c>
      <c r="T642" t="str">
        <f>VLOOKUP(M642,Teams!A:B,2,FALSE)</f>
        <v>KOR</v>
      </c>
    </row>
    <row r="643" spans="1:20" x14ac:dyDescent="0.25">
      <c r="A643" t="str">
        <f t="shared" si="10"/>
        <v>FIFAWC2002-62</v>
      </c>
      <c r="B643" s="4">
        <v>62</v>
      </c>
      <c r="C643" s="3">
        <v>37433</v>
      </c>
      <c r="D643" s="7">
        <v>0.77083333333333337</v>
      </c>
      <c r="E643">
        <v>2002</v>
      </c>
      <c r="F643" t="s">
        <v>1735</v>
      </c>
      <c r="G643" t="s">
        <v>1741</v>
      </c>
      <c r="H643" t="s">
        <v>1759</v>
      </c>
      <c r="I643" t="s">
        <v>1140</v>
      </c>
      <c r="J643" t="s">
        <v>760</v>
      </c>
      <c r="K643">
        <v>1</v>
      </c>
      <c r="L643">
        <v>0</v>
      </c>
      <c r="M643" t="s">
        <v>912</v>
      </c>
      <c r="O643" t="s">
        <v>1598</v>
      </c>
      <c r="P643" t="s">
        <v>1164</v>
      </c>
      <c r="Q643">
        <v>61058</v>
      </c>
      <c r="R643" t="s">
        <v>1157</v>
      </c>
      <c r="S643" t="str">
        <f>VLOOKUP(J643,Teams!A:B,2,FALSE)</f>
        <v>BRA</v>
      </c>
      <c r="T643" t="str">
        <f>VLOOKUP(M643,Teams!A:B,2,FALSE)</f>
        <v>TUR</v>
      </c>
    </row>
    <row r="644" spans="1:20" x14ac:dyDescent="0.25">
      <c r="A644" t="str">
        <f t="shared" si="10"/>
        <v>FIFAWC2002-63</v>
      </c>
      <c r="B644" s="4">
        <v>63</v>
      </c>
      <c r="C644" s="3">
        <v>37436</v>
      </c>
      <c r="D644" s="7">
        <v>0.77083333333333337</v>
      </c>
      <c r="E644">
        <v>2002</v>
      </c>
      <c r="F644" t="s">
        <v>1735</v>
      </c>
      <c r="G644" t="s">
        <v>1741</v>
      </c>
      <c r="H644" t="s">
        <v>1759</v>
      </c>
      <c r="I644" t="s">
        <v>1018</v>
      </c>
      <c r="J644" t="s">
        <v>1056</v>
      </c>
      <c r="K644">
        <v>2</v>
      </c>
      <c r="L644">
        <v>3</v>
      </c>
      <c r="M644" t="s">
        <v>912</v>
      </c>
      <c r="O644" t="s">
        <v>1596</v>
      </c>
      <c r="P644" t="s">
        <v>1597</v>
      </c>
      <c r="Q644">
        <v>63483</v>
      </c>
      <c r="R644" t="s">
        <v>1157</v>
      </c>
      <c r="S644" t="str">
        <f>VLOOKUP(J644,Teams!A:B,2,FALSE)</f>
        <v>KOR</v>
      </c>
      <c r="T644" t="str">
        <f>VLOOKUP(M644,Teams!A:B,2,FALSE)</f>
        <v>TUR</v>
      </c>
    </row>
    <row r="645" spans="1:20" x14ac:dyDescent="0.25">
      <c r="A645" t="str">
        <f t="shared" si="10"/>
        <v>FIFAWC2002-64</v>
      </c>
      <c r="B645" s="4">
        <v>64</v>
      </c>
      <c r="C645" s="3">
        <v>37437</v>
      </c>
      <c r="D645" s="7">
        <v>0.77083333333333337</v>
      </c>
      <c r="E645">
        <v>2002</v>
      </c>
      <c r="F645" t="s">
        <v>1735</v>
      </c>
      <c r="G645" t="s">
        <v>1741</v>
      </c>
      <c r="H645" t="s">
        <v>1759</v>
      </c>
      <c r="I645" t="s">
        <v>1141</v>
      </c>
      <c r="J645" t="s">
        <v>797</v>
      </c>
      <c r="K645">
        <v>0</v>
      </c>
      <c r="L645">
        <v>2</v>
      </c>
      <c r="M645" t="s">
        <v>760</v>
      </c>
      <c r="O645" t="s">
        <v>1594</v>
      </c>
      <c r="P645" t="s">
        <v>1595</v>
      </c>
      <c r="Q645">
        <v>69029</v>
      </c>
      <c r="R645" t="s">
        <v>1157</v>
      </c>
      <c r="S645" t="str">
        <f>VLOOKUP(J645,Teams!A:B,2,FALSE)</f>
        <v>GER</v>
      </c>
      <c r="T645" t="str">
        <f>VLOOKUP(M645,Teams!A:B,2,FALSE)</f>
        <v>BRA</v>
      </c>
    </row>
    <row r="646" spans="1:20" x14ac:dyDescent="0.25">
      <c r="A646" t="str">
        <f t="shared" si="10"/>
        <v>FIFAWC2006-1</v>
      </c>
      <c r="B646" s="4">
        <v>1</v>
      </c>
      <c r="C646" s="3">
        <v>38877</v>
      </c>
      <c r="D646" s="7">
        <v>0.95833333333333337</v>
      </c>
      <c r="E646">
        <v>2006</v>
      </c>
      <c r="F646" t="s">
        <v>1736</v>
      </c>
      <c r="G646" t="s">
        <v>1741</v>
      </c>
      <c r="H646" t="s">
        <v>1122</v>
      </c>
      <c r="I646" t="s">
        <v>1743</v>
      </c>
      <c r="J646" t="s">
        <v>797</v>
      </c>
      <c r="K646">
        <v>4</v>
      </c>
      <c r="L646">
        <v>2</v>
      </c>
      <c r="M646" t="s">
        <v>774</v>
      </c>
      <c r="O646" t="s">
        <v>1573</v>
      </c>
      <c r="P646" t="s">
        <v>1571</v>
      </c>
      <c r="Q646">
        <v>66000</v>
      </c>
      <c r="R646" t="s">
        <v>1157</v>
      </c>
      <c r="S646" t="str">
        <f>VLOOKUP(J646,Teams!A:B,2,FALSE)</f>
        <v>GER</v>
      </c>
      <c r="T646" t="str">
        <f>VLOOKUP(M646,Teams!A:B,2,FALSE)</f>
        <v>CRC</v>
      </c>
    </row>
    <row r="647" spans="1:20" x14ac:dyDescent="0.25">
      <c r="A647" t="str">
        <f t="shared" si="10"/>
        <v>FIFAWC2006-2</v>
      </c>
      <c r="B647" s="4">
        <v>2</v>
      </c>
      <c r="C647" s="3">
        <v>38878</v>
      </c>
      <c r="D647" s="7">
        <v>8.3333333333333329E-2</v>
      </c>
      <c r="E647">
        <v>2006</v>
      </c>
      <c r="F647" t="s">
        <v>1736</v>
      </c>
      <c r="G647" t="s">
        <v>1741</v>
      </c>
      <c r="H647" t="s">
        <v>1122</v>
      </c>
      <c r="I647" t="s">
        <v>1743</v>
      </c>
      <c r="J647" t="s">
        <v>870</v>
      </c>
      <c r="K647">
        <v>0</v>
      </c>
      <c r="L647">
        <v>2</v>
      </c>
      <c r="M647" t="s">
        <v>782</v>
      </c>
      <c r="O647" t="s">
        <v>1575</v>
      </c>
      <c r="P647" t="s">
        <v>1572</v>
      </c>
      <c r="Q647">
        <v>52000</v>
      </c>
      <c r="R647" t="s">
        <v>1157</v>
      </c>
      <c r="S647" t="str">
        <f>VLOOKUP(J647,Teams!A:B,2,FALSE)</f>
        <v>POL</v>
      </c>
      <c r="T647" t="str">
        <f>VLOOKUP(M647,Teams!A:B,2,FALSE)</f>
        <v>ECU</v>
      </c>
    </row>
    <row r="648" spans="1:20" x14ac:dyDescent="0.25">
      <c r="A648" t="str">
        <f t="shared" si="10"/>
        <v>FIFAWC2006-3</v>
      </c>
      <c r="B648" s="4">
        <v>3</v>
      </c>
      <c r="C648" s="3">
        <v>38878</v>
      </c>
      <c r="D648" s="7">
        <v>0.83333333333333337</v>
      </c>
      <c r="E648">
        <v>2006</v>
      </c>
      <c r="F648" t="s">
        <v>1736</v>
      </c>
      <c r="G648" t="s">
        <v>1741</v>
      </c>
      <c r="H648" t="s">
        <v>1122</v>
      </c>
      <c r="I648" t="s">
        <v>1742</v>
      </c>
      <c r="J648" t="s">
        <v>1021</v>
      </c>
      <c r="K648">
        <v>1</v>
      </c>
      <c r="L648">
        <v>0</v>
      </c>
      <c r="M648" t="s">
        <v>866</v>
      </c>
      <c r="O648" t="s">
        <v>1330</v>
      </c>
      <c r="P648" t="s">
        <v>1468</v>
      </c>
      <c r="Q648">
        <v>48000</v>
      </c>
      <c r="R648" t="s">
        <v>1157</v>
      </c>
      <c r="S648" t="str">
        <f>VLOOKUP(J648,Teams!A:B,2,FALSE)</f>
        <v>ENG</v>
      </c>
      <c r="T648" t="str">
        <f>VLOOKUP(M648,Teams!A:B,2,FALSE)</f>
        <v>PAR</v>
      </c>
    </row>
    <row r="649" spans="1:20" x14ac:dyDescent="0.25">
      <c r="A649" t="str">
        <f t="shared" si="10"/>
        <v>FIFAWC2006-4</v>
      </c>
      <c r="B649" s="4">
        <v>4</v>
      </c>
      <c r="C649" s="3">
        <v>38878</v>
      </c>
      <c r="D649" s="7">
        <v>0.95833333333333337</v>
      </c>
      <c r="E649">
        <v>2006</v>
      </c>
      <c r="F649" t="s">
        <v>1736</v>
      </c>
      <c r="G649" t="s">
        <v>1741</v>
      </c>
      <c r="H649" t="s">
        <v>1122</v>
      </c>
      <c r="I649" t="s">
        <v>1742</v>
      </c>
      <c r="J649" t="s">
        <v>910</v>
      </c>
      <c r="K649">
        <v>0</v>
      </c>
      <c r="L649">
        <v>0</v>
      </c>
      <c r="M649" t="s">
        <v>900</v>
      </c>
      <c r="O649" t="s">
        <v>1585</v>
      </c>
      <c r="P649" t="s">
        <v>1591</v>
      </c>
      <c r="Q649">
        <v>62959</v>
      </c>
      <c r="R649" t="s">
        <v>1157</v>
      </c>
      <c r="S649" t="str">
        <f>VLOOKUP(J649,Teams!A:B,2,FALSE)</f>
        <v>TRI</v>
      </c>
      <c r="T649" t="str">
        <f>VLOOKUP(M649,Teams!A:B,2,FALSE)</f>
        <v>SWE</v>
      </c>
    </row>
    <row r="650" spans="1:20" x14ac:dyDescent="0.25">
      <c r="A650" t="str">
        <f t="shared" si="10"/>
        <v>FIFAWC2006-5</v>
      </c>
      <c r="B650" s="4">
        <v>5</v>
      </c>
      <c r="C650" s="3">
        <v>38879</v>
      </c>
      <c r="D650" s="7">
        <v>8.3333333333333329E-2</v>
      </c>
      <c r="E650">
        <v>2006</v>
      </c>
      <c r="F650" t="s">
        <v>1736</v>
      </c>
      <c r="G650" t="s">
        <v>1741</v>
      </c>
      <c r="H650" t="s">
        <v>1122</v>
      </c>
      <c r="I650" t="s">
        <v>1744</v>
      </c>
      <c r="J650" t="s">
        <v>749</v>
      </c>
      <c r="K650">
        <v>2</v>
      </c>
      <c r="L650">
        <v>1</v>
      </c>
      <c r="M650" t="s">
        <v>1751</v>
      </c>
      <c r="O650" t="s">
        <v>1342</v>
      </c>
      <c r="P650" t="s">
        <v>1551</v>
      </c>
      <c r="Q650">
        <v>49480</v>
      </c>
      <c r="R650" t="s">
        <v>1157</v>
      </c>
      <c r="S650" t="str">
        <f>VLOOKUP(J650,Teams!A:B,2,FALSE)</f>
        <v>ARG</v>
      </c>
      <c r="T650" t="str">
        <f>VLOOKUP(M650,Teams!A:B,2,FALSE)</f>
        <v>CIV</v>
      </c>
    </row>
    <row r="651" spans="1:20" x14ac:dyDescent="0.25">
      <c r="A651" t="str">
        <f t="shared" si="10"/>
        <v>FIFAWC2006-6</v>
      </c>
      <c r="B651" s="4">
        <v>6</v>
      </c>
      <c r="C651" s="3">
        <v>38879</v>
      </c>
      <c r="D651" s="7">
        <v>0.83333333333333337</v>
      </c>
      <c r="E651">
        <v>2006</v>
      </c>
      <c r="F651" t="s">
        <v>1736</v>
      </c>
      <c r="G651" t="s">
        <v>1741</v>
      </c>
      <c r="H651" t="s">
        <v>1122</v>
      </c>
      <c r="I651" t="s">
        <v>1744</v>
      </c>
      <c r="J651" t="s">
        <v>1590</v>
      </c>
      <c r="K651">
        <v>0</v>
      </c>
      <c r="L651">
        <v>1</v>
      </c>
      <c r="M651" t="s">
        <v>33</v>
      </c>
      <c r="O651" t="s">
        <v>1582</v>
      </c>
      <c r="P651" t="s">
        <v>1587</v>
      </c>
      <c r="Q651">
        <v>43000</v>
      </c>
      <c r="R651" t="s">
        <v>1157</v>
      </c>
      <c r="S651" t="str">
        <f>VLOOKUP(J651,Teams!A:B,2,FALSE)</f>
        <v>SCG</v>
      </c>
      <c r="T651" t="str">
        <f>VLOOKUP(M651,Teams!A:B,2,FALSE)</f>
        <v>NED</v>
      </c>
    </row>
    <row r="652" spans="1:20" x14ac:dyDescent="0.25">
      <c r="A652" t="str">
        <f t="shared" si="10"/>
        <v>FIFAWC2006-7</v>
      </c>
      <c r="B652" s="4">
        <v>7</v>
      </c>
      <c r="C652" s="3">
        <v>38879</v>
      </c>
      <c r="D652" s="7">
        <v>0.95833333333333337</v>
      </c>
      <c r="E652">
        <v>2006</v>
      </c>
      <c r="F652" t="s">
        <v>1736</v>
      </c>
      <c r="G652" t="s">
        <v>1741</v>
      </c>
      <c r="H652" t="s">
        <v>1122</v>
      </c>
      <c r="I652" t="s">
        <v>1745</v>
      </c>
      <c r="J652" t="s">
        <v>845</v>
      </c>
      <c r="K652">
        <v>3</v>
      </c>
      <c r="L652">
        <v>1</v>
      </c>
      <c r="M652" t="s">
        <v>1051</v>
      </c>
      <c r="O652" t="s">
        <v>1580</v>
      </c>
      <c r="P652" t="s">
        <v>1553</v>
      </c>
      <c r="Q652">
        <v>41000</v>
      </c>
      <c r="R652" t="s">
        <v>1157</v>
      </c>
      <c r="S652" t="str">
        <f>VLOOKUP(J652,Teams!A:B,2,FALSE)</f>
        <v>MEX</v>
      </c>
      <c r="T652" t="str">
        <f>VLOOKUP(M652,Teams!A:B,2,FALSE)</f>
        <v>IRN</v>
      </c>
    </row>
    <row r="653" spans="1:20" x14ac:dyDescent="0.25">
      <c r="A653" t="str">
        <f t="shared" si="10"/>
        <v>FIFAWC2006-8</v>
      </c>
      <c r="B653" s="4">
        <v>8</v>
      </c>
      <c r="C653" s="3">
        <v>38880</v>
      </c>
      <c r="D653" s="7">
        <v>8.3333333333333329E-2</v>
      </c>
      <c r="E653">
        <v>2006</v>
      </c>
      <c r="F653" t="s">
        <v>1736</v>
      </c>
      <c r="G653" t="s">
        <v>1741</v>
      </c>
      <c r="H653" t="s">
        <v>1122</v>
      </c>
      <c r="I653" t="s">
        <v>1745</v>
      </c>
      <c r="J653" t="s">
        <v>748</v>
      </c>
      <c r="K653">
        <v>0</v>
      </c>
      <c r="L653">
        <v>1</v>
      </c>
      <c r="M653" t="s">
        <v>871</v>
      </c>
      <c r="O653" t="s">
        <v>1578</v>
      </c>
      <c r="P653" t="s">
        <v>1555</v>
      </c>
      <c r="Q653">
        <v>45000</v>
      </c>
      <c r="R653" t="s">
        <v>1157</v>
      </c>
      <c r="S653" t="str">
        <f>VLOOKUP(J653,Teams!A:B,2,FALSE)</f>
        <v>ANG</v>
      </c>
      <c r="T653" t="str">
        <f>VLOOKUP(M653,Teams!A:B,2,FALSE)</f>
        <v>POR</v>
      </c>
    </row>
    <row r="654" spans="1:20" x14ac:dyDescent="0.25">
      <c r="A654" t="str">
        <f>F654&amp;"-"&amp;B654</f>
        <v>FIFAWC2006-9</v>
      </c>
      <c r="B654" s="4">
        <v>9</v>
      </c>
      <c r="C654" s="3">
        <v>38880</v>
      </c>
      <c r="D654" s="7">
        <v>0.83333333333333337</v>
      </c>
      <c r="E654">
        <v>2006</v>
      </c>
      <c r="F654" t="s">
        <v>1736</v>
      </c>
      <c r="G654" t="s">
        <v>1741</v>
      </c>
      <c r="H654" t="s">
        <v>1122</v>
      </c>
      <c r="I654" t="s">
        <v>1747</v>
      </c>
      <c r="J654" t="s">
        <v>128</v>
      </c>
      <c r="K654">
        <v>3</v>
      </c>
      <c r="L654">
        <v>1</v>
      </c>
      <c r="M654" t="s">
        <v>330</v>
      </c>
      <c r="O654" t="s">
        <v>1579</v>
      </c>
      <c r="P654" t="s">
        <v>1593</v>
      </c>
      <c r="Q654">
        <v>46000</v>
      </c>
      <c r="R654" t="s">
        <v>1157</v>
      </c>
      <c r="S654" t="str">
        <f>VLOOKUP(J654,Teams!A:B,2,FALSE)</f>
        <v>AUS</v>
      </c>
      <c r="T654" t="str">
        <f>VLOOKUP(M654,Teams!A:B,2,FALSE)</f>
        <v>JPN</v>
      </c>
    </row>
    <row r="655" spans="1:20" x14ac:dyDescent="0.25">
      <c r="A655" t="str">
        <f t="shared" si="10"/>
        <v>FIFAWC2006-10</v>
      </c>
      <c r="B655" s="4">
        <v>10</v>
      </c>
      <c r="C655" s="3">
        <v>38880</v>
      </c>
      <c r="D655" s="7">
        <v>0.95833333333333337</v>
      </c>
      <c r="E655">
        <v>2006</v>
      </c>
      <c r="F655" t="s">
        <v>1736</v>
      </c>
      <c r="G655" t="s">
        <v>1741</v>
      </c>
      <c r="H655" t="s">
        <v>1122</v>
      </c>
      <c r="I655" t="s">
        <v>1746</v>
      </c>
      <c r="J655" t="s">
        <v>702</v>
      </c>
      <c r="K655">
        <v>0</v>
      </c>
      <c r="L655">
        <v>3</v>
      </c>
      <c r="M655" t="s">
        <v>1078</v>
      </c>
      <c r="O655" t="s">
        <v>1575</v>
      </c>
      <c r="P655" t="s">
        <v>1583</v>
      </c>
      <c r="Q655">
        <v>52000</v>
      </c>
      <c r="R655" t="s">
        <v>1157</v>
      </c>
      <c r="S655" t="str">
        <f>VLOOKUP(J655,Teams!A:B,2,FALSE)</f>
        <v>USA</v>
      </c>
      <c r="T655" t="str">
        <f>VLOOKUP(M655,Teams!A:B,2,FALSE)</f>
        <v>CZE</v>
      </c>
    </row>
    <row r="656" spans="1:20" x14ac:dyDescent="0.25">
      <c r="A656" t="str">
        <f t="shared" si="10"/>
        <v>FIFAWC2006-11</v>
      </c>
      <c r="B656" s="4">
        <v>11</v>
      </c>
      <c r="C656" s="3">
        <v>38881</v>
      </c>
      <c r="D656" s="7">
        <v>8.3333333333333329E-2</v>
      </c>
      <c r="E656">
        <v>2006</v>
      </c>
      <c r="F656" t="s">
        <v>1736</v>
      </c>
      <c r="G656" t="s">
        <v>1741</v>
      </c>
      <c r="H656" t="s">
        <v>1122</v>
      </c>
      <c r="I656" t="s">
        <v>1746</v>
      </c>
      <c r="J656" t="s">
        <v>817</v>
      </c>
      <c r="K656">
        <v>2</v>
      </c>
      <c r="L656">
        <v>0</v>
      </c>
      <c r="M656" t="s">
        <v>798</v>
      </c>
      <c r="O656" t="s">
        <v>1337</v>
      </c>
      <c r="P656" t="s">
        <v>1162</v>
      </c>
      <c r="Q656">
        <v>43000</v>
      </c>
      <c r="R656" t="s">
        <v>1157</v>
      </c>
      <c r="S656" t="str">
        <f>VLOOKUP(J656,Teams!A:B,2,FALSE)</f>
        <v>ITA</v>
      </c>
      <c r="T656" t="str">
        <f>VLOOKUP(M656,Teams!A:B,2,FALSE)</f>
        <v>GHA</v>
      </c>
    </row>
    <row r="657" spans="1:20" x14ac:dyDescent="0.25">
      <c r="A657" t="str">
        <f>F657&amp;"-"&amp;B657</f>
        <v>FIFAWC2006-12</v>
      </c>
      <c r="B657" s="4">
        <v>12</v>
      </c>
      <c r="C657" s="3">
        <v>38881</v>
      </c>
      <c r="D657" s="7">
        <v>0.83333333333333337</v>
      </c>
      <c r="E657">
        <v>2006</v>
      </c>
      <c r="F657" t="s">
        <v>1736</v>
      </c>
      <c r="G657" t="s">
        <v>1741</v>
      </c>
      <c r="H657" t="s">
        <v>1122</v>
      </c>
      <c r="I657" t="s">
        <v>1748</v>
      </c>
      <c r="J657" t="s">
        <v>1056</v>
      </c>
      <c r="K657">
        <v>2</v>
      </c>
      <c r="L657">
        <v>1</v>
      </c>
      <c r="M657" t="s">
        <v>908</v>
      </c>
      <c r="O657" t="s">
        <v>1330</v>
      </c>
      <c r="P657" t="s">
        <v>1584</v>
      </c>
      <c r="Q657">
        <v>48000</v>
      </c>
      <c r="R657" t="s">
        <v>1157</v>
      </c>
      <c r="S657" t="str">
        <f>VLOOKUP(J657,Teams!A:B,2,FALSE)</f>
        <v>KOR</v>
      </c>
      <c r="T657" t="str">
        <f>VLOOKUP(M657,Teams!A:B,2,FALSE)</f>
        <v>TOG</v>
      </c>
    </row>
    <row r="658" spans="1:20" x14ac:dyDescent="0.25">
      <c r="A658" t="str">
        <f>F658&amp;"-"&amp;B658</f>
        <v>FIFAWC2006-13</v>
      </c>
      <c r="B658" s="4">
        <v>13</v>
      </c>
      <c r="C658" s="3">
        <v>38881</v>
      </c>
      <c r="D658" s="7">
        <v>0.95833333333333337</v>
      </c>
      <c r="E658">
        <v>2006</v>
      </c>
      <c r="F658" t="s">
        <v>1736</v>
      </c>
      <c r="G658" t="s">
        <v>1741</v>
      </c>
      <c r="H658" t="s">
        <v>1122</v>
      </c>
      <c r="I658" t="s">
        <v>1748</v>
      </c>
      <c r="J658" t="s">
        <v>224</v>
      </c>
      <c r="K658">
        <v>0</v>
      </c>
      <c r="L658">
        <v>0</v>
      </c>
      <c r="M658" t="s">
        <v>901</v>
      </c>
      <c r="O658" t="s">
        <v>1161</v>
      </c>
      <c r="P658" t="s">
        <v>1581</v>
      </c>
      <c r="Q658">
        <v>52000</v>
      </c>
      <c r="R658" t="s">
        <v>1157</v>
      </c>
      <c r="S658" t="str">
        <f>VLOOKUP(J658,Teams!A:B,2,FALSE)</f>
        <v>FRA</v>
      </c>
      <c r="T658" t="str">
        <f>VLOOKUP(M658,Teams!A:B,2,FALSE)</f>
        <v>SUI</v>
      </c>
    </row>
    <row r="659" spans="1:20" x14ac:dyDescent="0.25">
      <c r="A659" t="str">
        <f t="shared" si="10"/>
        <v>FIFAWC2006-14</v>
      </c>
      <c r="B659" s="4">
        <v>14</v>
      </c>
      <c r="C659" s="3">
        <v>38882</v>
      </c>
      <c r="D659" s="7">
        <v>8.3333333333333329E-2</v>
      </c>
      <c r="E659">
        <v>2006</v>
      </c>
      <c r="F659" t="s">
        <v>1736</v>
      </c>
      <c r="G659" t="s">
        <v>1741</v>
      </c>
      <c r="H659" t="s">
        <v>1122</v>
      </c>
      <c r="I659" t="s">
        <v>1747</v>
      </c>
      <c r="J659" t="s">
        <v>760</v>
      </c>
      <c r="K659">
        <v>1</v>
      </c>
      <c r="L659">
        <v>0</v>
      </c>
      <c r="M659" t="s">
        <v>775</v>
      </c>
      <c r="O659" t="s">
        <v>1325</v>
      </c>
      <c r="P659" t="s">
        <v>1542</v>
      </c>
      <c r="Q659">
        <v>72000</v>
      </c>
      <c r="R659" t="s">
        <v>1157</v>
      </c>
      <c r="S659" t="str">
        <f>VLOOKUP(J659,Teams!A:B,2,FALSE)</f>
        <v>BRA</v>
      </c>
      <c r="T659" t="str">
        <f>VLOOKUP(M659,Teams!A:B,2,FALSE)</f>
        <v>CRO</v>
      </c>
    </row>
    <row r="660" spans="1:20" x14ac:dyDescent="0.25">
      <c r="A660" t="str">
        <f>F660&amp;"-"&amp;B660</f>
        <v>FIFAWC2006-15</v>
      </c>
      <c r="B660" s="4">
        <v>15</v>
      </c>
      <c r="C660" s="3">
        <v>38882</v>
      </c>
      <c r="D660" s="7">
        <v>0.83333333333333337</v>
      </c>
      <c r="E660">
        <v>2006</v>
      </c>
      <c r="F660" t="s">
        <v>1736</v>
      </c>
      <c r="G660" t="s">
        <v>1741</v>
      </c>
      <c r="H660" t="s">
        <v>1122</v>
      </c>
      <c r="I660" t="s">
        <v>1749</v>
      </c>
      <c r="J660" t="s">
        <v>895</v>
      </c>
      <c r="K660">
        <v>4</v>
      </c>
      <c r="L660">
        <v>0</v>
      </c>
      <c r="M660" t="s">
        <v>689</v>
      </c>
      <c r="O660" t="s">
        <v>1582</v>
      </c>
      <c r="P660" t="s">
        <v>1567</v>
      </c>
      <c r="Q660">
        <v>43000</v>
      </c>
      <c r="R660" t="s">
        <v>1157</v>
      </c>
      <c r="S660" t="str">
        <f>VLOOKUP(J660,Teams!A:B,2,FALSE)</f>
        <v>ESP</v>
      </c>
      <c r="T660" t="str">
        <f>VLOOKUP(M660,Teams!A:B,2,FALSE)</f>
        <v>UKR</v>
      </c>
    </row>
    <row r="661" spans="1:20" x14ac:dyDescent="0.25">
      <c r="A661" t="str">
        <f>F661&amp;"-"&amp;B661</f>
        <v>FIFAWC2006-16</v>
      </c>
      <c r="B661" s="4">
        <v>16</v>
      </c>
      <c r="C661" s="3">
        <v>38882</v>
      </c>
      <c r="D661" s="7">
        <v>0.95833333333333337</v>
      </c>
      <c r="E661">
        <v>2006</v>
      </c>
      <c r="F661" t="s">
        <v>1736</v>
      </c>
      <c r="G661" t="s">
        <v>1741</v>
      </c>
      <c r="H661" t="s">
        <v>1122</v>
      </c>
      <c r="I661" t="s">
        <v>1749</v>
      </c>
      <c r="J661" t="s">
        <v>911</v>
      </c>
      <c r="K661">
        <v>2</v>
      </c>
      <c r="L661">
        <v>2</v>
      </c>
      <c r="M661" t="s">
        <v>882</v>
      </c>
      <c r="O661" t="s">
        <v>1573</v>
      </c>
      <c r="P661" t="s">
        <v>1588</v>
      </c>
      <c r="Q661">
        <v>66000</v>
      </c>
      <c r="R661" t="s">
        <v>1157</v>
      </c>
      <c r="S661" t="str">
        <f>VLOOKUP(J661,Teams!A:B,2,FALSE)</f>
        <v>TUN</v>
      </c>
      <c r="T661" t="str">
        <f>VLOOKUP(M661,Teams!A:B,2,FALSE)</f>
        <v>KSA</v>
      </c>
    </row>
    <row r="662" spans="1:20" x14ac:dyDescent="0.25">
      <c r="A662" t="str">
        <f t="shared" si="10"/>
        <v>FIFAWC2006-17</v>
      </c>
      <c r="B662" s="4">
        <v>17</v>
      </c>
      <c r="C662" s="3">
        <v>38883</v>
      </c>
      <c r="D662" s="7">
        <v>8.3333333333333329E-2</v>
      </c>
      <c r="E662">
        <v>2006</v>
      </c>
      <c r="F662" t="s">
        <v>1736</v>
      </c>
      <c r="G662" t="s">
        <v>1741</v>
      </c>
      <c r="H662" t="s">
        <v>1122</v>
      </c>
      <c r="I662" t="s">
        <v>1743</v>
      </c>
      <c r="J662" t="s">
        <v>797</v>
      </c>
      <c r="K662">
        <v>1</v>
      </c>
      <c r="L662">
        <v>0</v>
      </c>
      <c r="M662" t="s">
        <v>870</v>
      </c>
      <c r="O662" t="s">
        <v>1585</v>
      </c>
      <c r="P662" t="s">
        <v>1574</v>
      </c>
      <c r="Q662">
        <v>65000</v>
      </c>
      <c r="R662" t="s">
        <v>1157</v>
      </c>
      <c r="S662" t="str">
        <f>VLOOKUP(J662,Teams!A:B,2,FALSE)</f>
        <v>GER</v>
      </c>
      <c r="T662" t="str">
        <f>VLOOKUP(M662,Teams!A:B,2,FALSE)</f>
        <v>POL</v>
      </c>
    </row>
    <row r="663" spans="1:20" x14ac:dyDescent="0.25">
      <c r="A663" t="str">
        <f t="shared" si="10"/>
        <v>FIFAWC2006-18</v>
      </c>
      <c r="B663" s="4">
        <v>18</v>
      </c>
      <c r="C663" s="3">
        <v>38883</v>
      </c>
      <c r="D663" s="7">
        <v>0.83333333333333337</v>
      </c>
      <c r="E663">
        <v>2006</v>
      </c>
      <c r="F663" t="s">
        <v>1736</v>
      </c>
      <c r="G663" t="s">
        <v>1741</v>
      </c>
      <c r="H663" t="s">
        <v>1122</v>
      </c>
      <c r="I663" t="s">
        <v>1743</v>
      </c>
      <c r="J663" t="s">
        <v>782</v>
      </c>
      <c r="K663">
        <v>3</v>
      </c>
      <c r="L663">
        <v>0</v>
      </c>
      <c r="M663" t="s">
        <v>774</v>
      </c>
      <c r="O663" t="s">
        <v>1342</v>
      </c>
      <c r="P663" t="s">
        <v>1592</v>
      </c>
      <c r="Q663">
        <v>50000</v>
      </c>
      <c r="R663" t="s">
        <v>1157</v>
      </c>
      <c r="S663" t="str">
        <f>VLOOKUP(J663,Teams!A:B,2,FALSE)</f>
        <v>ECU</v>
      </c>
      <c r="T663" t="str">
        <f>VLOOKUP(M663,Teams!A:B,2,FALSE)</f>
        <v>CRC</v>
      </c>
    </row>
    <row r="664" spans="1:20" x14ac:dyDescent="0.25">
      <c r="A664" t="str">
        <f t="shared" si="10"/>
        <v>FIFAWC2006-19</v>
      </c>
      <c r="B664" s="4">
        <v>19</v>
      </c>
      <c r="C664" s="3">
        <v>38883</v>
      </c>
      <c r="D664" s="7">
        <v>0.95833333333333337</v>
      </c>
      <c r="E664">
        <v>2006</v>
      </c>
      <c r="F664" t="s">
        <v>1736</v>
      </c>
      <c r="G664" t="s">
        <v>1741</v>
      </c>
      <c r="H664" t="s">
        <v>1122</v>
      </c>
      <c r="I664" t="s">
        <v>1742</v>
      </c>
      <c r="J664" t="s">
        <v>1021</v>
      </c>
      <c r="K664">
        <v>2</v>
      </c>
      <c r="L664">
        <v>0</v>
      </c>
      <c r="M664" t="s">
        <v>910</v>
      </c>
      <c r="O664" t="s">
        <v>1580</v>
      </c>
      <c r="P664" t="s">
        <v>1572</v>
      </c>
      <c r="Q664">
        <v>41000</v>
      </c>
      <c r="R664" t="s">
        <v>1157</v>
      </c>
      <c r="S664" t="str">
        <f>VLOOKUP(J664,Teams!A:B,2,FALSE)</f>
        <v>ENG</v>
      </c>
      <c r="T664" t="str">
        <f>VLOOKUP(M664,Teams!A:B,2,FALSE)</f>
        <v>TRI</v>
      </c>
    </row>
    <row r="665" spans="1:20" x14ac:dyDescent="0.25">
      <c r="A665" t="str">
        <f t="shared" si="10"/>
        <v>FIFAWC2006-20</v>
      </c>
      <c r="B665" s="4">
        <v>20</v>
      </c>
      <c r="C665" s="3">
        <v>38884</v>
      </c>
      <c r="D665" s="7">
        <v>8.3333333333333329E-2</v>
      </c>
      <c r="E665">
        <v>2006</v>
      </c>
      <c r="F665" t="s">
        <v>1736</v>
      </c>
      <c r="G665" t="s">
        <v>1741</v>
      </c>
      <c r="H665" t="s">
        <v>1122</v>
      </c>
      <c r="I665" t="s">
        <v>1742</v>
      </c>
      <c r="J665" t="s">
        <v>900</v>
      </c>
      <c r="K665">
        <v>1</v>
      </c>
      <c r="L665">
        <v>0</v>
      </c>
      <c r="M665" t="s">
        <v>866</v>
      </c>
      <c r="O665" t="s">
        <v>1325</v>
      </c>
      <c r="P665" t="s">
        <v>1577</v>
      </c>
      <c r="Q665">
        <v>72000</v>
      </c>
      <c r="R665" t="s">
        <v>1157</v>
      </c>
      <c r="S665" t="str">
        <f>VLOOKUP(J665,Teams!A:B,2,FALSE)</f>
        <v>SWE</v>
      </c>
      <c r="T665" t="str">
        <f>VLOOKUP(M665,Teams!A:B,2,FALSE)</f>
        <v>PAR</v>
      </c>
    </row>
    <row r="666" spans="1:20" x14ac:dyDescent="0.25">
      <c r="A666" t="str">
        <f t="shared" si="10"/>
        <v>FIFAWC2006-21</v>
      </c>
      <c r="B666" s="4">
        <v>21</v>
      </c>
      <c r="C666" s="3">
        <v>38884</v>
      </c>
      <c r="D666" s="7">
        <v>0.83333333333333337</v>
      </c>
      <c r="E666">
        <v>2006</v>
      </c>
      <c r="F666" t="s">
        <v>1736</v>
      </c>
      <c r="G666" t="s">
        <v>1741</v>
      </c>
      <c r="H666" t="s">
        <v>1122</v>
      </c>
      <c r="I666" t="s">
        <v>1744</v>
      </c>
      <c r="J666" t="s">
        <v>749</v>
      </c>
      <c r="K666">
        <v>6</v>
      </c>
      <c r="L666">
        <v>0</v>
      </c>
      <c r="M666" t="s">
        <v>1590</v>
      </c>
      <c r="O666" t="s">
        <v>1575</v>
      </c>
      <c r="P666" t="s">
        <v>1553</v>
      </c>
      <c r="Q666">
        <v>52000</v>
      </c>
      <c r="R666" t="s">
        <v>1157</v>
      </c>
      <c r="S666" t="str">
        <f>VLOOKUP(J666,Teams!A:B,2,FALSE)</f>
        <v>ARG</v>
      </c>
      <c r="T666" t="str">
        <f>VLOOKUP(M666,Teams!A:B,2,FALSE)</f>
        <v>SCG</v>
      </c>
    </row>
    <row r="667" spans="1:20" x14ac:dyDescent="0.25">
      <c r="A667" t="str">
        <f t="shared" si="10"/>
        <v>FIFAWC2006-22</v>
      </c>
      <c r="B667" s="4">
        <v>22</v>
      </c>
      <c r="C667" s="3">
        <v>38884</v>
      </c>
      <c r="D667" s="7">
        <v>0.95833333333333337</v>
      </c>
      <c r="E667">
        <v>2006</v>
      </c>
      <c r="F667" t="s">
        <v>1736</v>
      </c>
      <c r="G667" t="s">
        <v>1741</v>
      </c>
      <c r="H667" t="s">
        <v>1122</v>
      </c>
      <c r="I667" t="s">
        <v>1744</v>
      </c>
      <c r="J667" t="s">
        <v>33</v>
      </c>
      <c r="K667">
        <v>2</v>
      </c>
      <c r="L667">
        <v>1</v>
      </c>
      <c r="M667" t="s">
        <v>1751</v>
      </c>
      <c r="O667" t="s">
        <v>1161</v>
      </c>
      <c r="P667" t="s">
        <v>1562</v>
      </c>
      <c r="Q667">
        <v>52000</v>
      </c>
      <c r="R667" t="s">
        <v>1157</v>
      </c>
      <c r="S667" t="str">
        <f>VLOOKUP(J667,Teams!A:B,2,FALSE)</f>
        <v>NED</v>
      </c>
      <c r="T667" t="str">
        <f>VLOOKUP(M667,Teams!A:B,2,FALSE)</f>
        <v>CIV</v>
      </c>
    </row>
    <row r="668" spans="1:20" x14ac:dyDescent="0.25">
      <c r="A668" t="str">
        <f t="shared" ref="A668:A732" si="11">F668&amp;"-"&amp;B668</f>
        <v>FIFAWC2006-23</v>
      </c>
      <c r="B668" s="4">
        <v>23</v>
      </c>
      <c r="C668" s="3">
        <v>38885</v>
      </c>
      <c r="D668" s="7">
        <v>8.3333333333333329E-2</v>
      </c>
      <c r="E668">
        <v>2006</v>
      </c>
      <c r="F668" t="s">
        <v>1736</v>
      </c>
      <c r="G668" t="s">
        <v>1741</v>
      </c>
      <c r="H668" t="s">
        <v>1122</v>
      </c>
      <c r="I668" t="s">
        <v>1745</v>
      </c>
      <c r="J668" t="s">
        <v>845</v>
      </c>
      <c r="K668">
        <v>0</v>
      </c>
      <c r="L668">
        <v>0</v>
      </c>
      <c r="M668" t="s">
        <v>748</v>
      </c>
      <c r="O668" t="s">
        <v>1337</v>
      </c>
      <c r="P668" t="s">
        <v>1591</v>
      </c>
      <c r="Q668">
        <v>43000</v>
      </c>
      <c r="R668" t="s">
        <v>1157</v>
      </c>
      <c r="S668" t="str">
        <f>VLOOKUP(J668,Teams!A:B,2,FALSE)</f>
        <v>MEX</v>
      </c>
      <c r="T668" t="str">
        <f>VLOOKUP(M668,Teams!A:B,2,FALSE)</f>
        <v>ANG</v>
      </c>
    </row>
    <row r="669" spans="1:20" x14ac:dyDescent="0.25">
      <c r="A669" t="str">
        <f t="shared" si="11"/>
        <v>FIFAWC2006-24</v>
      </c>
      <c r="B669" s="4">
        <v>24</v>
      </c>
      <c r="C669" s="3">
        <v>38885</v>
      </c>
      <c r="D669" s="7">
        <v>0.83333333333333337</v>
      </c>
      <c r="E669">
        <v>2006</v>
      </c>
      <c r="F669" t="s">
        <v>1736</v>
      </c>
      <c r="G669" t="s">
        <v>1741</v>
      </c>
      <c r="H669" t="s">
        <v>1122</v>
      </c>
      <c r="I669" t="s">
        <v>1745</v>
      </c>
      <c r="J669" t="s">
        <v>871</v>
      </c>
      <c r="K669">
        <v>2</v>
      </c>
      <c r="L669">
        <v>0</v>
      </c>
      <c r="M669" t="s">
        <v>1051</v>
      </c>
      <c r="O669" t="s">
        <v>1330</v>
      </c>
      <c r="P669" t="s">
        <v>1586</v>
      </c>
      <c r="Q669">
        <v>48000</v>
      </c>
      <c r="R669" t="s">
        <v>1157</v>
      </c>
      <c r="S669" t="str">
        <f>VLOOKUP(J669,Teams!A:B,2,FALSE)</f>
        <v>POR</v>
      </c>
      <c r="T669" t="str">
        <f>VLOOKUP(M669,Teams!A:B,2,FALSE)</f>
        <v>IRN</v>
      </c>
    </row>
    <row r="670" spans="1:20" x14ac:dyDescent="0.25">
      <c r="A670" t="str">
        <f t="shared" si="11"/>
        <v>FIFAWC2006-25</v>
      </c>
      <c r="B670" s="4">
        <v>25</v>
      </c>
      <c r="C670" s="3">
        <v>38885</v>
      </c>
      <c r="D670" s="7">
        <v>0.95833333333333337</v>
      </c>
      <c r="E670">
        <v>2006</v>
      </c>
      <c r="F670" t="s">
        <v>1736</v>
      </c>
      <c r="G670" t="s">
        <v>1741</v>
      </c>
      <c r="H670" t="s">
        <v>1122</v>
      </c>
      <c r="I670" t="s">
        <v>1746</v>
      </c>
      <c r="J670" t="s">
        <v>1078</v>
      </c>
      <c r="K670">
        <v>0</v>
      </c>
      <c r="L670">
        <v>2</v>
      </c>
      <c r="M670" t="s">
        <v>798</v>
      </c>
      <c r="O670" t="s">
        <v>1578</v>
      </c>
      <c r="Q670">
        <v>45000</v>
      </c>
      <c r="R670" t="s">
        <v>1157</v>
      </c>
      <c r="S670" t="str">
        <f>VLOOKUP(J670,Teams!A:B,2,FALSE)</f>
        <v>CZE</v>
      </c>
      <c r="T670" t="str">
        <f>VLOOKUP(M670,Teams!A:B,2,FALSE)</f>
        <v>GHA</v>
      </c>
    </row>
    <row r="671" spans="1:20" x14ac:dyDescent="0.25">
      <c r="A671" t="str">
        <f t="shared" si="11"/>
        <v>FIFAWC2006-26</v>
      </c>
      <c r="B671" s="4">
        <v>26</v>
      </c>
      <c r="C671" s="3">
        <v>38886</v>
      </c>
      <c r="D671" s="7">
        <v>8.3333333333333329E-2</v>
      </c>
      <c r="E671">
        <v>2006</v>
      </c>
      <c r="F671" t="s">
        <v>1736</v>
      </c>
      <c r="G671" t="s">
        <v>1741</v>
      </c>
      <c r="H671" t="s">
        <v>1122</v>
      </c>
      <c r="I671" t="s">
        <v>1746</v>
      </c>
      <c r="J671" t="s">
        <v>817</v>
      </c>
      <c r="K671">
        <v>1</v>
      </c>
      <c r="L671">
        <v>1</v>
      </c>
      <c r="M671" t="s">
        <v>702</v>
      </c>
      <c r="O671" t="s">
        <v>1579</v>
      </c>
      <c r="P671" t="s">
        <v>1555</v>
      </c>
      <c r="Q671">
        <v>46000</v>
      </c>
      <c r="R671" t="s">
        <v>1157</v>
      </c>
      <c r="S671" t="str">
        <f>VLOOKUP(J671,Teams!A:B,2,FALSE)</f>
        <v>ITA</v>
      </c>
      <c r="T671" t="str">
        <f>VLOOKUP(M671,Teams!A:B,2,FALSE)</f>
        <v>USA</v>
      </c>
    </row>
    <row r="672" spans="1:20" x14ac:dyDescent="0.25">
      <c r="A672" t="str">
        <f t="shared" si="11"/>
        <v>FIFAWC2006-27</v>
      </c>
      <c r="B672" s="4">
        <v>27</v>
      </c>
      <c r="C672" s="3">
        <v>38886</v>
      </c>
      <c r="D672" s="7">
        <v>0.83333333333333337</v>
      </c>
      <c r="E672">
        <v>2006</v>
      </c>
      <c r="F672" t="s">
        <v>1736</v>
      </c>
      <c r="G672" t="s">
        <v>1741</v>
      </c>
      <c r="H672" t="s">
        <v>1122</v>
      </c>
      <c r="I672" t="s">
        <v>1747</v>
      </c>
      <c r="J672" t="s">
        <v>330</v>
      </c>
      <c r="K672">
        <v>0</v>
      </c>
      <c r="L672">
        <v>0</v>
      </c>
      <c r="M672" t="s">
        <v>775</v>
      </c>
      <c r="O672" t="s">
        <v>1580</v>
      </c>
      <c r="P672" t="s">
        <v>1551</v>
      </c>
      <c r="Q672">
        <v>41000</v>
      </c>
      <c r="R672" t="s">
        <v>1157</v>
      </c>
      <c r="S672" t="str">
        <f>VLOOKUP(J672,Teams!A:B,2,FALSE)</f>
        <v>JPN</v>
      </c>
      <c r="T672" t="str">
        <f>VLOOKUP(M672,Teams!A:B,2,FALSE)</f>
        <v>CRO</v>
      </c>
    </row>
    <row r="673" spans="1:20" x14ac:dyDescent="0.25">
      <c r="A673" t="str">
        <f t="shared" si="11"/>
        <v>FIFAWC2006-28</v>
      </c>
      <c r="B673" s="4">
        <v>28</v>
      </c>
      <c r="C673" s="3">
        <v>38886</v>
      </c>
      <c r="D673" s="7">
        <v>0.95833333333333337</v>
      </c>
      <c r="E673">
        <v>2006</v>
      </c>
      <c r="F673" t="s">
        <v>1736</v>
      </c>
      <c r="G673" t="s">
        <v>1741</v>
      </c>
      <c r="H673" t="s">
        <v>1122</v>
      </c>
      <c r="I673" t="s">
        <v>1747</v>
      </c>
      <c r="J673" t="s">
        <v>760</v>
      </c>
      <c r="K673">
        <v>2</v>
      </c>
      <c r="L673">
        <v>0</v>
      </c>
      <c r="M673" t="s">
        <v>128</v>
      </c>
      <c r="O673" t="s">
        <v>1573</v>
      </c>
      <c r="P673" t="s">
        <v>1587</v>
      </c>
      <c r="Q673">
        <v>66000</v>
      </c>
      <c r="R673" t="s">
        <v>1157</v>
      </c>
      <c r="S673" t="str">
        <f>VLOOKUP(J673,Teams!A:B,2,FALSE)</f>
        <v>BRA</v>
      </c>
      <c r="T673" t="str">
        <f>VLOOKUP(M673,Teams!A:B,2,FALSE)</f>
        <v>AUS</v>
      </c>
    </row>
    <row r="674" spans="1:20" x14ac:dyDescent="0.25">
      <c r="A674" t="str">
        <f t="shared" si="11"/>
        <v>FIFAWC2006-29</v>
      </c>
      <c r="B674" s="4">
        <v>29</v>
      </c>
      <c r="C674" s="3">
        <v>38887</v>
      </c>
      <c r="D674" s="7">
        <v>8.3333333333333329E-2</v>
      </c>
      <c r="E674">
        <v>2006</v>
      </c>
      <c r="F674" t="s">
        <v>1736</v>
      </c>
      <c r="G674" t="s">
        <v>1741</v>
      </c>
      <c r="H674" t="s">
        <v>1122</v>
      </c>
      <c r="I674" t="s">
        <v>1748</v>
      </c>
      <c r="J674" t="s">
        <v>224</v>
      </c>
      <c r="K674">
        <v>1</v>
      </c>
      <c r="L674">
        <v>1</v>
      </c>
      <c r="M674" t="s">
        <v>1056</v>
      </c>
      <c r="O674" t="s">
        <v>1582</v>
      </c>
      <c r="P674" t="s">
        <v>1542</v>
      </c>
      <c r="Q674">
        <v>43000</v>
      </c>
      <c r="R674" t="s">
        <v>1157</v>
      </c>
      <c r="S674" t="str">
        <f>VLOOKUP(J674,Teams!A:B,2,FALSE)</f>
        <v>FRA</v>
      </c>
      <c r="T674" t="str">
        <f>VLOOKUP(M674,Teams!A:B,2,FALSE)</f>
        <v>KOR</v>
      </c>
    </row>
    <row r="675" spans="1:20" x14ac:dyDescent="0.25">
      <c r="A675" t="str">
        <f t="shared" si="11"/>
        <v>FIFAWC2006-30</v>
      </c>
      <c r="B675" s="4">
        <v>30</v>
      </c>
      <c r="C675" s="3">
        <v>38887</v>
      </c>
      <c r="D675" s="7">
        <v>0.83333333333333337</v>
      </c>
      <c r="E675">
        <v>2006</v>
      </c>
      <c r="F675" t="s">
        <v>1736</v>
      </c>
      <c r="G675" t="s">
        <v>1741</v>
      </c>
      <c r="H675" t="s">
        <v>1122</v>
      </c>
      <c r="I675" t="s">
        <v>1748</v>
      </c>
      <c r="J675" t="s">
        <v>908</v>
      </c>
      <c r="K675">
        <v>0</v>
      </c>
      <c r="L675">
        <v>2</v>
      </c>
      <c r="M675" t="s">
        <v>901</v>
      </c>
      <c r="O675" t="s">
        <v>1585</v>
      </c>
      <c r="P675" t="s">
        <v>1583</v>
      </c>
      <c r="Q675">
        <v>65000</v>
      </c>
      <c r="R675" t="s">
        <v>1157</v>
      </c>
      <c r="S675" t="str">
        <f>VLOOKUP(J675,Teams!A:B,2,FALSE)</f>
        <v>TOG</v>
      </c>
      <c r="T675" t="str">
        <f>VLOOKUP(M675,Teams!A:B,2,FALSE)</f>
        <v>SUI</v>
      </c>
    </row>
    <row r="676" spans="1:20" x14ac:dyDescent="0.25">
      <c r="A676" t="str">
        <f t="shared" si="11"/>
        <v>FIFAWC2006-31</v>
      </c>
      <c r="B676" s="4">
        <v>31</v>
      </c>
      <c r="C676" s="3">
        <v>38887</v>
      </c>
      <c r="D676" s="7">
        <v>0.95833333333333337</v>
      </c>
      <c r="E676">
        <v>2006</v>
      </c>
      <c r="F676" t="s">
        <v>1736</v>
      </c>
      <c r="G676" t="s">
        <v>1741</v>
      </c>
      <c r="H676" t="s">
        <v>1122</v>
      </c>
      <c r="I676" t="s">
        <v>1749</v>
      </c>
      <c r="J676" t="s">
        <v>882</v>
      </c>
      <c r="K676">
        <v>0</v>
      </c>
      <c r="L676">
        <v>4</v>
      </c>
      <c r="M676" t="s">
        <v>689</v>
      </c>
      <c r="N676" t="s">
        <v>882</v>
      </c>
      <c r="O676" t="s">
        <v>1342</v>
      </c>
      <c r="P676" t="s">
        <v>1584</v>
      </c>
      <c r="Q676">
        <v>50000</v>
      </c>
      <c r="R676" t="s">
        <v>1157</v>
      </c>
      <c r="S676" t="str">
        <f>VLOOKUP(J676,Teams!A:B,2,FALSE)</f>
        <v>KSA</v>
      </c>
      <c r="T676" t="str">
        <f>VLOOKUP(M676,Teams!A:B,2,FALSE)</f>
        <v>UKR</v>
      </c>
    </row>
    <row r="677" spans="1:20" x14ac:dyDescent="0.25">
      <c r="A677" t="str">
        <f t="shared" si="11"/>
        <v>FIFAWC2006-32</v>
      </c>
      <c r="B677" s="4">
        <v>32</v>
      </c>
      <c r="C677" s="3">
        <v>38888</v>
      </c>
      <c r="D677" s="7">
        <v>8.3333333333333329E-2</v>
      </c>
      <c r="E677">
        <v>2006</v>
      </c>
      <c r="F677" t="s">
        <v>1736</v>
      </c>
      <c r="G677" t="s">
        <v>1741</v>
      </c>
      <c r="H677" t="s">
        <v>1122</v>
      </c>
      <c r="I677" t="s">
        <v>1749</v>
      </c>
      <c r="J677" t="s">
        <v>895</v>
      </c>
      <c r="K677">
        <v>3</v>
      </c>
      <c r="L677">
        <v>1</v>
      </c>
      <c r="M677" t="s">
        <v>911</v>
      </c>
      <c r="O677" t="s">
        <v>1161</v>
      </c>
      <c r="P677" t="s">
        <v>1162</v>
      </c>
      <c r="Q677">
        <v>52000</v>
      </c>
      <c r="R677" t="s">
        <v>1157</v>
      </c>
      <c r="S677" t="str">
        <f>VLOOKUP(J677,Teams!A:B,2,FALSE)</f>
        <v>ESP</v>
      </c>
      <c r="T677" t="str">
        <f>VLOOKUP(M677,Teams!A:B,2,FALSE)</f>
        <v>TUN</v>
      </c>
    </row>
    <row r="678" spans="1:20" x14ac:dyDescent="0.25">
      <c r="A678" t="str">
        <f t="shared" si="11"/>
        <v>FIFAWC2006-33</v>
      </c>
      <c r="B678" s="4">
        <v>33</v>
      </c>
      <c r="C678" s="3">
        <v>38888</v>
      </c>
      <c r="D678" s="7">
        <v>0.83333333333333337</v>
      </c>
      <c r="E678">
        <v>2006</v>
      </c>
      <c r="F678" t="s">
        <v>1736</v>
      </c>
      <c r="G678" t="s">
        <v>1741</v>
      </c>
      <c r="H678" t="s">
        <v>1122</v>
      </c>
      <c r="I678" t="s">
        <v>1743</v>
      </c>
      <c r="J678" t="s">
        <v>782</v>
      </c>
      <c r="K678">
        <v>0</v>
      </c>
      <c r="L678">
        <v>3</v>
      </c>
      <c r="M678" t="s">
        <v>797</v>
      </c>
      <c r="O678" t="s">
        <v>1325</v>
      </c>
      <c r="P678" t="s">
        <v>1581</v>
      </c>
      <c r="Q678">
        <v>72000</v>
      </c>
      <c r="R678" t="s">
        <v>1157</v>
      </c>
      <c r="S678" t="str">
        <f>VLOOKUP(J678,Teams!A:B,2,FALSE)</f>
        <v>ECU</v>
      </c>
      <c r="T678" t="str">
        <f>VLOOKUP(M678,Teams!A:B,2,FALSE)</f>
        <v>GER</v>
      </c>
    </row>
    <row r="679" spans="1:20" x14ac:dyDescent="0.25">
      <c r="A679" t="str">
        <f t="shared" si="11"/>
        <v>FIFAWC2006-34</v>
      </c>
      <c r="B679" s="4">
        <v>34</v>
      </c>
      <c r="C679" s="3">
        <v>38888</v>
      </c>
      <c r="D679" s="7">
        <v>0.95833333333333337</v>
      </c>
      <c r="E679">
        <v>2006</v>
      </c>
      <c r="F679" t="s">
        <v>1736</v>
      </c>
      <c r="G679" t="s">
        <v>1741</v>
      </c>
      <c r="H679" t="s">
        <v>1122</v>
      </c>
      <c r="I679" t="s">
        <v>1743</v>
      </c>
      <c r="J679" t="s">
        <v>774</v>
      </c>
      <c r="K679">
        <v>1</v>
      </c>
      <c r="L679">
        <v>2</v>
      </c>
      <c r="M679" t="s">
        <v>870</v>
      </c>
      <c r="O679" t="s">
        <v>1337</v>
      </c>
      <c r="P679" t="s">
        <v>1591</v>
      </c>
      <c r="Q679">
        <v>43000</v>
      </c>
      <c r="R679" t="s">
        <v>1157</v>
      </c>
      <c r="S679" t="str">
        <f>VLOOKUP(J679,Teams!A:B,2,FALSE)</f>
        <v>CRC</v>
      </c>
      <c r="T679" t="str">
        <f>VLOOKUP(M679,Teams!A:B,2,FALSE)</f>
        <v>POL</v>
      </c>
    </row>
    <row r="680" spans="1:20" x14ac:dyDescent="0.25">
      <c r="A680" t="str">
        <f>F680&amp;"-"&amp;B680</f>
        <v>FIFAWC2006-35</v>
      </c>
      <c r="B680" s="4">
        <v>35</v>
      </c>
      <c r="C680" s="3">
        <v>38889</v>
      </c>
      <c r="D680" s="7">
        <v>8.3333333333333329E-2</v>
      </c>
      <c r="E680">
        <v>2006</v>
      </c>
      <c r="F680" t="s">
        <v>1736</v>
      </c>
      <c r="G680" t="s">
        <v>1741</v>
      </c>
      <c r="H680" t="s">
        <v>1122</v>
      </c>
      <c r="I680" t="s">
        <v>1742</v>
      </c>
      <c r="J680" t="s">
        <v>866</v>
      </c>
      <c r="K680">
        <v>2</v>
      </c>
      <c r="L680">
        <v>0</v>
      </c>
      <c r="M680" t="s">
        <v>910</v>
      </c>
      <c r="O680" t="s">
        <v>1579</v>
      </c>
      <c r="P680" t="s">
        <v>1553</v>
      </c>
      <c r="Q680">
        <v>46000</v>
      </c>
      <c r="R680" t="s">
        <v>1157</v>
      </c>
      <c r="S680" t="str">
        <f>VLOOKUP(J680,Teams!A:B,2,FALSE)</f>
        <v>PAR</v>
      </c>
      <c r="T680" t="str">
        <f>VLOOKUP(M680,Teams!A:B,2,FALSE)</f>
        <v>TRI</v>
      </c>
    </row>
    <row r="681" spans="1:20" x14ac:dyDescent="0.25">
      <c r="A681" t="str">
        <f t="shared" si="11"/>
        <v>FIFAWC2006-36</v>
      </c>
      <c r="B681" s="4">
        <v>36</v>
      </c>
      <c r="C681" s="3">
        <v>38889</v>
      </c>
      <c r="D681" s="7">
        <v>8.3333333333333329E-2</v>
      </c>
      <c r="E681">
        <v>2006</v>
      </c>
      <c r="F681" t="s">
        <v>1736</v>
      </c>
      <c r="G681" t="s">
        <v>1741</v>
      </c>
      <c r="H681" t="s">
        <v>1122</v>
      </c>
      <c r="I681" t="s">
        <v>1742</v>
      </c>
      <c r="J681" t="s">
        <v>900</v>
      </c>
      <c r="K681">
        <v>2</v>
      </c>
      <c r="L681">
        <v>2</v>
      </c>
      <c r="M681" t="s">
        <v>1021</v>
      </c>
      <c r="O681" t="s">
        <v>1578</v>
      </c>
      <c r="P681" t="s">
        <v>1567</v>
      </c>
      <c r="Q681">
        <v>45000</v>
      </c>
      <c r="R681" t="s">
        <v>1157</v>
      </c>
      <c r="S681" t="str">
        <f>VLOOKUP(J681,Teams!A:B,2,FALSE)</f>
        <v>SWE</v>
      </c>
      <c r="T681" t="str">
        <f>VLOOKUP(M681,Teams!A:B,2,FALSE)</f>
        <v>ENG</v>
      </c>
    </row>
    <row r="682" spans="1:20" x14ac:dyDescent="0.25">
      <c r="A682" t="str">
        <f>F682&amp;"-"&amp;B682</f>
        <v>FIFAWC2006-37</v>
      </c>
      <c r="B682" s="4">
        <v>37</v>
      </c>
      <c r="C682" s="3">
        <v>38889</v>
      </c>
      <c r="D682" s="7">
        <v>0.875</v>
      </c>
      <c r="E682">
        <v>2006</v>
      </c>
      <c r="F682" t="s">
        <v>1736</v>
      </c>
      <c r="G682" t="s">
        <v>1741</v>
      </c>
      <c r="H682" t="s">
        <v>1122</v>
      </c>
      <c r="I682" t="s">
        <v>1745</v>
      </c>
      <c r="J682" t="s">
        <v>1051</v>
      </c>
      <c r="K682">
        <v>1</v>
      </c>
      <c r="L682">
        <v>1</v>
      </c>
      <c r="M682" t="s">
        <v>748</v>
      </c>
      <c r="O682" t="s">
        <v>1582</v>
      </c>
      <c r="P682" t="s">
        <v>1588</v>
      </c>
      <c r="Q682">
        <v>38000</v>
      </c>
      <c r="R682" t="s">
        <v>1157</v>
      </c>
      <c r="S682" t="str">
        <f>VLOOKUP(J682,Teams!A:B,2,FALSE)</f>
        <v>IRN</v>
      </c>
      <c r="T682" t="str">
        <f>VLOOKUP(M682,Teams!A:B,2,FALSE)</f>
        <v>ANG</v>
      </c>
    </row>
    <row r="683" spans="1:20" x14ac:dyDescent="0.25">
      <c r="A683" t="str">
        <f>F683&amp;"-"&amp;B683</f>
        <v>FIFAWC2006-38</v>
      </c>
      <c r="B683" s="4">
        <v>38</v>
      </c>
      <c r="C683" s="3">
        <v>38889</v>
      </c>
      <c r="D683" s="7">
        <v>0.875</v>
      </c>
      <c r="E683">
        <v>2006</v>
      </c>
      <c r="F683" t="s">
        <v>1736</v>
      </c>
      <c r="G683" t="s">
        <v>1741</v>
      </c>
      <c r="H683" t="s">
        <v>1122</v>
      </c>
      <c r="I683" t="s">
        <v>1745</v>
      </c>
      <c r="J683" t="s">
        <v>871</v>
      </c>
      <c r="K683">
        <v>2</v>
      </c>
      <c r="L683">
        <v>1</v>
      </c>
      <c r="M683" t="s">
        <v>845</v>
      </c>
      <c r="O683" t="s">
        <v>1575</v>
      </c>
      <c r="P683" t="s">
        <v>1589</v>
      </c>
      <c r="Q683">
        <v>52000</v>
      </c>
      <c r="R683" t="s">
        <v>1157</v>
      </c>
      <c r="S683" t="str">
        <f>VLOOKUP(J683,Teams!A:B,2,FALSE)</f>
        <v>POR</v>
      </c>
      <c r="T683" t="str">
        <f>VLOOKUP(M683,Teams!A:B,2,FALSE)</f>
        <v>MEX</v>
      </c>
    </row>
    <row r="684" spans="1:20" x14ac:dyDescent="0.25">
      <c r="A684" t="str">
        <f>F684&amp;"-"&amp;B684</f>
        <v>FIFAWC2006-39</v>
      </c>
      <c r="B684" s="4">
        <v>39</v>
      </c>
      <c r="C684" s="3">
        <v>38890</v>
      </c>
      <c r="D684" s="7">
        <v>8.3333333333333329E-2</v>
      </c>
      <c r="E684">
        <v>2006</v>
      </c>
      <c r="F684" t="s">
        <v>1736</v>
      </c>
      <c r="G684" t="s">
        <v>1741</v>
      </c>
      <c r="H684" t="s">
        <v>1122</v>
      </c>
      <c r="I684" t="s">
        <v>1744</v>
      </c>
      <c r="J684" t="s">
        <v>1751</v>
      </c>
      <c r="K684">
        <v>3</v>
      </c>
      <c r="L684">
        <v>2</v>
      </c>
      <c r="M684" t="s">
        <v>1590</v>
      </c>
      <c r="O684" t="s">
        <v>1573</v>
      </c>
      <c r="P684" t="s">
        <v>1468</v>
      </c>
      <c r="Q684">
        <v>66000</v>
      </c>
      <c r="R684" t="s">
        <v>1157</v>
      </c>
      <c r="S684" t="str">
        <f>VLOOKUP(J684,Teams!A:B,2,FALSE)</f>
        <v>CIV</v>
      </c>
      <c r="T684" t="str">
        <f>VLOOKUP(M684,Teams!A:B,2,FALSE)</f>
        <v>SCG</v>
      </c>
    </row>
    <row r="685" spans="1:20" x14ac:dyDescent="0.25">
      <c r="A685" t="str">
        <f t="shared" si="11"/>
        <v>FIFAWC2006-40</v>
      </c>
      <c r="B685" s="4">
        <v>40</v>
      </c>
      <c r="C685" s="3">
        <v>38890</v>
      </c>
      <c r="D685" s="7">
        <v>8.3333333333333329E-2</v>
      </c>
      <c r="E685">
        <v>2006</v>
      </c>
      <c r="F685" t="s">
        <v>1736</v>
      </c>
      <c r="G685" t="s">
        <v>1741</v>
      </c>
      <c r="H685" t="s">
        <v>1122</v>
      </c>
      <c r="I685" t="s">
        <v>1744</v>
      </c>
      <c r="J685" t="s">
        <v>33</v>
      </c>
      <c r="K685">
        <v>0</v>
      </c>
      <c r="L685">
        <v>0</v>
      </c>
      <c r="M685" t="s">
        <v>749</v>
      </c>
      <c r="O685" t="s">
        <v>1330</v>
      </c>
      <c r="P685" t="s">
        <v>1574</v>
      </c>
      <c r="Q685">
        <v>48000</v>
      </c>
      <c r="R685" t="s">
        <v>1157</v>
      </c>
      <c r="S685" t="str">
        <f>VLOOKUP(J685,Teams!A:B,2,FALSE)</f>
        <v>NED</v>
      </c>
      <c r="T685" t="str">
        <f>VLOOKUP(M685,Teams!A:B,2,FALSE)</f>
        <v>ARG</v>
      </c>
    </row>
    <row r="686" spans="1:20" x14ac:dyDescent="0.25">
      <c r="A686" t="str">
        <f t="shared" si="11"/>
        <v>FIFAWC2006-41</v>
      </c>
      <c r="B686" s="4">
        <v>41</v>
      </c>
      <c r="C686" s="3">
        <v>38890</v>
      </c>
      <c r="D686" s="7">
        <v>0.875</v>
      </c>
      <c r="E686">
        <v>2006</v>
      </c>
      <c r="F686" t="s">
        <v>1736</v>
      </c>
      <c r="G686" t="s">
        <v>1741</v>
      </c>
      <c r="H686" t="s">
        <v>1122</v>
      </c>
      <c r="I686" t="s">
        <v>1746</v>
      </c>
      <c r="J686" t="s">
        <v>1078</v>
      </c>
      <c r="K686">
        <v>0</v>
      </c>
      <c r="L686">
        <v>2</v>
      </c>
      <c r="M686" t="s">
        <v>817</v>
      </c>
      <c r="O686" t="s">
        <v>1342</v>
      </c>
      <c r="P686" t="s">
        <v>1542</v>
      </c>
      <c r="Q686">
        <v>50000</v>
      </c>
      <c r="R686" t="s">
        <v>1157</v>
      </c>
      <c r="S686" t="str">
        <f>VLOOKUP(J686,Teams!A:B,2,FALSE)</f>
        <v>CZE</v>
      </c>
      <c r="T686" t="str">
        <f>VLOOKUP(M686,Teams!A:B,2,FALSE)</f>
        <v>ITA</v>
      </c>
    </row>
    <row r="687" spans="1:20" x14ac:dyDescent="0.25">
      <c r="A687" t="str">
        <f t="shared" si="11"/>
        <v>FIFAWC2006-42</v>
      </c>
      <c r="B687" s="4">
        <v>42</v>
      </c>
      <c r="C687" s="3">
        <v>38890</v>
      </c>
      <c r="D687" s="7">
        <v>0.875</v>
      </c>
      <c r="E687">
        <v>2006</v>
      </c>
      <c r="F687" t="s">
        <v>1736</v>
      </c>
      <c r="G687" t="s">
        <v>1741</v>
      </c>
      <c r="H687" t="s">
        <v>1122</v>
      </c>
      <c r="I687" t="s">
        <v>1746</v>
      </c>
      <c r="J687" t="s">
        <v>702</v>
      </c>
      <c r="K687">
        <v>1</v>
      </c>
      <c r="L687">
        <v>2</v>
      </c>
      <c r="M687" t="s">
        <v>798</v>
      </c>
      <c r="O687" t="s">
        <v>1580</v>
      </c>
      <c r="P687" t="s">
        <v>1587</v>
      </c>
      <c r="Q687">
        <v>41000</v>
      </c>
      <c r="R687" t="s">
        <v>1157</v>
      </c>
      <c r="S687" t="str">
        <f>VLOOKUP(J687,Teams!A:B,2,FALSE)</f>
        <v>USA</v>
      </c>
      <c r="T687" t="str">
        <f>VLOOKUP(M687,Teams!A:B,2,FALSE)</f>
        <v>GHA</v>
      </c>
    </row>
    <row r="688" spans="1:20" x14ac:dyDescent="0.25">
      <c r="A688" t="str">
        <f>F688&amp;"-"&amp;B688</f>
        <v>FIFAWC2006-43</v>
      </c>
      <c r="B688" s="4">
        <v>43</v>
      </c>
      <c r="C688" s="3">
        <v>38891</v>
      </c>
      <c r="D688" s="7">
        <v>8.3333333333333329E-2</v>
      </c>
      <c r="E688">
        <v>2006</v>
      </c>
      <c r="F688" t="s">
        <v>1736</v>
      </c>
      <c r="G688" t="s">
        <v>1741</v>
      </c>
      <c r="H688" t="s">
        <v>1122</v>
      </c>
      <c r="I688" t="s">
        <v>1747</v>
      </c>
      <c r="J688" t="s">
        <v>775</v>
      </c>
      <c r="K688">
        <v>2</v>
      </c>
      <c r="L688">
        <v>2</v>
      </c>
      <c r="M688" t="s">
        <v>128</v>
      </c>
      <c r="O688" t="s">
        <v>1161</v>
      </c>
      <c r="P688" t="s">
        <v>1584</v>
      </c>
      <c r="Q688">
        <v>52000</v>
      </c>
      <c r="R688" t="s">
        <v>1157</v>
      </c>
      <c r="S688" t="str">
        <f>VLOOKUP(J688,Teams!A:B,2,FALSE)</f>
        <v>CRO</v>
      </c>
      <c r="T688" t="str">
        <f>VLOOKUP(M688,Teams!A:B,2,FALSE)</f>
        <v>AUS</v>
      </c>
    </row>
    <row r="689" spans="1:20" x14ac:dyDescent="0.25">
      <c r="A689" t="str">
        <f t="shared" si="11"/>
        <v>FIFAWC2006-44</v>
      </c>
      <c r="B689" s="4">
        <v>44</v>
      </c>
      <c r="C689" s="3">
        <v>38891</v>
      </c>
      <c r="D689" s="7">
        <v>8.3333333333333329E-2</v>
      </c>
      <c r="E689">
        <v>2006</v>
      </c>
      <c r="F689" t="s">
        <v>1736</v>
      </c>
      <c r="G689" t="s">
        <v>1741</v>
      </c>
      <c r="H689" t="s">
        <v>1122</v>
      </c>
      <c r="I689" t="s">
        <v>1747</v>
      </c>
      <c r="J689" t="s">
        <v>330</v>
      </c>
      <c r="K689">
        <v>1</v>
      </c>
      <c r="L689">
        <v>4</v>
      </c>
      <c r="M689" t="s">
        <v>760</v>
      </c>
      <c r="O689" t="s">
        <v>1585</v>
      </c>
      <c r="P689" t="s">
        <v>1586</v>
      </c>
      <c r="Q689">
        <v>65000</v>
      </c>
      <c r="R689" t="s">
        <v>1157</v>
      </c>
      <c r="S689" t="str">
        <f>VLOOKUP(J689,Teams!A:B,2,FALSE)</f>
        <v>JPN</v>
      </c>
      <c r="T689" t="str">
        <f>VLOOKUP(M689,Teams!A:B,2,FALSE)</f>
        <v>BRA</v>
      </c>
    </row>
    <row r="690" spans="1:20" x14ac:dyDescent="0.25">
      <c r="A690" t="str">
        <f>F690&amp;"-"&amp;B690</f>
        <v>FIFAWC2006-45</v>
      </c>
      <c r="B690" s="4">
        <v>45</v>
      </c>
      <c r="C690" s="3">
        <v>38891</v>
      </c>
      <c r="D690" s="7">
        <v>0.875</v>
      </c>
      <c r="E690">
        <v>2006</v>
      </c>
      <c r="F690" t="s">
        <v>1736</v>
      </c>
      <c r="G690" t="s">
        <v>1741</v>
      </c>
      <c r="H690" t="s">
        <v>1122</v>
      </c>
      <c r="I690" t="s">
        <v>1749</v>
      </c>
      <c r="J690" t="s">
        <v>689</v>
      </c>
      <c r="K690">
        <v>1</v>
      </c>
      <c r="L690">
        <v>0</v>
      </c>
      <c r="M690" t="s">
        <v>911</v>
      </c>
      <c r="O690" t="s">
        <v>1325</v>
      </c>
      <c r="P690" t="s">
        <v>1583</v>
      </c>
      <c r="Q690">
        <v>72000</v>
      </c>
      <c r="R690" t="s">
        <v>1157</v>
      </c>
      <c r="S690" t="str">
        <f>VLOOKUP(J690,Teams!A:B,2,FALSE)</f>
        <v>UKR</v>
      </c>
      <c r="T690" t="str">
        <f>VLOOKUP(M690,Teams!A:B,2,FALSE)</f>
        <v>TUN</v>
      </c>
    </row>
    <row r="691" spans="1:20" x14ac:dyDescent="0.25">
      <c r="A691" t="str">
        <f>F691&amp;"-"&amp;B691</f>
        <v>FIFAWC2006-46</v>
      </c>
      <c r="B691" s="4">
        <v>46</v>
      </c>
      <c r="C691" s="3">
        <v>38891</v>
      </c>
      <c r="D691" s="7">
        <v>0.875</v>
      </c>
      <c r="E691">
        <v>2006</v>
      </c>
      <c r="F691" t="s">
        <v>1736</v>
      </c>
      <c r="G691" t="s">
        <v>1741</v>
      </c>
      <c r="H691" t="s">
        <v>1122</v>
      </c>
      <c r="I691" t="s">
        <v>1749</v>
      </c>
      <c r="J691" t="s">
        <v>882</v>
      </c>
      <c r="K691">
        <v>0</v>
      </c>
      <c r="L691">
        <v>1</v>
      </c>
      <c r="M691" t="s">
        <v>895</v>
      </c>
      <c r="O691" t="s">
        <v>1579</v>
      </c>
      <c r="Q691">
        <v>46000</v>
      </c>
      <c r="R691" t="s">
        <v>1157</v>
      </c>
      <c r="S691" t="str">
        <f>VLOOKUP(J691,Teams!A:B,2,FALSE)</f>
        <v>KSA</v>
      </c>
      <c r="T691" t="str">
        <f>VLOOKUP(M691,Teams!A:B,2,FALSE)</f>
        <v>ESP</v>
      </c>
    </row>
    <row r="692" spans="1:20" x14ac:dyDescent="0.25">
      <c r="A692" t="str">
        <f t="shared" si="11"/>
        <v>FIFAWC2006-47</v>
      </c>
      <c r="B692" s="4">
        <v>47</v>
      </c>
      <c r="C692" s="3">
        <v>38892</v>
      </c>
      <c r="D692" s="7">
        <v>8.3333333333333329E-2</v>
      </c>
      <c r="E692">
        <v>2006</v>
      </c>
      <c r="F692" t="s">
        <v>1736</v>
      </c>
      <c r="G692" t="s">
        <v>1741</v>
      </c>
      <c r="H692" t="s">
        <v>1122</v>
      </c>
      <c r="I692" t="s">
        <v>1748</v>
      </c>
      <c r="J692" t="s">
        <v>908</v>
      </c>
      <c r="K692">
        <v>0</v>
      </c>
      <c r="L692">
        <v>2</v>
      </c>
      <c r="M692" t="s">
        <v>224</v>
      </c>
      <c r="O692" t="s">
        <v>1578</v>
      </c>
      <c r="P692" t="s">
        <v>1555</v>
      </c>
      <c r="Q692">
        <v>45000</v>
      </c>
      <c r="R692" t="s">
        <v>1157</v>
      </c>
      <c r="S692" t="str">
        <f>VLOOKUP(J692,Teams!A:B,2,FALSE)</f>
        <v>TOG</v>
      </c>
      <c r="T692" t="str">
        <f>VLOOKUP(M692,Teams!A:B,2,FALSE)</f>
        <v>FRA</v>
      </c>
    </row>
    <row r="693" spans="1:20" x14ac:dyDescent="0.25">
      <c r="A693" t="str">
        <f t="shared" si="11"/>
        <v>FIFAWC2006-48</v>
      </c>
      <c r="B693" s="4">
        <v>48</v>
      </c>
      <c r="C693" s="3">
        <v>38892</v>
      </c>
      <c r="D693" s="7">
        <v>8.3333333333333329E-2</v>
      </c>
      <c r="E693">
        <v>2006</v>
      </c>
      <c r="F693" t="s">
        <v>1736</v>
      </c>
      <c r="G693" t="s">
        <v>1741</v>
      </c>
      <c r="H693" t="s">
        <v>1122</v>
      </c>
      <c r="I693" t="s">
        <v>1748</v>
      </c>
      <c r="J693" t="s">
        <v>901</v>
      </c>
      <c r="K693">
        <v>2</v>
      </c>
      <c r="L693">
        <v>0</v>
      </c>
      <c r="M693" t="s">
        <v>1056</v>
      </c>
      <c r="O693" t="s">
        <v>1337</v>
      </c>
      <c r="P693" t="s">
        <v>1571</v>
      </c>
      <c r="Q693">
        <v>43000</v>
      </c>
      <c r="R693" t="s">
        <v>1157</v>
      </c>
      <c r="S693" t="str">
        <f>VLOOKUP(J693,Teams!A:B,2,FALSE)</f>
        <v>SUI</v>
      </c>
      <c r="T693" t="str">
        <f>VLOOKUP(M693,Teams!A:B,2,FALSE)</f>
        <v>KOR</v>
      </c>
    </row>
    <row r="694" spans="1:20" x14ac:dyDescent="0.25">
      <c r="A694" t="str">
        <f t="shared" si="11"/>
        <v>FIFAWC2006-49</v>
      </c>
      <c r="B694" s="4">
        <v>49</v>
      </c>
      <c r="C694" s="3">
        <v>38892</v>
      </c>
      <c r="D694" s="7">
        <v>0.91666666666666663</v>
      </c>
      <c r="E694">
        <v>2006</v>
      </c>
      <c r="F694" t="s">
        <v>1736</v>
      </c>
      <c r="G694" t="s">
        <v>1741</v>
      </c>
      <c r="H694" t="s">
        <v>1759</v>
      </c>
      <c r="I694" t="s">
        <v>1138</v>
      </c>
      <c r="J694" t="s">
        <v>797</v>
      </c>
      <c r="K694">
        <v>2</v>
      </c>
      <c r="L694">
        <v>0</v>
      </c>
      <c r="M694" t="s">
        <v>900</v>
      </c>
      <c r="O694" t="s">
        <v>1573</v>
      </c>
      <c r="P694" t="s">
        <v>1162</v>
      </c>
      <c r="Q694">
        <v>66000</v>
      </c>
      <c r="R694" t="s">
        <v>1157</v>
      </c>
      <c r="S694" t="str">
        <f>VLOOKUP(J694,Teams!A:B,2,FALSE)</f>
        <v>GER</v>
      </c>
      <c r="T694" t="str">
        <f>VLOOKUP(M694,Teams!A:B,2,FALSE)</f>
        <v>SWE</v>
      </c>
    </row>
    <row r="695" spans="1:20" x14ac:dyDescent="0.25">
      <c r="A695" t="str">
        <f t="shared" si="11"/>
        <v>FIFAWC2006-50</v>
      </c>
      <c r="B695" s="4">
        <v>50</v>
      </c>
      <c r="C695" s="3">
        <v>38893</v>
      </c>
      <c r="D695" s="7">
        <v>8.3333333333333329E-2</v>
      </c>
      <c r="E695">
        <v>2006</v>
      </c>
      <c r="F695" t="s">
        <v>1736</v>
      </c>
      <c r="G695" t="s">
        <v>1741</v>
      </c>
      <c r="H695" t="s">
        <v>1759</v>
      </c>
      <c r="I695" t="s">
        <v>1138</v>
      </c>
      <c r="J695" t="s">
        <v>749</v>
      </c>
      <c r="K695">
        <v>2</v>
      </c>
      <c r="L695">
        <v>1</v>
      </c>
      <c r="M695" t="s">
        <v>845</v>
      </c>
      <c r="O695" t="s">
        <v>1582</v>
      </c>
      <c r="P695" t="s">
        <v>1567</v>
      </c>
      <c r="Q695">
        <v>43000</v>
      </c>
      <c r="R695" t="s">
        <v>1157</v>
      </c>
      <c r="S695" t="str">
        <f>VLOOKUP(J695,Teams!A:B,2,FALSE)</f>
        <v>ARG</v>
      </c>
      <c r="T695" t="str">
        <f>VLOOKUP(M695,Teams!A:B,2,FALSE)</f>
        <v>MEX</v>
      </c>
    </row>
    <row r="696" spans="1:20" x14ac:dyDescent="0.25">
      <c r="A696" t="str">
        <f t="shared" si="11"/>
        <v>FIFAWC2006-51</v>
      </c>
      <c r="B696" s="4">
        <v>51</v>
      </c>
      <c r="C696" s="3">
        <v>38893</v>
      </c>
      <c r="D696" s="7">
        <v>0.91666666666666663</v>
      </c>
      <c r="E696">
        <v>2006</v>
      </c>
      <c r="F696" t="s">
        <v>1736</v>
      </c>
      <c r="G696" t="s">
        <v>1741</v>
      </c>
      <c r="H696" t="s">
        <v>1759</v>
      </c>
      <c r="I696" t="s">
        <v>1138</v>
      </c>
      <c r="J696" t="s">
        <v>1021</v>
      </c>
      <c r="K696">
        <v>1</v>
      </c>
      <c r="L696">
        <v>0</v>
      </c>
      <c r="M696" t="s">
        <v>782</v>
      </c>
      <c r="O696" t="s">
        <v>1161</v>
      </c>
      <c r="P696" t="s">
        <v>1551</v>
      </c>
      <c r="Q696">
        <v>52000</v>
      </c>
      <c r="R696" t="s">
        <v>1157</v>
      </c>
      <c r="S696" t="str">
        <f>VLOOKUP(J696,Teams!A:B,2,FALSE)</f>
        <v>ENG</v>
      </c>
      <c r="T696" t="str">
        <f>VLOOKUP(M696,Teams!A:B,2,FALSE)</f>
        <v>ECU</v>
      </c>
    </row>
    <row r="697" spans="1:20" x14ac:dyDescent="0.25">
      <c r="A697" t="str">
        <f t="shared" si="11"/>
        <v>FIFAWC2006-52</v>
      </c>
      <c r="B697" s="4">
        <v>52</v>
      </c>
      <c r="C697" s="3">
        <v>38894</v>
      </c>
      <c r="D697" s="7">
        <v>8.3333333333333329E-2</v>
      </c>
      <c r="E697">
        <v>2006</v>
      </c>
      <c r="F697" t="s">
        <v>1736</v>
      </c>
      <c r="G697" t="s">
        <v>1741</v>
      </c>
      <c r="H697" t="s">
        <v>1759</v>
      </c>
      <c r="I697" t="s">
        <v>1138</v>
      </c>
      <c r="J697" t="s">
        <v>871</v>
      </c>
      <c r="K697">
        <v>1</v>
      </c>
      <c r="L697">
        <v>0</v>
      </c>
      <c r="M697" t="s">
        <v>33</v>
      </c>
      <c r="O697" t="s">
        <v>1580</v>
      </c>
      <c r="P697" t="s">
        <v>1581</v>
      </c>
      <c r="Q697">
        <v>41000</v>
      </c>
      <c r="R697" t="s">
        <v>1157</v>
      </c>
      <c r="S697" t="str">
        <f>VLOOKUP(J697,Teams!A:B,2,FALSE)</f>
        <v>POR</v>
      </c>
      <c r="T697" t="str">
        <f>VLOOKUP(M697,Teams!A:B,2,FALSE)</f>
        <v>NED</v>
      </c>
    </row>
    <row r="698" spans="1:20" x14ac:dyDescent="0.25">
      <c r="A698" t="str">
        <f>F698&amp;"-"&amp;B698</f>
        <v>FIFAWC2006-53</v>
      </c>
      <c r="B698" s="4">
        <v>53</v>
      </c>
      <c r="C698" s="3">
        <v>38895</v>
      </c>
      <c r="D698" s="7">
        <v>8.3333333333333329E-2</v>
      </c>
      <c r="E698">
        <v>2006</v>
      </c>
      <c r="F698" t="s">
        <v>1736</v>
      </c>
      <c r="G698" t="s">
        <v>1741</v>
      </c>
      <c r="H698" t="s">
        <v>1759</v>
      </c>
      <c r="I698" t="s">
        <v>1138</v>
      </c>
      <c r="J698" t="s">
        <v>689</v>
      </c>
      <c r="K698">
        <v>0</v>
      </c>
      <c r="L698">
        <v>0</v>
      </c>
      <c r="M698" t="s">
        <v>901</v>
      </c>
      <c r="N698" t="s">
        <v>1778</v>
      </c>
      <c r="O698" t="s">
        <v>1578</v>
      </c>
      <c r="P698" t="s">
        <v>1542</v>
      </c>
      <c r="Q698">
        <v>45000</v>
      </c>
      <c r="R698" t="s">
        <v>1157</v>
      </c>
      <c r="S698" t="str">
        <f>VLOOKUP(J698,Teams!A:B,2,FALSE)</f>
        <v>UKR</v>
      </c>
      <c r="T698" t="str">
        <f>VLOOKUP(M698,Teams!A:B,2,FALSE)</f>
        <v>SUI</v>
      </c>
    </row>
    <row r="699" spans="1:20" x14ac:dyDescent="0.25">
      <c r="A699" t="str">
        <f t="shared" si="11"/>
        <v>FIFAWC2006-54</v>
      </c>
      <c r="B699" s="4">
        <v>54</v>
      </c>
      <c r="C699" s="3">
        <v>38894</v>
      </c>
      <c r="D699" s="7">
        <v>0.91666666666666663</v>
      </c>
      <c r="E699">
        <v>2006</v>
      </c>
      <c r="F699" t="s">
        <v>1736</v>
      </c>
      <c r="G699" t="s">
        <v>1741</v>
      </c>
      <c r="H699" t="s">
        <v>1759</v>
      </c>
      <c r="I699" t="s">
        <v>1138</v>
      </c>
      <c r="J699" t="s">
        <v>817</v>
      </c>
      <c r="K699">
        <v>1</v>
      </c>
      <c r="L699">
        <v>0</v>
      </c>
      <c r="M699" t="s">
        <v>128</v>
      </c>
      <c r="O699" t="s">
        <v>1579</v>
      </c>
      <c r="P699" t="s">
        <v>1574</v>
      </c>
      <c r="Q699">
        <v>46000</v>
      </c>
      <c r="R699" t="s">
        <v>1157</v>
      </c>
      <c r="S699" t="str">
        <f>VLOOKUP(J699,Teams!A:B,2,FALSE)</f>
        <v>ITA</v>
      </c>
      <c r="T699" t="str">
        <f>VLOOKUP(M699,Teams!A:B,2,FALSE)</f>
        <v>AUS</v>
      </c>
    </row>
    <row r="700" spans="1:20" x14ac:dyDescent="0.25">
      <c r="A700" t="str">
        <f t="shared" si="11"/>
        <v>FIFAWC2006-55</v>
      </c>
      <c r="B700" s="4">
        <v>55</v>
      </c>
      <c r="C700" s="3">
        <v>38895</v>
      </c>
      <c r="D700" s="7">
        <v>8.3333333333333329E-2</v>
      </c>
      <c r="E700">
        <v>2006</v>
      </c>
      <c r="F700" t="s">
        <v>1736</v>
      </c>
      <c r="G700" t="s">
        <v>1741</v>
      </c>
      <c r="H700" t="s">
        <v>1759</v>
      </c>
      <c r="I700" t="s">
        <v>1138</v>
      </c>
      <c r="J700" t="s">
        <v>760</v>
      </c>
      <c r="K700">
        <v>3</v>
      </c>
      <c r="L700">
        <v>0</v>
      </c>
      <c r="M700" t="s">
        <v>798</v>
      </c>
      <c r="O700" t="s">
        <v>1331</v>
      </c>
      <c r="P700" t="s">
        <v>1577</v>
      </c>
      <c r="Q700">
        <v>65000</v>
      </c>
      <c r="R700" t="s">
        <v>1157</v>
      </c>
      <c r="S700" t="str">
        <f>VLOOKUP(J700,Teams!A:B,2,FALSE)</f>
        <v>BRA</v>
      </c>
      <c r="T700" t="str">
        <f>VLOOKUP(M700,Teams!A:B,2,FALSE)</f>
        <v>GHA</v>
      </c>
    </row>
    <row r="701" spans="1:20" x14ac:dyDescent="0.25">
      <c r="A701" t="str">
        <f t="shared" si="11"/>
        <v>FIFAWC2006-56</v>
      </c>
      <c r="B701" s="4">
        <v>56</v>
      </c>
      <c r="C701" s="3">
        <v>38895</v>
      </c>
      <c r="D701" s="7">
        <v>0.91666666666666663</v>
      </c>
      <c r="E701">
        <v>2006</v>
      </c>
      <c r="F701" t="s">
        <v>1736</v>
      </c>
      <c r="G701" t="s">
        <v>1741</v>
      </c>
      <c r="H701" t="s">
        <v>1759</v>
      </c>
      <c r="I701" t="s">
        <v>1138</v>
      </c>
      <c r="J701" t="s">
        <v>895</v>
      </c>
      <c r="K701">
        <v>1</v>
      </c>
      <c r="L701">
        <v>3</v>
      </c>
      <c r="M701" t="s">
        <v>224</v>
      </c>
      <c r="O701" t="s">
        <v>1337</v>
      </c>
      <c r="P701" t="s">
        <v>1553</v>
      </c>
      <c r="Q701">
        <v>43000</v>
      </c>
      <c r="R701" t="s">
        <v>1157</v>
      </c>
      <c r="S701" t="str">
        <f>VLOOKUP(J701,Teams!A:B,2,FALSE)</f>
        <v>ESP</v>
      </c>
      <c r="T701" t="str">
        <f>VLOOKUP(M701,Teams!A:B,2,FALSE)</f>
        <v>FRA</v>
      </c>
    </row>
    <row r="702" spans="1:20" x14ac:dyDescent="0.25">
      <c r="A702" t="str">
        <f t="shared" si="11"/>
        <v>FIFAWC2006-57</v>
      </c>
      <c r="B702" s="4">
        <v>57</v>
      </c>
      <c r="C702" s="3">
        <v>38898</v>
      </c>
      <c r="D702" s="7">
        <v>0.91666666666666663</v>
      </c>
      <c r="E702">
        <v>2006</v>
      </c>
      <c r="F702" t="s">
        <v>1736</v>
      </c>
      <c r="G702" t="s">
        <v>1741</v>
      </c>
      <c r="H702" t="s">
        <v>1759</v>
      </c>
      <c r="I702" t="s">
        <v>1139</v>
      </c>
      <c r="J702" t="s">
        <v>797</v>
      </c>
      <c r="K702">
        <v>1</v>
      </c>
      <c r="L702">
        <v>1</v>
      </c>
      <c r="M702" t="s">
        <v>749</v>
      </c>
      <c r="N702" t="s">
        <v>1779</v>
      </c>
      <c r="O702" t="s">
        <v>1325</v>
      </c>
      <c r="P702" t="s">
        <v>1577</v>
      </c>
      <c r="Q702">
        <v>72000</v>
      </c>
      <c r="R702" t="s">
        <v>1157</v>
      </c>
      <c r="S702" t="str">
        <f>VLOOKUP(J702,Teams!A:B,2,FALSE)</f>
        <v>GER</v>
      </c>
      <c r="T702" t="str">
        <f>VLOOKUP(M702,Teams!A:B,2,FALSE)</f>
        <v>ARG</v>
      </c>
    </row>
    <row r="703" spans="1:20" x14ac:dyDescent="0.25">
      <c r="A703" t="str">
        <f t="shared" si="11"/>
        <v>FIFAWC2006-58</v>
      </c>
      <c r="B703" s="4">
        <v>58</v>
      </c>
      <c r="C703" s="3">
        <v>38899</v>
      </c>
      <c r="D703" s="7">
        <v>8.3333333333333329E-2</v>
      </c>
      <c r="E703">
        <v>2006</v>
      </c>
      <c r="F703" t="s">
        <v>1736</v>
      </c>
      <c r="G703" t="s">
        <v>1741</v>
      </c>
      <c r="H703" t="s">
        <v>1759</v>
      </c>
      <c r="I703" t="s">
        <v>1139</v>
      </c>
      <c r="J703" t="s">
        <v>817</v>
      </c>
      <c r="K703">
        <v>3</v>
      </c>
      <c r="L703">
        <v>0</v>
      </c>
      <c r="M703" t="s">
        <v>689</v>
      </c>
      <c r="O703" t="s">
        <v>1342</v>
      </c>
      <c r="P703" t="s">
        <v>1551</v>
      </c>
      <c r="Q703">
        <v>50000</v>
      </c>
      <c r="R703" t="s">
        <v>1157</v>
      </c>
      <c r="S703" t="str">
        <f>VLOOKUP(J703,Teams!A:B,2,FALSE)</f>
        <v>ITA</v>
      </c>
      <c r="T703" t="str">
        <f>VLOOKUP(M703,Teams!A:B,2,FALSE)</f>
        <v>UKR</v>
      </c>
    </row>
    <row r="704" spans="1:20" x14ac:dyDescent="0.25">
      <c r="A704" t="str">
        <f t="shared" si="11"/>
        <v>FIFAWC2006-59</v>
      </c>
      <c r="B704" s="4">
        <v>59</v>
      </c>
      <c r="C704" s="3">
        <v>38899</v>
      </c>
      <c r="D704" s="7">
        <v>0.91666666666666663</v>
      </c>
      <c r="E704">
        <v>2006</v>
      </c>
      <c r="F704" t="s">
        <v>1736</v>
      </c>
      <c r="G704" t="s">
        <v>1741</v>
      </c>
      <c r="H704" t="s">
        <v>1759</v>
      </c>
      <c r="I704" t="s">
        <v>1139</v>
      </c>
      <c r="J704" t="s">
        <v>1021</v>
      </c>
      <c r="K704">
        <v>0</v>
      </c>
      <c r="L704">
        <v>0</v>
      </c>
      <c r="M704" t="s">
        <v>871</v>
      </c>
      <c r="N704" t="s">
        <v>1780</v>
      </c>
      <c r="O704" t="s">
        <v>1575</v>
      </c>
      <c r="P704" t="s">
        <v>1576</v>
      </c>
      <c r="Q704">
        <v>52000</v>
      </c>
      <c r="R704" t="s">
        <v>1157</v>
      </c>
      <c r="S704" t="str">
        <f>VLOOKUP(J704,Teams!A:B,2,FALSE)</f>
        <v>ENG</v>
      </c>
      <c r="T704" t="str">
        <f>VLOOKUP(M704,Teams!A:B,2,FALSE)</f>
        <v>POR</v>
      </c>
    </row>
    <row r="705" spans="1:20" x14ac:dyDescent="0.25">
      <c r="A705" t="str">
        <f t="shared" si="11"/>
        <v>FIFAWC2006-60</v>
      </c>
      <c r="B705" s="4">
        <v>60</v>
      </c>
      <c r="C705" s="3">
        <v>38900</v>
      </c>
      <c r="D705" s="7">
        <v>8.3333333333333329E-2</v>
      </c>
      <c r="E705">
        <v>2006</v>
      </c>
      <c r="F705" t="s">
        <v>1736</v>
      </c>
      <c r="G705" t="s">
        <v>1741</v>
      </c>
      <c r="H705" t="s">
        <v>1759</v>
      </c>
      <c r="I705" t="s">
        <v>1139</v>
      </c>
      <c r="J705" t="s">
        <v>760</v>
      </c>
      <c r="K705">
        <v>0</v>
      </c>
      <c r="L705">
        <v>1</v>
      </c>
      <c r="M705" t="s">
        <v>224</v>
      </c>
      <c r="O705" t="s">
        <v>1330</v>
      </c>
      <c r="P705" t="s">
        <v>1574</v>
      </c>
      <c r="Q705">
        <v>48000</v>
      </c>
      <c r="R705" t="s">
        <v>1157</v>
      </c>
      <c r="S705" t="str">
        <f>VLOOKUP(J705,Teams!A:B,2,FALSE)</f>
        <v>BRA</v>
      </c>
      <c r="T705" t="str">
        <f>VLOOKUP(M705,Teams!A:B,2,FALSE)</f>
        <v>FRA</v>
      </c>
    </row>
    <row r="706" spans="1:20" x14ac:dyDescent="0.25">
      <c r="A706" t="str">
        <f t="shared" si="11"/>
        <v>FIFAWC2006-61</v>
      </c>
      <c r="B706" s="4">
        <v>61</v>
      </c>
      <c r="C706" s="3">
        <v>38903</v>
      </c>
      <c r="D706" s="7">
        <v>8.3333333333333329E-2</v>
      </c>
      <c r="E706">
        <v>2006</v>
      </c>
      <c r="F706" t="s">
        <v>1736</v>
      </c>
      <c r="G706" t="s">
        <v>1741</v>
      </c>
      <c r="H706" t="s">
        <v>1759</v>
      </c>
      <c r="I706" t="s">
        <v>1140</v>
      </c>
      <c r="J706" t="s">
        <v>797</v>
      </c>
      <c r="K706">
        <v>0</v>
      </c>
      <c r="L706">
        <v>2</v>
      </c>
      <c r="M706" t="s">
        <v>817</v>
      </c>
      <c r="O706" t="s">
        <v>1331</v>
      </c>
      <c r="P706" t="s">
        <v>1542</v>
      </c>
      <c r="Q706">
        <v>65000</v>
      </c>
      <c r="R706" t="s">
        <v>1157</v>
      </c>
      <c r="S706" t="str">
        <f>VLOOKUP(J706,Teams!A:B,2,FALSE)</f>
        <v>GER</v>
      </c>
      <c r="T706" t="str">
        <f>VLOOKUP(M706,Teams!A:B,2,FALSE)</f>
        <v>ITA</v>
      </c>
    </row>
    <row r="707" spans="1:20" x14ac:dyDescent="0.25">
      <c r="A707" t="str">
        <f t="shared" si="11"/>
        <v>FIFAWC2006-62</v>
      </c>
      <c r="B707" s="4">
        <v>62</v>
      </c>
      <c r="C707" s="3">
        <v>38904</v>
      </c>
      <c r="D707" s="7">
        <v>8.3333333333333329E-2</v>
      </c>
      <c r="E707">
        <v>2006</v>
      </c>
      <c r="F707" t="s">
        <v>1736</v>
      </c>
      <c r="G707" t="s">
        <v>1741</v>
      </c>
      <c r="H707" t="s">
        <v>1759</v>
      </c>
      <c r="I707" t="s">
        <v>1140</v>
      </c>
      <c r="J707" t="s">
        <v>871</v>
      </c>
      <c r="K707">
        <v>0</v>
      </c>
      <c r="L707">
        <v>1</v>
      </c>
      <c r="M707" t="s">
        <v>224</v>
      </c>
      <c r="O707" t="s">
        <v>1573</v>
      </c>
      <c r="P707" t="s">
        <v>1555</v>
      </c>
      <c r="Q707">
        <v>66000</v>
      </c>
      <c r="R707" t="s">
        <v>1157</v>
      </c>
      <c r="S707" t="str">
        <f>VLOOKUP(J707,Teams!A:B,2,FALSE)</f>
        <v>POR</v>
      </c>
      <c r="T707" t="str">
        <f>VLOOKUP(M707,Teams!A:B,2,FALSE)</f>
        <v>FRA</v>
      </c>
    </row>
    <row r="708" spans="1:20" x14ac:dyDescent="0.25">
      <c r="A708" t="str">
        <f t="shared" si="11"/>
        <v>FIFAWC2006-63</v>
      </c>
      <c r="B708" s="4">
        <v>63</v>
      </c>
      <c r="C708" s="3">
        <v>38907</v>
      </c>
      <c r="D708" s="7">
        <v>8.3333333333333329E-2</v>
      </c>
      <c r="E708">
        <v>2006</v>
      </c>
      <c r="F708" t="s">
        <v>1736</v>
      </c>
      <c r="G708" t="s">
        <v>1741</v>
      </c>
      <c r="H708" t="s">
        <v>1759</v>
      </c>
      <c r="I708" t="s">
        <v>1018</v>
      </c>
      <c r="J708" t="s">
        <v>797</v>
      </c>
      <c r="K708">
        <v>3</v>
      </c>
      <c r="L708">
        <v>1</v>
      </c>
      <c r="M708" t="s">
        <v>871</v>
      </c>
      <c r="O708" t="s">
        <v>1161</v>
      </c>
      <c r="P708" t="s">
        <v>1572</v>
      </c>
      <c r="Q708">
        <v>52000</v>
      </c>
      <c r="R708" t="s">
        <v>1157</v>
      </c>
      <c r="S708" t="str">
        <f>VLOOKUP(J708,Teams!A:B,2,FALSE)</f>
        <v>GER</v>
      </c>
      <c r="T708" t="str">
        <f>VLOOKUP(M708,Teams!A:B,2,FALSE)</f>
        <v>POR</v>
      </c>
    </row>
    <row r="709" spans="1:20" x14ac:dyDescent="0.25">
      <c r="A709" t="str">
        <f t="shared" si="11"/>
        <v>FIFAWC2006-64</v>
      </c>
      <c r="B709" s="4">
        <v>64</v>
      </c>
      <c r="C709" s="3">
        <v>38908</v>
      </c>
      <c r="D709" s="7">
        <v>4.1666666666666664E-2</v>
      </c>
      <c r="E709">
        <v>2006</v>
      </c>
      <c r="F709" t="s">
        <v>1736</v>
      </c>
      <c r="G709" t="s">
        <v>1741</v>
      </c>
      <c r="H709" t="s">
        <v>1759</v>
      </c>
      <c r="I709" t="s">
        <v>1141</v>
      </c>
      <c r="J709" t="s">
        <v>817</v>
      </c>
      <c r="K709">
        <v>1</v>
      </c>
      <c r="L709">
        <v>1</v>
      </c>
      <c r="M709" t="s">
        <v>224</v>
      </c>
      <c r="N709" t="s">
        <v>1781</v>
      </c>
      <c r="O709" t="s">
        <v>1325</v>
      </c>
      <c r="P709" t="s">
        <v>1571</v>
      </c>
      <c r="Q709">
        <v>69000</v>
      </c>
      <c r="R709" t="s">
        <v>1157</v>
      </c>
      <c r="S709" t="str">
        <f>VLOOKUP(J709,Teams!A:B,2,FALSE)</f>
        <v>ITA</v>
      </c>
      <c r="T709" t="str">
        <f>VLOOKUP(M709,Teams!A:B,2,FALSE)</f>
        <v>FRA</v>
      </c>
    </row>
    <row r="710" spans="1:20" x14ac:dyDescent="0.25">
      <c r="A710" t="str">
        <f t="shared" si="11"/>
        <v>FIFAWC2010-1</v>
      </c>
      <c r="B710" s="4">
        <v>1</v>
      </c>
      <c r="C710" s="3">
        <v>40340</v>
      </c>
      <c r="D710" s="7">
        <v>0.875</v>
      </c>
      <c r="E710">
        <v>2010</v>
      </c>
      <c r="F710" t="s">
        <v>1737</v>
      </c>
      <c r="G710" t="s">
        <v>1741</v>
      </c>
      <c r="H710" t="s">
        <v>1122</v>
      </c>
      <c r="I710" t="s">
        <v>1743</v>
      </c>
      <c r="J710" t="s">
        <v>893</v>
      </c>
      <c r="K710">
        <v>1</v>
      </c>
      <c r="L710">
        <v>1</v>
      </c>
      <c r="M710" t="s">
        <v>845</v>
      </c>
      <c r="O710" t="s">
        <v>1158</v>
      </c>
      <c r="P710" t="s">
        <v>1470</v>
      </c>
      <c r="Q710">
        <v>84490</v>
      </c>
      <c r="R710" t="s">
        <v>1157</v>
      </c>
      <c r="S710" t="str">
        <f>VLOOKUP(J710,Teams!A:B,2,FALSE)</f>
        <v>RSA</v>
      </c>
      <c r="T710" t="str">
        <f>VLOOKUP(M710,Teams!A:B,2,FALSE)</f>
        <v>MEX</v>
      </c>
    </row>
    <row r="711" spans="1:20" x14ac:dyDescent="0.25">
      <c r="A711" t="str">
        <f t="shared" si="11"/>
        <v>FIFAWC2010-2</v>
      </c>
      <c r="B711" s="4">
        <v>2</v>
      </c>
      <c r="C711" s="3">
        <v>40341</v>
      </c>
      <c r="D711" s="7">
        <v>6.25E-2</v>
      </c>
      <c r="E711">
        <v>2010</v>
      </c>
      <c r="F711" t="s">
        <v>1737</v>
      </c>
      <c r="G711" t="s">
        <v>1741</v>
      </c>
      <c r="H711" t="s">
        <v>1122</v>
      </c>
      <c r="I711" t="s">
        <v>1743</v>
      </c>
      <c r="J711" t="s">
        <v>916</v>
      </c>
      <c r="K711">
        <v>0</v>
      </c>
      <c r="L711">
        <v>0</v>
      </c>
      <c r="M711" t="s">
        <v>224</v>
      </c>
      <c r="O711" t="s">
        <v>1545</v>
      </c>
      <c r="P711" t="s">
        <v>1540</v>
      </c>
      <c r="Q711">
        <v>64100</v>
      </c>
      <c r="R711" t="s">
        <v>1157</v>
      </c>
      <c r="S711" t="str">
        <f>VLOOKUP(J711,Teams!A:B,2,FALSE)</f>
        <v>URU</v>
      </c>
      <c r="T711" t="str">
        <f>VLOOKUP(M711,Teams!A:B,2,FALSE)</f>
        <v>FRA</v>
      </c>
    </row>
    <row r="712" spans="1:20" x14ac:dyDescent="0.25">
      <c r="A712" t="str">
        <f t="shared" si="11"/>
        <v>FIFAWC2010-3</v>
      </c>
      <c r="B712" s="4">
        <v>3</v>
      </c>
      <c r="C712" s="3">
        <v>40341</v>
      </c>
      <c r="D712" s="7">
        <v>0.77083333333333337</v>
      </c>
      <c r="E712">
        <v>2010</v>
      </c>
      <c r="F712" t="s">
        <v>1737</v>
      </c>
      <c r="G712" t="s">
        <v>1741</v>
      </c>
      <c r="H712" t="s">
        <v>1122</v>
      </c>
      <c r="I712" t="s">
        <v>1742</v>
      </c>
      <c r="J712" t="s">
        <v>799</v>
      </c>
      <c r="K712">
        <v>0</v>
      </c>
      <c r="L712">
        <v>2</v>
      </c>
      <c r="M712" t="s">
        <v>1056</v>
      </c>
      <c r="O712" t="s">
        <v>1541</v>
      </c>
      <c r="P712" t="s">
        <v>1570</v>
      </c>
      <c r="Q712">
        <v>31513</v>
      </c>
      <c r="R712" t="s">
        <v>1157</v>
      </c>
      <c r="S712" t="str">
        <f>VLOOKUP(J712,Teams!A:B,2,FALSE)</f>
        <v>GRE</v>
      </c>
      <c r="T712" t="str">
        <f>VLOOKUP(M712,Teams!A:B,2,FALSE)</f>
        <v>KOR</v>
      </c>
    </row>
    <row r="713" spans="1:20" x14ac:dyDescent="0.25">
      <c r="A713" t="str">
        <f t="shared" si="11"/>
        <v>FIFAWC2010-4</v>
      </c>
      <c r="B713" s="4">
        <v>4</v>
      </c>
      <c r="C713" s="3">
        <v>40341</v>
      </c>
      <c r="D713" s="7">
        <v>0.875</v>
      </c>
      <c r="E713">
        <v>2010</v>
      </c>
      <c r="F713" t="s">
        <v>1737</v>
      </c>
      <c r="G713" t="s">
        <v>1741</v>
      </c>
      <c r="H713" t="s">
        <v>1122</v>
      </c>
      <c r="I713" t="s">
        <v>1742</v>
      </c>
      <c r="J713" t="s">
        <v>749</v>
      </c>
      <c r="K713">
        <v>1</v>
      </c>
      <c r="L713">
        <v>0</v>
      </c>
      <c r="M713" t="s">
        <v>857</v>
      </c>
      <c r="O713" t="s">
        <v>1546</v>
      </c>
      <c r="P713" t="s">
        <v>1557</v>
      </c>
      <c r="Q713">
        <v>55686</v>
      </c>
      <c r="R713" t="s">
        <v>1157</v>
      </c>
      <c r="S713" t="str">
        <f>VLOOKUP(J713,Teams!A:B,2,FALSE)</f>
        <v>ARG</v>
      </c>
      <c r="T713" t="str">
        <f>VLOOKUP(M713,Teams!A:B,2,FALSE)</f>
        <v>NGA</v>
      </c>
    </row>
    <row r="714" spans="1:20" x14ac:dyDescent="0.25">
      <c r="A714" t="str">
        <f t="shared" si="11"/>
        <v>FIFAWC2010-5</v>
      </c>
      <c r="B714" s="4">
        <v>5</v>
      </c>
      <c r="C714" s="3">
        <v>40342</v>
      </c>
      <c r="D714" s="7">
        <v>6.25E-2</v>
      </c>
      <c r="E714">
        <v>2010</v>
      </c>
      <c r="F714" t="s">
        <v>1737</v>
      </c>
      <c r="G714" t="s">
        <v>1741</v>
      </c>
      <c r="H714" t="s">
        <v>1122</v>
      </c>
      <c r="I714" t="s">
        <v>1744</v>
      </c>
      <c r="J714" t="s">
        <v>1021</v>
      </c>
      <c r="K714">
        <v>1</v>
      </c>
      <c r="L714">
        <v>1</v>
      </c>
      <c r="M714" t="s">
        <v>702</v>
      </c>
      <c r="O714" t="s">
        <v>1556</v>
      </c>
      <c r="P714" t="s">
        <v>1162</v>
      </c>
      <c r="Q714">
        <v>38646</v>
      </c>
      <c r="R714" t="s">
        <v>1157</v>
      </c>
      <c r="S714" t="str">
        <f>VLOOKUP(J714,Teams!A:B,2,FALSE)</f>
        <v>ENG</v>
      </c>
      <c r="T714" t="str">
        <f>VLOOKUP(M714,Teams!A:B,2,FALSE)</f>
        <v>USA</v>
      </c>
    </row>
    <row r="715" spans="1:20" x14ac:dyDescent="0.25">
      <c r="A715" t="str">
        <f t="shared" si="11"/>
        <v>FIFAWC2010-6</v>
      </c>
      <c r="B715" s="4">
        <v>6</v>
      </c>
      <c r="C715" s="3">
        <v>40342</v>
      </c>
      <c r="D715" s="7">
        <v>0.77083333333333337</v>
      </c>
      <c r="E715">
        <v>2010</v>
      </c>
      <c r="F715" t="s">
        <v>1737</v>
      </c>
      <c r="G715" t="s">
        <v>1741</v>
      </c>
      <c r="H715" t="s">
        <v>1122</v>
      </c>
      <c r="I715" t="s">
        <v>1744</v>
      </c>
      <c r="J715" t="s">
        <v>745</v>
      </c>
      <c r="K715">
        <v>0</v>
      </c>
      <c r="L715">
        <v>1</v>
      </c>
      <c r="M715" t="s">
        <v>890</v>
      </c>
      <c r="O715" t="s">
        <v>1558</v>
      </c>
      <c r="P715" t="s">
        <v>1547</v>
      </c>
      <c r="Q715">
        <v>30325</v>
      </c>
      <c r="R715" t="s">
        <v>1157</v>
      </c>
      <c r="S715" t="str">
        <f>VLOOKUP(J715,Teams!A:B,2,FALSE)</f>
        <v>ALG</v>
      </c>
      <c r="T715" t="str">
        <f>VLOOKUP(M715,Teams!A:B,2,FALSE)</f>
        <v>SVN</v>
      </c>
    </row>
    <row r="716" spans="1:20" x14ac:dyDescent="0.25">
      <c r="A716" t="str">
        <f t="shared" si="11"/>
        <v>FIFAWC2010-7</v>
      </c>
      <c r="B716" s="4">
        <v>7</v>
      </c>
      <c r="C716" s="3">
        <v>40342</v>
      </c>
      <c r="D716" s="7">
        <v>0.875</v>
      </c>
      <c r="E716">
        <v>2010</v>
      </c>
      <c r="F716" t="s">
        <v>1737</v>
      </c>
      <c r="G716" t="s">
        <v>1741</v>
      </c>
      <c r="H716" t="s">
        <v>1122</v>
      </c>
      <c r="I716" t="s">
        <v>1745</v>
      </c>
      <c r="J716" t="s">
        <v>884</v>
      </c>
      <c r="K716">
        <v>0</v>
      </c>
      <c r="L716">
        <v>1</v>
      </c>
      <c r="M716" t="s">
        <v>798</v>
      </c>
      <c r="O716" t="s">
        <v>1550</v>
      </c>
      <c r="P716" t="s">
        <v>1549</v>
      </c>
      <c r="Q716">
        <v>38833</v>
      </c>
      <c r="R716" t="s">
        <v>1157</v>
      </c>
      <c r="S716" t="str">
        <f>VLOOKUP(J716,Teams!A:B,2,FALSE)</f>
        <v>SRB</v>
      </c>
      <c r="T716" t="str">
        <f>VLOOKUP(M716,Teams!A:B,2,FALSE)</f>
        <v>GHA</v>
      </c>
    </row>
    <row r="717" spans="1:20" x14ac:dyDescent="0.25">
      <c r="A717" t="str">
        <f t="shared" si="11"/>
        <v>FIFAWC2010-8</v>
      </c>
      <c r="B717" s="4">
        <v>8</v>
      </c>
      <c r="C717" s="3">
        <v>40343</v>
      </c>
      <c r="D717" s="7">
        <v>6.25E-2</v>
      </c>
      <c r="E717">
        <v>2010</v>
      </c>
      <c r="F717" t="s">
        <v>1737</v>
      </c>
      <c r="G717" t="s">
        <v>1741</v>
      </c>
      <c r="H717" t="s">
        <v>1122</v>
      </c>
      <c r="I717" t="s">
        <v>1745</v>
      </c>
      <c r="J717" t="s">
        <v>797</v>
      </c>
      <c r="K717">
        <v>4</v>
      </c>
      <c r="L717">
        <v>0</v>
      </c>
      <c r="M717" t="s">
        <v>128</v>
      </c>
      <c r="O717" t="s">
        <v>1543</v>
      </c>
      <c r="P717" t="s">
        <v>1569</v>
      </c>
      <c r="Q717">
        <v>62660</v>
      </c>
      <c r="R717" t="s">
        <v>1157</v>
      </c>
      <c r="S717" t="str">
        <f>VLOOKUP(J717,Teams!A:B,2,FALSE)</f>
        <v>GER</v>
      </c>
      <c r="T717" t="str">
        <f>VLOOKUP(M717,Teams!A:B,2,FALSE)</f>
        <v>AUS</v>
      </c>
    </row>
    <row r="718" spans="1:20" x14ac:dyDescent="0.25">
      <c r="A718" t="str">
        <f t="shared" si="11"/>
        <v>FIFAWC2010-9</v>
      </c>
      <c r="B718" s="4">
        <v>9</v>
      </c>
      <c r="C718" s="3">
        <v>40343</v>
      </c>
      <c r="D718" s="7">
        <v>0.77083333333333337</v>
      </c>
      <c r="E718">
        <v>2010</v>
      </c>
      <c r="F718" t="s">
        <v>1737</v>
      </c>
      <c r="G718" t="s">
        <v>1741</v>
      </c>
      <c r="H718" t="s">
        <v>1122</v>
      </c>
      <c r="I718" t="s">
        <v>1746</v>
      </c>
      <c r="J718" t="s">
        <v>33</v>
      </c>
      <c r="K718">
        <v>2</v>
      </c>
      <c r="L718">
        <v>0</v>
      </c>
      <c r="M718" t="s">
        <v>211</v>
      </c>
      <c r="O718" t="s">
        <v>1158</v>
      </c>
      <c r="P718" t="s">
        <v>1564</v>
      </c>
      <c r="Q718">
        <v>83465</v>
      </c>
      <c r="R718" t="s">
        <v>1157</v>
      </c>
      <c r="S718" t="str">
        <f>VLOOKUP(J718,Teams!A:B,2,FALSE)</f>
        <v>NED</v>
      </c>
      <c r="T718" t="str">
        <f>VLOOKUP(M718,Teams!A:B,2,FALSE)</f>
        <v>DEN</v>
      </c>
    </row>
    <row r="719" spans="1:20" x14ac:dyDescent="0.25">
      <c r="A719" t="str">
        <f t="shared" si="11"/>
        <v>FIFAWC2010-10</v>
      </c>
      <c r="B719" s="4">
        <v>10</v>
      </c>
      <c r="C719" s="3">
        <v>40343</v>
      </c>
      <c r="D719" s="7">
        <v>0.875</v>
      </c>
      <c r="E719">
        <v>2010</v>
      </c>
      <c r="F719" t="s">
        <v>1737</v>
      </c>
      <c r="G719" t="s">
        <v>1741</v>
      </c>
      <c r="H719" t="s">
        <v>1122</v>
      </c>
      <c r="I719" t="s">
        <v>1746</v>
      </c>
      <c r="J719" t="s">
        <v>330</v>
      </c>
      <c r="K719">
        <v>1</v>
      </c>
      <c r="L719">
        <v>0</v>
      </c>
      <c r="M719" t="s">
        <v>764</v>
      </c>
      <c r="O719" t="s">
        <v>1554</v>
      </c>
      <c r="P719" t="s">
        <v>1548</v>
      </c>
      <c r="Q719">
        <v>30620</v>
      </c>
      <c r="R719" t="s">
        <v>1157</v>
      </c>
      <c r="S719" t="str">
        <f>VLOOKUP(J719,Teams!A:B,2,FALSE)</f>
        <v>JPN</v>
      </c>
      <c r="T719" t="str">
        <f>VLOOKUP(M719,Teams!A:B,2,FALSE)</f>
        <v>CMR</v>
      </c>
    </row>
    <row r="720" spans="1:20" x14ac:dyDescent="0.25">
      <c r="A720" t="str">
        <f t="shared" si="11"/>
        <v>FIFAWC2010-11</v>
      </c>
      <c r="B720" s="4">
        <v>11</v>
      </c>
      <c r="C720" s="3">
        <v>40343</v>
      </c>
      <c r="D720" s="7">
        <v>6.25E-2</v>
      </c>
      <c r="E720">
        <v>2010</v>
      </c>
      <c r="F720" t="s">
        <v>1737</v>
      </c>
      <c r="G720" t="s">
        <v>1741</v>
      </c>
      <c r="H720" t="s">
        <v>1122</v>
      </c>
      <c r="I720" t="s">
        <v>1747</v>
      </c>
      <c r="J720" t="s">
        <v>817</v>
      </c>
      <c r="K720">
        <v>1</v>
      </c>
      <c r="L720">
        <v>1</v>
      </c>
      <c r="M720" t="s">
        <v>866</v>
      </c>
      <c r="O720" t="s">
        <v>1545</v>
      </c>
      <c r="P720" t="s">
        <v>1568</v>
      </c>
      <c r="Q720">
        <v>62869</v>
      </c>
      <c r="R720" t="s">
        <v>1157</v>
      </c>
      <c r="S720" t="str">
        <f>VLOOKUP(J720,Teams!A:B,2,FALSE)</f>
        <v>ITA</v>
      </c>
      <c r="T720" t="str">
        <f>VLOOKUP(M720,Teams!A:B,2,FALSE)</f>
        <v>PAR</v>
      </c>
    </row>
    <row r="721" spans="1:20" x14ac:dyDescent="0.25">
      <c r="A721" t="str">
        <f t="shared" si="11"/>
        <v>FIFAWC2010-12</v>
      </c>
      <c r="B721" s="4">
        <v>12</v>
      </c>
      <c r="C721" s="3">
        <v>40344</v>
      </c>
      <c r="D721" s="7">
        <v>0.77083333333333337</v>
      </c>
      <c r="E721">
        <v>2010</v>
      </c>
      <c r="F721" t="s">
        <v>1737</v>
      </c>
      <c r="G721" t="s">
        <v>1741</v>
      </c>
      <c r="H721" t="s">
        <v>1122</v>
      </c>
      <c r="I721" t="s">
        <v>1747</v>
      </c>
      <c r="J721" t="s">
        <v>147</v>
      </c>
      <c r="K721">
        <v>1</v>
      </c>
      <c r="L721">
        <v>1</v>
      </c>
      <c r="M721" t="s">
        <v>889</v>
      </c>
      <c r="O721" t="s">
        <v>1556</v>
      </c>
      <c r="P721" t="s">
        <v>1561</v>
      </c>
      <c r="Q721">
        <v>23871</v>
      </c>
      <c r="R721" t="s">
        <v>1157</v>
      </c>
      <c r="S721" t="str">
        <f>VLOOKUP(J721,Teams!A:B,2,FALSE)</f>
        <v>NZL</v>
      </c>
      <c r="T721" t="str">
        <f>VLOOKUP(M721,Teams!A:B,2,FALSE)</f>
        <v>SVK</v>
      </c>
    </row>
    <row r="722" spans="1:20" x14ac:dyDescent="0.25">
      <c r="A722" t="str">
        <f t="shared" si="11"/>
        <v>FIFAWC2010-13</v>
      </c>
      <c r="B722" s="4">
        <v>13</v>
      </c>
      <c r="C722" s="3">
        <v>40344</v>
      </c>
      <c r="D722" s="7">
        <v>0.875</v>
      </c>
      <c r="E722">
        <v>2010</v>
      </c>
      <c r="F722" t="s">
        <v>1737</v>
      </c>
      <c r="G722" t="s">
        <v>1741</v>
      </c>
      <c r="H722" t="s">
        <v>1122</v>
      </c>
      <c r="I722" t="s">
        <v>1748</v>
      </c>
      <c r="J722" t="s">
        <v>1751</v>
      </c>
      <c r="K722">
        <v>0</v>
      </c>
      <c r="L722">
        <v>0</v>
      </c>
      <c r="M722" t="s">
        <v>871</v>
      </c>
      <c r="O722" t="s">
        <v>1541</v>
      </c>
      <c r="P722" t="s">
        <v>1555</v>
      </c>
      <c r="Q722">
        <v>37034</v>
      </c>
      <c r="R722" t="s">
        <v>1157</v>
      </c>
      <c r="S722" t="str">
        <f>VLOOKUP(J722,Teams!A:B,2,FALSE)</f>
        <v>CIV</v>
      </c>
      <c r="T722" t="str">
        <f>VLOOKUP(M722,Teams!A:B,2,FALSE)</f>
        <v>POR</v>
      </c>
    </row>
    <row r="723" spans="1:20" x14ac:dyDescent="0.25">
      <c r="A723" t="str">
        <f t="shared" si="11"/>
        <v>FIFAWC2010-14</v>
      </c>
      <c r="B723" s="4">
        <v>14</v>
      </c>
      <c r="C723" s="3">
        <v>40345</v>
      </c>
      <c r="D723" s="7">
        <v>6.25E-2</v>
      </c>
      <c r="E723">
        <v>2010</v>
      </c>
      <c r="F723" t="s">
        <v>1737</v>
      </c>
      <c r="G723" t="s">
        <v>1741</v>
      </c>
      <c r="H723" t="s">
        <v>1122</v>
      </c>
      <c r="I723" t="s">
        <v>1748</v>
      </c>
      <c r="J723" t="s">
        <v>760</v>
      </c>
      <c r="K723">
        <v>2</v>
      </c>
      <c r="L723">
        <v>1</v>
      </c>
      <c r="M723" t="s">
        <v>1055</v>
      </c>
      <c r="O723" t="s">
        <v>1546</v>
      </c>
      <c r="P723" t="s">
        <v>1544</v>
      </c>
      <c r="Q723">
        <v>54331</v>
      </c>
      <c r="R723" t="s">
        <v>1157</v>
      </c>
      <c r="S723" t="str">
        <f>VLOOKUP(J723,Teams!A:B,2,FALSE)</f>
        <v>BRA</v>
      </c>
      <c r="T723" t="str">
        <f>VLOOKUP(M723,Teams!A:B,2,FALSE)</f>
        <v>PRK</v>
      </c>
    </row>
    <row r="724" spans="1:20" x14ac:dyDescent="0.25">
      <c r="A724" t="str">
        <f>F724&amp;"-"&amp;B724</f>
        <v>FIFAWC2010-15</v>
      </c>
      <c r="B724" s="4">
        <v>15</v>
      </c>
      <c r="C724" s="3">
        <v>40345</v>
      </c>
      <c r="D724" s="7">
        <v>0.77083333333333337</v>
      </c>
      <c r="E724">
        <v>2010</v>
      </c>
      <c r="F724" t="s">
        <v>1737</v>
      </c>
      <c r="G724" t="s">
        <v>1741</v>
      </c>
      <c r="H724" t="s">
        <v>1122</v>
      </c>
      <c r="I724" t="s">
        <v>1749</v>
      </c>
      <c r="J724" t="s">
        <v>810</v>
      </c>
      <c r="K724">
        <v>0</v>
      </c>
      <c r="L724">
        <v>1</v>
      </c>
      <c r="M724" t="s">
        <v>768</v>
      </c>
      <c r="O724" t="s">
        <v>1159</v>
      </c>
      <c r="P724" t="s">
        <v>1160</v>
      </c>
      <c r="Q724">
        <v>32664</v>
      </c>
      <c r="R724" t="s">
        <v>1157</v>
      </c>
      <c r="S724" t="str">
        <f>VLOOKUP(J724,Teams!A:B,2,FALSE)</f>
        <v>HON</v>
      </c>
      <c r="T724" t="str">
        <f>VLOOKUP(M724,Teams!A:B,2,FALSE)</f>
        <v>CHI</v>
      </c>
    </row>
    <row r="725" spans="1:20" x14ac:dyDescent="0.25">
      <c r="A725" t="str">
        <f>F725&amp;"-"&amp;B725</f>
        <v>FIFAWC2010-16</v>
      </c>
      <c r="B725" s="4">
        <v>16</v>
      </c>
      <c r="C725" s="3">
        <v>40345</v>
      </c>
      <c r="D725" s="7">
        <v>0.875</v>
      </c>
      <c r="E725">
        <v>2010</v>
      </c>
      <c r="F725" t="s">
        <v>1737</v>
      </c>
      <c r="G725" t="s">
        <v>1741</v>
      </c>
      <c r="H725" t="s">
        <v>1122</v>
      </c>
      <c r="I725" t="s">
        <v>1749</v>
      </c>
      <c r="J725" t="s">
        <v>895</v>
      </c>
      <c r="K725">
        <v>0</v>
      </c>
      <c r="L725">
        <v>1</v>
      </c>
      <c r="M725" t="s">
        <v>901</v>
      </c>
      <c r="O725" t="s">
        <v>1543</v>
      </c>
      <c r="P725" t="s">
        <v>1156</v>
      </c>
      <c r="Q725">
        <v>62453</v>
      </c>
      <c r="R725" t="s">
        <v>1157</v>
      </c>
      <c r="S725" t="str">
        <f>VLOOKUP(J725,Teams!A:B,2,FALSE)</f>
        <v>ESP</v>
      </c>
      <c r="T725" t="str">
        <f>VLOOKUP(M725,Teams!A:B,2,FALSE)</f>
        <v>SUI</v>
      </c>
    </row>
    <row r="726" spans="1:20" x14ac:dyDescent="0.25">
      <c r="A726" t="str">
        <f t="shared" si="11"/>
        <v>FIFAWC2010-17</v>
      </c>
      <c r="B726" s="4">
        <v>17</v>
      </c>
      <c r="C726" s="3">
        <v>40346</v>
      </c>
      <c r="D726" s="7">
        <v>6.25E-2</v>
      </c>
      <c r="E726">
        <v>2010</v>
      </c>
      <c r="F726" t="s">
        <v>1737</v>
      </c>
      <c r="G726" t="s">
        <v>1741</v>
      </c>
      <c r="H726" t="s">
        <v>1122</v>
      </c>
      <c r="I726" t="s">
        <v>1743</v>
      </c>
      <c r="J726" t="s">
        <v>893</v>
      </c>
      <c r="K726">
        <v>0</v>
      </c>
      <c r="L726">
        <v>3</v>
      </c>
      <c r="M726" t="s">
        <v>916</v>
      </c>
      <c r="O726" t="s">
        <v>1550</v>
      </c>
      <c r="P726" t="s">
        <v>1567</v>
      </c>
      <c r="Q726">
        <v>42658</v>
      </c>
      <c r="R726" t="s">
        <v>1157</v>
      </c>
      <c r="S726" t="str">
        <f>VLOOKUP(J726,Teams!A:B,2,FALSE)</f>
        <v>RSA</v>
      </c>
      <c r="T726" t="str">
        <f>VLOOKUP(M726,Teams!A:B,2,FALSE)</f>
        <v>URU</v>
      </c>
    </row>
    <row r="727" spans="1:20" x14ac:dyDescent="0.25">
      <c r="A727" t="str">
        <f>F727&amp;"-"&amp;B727</f>
        <v>FIFAWC2010-19</v>
      </c>
      <c r="B727" s="4">
        <v>19</v>
      </c>
      <c r="C727" s="3">
        <v>40346</v>
      </c>
      <c r="D727" s="7">
        <v>0.77083333333333337</v>
      </c>
      <c r="E727">
        <v>2010</v>
      </c>
      <c r="F727" t="s">
        <v>1737</v>
      </c>
      <c r="G727" t="s">
        <v>1741</v>
      </c>
      <c r="H727" t="s">
        <v>1122</v>
      </c>
      <c r="I727" t="s">
        <v>1742</v>
      </c>
      <c r="J727" t="s">
        <v>749</v>
      </c>
      <c r="K727">
        <v>4</v>
      </c>
      <c r="L727">
        <v>1</v>
      </c>
      <c r="M727" t="s">
        <v>1056</v>
      </c>
      <c r="O727" t="s">
        <v>1158</v>
      </c>
      <c r="P727" t="s">
        <v>1551</v>
      </c>
      <c r="Q727">
        <v>82174</v>
      </c>
      <c r="R727" t="s">
        <v>1157</v>
      </c>
      <c r="S727" t="str">
        <f>VLOOKUP(J727,Teams!A:B,2,FALSE)</f>
        <v>ARG</v>
      </c>
      <c r="T727" t="str">
        <f>VLOOKUP(M727,Teams!A:B,2,FALSE)</f>
        <v>KOR</v>
      </c>
    </row>
    <row r="728" spans="1:20" x14ac:dyDescent="0.25">
      <c r="A728" t="str">
        <f>F728&amp;"-"&amp;B728</f>
        <v>FIFAWC2010-20</v>
      </c>
      <c r="B728" s="4">
        <v>20</v>
      </c>
      <c r="C728" s="3">
        <v>40346</v>
      </c>
      <c r="D728" s="7">
        <v>0.875</v>
      </c>
      <c r="E728">
        <v>2010</v>
      </c>
      <c r="F728" t="s">
        <v>1737</v>
      </c>
      <c r="G728" t="s">
        <v>1741</v>
      </c>
      <c r="H728" t="s">
        <v>1122</v>
      </c>
      <c r="I728" t="s">
        <v>1742</v>
      </c>
      <c r="J728" t="s">
        <v>799</v>
      </c>
      <c r="K728">
        <v>2</v>
      </c>
      <c r="L728">
        <v>1</v>
      </c>
      <c r="M728" t="s">
        <v>857</v>
      </c>
      <c r="O728" t="s">
        <v>1554</v>
      </c>
      <c r="P728" t="s">
        <v>1562</v>
      </c>
      <c r="Q728">
        <v>31593</v>
      </c>
      <c r="R728" t="s">
        <v>1157</v>
      </c>
      <c r="S728" t="str">
        <f>VLOOKUP(J728,Teams!A:B,2,FALSE)</f>
        <v>GRE</v>
      </c>
      <c r="T728" t="str">
        <f>VLOOKUP(M728,Teams!A:B,2,FALSE)</f>
        <v>NGA</v>
      </c>
    </row>
    <row r="729" spans="1:20" x14ac:dyDescent="0.25">
      <c r="A729" t="str">
        <f t="shared" si="11"/>
        <v>FIFAWC2010-18</v>
      </c>
      <c r="B729" s="4">
        <v>18</v>
      </c>
      <c r="C729" s="3">
        <v>40347</v>
      </c>
      <c r="D729" s="7">
        <v>6.25E-2</v>
      </c>
      <c r="E729">
        <v>2010</v>
      </c>
      <c r="F729" t="s">
        <v>1737</v>
      </c>
      <c r="G729" t="s">
        <v>1741</v>
      </c>
      <c r="H729" t="s">
        <v>1122</v>
      </c>
      <c r="I729" t="s">
        <v>1743</v>
      </c>
      <c r="J729" t="s">
        <v>224</v>
      </c>
      <c r="K729">
        <v>0</v>
      </c>
      <c r="L729">
        <v>2</v>
      </c>
      <c r="M729" t="s">
        <v>845</v>
      </c>
      <c r="O729" t="s">
        <v>1558</v>
      </c>
      <c r="P729" t="s">
        <v>1563</v>
      </c>
      <c r="Q729">
        <v>35370</v>
      </c>
      <c r="R729" t="s">
        <v>1157</v>
      </c>
      <c r="S729" t="str">
        <f>VLOOKUP(J729,Teams!A:B,2,FALSE)</f>
        <v>FRA</v>
      </c>
      <c r="T729" t="str">
        <f>VLOOKUP(M729,Teams!A:B,2,FALSE)</f>
        <v>MEX</v>
      </c>
    </row>
    <row r="730" spans="1:20" x14ac:dyDescent="0.25">
      <c r="A730" t="str">
        <f>F730&amp;"-"&amp;B730</f>
        <v>FIFAWC2010-23</v>
      </c>
      <c r="B730" s="4">
        <v>23</v>
      </c>
      <c r="C730" s="3">
        <v>40347</v>
      </c>
      <c r="D730" s="7">
        <v>0.77083333333333337</v>
      </c>
      <c r="E730">
        <v>2010</v>
      </c>
      <c r="F730" t="s">
        <v>1737</v>
      </c>
      <c r="G730" t="s">
        <v>1741</v>
      </c>
      <c r="H730" t="s">
        <v>1122</v>
      </c>
      <c r="I730" t="s">
        <v>1745</v>
      </c>
      <c r="J730" t="s">
        <v>797</v>
      </c>
      <c r="K730">
        <v>0</v>
      </c>
      <c r="L730">
        <v>2</v>
      </c>
      <c r="M730" t="s">
        <v>884</v>
      </c>
      <c r="O730" t="s">
        <v>1541</v>
      </c>
      <c r="P730" t="s">
        <v>1552</v>
      </c>
      <c r="Q730">
        <v>38294</v>
      </c>
      <c r="R730" t="s">
        <v>1157</v>
      </c>
      <c r="S730" t="str">
        <f>VLOOKUP(J730,Teams!A:B,2,FALSE)</f>
        <v>GER</v>
      </c>
      <c r="T730" t="str">
        <f>VLOOKUP(M730,Teams!A:B,2,FALSE)</f>
        <v>SRB</v>
      </c>
    </row>
    <row r="731" spans="1:20" x14ac:dyDescent="0.25">
      <c r="A731" t="str">
        <f t="shared" si="11"/>
        <v>FIFAWC2010-21</v>
      </c>
      <c r="B731" s="4">
        <v>21</v>
      </c>
      <c r="C731" s="3">
        <v>40347</v>
      </c>
      <c r="D731" s="7">
        <v>0.875</v>
      </c>
      <c r="E731">
        <v>2010</v>
      </c>
      <c r="F731" t="s">
        <v>1737</v>
      </c>
      <c r="G731" t="s">
        <v>1741</v>
      </c>
      <c r="H731" t="s">
        <v>1122</v>
      </c>
      <c r="I731" t="s">
        <v>1744</v>
      </c>
      <c r="J731" t="s">
        <v>890</v>
      </c>
      <c r="K731">
        <v>2</v>
      </c>
      <c r="L731">
        <v>2</v>
      </c>
      <c r="M731" t="s">
        <v>702</v>
      </c>
      <c r="O731" t="s">
        <v>1546</v>
      </c>
      <c r="P731" t="s">
        <v>1566</v>
      </c>
      <c r="Q731">
        <v>45573</v>
      </c>
      <c r="R731" t="s">
        <v>1157</v>
      </c>
      <c r="S731" t="str">
        <f>VLOOKUP(J731,Teams!A:B,2,FALSE)</f>
        <v>SVN</v>
      </c>
      <c r="T731" t="str">
        <f>VLOOKUP(M731,Teams!A:B,2,FALSE)</f>
        <v>USA</v>
      </c>
    </row>
    <row r="732" spans="1:20" x14ac:dyDescent="0.25">
      <c r="A732" t="str">
        <f t="shared" si="11"/>
        <v>FIFAWC2010-22</v>
      </c>
      <c r="B732" s="4">
        <v>22</v>
      </c>
      <c r="C732" s="3">
        <v>40348</v>
      </c>
      <c r="D732" s="7">
        <v>6.25E-2</v>
      </c>
      <c r="E732">
        <v>2010</v>
      </c>
      <c r="F732" t="s">
        <v>1737</v>
      </c>
      <c r="G732" t="s">
        <v>1741</v>
      </c>
      <c r="H732" t="s">
        <v>1122</v>
      </c>
      <c r="I732" t="s">
        <v>1744</v>
      </c>
      <c r="J732" t="s">
        <v>1021</v>
      </c>
      <c r="K732">
        <v>0</v>
      </c>
      <c r="L732">
        <v>0</v>
      </c>
      <c r="M732" t="s">
        <v>745</v>
      </c>
      <c r="O732" t="s">
        <v>1545</v>
      </c>
      <c r="P732" t="s">
        <v>1470</v>
      </c>
      <c r="Q732">
        <v>64100</v>
      </c>
      <c r="R732" t="s">
        <v>1157</v>
      </c>
      <c r="S732" t="str">
        <f>VLOOKUP(J732,Teams!A:B,2,FALSE)</f>
        <v>ENG</v>
      </c>
      <c r="T732" t="str">
        <f>VLOOKUP(M732,Teams!A:B,2,FALSE)</f>
        <v>ALG</v>
      </c>
    </row>
    <row r="733" spans="1:20" x14ac:dyDescent="0.25">
      <c r="A733" t="str">
        <f>F733&amp;"-"&amp;B733</f>
        <v>FIFAWC2010-25</v>
      </c>
      <c r="B733" s="4">
        <v>25</v>
      </c>
      <c r="C733" s="3">
        <v>40348</v>
      </c>
      <c r="D733" s="7">
        <v>0.77083333333333337</v>
      </c>
      <c r="E733">
        <v>2010</v>
      </c>
      <c r="F733" t="s">
        <v>1737</v>
      </c>
      <c r="G733" t="s">
        <v>1741</v>
      </c>
      <c r="H733" t="s">
        <v>1122</v>
      </c>
      <c r="I733" t="s">
        <v>1746</v>
      </c>
      <c r="J733" t="s">
        <v>33</v>
      </c>
      <c r="K733">
        <v>1</v>
      </c>
      <c r="L733">
        <v>0</v>
      </c>
      <c r="M733" t="s">
        <v>330</v>
      </c>
      <c r="O733" t="s">
        <v>1543</v>
      </c>
      <c r="P733" t="s">
        <v>1549</v>
      </c>
      <c r="Q733">
        <v>62010</v>
      </c>
      <c r="R733" t="s">
        <v>1157</v>
      </c>
      <c r="S733" t="str">
        <f>VLOOKUP(J733,Teams!A:B,2,FALSE)</f>
        <v>NED</v>
      </c>
      <c r="T733" t="str">
        <f>VLOOKUP(M733,Teams!A:B,2,FALSE)</f>
        <v>JPN</v>
      </c>
    </row>
    <row r="734" spans="1:20" x14ac:dyDescent="0.25">
      <c r="A734" t="str">
        <f t="shared" ref="A734:A796" si="12">F734&amp;"-"&amp;B734</f>
        <v>FIFAWC2010-24</v>
      </c>
      <c r="B734" s="4">
        <v>24</v>
      </c>
      <c r="C734" s="3">
        <v>40348</v>
      </c>
      <c r="D734" s="7">
        <v>0.875</v>
      </c>
      <c r="E734">
        <v>2010</v>
      </c>
      <c r="F734" t="s">
        <v>1737</v>
      </c>
      <c r="G734" t="s">
        <v>1741</v>
      </c>
      <c r="H734" t="s">
        <v>1122</v>
      </c>
      <c r="I734" t="s">
        <v>1745</v>
      </c>
      <c r="J734" t="s">
        <v>798</v>
      </c>
      <c r="K734">
        <v>1</v>
      </c>
      <c r="L734">
        <v>1</v>
      </c>
      <c r="M734" t="s">
        <v>128</v>
      </c>
      <c r="O734" t="s">
        <v>1556</v>
      </c>
      <c r="P734" t="s">
        <v>1565</v>
      </c>
      <c r="Q734">
        <v>34812</v>
      </c>
      <c r="R734" t="s">
        <v>1157</v>
      </c>
      <c r="S734" t="str">
        <f>VLOOKUP(J734,Teams!A:B,2,FALSE)</f>
        <v>GHA</v>
      </c>
      <c r="T734" t="str">
        <f>VLOOKUP(M734,Teams!A:B,2,FALSE)</f>
        <v>AUS</v>
      </c>
    </row>
    <row r="735" spans="1:20" x14ac:dyDescent="0.25">
      <c r="A735" t="str">
        <f t="shared" si="12"/>
        <v>FIFAWC2010-26</v>
      </c>
      <c r="B735" s="4">
        <v>26</v>
      </c>
      <c r="C735" s="3">
        <v>40349</v>
      </c>
      <c r="D735" s="7">
        <v>6.25E-2</v>
      </c>
      <c r="E735">
        <v>2010</v>
      </c>
      <c r="F735" t="s">
        <v>1737</v>
      </c>
      <c r="G735" t="s">
        <v>1741</v>
      </c>
      <c r="H735" t="s">
        <v>1122</v>
      </c>
      <c r="I735" t="s">
        <v>1746</v>
      </c>
      <c r="J735" t="s">
        <v>764</v>
      </c>
      <c r="K735">
        <v>1</v>
      </c>
      <c r="L735">
        <v>2</v>
      </c>
      <c r="M735" t="s">
        <v>211</v>
      </c>
      <c r="O735" t="s">
        <v>1550</v>
      </c>
      <c r="P735" t="s">
        <v>1555</v>
      </c>
      <c r="Q735">
        <v>38074</v>
      </c>
      <c r="R735" t="s">
        <v>1157</v>
      </c>
      <c r="S735" t="str">
        <f>VLOOKUP(J735,Teams!A:B,2,FALSE)</f>
        <v>CMR</v>
      </c>
      <c r="T735" t="str">
        <f>VLOOKUP(M735,Teams!A:B,2,FALSE)</f>
        <v>DEN</v>
      </c>
    </row>
    <row r="736" spans="1:20" x14ac:dyDescent="0.25">
      <c r="A736" t="str">
        <f t="shared" si="12"/>
        <v>FIFAWC2010-27</v>
      </c>
      <c r="B736" s="4">
        <v>27</v>
      </c>
      <c r="C736" s="3">
        <v>40349</v>
      </c>
      <c r="D736" s="7">
        <v>0.77083333333333337</v>
      </c>
      <c r="E736">
        <v>2010</v>
      </c>
      <c r="F736" t="s">
        <v>1737</v>
      </c>
      <c r="G736" t="s">
        <v>1741</v>
      </c>
      <c r="H736" t="s">
        <v>1122</v>
      </c>
      <c r="I736" t="s">
        <v>1747</v>
      </c>
      <c r="J736" t="s">
        <v>889</v>
      </c>
      <c r="K736">
        <v>0</v>
      </c>
      <c r="L736">
        <v>2</v>
      </c>
      <c r="M736" t="s">
        <v>866</v>
      </c>
      <c r="O736" t="s">
        <v>1554</v>
      </c>
      <c r="P736" t="s">
        <v>1160</v>
      </c>
      <c r="Q736">
        <v>26643</v>
      </c>
      <c r="R736" t="s">
        <v>1157</v>
      </c>
      <c r="S736" t="str">
        <f>VLOOKUP(J736,Teams!A:B,2,FALSE)</f>
        <v>SVK</v>
      </c>
      <c r="T736" t="str">
        <f>VLOOKUP(M736,Teams!A:B,2,FALSE)</f>
        <v>PAR</v>
      </c>
    </row>
    <row r="737" spans="1:20" x14ac:dyDescent="0.25">
      <c r="A737" t="str">
        <f t="shared" si="12"/>
        <v>FIFAWC2010-28</v>
      </c>
      <c r="B737" s="4">
        <v>28</v>
      </c>
      <c r="C737" s="3">
        <v>40349</v>
      </c>
      <c r="D737" s="7">
        <v>0.875</v>
      </c>
      <c r="E737">
        <v>2010</v>
      </c>
      <c r="F737" t="s">
        <v>1737</v>
      </c>
      <c r="G737" t="s">
        <v>1741</v>
      </c>
      <c r="H737" t="s">
        <v>1122</v>
      </c>
      <c r="I737" t="s">
        <v>1747</v>
      </c>
      <c r="J737" t="s">
        <v>817</v>
      </c>
      <c r="K737">
        <v>1</v>
      </c>
      <c r="L737">
        <v>1</v>
      </c>
      <c r="M737" t="s">
        <v>147</v>
      </c>
      <c r="O737" t="s">
        <v>1159</v>
      </c>
      <c r="P737" t="s">
        <v>1547</v>
      </c>
      <c r="Q737">
        <v>38229</v>
      </c>
      <c r="R737" t="s">
        <v>1157</v>
      </c>
      <c r="S737" t="str">
        <f>VLOOKUP(J737,Teams!A:B,2,FALSE)</f>
        <v>ITA</v>
      </c>
      <c r="T737" t="str">
        <f>VLOOKUP(M737,Teams!A:B,2,FALSE)</f>
        <v>NZL</v>
      </c>
    </row>
    <row r="738" spans="1:20" x14ac:dyDescent="0.25">
      <c r="A738" t="str">
        <f t="shared" si="12"/>
        <v>FIFAWC2010-29</v>
      </c>
      <c r="B738" s="4">
        <v>29</v>
      </c>
      <c r="C738" s="3">
        <v>40350</v>
      </c>
      <c r="D738" s="7">
        <v>6.25E-2</v>
      </c>
      <c r="E738">
        <v>2010</v>
      </c>
      <c r="F738" t="s">
        <v>1737</v>
      </c>
      <c r="G738" t="s">
        <v>1741</v>
      </c>
      <c r="H738" t="s">
        <v>1122</v>
      </c>
      <c r="I738" t="s">
        <v>1748</v>
      </c>
      <c r="J738" t="s">
        <v>760</v>
      </c>
      <c r="K738">
        <v>3</v>
      </c>
      <c r="L738">
        <v>1</v>
      </c>
      <c r="M738" t="s">
        <v>1751</v>
      </c>
      <c r="O738" t="s">
        <v>1158</v>
      </c>
      <c r="P738" t="s">
        <v>1564</v>
      </c>
      <c r="Q738">
        <v>84455</v>
      </c>
      <c r="R738" t="s">
        <v>1157</v>
      </c>
      <c r="S738" t="str">
        <f>VLOOKUP(J738,Teams!A:B,2,FALSE)</f>
        <v>BRA</v>
      </c>
      <c r="T738" t="str">
        <f>VLOOKUP(M738,Teams!A:B,2,FALSE)</f>
        <v>CIV</v>
      </c>
    </row>
    <row r="739" spans="1:20" x14ac:dyDescent="0.25">
      <c r="A739" t="str">
        <f t="shared" si="12"/>
        <v>FIFAWC2010-30</v>
      </c>
      <c r="B739" s="4">
        <v>30</v>
      </c>
      <c r="C739" s="3">
        <v>40350</v>
      </c>
      <c r="D739" s="7">
        <v>0.77083333333333337</v>
      </c>
      <c r="E739">
        <v>2010</v>
      </c>
      <c r="F739" t="s">
        <v>1737</v>
      </c>
      <c r="G739" t="s">
        <v>1741</v>
      </c>
      <c r="H739" t="s">
        <v>1122</v>
      </c>
      <c r="I739" t="s">
        <v>1748</v>
      </c>
      <c r="J739" t="s">
        <v>871</v>
      </c>
      <c r="K739">
        <v>7</v>
      </c>
      <c r="L739">
        <v>0</v>
      </c>
      <c r="M739" t="s">
        <v>1055</v>
      </c>
      <c r="O739" t="s">
        <v>1545</v>
      </c>
      <c r="P739" t="s">
        <v>1560</v>
      </c>
      <c r="Q739">
        <v>63644</v>
      </c>
      <c r="R739" t="s">
        <v>1157</v>
      </c>
      <c r="S739" t="str">
        <f>VLOOKUP(J739,Teams!A:B,2,FALSE)</f>
        <v>POR</v>
      </c>
      <c r="T739" t="str">
        <f>VLOOKUP(M739,Teams!A:B,2,FALSE)</f>
        <v>PRK</v>
      </c>
    </row>
    <row r="740" spans="1:20" x14ac:dyDescent="0.25">
      <c r="A740" t="str">
        <f t="shared" si="12"/>
        <v>FIFAWC2010-31</v>
      </c>
      <c r="B740" s="4">
        <v>31</v>
      </c>
      <c r="C740" s="3">
        <v>40350</v>
      </c>
      <c r="D740" s="7">
        <v>0.875</v>
      </c>
      <c r="E740">
        <v>2010</v>
      </c>
      <c r="F740" t="s">
        <v>1737</v>
      </c>
      <c r="G740" t="s">
        <v>1741</v>
      </c>
      <c r="H740" t="s">
        <v>1122</v>
      </c>
      <c r="I740" t="s">
        <v>1749</v>
      </c>
      <c r="J740" t="s">
        <v>768</v>
      </c>
      <c r="K740">
        <v>1</v>
      </c>
      <c r="L740">
        <v>0</v>
      </c>
      <c r="M740" t="s">
        <v>901</v>
      </c>
      <c r="O740" t="s">
        <v>1541</v>
      </c>
      <c r="P740" t="s">
        <v>1563</v>
      </c>
      <c r="Q740">
        <v>34872</v>
      </c>
      <c r="R740" t="s">
        <v>1157</v>
      </c>
      <c r="S740" t="str">
        <f>VLOOKUP(J740,Teams!A:B,2,FALSE)</f>
        <v>CHI</v>
      </c>
      <c r="T740" t="str">
        <f>VLOOKUP(M740,Teams!A:B,2,FALSE)</f>
        <v>SUI</v>
      </c>
    </row>
    <row r="741" spans="1:20" x14ac:dyDescent="0.25">
      <c r="A741" t="str">
        <f t="shared" si="12"/>
        <v>FIFAWC2010-32</v>
      </c>
      <c r="B741" s="4">
        <v>32</v>
      </c>
      <c r="C741" s="3">
        <v>40351</v>
      </c>
      <c r="D741" s="7">
        <v>6.25E-2</v>
      </c>
      <c r="E741">
        <v>2010</v>
      </c>
      <c r="F741" t="s">
        <v>1737</v>
      </c>
      <c r="G741" t="s">
        <v>1741</v>
      </c>
      <c r="H741" t="s">
        <v>1122</v>
      </c>
      <c r="I741" t="s">
        <v>1749</v>
      </c>
      <c r="J741" t="s">
        <v>895</v>
      </c>
      <c r="K741">
        <v>2</v>
      </c>
      <c r="L741">
        <v>0</v>
      </c>
      <c r="M741" t="s">
        <v>810</v>
      </c>
      <c r="O741" t="s">
        <v>1546</v>
      </c>
      <c r="P741" t="s">
        <v>1540</v>
      </c>
      <c r="Q741">
        <v>54386</v>
      </c>
      <c r="R741" t="s">
        <v>1157</v>
      </c>
      <c r="S741" t="str">
        <f>VLOOKUP(J741,Teams!A:B,2,FALSE)</f>
        <v>ESP</v>
      </c>
      <c r="T741" t="str">
        <f>VLOOKUP(M741,Teams!A:B,2,FALSE)</f>
        <v>HON</v>
      </c>
    </row>
    <row r="742" spans="1:20" x14ac:dyDescent="0.25">
      <c r="A742" t="str">
        <f t="shared" si="12"/>
        <v>FIFAWC2010-33</v>
      </c>
      <c r="B742" s="4">
        <v>33</v>
      </c>
      <c r="C742" s="3">
        <v>40351</v>
      </c>
      <c r="D742" s="7">
        <v>0.77083333333333337</v>
      </c>
      <c r="E742">
        <v>2010</v>
      </c>
      <c r="F742" t="s">
        <v>1737</v>
      </c>
      <c r="G742" t="s">
        <v>1741</v>
      </c>
      <c r="H742" t="s">
        <v>1122</v>
      </c>
      <c r="I742" t="s">
        <v>1743</v>
      </c>
      <c r="J742" t="s">
        <v>845</v>
      </c>
      <c r="K742">
        <v>0</v>
      </c>
      <c r="L742">
        <v>1</v>
      </c>
      <c r="M742" t="s">
        <v>916</v>
      </c>
      <c r="O742" t="s">
        <v>1556</v>
      </c>
      <c r="P742" t="s">
        <v>1544</v>
      </c>
      <c r="Q742">
        <v>33425</v>
      </c>
      <c r="R742" t="s">
        <v>1157</v>
      </c>
      <c r="S742" t="str">
        <f>VLOOKUP(J742,Teams!A:B,2,FALSE)</f>
        <v>MEX</v>
      </c>
      <c r="T742" t="str">
        <f>VLOOKUP(M742,Teams!A:B,2,FALSE)</f>
        <v>URU</v>
      </c>
    </row>
    <row r="743" spans="1:20" x14ac:dyDescent="0.25">
      <c r="A743" t="str">
        <f t="shared" si="12"/>
        <v>FIFAWC2010-34</v>
      </c>
      <c r="B743" s="4">
        <v>34</v>
      </c>
      <c r="C743" s="3">
        <v>40351</v>
      </c>
      <c r="D743" s="7">
        <v>0.875</v>
      </c>
      <c r="E743">
        <v>2010</v>
      </c>
      <c r="F743" t="s">
        <v>1737</v>
      </c>
      <c r="G743" t="s">
        <v>1741</v>
      </c>
      <c r="H743" t="s">
        <v>1122</v>
      </c>
      <c r="I743" t="s">
        <v>1743</v>
      </c>
      <c r="J743" t="s">
        <v>224</v>
      </c>
      <c r="K743">
        <v>1</v>
      </c>
      <c r="L743">
        <v>2</v>
      </c>
      <c r="M743" t="s">
        <v>893</v>
      </c>
      <c r="O743" t="s">
        <v>1554</v>
      </c>
      <c r="P743" t="s">
        <v>1562</v>
      </c>
      <c r="Q743">
        <v>39415</v>
      </c>
      <c r="R743" t="s">
        <v>1157</v>
      </c>
      <c r="S743" t="str">
        <f>VLOOKUP(J743,Teams!A:B,2,FALSE)</f>
        <v>FRA</v>
      </c>
      <c r="T743" t="str">
        <f>VLOOKUP(M743,Teams!A:B,2,FALSE)</f>
        <v>RSA</v>
      </c>
    </row>
    <row r="744" spans="1:20" x14ac:dyDescent="0.25">
      <c r="A744" t="str">
        <f>F744&amp;"-"&amp;B744</f>
        <v>FIFAWC2010-36</v>
      </c>
      <c r="B744" s="4">
        <v>36</v>
      </c>
      <c r="C744" s="3">
        <v>40351</v>
      </c>
      <c r="D744" s="7">
        <v>6.25E-2</v>
      </c>
      <c r="E744">
        <v>2010</v>
      </c>
      <c r="F744" t="s">
        <v>1737</v>
      </c>
      <c r="G744" t="s">
        <v>1741</v>
      </c>
      <c r="H744" t="s">
        <v>1122</v>
      </c>
      <c r="I744" t="s">
        <v>1742</v>
      </c>
      <c r="J744" t="s">
        <v>799</v>
      </c>
      <c r="K744">
        <v>0</v>
      </c>
      <c r="L744">
        <v>2</v>
      </c>
      <c r="M744" t="s">
        <v>749</v>
      </c>
      <c r="O744" t="s">
        <v>1558</v>
      </c>
      <c r="P744" t="s">
        <v>1470</v>
      </c>
      <c r="Q744">
        <v>38891</v>
      </c>
      <c r="R744" t="s">
        <v>1157</v>
      </c>
      <c r="S744" t="str">
        <f>VLOOKUP(J744,Teams!A:B,2,FALSE)</f>
        <v>GRE</v>
      </c>
      <c r="T744" t="str">
        <f>VLOOKUP(M744,Teams!A:B,2,FALSE)</f>
        <v>ARG</v>
      </c>
    </row>
    <row r="745" spans="1:20" x14ac:dyDescent="0.25">
      <c r="A745" t="str">
        <f t="shared" si="12"/>
        <v>FIFAWC2010-35</v>
      </c>
      <c r="B745" s="4">
        <v>35</v>
      </c>
      <c r="C745" s="3">
        <v>40351</v>
      </c>
      <c r="D745" s="7">
        <v>6.25E-2</v>
      </c>
      <c r="E745">
        <v>2010</v>
      </c>
      <c r="F745" t="s">
        <v>1737</v>
      </c>
      <c r="G745" t="s">
        <v>1741</v>
      </c>
      <c r="H745" t="s">
        <v>1122</v>
      </c>
      <c r="I745" t="s">
        <v>1742</v>
      </c>
      <c r="J745" t="s">
        <v>857</v>
      </c>
      <c r="K745">
        <v>2</v>
      </c>
      <c r="L745">
        <v>2</v>
      </c>
      <c r="M745" t="s">
        <v>1056</v>
      </c>
      <c r="O745" t="s">
        <v>1543</v>
      </c>
      <c r="P745" t="s">
        <v>1548</v>
      </c>
      <c r="Q745">
        <v>61874</v>
      </c>
      <c r="R745" t="s">
        <v>1157</v>
      </c>
      <c r="S745" t="str">
        <f>VLOOKUP(J745,Teams!A:B,2,FALSE)</f>
        <v>NGA</v>
      </c>
      <c r="T745" t="str">
        <f>VLOOKUP(M745,Teams!A:B,2,FALSE)</f>
        <v>KOR</v>
      </c>
    </row>
    <row r="746" spans="1:20" x14ac:dyDescent="0.25">
      <c r="A746" t="str">
        <f>F746&amp;"-"&amp;B746</f>
        <v>FIFAWC2010-38</v>
      </c>
      <c r="B746" s="4">
        <v>38</v>
      </c>
      <c r="C746" s="3">
        <v>40352</v>
      </c>
      <c r="D746" s="7">
        <v>0.875</v>
      </c>
      <c r="E746">
        <v>2010</v>
      </c>
      <c r="F746" t="s">
        <v>1737</v>
      </c>
      <c r="G746" t="s">
        <v>1741</v>
      </c>
      <c r="H746" t="s">
        <v>1122</v>
      </c>
      <c r="I746" t="s">
        <v>1744</v>
      </c>
      <c r="J746" t="s">
        <v>702</v>
      </c>
      <c r="K746">
        <v>1</v>
      </c>
      <c r="L746">
        <v>0</v>
      </c>
      <c r="M746" t="s">
        <v>745</v>
      </c>
      <c r="O746" t="s">
        <v>1550</v>
      </c>
      <c r="P746" t="s">
        <v>1551</v>
      </c>
      <c r="Q746">
        <v>35827</v>
      </c>
      <c r="R746" t="s">
        <v>1157</v>
      </c>
      <c r="S746" t="str">
        <f>VLOOKUP(J746,Teams!A:B,2,FALSE)</f>
        <v>USA</v>
      </c>
      <c r="T746" t="str">
        <f>VLOOKUP(M746,Teams!A:B,2,FALSE)</f>
        <v>ALG</v>
      </c>
    </row>
    <row r="747" spans="1:20" x14ac:dyDescent="0.25">
      <c r="A747" t="str">
        <f t="shared" si="12"/>
        <v>FIFAWC2010-37</v>
      </c>
      <c r="B747" s="4">
        <v>37</v>
      </c>
      <c r="C747" s="3">
        <v>40352</v>
      </c>
      <c r="D747" s="7">
        <v>0.875</v>
      </c>
      <c r="E747">
        <v>2010</v>
      </c>
      <c r="F747" t="s">
        <v>1737</v>
      </c>
      <c r="G747" t="s">
        <v>1741</v>
      </c>
      <c r="H747" t="s">
        <v>1122</v>
      </c>
      <c r="I747" t="s">
        <v>1744</v>
      </c>
      <c r="J747" t="s">
        <v>890</v>
      </c>
      <c r="K747">
        <v>0</v>
      </c>
      <c r="L747">
        <v>1</v>
      </c>
      <c r="M747" t="s">
        <v>1021</v>
      </c>
      <c r="O747" t="s">
        <v>1541</v>
      </c>
      <c r="P747" t="s">
        <v>1557</v>
      </c>
      <c r="Q747">
        <v>36893</v>
      </c>
      <c r="R747" t="s">
        <v>1157</v>
      </c>
      <c r="S747" t="str">
        <f>VLOOKUP(J747,Teams!A:B,2,FALSE)</f>
        <v>SVN</v>
      </c>
      <c r="T747" t="str">
        <f>VLOOKUP(M747,Teams!A:B,2,FALSE)</f>
        <v>ENG</v>
      </c>
    </row>
    <row r="748" spans="1:20" x14ac:dyDescent="0.25">
      <c r="A748" t="str">
        <f>F748&amp;"-"&amp;B748</f>
        <v>FIFAWC2010-40</v>
      </c>
      <c r="B748" s="4">
        <v>40</v>
      </c>
      <c r="C748" s="3">
        <v>40353</v>
      </c>
      <c r="D748" s="7">
        <v>6.25E-2</v>
      </c>
      <c r="E748">
        <v>2010</v>
      </c>
      <c r="F748" t="s">
        <v>1737</v>
      </c>
      <c r="G748" t="s">
        <v>1741</v>
      </c>
      <c r="H748" t="s">
        <v>1122</v>
      </c>
      <c r="I748" t="s">
        <v>1745</v>
      </c>
      <c r="J748" t="s">
        <v>128</v>
      </c>
      <c r="K748">
        <v>2</v>
      </c>
      <c r="L748">
        <v>1</v>
      </c>
      <c r="M748" t="s">
        <v>884</v>
      </c>
      <c r="O748" t="s">
        <v>1159</v>
      </c>
      <c r="P748" t="s">
        <v>1555</v>
      </c>
      <c r="Q748">
        <v>37836</v>
      </c>
      <c r="R748" t="s">
        <v>1157</v>
      </c>
      <c r="S748" t="str">
        <f>VLOOKUP(J748,Teams!A:B,2,FALSE)</f>
        <v>AUS</v>
      </c>
      <c r="T748" t="str">
        <f>VLOOKUP(M748,Teams!A:B,2,FALSE)</f>
        <v>SRB</v>
      </c>
    </row>
    <row r="749" spans="1:20" x14ac:dyDescent="0.25">
      <c r="A749" t="str">
        <f t="shared" si="12"/>
        <v>FIFAWC2010-39</v>
      </c>
      <c r="B749" s="4">
        <v>39</v>
      </c>
      <c r="C749" s="3">
        <v>40353</v>
      </c>
      <c r="D749" s="7">
        <v>6.25E-2</v>
      </c>
      <c r="E749">
        <v>2010</v>
      </c>
      <c r="F749" t="s">
        <v>1737</v>
      </c>
      <c r="G749" t="s">
        <v>1741</v>
      </c>
      <c r="H749" t="s">
        <v>1122</v>
      </c>
      <c r="I749" t="s">
        <v>1745</v>
      </c>
      <c r="J749" t="s">
        <v>798</v>
      </c>
      <c r="K749">
        <v>0</v>
      </c>
      <c r="L749">
        <v>1</v>
      </c>
      <c r="M749" t="s">
        <v>797</v>
      </c>
      <c r="O749" t="s">
        <v>1158</v>
      </c>
      <c r="P749" t="s">
        <v>1162</v>
      </c>
      <c r="Q749">
        <v>83391</v>
      </c>
      <c r="R749" t="s">
        <v>1157</v>
      </c>
      <c r="S749" t="str">
        <f>VLOOKUP(J749,Teams!A:B,2,FALSE)</f>
        <v>GHA</v>
      </c>
      <c r="T749" t="str">
        <f>VLOOKUP(M749,Teams!A:B,2,FALSE)</f>
        <v>GER</v>
      </c>
    </row>
    <row r="750" spans="1:20" x14ac:dyDescent="0.25">
      <c r="A750" t="str">
        <f>F750&amp;"-"&amp;B750</f>
        <v>FIFAWC2010-43</v>
      </c>
      <c r="B750" s="4">
        <v>43</v>
      </c>
      <c r="C750" s="3">
        <v>40353</v>
      </c>
      <c r="D750" s="7">
        <v>0.875</v>
      </c>
      <c r="E750">
        <v>2010</v>
      </c>
      <c r="F750" t="s">
        <v>1737</v>
      </c>
      <c r="G750" t="s">
        <v>1741</v>
      </c>
      <c r="H750" t="s">
        <v>1122</v>
      </c>
      <c r="I750" t="s">
        <v>1747</v>
      </c>
      <c r="J750" t="s">
        <v>889</v>
      </c>
      <c r="K750">
        <v>3</v>
      </c>
      <c r="L750">
        <v>2</v>
      </c>
      <c r="M750" t="s">
        <v>817</v>
      </c>
      <c r="O750" t="s">
        <v>1546</v>
      </c>
      <c r="P750" t="s">
        <v>1156</v>
      </c>
      <c r="Q750">
        <v>53412</v>
      </c>
      <c r="R750" t="s">
        <v>1157</v>
      </c>
      <c r="S750" t="str">
        <f>VLOOKUP(J750,Teams!A:B,2,FALSE)</f>
        <v>SVK</v>
      </c>
      <c r="T750" t="str">
        <f>VLOOKUP(M750,Teams!A:B,2,FALSE)</f>
        <v>ITA</v>
      </c>
    </row>
    <row r="751" spans="1:20" x14ac:dyDescent="0.25">
      <c r="A751" t="str">
        <f>F751&amp;"-"&amp;B751</f>
        <v>FIFAWC2010-44</v>
      </c>
      <c r="B751" s="4">
        <v>44</v>
      </c>
      <c r="C751" s="3">
        <v>40353</v>
      </c>
      <c r="D751" s="7">
        <v>0.875</v>
      </c>
      <c r="E751">
        <v>2010</v>
      </c>
      <c r="F751" t="s">
        <v>1737</v>
      </c>
      <c r="G751" t="s">
        <v>1741</v>
      </c>
      <c r="H751" t="s">
        <v>1122</v>
      </c>
      <c r="I751" t="s">
        <v>1747</v>
      </c>
      <c r="J751" t="s">
        <v>866</v>
      </c>
      <c r="K751">
        <v>0</v>
      </c>
      <c r="L751">
        <v>0</v>
      </c>
      <c r="M751" t="s">
        <v>147</v>
      </c>
      <c r="O751" t="s">
        <v>1558</v>
      </c>
      <c r="P751" t="s">
        <v>1559</v>
      </c>
      <c r="Q751">
        <v>34850</v>
      </c>
      <c r="R751" t="s">
        <v>1157</v>
      </c>
      <c r="S751" t="str">
        <f>VLOOKUP(J751,Teams!A:B,2,FALSE)</f>
        <v>PAR</v>
      </c>
      <c r="T751" t="str">
        <f>VLOOKUP(M751,Teams!A:B,2,FALSE)</f>
        <v>NZL</v>
      </c>
    </row>
    <row r="752" spans="1:20" x14ac:dyDescent="0.25">
      <c r="A752" t="str">
        <f t="shared" si="12"/>
        <v>FIFAWC2010-41</v>
      </c>
      <c r="B752" s="4">
        <v>41</v>
      </c>
      <c r="C752" s="3">
        <v>40354</v>
      </c>
      <c r="D752" s="7">
        <v>6.25E-2</v>
      </c>
      <c r="E752">
        <v>2010</v>
      </c>
      <c r="F752" t="s">
        <v>1737</v>
      </c>
      <c r="G752" t="s">
        <v>1741</v>
      </c>
      <c r="H752" t="s">
        <v>1122</v>
      </c>
      <c r="I752" t="s">
        <v>1746</v>
      </c>
      <c r="J752" t="s">
        <v>211</v>
      </c>
      <c r="K752">
        <v>1</v>
      </c>
      <c r="L752">
        <v>3</v>
      </c>
      <c r="M752" t="s">
        <v>330</v>
      </c>
      <c r="O752" t="s">
        <v>1556</v>
      </c>
      <c r="P752" t="s">
        <v>1561</v>
      </c>
      <c r="Q752">
        <v>27967</v>
      </c>
      <c r="R752" t="s">
        <v>1157</v>
      </c>
      <c r="S752" t="str">
        <f>VLOOKUP(J752,Teams!A:B,2,FALSE)</f>
        <v>DEN</v>
      </c>
      <c r="T752" t="str">
        <f>VLOOKUP(M752,Teams!A:B,2,FALSE)</f>
        <v>JPN</v>
      </c>
    </row>
    <row r="753" spans="1:20" x14ac:dyDescent="0.25">
      <c r="A753" t="str">
        <f t="shared" si="12"/>
        <v>FIFAWC2010-42</v>
      </c>
      <c r="B753" s="4">
        <v>42</v>
      </c>
      <c r="C753" s="3">
        <v>40354</v>
      </c>
      <c r="D753" s="7">
        <v>6.25E-2</v>
      </c>
      <c r="E753">
        <v>2010</v>
      </c>
      <c r="F753" t="s">
        <v>1737</v>
      </c>
      <c r="G753" t="s">
        <v>1741</v>
      </c>
      <c r="H753" t="s">
        <v>1122</v>
      </c>
      <c r="I753" t="s">
        <v>1746</v>
      </c>
      <c r="J753" t="s">
        <v>764</v>
      </c>
      <c r="K753">
        <v>1</v>
      </c>
      <c r="L753">
        <v>2</v>
      </c>
      <c r="M753" t="s">
        <v>33</v>
      </c>
      <c r="O753" t="s">
        <v>1545</v>
      </c>
      <c r="P753" t="s">
        <v>1560</v>
      </c>
      <c r="Q753">
        <v>63093</v>
      </c>
      <c r="R753" t="s">
        <v>1157</v>
      </c>
      <c r="S753" t="str">
        <f>VLOOKUP(J753,Teams!A:B,2,FALSE)</f>
        <v>CMR</v>
      </c>
      <c r="T753" t="str">
        <f>VLOOKUP(M753,Teams!A:B,2,FALSE)</f>
        <v>NED</v>
      </c>
    </row>
    <row r="754" spans="1:20" x14ac:dyDescent="0.25">
      <c r="A754" t="str">
        <f t="shared" si="12"/>
        <v>FIFAWC2010-45</v>
      </c>
      <c r="B754" s="4">
        <v>45</v>
      </c>
      <c r="C754" s="3">
        <v>40354</v>
      </c>
      <c r="D754" s="7">
        <v>0.875</v>
      </c>
      <c r="E754">
        <v>2010</v>
      </c>
      <c r="F754" t="s">
        <v>1737</v>
      </c>
      <c r="G754" t="s">
        <v>1741</v>
      </c>
      <c r="H754" t="s">
        <v>1122</v>
      </c>
      <c r="I754" t="s">
        <v>1748</v>
      </c>
      <c r="J754" t="s">
        <v>871</v>
      </c>
      <c r="K754">
        <v>0</v>
      </c>
      <c r="L754">
        <v>0</v>
      </c>
      <c r="M754" t="s">
        <v>760</v>
      </c>
      <c r="O754" t="s">
        <v>1543</v>
      </c>
      <c r="P754" t="s">
        <v>1542</v>
      </c>
      <c r="Q754">
        <v>62712</v>
      </c>
      <c r="R754" t="s">
        <v>1157</v>
      </c>
      <c r="S754" t="str">
        <f>VLOOKUP(J754,Teams!A:B,2,FALSE)</f>
        <v>POR</v>
      </c>
      <c r="T754" t="str">
        <f>VLOOKUP(M754,Teams!A:B,2,FALSE)</f>
        <v>BRA</v>
      </c>
    </row>
    <row r="755" spans="1:20" x14ac:dyDescent="0.25">
      <c r="A755" t="str">
        <f t="shared" si="12"/>
        <v>FIFAWC2010-46</v>
      </c>
      <c r="B755" s="4">
        <v>46</v>
      </c>
      <c r="C755" s="3">
        <v>40354</v>
      </c>
      <c r="D755" s="7">
        <v>0.875</v>
      </c>
      <c r="E755">
        <v>2010</v>
      </c>
      <c r="F755" t="s">
        <v>1737</v>
      </c>
      <c r="G755" t="s">
        <v>1741</v>
      </c>
      <c r="H755" t="s">
        <v>1122</v>
      </c>
      <c r="I755" t="s">
        <v>1748</v>
      </c>
      <c r="J755" t="s">
        <v>1055</v>
      </c>
      <c r="K755">
        <v>0</v>
      </c>
      <c r="L755">
        <v>3</v>
      </c>
      <c r="M755" t="s">
        <v>1751</v>
      </c>
      <c r="O755" t="s">
        <v>1159</v>
      </c>
      <c r="P755" t="s">
        <v>1552</v>
      </c>
      <c r="Q755">
        <v>34763</v>
      </c>
      <c r="R755" t="s">
        <v>1157</v>
      </c>
      <c r="S755" t="str">
        <f>VLOOKUP(J755,Teams!A:B,2,FALSE)</f>
        <v>PRK</v>
      </c>
      <c r="T755" t="str">
        <f>VLOOKUP(M755,Teams!A:B,2,FALSE)</f>
        <v>CIV</v>
      </c>
    </row>
    <row r="756" spans="1:20" x14ac:dyDescent="0.25">
      <c r="A756" t="str">
        <f>F756&amp;"-"&amp;B756</f>
        <v>FIFAWC2010-48</v>
      </c>
      <c r="B756" s="4">
        <v>48</v>
      </c>
      <c r="C756" s="3">
        <v>40355</v>
      </c>
      <c r="D756" s="7">
        <v>6.25E-2</v>
      </c>
      <c r="E756">
        <v>2010</v>
      </c>
      <c r="F756" t="s">
        <v>1737</v>
      </c>
      <c r="G756" t="s">
        <v>1741</v>
      </c>
      <c r="H756" t="s">
        <v>1122</v>
      </c>
      <c r="I756" t="s">
        <v>1749</v>
      </c>
      <c r="J756" t="s">
        <v>901</v>
      </c>
      <c r="K756">
        <v>0</v>
      </c>
      <c r="L756">
        <v>0</v>
      </c>
      <c r="M756" t="s">
        <v>810</v>
      </c>
      <c r="O756" t="s">
        <v>1554</v>
      </c>
      <c r="P756" t="s">
        <v>1549</v>
      </c>
      <c r="Q756">
        <v>28042</v>
      </c>
      <c r="R756" t="s">
        <v>1157</v>
      </c>
      <c r="S756" t="str">
        <f>VLOOKUP(J756,Teams!A:B,2,FALSE)</f>
        <v>SUI</v>
      </c>
      <c r="T756" t="str">
        <f>VLOOKUP(M756,Teams!A:B,2,FALSE)</f>
        <v>HON</v>
      </c>
    </row>
    <row r="757" spans="1:20" x14ac:dyDescent="0.25">
      <c r="A757" t="str">
        <f t="shared" si="12"/>
        <v>FIFAWC2010-47</v>
      </c>
      <c r="B757" s="4">
        <v>47</v>
      </c>
      <c r="C757" s="3">
        <v>40355</v>
      </c>
      <c r="D757" s="7">
        <v>6.25E-2</v>
      </c>
      <c r="E757">
        <v>2010</v>
      </c>
      <c r="F757" t="s">
        <v>1737</v>
      </c>
      <c r="G757" t="s">
        <v>1741</v>
      </c>
      <c r="H757" t="s">
        <v>1122</v>
      </c>
      <c r="I757" t="s">
        <v>1749</v>
      </c>
      <c r="J757" t="s">
        <v>768</v>
      </c>
      <c r="K757">
        <v>1</v>
      </c>
      <c r="L757">
        <v>2</v>
      </c>
      <c r="M757" t="s">
        <v>895</v>
      </c>
      <c r="O757" t="s">
        <v>1550</v>
      </c>
      <c r="P757" t="s">
        <v>1468</v>
      </c>
      <c r="Q757">
        <v>41958</v>
      </c>
      <c r="R757" t="s">
        <v>1157</v>
      </c>
      <c r="S757" t="str">
        <f>VLOOKUP(J757,Teams!A:B,2,FALSE)</f>
        <v>CHI</v>
      </c>
      <c r="T757" t="str">
        <f>VLOOKUP(M757,Teams!A:B,2,FALSE)</f>
        <v>ESP</v>
      </c>
    </row>
    <row r="758" spans="1:20" x14ac:dyDescent="0.25">
      <c r="A758" t="str">
        <f t="shared" si="12"/>
        <v>FIFAWC2010-49</v>
      </c>
      <c r="B758" s="4">
        <v>49</v>
      </c>
      <c r="C758" s="3">
        <v>40355</v>
      </c>
      <c r="D758" s="7">
        <v>0.875</v>
      </c>
      <c r="E758">
        <v>2010</v>
      </c>
      <c r="F758" t="s">
        <v>1737</v>
      </c>
      <c r="G758" t="s">
        <v>1741</v>
      </c>
      <c r="H758" t="s">
        <v>1759</v>
      </c>
      <c r="I758" t="s">
        <v>1138</v>
      </c>
      <c r="J758" t="s">
        <v>916</v>
      </c>
      <c r="K758">
        <v>2</v>
      </c>
      <c r="L758">
        <v>1</v>
      </c>
      <c r="M758" t="s">
        <v>1056</v>
      </c>
      <c r="O758" t="s">
        <v>1541</v>
      </c>
      <c r="P758" t="s">
        <v>1557</v>
      </c>
      <c r="Q758">
        <v>30597</v>
      </c>
      <c r="R758" t="s">
        <v>1157</v>
      </c>
      <c r="S758" t="str">
        <f>VLOOKUP(J758,Teams!A:B,2,FALSE)</f>
        <v>URU</v>
      </c>
      <c r="T758" t="str">
        <f>VLOOKUP(M758,Teams!A:B,2,FALSE)</f>
        <v>KOR</v>
      </c>
    </row>
    <row r="759" spans="1:20" x14ac:dyDescent="0.25">
      <c r="A759" t="str">
        <f t="shared" si="12"/>
        <v>FIFAWC2010-50</v>
      </c>
      <c r="B759" s="4">
        <v>50</v>
      </c>
      <c r="C759" s="3">
        <v>40356</v>
      </c>
      <c r="D759" s="7">
        <v>6.25E-2</v>
      </c>
      <c r="E759">
        <v>2010</v>
      </c>
      <c r="F759" t="s">
        <v>1737</v>
      </c>
      <c r="G759" t="s">
        <v>1741</v>
      </c>
      <c r="H759" t="s">
        <v>1759</v>
      </c>
      <c r="I759" t="s">
        <v>1138</v>
      </c>
      <c r="J759" t="s">
        <v>702</v>
      </c>
      <c r="K759">
        <v>1</v>
      </c>
      <c r="L759">
        <v>2</v>
      </c>
      <c r="M759" t="s">
        <v>798</v>
      </c>
      <c r="O759" t="s">
        <v>1556</v>
      </c>
      <c r="P759" t="s">
        <v>1544</v>
      </c>
      <c r="Q759">
        <v>34976</v>
      </c>
      <c r="R759" t="s">
        <v>1157</v>
      </c>
      <c r="S759" t="str">
        <f>VLOOKUP(J759,Teams!A:B,2,FALSE)</f>
        <v>USA</v>
      </c>
      <c r="T759" t="str">
        <f>VLOOKUP(M759,Teams!A:B,2,FALSE)</f>
        <v>GHA</v>
      </c>
    </row>
    <row r="760" spans="1:20" x14ac:dyDescent="0.25">
      <c r="A760" t="str">
        <f t="shared" si="12"/>
        <v>FIFAWC2010-51</v>
      </c>
      <c r="B760" s="4">
        <v>51</v>
      </c>
      <c r="C760" s="3">
        <v>40356</v>
      </c>
      <c r="D760" s="7">
        <v>0.875</v>
      </c>
      <c r="E760">
        <v>2010</v>
      </c>
      <c r="F760" t="s">
        <v>1737</v>
      </c>
      <c r="G760" t="s">
        <v>1741</v>
      </c>
      <c r="H760" t="s">
        <v>1759</v>
      </c>
      <c r="I760" t="s">
        <v>1138</v>
      </c>
      <c r="J760" t="s">
        <v>797</v>
      </c>
      <c r="K760">
        <v>4</v>
      </c>
      <c r="L760">
        <v>1</v>
      </c>
      <c r="M760" t="s">
        <v>1021</v>
      </c>
      <c r="O760" t="s">
        <v>1554</v>
      </c>
      <c r="P760" t="s">
        <v>1555</v>
      </c>
      <c r="Q760">
        <v>40510</v>
      </c>
      <c r="R760" t="s">
        <v>1157</v>
      </c>
      <c r="S760" t="str">
        <f>VLOOKUP(J760,Teams!A:B,2,FALSE)</f>
        <v>GER</v>
      </c>
      <c r="T760" t="str">
        <f>VLOOKUP(M760,Teams!A:B,2,FALSE)</f>
        <v>ENG</v>
      </c>
    </row>
    <row r="761" spans="1:20" x14ac:dyDescent="0.25">
      <c r="A761" t="str">
        <f t="shared" si="12"/>
        <v>FIFAWC2010-52</v>
      </c>
      <c r="B761" s="4">
        <v>52</v>
      </c>
      <c r="C761" s="3">
        <v>40357</v>
      </c>
      <c r="D761" s="7">
        <v>6.25E-2</v>
      </c>
      <c r="E761">
        <v>2010</v>
      </c>
      <c r="F761" t="s">
        <v>1737</v>
      </c>
      <c r="G761" t="s">
        <v>1741</v>
      </c>
      <c r="H761" t="s">
        <v>1759</v>
      </c>
      <c r="I761" t="s">
        <v>1138</v>
      </c>
      <c r="J761" t="s">
        <v>749</v>
      </c>
      <c r="K761">
        <v>3</v>
      </c>
      <c r="L761">
        <v>1</v>
      </c>
      <c r="M761" t="s">
        <v>845</v>
      </c>
      <c r="O761" t="s">
        <v>1158</v>
      </c>
      <c r="P761" t="s">
        <v>1553</v>
      </c>
      <c r="Q761">
        <v>84377</v>
      </c>
      <c r="R761" t="s">
        <v>1157</v>
      </c>
      <c r="S761" t="str">
        <f>VLOOKUP(J761,Teams!A:B,2,FALSE)</f>
        <v>ARG</v>
      </c>
      <c r="T761" t="str">
        <f>VLOOKUP(M761,Teams!A:B,2,FALSE)</f>
        <v>MEX</v>
      </c>
    </row>
    <row r="762" spans="1:20" x14ac:dyDescent="0.25">
      <c r="A762" t="str">
        <f t="shared" si="12"/>
        <v>FIFAWC2010-53</v>
      </c>
      <c r="B762" s="4">
        <v>53</v>
      </c>
      <c r="C762" s="3">
        <v>40357</v>
      </c>
      <c r="D762" s="7">
        <v>0.875</v>
      </c>
      <c r="E762">
        <v>2010</v>
      </c>
      <c r="F762" t="s">
        <v>1737</v>
      </c>
      <c r="G762" t="s">
        <v>1741</v>
      </c>
      <c r="H762" t="s">
        <v>1759</v>
      </c>
      <c r="I762" t="s">
        <v>1138</v>
      </c>
      <c r="J762" t="s">
        <v>33</v>
      </c>
      <c r="K762">
        <v>2</v>
      </c>
      <c r="L762">
        <v>1</v>
      </c>
      <c r="M762" t="s">
        <v>889</v>
      </c>
      <c r="O762" t="s">
        <v>1543</v>
      </c>
      <c r="P762" t="s">
        <v>1552</v>
      </c>
      <c r="Q762">
        <v>61962</v>
      </c>
      <c r="R762" t="s">
        <v>1157</v>
      </c>
      <c r="S762" t="str">
        <f>VLOOKUP(J762,Teams!A:B,2,FALSE)</f>
        <v>NED</v>
      </c>
      <c r="T762" t="str">
        <f>VLOOKUP(M762,Teams!A:B,2,FALSE)</f>
        <v>SVK</v>
      </c>
    </row>
    <row r="763" spans="1:20" x14ac:dyDescent="0.25">
      <c r="A763" t="str">
        <f t="shared" si="12"/>
        <v>FIFAWC2010-54</v>
      </c>
      <c r="B763" s="4">
        <v>54</v>
      </c>
      <c r="C763" s="3">
        <v>40357</v>
      </c>
      <c r="D763" s="7">
        <v>6.25E-2</v>
      </c>
      <c r="E763">
        <v>2010</v>
      </c>
      <c r="F763" t="s">
        <v>1737</v>
      </c>
      <c r="G763" t="s">
        <v>1741</v>
      </c>
      <c r="H763" t="s">
        <v>1759</v>
      </c>
      <c r="I763" t="s">
        <v>1138</v>
      </c>
      <c r="J763" t="s">
        <v>760</v>
      </c>
      <c r="K763">
        <v>3</v>
      </c>
      <c r="L763">
        <v>0</v>
      </c>
      <c r="M763" t="s">
        <v>768</v>
      </c>
      <c r="O763" t="s">
        <v>1546</v>
      </c>
      <c r="P763" t="s">
        <v>1156</v>
      </c>
      <c r="Q763">
        <v>54096</v>
      </c>
      <c r="R763" t="s">
        <v>1157</v>
      </c>
      <c r="S763" t="str">
        <f>VLOOKUP(J763,Teams!A:B,2,FALSE)</f>
        <v>BRA</v>
      </c>
      <c r="T763" t="str">
        <f>VLOOKUP(M763,Teams!A:B,2,FALSE)</f>
        <v>CHI</v>
      </c>
    </row>
    <row r="764" spans="1:20" x14ac:dyDescent="0.25">
      <c r="A764" t="str">
        <f t="shared" si="12"/>
        <v>FIFAWC2010-55</v>
      </c>
      <c r="B764" s="4">
        <v>55</v>
      </c>
      <c r="C764" s="3">
        <v>40358</v>
      </c>
      <c r="D764" s="7">
        <v>0.875</v>
      </c>
      <c r="E764">
        <v>2010</v>
      </c>
      <c r="F764" t="s">
        <v>1737</v>
      </c>
      <c r="G764" t="s">
        <v>1741</v>
      </c>
      <c r="H764" t="s">
        <v>1759</v>
      </c>
      <c r="I764" t="s">
        <v>1138</v>
      </c>
      <c r="J764" t="s">
        <v>866</v>
      </c>
      <c r="K764">
        <v>0</v>
      </c>
      <c r="L764">
        <v>0</v>
      </c>
      <c r="M764" t="s">
        <v>330</v>
      </c>
      <c r="N764" t="s">
        <v>1782</v>
      </c>
      <c r="O764" t="s">
        <v>1550</v>
      </c>
      <c r="P764" t="s">
        <v>1551</v>
      </c>
      <c r="Q764">
        <v>36742</v>
      </c>
      <c r="R764" t="s">
        <v>1157</v>
      </c>
      <c r="S764" t="str">
        <f>VLOOKUP(J764,Teams!A:B,2,FALSE)</f>
        <v>PAR</v>
      </c>
      <c r="T764" t="str">
        <f>VLOOKUP(M764,Teams!A:B,2,FALSE)</f>
        <v>JPN</v>
      </c>
    </row>
    <row r="765" spans="1:20" x14ac:dyDescent="0.25">
      <c r="A765" t="str">
        <f t="shared" si="12"/>
        <v>FIFAWC2010-56</v>
      </c>
      <c r="B765" s="4">
        <v>56</v>
      </c>
      <c r="C765" s="3">
        <v>40358</v>
      </c>
      <c r="D765" s="7">
        <v>6.25E-2</v>
      </c>
      <c r="E765">
        <v>2010</v>
      </c>
      <c r="F765" t="s">
        <v>1737</v>
      </c>
      <c r="G765" t="s">
        <v>1741</v>
      </c>
      <c r="H765" t="s">
        <v>1759</v>
      </c>
      <c r="I765" t="s">
        <v>1138</v>
      </c>
      <c r="J765" t="s">
        <v>895</v>
      </c>
      <c r="K765">
        <v>1</v>
      </c>
      <c r="L765">
        <v>0</v>
      </c>
      <c r="M765" t="s">
        <v>871</v>
      </c>
      <c r="O765" t="s">
        <v>1545</v>
      </c>
      <c r="P765" t="s">
        <v>1549</v>
      </c>
      <c r="Q765">
        <v>62955</v>
      </c>
      <c r="R765" t="s">
        <v>1157</v>
      </c>
      <c r="S765" t="str">
        <f>VLOOKUP(J765,Teams!A:B,2,FALSE)</f>
        <v>ESP</v>
      </c>
      <c r="T765" t="str">
        <f>VLOOKUP(M765,Teams!A:B,2,FALSE)</f>
        <v>POR</v>
      </c>
    </row>
    <row r="766" spans="1:20" x14ac:dyDescent="0.25">
      <c r="A766" t="str">
        <f t="shared" si="12"/>
        <v>FIFAWC2010-57</v>
      </c>
      <c r="B766" s="4">
        <v>57</v>
      </c>
      <c r="C766" s="3">
        <v>40361</v>
      </c>
      <c r="D766" s="7">
        <v>0.875</v>
      </c>
      <c r="E766">
        <v>2010</v>
      </c>
      <c r="F766" t="s">
        <v>1737</v>
      </c>
      <c r="G766" t="s">
        <v>1741</v>
      </c>
      <c r="H766" t="s">
        <v>1759</v>
      </c>
      <c r="I766" t="s">
        <v>1139</v>
      </c>
      <c r="J766" t="s">
        <v>33</v>
      </c>
      <c r="K766">
        <v>2</v>
      </c>
      <c r="L766">
        <v>1</v>
      </c>
      <c r="M766" t="s">
        <v>760</v>
      </c>
      <c r="O766" t="s">
        <v>1541</v>
      </c>
      <c r="P766" t="s">
        <v>1540</v>
      </c>
      <c r="Q766">
        <v>40186</v>
      </c>
      <c r="R766" t="s">
        <v>1157</v>
      </c>
      <c r="S766" t="str">
        <f>VLOOKUP(J766,Teams!A:B,2,FALSE)</f>
        <v>NED</v>
      </c>
      <c r="T766" t="str">
        <f>VLOOKUP(M766,Teams!A:B,2,FALSE)</f>
        <v>BRA</v>
      </c>
    </row>
    <row r="767" spans="1:20" x14ac:dyDescent="0.25">
      <c r="A767" t="str">
        <f t="shared" si="12"/>
        <v>FIFAWC2010-58</v>
      </c>
      <c r="B767" s="4">
        <v>58</v>
      </c>
      <c r="C767" s="3">
        <v>40362</v>
      </c>
      <c r="D767" s="7">
        <v>6.25E-2</v>
      </c>
      <c r="E767">
        <v>2010</v>
      </c>
      <c r="F767" t="s">
        <v>1737</v>
      </c>
      <c r="G767" t="s">
        <v>1741</v>
      </c>
      <c r="H767" t="s">
        <v>1759</v>
      </c>
      <c r="I767" t="s">
        <v>1139</v>
      </c>
      <c r="J767" t="s">
        <v>916</v>
      </c>
      <c r="K767">
        <v>1</v>
      </c>
      <c r="L767">
        <v>1</v>
      </c>
      <c r="M767" t="s">
        <v>798</v>
      </c>
      <c r="N767" t="s">
        <v>1783</v>
      </c>
      <c r="O767" t="s">
        <v>1158</v>
      </c>
      <c r="P767" t="s">
        <v>1548</v>
      </c>
      <c r="Q767">
        <v>84017</v>
      </c>
      <c r="R767" t="s">
        <v>1157</v>
      </c>
      <c r="S767" t="str">
        <f>VLOOKUP(J767,Teams!A:B,2,FALSE)</f>
        <v>URU</v>
      </c>
      <c r="T767" t="str">
        <f>VLOOKUP(M767,Teams!A:B,2,FALSE)</f>
        <v>GHA</v>
      </c>
    </row>
    <row r="768" spans="1:20" x14ac:dyDescent="0.25">
      <c r="A768" t="str">
        <f t="shared" si="12"/>
        <v>FIFAWC2010-59</v>
      </c>
      <c r="B768" s="4">
        <v>59</v>
      </c>
      <c r="C768" s="3">
        <v>40362</v>
      </c>
      <c r="D768" s="7">
        <v>0.875</v>
      </c>
      <c r="E768">
        <v>2010</v>
      </c>
      <c r="F768" t="s">
        <v>1737</v>
      </c>
      <c r="G768" t="s">
        <v>1741</v>
      </c>
      <c r="H768" t="s">
        <v>1759</v>
      </c>
      <c r="I768" t="s">
        <v>1139</v>
      </c>
      <c r="J768" t="s">
        <v>749</v>
      </c>
      <c r="K768">
        <v>0</v>
      </c>
      <c r="L768">
        <v>4</v>
      </c>
      <c r="M768" t="s">
        <v>797</v>
      </c>
      <c r="O768" t="s">
        <v>1545</v>
      </c>
      <c r="P768" t="s">
        <v>1470</v>
      </c>
      <c r="Q768">
        <v>64100</v>
      </c>
      <c r="R768" t="s">
        <v>1157</v>
      </c>
      <c r="S768" t="str">
        <f>VLOOKUP(J768,Teams!A:B,2,FALSE)</f>
        <v>ARG</v>
      </c>
      <c r="T768" t="str">
        <f>VLOOKUP(M768,Teams!A:B,2,FALSE)</f>
        <v>GER</v>
      </c>
    </row>
    <row r="769" spans="1:20" x14ac:dyDescent="0.25">
      <c r="A769" t="str">
        <f t="shared" si="12"/>
        <v>FIFAWC2010-60</v>
      </c>
      <c r="B769" s="4">
        <v>60</v>
      </c>
      <c r="C769" s="3">
        <v>40363</v>
      </c>
      <c r="D769" s="7">
        <v>6.25E-2</v>
      </c>
      <c r="E769">
        <v>2010</v>
      </c>
      <c r="F769" t="s">
        <v>1737</v>
      </c>
      <c r="G769" t="s">
        <v>1741</v>
      </c>
      <c r="H769" t="s">
        <v>1759</v>
      </c>
      <c r="I769" t="s">
        <v>1139</v>
      </c>
      <c r="J769" t="s">
        <v>866</v>
      </c>
      <c r="K769">
        <v>0</v>
      </c>
      <c r="L769">
        <v>1</v>
      </c>
      <c r="M769" t="s">
        <v>895</v>
      </c>
      <c r="O769" t="s">
        <v>1546</v>
      </c>
      <c r="P769" t="s">
        <v>1547</v>
      </c>
      <c r="Q769">
        <v>55359</v>
      </c>
      <c r="R769" t="s">
        <v>1157</v>
      </c>
      <c r="S769" t="str">
        <f>VLOOKUP(J769,Teams!A:B,2,FALSE)</f>
        <v>PAR</v>
      </c>
      <c r="T769" t="str">
        <f>VLOOKUP(M769,Teams!A:B,2,FALSE)</f>
        <v>ESP</v>
      </c>
    </row>
    <row r="770" spans="1:20" x14ac:dyDescent="0.25">
      <c r="A770" t="str">
        <f t="shared" si="12"/>
        <v>FIFAWC2010-61</v>
      </c>
      <c r="B770" s="4">
        <v>61</v>
      </c>
      <c r="C770" s="3">
        <v>40366</v>
      </c>
      <c r="D770" s="7">
        <v>6.25E-2</v>
      </c>
      <c r="E770">
        <v>2010</v>
      </c>
      <c r="F770" t="s">
        <v>1737</v>
      </c>
      <c r="G770" t="s">
        <v>1741</v>
      </c>
      <c r="H770" t="s">
        <v>1759</v>
      </c>
      <c r="I770" t="s">
        <v>1140</v>
      </c>
      <c r="J770" t="s">
        <v>916</v>
      </c>
      <c r="K770">
        <v>2</v>
      </c>
      <c r="L770">
        <v>3</v>
      </c>
      <c r="M770" t="s">
        <v>33</v>
      </c>
      <c r="O770" t="s">
        <v>1545</v>
      </c>
      <c r="P770" t="s">
        <v>1470</v>
      </c>
      <c r="Q770">
        <v>62479</v>
      </c>
      <c r="R770" t="s">
        <v>1157</v>
      </c>
      <c r="S770" t="str">
        <f>VLOOKUP(J770,Teams!A:B,2,FALSE)</f>
        <v>URU</v>
      </c>
      <c r="T770" t="str">
        <f>VLOOKUP(M770,Teams!A:B,2,FALSE)</f>
        <v>NED</v>
      </c>
    </row>
    <row r="771" spans="1:20" x14ac:dyDescent="0.25">
      <c r="A771" t="str">
        <f t="shared" si="12"/>
        <v>FIFAWC2010-62</v>
      </c>
      <c r="B771" s="4">
        <v>62</v>
      </c>
      <c r="C771" s="3">
        <v>40367</v>
      </c>
      <c r="D771" s="7">
        <v>6.25E-2</v>
      </c>
      <c r="E771">
        <v>2010</v>
      </c>
      <c r="F771" t="s">
        <v>1737</v>
      </c>
      <c r="G771" t="s">
        <v>1741</v>
      </c>
      <c r="H771" t="s">
        <v>1759</v>
      </c>
      <c r="I771" t="s">
        <v>1140</v>
      </c>
      <c r="J771" t="s">
        <v>797</v>
      </c>
      <c r="K771">
        <v>0</v>
      </c>
      <c r="L771">
        <v>1</v>
      </c>
      <c r="M771" t="s">
        <v>895</v>
      </c>
      <c r="O771" t="s">
        <v>1543</v>
      </c>
      <c r="P771" t="s">
        <v>1544</v>
      </c>
      <c r="Q771">
        <v>60960</v>
      </c>
      <c r="R771" t="s">
        <v>1157</v>
      </c>
      <c r="S771" t="str">
        <f>VLOOKUP(J771,Teams!A:B,2,FALSE)</f>
        <v>GER</v>
      </c>
      <c r="T771" t="str">
        <f>VLOOKUP(M771,Teams!A:B,2,FALSE)</f>
        <v>ESP</v>
      </c>
    </row>
    <row r="772" spans="1:20" x14ac:dyDescent="0.25">
      <c r="A772" t="str">
        <f t="shared" si="12"/>
        <v>FIFAWC2010-63</v>
      </c>
      <c r="B772" s="4">
        <v>63</v>
      </c>
      <c r="C772" s="3">
        <v>40369</v>
      </c>
      <c r="D772" s="7">
        <v>6.25E-2</v>
      </c>
      <c r="E772">
        <v>2010</v>
      </c>
      <c r="F772" t="s">
        <v>1737</v>
      </c>
      <c r="G772" t="s">
        <v>1741</v>
      </c>
      <c r="H772" t="s">
        <v>1759</v>
      </c>
      <c r="I772" t="s">
        <v>1018</v>
      </c>
      <c r="J772" t="s">
        <v>916</v>
      </c>
      <c r="K772">
        <v>2</v>
      </c>
      <c r="L772">
        <v>3</v>
      </c>
      <c r="M772" t="s">
        <v>797</v>
      </c>
      <c r="O772" t="s">
        <v>1541</v>
      </c>
      <c r="P772" t="s">
        <v>1542</v>
      </c>
      <c r="Q772">
        <v>36254</v>
      </c>
      <c r="R772" t="s">
        <v>1157</v>
      </c>
      <c r="S772" t="str">
        <f>VLOOKUP(J772,Teams!A:B,2,FALSE)</f>
        <v>URU</v>
      </c>
      <c r="T772" t="str">
        <f>VLOOKUP(M772,Teams!A:B,2,FALSE)</f>
        <v>GER</v>
      </c>
    </row>
    <row r="773" spans="1:20" x14ac:dyDescent="0.25">
      <c r="A773" t="str">
        <f t="shared" si="12"/>
        <v>FIFAWC2010-64</v>
      </c>
      <c r="B773" s="4">
        <v>64</v>
      </c>
      <c r="C773" s="3">
        <v>40371</v>
      </c>
      <c r="D773" s="7">
        <v>6.25E-2</v>
      </c>
      <c r="E773">
        <v>2010</v>
      </c>
      <c r="F773" t="s">
        <v>1737</v>
      </c>
      <c r="G773" t="s">
        <v>1741</v>
      </c>
      <c r="H773" t="s">
        <v>1759</v>
      </c>
      <c r="I773" t="s">
        <v>1141</v>
      </c>
      <c r="J773" t="s">
        <v>33</v>
      </c>
      <c r="K773">
        <v>0</v>
      </c>
      <c r="L773">
        <v>1</v>
      </c>
      <c r="M773" t="s">
        <v>895</v>
      </c>
      <c r="O773" t="s">
        <v>1158</v>
      </c>
      <c r="P773" t="s">
        <v>1156</v>
      </c>
      <c r="Q773">
        <v>84490</v>
      </c>
      <c r="R773" t="s">
        <v>1157</v>
      </c>
      <c r="S773" t="str">
        <f>VLOOKUP(J773,Teams!A:B,2,FALSE)</f>
        <v>NED</v>
      </c>
      <c r="T773" t="str">
        <f>VLOOKUP(M773,Teams!A:B,2,FALSE)</f>
        <v>ESP</v>
      </c>
    </row>
    <row r="774" spans="1:20" x14ac:dyDescent="0.25">
      <c r="A774" t="str">
        <f t="shared" si="12"/>
        <v>FIFAWC2014-1</v>
      </c>
      <c r="B774" s="4">
        <v>1</v>
      </c>
      <c r="C774" s="3">
        <v>41803</v>
      </c>
      <c r="D774" s="7">
        <v>0.125</v>
      </c>
      <c r="E774">
        <v>2014</v>
      </c>
      <c r="F774" t="s">
        <v>1738</v>
      </c>
      <c r="G774" t="s">
        <v>1741</v>
      </c>
      <c r="H774" t="s">
        <v>1122</v>
      </c>
      <c r="I774" t="s">
        <v>1743</v>
      </c>
      <c r="J774" t="s">
        <v>760</v>
      </c>
      <c r="K774">
        <v>3</v>
      </c>
      <c r="L774">
        <v>1</v>
      </c>
      <c r="M774" t="s">
        <v>775</v>
      </c>
      <c r="O774" t="s">
        <v>1474</v>
      </c>
      <c r="P774" t="s">
        <v>1540</v>
      </c>
      <c r="Q774">
        <v>62103</v>
      </c>
      <c r="R774" t="s">
        <v>1157</v>
      </c>
      <c r="S774" t="str">
        <f>VLOOKUP(J774,Teams!A:B,2,FALSE)</f>
        <v>BRA</v>
      </c>
      <c r="T774" t="str">
        <f>VLOOKUP(M774,Teams!A:B,2,FALSE)</f>
        <v>CRO</v>
      </c>
    </row>
    <row r="775" spans="1:20" x14ac:dyDescent="0.25">
      <c r="A775" t="str">
        <f>F775&amp;"-"&amp;B775</f>
        <v>FIFAWC2014-2</v>
      </c>
      <c r="B775" s="4">
        <v>2</v>
      </c>
      <c r="C775" s="3">
        <v>41803</v>
      </c>
      <c r="D775" s="7">
        <v>0.95833333333333337</v>
      </c>
      <c r="E775">
        <v>2014</v>
      </c>
      <c r="F775" t="s">
        <v>1738</v>
      </c>
      <c r="G775" t="s">
        <v>1741</v>
      </c>
      <c r="H775" t="s">
        <v>1122</v>
      </c>
      <c r="I775" t="s">
        <v>1743</v>
      </c>
      <c r="J775" t="s">
        <v>845</v>
      </c>
      <c r="K775">
        <v>1</v>
      </c>
      <c r="L775">
        <v>0</v>
      </c>
      <c r="M775" t="s">
        <v>764</v>
      </c>
      <c r="O775" t="s">
        <v>1530</v>
      </c>
      <c r="P775" t="s">
        <v>1534</v>
      </c>
      <c r="Q775">
        <v>39216</v>
      </c>
      <c r="R775" t="s">
        <v>1157</v>
      </c>
      <c r="S775" t="str">
        <f>VLOOKUP(J775,Teams!A:B,2,FALSE)</f>
        <v>MEX</v>
      </c>
      <c r="T775" t="str">
        <f>VLOOKUP(M775,Teams!A:B,2,FALSE)</f>
        <v>CMR</v>
      </c>
    </row>
    <row r="776" spans="1:20" x14ac:dyDescent="0.25">
      <c r="A776" t="str">
        <f t="shared" si="12"/>
        <v>FIFAWC2014-3</v>
      </c>
      <c r="B776" s="4">
        <v>3</v>
      </c>
      <c r="C776" s="3">
        <v>41804</v>
      </c>
      <c r="D776" s="7">
        <v>8.3333333333333329E-2</v>
      </c>
      <c r="E776">
        <v>2014</v>
      </c>
      <c r="F776" t="s">
        <v>1738</v>
      </c>
      <c r="G776" t="s">
        <v>1741</v>
      </c>
      <c r="H776" t="s">
        <v>1122</v>
      </c>
      <c r="I776" t="s">
        <v>1742</v>
      </c>
      <c r="J776" t="s">
        <v>895</v>
      </c>
      <c r="K776">
        <v>1</v>
      </c>
      <c r="L776">
        <v>5</v>
      </c>
      <c r="M776" t="s">
        <v>33</v>
      </c>
      <c r="O776" t="s">
        <v>1469</v>
      </c>
      <c r="P776" t="s">
        <v>1463</v>
      </c>
      <c r="Q776">
        <v>48173</v>
      </c>
      <c r="R776" t="s">
        <v>1157</v>
      </c>
      <c r="S776" t="str">
        <f>VLOOKUP(J776,Teams!A:B,2,FALSE)</f>
        <v>ESP</v>
      </c>
      <c r="T776" t="str">
        <f>VLOOKUP(M776,Teams!A:B,2,FALSE)</f>
        <v>NED</v>
      </c>
    </row>
    <row r="777" spans="1:20" x14ac:dyDescent="0.25">
      <c r="A777" t="str">
        <f t="shared" si="12"/>
        <v>FIFAWC2014-4</v>
      </c>
      <c r="B777" s="4">
        <v>4</v>
      </c>
      <c r="C777" s="3">
        <v>41804</v>
      </c>
      <c r="D777" s="7">
        <v>0.20833333333333334</v>
      </c>
      <c r="E777">
        <v>2014</v>
      </c>
      <c r="F777" t="s">
        <v>1738</v>
      </c>
      <c r="G777" t="s">
        <v>1741</v>
      </c>
      <c r="H777" t="s">
        <v>1122</v>
      </c>
      <c r="I777" t="s">
        <v>1742</v>
      </c>
      <c r="J777" t="s">
        <v>768</v>
      </c>
      <c r="K777">
        <v>3</v>
      </c>
      <c r="L777">
        <v>1</v>
      </c>
      <c r="M777" t="s">
        <v>128</v>
      </c>
      <c r="O777" t="s">
        <v>1532</v>
      </c>
      <c r="P777" t="s">
        <v>1528</v>
      </c>
      <c r="Q777">
        <v>40275</v>
      </c>
      <c r="R777" t="s">
        <v>1157</v>
      </c>
      <c r="S777" t="str">
        <f>VLOOKUP(J777,Teams!A:B,2,FALSE)</f>
        <v>CHI</v>
      </c>
      <c r="T777" t="str">
        <f>VLOOKUP(M777,Teams!A:B,2,FALSE)</f>
        <v>AUS</v>
      </c>
    </row>
    <row r="778" spans="1:20" x14ac:dyDescent="0.25">
      <c r="A778" t="str">
        <f>F778&amp;"-"&amp;B778</f>
        <v>FIFAWC2014-5</v>
      </c>
      <c r="B778" s="4">
        <v>5</v>
      </c>
      <c r="C778" s="3">
        <v>41804</v>
      </c>
      <c r="D778" s="7">
        <v>0.95833333333333337</v>
      </c>
      <c r="E778">
        <v>2014</v>
      </c>
      <c r="F778" t="s">
        <v>1738</v>
      </c>
      <c r="G778" t="s">
        <v>1741</v>
      </c>
      <c r="H778" t="s">
        <v>1122</v>
      </c>
      <c r="I778" t="s">
        <v>1744</v>
      </c>
      <c r="J778" t="s">
        <v>771</v>
      </c>
      <c r="K778">
        <v>3</v>
      </c>
      <c r="L778">
        <v>0</v>
      </c>
      <c r="M778" t="s">
        <v>799</v>
      </c>
      <c r="O778" t="s">
        <v>1155</v>
      </c>
      <c r="P778" t="s">
        <v>1478</v>
      </c>
      <c r="Q778">
        <v>57174</v>
      </c>
      <c r="R778" t="s">
        <v>1157</v>
      </c>
      <c r="S778" t="str">
        <f>VLOOKUP(J778,Teams!A:B,2,FALSE)</f>
        <v>COL</v>
      </c>
      <c r="T778" t="str">
        <f>VLOOKUP(M778,Teams!A:B,2,FALSE)</f>
        <v>GRE</v>
      </c>
    </row>
    <row r="779" spans="1:20" x14ac:dyDescent="0.25">
      <c r="A779" t="str">
        <f>F779&amp;"-"&amp;B779</f>
        <v>FIFAWC2014-6</v>
      </c>
      <c r="B779" s="4">
        <v>6</v>
      </c>
      <c r="C779" s="3">
        <v>41805</v>
      </c>
      <c r="D779" s="7">
        <v>8.3333333333333329E-2</v>
      </c>
      <c r="E779">
        <v>2014</v>
      </c>
      <c r="F779" t="s">
        <v>1738</v>
      </c>
      <c r="G779" t="s">
        <v>1741</v>
      </c>
      <c r="H779" t="s">
        <v>1122</v>
      </c>
      <c r="I779" t="s">
        <v>1745</v>
      </c>
      <c r="J779" t="s">
        <v>916</v>
      </c>
      <c r="K779">
        <v>1</v>
      </c>
      <c r="L779">
        <v>3</v>
      </c>
      <c r="M779" t="s">
        <v>774</v>
      </c>
      <c r="O779" t="s">
        <v>1471</v>
      </c>
      <c r="P779" t="s">
        <v>1535</v>
      </c>
      <c r="Q779">
        <v>58679</v>
      </c>
      <c r="R779" t="s">
        <v>1157</v>
      </c>
      <c r="S779" t="str">
        <f>VLOOKUP(J779,Teams!A:B,2,FALSE)</f>
        <v>URU</v>
      </c>
      <c r="T779" t="str">
        <f>VLOOKUP(M779,Teams!A:B,2,FALSE)</f>
        <v>CRC</v>
      </c>
    </row>
    <row r="780" spans="1:20" x14ac:dyDescent="0.25">
      <c r="A780" t="str">
        <f t="shared" si="12"/>
        <v>FIFAWC2014-7</v>
      </c>
      <c r="B780" s="4">
        <v>7</v>
      </c>
      <c r="C780" s="3">
        <v>41805</v>
      </c>
      <c r="D780" s="7">
        <v>0.20833333333333334</v>
      </c>
      <c r="E780">
        <v>2014</v>
      </c>
      <c r="F780" t="s">
        <v>1738</v>
      </c>
      <c r="G780" t="s">
        <v>1741</v>
      </c>
      <c r="H780" t="s">
        <v>1122</v>
      </c>
      <c r="I780" t="s">
        <v>1745</v>
      </c>
      <c r="J780" t="s">
        <v>1021</v>
      </c>
      <c r="K780">
        <v>1</v>
      </c>
      <c r="L780">
        <v>2</v>
      </c>
      <c r="M780" t="s">
        <v>817</v>
      </c>
      <c r="O780" t="s">
        <v>1529</v>
      </c>
      <c r="P780" t="s">
        <v>1482</v>
      </c>
      <c r="Q780">
        <v>39800</v>
      </c>
      <c r="R780" t="s">
        <v>1157</v>
      </c>
      <c r="S780" t="str">
        <f>VLOOKUP(J780,Teams!A:B,2,FALSE)</f>
        <v>ENG</v>
      </c>
      <c r="T780" t="str">
        <f>VLOOKUP(M780,Teams!A:B,2,FALSE)</f>
        <v>ITA</v>
      </c>
    </row>
    <row r="781" spans="1:20" x14ac:dyDescent="0.25">
      <c r="A781" t="str">
        <f t="shared" si="12"/>
        <v>FIFAWC2014-8</v>
      </c>
      <c r="B781" s="4">
        <v>8</v>
      </c>
      <c r="C781" s="3">
        <v>41805</v>
      </c>
      <c r="D781" s="7">
        <v>0.33333333333333331</v>
      </c>
      <c r="E781">
        <v>2014</v>
      </c>
      <c r="F781" t="s">
        <v>1738</v>
      </c>
      <c r="G781" t="s">
        <v>1741</v>
      </c>
      <c r="H781" t="s">
        <v>1122</v>
      </c>
      <c r="I781" t="s">
        <v>1744</v>
      </c>
      <c r="J781" t="s">
        <v>1751</v>
      </c>
      <c r="K781">
        <v>2</v>
      </c>
      <c r="L781">
        <v>1</v>
      </c>
      <c r="M781" t="s">
        <v>330</v>
      </c>
      <c r="Q781">
        <v>40267</v>
      </c>
      <c r="R781" t="s">
        <v>1157</v>
      </c>
      <c r="S781" t="str">
        <f>VLOOKUP(J781,Teams!A:B,2,FALSE)</f>
        <v>CIV</v>
      </c>
      <c r="T781" t="str">
        <f>VLOOKUP(M781,Teams!A:B,2,FALSE)</f>
        <v>JPN</v>
      </c>
    </row>
    <row r="782" spans="1:20" x14ac:dyDescent="0.25">
      <c r="A782" t="str">
        <f t="shared" si="12"/>
        <v>FIFAWC2014-9</v>
      </c>
      <c r="B782" s="4">
        <v>9</v>
      </c>
      <c r="C782" s="3">
        <v>41805</v>
      </c>
      <c r="D782" s="7">
        <v>0.95833333333333337</v>
      </c>
      <c r="E782">
        <v>2014</v>
      </c>
      <c r="F782" t="s">
        <v>1738</v>
      </c>
      <c r="G782" t="s">
        <v>1741</v>
      </c>
      <c r="H782" t="s">
        <v>1122</v>
      </c>
      <c r="I782" t="s">
        <v>1746</v>
      </c>
      <c r="J782" t="s">
        <v>901</v>
      </c>
      <c r="K782">
        <v>2</v>
      </c>
      <c r="L782">
        <v>1</v>
      </c>
      <c r="M782" t="s">
        <v>782</v>
      </c>
      <c r="O782" t="s">
        <v>1464</v>
      </c>
      <c r="P782" t="s">
        <v>1470</v>
      </c>
      <c r="Q782">
        <v>68351</v>
      </c>
      <c r="R782" t="s">
        <v>1157</v>
      </c>
      <c r="S782" t="str">
        <f>VLOOKUP(J782,Teams!A:B,2,FALSE)</f>
        <v>SUI</v>
      </c>
      <c r="T782" t="str">
        <f>VLOOKUP(M782,Teams!A:B,2,FALSE)</f>
        <v>ECU</v>
      </c>
    </row>
    <row r="783" spans="1:20" x14ac:dyDescent="0.25">
      <c r="A783" t="str">
        <f t="shared" si="12"/>
        <v>FIFAWC2014-10</v>
      </c>
      <c r="B783" s="4">
        <v>10</v>
      </c>
      <c r="C783" s="3">
        <v>41806</v>
      </c>
      <c r="D783" s="7">
        <v>8.3333333333333329E-2</v>
      </c>
      <c r="E783">
        <v>2014</v>
      </c>
      <c r="F783" t="s">
        <v>1738</v>
      </c>
      <c r="G783" t="s">
        <v>1741</v>
      </c>
      <c r="H783" t="s">
        <v>1122</v>
      </c>
      <c r="I783" t="s">
        <v>1746</v>
      </c>
      <c r="J783" t="s">
        <v>224</v>
      </c>
      <c r="K783">
        <v>3</v>
      </c>
      <c r="L783">
        <v>0</v>
      </c>
      <c r="M783" t="s">
        <v>810</v>
      </c>
      <c r="O783" t="s">
        <v>1476</v>
      </c>
      <c r="P783" t="s">
        <v>1477</v>
      </c>
      <c r="Q783">
        <v>43012</v>
      </c>
      <c r="R783" t="s">
        <v>1157</v>
      </c>
      <c r="S783" t="str">
        <f>VLOOKUP(J783,Teams!A:B,2,FALSE)</f>
        <v>FRA</v>
      </c>
      <c r="T783" t="str">
        <f>VLOOKUP(M783,Teams!A:B,2,FALSE)</f>
        <v>HON</v>
      </c>
    </row>
    <row r="784" spans="1:20" x14ac:dyDescent="0.25">
      <c r="A784" t="str">
        <f t="shared" si="12"/>
        <v>FIFAWC2014-11</v>
      </c>
      <c r="B784" s="4">
        <v>11</v>
      </c>
      <c r="C784" s="3">
        <v>41806</v>
      </c>
      <c r="D784" s="7">
        <v>0.20833333333333334</v>
      </c>
      <c r="E784">
        <v>2014</v>
      </c>
      <c r="F784" t="s">
        <v>1738</v>
      </c>
      <c r="G784" t="s">
        <v>1741</v>
      </c>
      <c r="H784" t="s">
        <v>1122</v>
      </c>
      <c r="I784" t="s">
        <v>1747</v>
      </c>
      <c r="J784" t="s">
        <v>749</v>
      </c>
      <c r="K784">
        <v>2</v>
      </c>
      <c r="L784">
        <v>1</v>
      </c>
      <c r="M784" t="s">
        <v>78</v>
      </c>
      <c r="O784" t="s">
        <v>1462</v>
      </c>
      <c r="P784" t="s">
        <v>1539</v>
      </c>
      <c r="Q784">
        <v>74738</v>
      </c>
      <c r="R784" t="s">
        <v>1157</v>
      </c>
      <c r="S784" t="str">
        <f>VLOOKUP(J784,Teams!A:B,2,FALSE)</f>
        <v>ARG</v>
      </c>
      <c r="T784" t="str">
        <f>VLOOKUP(M784,Teams!A:B,2,FALSE)</f>
        <v>BIH</v>
      </c>
    </row>
    <row r="785" spans="1:20" x14ac:dyDescent="0.25">
      <c r="A785" t="str">
        <f>F785&amp;"-"&amp;B785</f>
        <v>FIFAWC2014-12</v>
      </c>
      <c r="B785" s="4">
        <v>12</v>
      </c>
      <c r="C785" s="3">
        <v>41806</v>
      </c>
      <c r="D785" s="7">
        <v>0.95833333333333337</v>
      </c>
      <c r="E785">
        <v>2014</v>
      </c>
      <c r="F785" t="s">
        <v>1738</v>
      </c>
      <c r="G785" t="s">
        <v>1741</v>
      </c>
      <c r="H785" t="s">
        <v>1122</v>
      </c>
      <c r="I785" t="s">
        <v>1748</v>
      </c>
      <c r="J785" t="s">
        <v>797</v>
      </c>
      <c r="K785">
        <v>4</v>
      </c>
      <c r="L785">
        <v>0</v>
      </c>
      <c r="M785" t="s">
        <v>871</v>
      </c>
      <c r="O785" t="s">
        <v>1469</v>
      </c>
      <c r="P785" t="s">
        <v>1537</v>
      </c>
      <c r="Q785">
        <v>51081</v>
      </c>
      <c r="R785" t="s">
        <v>1157</v>
      </c>
      <c r="S785" t="str">
        <f>VLOOKUP(J785,Teams!A:B,2,FALSE)</f>
        <v>GER</v>
      </c>
      <c r="T785" t="str">
        <f>VLOOKUP(M785,Teams!A:B,2,FALSE)</f>
        <v>POR</v>
      </c>
    </row>
    <row r="786" spans="1:20" x14ac:dyDescent="0.25">
      <c r="A786" t="str">
        <f t="shared" si="12"/>
        <v>FIFAWC2014-13</v>
      </c>
      <c r="B786" s="4">
        <v>13</v>
      </c>
      <c r="C786" s="3">
        <v>41807</v>
      </c>
      <c r="D786" s="7">
        <v>8.3333333333333329E-2</v>
      </c>
      <c r="E786">
        <v>2014</v>
      </c>
      <c r="F786" t="s">
        <v>1738</v>
      </c>
      <c r="G786" t="s">
        <v>1741</v>
      </c>
      <c r="H786" t="s">
        <v>1122</v>
      </c>
      <c r="I786" t="s">
        <v>1747</v>
      </c>
      <c r="J786" t="s">
        <v>1051</v>
      </c>
      <c r="K786">
        <v>0</v>
      </c>
      <c r="L786">
        <v>0</v>
      </c>
      <c r="M786" t="s">
        <v>857</v>
      </c>
      <c r="O786" t="s">
        <v>1525</v>
      </c>
      <c r="P786" t="s">
        <v>1531</v>
      </c>
      <c r="Q786">
        <v>39081</v>
      </c>
      <c r="R786" t="s">
        <v>1157</v>
      </c>
      <c r="S786" t="str">
        <f>VLOOKUP(J786,Teams!A:B,2,FALSE)</f>
        <v>IRN</v>
      </c>
      <c r="T786" t="str">
        <f>VLOOKUP(M786,Teams!A:B,2,FALSE)</f>
        <v>NGA</v>
      </c>
    </row>
    <row r="787" spans="1:20" x14ac:dyDescent="0.25">
      <c r="A787" t="str">
        <f t="shared" si="12"/>
        <v>FIFAWC2014-14</v>
      </c>
      <c r="B787" s="4">
        <v>14</v>
      </c>
      <c r="C787" s="3">
        <v>41807</v>
      </c>
      <c r="D787" s="7">
        <v>0.20833333333333334</v>
      </c>
      <c r="E787">
        <v>2014</v>
      </c>
      <c r="F787" t="s">
        <v>1738</v>
      </c>
      <c r="G787" t="s">
        <v>1741</v>
      </c>
      <c r="H787" t="s">
        <v>1122</v>
      </c>
      <c r="I787" t="s">
        <v>1748</v>
      </c>
      <c r="J787" t="s">
        <v>798</v>
      </c>
      <c r="K787">
        <v>1</v>
      </c>
      <c r="L787">
        <v>2</v>
      </c>
      <c r="M787" t="s">
        <v>702</v>
      </c>
      <c r="O787" t="s">
        <v>1530</v>
      </c>
      <c r="P787" t="s">
        <v>1475</v>
      </c>
      <c r="Q787">
        <v>39760</v>
      </c>
      <c r="R787" t="s">
        <v>1157</v>
      </c>
      <c r="S787" t="str">
        <f>VLOOKUP(J787,Teams!A:B,2,FALSE)</f>
        <v>GHA</v>
      </c>
      <c r="T787" t="str">
        <f>VLOOKUP(M787,Teams!A:B,2,FALSE)</f>
        <v>USA</v>
      </c>
    </row>
    <row r="788" spans="1:20" x14ac:dyDescent="0.25">
      <c r="A788" t="str">
        <f>F788&amp;"-"&amp;B788</f>
        <v>FIFAWC2014-15</v>
      </c>
      <c r="B788" s="4">
        <v>15</v>
      </c>
      <c r="C788" s="3">
        <v>41807</v>
      </c>
      <c r="D788" s="7">
        <v>0.95833333333333337</v>
      </c>
      <c r="E788">
        <v>2014</v>
      </c>
      <c r="F788" t="s">
        <v>1738</v>
      </c>
      <c r="G788" t="s">
        <v>1741</v>
      </c>
      <c r="H788" t="s">
        <v>1122</v>
      </c>
      <c r="I788" t="s">
        <v>1749</v>
      </c>
      <c r="J788" t="s">
        <v>756</v>
      </c>
      <c r="K788">
        <v>2</v>
      </c>
      <c r="L788">
        <v>1</v>
      </c>
      <c r="M788" t="s">
        <v>745</v>
      </c>
      <c r="O788" t="s">
        <v>1155</v>
      </c>
      <c r="P788" t="s">
        <v>1468</v>
      </c>
      <c r="Q788">
        <v>56800</v>
      </c>
      <c r="R788" t="s">
        <v>1157</v>
      </c>
      <c r="S788" t="str">
        <f>VLOOKUP(J788,Teams!A:B,2,FALSE)</f>
        <v>BEL</v>
      </c>
      <c r="T788" t="str">
        <f>VLOOKUP(M788,Teams!A:B,2,FALSE)</f>
        <v>ALG</v>
      </c>
    </row>
    <row r="789" spans="1:20" x14ac:dyDescent="0.25">
      <c r="A789" t="str">
        <f>F789&amp;"-"&amp;B789</f>
        <v>FIFAWC2014-16</v>
      </c>
      <c r="B789" s="4">
        <v>16</v>
      </c>
      <c r="C789" s="3">
        <v>41808</v>
      </c>
      <c r="D789" s="7">
        <v>8.3333333333333329E-2</v>
      </c>
      <c r="E789">
        <v>2014</v>
      </c>
      <c r="F789" t="s">
        <v>1738</v>
      </c>
      <c r="G789" t="s">
        <v>1741</v>
      </c>
      <c r="H789" t="s">
        <v>1122</v>
      </c>
      <c r="I789" t="s">
        <v>1743</v>
      </c>
      <c r="J789" t="s">
        <v>760</v>
      </c>
      <c r="K789">
        <v>0</v>
      </c>
      <c r="L789">
        <v>0</v>
      </c>
      <c r="M789" t="s">
        <v>845</v>
      </c>
      <c r="O789" t="s">
        <v>1471</v>
      </c>
      <c r="P789" t="s">
        <v>1467</v>
      </c>
      <c r="Q789">
        <v>60342</v>
      </c>
      <c r="R789" t="s">
        <v>1157</v>
      </c>
      <c r="S789" t="str">
        <f>VLOOKUP(J789,Teams!A:B,2,FALSE)</f>
        <v>BRA</v>
      </c>
      <c r="T789" t="str">
        <f>VLOOKUP(M789,Teams!A:B,2,FALSE)</f>
        <v>MEX</v>
      </c>
    </row>
    <row r="790" spans="1:20" x14ac:dyDescent="0.25">
      <c r="A790" t="str">
        <f t="shared" si="12"/>
        <v>FIFAWC2014-17</v>
      </c>
      <c r="B790" s="4">
        <v>17</v>
      </c>
      <c r="C790" s="3">
        <v>41808</v>
      </c>
      <c r="D790" s="7">
        <v>0.20833333333333334</v>
      </c>
      <c r="E790">
        <v>2014</v>
      </c>
      <c r="F790" t="s">
        <v>1738</v>
      </c>
      <c r="G790" t="s">
        <v>1741</v>
      </c>
      <c r="H790" t="s">
        <v>1122</v>
      </c>
      <c r="I790" t="s">
        <v>1749</v>
      </c>
      <c r="J790" t="s">
        <v>1041</v>
      </c>
      <c r="K790">
        <v>1</v>
      </c>
      <c r="L790">
        <v>1</v>
      </c>
      <c r="M790" t="s">
        <v>1056</v>
      </c>
      <c r="O790" t="s">
        <v>1532</v>
      </c>
      <c r="P790" t="s">
        <v>1473</v>
      </c>
      <c r="Q790">
        <v>37603</v>
      </c>
      <c r="R790" t="s">
        <v>1157</v>
      </c>
      <c r="S790" t="str">
        <f>VLOOKUP(J790,Teams!A:B,2,FALSE)</f>
        <v>RUS</v>
      </c>
      <c r="T790" t="str">
        <f>VLOOKUP(M790,Teams!A:B,2,FALSE)</f>
        <v>KOR</v>
      </c>
    </row>
    <row r="791" spans="1:20" x14ac:dyDescent="0.25">
      <c r="A791" t="str">
        <f>F791&amp;"-"&amp;B791</f>
        <v>FIFAWC2014-18</v>
      </c>
      <c r="B791" s="4">
        <v>18</v>
      </c>
      <c r="C791" s="3">
        <v>41808</v>
      </c>
      <c r="D791" s="7">
        <v>0.95833333333333337</v>
      </c>
      <c r="E791">
        <v>2014</v>
      </c>
      <c r="F791" t="s">
        <v>1738</v>
      </c>
      <c r="G791" t="s">
        <v>1741</v>
      </c>
      <c r="H791" t="s">
        <v>1122</v>
      </c>
      <c r="I791" t="s">
        <v>1742</v>
      </c>
      <c r="J791" t="s">
        <v>128</v>
      </c>
      <c r="K791">
        <v>2</v>
      </c>
      <c r="L791">
        <v>3</v>
      </c>
      <c r="M791" t="s">
        <v>33</v>
      </c>
      <c r="O791" t="s">
        <v>1476</v>
      </c>
      <c r="P791" t="s">
        <v>1465</v>
      </c>
      <c r="Q791">
        <v>42877</v>
      </c>
      <c r="R791" t="s">
        <v>1157</v>
      </c>
      <c r="S791" t="str">
        <f>VLOOKUP(J791,Teams!A:B,2,FALSE)</f>
        <v>AUS</v>
      </c>
      <c r="T791" t="str">
        <f>VLOOKUP(M791,Teams!A:B,2,FALSE)</f>
        <v>NED</v>
      </c>
    </row>
    <row r="792" spans="1:20" x14ac:dyDescent="0.25">
      <c r="A792" t="str">
        <f>F792&amp;"-"&amp;B792</f>
        <v>FIFAWC2014-19</v>
      </c>
      <c r="B792" s="4">
        <v>19</v>
      </c>
      <c r="C792" s="3">
        <v>41809</v>
      </c>
      <c r="D792" s="7">
        <v>8.3333333333333329E-2</v>
      </c>
      <c r="E792">
        <v>2014</v>
      </c>
      <c r="F792" t="s">
        <v>1738</v>
      </c>
      <c r="G792" t="s">
        <v>1741</v>
      </c>
      <c r="H792" t="s">
        <v>1122</v>
      </c>
      <c r="I792" t="s">
        <v>1742</v>
      </c>
      <c r="J792" t="s">
        <v>895</v>
      </c>
      <c r="K792">
        <v>0</v>
      </c>
      <c r="L792">
        <v>2</v>
      </c>
      <c r="M792" t="s">
        <v>768</v>
      </c>
      <c r="O792" t="s">
        <v>1462</v>
      </c>
      <c r="P792" t="s">
        <v>1478</v>
      </c>
      <c r="R792" t="s">
        <v>1157</v>
      </c>
      <c r="S792" t="str">
        <f>VLOOKUP(J792,Teams!A:B,2,FALSE)</f>
        <v>ESP</v>
      </c>
      <c r="T792" t="str">
        <f>VLOOKUP(M792,Teams!A:B,2,FALSE)</f>
        <v>CHI</v>
      </c>
    </row>
    <row r="793" spans="1:20" x14ac:dyDescent="0.25">
      <c r="A793" t="str">
        <f t="shared" si="12"/>
        <v>FIFAWC2014-20</v>
      </c>
      <c r="B793" s="4">
        <v>20</v>
      </c>
      <c r="C793" s="3">
        <v>41809</v>
      </c>
      <c r="D793" s="7">
        <v>0.20833333333333334</v>
      </c>
      <c r="E793">
        <v>2014</v>
      </c>
      <c r="F793" t="s">
        <v>1738</v>
      </c>
      <c r="G793" t="s">
        <v>1741</v>
      </c>
      <c r="H793" t="s">
        <v>1122</v>
      </c>
      <c r="I793" t="s">
        <v>1743</v>
      </c>
      <c r="J793" t="s">
        <v>764</v>
      </c>
      <c r="K793">
        <v>0</v>
      </c>
      <c r="L793">
        <v>4</v>
      </c>
      <c r="M793" t="s">
        <v>775</v>
      </c>
      <c r="O793" t="s">
        <v>1529</v>
      </c>
      <c r="P793" t="s">
        <v>1481</v>
      </c>
      <c r="Q793">
        <v>39982</v>
      </c>
      <c r="R793" t="s">
        <v>1157</v>
      </c>
      <c r="S793" t="str">
        <f>VLOOKUP(J793,Teams!A:B,2,FALSE)</f>
        <v>CMR</v>
      </c>
      <c r="T793" t="str">
        <f>VLOOKUP(M793,Teams!A:B,2,FALSE)</f>
        <v>CRO</v>
      </c>
    </row>
    <row r="794" spans="1:20" x14ac:dyDescent="0.25">
      <c r="A794" t="str">
        <f t="shared" si="12"/>
        <v>FIFAWC2014-21</v>
      </c>
      <c r="B794" s="4">
        <v>21</v>
      </c>
      <c r="C794" s="3">
        <v>41809</v>
      </c>
      <c r="D794" s="7">
        <v>0.95833333333333337</v>
      </c>
      <c r="E794">
        <v>2014</v>
      </c>
      <c r="F794" t="s">
        <v>1738</v>
      </c>
      <c r="G794" t="s">
        <v>1741</v>
      </c>
      <c r="H794" t="s">
        <v>1122</v>
      </c>
      <c r="I794" t="s">
        <v>1744</v>
      </c>
      <c r="J794" t="s">
        <v>771</v>
      </c>
      <c r="K794">
        <v>2</v>
      </c>
      <c r="L794">
        <v>1</v>
      </c>
      <c r="M794" t="s">
        <v>1751</v>
      </c>
      <c r="O794" t="s">
        <v>1464</v>
      </c>
      <c r="P794" t="s">
        <v>1156</v>
      </c>
      <c r="Q794">
        <v>68748</v>
      </c>
      <c r="R794" t="s">
        <v>1157</v>
      </c>
      <c r="S794" t="str">
        <f>VLOOKUP(J794,Teams!A:B,2,FALSE)</f>
        <v>COL</v>
      </c>
      <c r="T794" t="str">
        <f>VLOOKUP(M794,Teams!A:B,2,FALSE)</f>
        <v>CIV</v>
      </c>
    </row>
    <row r="795" spans="1:20" x14ac:dyDescent="0.25">
      <c r="A795" t="str">
        <f>F795&amp;"-"&amp;B795</f>
        <v>FIFAWC2014-22</v>
      </c>
      <c r="B795" s="4">
        <v>22</v>
      </c>
      <c r="C795" s="3">
        <v>41810</v>
      </c>
      <c r="D795" s="7">
        <v>8.3333333333333329E-2</v>
      </c>
      <c r="E795">
        <v>2014</v>
      </c>
      <c r="F795" t="s">
        <v>1738</v>
      </c>
      <c r="G795" t="s">
        <v>1741</v>
      </c>
      <c r="H795" t="s">
        <v>1122</v>
      </c>
      <c r="I795" t="s">
        <v>1745</v>
      </c>
      <c r="J795" t="s">
        <v>916</v>
      </c>
      <c r="K795">
        <v>2</v>
      </c>
      <c r="L795">
        <v>1</v>
      </c>
      <c r="M795" t="s">
        <v>1021</v>
      </c>
      <c r="O795" t="s">
        <v>1474</v>
      </c>
      <c r="P795" t="s">
        <v>1472</v>
      </c>
      <c r="Q795">
        <v>62575</v>
      </c>
      <c r="R795" t="s">
        <v>1157</v>
      </c>
      <c r="S795" t="str">
        <f>VLOOKUP(J795,Teams!A:B,2,FALSE)</f>
        <v>URU</v>
      </c>
      <c r="T795" t="str">
        <f>VLOOKUP(M795,Teams!A:B,2,FALSE)</f>
        <v>ENG</v>
      </c>
    </row>
    <row r="796" spans="1:20" x14ac:dyDescent="0.25">
      <c r="A796" t="str">
        <f t="shared" si="12"/>
        <v>FIFAWC2014-23</v>
      </c>
      <c r="B796" s="4">
        <v>23</v>
      </c>
      <c r="C796" s="3">
        <v>41810</v>
      </c>
      <c r="D796" s="7">
        <v>0.20833333333333334</v>
      </c>
      <c r="E796">
        <v>2014</v>
      </c>
      <c r="F796" t="s">
        <v>1738</v>
      </c>
      <c r="G796" t="s">
        <v>1741</v>
      </c>
      <c r="H796" t="s">
        <v>1122</v>
      </c>
      <c r="I796" t="s">
        <v>1744</v>
      </c>
      <c r="J796" t="s">
        <v>330</v>
      </c>
      <c r="K796">
        <v>0</v>
      </c>
      <c r="L796">
        <v>0</v>
      </c>
      <c r="M796" t="s">
        <v>799</v>
      </c>
      <c r="O796" t="s">
        <v>1530</v>
      </c>
      <c r="P796" t="s">
        <v>1539</v>
      </c>
      <c r="Q796">
        <v>39485</v>
      </c>
      <c r="R796" t="s">
        <v>1157</v>
      </c>
      <c r="S796" t="str">
        <f>VLOOKUP(J796,Teams!A:B,2,FALSE)</f>
        <v>JPN</v>
      </c>
      <c r="T796" t="str">
        <f>VLOOKUP(M796,Teams!A:B,2,FALSE)</f>
        <v>GRE</v>
      </c>
    </row>
    <row r="797" spans="1:20" x14ac:dyDescent="0.25">
      <c r="A797" t="str">
        <f t="shared" ref="A797:A859" si="13">F797&amp;"-"&amp;B797</f>
        <v>FIFAWC2014-24</v>
      </c>
      <c r="B797" s="4">
        <v>24</v>
      </c>
      <c r="C797" s="3">
        <v>41810</v>
      </c>
      <c r="D797" s="7">
        <v>0.95833333333333337</v>
      </c>
      <c r="E797">
        <v>2014</v>
      </c>
      <c r="F797" t="s">
        <v>1738</v>
      </c>
      <c r="G797" t="s">
        <v>1741</v>
      </c>
      <c r="H797" t="s">
        <v>1122</v>
      </c>
      <c r="I797" t="s">
        <v>1745</v>
      </c>
      <c r="J797" t="s">
        <v>817</v>
      </c>
      <c r="K797">
        <v>0</v>
      </c>
      <c r="L797">
        <v>1</v>
      </c>
      <c r="M797" t="s">
        <v>774</v>
      </c>
      <c r="O797" t="s">
        <v>1479</v>
      </c>
      <c r="P797" t="s">
        <v>1538</v>
      </c>
      <c r="Q797">
        <v>40285</v>
      </c>
      <c r="R797" t="s">
        <v>1157</v>
      </c>
      <c r="S797" t="str">
        <f>VLOOKUP(J797,Teams!A:B,2,FALSE)</f>
        <v>ITA</v>
      </c>
      <c r="T797" t="str">
        <f>VLOOKUP(M797,Teams!A:B,2,FALSE)</f>
        <v>CRC</v>
      </c>
    </row>
    <row r="798" spans="1:20" x14ac:dyDescent="0.25">
      <c r="A798" t="str">
        <f t="shared" si="13"/>
        <v>FIFAWC2014-25</v>
      </c>
      <c r="B798" s="4">
        <v>25</v>
      </c>
      <c r="C798" s="3">
        <v>41811</v>
      </c>
      <c r="D798" s="7">
        <v>8.3333333333333329E-2</v>
      </c>
      <c r="E798">
        <v>2014</v>
      </c>
      <c r="F798" t="s">
        <v>1738</v>
      </c>
      <c r="G798" t="s">
        <v>1741</v>
      </c>
      <c r="H798" t="s">
        <v>1122</v>
      </c>
      <c r="I798" t="s">
        <v>1746</v>
      </c>
      <c r="J798" t="s">
        <v>901</v>
      </c>
      <c r="K798">
        <v>2</v>
      </c>
      <c r="L798">
        <v>5</v>
      </c>
      <c r="M798" t="s">
        <v>224</v>
      </c>
      <c r="O798" t="s">
        <v>1469</v>
      </c>
      <c r="P798" t="s">
        <v>1482</v>
      </c>
      <c r="Q798">
        <v>51003</v>
      </c>
      <c r="R798" t="s">
        <v>1157</v>
      </c>
      <c r="S798" t="str">
        <f>VLOOKUP(J798,Teams!A:B,2,FALSE)</f>
        <v>SUI</v>
      </c>
      <c r="T798" t="str">
        <f>VLOOKUP(M798,Teams!A:B,2,FALSE)</f>
        <v>FRA</v>
      </c>
    </row>
    <row r="799" spans="1:20" x14ac:dyDescent="0.25">
      <c r="A799" t="str">
        <f t="shared" si="13"/>
        <v>FIFAWC2014-26</v>
      </c>
      <c r="B799" s="4">
        <v>26</v>
      </c>
      <c r="C799" s="3">
        <v>41811</v>
      </c>
      <c r="D799" s="7">
        <v>0.20833333333333334</v>
      </c>
      <c r="E799">
        <v>2014</v>
      </c>
      <c r="F799" t="s">
        <v>1738</v>
      </c>
      <c r="G799" t="s">
        <v>1741</v>
      </c>
      <c r="H799" t="s">
        <v>1122</v>
      </c>
      <c r="I799" t="s">
        <v>1746</v>
      </c>
      <c r="J799" t="s">
        <v>810</v>
      </c>
      <c r="K799">
        <v>1</v>
      </c>
      <c r="L799">
        <v>2</v>
      </c>
      <c r="M799" t="s">
        <v>782</v>
      </c>
      <c r="O799" t="s">
        <v>1525</v>
      </c>
      <c r="P799" t="s">
        <v>1480</v>
      </c>
      <c r="Q799">
        <v>39224</v>
      </c>
      <c r="R799" t="s">
        <v>1157</v>
      </c>
      <c r="S799" t="str">
        <f>VLOOKUP(J799,Teams!A:B,2,FALSE)</f>
        <v>HON</v>
      </c>
      <c r="T799" t="str">
        <f>VLOOKUP(M799,Teams!A:B,2,FALSE)</f>
        <v>ECU</v>
      </c>
    </row>
    <row r="800" spans="1:20" x14ac:dyDescent="0.25">
      <c r="A800" t="str">
        <f t="shared" si="13"/>
        <v>FIFAWC2014-27</v>
      </c>
      <c r="B800" s="4">
        <v>27</v>
      </c>
      <c r="C800" s="3">
        <v>41811</v>
      </c>
      <c r="D800" s="7">
        <v>0.95833333333333337</v>
      </c>
      <c r="E800">
        <v>2014</v>
      </c>
      <c r="F800" t="s">
        <v>1738</v>
      </c>
      <c r="G800" t="s">
        <v>1741</v>
      </c>
      <c r="H800" t="s">
        <v>1122</v>
      </c>
      <c r="I800" t="s">
        <v>1747</v>
      </c>
      <c r="J800" t="s">
        <v>749</v>
      </c>
      <c r="K800">
        <v>1</v>
      </c>
      <c r="L800">
        <v>0</v>
      </c>
      <c r="M800" t="s">
        <v>1051</v>
      </c>
      <c r="O800" t="s">
        <v>1155</v>
      </c>
      <c r="P800" t="s">
        <v>1537</v>
      </c>
      <c r="Q800">
        <v>57698</v>
      </c>
      <c r="R800" t="s">
        <v>1157</v>
      </c>
      <c r="S800" t="str">
        <f>VLOOKUP(J800,Teams!A:B,2,FALSE)</f>
        <v>ARG</v>
      </c>
      <c r="T800" t="str">
        <f>VLOOKUP(M800,Teams!A:B,2,FALSE)</f>
        <v>IRN</v>
      </c>
    </row>
    <row r="801" spans="1:20" x14ac:dyDescent="0.25">
      <c r="A801" t="str">
        <f>F801&amp;"-"&amp;B801</f>
        <v>FIFAWC2014-28</v>
      </c>
      <c r="B801" s="4">
        <v>28</v>
      </c>
      <c r="C801" s="3">
        <v>41812</v>
      </c>
      <c r="D801" s="7">
        <v>8.3333333333333329E-2</v>
      </c>
      <c r="E801">
        <v>2014</v>
      </c>
      <c r="F801" t="s">
        <v>1738</v>
      </c>
      <c r="G801" t="s">
        <v>1741</v>
      </c>
      <c r="H801" t="s">
        <v>1122</v>
      </c>
      <c r="I801" t="s">
        <v>1748</v>
      </c>
      <c r="J801" t="s">
        <v>797</v>
      </c>
      <c r="K801">
        <v>2</v>
      </c>
      <c r="L801">
        <v>2</v>
      </c>
      <c r="M801" t="s">
        <v>798</v>
      </c>
      <c r="O801" t="s">
        <v>1471</v>
      </c>
      <c r="P801" t="s">
        <v>1477</v>
      </c>
      <c r="Q801">
        <v>59621</v>
      </c>
      <c r="R801" t="s">
        <v>1157</v>
      </c>
      <c r="S801" t="str">
        <f>VLOOKUP(J801,Teams!A:B,2,FALSE)</f>
        <v>GER</v>
      </c>
      <c r="T801" t="str">
        <f>VLOOKUP(M801,Teams!A:B,2,FALSE)</f>
        <v>GHA</v>
      </c>
    </row>
    <row r="802" spans="1:20" x14ac:dyDescent="0.25">
      <c r="A802" t="str">
        <f t="shared" si="13"/>
        <v>FIFAWC2014-29</v>
      </c>
      <c r="B802" s="4">
        <v>29</v>
      </c>
      <c r="C802" s="3">
        <v>41812</v>
      </c>
      <c r="D802" s="7">
        <v>0.20833333333333334</v>
      </c>
      <c r="E802">
        <v>2014</v>
      </c>
      <c r="F802" t="s">
        <v>1738</v>
      </c>
      <c r="G802" t="s">
        <v>1741</v>
      </c>
      <c r="H802" t="s">
        <v>1122</v>
      </c>
      <c r="I802" t="s">
        <v>1747</v>
      </c>
      <c r="J802" t="s">
        <v>857</v>
      </c>
      <c r="K802">
        <v>1</v>
      </c>
      <c r="L802">
        <v>0</v>
      </c>
      <c r="M802" t="s">
        <v>78</v>
      </c>
      <c r="O802" t="s">
        <v>1532</v>
      </c>
      <c r="P802" t="s">
        <v>1536</v>
      </c>
      <c r="Q802">
        <v>40499</v>
      </c>
      <c r="R802" t="s">
        <v>1157</v>
      </c>
      <c r="S802" t="str">
        <f>VLOOKUP(J802,Teams!A:B,2,FALSE)</f>
        <v>NGA</v>
      </c>
      <c r="T802" t="str">
        <f>VLOOKUP(M802,Teams!A:B,2,FALSE)</f>
        <v>BIH</v>
      </c>
    </row>
    <row r="803" spans="1:20" x14ac:dyDescent="0.25">
      <c r="A803" t="str">
        <f>F803&amp;"-"&amp;B803</f>
        <v>FIFAWC2014-30</v>
      </c>
      <c r="B803" s="4">
        <v>30</v>
      </c>
      <c r="C803" s="3">
        <v>41812</v>
      </c>
      <c r="D803" s="7">
        <v>0.95833333333333337</v>
      </c>
      <c r="E803">
        <v>2014</v>
      </c>
      <c r="F803" t="s">
        <v>1738</v>
      </c>
      <c r="G803" t="s">
        <v>1741</v>
      </c>
      <c r="H803" t="s">
        <v>1122</v>
      </c>
      <c r="I803" t="s">
        <v>1749</v>
      </c>
      <c r="J803" t="s">
        <v>756</v>
      </c>
      <c r="K803">
        <v>1</v>
      </c>
      <c r="L803">
        <v>0</v>
      </c>
      <c r="M803" t="s">
        <v>1041</v>
      </c>
      <c r="O803" t="s">
        <v>1462</v>
      </c>
      <c r="P803" t="s">
        <v>1535</v>
      </c>
      <c r="Q803">
        <v>73819</v>
      </c>
      <c r="R803" t="s">
        <v>1157</v>
      </c>
      <c r="S803" t="str">
        <f>VLOOKUP(J803,Teams!A:B,2,FALSE)</f>
        <v>BEL</v>
      </c>
      <c r="T803" t="str">
        <f>VLOOKUP(M803,Teams!A:B,2,FALSE)</f>
        <v>RUS</v>
      </c>
    </row>
    <row r="804" spans="1:20" x14ac:dyDescent="0.25">
      <c r="A804" t="str">
        <f>F804&amp;"-"&amp;B804</f>
        <v>FIFAWC2014-31</v>
      </c>
      <c r="B804" s="4">
        <v>31</v>
      </c>
      <c r="C804" s="3">
        <v>41813</v>
      </c>
      <c r="D804" s="7">
        <v>8.3333333333333329E-2</v>
      </c>
      <c r="E804">
        <v>2014</v>
      </c>
      <c r="F804" t="s">
        <v>1738</v>
      </c>
      <c r="G804" t="s">
        <v>1741</v>
      </c>
      <c r="H804" t="s">
        <v>1122</v>
      </c>
      <c r="I804" t="s">
        <v>1749</v>
      </c>
      <c r="J804" t="s">
        <v>1056</v>
      </c>
      <c r="K804">
        <v>2</v>
      </c>
      <c r="L804">
        <v>4</v>
      </c>
      <c r="M804" t="s">
        <v>745</v>
      </c>
      <c r="O804" t="s">
        <v>1476</v>
      </c>
      <c r="P804" t="s">
        <v>1534</v>
      </c>
      <c r="Q804">
        <v>42732</v>
      </c>
      <c r="R804" t="s">
        <v>1157</v>
      </c>
      <c r="S804" t="str">
        <f>VLOOKUP(J804,Teams!A:B,2,FALSE)</f>
        <v>KOR</v>
      </c>
      <c r="T804" t="str">
        <f>VLOOKUP(M804,Teams!A:B,2,FALSE)</f>
        <v>ALG</v>
      </c>
    </row>
    <row r="805" spans="1:20" x14ac:dyDescent="0.25">
      <c r="A805" t="str">
        <f t="shared" si="13"/>
        <v>FIFAWC2014-32</v>
      </c>
      <c r="B805" s="4">
        <v>32</v>
      </c>
      <c r="C805" s="3">
        <v>41813</v>
      </c>
      <c r="D805" s="7">
        <v>0.20833333333333334</v>
      </c>
      <c r="E805">
        <v>2014</v>
      </c>
      <c r="F805" t="s">
        <v>1738</v>
      </c>
      <c r="G805" t="s">
        <v>1741</v>
      </c>
      <c r="H805" t="s">
        <v>1122</v>
      </c>
      <c r="I805" t="s">
        <v>1748</v>
      </c>
      <c r="J805" t="s">
        <v>702</v>
      </c>
      <c r="K805">
        <v>2</v>
      </c>
      <c r="L805">
        <v>2</v>
      </c>
      <c r="M805" t="s">
        <v>871</v>
      </c>
      <c r="O805" t="s">
        <v>1529</v>
      </c>
      <c r="P805" t="s">
        <v>1473</v>
      </c>
      <c r="Q805">
        <v>40123</v>
      </c>
      <c r="R805" t="s">
        <v>1157</v>
      </c>
      <c r="S805" t="str">
        <f>VLOOKUP(J805,Teams!A:B,2,FALSE)</f>
        <v>USA</v>
      </c>
      <c r="T805" t="str">
        <f>VLOOKUP(M805,Teams!A:B,2,FALSE)</f>
        <v>POR</v>
      </c>
    </row>
    <row r="806" spans="1:20" x14ac:dyDescent="0.25">
      <c r="A806" t="str">
        <f>F806&amp;"-"&amp;B806</f>
        <v>FIFAWC2014-33</v>
      </c>
      <c r="B806" s="4">
        <v>33</v>
      </c>
      <c r="C806" s="3">
        <v>41813</v>
      </c>
      <c r="D806" s="7">
        <v>0.95833333333333337</v>
      </c>
      <c r="E806">
        <v>2014</v>
      </c>
      <c r="F806" t="s">
        <v>1738</v>
      </c>
      <c r="G806" t="s">
        <v>1741</v>
      </c>
      <c r="H806" t="s">
        <v>1122</v>
      </c>
      <c r="I806" t="s">
        <v>1742</v>
      </c>
      <c r="J806" t="s">
        <v>33</v>
      </c>
      <c r="K806">
        <v>2</v>
      </c>
      <c r="L806">
        <v>0</v>
      </c>
      <c r="M806" t="s">
        <v>768</v>
      </c>
      <c r="O806" t="s">
        <v>1474</v>
      </c>
      <c r="P806" t="s">
        <v>1533</v>
      </c>
      <c r="Q806">
        <v>62996</v>
      </c>
      <c r="R806" t="s">
        <v>1157</v>
      </c>
      <c r="S806" t="str">
        <f>VLOOKUP(J806,Teams!A:B,2,FALSE)</f>
        <v>NED</v>
      </c>
      <c r="T806" t="str">
        <f>VLOOKUP(M806,Teams!A:B,2,FALSE)</f>
        <v>CHI</v>
      </c>
    </row>
    <row r="807" spans="1:20" x14ac:dyDescent="0.25">
      <c r="A807" t="str">
        <f>F807&amp;"-"&amp;B807</f>
        <v>FIFAWC2014-34</v>
      </c>
      <c r="B807" s="4">
        <v>34</v>
      </c>
      <c r="C807" s="3">
        <v>41813</v>
      </c>
      <c r="D807" s="7">
        <v>0.95833333333333337</v>
      </c>
      <c r="E807">
        <v>2014</v>
      </c>
      <c r="F807" t="s">
        <v>1738</v>
      </c>
      <c r="G807" t="s">
        <v>1741</v>
      </c>
      <c r="H807" t="s">
        <v>1122</v>
      </c>
      <c r="I807" t="s">
        <v>1742</v>
      </c>
      <c r="J807" t="s">
        <v>128</v>
      </c>
      <c r="K807">
        <v>0</v>
      </c>
      <c r="L807">
        <v>3</v>
      </c>
      <c r="M807" t="s">
        <v>895</v>
      </c>
      <c r="O807" t="s">
        <v>1525</v>
      </c>
      <c r="P807" t="s">
        <v>1526</v>
      </c>
      <c r="Q807">
        <v>39375</v>
      </c>
      <c r="R807" t="s">
        <v>1157</v>
      </c>
      <c r="S807" t="str">
        <f>VLOOKUP(J807,Teams!A:B,2,FALSE)</f>
        <v>AUS</v>
      </c>
      <c r="T807" t="str">
        <f>VLOOKUP(M807,Teams!A:B,2,FALSE)</f>
        <v>ESP</v>
      </c>
    </row>
    <row r="808" spans="1:20" x14ac:dyDescent="0.25">
      <c r="A808" t="str">
        <f t="shared" si="13"/>
        <v>FIFAWC2014-35</v>
      </c>
      <c r="B808" s="4">
        <v>35</v>
      </c>
      <c r="C808" s="3">
        <v>41813</v>
      </c>
      <c r="D808" s="7">
        <v>0.125</v>
      </c>
      <c r="E808">
        <v>2014</v>
      </c>
      <c r="F808" t="s">
        <v>1738</v>
      </c>
      <c r="G808" t="s">
        <v>1741</v>
      </c>
      <c r="H808" t="s">
        <v>1122</v>
      </c>
      <c r="I808" t="s">
        <v>1743</v>
      </c>
      <c r="J808" t="s">
        <v>764</v>
      </c>
      <c r="K808">
        <v>1</v>
      </c>
      <c r="L808">
        <v>4</v>
      </c>
      <c r="M808" t="s">
        <v>760</v>
      </c>
      <c r="O808" t="s">
        <v>1464</v>
      </c>
      <c r="P808" t="s">
        <v>1475</v>
      </c>
      <c r="Q808">
        <v>69112</v>
      </c>
      <c r="R808" t="s">
        <v>1157</v>
      </c>
      <c r="S808" t="str">
        <f>VLOOKUP(J808,Teams!A:B,2,FALSE)</f>
        <v>CMR</v>
      </c>
      <c r="T808" t="str">
        <f>VLOOKUP(M808,Teams!A:B,2,FALSE)</f>
        <v>BRA</v>
      </c>
    </row>
    <row r="809" spans="1:20" x14ac:dyDescent="0.25">
      <c r="A809" t="str">
        <f t="shared" si="13"/>
        <v>FIFAWC2014-36</v>
      </c>
      <c r="B809" s="4">
        <v>36</v>
      </c>
      <c r="C809" s="3">
        <v>41813</v>
      </c>
      <c r="D809" s="7">
        <v>0.125</v>
      </c>
      <c r="E809">
        <v>2014</v>
      </c>
      <c r="F809" t="s">
        <v>1738</v>
      </c>
      <c r="G809" t="s">
        <v>1741</v>
      </c>
      <c r="H809" t="s">
        <v>1122</v>
      </c>
      <c r="I809" t="s">
        <v>1743</v>
      </c>
      <c r="J809" t="s">
        <v>775</v>
      </c>
      <c r="K809">
        <v>1</v>
      </c>
      <c r="L809">
        <v>3</v>
      </c>
      <c r="M809" t="s">
        <v>845</v>
      </c>
      <c r="O809" t="s">
        <v>1479</v>
      </c>
      <c r="P809" t="s">
        <v>1470</v>
      </c>
      <c r="Q809">
        <v>41212</v>
      </c>
      <c r="R809" t="s">
        <v>1157</v>
      </c>
      <c r="S809" t="str">
        <f>VLOOKUP(J809,Teams!A:B,2,FALSE)</f>
        <v>CRO</v>
      </c>
      <c r="T809" t="str">
        <f>VLOOKUP(M809,Teams!A:B,2,FALSE)</f>
        <v>MEX</v>
      </c>
    </row>
    <row r="810" spans="1:20" x14ac:dyDescent="0.25">
      <c r="A810" t="str">
        <f>F810&amp;"-"&amp;B810</f>
        <v>FIFAWC2014-37</v>
      </c>
      <c r="B810" s="4">
        <v>37</v>
      </c>
      <c r="C810" s="3">
        <v>41814</v>
      </c>
      <c r="D810" s="7">
        <v>0.95833333333333337</v>
      </c>
      <c r="E810">
        <v>2014</v>
      </c>
      <c r="F810" t="s">
        <v>1738</v>
      </c>
      <c r="G810" t="s">
        <v>1741</v>
      </c>
      <c r="H810" t="s">
        <v>1122</v>
      </c>
      <c r="I810" t="s">
        <v>1745</v>
      </c>
      <c r="J810" t="s">
        <v>817</v>
      </c>
      <c r="K810">
        <v>0</v>
      </c>
      <c r="L810">
        <v>1</v>
      </c>
      <c r="M810" t="s">
        <v>916</v>
      </c>
      <c r="O810" t="s">
        <v>1530</v>
      </c>
      <c r="P810" t="s">
        <v>1468</v>
      </c>
      <c r="Q810">
        <v>39706</v>
      </c>
      <c r="R810" t="s">
        <v>1157</v>
      </c>
      <c r="S810" t="str">
        <f>VLOOKUP(J810,Teams!A:B,2,FALSE)</f>
        <v>ITA</v>
      </c>
      <c r="T810" t="str">
        <f>VLOOKUP(M810,Teams!A:B,2,FALSE)</f>
        <v>URU</v>
      </c>
    </row>
    <row r="811" spans="1:20" x14ac:dyDescent="0.25">
      <c r="A811" t="str">
        <f>F811&amp;"-"&amp;B811</f>
        <v>FIFAWC2014-38</v>
      </c>
      <c r="B811" s="4">
        <v>38</v>
      </c>
      <c r="C811" s="3">
        <v>41814</v>
      </c>
      <c r="D811" s="7">
        <v>0.95833333333333337</v>
      </c>
      <c r="E811">
        <v>2014</v>
      </c>
      <c r="F811" t="s">
        <v>1738</v>
      </c>
      <c r="G811" t="s">
        <v>1741</v>
      </c>
      <c r="H811" t="s">
        <v>1122</v>
      </c>
      <c r="I811" t="s">
        <v>1745</v>
      </c>
      <c r="J811" t="s">
        <v>774</v>
      </c>
      <c r="K811">
        <v>0</v>
      </c>
      <c r="L811">
        <v>0</v>
      </c>
      <c r="M811" t="s">
        <v>1021</v>
      </c>
      <c r="O811" t="s">
        <v>1155</v>
      </c>
      <c r="P811" t="s">
        <v>1465</v>
      </c>
      <c r="Q811">
        <v>57823</v>
      </c>
      <c r="R811" t="s">
        <v>1157</v>
      </c>
      <c r="S811" t="str">
        <f>VLOOKUP(J811,Teams!A:B,2,FALSE)</f>
        <v>CRC</v>
      </c>
      <c r="T811" t="str">
        <f>VLOOKUP(M811,Teams!A:B,2,FALSE)</f>
        <v>ENG</v>
      </c>
    </row>
    <row r="812" spans="1:20" x14ac:dyDescent="0.25">
      <c r="A812" t="str">
        <f>F812&amp;"-"&amp;B812</f>
        <v>FIFAWC2014-39</v>
      </c>
      <c r="B812" s="4">
        <v>39</v>
      </c>
      <c r="C812" s="3">
        <v>41815</v>
      </c>
      <c r="D812" s="7">
        <v>0.125</v>
      </c>
      <c r="E812">
        <v>2014</v>
      </c>
      <c r="F812" t="s">
        <v>1738</v>
      </c>
      <c r="G812" t="s">
        <v>1741</v>
      </c>
      <c r="H812" t="s">
        <v>1122</v>
      </c>
      <c r="I812" t="s">
        <v>1744</v>
      </c>
      <c r="J812" t="s">
        <v>799</v>
      </c>
      <c r="K812">
        <v>2</v>
      </c>
      <c r="L812">
        <v>1</v>
      </c>
      <c r="M812" t="s">
        <v>1751</v>
      </c>
      <c r="O812" t="s">
        <v>1471</v>
      </c>
      <c r="P812" t="s">
        <v>1531</v>
      </c>
      <c r="Q812">
        <v>59095</v>
      </c>
      <c r="R812" t="s">
        <v>1157</v>
      </c>
      <c r="S812" t="str">
        <f>VLOOKUP(J812,Teams!A:B,2,FALSE)</f>
        <v>GRE</v>
      </c>
      <c r="T812" t="str">
        <f>VLOOKUP(M812,Teams!A:B,2,FALSE)</f>
        <v>CIV</v>
      </c>
    </row>
    <row r="813" spans="1:20" x14ac:dyDescent="0.25">
      <c r="A813" t="str">
        <f t="shared" si="13"/>
        <v>FIFAWC2014-40</v>
      </c>
      <c r="B813" s="4">
        <v>40</v>
      </c>
      <c r="C813" s="3">
        <v>41815</v>
      </c>
      <c r="D813" s="7">
        <v>0.125</v>
      </c>
      <c r="E813">
        <v>2014</v>
      </c>
      <c r="F813" t="s">
        <v>1738</v>
      </c>
      <c r="G813" t="s">
        <v>1741</v>
      </c>
      <c r="H813" t="s">
        <v>1122</v>
      </c>
      <c r="I813" t="s">
        <v>1744</v>
      </c>
      <c r="J813" t="s">
        <v>330</v>
      </c>
      <c r="K813">
        <v>1</v>
      </c>
      <c r="L813">
        <v>4</v>
      </c>
      <c r="M813" t="s">
        <v>771</v>
      </c>
      <c r="O813" t="s">
        <v>1532</v>
      </c>
      <c r="P813" t="s">
        <v>1481</v>
      </c>
      <c r="Q813">
        <v>40340</v>
      </c>
      <c r="R813" t="s">
        <v>1157</v>
      </c>
      <c r="S813" t="str">
        <f>VLOOKUP(J813,Teams!A:B,2,FALSE)</f>
        <v>JPN</v>
      </c>
      <c r="T813" t="str">
        <f>VLOOKUP(M813,Teams!A:B,2,FALSE)</f>
        <v>COL</v>
      </c>
    </row>
    <row r="814" spans="1:20" x14ac:dyDescent="0.25">
      <c r="A814" t="str">
        <f>F814&amp;"-"&amp;B814</f>
        <v>FIFAWC2014-41</v>
      </c>
      <c r="B814" s="4">
        <v>41</v>
      </c>
      <c r="C814" s="3">
        <v>41815</v>
      </c>
      <c r="D814" s="7">
        <v>0.95833333333333337</v>
      </c>
      <c r="E814">
        <v>2014</v>
      </c>
      <c r="F814" t="s">
        <v>1738</v>
      </c>
      <c r="G814" t="s">
        <v>1741</v>
      </c>
      <c r="H814" t="s">
        <v>1122</v>
      </c>
      <c r="I814" t="s">
        <v>1747</v>
      </c>
      <c r="J814" t="s">
        <v>857</v>
      </c>
      <c r="K814">
        <v>2</v>
      </c>
      <c r="L814">
        <v>3</v>
      </c>
      <c r="M814" t="s">
        <v>749</v>
      </c>
      <c r="O814" t="s">
        <v>1476</v>
      </c>
      <c r="P814" t="s">
        <v>1463</v>
      </c>
      <c r="Q814">
        <v>43285</v>
      </c>
      <c r="R814" t="s">
        <v>1157</v>
      </c>
      <c r="S814" t="str">
        <f>VLOOKUP(J814,Teams!A:B,2,FALSE)</f>
        <v>NGA</v>
      </c>
      <c r="T814" t="str">
        <f>VLOOKUP(M814,Teams!A:B,2,FALSE)</f>
        <v>ARG</v>
      </c>
    </row>
    <row r="815" spans="1:20" x14ac:dyDescent="0.25">
      <c r="A815" t="str">
        <f>F815&amp;"-"&amp;B815</f>
        <v>FIFAWC2014-42</v>
      </c>
      <c r="B815" s="4">
        <v>42</v>
      </c>
      <c r="C815" s="3">
        <v>41815</v>
      </c>
      <c r="D815" s="7">
        <v>0.95833333333333337</v>
      </c>
      <c r="E815">
        <v>2014</v>
      </c>
      <c r="F815" t="s">
        <v>1738</v>
      </c>
      <c r="G815" t="s">
        <v>1741</v>
      </c>
      <c r="H815" t="s">
        <v>1122</v>
      </c>
      <c r="I815" t="s">
        <v>1747</v>
      </c>
      <c r="J815" t="s">
        <v>78</v>
      </c>
      <c r="K815">
        <v>3</v>
      </c>
      <c r="L815">
        <v>1</v>
      </c>
      <c r="M815" t="s">
        <v>1051</v>
      </c>
      <c r="O815" t="s">
        <v>1469</v>
      </c>
      <c r="P815" t="s">
        <v>1472</v>
      </c>
      <c r="Q815">
        <v>48011</v>
      </c>
      <c r="R815" t="s">
        <v>1157</v>
      </c>
      <c r="S815" t="str">
        <f>VLOOKUP(J815,Teams!A:B,2,FALSE)</f>
        <v>BIH</v>
      </c>
      <c r="T815" t="str">
        <f>VLOOKUP(M815,Teams!A:B,2,FALSE)</f>
        <v>IRN</v>
      </c>
    </row>
    <row r="816" spans="1:20" x14ac:dyDescent="0.25">
      <c r="A816" t="str">
        <f t="shared" si="13"/>
        <v>FIFAWC2014-43</v>
      </c>
      <c r="B816" s="4">
        <v>43</v>
      </c>
      <c r="C816" s="3">
        <v>41816</v>
      </c>
      <c r="D816" s="7">
        <v>0.125</v>
      </c>
      <c r="E816">
        <v>2014</v>
      </c>
      <c r="F816" t="s">
        <v>1738</v>
      </c>
      <c r="G816" t="s">
        <v>1741</v>
      </c>
      <c r="H816" t="s">
        <v>1122</v>
      </c>
      <c r="I816" t="s">
        <v>1746</v>
      </c>
      <c r="J816" t="s">
        <v>810</v>
      </c>
      <c r="K816">
        <v>0</v>
      </c>
      <c r="L816">
        <v>3</v>
      </c>
      <c r="M816" t="s">
        <v>901</v>
      </c>
      <c r="O816" t="s">
        <v>1529</v>
      </c>
      <c r="P816" t="s">
        <v>1473</v>
      </c>
      <c r="Q816">
        <v>40322</v>
      </c>
      <c r="R816" t="s">
        <v>1157</v>
      </c>
      <c r="S816" t="str">
        <f>VLOOKUP(J816,Teams!A:B,2,FALSE)</f>
        <v>HON</v>
      </c>
      <c r="T816" t="str">
        <f>VLOOKUP(M816,Teams!A:B,2,FALSE)</f>
        <v>SUI</v>
      </c>
    </row>
    <row r="817" spans="1:20" x14ac:dyDescent="0.25">
      <c r="A817" t="str">
        <f t="shared" si="13"/>
        <v>FIFAWC2014-44</v>
      </c>
      <c r="B817" s="4">
        <v>44</v>
      </c>
      <c r="C817" s="3">
        <v>41816</v>
      </c>
      <c r="D817" s="7">
        <v>0.125</v>
      </c>
      <c r="E817">
        <v>2014</v>
      </c>
      <c r="F817" t="s">
        <v>1738</v>
      </c>
      <c r="G817" t="s">
        <v>1741</v>
      </c>
      <c r="H817" t="s">
        <v>1122</v>
      </c>
      <c r="I817" t="s">
        <v>1746</v>
      </c>
      <c r="J817" t="s">
        <v>782</v>
      </c>
      <c r="K817">
        <v>0</v>
      </c>
      <c r="L817">
        <v>0</v>
      </c>
      <c r="M817" t="s">
        <v>224</v>
      </c>
      <c r="O817" t="s">
        <v>1462</v>
      </c>
      <c r="P817" t="s">
        <v>1528</v>
      </c>
      <c r="Q817">
        <v>73749</v>
      </c>
      <c r="R817" t="s">
        <v>1157</v>
      </c>
      <c r="S817" t="str">
        <f>VLOOKUP(J817,Teams!A:B,2,FALSE)</f>
        <v>ECU</v>
      </c>
      <c r="T817" t="str">
        <f>VLOOKUP(M817,Teams!A:B,2,FALSE)</f>
        <v>FRA</v>
      </c>
    </row>
    <row r="818" spans="1:20" x14ac:dyDescent="0.25">
      <c r="A818" t="str">
        <f t="shared" si="13"/>
        <v>FIFAWC2014-45</v>
      </c>
      <c r="B818" s="4">
        <v>45</v>
      </c>
      <c r="C818" s="3">
        <v>41816</v>
      </c>
      <c r="D818" s="7">
        <v>0.95833333333333337</v>
      </c>
      <c r="E818">
        <v>2014</v>
      </c>
      <c r="F818" t="s">
        <v>1738</v>
      </c>
      <c r="G818" t="s">
        <v>1741</v>
      </c>
      <c r="H818" t="s">
        <v>1122</v>
      </c>
      <c r="I818" t="s">
        <v>1748</v>
      </c>
      <c r="J818" t="s">
        <v>797</v>
      </c>
      <c r="K818">
        <v>0</v>
      </c>
      <c r="L818">
        <v>1</v>
      </c>
      <c r="M818" t="s">
        <v>797</v>
      </c>
      <c r="O818" t="s">
        <v>1527</v>
      </c>
      <c r="P818" t="s">
        <v>1470</v>
      </c>
      <c r="Q818">
        <v>41876</v>
      </c>
      <c r="R818" t="s">
        <v>1157</v>
      </c>
      <c r="S818" t="str">
        <f>VLOOKUP(J818,Teams!A:B,2,FALSE)</f>
        <v>GER</v>
      </c>
      <c r="T818" t="str">
        <f>VLOOKUP(M818,Teams!A:B,2,FALSE)</f>
        <v>GER</v>
      </c>
    </row>
    <row r="819" spans="1:20" x14ac:dyDescent="0.25">
      <c r="A819" t="str">
        <f t="shared" si="13"/>
        <v>FIFAWC2014-46</v>
      </c>
      <c r="B819" s="4">
        <v>46</v>
      </c>
      <c r="C819" s="3">
        <v>41816</v>
      </c>
      <c r="D819" s="7">
        <v>0.95833333333333337</v>
      </c>
      <c r="E819">
        <v>2014</v>
      </c>
      <c r="F819" t="s">
        <v>1738</v>
      </c>
      <c r="G819" t="s">
        <v>1741</v>
      </c>
      <c r="H819" t="s">
        <v>1122</v>
      </c>
      <c r="I819" t="s">
        <v>1748</v>
      </c>
      <c r="J819" t="s">
        <v>871</v>
      </c>
      <c r="K819">
        <v>2</v>
      </c>
      <c r="L819">
        <v>1</v>
      </c>
      <c r="M819" t="s">
        <v>798</v>
      </c>
      <c r="O819" t="s">
        <v>1464</v>
      </c>
      <c r="P819" t="s">
        <v>1526</v>
      </c>
      <c r="Q819">
        <v>67540</v>
      </c>
      <c r="R819" t="s">
        <v>1157</v>
      </c>
      <c r="S819" t="str">
        <f>VLOOKUP(J819,Teams!A:B,2,FALSE)</f>
        <v>POR</v>
      </c>
      <c r="T819" t="str">
        <f>VLOOKUP(M819,Teams!A:B,2,FALSE)</f>
        <v>GHA</v>
      </c>
    </row>
    <row r="820" spans="1:20" x14ac:dyDescent="0.25">
      <c r="A820" t="str">
        <f>F820&amp;"-"&amp;B820</f>
        <v>FIFAWC2014-47</v>
      </c>
      <c r="B820" s="4">
        <v>47</v>
      </c>
      <c r="C820" s="3">
        <v>41817</v>
      </c>
      <c r="D820" s="7">
        <v>0.125</v>
      </c>
      <c r="E820">
        <v>2014</v>
      </c>
      <c r="F820" t="s">
        <v>1738</v>
      </c>
      <c r="G820" t="s">
        <v>1741</v>
      </c>
      <c r="H820" t="s">
        <v>1122</v>
      </c>
      <c r="I820" t="s">
        <v>1749</v>
      </c>
      <c r="J820" t="s">
        <v>745</v>
      </c>
      <c r="K820">
        <v>1</v>
      </c>
      <c r="L820">
        <v>1</v>
      </c>
      <c r="M820" t="s">
        <v>1041</v>
      </c>
      <c r="O820" t="s">
        <v>1525</v>
      </c>
      <c r="P820" t="s">
        <v>1467</v>
      </c>
      <c r="Q820">
        <v>39311</v>
      </c>
      <c r="R820" t="s">
        <v>1157</v>
      </c>
      <c r="S820" t="str">
        <f>VLOOKUP(J820,Teams!A:B,2,FALSE)</f>
        <v>ALG</v>
      </c>
      <c r="T820" t="str">
        <f>VLOOKUP(M820,Teams!A:B,2,FALSE)</f>
        <v>RUS</v>
      </c>
    </row>
    <row r="821" spans="1:20" x14ac:dyDescent="0.25">
      <c r="A821" t="str">
        <f t="shared" si="13"/>
        <v>FIFAWC2014-48</v>
      </c>
      <c r="B821" s="4">
        <v>48</v>
      </c>
      <c r="C821" s="3">
        <v>41817</v>
      </c>
      <c r="D821" s="7">
        <v>0.125</v>
      </c>
      <c r="E821">
        <v>2014</v>
      </c>
      <c r="F821" t="s">
        <v>1738</v>
      </c>
      <c r="G821" t="s">
        <v>1741</v>
      </c>
      <c r="H821" t="s">
        <v>1122</v>
      </c>
      <c r="I821" t="s">
        <v>1749</v>
      </c>
      <c r="J821" t="s">
        <v>1056</v>
      </c>
      <c r="K821">
        <v>0</v>
      </c>
      <c r="L821">
        <v>1</v>
      </c>
      <c r="M821" t="s">
        <v>756</v>
      </c>
      <c r="O821" t="s">
        <v>1474</v>
      </c>
      <c r="P821" t="s">
        <v>1480</v>
      </c>
      <c r="Q821">
        <v>61397</v>
      </c>
      <c r="R821" t="s">
        <v>1157</v>
      </c>
      <c r="S821" t="str">
        <f>VLOOKUP(J821,Teams!A:B,2,FALSE)</f>
        <v>KOR</v>
      </c>
      <c r="T821" t="str">
        <f>VLOOKUP(M821,Teams!A:B,2,FALSE)</f>
        <v>BEL</v>
      </c>
    </row>
    <row r="822" spans="1:20" x14ac:dyDescent="0.25">
      <c r="A822" t="str">
        <f t="shared" si="13"/>
        <v>FIFAWC2014-49</v>
      </c>
      <c r="B822" s="4">
        <v>49</v>
      </c>
      <c r="C822" s="3">
        <v>41818</v>
      </c>
      <c r="D822" s="7">
        <v>0.125</v>
      </c>
      <c r="E822">
        <v>2014</v>
      </c>
      <c r="F822" t="s">
        <v>1738</v>
      </c>
      <c r="G822" t="s">
        <v>1741</v>
      </c>
      <c r="H822" t="s">
        <v>1759</v>
      </c>
      <c r="I822" t="s">
        <v>1138</v>
      </c>
      <c r="J822" t="s">
        <v>760</v>
      </c>
      <c r="K822">
        <v>1</v>
      </c>
      <c r="L822">
        <v>1</v>
      </c>
      <c r="M822" t="s">
        <v>768</v>
      </c>
      <c r="N822" t="s">
        <v>1774</v>
      </c>
      <c r="O822" t="s">
        <v>1155</v>
      </c>
      <c r="P822" t="s">
        <v>1156</v>
      </c>
      <c r="Q822">
        <v>57714</v>
      </c>
      <c r="R822" t="s">
        <v>1157</v>
      </c>
      <c r="S822" t="str">
        <f>VLOOKUP(J822,Teams!A:B,2,FALSE)</f>
        <v>BRA</v>
      </c>
      <c r="T822" t="str">
        <f>VLOOKUP(M822,Teams!A:B,2,FALSE)</f>
        <v>CHI</v>
      </c>
    </row>
    <row r="823" spans="1:20" x14ac:dyDescent="0.25">
      <c r="A823" t="str">
        <f t="shared" si="13"/>
        <v>FIFAWC2014-50</v>
      </c>
      <c r="B823" s="4">
        <v>50</v>
      </c>
      <c r="C823" s="3">
        <v>41819</v>
      </c>
      <c r="D823" s="7">
        <v>0.95833333333333337</v>
      </c>
      <c r="E823">
        <v>2014</v>
      </c>
      <c r="F823" t="s">
        <v>1738</v>
      </c>
      <c r="G823" t="s">
        <v>1741</v>
      </c>
      <c r="H823" t="s">
        <v>1759</v>
      </c>
      <c r="I823" t="s">
        <v>1138</v>
      </c>
      <c r="J823" t="s">
        <v>771</v>
      </c>
      <c r="K823">
        <v>2</v>
      </c>
      <c r="L823">
        <v>0</v>
      </c>
      <c r="M823" t="s">
        <v>916</v>
      </c>
      <c r="O823" t="s">
        <v>1462</v>
      </c>
      <c r="P823" t="s">
        <v>1482</v>
      </c>
      <c r="Q823">
        <v>73804</v>
      </c>
      <c r="R823" t="s">
        <v>1157</v>
      </c>
      <c r="S823" t="str">
        <f>VLOOKUP(J823,Teams!A:B,2,FALSE)</f>
        <v>COL</v>
      </c>
      <c r="T823" t="str">
        <f>VLOOKUP(M823,Teams!A:B,2,FALSE)</f>
        <v>URU</v>
      </c>
    </row>
    <row r="824" spans="1:20" x14ac:dyDescent="0.25">
      <c r="A824" t="str">
        <f t="shared" si="13"/>
        <v>FIFAWC2014-51</v>
      </c>
      <c r="B824" s="4">
        <v>51</v>
      </c>
      <c r="C824" s="3">
        <v>41819</v>
      </c>
      <c r="D824" s="7">
        <v>0.95833333333333337</v>
      </c>
      <c r="E824">
        <v>2014</v>
      </c>
      <c r="F824" t="s">
        <v>1738</v>
      </c>
      <c r="G824" t="s">
        <v>1741</v>
      </c>
      <c r="H824" t="s">
        <v>1759</v>
      </c>
      <c r="I824" t="s">
        <v>1138</v>
      </c>
      <c r="J824" t="s">
        <v>33</v>
      </c>
      <c r="K824">
        <v>2</v>
      </c>
      <c r="L824">
        <v>1</v>
      </c>
      <c r="M824" t="s">
        <v>845</v>
      </c>
      <c r="O824" t="s">
        <v>1471</v>
      </c>
      <c r="P824" t="s">
        <v>1481</v>
      </c>
      <c r="Q824">
        <v>58817</v>
      </c>
      <c r="R824" t="s">
        <v>1157</v>
      </c>
      <c r="S824" t="str">
        <f>VLOOKUP(J824,Teams!A:B,2,FALSE)</f>
        <v>NED</v>
      </c>
      <c r="T824" t="str">
        <f>VLOOKUP(M824,Teams!A:B,2,FALSE)</f>
        <v>MEX</v>
      </c>
    </row>
    <row r="825" spans="1:20" x14ac:dyDescent="0.25">
      <c r="A825" t="str">
        <f>F825&amp;"-"&amp;B825</f>
        <v>FIFAWC2014-52</v>
      </c>
      <c r="B825" s="4">
        <v>52</v>
      </c>
      <c r="C825" s="3">
        <v>41820</v>
      </c>
      <c r="D825" s="7">
        <v>0.125</v>
      </c>
      <c r="E825">
        <v>2014</v>
      </c>
      <c r="F825" t="s">
        <v>1738</v>
      </c>
      <c r="G825" t="s">
        <v>1741</v>
      </c>
      <c r="H825" t="s">
        <v>1759</v>
      </c>
      <c r="I825" t="s">
        <v>1138</v>
      </c>
      <c r="J825" t="s">
        <v>774</v>
      </c>
      <c r="K825">
        <v>1</v>
      </c>
      <c r="L825">
        <v>1</v>
      </c>
      <c r="M825" t="s">
        <v>799</v>
      </c>
      <c r="N825" t="s">
        <v>1784</v>
      </c>
      <c r="O825" t="s">
        <v>1479</v>
      </c>
      <c r="P825" t="s">
        <v>1480</v>
      </c>
      <c r="Q825">
        <v>41242</v>
      </c>
      <c r="R825" t="s">
        <v>1157</v>
      </c>
      <c r="S825" t="str">
        <f>VLOOKUP(J825,Teams!A:B,2,FALSE)</f>
        <v>CRC</v>
      </c>
      <c r="T825" t="str">
        <f>VLOOKUP(M825,Teams!A:B,2,FALSE)</f>
        <v>GRE</v>
      </c>
    </row>
    <row r="826" spans="1:20" x14ac:dyDescent="0.25">
      <c r="A826" t="str">
        <f>F826&amp;"-"&amp;B826</f>
        <v>FIFAWC2014-53</v>
      </c>
      <c r="B826" s="4">
        <v>53</v>
      </c>
      <c r="C826" s="3">
        <v>41820</v>
      </c>
      <c r="D826" s="7">
        <v>0.95833333333333337</v>
      </c>
      <c r="E826">
        <v>2014</v>
      </c>
      <c r="F826" t="s">
        <v>1738</v>
      </c>
      <c r="G826" t="s">
        <v>1741</v>
      </c>
      <c r="H826" t="s">
        <v>1759</v>
      </c>
      <c r="I826" t="s">
        <v>1138</v>
      </c>
      <c r="J826" t="s">
        <v>224</v>
      </c>
      <c r="K826">
        <v>2</v>
      </c>
      <c r="L826">
        <v>0</v>
      </c>
      <c r="M826" t="s">
        <v>857</v>
      </c>
      <c r="O826" t="s">
        <v>1464</v>
      </c>
      <c r="P826" t="s">
        <v>1478</v>
      </c>
      <c r="Q826">
        <v>67882</v>
      </c>
      <c r="R826" t="s">
        <v>1157</v>
      </c>
      <c r="S826" t="str">
        <f>VLOOKUP(J826,Teams!A:B,2,FALSE)</f>
        <v>FRA</v>
      </c>
      <c r="T826" t="str">
        <f>VLOOKUP(M826,Teams!A:B,2,FALSE)</f>
        <v>NGA</v>
      </c>
    </row>
    <row r="827" spans="1:20" x14ac:dyDescent="0.25">
      <c r="A827" t="str">
        <f t="shared" si="13"/>
        <v>FIFAWC2014-54</v>
      </c>
      <c r="B827" s="4">
        <v>54</v>
      </c>
      <c r="C827" s="3">
        <v>41821</v>
      </c>
      <c r="D827" s="7">
        <v>0.125</v>
      </c>
      <c r="E827">
        <v>2014</v>
      </c>
      <c r="F827" t="s">
        <v>1738</v>
      </c>
      <c r="G827" t="s">
        <v>1741</v>
      </c>
      <c r="H827" t="s">
        <v>1759</v>
      </c>
      <c r="I827" t="s">
        <v>1138</v>
      </c>
      <c r="J827" t="s">
        <v>797</v>
      </c>
      <c r="K827">
        <v>2</v>
      </c>
      <c r="L827">
        <v>1</v>
      </c>
      <c r="M827" t="s">
        <v>745</v>
      </c>
      <c r="O827" t="s">
        <v>1476</v>
      </c>
      <c r="P827" t="s">
        <v>1477</v>
      </c>
      <c r="Q827">
        <v>43063</v>
      </c>
      <c r="R827" t="s">
        <v>1157</v>
      </c>
      <c r="S827" t="str">
        <f>VLOOKUP(J827,Teams!A:B,2,FALSE)</f>
        <v>GER</v>
      </c>
      <c r="T827" t="str">
        <f>VLOOKUP(M827,Teams!A:B,2,FALSE)</f>
        <v>ALG</v>
      </c>
    </row>
    <row r="828" spans="1:20" x14ac:dyDescent="0.25">
      <c r="A828" t="str">
        <f t="shared" si="13"/>
        <v>FIFAWC2014-55</v>
      </c>
      <c r="B828" s="4">
        <v>55</v>
      </c>
      <c r="C828" s="3">
        <v>41821</v>
      </c>
      <c r="D828" s="7">
        <v>0.95833333333333337</v>
      </c>
      <c r="E828">
        <v>2014</v>
      </c>
      <c r="F828" t="s">
        <v>1738</v>
      </c>
      <c r="G828" t="s">
        <v>1741</v>
      </c>
      <c r="H828" t="s">
        <v>1759</v>
      </c>
      <c r="I828" t="s">
        <v>1138</v>
      </c>
      <c r="J828" t="s">
        <v>749</v>
      </c>
      <c r="K828">
        <v>1</v>
      </c>
      <c r="L828">
        <v>0</v>
      </c>
      <c r="M828" t="s">
        <v>901</v>
      </c>
      <c r="O828" t="s">
        <v>1474</v>
      </c>
      <c r="P828" t="s">
        <v>1475</v>
      </c>
      <c r="Q828">
        <v>63255</v>
      </c>
      <c r="R828" t="s">
        <v>1157</v>
      </c>
      <c r="S828" t="str">
        <f>VLOOKUP(J828,Teams!A:B,2,FALSE)</f>
        <v>ARG</v>
      </c>
      <c r="T828" t="str">
        <f>VLOOKUP(M828,Teams!A:B,2,FALSE)</f>
        <v>SUI</v>
      </c>
    </row>
    <row r="829" spans="1:20" x14ac:dyDescent="0.25">
      <c r="A829" t="str">
        <f t="shared" si="13"/>
        <v>FIFAWC2014-56</v>
      </c>
      <c r="B829" s="4">
        <v>56</v>
      </c>
      <c r="C829" s="3">
        <v>41822</v>
      </c>
      <c r="D829" s="7">
        <v>0.125</v>
      </c>
      <c r="E829">
        <v>2014</v>
      </c>
      <c r="F829" t="s">
        <v>1738</v>
      </c>
      <c r="G829" t="s">
        <v>1741</v>
      </c>
      <c r="H829" t="s">
        <v>1759</v>
      </c>
      <c r="I829" t="s">
        <v>1138</v>
      </c>
      <c r="J829" t="s">
        <v>756</v>
      </c>
      <c r="K829">
        <v>2</v>
      </c>
      <c r="L829">
        <v>1</v>
      </c>
      <c r="M829" t="s">
        <v>11</v>
      </c>
      <c r="O829" t="s">
        <v>1469</v>
      </c>
      <c r="P829" t="s">
        <v>1465</v>
      </c>
      <c r="Q829">
        <v>51227</v>
      </c>
      <c r="R829" t="s">
        <v>1157</v>
      </c>
      <c r="S829" t="str">
        <f>VLOOKUP(J829,Teams!A:B,2,FALSE)</f>
        <v>BEL</v>
      </c>
      <c r="T829" t="str">
        <f>VLOOKUP(M829,Teams!A:B,2,FALSE)</f>
        <v>USA</v>
      </c>
    </row>
    <row r="830" spans="1:20" x14ac:dyDescent="0.25">
      <c r="A830" t="str">
        <f t="shared" si="13"/>
        <v>FIFAWC2014-57</v>
      </c>
      <c r="B830" s="4">
        <v>57</v>
      </c>
      <c r="C830" s="3">
        <v>41824</v>
      </c>
      <c r="D830" s="7">
        <v>0.95833333333333337</v>
      </c>
      <c r="E830">
        <v>2014</v>
      </c>
      <c r="F830" t="s">
        <v>1738</v>
      </c>
      <c r="G830" t="s">
        <v>1741</v>
      </c>
      <c r="H830" t="s">
        <v>1759</v>
      </c>
      <c r="I830" t="s">
        <v>1139</v>
      </c>
      <c r="J830" t="s">
        <v>224</v>
      </c>
      <c r="K830">
        <v>0</v>
      </c>
      <c r="L830">
        <v>1</v>
      </c>
      <c r="M830" t="s">
        <v>797</v>
      </c>
      <c r="O830" t="s">
        <v>1462</v>
      </c>
      <c r="P830" t="s">
        <v>1473</v>
      </c>
      <c r="Q830">
        <v>74240</v>
      </c>
      <c r="R830" t="s">
        <v>1157</v>
      </c>
      <c r="S830" t="str">
        <f>VLOOKUP(J830,Teams!A:B,2,FALSE)</f>
        <v>FRA</v>
      </c>
      <c r="T830" t="str">
        <f>VLOOKUP(M830,Teams!A:B,2,FALSE)</f>
        <v>GER</v>
      </c>
    </row>
    <row r="831" spans="1:20" x14ac:dyDescent="0.25">
      <c r="A831" t="str">
        <f t="shared" si="13"/>
        <v>FIFAWC2014-58</v>
      </c>
      <c r="B831" s="4">
        <v>58</v>
      </c>
      <c r="C831" s="3">
        <v>41825</v>
      </c>
      <c r="D831" s="7">
        <v>0.125</v>
      </c>
      <c r="E831">
        <v>2014</v>
      </c>
      <c r="F831" t="s">
        <v>1738</v>
      </c>
      <c r="G831" t="s">
        <v>1741</v>
      </c>
      <c r="H831" t="s">
        <v>1759</v>
      </c>
      <c r="I831" t="s">
        <v>1139</v>
      </c>
      <c r="J831" t="s">
        <v>760</v>
      </c>
      <c r="K831">
        <v>2</v>
      </c>
      <c r="L831">
        <v>1</v>
      </c>
      <c r="M831" t="s">
        <v>771</v>
      </c>
      <c r="O831" t="s">
        <v>1471</v>
      </c>
      <c r="P831" t="s">
        <v>1472</v>
      </c>
      <c r="Q831">
        <v>60342</v>
      </c>
      <c r="R831" t="s">
        <v>1157</v>
      </c>
      <c r="S831" t="str">
        <f>VLOOKUP(J831,Teams!A:B,2,FALSE)</f>
        <v>BRA</v>
      </c>
      <c r="T831" t="str">
        <f>VLOOKUP(M831,Teams!A:B,2,FALSE)</f>
        <v>COL</v>
      </c>
    </row>
    <row r="832" spans="1:20" x14ac:dyDescent="0.25">
      <c r="A832" t="str">
        <f t="shared" si="13"/>
        <v>FIFAWC2014-59</v>
      </c>
      <c r="B832" s="4">
        <v>59</v>
      </c>
      <c r="C832" s="3">
        <v>41825</v>
      </c>
      <c r="D832" s="7">
        <v>0.95833333333333337</v>
      </c>
      <c r="E832">
        <v>2014</v>
      </c>
      <c r="F832" t="s">
        <v>1738</v>
      </c>
      <c r="G832" t="s">
        <v>1741</v>
      </c>
      <c r="H832" t="s">
        <v>1759</v>
      </c>
      <c r="I832" t="s">
        <v>1139</v>
      </c>
      <c r="J832" t="s">
        <v>749</v>
      </c>
      <c r="K832">
        <v>1</v>
      </c>
      <c r="L832">
        <v>0</v>
      </c>
      <c r="M832" t="s">
        <v>756</v>
      </c>
      <c r="O832" t="s">
        <v>1464</v>
      </c>
      <c r="P832" t="s">
        <v>1463</v>
      </c>
      <c r="Q832">
        <v>68551</v>
      </c>
      <c r="R832" t="s">
        <v>1157</v>
      </c>
      <c r="S832" t="str">
        <f>VLOOKUP(J832,Teams!A:B,2,FALSE)</f>
        <v>ARG</v>
      </c>
      <c r="T832" t="str">
        <f>VLOOKUP(M832,Teams!A:B,2,FALSE)</f>
        <v>BEL</v>
      </c>
    </row>
    <row r="833" spans="1:20" x14ac:dyDescent="0.25">
      <c r="A833" t="str">
        <f t="shared" si="13"/>
        <v>FIFAWC2014-60</v>
      </c>
      <c r="B833" s="4">
        <v>60</v>
      </c>
      <c r="C833" s="3">
        <v>41826</v>
      </c>
      <c r="D833" s="7">
        <v>0.125</v>
      </c>
      <c r="E833">
        <v>2014</v>
      </c>
      <c r="F833" t="s">
        <v>1738</v>
      </c>
      <c r="G833" t="s">
        <v>1741</v>
      </c>
      <c r="H833" t="s">
        <v>1759</v>
      </c>
      <c r="I833" t="s">
        <v>1139</v>
      </c>
      <c r="J833" t="s">
        <v>33</v>
      </c>
      <c r="K833">
        <v>0</v>
      </c>
      <c r="L833">
        <v>0</v>
      </c>
      <c r="M833" t="s">
        <v>774</v>
      </c>
      <c r="N833" t="s">
        <v>1785</v>
      </c>
      <c r="O833" t="s">
        <v>1469</v>
      </c>
      <c r="P833" t="s">
        <v>1470</v>
      </c>
      <c r="Q833">
        <v>51179</v>
      </c>
      <c r="R833" t="s">
        <v>1157</v>
      </c>
      <c r="S833" t="str">
        <f>VLOOKUP(J833,Teams!A:B,2,FALSE)</f>
        <v>NED</v>
      </c>
      <c r="T833" t="str">
        <f>VLOOKUP(M833,Teams!A:B,2,FALSE)</f>
        <v>CRC</v>
      </c>
    </row>
    <row r="834" spans="1:20" x14ac:dyDescent="0.25">
      <c r="A834" t="str">
        <f t="shared" si="13"/>
        <v>FIFAWC2014-61</v>
      </c>
      <c r="B834" s="4">
        <v>61</v>
      </c>
      <c r="C834" s="3">
        <v>41829</v>
      </c>
      <c r="D834" s="7">
        <v>0.125</v>
      </c>
      <c r="E834">
        <v>2014</v>
      </c>
      <c r="F834" t="s">
        <v>1738</v>
      </c>
      <c r="G834" t="s">
        <v>1741</v>
      </c>
      <c r="H834" t="s">
        <v>1759</v>
      </c>
      <c r="I834" t="s">
        <v>1140</v>
      </c>
      <c r="J834" t="s">
        <v>760</v>
      </c>
      <c r="K834">
        <v>1</v>
      </c>
      <c r="L834">
        <v>7</v>
      </c>
      <c r="M834" t="s">
        <v>797</v>
      </c>
      <c r="O834" t="s">
        <v>1155</v>
      </c>
      <c r="P834" t="s">
        <v>1468</v>
      </c>
      <c r="Q834">
        <v>58141</v>
      </c>
      <c r="R834" t="s">
        <v>1157</v>
      </c>
      <c r="S834" t="str">
        <f>VLOOKUP(J834,Teams!A:B,2,FALSE)</f>
        <v>BRA</v>
      </c>
      <c r="T834" t="str">
        <f>VLOOKUP(M834,Teams!A:B,2,FALSE)</f>
        <v>GER</v>
      </c>
    </row>
    <row r="835" spans="1:20" x14ac:dyDescent="0.25">
      <c r="A835" t="str">
        <f t="shared" si="13"/>
        <v>FIFAWC2014-62</v>
      </c>
      <c r="B835" s="4">
        <v>62</v>
      </c>
      <c r="C835" s="3">
        <v>41830</v>
      </c>
      <c r="D835" s="7">
        <v>0.125</v>
      </c>
      <c r="E835">
        <v>2014</v>
      </c>
      <c r="F835" t="s">
        <v>1738</v>
      </c>
      <c r="G835" t="s">
        <v>1741</v>
      </c>
      <c r="H835" t="s">
        <v>1759</v>
      </c>
      <c r="I835" t="s">
        <v>1140</v>
      </c>
      <c r="J835" t="s">
        <v>33</v>
      </c>
      <c r="K835">
        <v>0</v>
      </c>
      <c r="L835">
        <v>0</v>
      </c>
      <c r="M835" t="s">
        <v>749</v>
      </c>
      <c r="N835" t="s">
        <v>1786</v>
      </c>
      <c r="O835" t="s">
        <v>1466</v>
      </c>
      <c r="P835" t="s">
        <v>1467</v>
      </c>
      <c r="Q835">
        <v>63267</v>
      </c>
      <c r="R835" t="s">
        <v>1157</v>
      </c>
      <c r="S835" t="str">
        <f>VLOOKUP(J835,Teams!A:B,2,FALSE)</f>
        <v>NED</v>
      </c>
      <c r="T835" t="str">
        <f>VLOOKUP(M835,Teams!A:B,2,FALSE)</f>
        <v>ARG</v>
      </c>
    </row>
    <row r="836" spans="1:20" x14ac:dyDescent="0.25">
      <c r="A836" t="str">
        <f t="shared" si="13"/>
        <v>FIFAWC2014-63</v>
      </c>
      <c r="B836" s="4">
        <v>63</v>
      </c>
      <c r="C836" s="3">
        <v>41833</v>
      </c>
      <c r="D836" s="7">
        <v>0.125</v>
      </c>
      <c r="E836">
        <v>2014</v>
      </c>
      <c r="F836" t="s">
        <v>1738</v>
      </c>
      <c r="G836" t="s">
        <v>1741</v>
      </c>
      <c r="H836" t="s">
        <v>1759</v>
      </c>
      <c r="I836" t="s">
        <v>1018</v>
      </c>
      <c r="J836" t="s">
        <v>760</v>
      </c>
      <c r="K836">
        <v>0</v>
      </c>
      <c r="L836">
        <v>3</v>
      </c>
      <c r="M836" t="s">
        <v>33</v>
      </c>
      <c r="O836" t="s">
        <v>1464</v>
      </c>
      <c r="P836" t="s">
        <v>1465</v>
      </c>
      <c r="Q836">
        <v>68034</v>
      </c>
      <c r="R836" t="s">
        <v>1157</v>
      </c>
      <c r="S836" t="str">
        <f>VLOOKUP(J836,Teams!A:B,2,FALSE)</f>
        <v>BRA</v>
      </c>
      <c r="T836" t="str">
        <f>VLOOKUP(M836,Teams!A:B,2,FALSE)</f>
        <v>NED</v>
      </c>
    </row>
    <row r="837" spans="1:20" x14ac:dyDescent="0.25">
      <c r="A837" t="str">
        <f t="shared" si="13"/>
        <v>FIFAWC2014-64</v>
      </c>
      <c r="B837" s="4">
        <v>64</v>
      </c>
      <c r="C837" s="3">
        <v>41834</v>
      </c>
      <c r="D837" s="7">
        <v>8.3333333333333329E-2</v>
      </c>
      <c r="E837">
        <v>2014</v>
      </c>
      <c r="F837" t="s">
        <v>1738</v>
      </c>
      <c r="G837" t="s">
        <v>1741</v>
      </c>
      <c r="H837" t="s">
        <v>1759</v>
      </c>
      <c r="I837" t="s">
        <v>1141</v>
      </c>
      <c r="J837" t="s">
        <v>797</v>
      </c>
      <c r="K837">
        <v>1</v>
      </c>
      <c r="L837">
        <v>0</v>
      </c>
      <c r="M837" t="s">
        <v>749</v>
      </c>
      <c r="O837" t="s">
        <v>1462</v>
      </c>
      <c r="P837" t="s">
        <v>1463</v>
      </c>
      <c r="Q837">
        <v>74738</v>
      </c>
      <c r="R837" t="s">
        <v>1157</v>
      </c>
      <c r="S837" t="str">
        <f>VLOOKUP(J837,Teams!A:B,2,FALSE)</f>
        <v>GER</v>
      </c>
      <c r="T837" t="str">
        <f>VLOOKUP(M837,Teams!A:B,2,FALSE)</f>
        <v>ARG</v>
      </c>
    </row>
    <row r="838" spans="1:20" x14ac:dyDescent="0.25">
      <c r="A838" t="str">
        <f t="shared" si="13"/>
        <v>FIFAWC2018-1</v>
      </c>
      <c r="B838" s="4">
        <v>1</v>
      </c>
      <c r="C838" s="3">
        <v>43265</v>
      </c>
      <c r="D838" s="7">
        <v>0.91666666666666663</v>
      </c>
      <c r="E838">
        <v>2018</v>
      </c>
      <c r="F838" t="s">
        <v>1739</v>
      </c>
      <c r="G838" t="s">
        <v>1741</v>
      </c>
      <c r="H838" t="s">
        <v>1122</v>
      </c>
      <c r="I838" t="s">
        <v>1123</v>
      </c>
      <c r="J838" t="s">
        <v>1041</v>
      </c>
      <c r="K838">
        <v>5</v>
      </c>
      <c r="L838">
        <v>0</v>
      </c>
      <c r="M838" t="s">
        <v>882</v>
      </c>
      <c r="O838" t="s">
        <v>1806</v>
      </c>
      <c r="R838" t="s">
        <v>1157</v>
      </c>
      <c r="S838" t="str">
        <f>VLOOKUP(J838,Teams!A:B,2,FALSE)</f>
        <v>RUS</v>
      </c>
      <c r="T838" t="str">
        <f>VLOOKUP(M838,Teams!A:B,2,FALSE)</f>
        <v>KSA</v>
      </c>
    </row>
    <row r="839" spans="1:20" x14ac:dyDescent="0.25">
      <c r="A839" t="str">
        <f t="shared" si="13"/>
        <v>FIFAWC2018-2</v>
      </c>
      <c r="B839" s="4">
        <v>2</v>
      </c>
      <c r="C839" s="3">
        <v>43266</v>
      </c>
      <c r="D839" s="7">
        <v>0.79166666666666663</v>
      </c>
      <c r="E839">
        <v>2018</v>
      </c>
      <c r="F839" t="s">
        <v>1739</v>
      </c>
      <c r="G839" t="s">
        <v>1741</v>
      </c>
      <c r="H839" t="s">
        <v>1122</v>
      </c>
      <c r="I839" t="s">
        <v>1123</v>
      </c>
      <c r="J839" t="s">
        <v>783</v>
      </c>
      <c r="K839">
        <v>0</v>
      </c>
      <c r="L839">
        <v>1</v>
      </c>
      <c r="M839" t="s">
        <v>916</v>
      </c>
      <c r="O839" t="s">
        <v>1807</v>
      </c>
      <c r="R839" t="s">
        <v>1157</v>
      </c>
      <c r="S839" t="str">
        <f>VLOOKUP(J839,Teams!A:B,2,FALSE)</f>
        <v>EGY</v>
      </c>
      <c r="T839" t="str">
        <f>VLOOKUP(M839,Teams!A:B,2,FALSE)</f>
        <v>URU</v>
      </c>
    </row>
    <row r="840" spans="1:20" x14ac:dyDescent="0.25">
      <c r="A840" t="str">
        <f>F840&amp;"-"&amp;B840</f>
        <v>FIFAWC2018-3</v>
      </c>
      <c r="B840" s="4">
        <v>3</v>
      </c>
      <c r="C840" s="3">
        <v>43266</v>
      </c>
      <c r="D840" s="7">
        <v>0.91666666666666663</v>
      </c>
      <c r="E840">
        <v>2018</v>
      </c>
      <c r="F840" t="s">
        <v>1739</v>
      </c>
      <c r="G840" t="s">
        <v>1741</v>
      </c>
      <c r="H840" t="s">
        <v>1122</v>
      </c>
      <c r="I840" t="s">
        <v>1124</v>
      </c>
      <c r="J840" t="s">
        <v>849</v>
      </c>
      <c r="K840">
        <v>0</v>
      </c>
      <c r="L840">
        <v>1</v>
      </c>
      <c r="M840" t="s">
        <v>1051</v>
      </c>
      <c r="O840" t="s">
        <v>1809</v>
      </c>
      <c r="R840" t="s">
        <v>1157</v>
      </c>
      <c r="S840" t="str">
        <f>VLOOKUP(J840,Teams!A:B,2,FALSE)</f>
        <v>MAR</v>
      </c>
      <c r="T840" t="str">
        <f>VLOOKUP(M840,Teams!A:B,2,FALSE)</f>
        <v>IRN</v>
      </c>
    </row>
    <row r="841" spans="1:20" x14ac:dyDescent="0.25">
      <c r="A841" t="str">
        <f t="shared" si="13"/>
        <v>FIFAWC2018-4</v>
      </c>
      <c r="B841" s="4">
        <v>4</v>
      </c>
      <c r="C841" s="3">
        <v>43267</v>
      </c>
      <c r="D841" s="7">
        <v>4.1666666666666664E-2</v>
      </c>
      <c r="E841">
        <v>2018</v>
      </c>
      <c r="F841" t="s">
        <v>1739</v>
      </c>
      <c r="G841" t="s">
        <v>1741</v>
      </c>
      <c r="H841" t="s">
        <v>1122</v>
      </c>
      <c r="I841" t="s">
        <v>1124</v>
      </c>
      <c r="J841" t="s">
        <v>871</v>
      </c>
      <c r="K841">
        <v>3</v>
      </c>
      <c r="L841">
        <v>3</v>
      </c>
      <c r="M841" t="s">
        <v>895</v>
      </c>
      <c r="O841" t="s">
        <v>1808</v>
      </c>
      <c r="R841" t="s">
        <v>1157</v>
      </c>
      <c r="S841" t="str">
        <f>VLOOKUP(J841,Teams!A:B,2,FALSE)</f>
        <v>POR</v>
      </c>
      <c r="T841" t="str">
        <f>VLOOKUP(M841,Teams!A:B,2,FALSE)</f>
        <v>ESP</v>
      </c>
    </row>
    <row r="842" spans="1:20" x14ac:dyDescent="0.25">
      <c r="A842" t="str">
        <f t="shared" si="13"/>
        <v>FIFAWC2018-5</v>
      </c>
      <c r="B842" s="4">
        <v>5</v>
      </c>
      <c r="C842" s="3">
        <v>43267</v>
      </c>
      <c r="D842" s="7">
        <v>0.70833333333333337</v>
      </c>
      <c r="E842">
        <v>2018</v>
      </c>
      <c r="F842" t="s">
        <v>1739</v>
      </c>
      <c r="G842" t="s">
        <v>1741</v>
      </c>
      <c r="H842" t="s">
        <v>1122</v>
      </c>
      <c r="I842" t="s">
        <v>1125</v>
      </c>
      <c r="J842" t="s">
        <v>224</v>
      </c>
      <c r="K842">
        <v>2</v>
      </c>
      <c r="L842">
        <v>1</v>
      </c>
      <c r="M842" t="s">
        <v>128</v>
      </c>
      <c r="O842" t="s">
        <v>1810</v>
      </c>
      <c r="R842" t="s">
        <v>1157</v>
      </c>
      <c r="S842" t="str">
        <f>VLOOKUP(J842,Teams!A:B,2,FALSE)</f>
        <v>FRA</v>
      </c>
      <c r="T842" t="str">
        <f>VLOOKUP(M842,Teams!A:B,2,FALSE)</f>
        <v>AUS</v>
      </c>
    </row>
    <row r="843" spans="1:20" x14ac:dyDescent="0.25">
      <c r="A843" t="str">
        <f>F843&amp;"-"&amp;B843</f>
        <v>FIFAWC2018-6</v>
      </c>
      <c r="B843" s="4">
        <v>6</v>
      </c>
      <c r="C843" s="3">
        <v>43267</v>
      </c>
      <c r="D843" s="7">
        <v>0.83333333333333337</v>
      </c>
      <c r="E843">
        <v>2018</v>
      </c>
      <c r="F843" t="s">
        <v>1739</v>
      </c>
      <c r="G843" t="s">
        <v>1741</v>
      </c>
      <c r="H843" t="s">
        <v>1122</v>
      </c>
      <c r="I843" t="s">
        <v>1126</v>
      </c>
      <c r="J843" t="s">
        <v>749</v>
      </c>
      <c r="K843">
        <v>1</v>
      </c>
      <c r="L843">
        <v>1</v>
      </c>
      <c r="M843" t="s">
        <v>300</v>
      </c>
      <c r="O843" t="s">
        <v>1812</v>
      </c>
      <c r="R843" t="s">
        <v>1157</v>
      </c>
      <c r="S843" t="str">
        <f>VLOOKUP(J843,Teams!A:B,2,FALSE)</f>
        <v>ARG</v>
      </c>
      <c r="T843" t="str">
        <f>VLOOKUP(M843,Teams!A:B,2,FALSE)</f>
        <v>ISL</v>
      </c>
    </row>
    <row r="844" spans="1:20" x14ac:dyDescent="0.25">
      <c r="A844" t="str">
        <f t="shared" si="13"/>
        <v>FIFAWC2018-7</v>
      </c>
      <c r="B844" s="4">
        <v>7</v>
      </c>
      <c r="C844" s="3">
        <v>43267</v>
      </c>
      <c r="D844" s="7">
        <v>0.95833333333333337</v>
      </c>
      <c r="E844">
        <v>2018</v>
      </c>
      <c r="F844" t="s">
        <v>1739</v>
      </c>
      <c r="G844" t="s">
        <v>1741</v>
      </c>
      <c r="H844" t="s">
        <v>1122</v>
      </c>
      <c r="I844" t="s">
        <v>1125</v>
      </c>
      <c r="J844" t="s">
        <v>867</v>
      </c>
      <c r="K844">
        <v>0</v>
      </c>
      <c r="L844">
        <v>1</v>
      </c>
      <c r="M844" t="s">
        <v>211</v>
      </c>
      <c r="O844" t="s">
        <v>1811</v>
      </c>
      <c r="R844" t="s">
        <v>1157</v>
      </c>
      <c r="S844" t="str">
        <f>VLOOKUP(J844,Teams!A:B,2,FALSE)</f>
        <v>PER</v>
      </c>
      <c r="T844" t="str">
        <f>VLOOKUP(M844,Teams!A:B,2,FALSE)</f>
        <v>DEN</v>
      </c>
    </row>
    <row r="845" spans="1:20" x14ac:dyDescent="0.25">
      <c r="A845" t="str">
        <f t="shared" si="13"/>
        <v>FIFAWC2018-8</v>
      </c>
      <c r="B845" s="4">
        <v>8</v>
      </c>
      <c r="C845" s="3">
        <v>43268</v>
      </c>
      <c r="D845" s="7">
        <v>8.3333333333333329E-2</v>
      </c>
      <c r="E845">
        <v>2018</v>
      </c>
      <c r="F845" t="s">
        <v>1739</v>
      </c>
      <c r="G845" t="s">
        <v>1741</v>
      </c>
      <c r="H845" t="s">
        <v>1122</v>
      </c>
      <c r="I845" t="s">
        <v>1126</v>
      </c>
      <c r="J845" t="s">
        <v>775</v>
      </c>
      <c r="K845">
        <v>2</v>
      </c>
      <c r="L845">
        <v>0</v>
      </c>
      <c r="M845" t="s">
        <v>857</v>
      </c>
      <c r="O845" t="s">
        <v>1813</v>
      </c>
      <c r="R845" t="s">
        <v>1157</v>
      </c>
      <c r="S845" t="str">
        <f>VLOOKUP(J845,Teams!A:B,2,FALSE)</f>
        <v>CRO</v>
      </c>
      <c r="T845" t="str">
        <f>VLOOKUP(M845,Teams!A:B,2,FALSE)</f>
        <v>NGA</v>
      </c>
    </row>
    <row r="846" spans="1:20" x14ac:dyDescent="0.25">
      <c r="A846" t="str">
        <f>F846&amp;"-"&amp;B846</f>
        <v>FIFAWC2018-9</v>
      </c>
      <c r="B846" s="4">
        <v>9</v>
      </c>
      <c r="C846" s="3">
        <v>43268</v>
      </c>
      <c r="D846" s="7">
        <v>0.79166666666666663</v>
      </c>
      <c r="E846">
        <v>2018</v>
      </c>
      <c r="F846" t="s">
        <v>1739</v>
      </c>
      <c r="G846" t="s">
        <v>1741</v>
      </c>
      <c r="H846" t="s">
        <v>1122</v>
      </c>
      <c r="I846" t="s">
        <v>1127</v>
      </c>
      <c r="J846" t="s">
        <v>774</v>
      </c>
      <c r="K846">
        <v>0</v>
      </c>
      <c r="L846">
        <v>1</v>
      </c>
      <c r="M846" t="s">
        <v>884</v>
      </c>
      <c r="O846" t="s">
        <v>1814</v>
      </c>
      <c r="R846" t="s">
        <v>1157</v>
      </c>
      <c r="S846" t="str">
        <f>VLOOKUP(J846,Teams!A:B,2,FALSE)</f>
        <v>CRC</v>
      </c>
      <c r="T846" t="str">
        <f>VLOOKUP(M846,Teams!A:B,2,FALSE)</f>
        <v>SRB</v>
      </c>
    </row>
    <row r="847" spans="1:20" x14ac:dyDescent="0.25">
      <c r="A847" t="str">
        <f>F847&amp;"-"&amp;B847</f>
        <v>FIFAWC2018-10</v>
      </c>
      <c r="B847" s="4">
        <v>10</v>
      </c>
      <c r="C847" s="3">
        <v>43268</v>
      </c>
      <c r="D847" s="7">
        <v>0.91666666666666663</v>
      </c>
      <c r="E847">
        <v>2018</v>
      </c>
      <c r="F847" t="s">
        <v>1739</v>
      </c>
      <c r="G847" t="s">
        <v>1741</v>
      </c>
      <c r="H847" t="s">
        <v>1122</v>
      </c>
      <c r="I847" t="s">
        <v>1128</v>
      </c>
      <c r="J847" t="s">
        <v>797</v>
      </c>
      <c r="K847">
        <v>0</v>
      </c>
      <c r="L847">
        <v>1</v>
      </c>
      <c r="M847" t="s">
        <v>845</v>
      </c>
      <c r="O847" t="s">
        <v>1806</v>
      </c>
      <c r="R847" t="s">
        <v>1157</v>
      </c>
      <c r="S847" t="str">
        <f>VLOOKUP(J847,Teams!A:B,2,FALSE)</f>
        <v>GER</v>
      </c>
      <c r="T847" t="str">
        <f>VLOOKUP(M847,Teams!A:B,2,FALSE)</f>
        <v>MEX</v>
      </c>
    </row>
    <row r="848" spans="1:20" x14ac:dyDescent="0.25">
      <c r="A848" t="str">
        <f t="shared" si="13"/>
        <v>FIFAWC2018-11</v>
      </c>
      <c r="B848" s="4">
        <v>11</v>
      </c>
      <c r="C848" s="3">
        <v>43269</v>
      </c>
      <c r="D848" s="7">
        <v>4.1666666666666664E-2</v>
      </c>
      <c r="E848">
        <v>2018</v>
      </c>
      <c r="F848" t="s">
        <v>1739</v>
      </c>
      <c r="G848" t="s">
        <v>1741</v>
      </c>
      <c r="H848" t="s">
        <v>1122</v>
      </c>
      <c r="I848" t="s">
        <v>1127</v>
      </c>
      <c r="J848" t="s">
        <v>760</v>
      </c>
      <c r="K848">
        <v>1</v>
      </c>
      <c r="L848">
        <v>1</v>
      </c>
      <c r="M848" t="s">
        <v>901</v>
      </c>
      <c r="O848" t="s">
        <v>1815</v>
      </c>
      <c r="R848" t="s">
        <v>1157</v>
      </c>
      <c r="S848" t="str">
        <f>VLOOKUP(J848,Teams!A:B,2,FALSE)</f>
        <v>BRA</v>
      </c>
      <c r="T848" t="str">
        <f>VLOOKUP(M848,Teams!A:B,2,FALSE)</f>
        <v>SUI</v>
      </c>
    </row>
    <row r="849" spans="1:20" x14ac:dyDescent="0.25">
      <c r="A849" t="str">
        <f t="shared" si="13"/>
        <v>FIFAWC2018-12</v>
      </c>
      <c r="B849" s="4">
        <v>12</v>
      </c>
      <c r="C849" s="3">
        <v>43269</v>
      </c>
      <c r="D849" s="7">
        <v>0.79166666666666663</v>
      </c>
      <c r="E849">
        <v>2018</v>
      </c>
      <c r="F849" t="s">
        <v>1739</v>
      </c>
      <c r="G849" t="s">
        <v>1741</v>
      </c>
      <c r="H849" t="s">
        <v>1122</v>
      </c>
      <c r="I849" t="s">
        <v>1128</v>
      </c>
      <c r="J849" t="s">
        <v>900</v>
      </c>
      <c r="K849">
        <v>1</v>
      </c>
      <c r="L849">
        <v>0</v>
      </c>
      <c r="M849" t="s">
        <v>1072</v>
      </c>
      <c r="O849" t="s">
        <v>1816</v>
      </c>
      <c r="R849" t="s">
        <v>1157</v>
      </c>
      <c r="S849" t="str">
        <f>VLOOKUP(J849,Teams!A:B,2,FALSE)</f>
        <v>SWE</v>
      </c>
      <c r="T849" t="str">
        <f>VLOOKUP(M849,Teams!A:B,2,FALSE)</f>
        <v>KOR</v>
      </c>
    </row>
    <row r="850" spans="1:20" x14ac:dyDescent="0.25">
      <c r="A850" t="str">
        <f t="shared" si="13"/>
        <v>FIFAWC2018-13</v>
      </c>
      <c r="B850" s="4">
        <v>13</v>
      </c>
      <c r="C850" s="3">
        <v>43269</v>
      </c>
      <c r="D850" s="7">
        <v>0.91666666666666663</v>
      </c>
      <c r="E850">
        <v>2018</v>
      </c>
      <c r="F850" t="s">
        <v>1739</v>
      </c>
      <c r="G850" t="s">
        <v>1741</v>
      </c>
      <c r="H850" t="s">
        <v>1122</v>
      </c>
      <c r="I850" t="s">
        <v>1129</v>
      </c>
      <c r="J850" t="s">
        <v>756</v>
      </c>
      <c r="K850">
        <v>3</v>
      </c>
      <c r="L850">
        <v>0</v>
      </c>
      <c r="M850" t="s">
        <v>864</v>
      </c>
      <c r="O850" t="s">
        <v>1808</v>
      </c>
      <c r="R850" t="s">
        <v>1157</v>
      </c>
      <c r="S850" t="str">
        <f>VLOOKUP(J850,Teams!A:B,2,FALSE)</f>
        <v>BEL</v>
      </c>
      <c r="T850" t="str">
        <f>VLOOKUP(M850,Teams!A:B,2,FALSE)</f>
        <v>PAN</v>
      </c>
    </row>
    <row r="851" spans="1:20" x14ac:dyDescent="0.25">
      <c r="A851" t="str">
        <f t="shared" si="13"/>
        <v>FIFAWC2018-14</v>
      </c>
      <c r="B851" s="4">
        <v>14</v>
      </c>
      <c r="C851" s="3">
        <v>43269</v>
      </c>
      <c r="D851" s="7">
        <v>4.1666666666666664E-2</v>
      </c>
      <c r="E851">
        <v>2018</v>
      </c>
      <c r="F851" t="s">
        <v>1739</v>
      </c>
      <c r="G851" t="s">
        <v>1741</v>
      </c>
      <c r="H851" t="s">
        <v>1122</v>
      </c>
      <c r="I851" t="s">
        <v>1129</v>
      </c>
      <c r="J851" t="s">
        <v>911</v>
      </c>
      <c r="K851">
        <v>1</v>
      </c>
      <c r="L851">
        <v>2</v>
      </c>
      <c r="M851" t="s">
        <v>1021</v>
      </c>
      <c r="O851" t="s">
        <v>1817</v>
      </c>
      <c r="R851" t="s">
        <v>1157</v>
      </c>
      <c r="S851" t="str">
        <f>VLOOKUP(J851,Teams!A:B,2,FALSE)</f>
        <v>TUN</v>
      </c>
      <c r="T851" t="str">
        <f>VLOOKUP(M851,Teams!A:B,2,FALSE)</f>
        <v>ENG</v>
      </c>
    </row>
    <row r="852" spans="1:20" x14ac:dyDescent="0.25">
      <c r="A852" t="str">
        <f>F852&amp;"-"&amp;B852</f>
        <v>FIFAWC2018-15</v>
      </c>
      <c r="B852" s="4">
        <v>15</v>
      </c>
      <c r="C852" s="3">
        <v>43270</v>
      </c>
      <c r="D852" s="7">
        <v>0.79166666666666663</v>
      </c>
      <c r="E852">
        <v>2018</v>
      </c>
      <c r="F852" t="s">
        <v>1739</v>
      </c>
      <c r="G852" t="s">
        <v>1741</v>
      </c>
      <c r="H852" t="s">
        <v>1122</v>
      </c>
      <c r="I852" t="s">
        <v>1130</v>
      </c>
      <c r="J852" t="s">
        <v>771</v>
      </c>
      <c r="K852">
        <v>1</v>
      </c>
      <c r="L852">
        <v>2</v>
      </c>
      <c r="M852" t="s">
        <v>330</v>
      </c>
      <c r="O852" t="s">
        <v>1811</v>
      </c>
      <c r="R852" t="s">
        <v>1157</v>
      </c>
      <c r="S852" t="str">
        <f>VLOOKUP(J852,Teams!A:B,2,FALSE)</f>
        <v>COL</v>
      </c>
      <c r="T852" t="str">
        <f>VLOOKUP(M852,Teams!A:B,2,FALSE)</f>
        <v>JPN</v>
      </c>
    </row>
    <row r="853" spans="1:20" x14ac:dyDescent="0.25">
      <c r="A853" t="str">
        <f t="shared" si="13"/>
        <v>FIFAWC2018-16</v>
      </c>
      <c r="B853" s="4">
        <v>16</v>
      </c>
      <c r="C853" s="3">
        <v>43270</v>
      </c>
      <c r="D853" s="7">
        <v>0.91666666666666663</v>
      </c>
      <c r="E853">
        <v>2018</v>
      </c>
      <c r="F853" t="s">
        <v>1739</v>
      </c>
      <c r="G853" t="s">
        <v>1741</v>
      </c>
      <c r="H853" t="s">
        <v>1122</v>
      </c>
      <c r="I853" t="s">
        <v>1130</v>
      </c>
      <c r="J853" t="s">
        <v>870</v>
      </c>
      <c r="K853">
        <v>1</v>
      </c>
      <c r="L853">
        <v>2</v>
      </c>
      <c r="M853" t="s">
        <v>883</v>
      </c>
      <c r="O853" t="s">
        <v>1812</v>
      </c>
      <c r="R853" t="s">
        <v>1157</v>
      </c>
      <c r="S853" t="str">
        <f>VLOOKUP(J853,Teams!A:B,2,FALSE)</f>
        <v>POL</v>
      </c>
      <c r="T853" t="str">
        <f>VLOOKUP(M853,Teams!A:B,2,FALSE)</f>
        <v>SEN</v>
      </c>
    </row>
    <row r="854" spans="1:20" x14ac:dyDescent="0.25">
      <c r="A854" t="str">
        <f t="shared" si="13"/>
        <v>FIFAWC2018-17</v>
      </c>
      <c r="B854" s="4">
        <v>17</v>
      </c>
      <c r="C854" s="3">
        <v>43271</v>
      </c>
      <c r="D854" s="7">
        <v>4.1666666666666664E-2</v>
      </c>
      <c r="E854">
        <v>2018</v>
      </c>
      <c r="F854" t="s">
        <v>1739</v>
      </c>
      <c r="G854" t="s">
        <v>1741</v>
      </c>
      <c r="H854" t="s">
        <v>1122</v>
      </c>
      <c r="I854" t="s">
        <v>1123</v>
      </c>
      <c r="J854" t="s">
        <v>1041</v>
      </c>
      <c r="K854">
        <v>3</v>
      </c>
      <c r="L854">
        <v>1</v>
      </c>
      <c r="M854" t="s">
        <v>783</v>
      </c>
      <c r="O854" t="s">
        <v>1809</v>
      </c>
      <c r="R854" t="s">
        <v>1157</v>
      </c>
      <c r="S854" t="str">
        <f>VLOOKUP(J854,Teams!A:B,2,FALSE)</f>
        <v>RUS</v>
      </c>
      <c r="T854" t="str">
        <f>VLOOKUP(M854,Teams!A:B,2,FALSE)</f>
        <v>EGY</v>
      </c>
    </row>
    <row r="855" spans="1:20" x14ac:dyDescent="0.25">
      <c r="A855" t="str">
        <f>F855&amp;"-"&amp;B855</f>
        <v>FIFAWC2018-19</v>
      </c>
      <c r="B855" s="4">
        <v>19</v>
      </c>
      <c r="C855" s="3">
        <v>43271</v>
      </c>
      <c r="D855" s="7">
        <v>0.79166666666666663</v>
      </c>
      <c r="E855">
        <v>2018</v>
      </c>
      <c r="F855" t="s">
        <v>1739</v>
      </c>
      <c r="G855" t="s">
        <v>1741</v>
      </c>
      <c r="H855" t="s">
        <v>1122</v>
      </c>
      <c r="I855" t="s">
        <v>1124</v>
      </c>
      <c r="J855" t="s">
        <v>871</v>
      </c>
      <c r="K855">
        <v>1</v>
      </c>
      <c r="L855">
        <v>0</v>
      </c>
      <c r="M855" t="s">
        <v>849</v>
      </c>
      <c r="O855" t="s">
        <v>1806</v>
      </c>
      <c r="R855" t="s">
        <v>1157</v>
      </c>
      <c r="S855" t="str">
        <f>VLOOKUP(J855,Teams!A:B,2,FALSE)</f>
        <v>POR</v>
      </c>
      <c r="T855" t="str">
        <f>VLOOKUP(M855,Teams!A:B,2,FALSE)</f>
        <v>MAR</v>
      </c>
    </row>
    <row r="856" spans="1:20" x14ac:dyDescent="0.25">
      <c r="A856" t="str">
        <f t="shared" si="13"/>
        <v>FIFAWC2018-18</v>
      </c>
      <c r="B856" s="4">
        <v>18</v>
      </c>
      <c r="C856" s="3">
        <v>43271</v>
      </c>
      <c r="D856" s="7">
        <v>0.91666666666666663</v>
      </c>
      <c r="E856">
        <v>2018</v>
      </c>
      <c r="F856" t="s">
        <v>1739</v>
      </c>
      <c r="G856" t="s">
        <v>1741</v>
      </c>
      <c r="H856" t="s">
        <v>1122</v>
      </c>
      <c r="I856" t="s">
        <v>1123</v>
      </c>
      <c r="J856" t="s">
        <v>916</v>
      </c>
      <c r="K856">
        <v>1</v>
      </c>
      <c r="L856">
        <v>0</v>
      </c>
      <c r="M856" t="s">
        <v>882</v>
      </c>
      <c r="O856" t="s">
        <v>1815</v>
      </c>
      <c r="R856" t="s">
        <v>1157</v>
      </c>
      <c r="S856" t="str">
        <f>VLOOKUP(J856,Teams!A:B,2,FALSE)</f>
        <v>URU</v>
      </c>
      <c r="T856" t="str">
        <f>VLOOKUP(M856,Teams!A:B,2,FALSE)</f>
        <v>KSA</v>
      </c>
    </row>
    <row r="857" spans="1:20" x14ac:dyDescent="0.25">
      <c r="A857" t="str">
        <f t="shared" si="13"/>
        <v>FIFAWC2018-20</v>
      </c>
      <c r="B857" s="4">
        <v>20</v>
      </c>
      <c r="C857" s="3">
        <v>43272</v>
      </c>
      <c r="D857" s="7">
        <v>4.1666666666666664E-2</v>
      </c>
      <c r="E857">
        <v>2018</v>
      </c>
      <c r="F857" t="s">
        <v>1739</v>
      </c>
      <c r="G857" t="s">
        <v>1741</v>
      </c>
      <c r="H857" t="s">
        <v>1122</v>
      </c>
      <c r="I857" t="s">
        <v>1124</v>
      </c>
      <c r="J857" t="s">
        <v>1051</v>
      </c>
      <c r="K857">
        <v>0</v>
      </c>
      <c r="L857">
        <v>1</v>
      </c>
      <c r="M857" t="s">
        <v>895</v>
      </c>
      <c r="O857" t="s">
        <v>1810</v>
      </c>
      <c r="R857" t="s">
        <v>1157</v>
      </c>
      <c r="S857" t="str">
        <f>VLOOKUP(J857,Teams!A:B,2,FALSE)</f>
        <v>IRN</v>
      </c>
      <c r="T857" t="str">
        <f>VLOOKUP(M857,Teams!A:B,2,FALSE)</f>
        <v>ESP</v>
      </c>
    </row>
    <row r="858" spans="1:20" x14ac:dyDescent="0.25">
      <c r="A858" t="str">
        <f>F858&amp;"-"&amp;B858</f>
        <v>FIFAWC2018-22</v>
      </c>
      <c r="B858" s="4">
        <v>22</v>
      </c>
      <c r="C858" s="3">
        <v>43272</v>
      </c>
      <c r="D858" s="7">
        <v>0.79166666666666663</v>
      </c>
      <c r="E858">
        <v>2018</v>
      </c>
      <c r="F858" t="s">
        <v>1739</v>
      </c>
      <c r="G858" t="s">
        <v>1741</v>
      </c>
      <c r="H858" t="s">
        <v>1122</v>
      </c>
      <c r="I858" t="s">
        <v>1125</v>
      </c>
      <c r="J858" t="s">
        <v>211</v>
      </c>
      <c r="K858">
        <v>1</v>
      </c>
      <c r="L858">
        <v>1</v>
      </c>
      <c r="M858" t="s">
        <v>128</v>
      </c>
      <c r="O858" t="s">
        <v>1814</v>
      </c>
      <c r="R858" t="s">
        <v>1157</v>
      </c>
      <c r="S858" t="str">
        <f>VLOOKUP(J858,Teams!A:B,2,FALSE)</f>
        <v>DEN</v>
      </c>
      <c r="T858" t="str">
        <f>VLOOKUP(M858,Teams!A:B,2,FALSE)</f>
        <v>AUS</v>
      </c>
    </row>
    <row r="859" spans="1:20" x14ac:dyDescent="0.25">
      <c r="A859" t="str">
        <f t="shared" si="13"/>
        <v>FIFAWC2018-21</v>
      </c>
      <c r="B859" s="4">
        <v>21</v>
      </c>
      <c r="C859" s="3">
        <v>43272</v>
      </c>
      <c r="D859" s="7">
        <v>0.91666666666666663</v>
      </c>
      <c r="E859">
        <v>2018</v>
      </c>
      <c r="F859" t="s">
        <v>1739</v>
      </c>
      <c r="G859" t="s">
        <v>1741</v>
      </c>
      <c r="H859" t="s">
        <v>1122</v>
      </c>
      <c r="I859" t="s">
        <v>1125</v>
      </c>
      <c r="J859" t="s">
        <v>224</v>
      </c>
      <c r="K859">
        <v>1</v>
      </c>
      <c r="L859">
        <v>0</v>
      </c>
      <c r="M859" t="s">
        <v>867</v>
      </c>
      <c r="O859" t="s">
        <v>1814</v>
      </c>
      <c r="R859" t="s">
        <v>1157</v>
      </c>
      <c r="S859" t="str">
        <f>VLOOKUP(J859,Teams!A:B,2,FALSE)</f>
        <v>FRA</v>
      </c>
      <c r="T859" t="str">
        <f>VLOOKUP(M859,Teams!A:B,2,FALSE)</f>
        <v>PER</v>
      </c>
    </row>
    <row r="860" spans="1:20" x14ac:dyDescent="0.25">
      <c r="A860" t="str">
        <f t="shared" ref="A860:A901" si="14">F860&amp;"-"&amp;B860</f>
        <v>FIFAWC2018-23</v>
      </c>
      <c r="B860" s="4">
        <v>23</v>
      </c>
      <c r="C860" s="3">
        <v>43273</v>
      </c>
      <c r="D860" s="7">
        <v>4.1666666666666664E-2</v>
      </c>
      <c r="E860">
        <v>2018</v>
      </c>
      <c r="F860" t="s">
        <v>1739</v>
      </c>
      <c r="G860" t="s">
        <v>1741</v>
      </c>
      <c r="H860" t="s">
        <v>1122</v>
      </c>
      <c r="I860" t="s">
        <v>1126</v>
      </c>
      <c r="J860" t="s">
        <v>749</v>
      </c>
      <c r="K860">
        <v>0</v>
      </c>
      <c r="L860">
        <v>3</v>
      </c>
      <c r="M860" t="s">
        <v>775</v>
      </c>
      <c r="O860" t="s">
        <v>1816</v>
      </c>
      <c r="R860" t="s">
        <v>1157</v>
      </c>
      <c r="S860" t="str">
        <f>VLOOKUP(J860,Teams!A:B,2,FALSE)</f>
        <v>ARG</v>
      </c>
      <c r="T860" t="str">
        <f>VLOOKUP(M860,Teams!A:B,2,FALSE)</f>
        <v>CRO</v>
      </c>
    </row>
    <row r="861" spans="1:20" x14ac:dyDescent="0.25">
      <c r="A861" t="str">
        <f t="shared" si="14"/>
        <v>FIFAWC2018-24</v>
      </c>
      <c r="B861" s="4">
        <v>24</v>
      </c>
      <c r="C861" s="3">
        <v>43273</v>
      </c>
      <c r="D861" s="7">
        <v>0.79166666666666663</v>
      </c>
      <c r="E861">
        <v>2018</v>
      </c>
      <c r="F861" t="s">
        <v>1739</v>
      </c>
      <c r="G861" t="s">
        <v>1741</v>
      </c>
      <c r="H861" t="s">
        <v>1122</v>
      </c>
      <c r="I861" t="s">
        <v>1126</v>
      </c>
      <c r="J861" t="s">
        <v>857</v>
      </c>
      <c r="K861">
        <v>2</v>
      </c>
      <c r="L861">
        <v>0</v>
      </c>
      <c r="M861" t="s">
        <v>300</v>
      </c>
      <c r="O861" t="s">
        <v>1814</v>
      </c>
      <c r="R861" t="s">
        <v>1157</v>
      </c>
      <c r="S861" t="str">
        <f>VLOOKUP(J861,Teams!A:B,2,FALSE)</f>
        <v>NGA</v>
      </c>
      <c r="T861" t="str">
        <f>VLOOKUP(M861,Teams!A:B,2,FALSE)</f>
        <v>ISL</v>
      </c>
    </row>
    <row r="862" spans="1:20" x14ac:dyDescent="0.25">
      <c r="A862" t="str">
        <f t="shared" si="14"/>
        <v>FIFAWC2018-25</v>
      </c>
      <c r="B862" s="4">
        <v>25</v>
      </c>
      <c r="C862" s="3">
        <v>43273</v>
      </c>
      <c r="D862" s="7">
        <v>0.91666666666666663</v>
      </c>
      <c r="E862">
        <v>2018</v>
      </c>
      <c r="F862" t="s">
        <v>1739</v>
      </c>
      <c r="G862" t="s">
        <v>1741</v>
      </c>
      <c r="H862" t="s">
        <v>1122</v>
      </c>
      <c r="I862" t="s">
        <v>1127</v>
      </c>
      <c r="J862" t="s">
        <v>760</v>
      </c>
      <c r="K862">
        <v>2</v>
      </c>
      <c r="L862">
        <v>0</v>
      </c>
      <c r="M862" t="s">
        <v>774</v>
      </c>
      <c r="O862" t="s">
        <v>1809</v>
      </c>
      <c r="R862" t="s">
        <v>1157</v>
      </c>
      <c r="S862" t="str">
        <f>VLOOKUP(J862,Teams!A:B,2,FALSE)</f>
        <v>BRA</v>
      </c>
      <c r="T862" t="str">
        <f>VLOOKUP(M862,Teams!A:B,2,FALSE)</f>
        <v>CRC</v>
      </c>
    </row>
    <row r="863" spans="1:20" x14ac:dyDescent="0.25">
      <c r="A863" t="str">
        <f t="shared" si="14"/>
        <v>FIFAWC2018-26</v>
      </c>
      <c r="B863" s="4">
        <v>26</v>
      </c>
      <c r="C863" s="3">
        <v>43274</v>
      </c>
      <c r="D863" s="7">
        <v>4.1666666666666664E-2</v>
      </c>
      <c r="E863">
        <v>2018</v>
      </c>
      <c r="F863" t="s">
        <v>1739</v>
      </c>
      <c r="G863" t="s">
        <v>1741</v>
      </c>
      <c r="H863" t="s">
        <v>1122</v>
      </c>
      <c r="I863" t="s">
        <v>1127</v>
      </c>
      <c r="J863" t="s">
        <v>884</v>
      </c>
      <c r="K863">
        <v>1</v>
      </c>
      <c r="L863">
        <v>2</v>
      </c>
      <c r="M863" t="s">
        <v>901</v>
      </c>
      <c r="O863" t="s">
        <v>1813</v>
      </c>
      <c r="R863" t="s">
        <v>1157</v>
      </c>
      <c r="S863" t="str">
        <f>VLOOKUP(J863,Teams!A:B,2,FALSE)</f>
        <v>SRB</v>
      </c>
      <c r="T863" t="str">
        <f>VLOOKUP(M863,Teams!A:B,2,FALSE)</f>
        <v>SUI</v>
      </c>
    </row>
    <row r="864" spans="1:20" x14ac:dyDescent="0.25">
      <c r="A864" t="str">
        <f>F864&amp;"-"&amp;B864</f>
        <v>FIFAWC2018-29</v>
      </c>
      <c r="B864" s="4">
        <v>29</v>
      </c>
      <c r="C864" s="3">
        <v>43274</v>
      </c>
      <c r="D864" s="7">
        <v>0.79166666666666663</v>
      </c>
      <c r="E864">
        <v>2018</v>
      </c>
      <c r="F864" t="s">
        <v>1739</v>
      </c>
      <c r="G864" t="s">
        <v>1741</v>
      </c>
      <c r="H864" t="s">
        <v>1122</v>
      </c>
      <c r="I864" t="s">
        <v>1129</v>
      </c>
      <c r="J864" t="s">
        <v>756</v>
      </c>
      <c r="K864">
        <v>5</v>
      </c>
      <c r="L864">
        <v>2</v>
      </c>
      <c r="M864" t="s">
        <v>911</v>
      </c>
      <c r="O864" t="s">
        <v>1812</v>
      </c>
      <c r="R864" t="s">
        <v>1157</v>
      </c>
      <c r="S864" t="str">
        <f>VLOOKUP(J864,Teams!A:B,2,FALSE)</f>
        <v>BEL</v>
      </c>
      <c r="T864" t="str">
        <f>VLOOKUP(M864,Teams!A:B,2,FALSE)</f>
        <v>TUN</v>
      </c>
    </row>
    <row r="865" spans="1:20" x14ac:dyDescent="0.25">
      <c r="A865" t="str">
        <f>F865&amp;"-"&amp;B865</f>
        <v>FIFAWC2018-28</v>
      </c>
      <c r="B865" s="4">
        <v>28</v>
      </c>
      <c r="C865" s="3">
        <v>43274</v>
      </c>
      <c r="D865" s="7">
        <v>0.91666666666666663</v>
      </c>
      <c r="E865">
        <v>2018</v>
      </c>
      <c r="F865" t="s">
        <v>1739</v>
      </c>
      <c r="G865" t="s">
        <v>1741</v>
      </c>
      <c r="H865" t="s">
        <v>1122</v>
      </c>
      <c r="I865" t="s">
        <v>1128</v>
      </c>
      <c r="J865" t="s">
        <v>1072</v>
      </c>
      <c r="K865">
        <v>1</v>
      </c>
      <c r="L865">
        <v>2</v>
      </c>
      <c r="M865" t="s">
        <v>845</v>
      </c>
      <c r="O865" t="s">
        <v>1815</v>
      </c>
      <c r="R865" t="s">
        <v>1157</v>
      </c>
      <c r="S865" t="str">
        <f>VLOOKUP(J865,Teams!A:B,2,FALSE)</f>
        <v>KOR</v>
      </c>
      <c r="T865" t="str">
        <f>VLOOKUP(M865,Teams!A:B,2,FALSE)</f>
        <v>MEX</v>
      </c>
    </row>
    <row r="866" spans="1:20" x14ac:dyDescent="0.25">
      <c r="A866" t="str">
        <f t="shared" si="14"/>
        <v>FIFAWC2018-27</v>
      </c>
      <c r="B866" s="4">
        <v>27</v>
      </c>
      <c r="C866" s="3">
        <v>43275</v>
      </c>
      <c r="D866" s="7">
        <v>4.1666666666666664E-2</v>
      </c>
      <c r="E866">
        <v>2018</v>
      </c>
      <c r="F866" t="s">
        <v>1739</v>
      </c>
      <c r="G866" t="s">
        <v>1741</v>
      </c>
      <c r="H866" t="s">
        <v>1122</v>
      </c>
      <c r="I866" t="s">
        <v>1128</v>
      </c>
      <c r="J866" t="s">
        <v>797</v>
      </c>
      <c r="K866">
        <v>2</v>
      </c>
      <c r="L866">
        <v>1</v>
      </c>
      <c r="M866" t="s">
        <v>900</v>
      </c>
      <c r="O866" t="s">
        <v>1808</v>
      </c>
      <c r="R866" t="s">
        <v>1157</v>
      </c>
      <c r="S866" t="str">
        <f>VLOOKUP(J866,Teams!A:B,2,FALSE)</f>
        <v>GER</v>
      </c>
      <c r="T866" t="str">
        <f>VLOOKUP(M866,Teams!A:B,2,FALSE)</f>
        <v>SWE</v>
      </c>
    </row>
    <row r="867" spans="1:20" x14ac:dyDescent="0.25">
      <c r="A867" t="str">
        <f t="shared" si="14"/>
        <v>FIFAWC2018-30</v>
      </c>
      <c r="B867" s="4">
        <v>30</v>
      </c>
      <c r="C867" s="3">
        <v>43275</v>
      </c>
      <c r="D867" s="7">
        <v>0.79166666666666663</v>
      </c>
      <c r="E867">
        <v>2018</v>
      </c>
      <c r="F867" t="s">
        <v>1739</v>
      </c>
      <c r="G867" t="s">
        <v>1741</v>
      </c>
      <c r="H867" t="s">
        <v>1122</v>
      </c>
      <c r="I867" t="s">
        <v>1129</v>
      </c>
      <c r="J867" t="s">
        <v>1021</v>
      </c>
      <c r="K867">
        <v>6</v>
      </c>
      <c r="L867">
        <v>1</v>
      </c>
      <c r="M867" t="s">
        <v>864</v>
      </c>
      <c r="O867" t="s">
        <v>1816</v>
      </c>
      <c r="R867" t="s">
        <v>1157</v>
      </c>
      <c r="S867" t="str">
        <f>VLOOKUP(J867,Teams!A:B,2,FALSE)</f>
        <v>ENG</v>
      </c>
      <c r="T867" t="str">
        <f>VLOOKUP(M867,Teams!A:B,2,FALSE)</f>
        <v>PAN</v>
      </c>
    </row>
    <row r="868" spans="1:20" x14ac:dyDescent="0.25">
      <c r="A868" t="str">
        <f>F868&amp;"-"&amp;B868</f>
        <v>FIFAWC2018-32</v>
      </c>
      <c r="B868" s="4">
        <v>32</v>
      </c>
      <c r="C868" s="3">
        <v>43275</v>
      </c>
      <c r="D868" s="7">
        <v>0.91666666666666663</v>
      </c>
      <c r="E868">
        <v>2018</v>
      </c>
      <c r="F868" t="s">
        <v>1739</v>
      </c>
      <c r="G868" t="s">
        <v>1741</v>
      </c>
      <c r="H868" t="s">
        <v>1122</v>
      </c>
      <c r="I868" t="s">
        <v>1130</v>
      </c>
      <c r="J868" t="s">
        <v>330</v>
      </c>
      <c r="K868">
        <v>2</v>
      </c>
      <c r="L868">
        <v>2</v>
      </c>
      <c r="M868" t="s">
        <v>883</v>
      </c>
      <c r="O868" t="s">
        <v>1807</v>
      </c>
      <c r="R868" t="s">
        <v>1157</v>
      </c>
      <c r="S868" t="str">
        <f>VLOOKUP(J868,Teams!A:B,2,FALSE)</f>
        <v>JPN</v>
      </c>
      <c r="T868" t="str">
        <f>VLOOKUP(M868,Teams!A:B,2,FALSE)</f>
        <v>SEN</v>
      </c>
    </row>
    <row r="869" spans="1:20" x14ac:dyDescent="0.25">
      <c r="A869" t="str">
        <f t="shared" si="14"/>
        <v>FIFAWC2018-31</v>
      </c>
      <c r="B869" s="4">
        <v>31</v>
      </c>
      <c r="C869" s="3">
        <v>43275</v>
      </c>
      <c r="D869" s="7">
        <v>4.1666666666666664E-2</v>
      </c>
      <c r="E869">
        <v>2018</v>
      </c>
      <c r="F869" t="s">
        <v>1739</v>
      </c>
      <c r="G869" t="s">
        <v>1741</v>
      </c>
      <c r="H869" t="s">
        <v>1122</v>
      </c>
      <c r="I869" t="s">
        <v>1130</v>
      </c>
      <c r="J869" t="s">
        <v>870</v>
      </c>
      <c r="K869">
        <v>0</v>
      </c>
      <c r="L869">
        <v>3</v>
      </c>
      <c r="M869" t="s">
        <v>771</v>
      </c>
      <c r="O869" t="s">
        <v>1810</v>
      </c>
      <c r="R869" t="s">
        <v>1157</v>
      </c>
      <c r="S869" t="str">
        <f>VLOOKUP(J869,Teams!A:B,2,FALSE)</f>
        <v>POL</v>
      </c>
      <c r="T869" t="str">
        <f>VLOOKUP(M869,Teams!A:B,2,FALSE)</f>
        <v>COL</v>
      </c>
    </row>
    <row r="870" spans="1:20" x14ac:dyDescent="0.25">
      <c r="A870" t="str">
        <f t="shared" si="14"/>
        <v>FIFAWC2018-33</v>
      </c>
      <c r="B870" s="4">
        <v>33</v>
      </c>
      <c r="C870" s="3">
        <v>43276</v>
      </c>
      <c r="D870" s="7">
        <v>0.79166666666666663</v>
      </c>
      <c r="E870">
        <v>2018</v>
      </c>
      <c r="F870" t="s">
        <v>1739</v>
      </c>
      <c r="G870" t="s">
        <v>1741</v>
      </c>
      <c r="H870" t="s">
        <v>1122</v>
      </c>
      <c r="I870" t="s">
        <v>1123</v>
      </c>
      <c r="J870" t="s">
        <v>916</v>
      </c>
      <c r="K870">
        <v>3</v>
      </c>
      <c r="L870">
        <v>0</v>
      </c>
      <c r="M870" t="s">
        <v>1041</v>
      </c>
      <c r="O870" t="s">
        <v>1814</v>
      </c>
      <c r="R870" t="s">
        <v>1157</v>
      </c>
      <c r="S870" t="str">
        <f>VLOOKUP(J870,Teams!A:B,2,FALSE)</f>
        <v>URU</v>
      </c>
      <c r="T870" t="str">
        <f>VLOOKUP(M870,Teams!A:B,2,FALSE)</f>
        <v>RUS</v>
      </c>
    </row>
    <row r="871" spans="1:20" x14ac:dyDescent="0.25">
      <c r="A871" t="str">
        <f t="shared" si="14"/>
        <v>FIFAWC2018-34</v>
      </c>
      <c r="B871" s="4">
        <v>34</v>
      </c>
      <c r="C871" s="3">
        <v>43276</v>
      </c>
      <c r="D871" s="7">
        <v>0.91666666666666663</v>
      </c>
      <c r="E871">
        <v>2018</v>
      </c>
      <c r="F871" t="s">
        <v>1739</v>
      </c>
      <c r="G871" t="s">
        <v>1741</v>
      </c>
      <c r="H871" t="s">
        <v>1122</v>
      </c>
      <c r="I871" t="s">
        <v>1123</v>
      </c>
      <c r="J871" t="s">
        <v>882</v>
      </c>
      <c r="K871">
        <v>2</v>
      </c>
      <c r="L871">
        <v>1</v>
      </c>
      <c r="M871" t="s">
        <v>783</v>
      </c>
      <c r="O871" t="s">
        <v>1817</v>
      </c>
      <c r="R871" t="s">
        <v>1157</v>
      </c>
      <c r="S871" t="str">
        <f>VLOOKUP(J871,Teams!A:B,2,FALSE)</f>
        <v>KSA</v>
      </c>
      <c r="T871" t="str">
        <f>VLOOKUP(M871,Teams!A:B,2,FALSE)</f>
        <v>EGY</v>
      </c>
    </row>
    <row r="872" spans="1:20" x14ac:dyDescent="0.25">
      <c r="A872" t="str">
        <f>F872&amp;"-"&amp;B872</f>
        <v>FIFAWC2018-36</v>
      </c>
      <c r="B872" s="4">
        <v>36</v>
      </c>
      <c r="C872" s="3">
        <v>43277</v>
      </c>
      <c r="D872" s="7">
        <v>4.1666666666666664E-2</v>
      </c>
      <c r="E872">
        <v>2018</v>
      </c>
      <c r="F872" t="s">
        <v>1739</v>
      </c>
      <c r="G872" t="s">
        <v>1741</v>
      </c>
      <c r="H872" t="s">
        <v>1122</v>
      </c>
      <c r="I872" t="s">
        <v>1124</v>
      </c>
      <c r="J872" t="s">
        <v>895</v>
      </c>
      <c r="K872">
        <v>2</v>
      </c>
      <c r="L872">
        <v>2</v>
      </c>
      <c r="M872" t="s">
        <v>849</v>
      </c>
      <c r="O872" t="s">
        <v>1813</v>
      </c>
      <c r="R872" t="s">
        <v>1157</v>
      </c>
      <c r="S872" t="str">
        <f>VLOOKUP(J872,Teams!A:B,2,FALSE)</f>
        <v>ESP</v>
      </c>
      <c r="T872" t="str">
        <f>VLOOKUP(M872,Teams!A:B,2,FALSE)</f>
        <v>MAR</v>
      </c>
    </row>
    <row r="873" spans="1:20" x14ac:dyDescent="0.25">
      <c r="A873" t="str">
        <f t="shared" si="14"/>
        <v>FIFAWC2018-35</v>
      </c>
      <c r="B873" s="4">
        <v>35</v>
      </c>
      <c r="C873" s="3">
        <v>43277</v>
      </c>
      <c r="D873" s="7">
        <v>4.1666666666666664E-2</v>
      </c>
      <c r="E873">
        <v>2018</v>
      </c>
      <c r="F873" t="s">
        <v>1739</v>
      </c>
      <c r="G873" t="s">
        <v>1741</v>
      </c>
      <c r="H873" t="s">
        <v>1122</v>
      </c>
      <c r="I873" t="s">
        <v>1124</v>
      </c>
      <c r="J873" t="s">
        <v>1051</v>
      </c>
      <c r="K873">
        <v>1</v>
      </c>
      <c r="L873">
        <v>1</v>
      </c>
      <c r="M873" t="s">
        <v>871</v>
      </c>
      <c r="O873" t="s">
        <v>1811</v>
      </c>
      <c r="R873" t="s">
        <v>1157</v>
      </c>
      <c r="S873" t="str">
        <f>VLOOKUP(J873,Teams!A:B,2,FALSE)</f>
        <v>IRN</v>
      </c>
      <c r="T873" t="str">
        <f>VLOOKUP(M873,Teams!A:B,2,FALSE)</f>
        <v>POR</v>
      </c>
    </row>
    <row r="874" spans="1:20" x14ac:dyDescent="0.25">
      <c r="A874" t="str">
        <f>F874&amp;"-"&amp;B874</f>
        <v>FIFAWC2018-38</v>
      </c>
      <c r="B874" s="4">
        <v>38</v>
      </c>
      <c r="C874" s="3">
        <v>43277</v>
      </c>
      <c r="D874" s="7">
        <v>0.875</v>
      </c>
      <c r="E874">
        <v>2018</v>
      </c>
      <c r="F874" t="s">
        <v>1739</v>
      </c>
      <c r="G874" t="s">
        <v>1741</v>
      </c>
      <c r="H874" t="s">
        <v>1122</v>
      </c>
      <c r="I874" t="s">
        <v>1125</v>
      </c>
      <c r="J874" t="s">
        <v>128</v>
      </c>
      <c r="K874">
        <v>0</v>
      </c>
      <c r="L874">
        <v>2</v>
      </c>
      <c r="M874" t="s">
        <v>867</v>
      </c>
      <c r="O874" t="s">
        <v>1808</v>
      </c>
      <c r="R874" t="s">
        <v>1157</v>
      </c>
      <c r="S874" t="str">
        <f>VLOOKUP(J874,Teams!A:B,2,FALSE)</f>
        <v>AUS</v>
      </c>
      <c r="T874" t="str">
        <f>VLOOKUP(M874,Teams!A:B,2,FALSE)</f>
        <v>PER</v>
      </c>
    </row>
    <row r="875" spans="1:20" x14ac:dyDescent="0.25">
      <c r="A875" t="str">
        <f t="shared" si="14"/>
        <v>FIFAWC2018-37</v>
      </c>
      <c r="B875" s="4">
        <v>37</v>
      </c>
      <c r="C875" s="3">
        <v>43277</v>
      </c>
      <c r="D875" s="7">
        <v>0.875</v>
      </c>
      <c r="E875">
        <v>2018</v>
      </c>
      <c r="F875" t="s">
        <v>1739</v>
      </c>
      <c r="G875" t="s">
        <v>1741</v>
      </c>
      <c r="H875" t="s">
        <v>1122</v>
      </c>
      <c r="I875" t="s">
        <v>1125</v>
      </c>
      <c r="J875" t="s">
        <v>211</v>
      </c>
      <c r="K875">
        <v>0</v>
      </c>
      <c r="L875">
        <v>0</v>
      </c>
      <c r="M875" t="s">
        <v>224</v>
      </c>
      <c r="O875" t="s">
        <v>1806</v>
      </c>
      <c r="R875" t="s">
        <v>1157</v>
      </c>
      <c r="S875" t="str">
        <f>VLOOKUP(J875,Teams!A:B,2,FALSE)</f>
        <v>DEN</v>
      </c>
      <c r="T875" t="str">
        <f>VLOOKUP(M875,Teams!A:B,2,FALSE)</f>
        <v>FRA</v>
      </c>
    </row>
    <row r="876" spans="1:20" x14ac:dyDescent="0.25">
      <c r="A876" t="str">
        <f t="shared" si="14"/>
        <v>FIFAWC2018-39</v>
      </c>
      <c r="B876" s="4">
        <v>39</v>
      </c>
      <c r="C876" s="3">
        <v>43278</v>
      </c>
      <c r="D876" s="7">
        <v>4.1666666666666664E-2</v>
      </c>
      <c r="E876">
        <v>2018</v>
      </c>
      <c r="F876" t="s">
        <v>1739</v>
      </c>
      <c r="G876" t="s">
        <v>1741</v>
      </c>
      <c r="H876" t="s">
        <v>1122</v>
      </c>
      <c r="I876" t="s">
        <v>1126</v>
      </c>
      <c r="J876" t="s">
        <v>857</v>
      </c>
      <c r="K876">
        <v>1</v>
      </c>
      <c r="L876">
        <v>2</v>
      </c>
      <c r="M876" t="s">
        <v>749</v>
      </c>
      <c r="O876" t="s">
        <v>1809</v>
      </c>
      <c r="R876" t="s">
        <v>1157</v>
      </c>
      <c r="S876" t="str">
        <f>VLOOKUP(J876,Teams!A:B,2,FALSE)</f>
        <v>NGA</v>
      </c>
      <c r="T876" t="str">
        <f>VLOOKUP(M876,Teams!A:B,2,FALSE)</f>
        <v>ARG</v>
      </c>
    </row>
    <row r="877" spans="1:20" x14ac:dyDescent="0.25">
      <c r="A877" t="str">
        <f t="shared" si="14"/>
        <v>FIFAWC2018-40</v>
      </c>
      <c r="B877" s="4">
        <v>40</v>
      </c>
      <c r="C877" s="3">
        <v>43278</v>
      </c>
      <c r="D877" s="7">
        <v>4.1666666666666664E-2</v>
      </c>
      <c r="E877">
        <v>2018</v>
      </c>
      <c r="F877" t="s">
        <v>1739</v>
      </c>
      <c r="G877" t="s">
        <v>1741</v>
      </c>
      <c r="H877" t="s">
        <v>1122</v>
      </c>
      <c r="I877" t="s">
        <v>1126</v>
      </c>
      <c r="J877" t="s">
        <v>300</v>
      </c>
      <c r="K877">
        <v>1</v>
      </c>
      <c r="L877">
        <v>2</v>
      </c>
      <c r="M877" t="s">
        <v>775</v>
      </c>
      <c r="O877" t="s">
        <v>1815</v>
      </c>
      <c r="R877" t="s">
        <v>1157</v>
      </c>
      <c r="S877" t="str">
        <f>VLOOKUP(J877,Teams!A:B,2,FALSE)</f>
        <v>ISL</v>
      </c>
      <c r="T877" t="str">
        <f>VLOOKUP(M877,Teams!A:B,2,FALSE)</f>
        <v>CRO</v>
      </c>
    </row>
    <row r="878" spans="1:20" x14ac:dyDescent="0.25">
      <c r="A878" t="str">
        <f>F878&amp;"-"&amp;B878</f>
        <v>FIFAWC2018-43</v>
      </c>
      <c r="B878" s="4">
        <v>43</v>
      </c>
      <c r="C878" s="3">
        <v>43278</v>
      </c>
      <c r="D878" s="7">
        <v>0.875</v>
      </c>
      <c r="E878">
        <v>2018</v>
      </c>
      <c r="F878" t="s">
        <v>1739</v>
      </c>
      <c r="G878" t="s">
        <v>1741</v>
      </c>
      <c r="H878" t="s">
        <v>1122</v>
      </c>
      <c r="I878" t="s">
        <v>1128</v>
      </c>
      <c r="J878" t="s">
        <v>1072</v>
      </c>
      <c r="K878">
        <v>2</v>
      </c>
      <c r="L878">
        <v>0</v>
      </c>
      <c r="M878" t="s">
        <v>797</v>
      </c>
      <c r="O878" t="s">
        <v>1810</v>
      </c>
      <c r="R878" t="s">
        <v>1157</v>
      </c>
      <c r="S878" t="str">
        <f>VLOOKUP(J878,Teams!A:B,2,FALSE)</f>
        <v>KOR</v>
      </c>
      <c r="T878" t="str">
        <f>VLOOKUP(M878,Teams!A:B,2,FALSE)</f>
        <v>GER</v>
      </c>
    </row>
    <row r="879" spans="1:20" x14ac:dyDescent="0.25">
      <c r="A879" t="str">
        <f>F879&amp;"-"&amp;B879</f>
        <v>FIFAWC2018-44</v>
      </c>
      <c r="B879" s="4">
        <v>44</v>
      </c>
      <c r="C879" s="3">
        <v>43278</v>
      </c>
      <c r="D879" s="7">
        <v>0.875</v>
      </c>
      <c r="E879">
        <v>2018</v>
      </c>
      <c r="F879" t="s">
        <v>1739</v>
      </c>
      <c r="G879" t="s">
        <v>1741</v>
      </c>
      <c r="H879" t="s">
        <v>1122</v>
      </c>
      <c r="I879" t="s">
        <v>1128</v>
      </c>
      <c r="J879" t="s">
        <v>845</v>
      </c>
      <c r="K879">
        <v>0</v>
      </c>
      <c r="L879">
        <v>3</v>
      </c>
      <c r="M879" t="s">
        <v>900</v>
      </c>
      <c r="O879" t="s">
        <v>1807</v>
      </c>
      <c r="R879" t="s">
        <v>1157</v>
      </c>
      <c r="S879" t="str">
        <f>VLOOKUP(J879,Teams!A:B,2,FALSE)</f>
        <v>MEX</v>
      </c>
      <c r="T879" t="str">
        <f>VLOOKUP(M879,Teams!A:B,2,FALSE)</f>
        <v>SWE</v>
      </c>
    </row>
    <row r="880" spans="1:20" x14ac:dyDescent="0.25">
      <c r="A880" t="str">
        <f t="shared" si="14"/>
        <v>FIFAWC2018-41</v>
      </c>
      <c r="B880" s="4">
        <v>41</v>
      </c>
      <c r="C880" s="3">
        <v>43279</v>
      </c>
      <c r="D880" s="7">
        <v>4.1666666666666664E-2</v>
      </c>
      <c r="E880">
        <v>2018</v>
      </c>
      <c r="F880" t="s">
        <v>1739</v>
      </c>
      <c r="G880" t="s">
        <v>1741</v>
      </c>
      <c r="H880" t="s">
        <v>1122</v>
      </c>
      <c r="I880" t="s">
        <v>1127</v>
      </c>
      <c r="J880" t="s">
        <v>884</v>
      </c>
      <c r="K880">
        <v>0</v>
      </c>
      <c r="L880">
        <v>2</v>
      </c>
      <c r="M880" t="s">
        <v>760</v>
      </c>
      <c r="O880" t="s">
        <v>1812</v>
      </c>
      <c r="R880" t="s">
        <v>1157</v>
      </c>
      <c r="S880" t="str">
        <f>VLOOKUP(J880,Teams!A:B,2,FALSE)</f>
        <v>SRB</v>
      </c>
      <c r="T880" t="str">
        <f>VLOOKUP(M880,Teams!A:B,2,FALSE)</f>
        <v>BRA</v>
      </c>
    </row>
    <row r="881" spans="1:20" x14ac:dyDescent="0.25">
      <c r="A881" t="str">
        <f t="shared" si="14"/>
        <v>FIFAWC2018-42</v>
      </c>
      <c r="B881" s="4">
        <v>42</v>
      </c>
      <c r="C881" s="3">
        <v>43279</v>
      </c>
      <c r="D881" s="7">
        <v>4.1666666666666664E-2</v>
      </c>
      <c r="E881">
        <v>2018</v>
      </c>
      <c r="F881" t="s">
        <v>1739</v>
      </c>
      <c r="G881" t="s">
        <v>1741</v>
      </c>
      <c r="H881" t="s">
        <v>1122</v>
      </c>
      <c r="I881" t="s">
        <v>1127</v>
      </c>
      <c r="J881" t="s">
        <v>901</v>
      </c>
      <c r="K881">
        <v>2</v>
      </c>
      <c r="L881">
        <v>2</v>
      </c>
      <c r="M881" t="s">
        <v>774</v>
      </c>
      <c r="O881" t="s">
        <v>1816</v>
      </c>
      <c r="R881" t="s">
        <v>1157</v>
      </c>
      <c r="S881" t="str">
        <f>VLOOKUP(J881,Teams!A:B,2,FALSE)</f>
        <v>SUI</v>
      </c>
      <c r="T881" t="str">
        <f>VLOOKUP(M881,Teams!A:B,2,FALSE)</f>
        <v>CRC</v>
      </c>
    </row>
    <row r="882" spans="1:20" x14ac:dyDescent="0.25">
      <c r="A882" t="str">
        <f>F882&amp;"-"&amp;B882</f>
        <v>FIFAWC2018-47</v>
      </c>
      <c r="B882" s="4">
        <v>47</v>
      </c>
      <c r="C882" s="3">
        <v>43279</v>
      </c>
      <c r="D882" s="7">
        <v>0.875</v>
      </c>
      <c r="E882">
        <v>2018</v>
      </c>
      <c r="F882" t="s">
        <v>1739</v>
      </c>
      <c r="G882" t="s">
        <v>1741</v>
      </c>
      <c r="H882" t="s">
        <v>1122</v>
      </c>
      <c r="I882" t="s">
        <v>1130</v>
      </c>
      <c r="J882" t="s">
        <v>330</v>
      </c>
      <c r="K882">
        <v>0</v>
      </c>
      <c r="L882">
        <v>1</v>
      </c>
      <c r="M882" t="s">
        <v>870</v>
      </c>
      <c r="O882" t="s">
        <v>1817</v>
      </c>
      <c r="R882" t="s">
        <v>1157</v>
      </c>
      <c r="S882" t="str">
        <f>VLOOKUP(J882,Teams!A:B,2,FALSE)</f>
        <v>JPN</v>
      </c>
      <c r="T882" t="str">
        <f>VLOOKUP(M882,Teams!A:B,2,FALSE)</f>
        <v>POL</v>
      </c>
    </row>
    <row r="883" spans="1:20" x14ac:dyDescent="0.25">
      <c r="A883" t="str">
        <f>F883&amp;"-"&amp;B883</f>
        <v>FIFAWC2018-48</v>
      </c>
      <c r="B883" s="4">
        <v>48</v>
      </c>
      <c r="C883" s="3">
        <v>43279</v>
      </c>
      <c r="D883" s="7">
        <v>0.875</v>
      </c>
      <c r="E883">
        <v>2018</v>
      </c>
      <c r="F883" t="s">
        <v>1739</v>
      </c>
      <c r="G883" t="s">
        <v>1741</v>
      </c>
      <c r="H883" t="s">
        <v>1122</v>
      </c>
      <c r="I883" t="s">
        <v>1130</v>
      </c>
      <c r="J883" t="s">
        <v>883</v>
      </c>
      <c r="K883">
        <v>0</v>
      </c>
      <c r="L883">
        <v>1</v>
      </c>
      <c r="M883" t="s">
        <v>771</v>
      </c>
      <c r="O883" t="s">
        <v>1814</v>
      </c>
      <c r="R883" t="s">
        <v>1157</v>
      </c>
      <c r="S883" t="str">
        <f>VLOOKUP(J883,Teams!A:B,2,FALSE)</f>
        <v>SEN</v>
      </c>
      <c r="T883" t="str">
        <f>VLOOKUP(M883,Teams!A:B,2,FALSE)</f>
        <v>COL</v>
      </c>
    </row>
    <row r="884" spans="1:20" x14ac:dyDescent="0.25">
      <c r="A884" t="str">
        <f t="shared" si="14"/>
        <v>FIFAWC2018-45</v>
      </c>
      <c r="B884" s="4">
        <v>45</v>
      </c>
      <c r="C884" s="3">
        <v>43279</v>
      </c>
      <c r="D884" s="7">
        <v>4.1666666666666664E-2</v>
      </c>
      <c r="E884">
        <v>2018</v>
      </c>
      <c r="F884" t="s">
        <v>1739</v>
      </c>
      <c r="G884" t="s">
        <v>1741</v>
      </c>
      <c r="H884" t="s">
        <v>1122</v>
      </c>
      <c r="I884" t="s">
        <v>1129</v>
      </c>
      <c r="J884" t="s">
        <v>1021</v>
      </c>
      <c r="K884">
        <v>0</v>
      </c>
      <c r="L884">
        <v>1</v>
      </c>
      <c r="M884" t="s">
        <v>756</v>
      </c>
      <c r="O884" t="s">
        <v>1813</v>
      </c>
      <c r="R884" t="s">
        <v>1157</v>
      </c>
      <c r="S884" t="str">
        <f>VLOOKUP(J884,Teams!A:B,2,FALSE)</f>
        <v>ENG</v>
      </c>
      <c r="T884" t="str">
        <f>VLOOKUP(M884,Teams!A:B,2,FALSE)</f>
        <v>BEL</v>
      </c>
    </row>
    <row r="885" spans="1:20" x14ac:dyDescent="0.25">
      <c r="A885" t="str">
        <f t="shared" si="14"/>
        <v>FIFAWC2018-46</v>
      </c>
      <c r="B885" s="4">
        <v>46</v>
      </c>
      <c r="C885" s="3">
        <v>43279</v>
      </c>
      <c r="D885" s="7">
        <v>4.1666666666666664E-2</v>
      </c>
      <c r="E885">
        <v>2018</v>
      </c>
      <c r="F885" t="s">
        <v>1739</v>
      </c>
      <c r="G885" t="s">
        <v>1741</v>
      </c>
      <c r="H885" t="s">
        <v>1122</v>
      </c>
      <c r="I885" t="s">
        <v>1129</v>
      </c>
      <c r="J885" t="s">
        <v>864</v>
      </c>
      <c r="K885">
        <v>1</v>
      </c>
      <c r="L885">
        <v>2</v>
      </c>
      <c r="M885" t="s">
        <v>911</v>
      </c>
      <c r="O885" t="s">
        <v>1811</v>
      </c>
      <c r="R885" t="s">
        <v>1157</v>
      </c>
      <c r="S885" t="str">
        <f>VLOOKUP(J885,Teams!A:B,2,FALSE)</f>
        <v>PAN</v>
      </c>
      <c r="T885" t="str">
        <f>VLOOKUP(M885,Teams!A:B,2,FALSE)</f>
        <v>TUN</v>
      </c>
    </row>
    <row r="886" spans="1:20" x14ac:dyDescent="0.25">
      <c r="A886" t="str">
        <f t="shared" si="14"/>
        <v>FIFAWC2018-49</v>
      </c>
      <c r="B886" s="4">
        <v>49</v>
      </c>
      <c r="C886" s="3">
        <v>43281</v>
      </c>
      <c r="D886" s="7">
        <v>0.875</v>
      </c>
      <c r="E886">
        <v>2018</v>
      </c>
      <c r="F886" t="s">
        <v>1739</v>
      </c>
      <c r="G886" t="s">
        <v>1741</v>
      </c>
      <c r="H886" t="s">
        <v>1759</v>
      </c>
      <c r="I886" t="s">
        <v>1138</v>
      </c>
      <c r="J886" t="s">
        <v>224</v>
      </c>
      <c r="K886">
        <v>4</v>
      </c>
      <c r="L886">
        <v>3</v>
      </c>
      <c r="M886" t="s">
        <v>749</v>
      </c>
      <c r="O886" t="s">
        <v>1810</v>
      </c>
      <c r="R886" t="s">
        <v>1157</v>
      </c>
      <c r="S886" t="str">
        <f>VLOOKUP(J886,Teams!A:B,2,FALSE)</f>
        <v>FRA</v>
      </c>
      <c r="T886" t="str">
        <f>VLOOKUP(M886,Teams!A:B,2,FALSE)</f>
        <v>ARG</v>
      </c>
    </row>
    <row r="887" spans="1:20" x14ac:dyDescent="0.25">
      <c r="A887" t="str">
        <f t="shared" si="14"/>
        <v>FIFAWC2018-50</v>
      </c>
      <c r="B887" s="4">
        <v>50</v>
      </c>
      <c r="C887" s="3">
        <v>43282</v>
      </c>
      <c r="D887" s="7">
        <v>4.1666666666666664E-2</v>
      </c>
      <c r="E887">
        <v>2018</v>
      </c>
      <c r="F887" t="s">
        <v>1739</v>
      </c>
      <c r="G887" t="s">
        <v>1741</v>
      </c>
      <c r="H887" t="s">
        <v>1759</v>
      </c>
      <c r="I887" t="s">
        <v>1138</v>
      </c>
      <c r="J887" t="s">
        <v>916</v>
      </c>
      <c r="K887">
        <v>2</v>
      </c>
      <c r="L887">
        <v>1</v>
      </c>
      <c r="M887" t="s">
        <v>871</v>
      </c>
      <c r="O887" t="s">
        <v>1808</v>
      </c>
      <c r="R887" t="s">
        <v>1157</v>
      </c>
      <c r="S887" t="str">
        <f>VLOOKUP(J887,Teams!A:B,2,FALSE)</f>
        <v>URU</v>
      </c>
      <c r="T887" t="str">
        <f>VLOOKUP(M887,Teams!A:B,2,FALSE)</f>
        <v>POR</v>
      </c>
    </row>
    <row r="888" spans="1:20" x14ac:dyDescent="0.25">
      <c r="A888" t="str">
        <f t="shared" si="14"/>
        <v>FIFAWC2018-51</v>
      </c>
      <c r="B888" s="4">
        <v>51</v>
      </c>
      <c r="C888" s="3">
        <v>43282</v>
      </c>
      <c r="D888" s="7">
        <v>0.875</v>
      </c>
      <c r="E888">
        <v>2018</v>
      </c>
      <c r="F888" t="s">
        <v>1739</v>
      </c>
      <c r="G888" t="s">
        <v>1741</v>
      </c>
      <c r="H888" t="s">
        <v>1759</v>
      </c>
      <c r="I888" t="s">
        <v>1138</v>
      </c>
      <c r="J888" t="s">
        <v>1041</v>
      </c>
      <c r="K888">
        <v>1</v>
      </c>
      <c r="L888">
        <v>1</v>
      </c>
      <c r="M888" t="s">
        <v>895</v>
      </c>
      <c r="N888" t="s">
        <v>1788</v>
      </c>
      <c r="O888" t="s">
        <v>1806</v>
      </c>
      <c r="R888" t="s">
        <v>1157</v>
      </c>
      <c r="S888" t="str">
        <f>VLOOKUP(J888,Teams!A:B,2,FALSE)</f>
        <v>RUS</v>
      </c>
      <c r="T888" t="str">
        <f>VLOOKUP(M888,Teams!A:B,2,FALSE)</f>
        <v>ESP</v>
      </c>
    </row>
    <row r="889" spans="1:20" x14ac:dyDescent="0.25">
      <c r="A889" t="str">
        <f t="shared" si="14"/>
        <v>FIFAWC2018-52</v>
      </c>
      <c r="B889" s="4">
        <v>52</v>
      </c>
      <c r="C889" s="3">
        <v>43283</v>
      </c>
      <c r="D889" s="7">
        <v>4.1666666666666664E-2</v>
      </c>
      <c r="E889">
        <v>2018</v>
      </c>
      <c r="F889" t="s">
        <v>1739</v>
      </c>
      <c r="G889" t="s">
        <v>1741</v>
      </c>
      <c r="H889" t="s">
        <v>1759</v>
      </c>
      <c r="I889" t="s">
        <v>1138</v>
      </c>
      <c r="J889" t="s">
        <v>211</v>
      </c>
      <c r="K889">
        <v>1</v>
      </c>
      <c r="L889">
        <v>1</v>
      </c>
      <c r="M889" t="s">
        <v>775</v>
      </c>
      <c r="N889" t="s">
        <v>1789</v>
      </c>
      <c r="O889" t="s">
        <v>1816</v>
      </c>
      <c r="R889" t="s">
        <v>1157</v>
      </c>
      <c r="S889" t="str">
        <f>VLOOKUP(J889,Teams!A:B,2,FALSE)</f>
        <v>DEN</v>
      </c>
      <c r="T889" t="str">
        <f>VLOOKUP(M889,Teams!A:B,2,FALSE)</f>
        <v>CRO</v>
      </c>
    </row>
    <row r="890" spans="1:20" x14ac:dyDescent="0.25">
      <c r="A890" t="str">
        <f t="shared" si="14"/>
        <v>FIFAWC2018-53</v>
      </c>
      <c r="B890" s="4">
        <v>53</v>
      </c>
      <c r="C890" s="3">
        <v>43283</v>
      </c>
      <c r="D890" s="7">
        <v>0.875</v>
      </c>
      <c r="E890">
        <v>2018</v>
      </c>
      <c r="F890" t="s">
        <v>1739</v>
      </c>
      <c r="G890" t="s">
        <v>1741</v>
      </c>
      <c r="H890" t="s">
        <v>1759</v>
      </c>
      <c r="I890" t="s">
        <v>1138</v>
      </c>
      <c r="J890" t="s">
        <v>760</v>
      </c>
      <c r="K890">
        <v>2</v>
      </c>
      <c r="L890">
        <v>0</v>
      </c>
      <c r="M890" t="s">
        <v>845</v>
      </c>
      <c r="O890" t="s">
        <v>1814</v>
      </c>
      <c r="R890" t="s">
        <v>1157</v>
      </c>
      <c r="S890" t="str">
        <f>VLOOKUP(J890,Teams!A:B,2,FALSE)</f>
        <v>BRA</v>
      </c>
      <c r="T890" t="str">
        <f>VLOOKUP(M890,Teams!A:B,2,FALSE)</f>
        <v>MEX</v>
      </c>
    </row>
    <row r="891" spans="1:20" x14ac:dyDescent="0.25">
      <c r="A891" t="str">
        <f t="shared" si="14"/>
        <v>FIFAWC2018-54</v>
      </c>
      <c r="B891" s="4">
        <v>54</v>
      </c>
      <c r="C891" s="3">
        <v>43284</v>
      </c>
      <c r="D891" s="7">
        <v>4.1666666666666664E-2</v>
      </c>
      <c r="E891">
        <v>2018</v>
      </c>
      <c r="F891" t="s">
        <v>1739</v>
      </c>
      <c r="G891" t="s">
        <v>1741</v>
      </c>
      <c r="H891" t="s">
        <v>1759</v>
      </c>
      <c r="I891" t="s">
        <v>1138</v>
      </c>
      <c r="J891" t="s">
        <v>756</v>
      </c>
      <c r="K891">
        <v>3</v>
      </c>
      <c r="L891">
        <v>2</v>
      </c>
      <c r="M891" t="s">
        <v>330</v>
      </c>
      <c r="O891" t="s">
        <v>1815</v>
      </c>
      <c r="R891" t="s">
        <v>1157</v>
      </c>
      <c r="S891" t="str">
        <f>VLOOKUP(J891,Teams!A:B,2,FALSE)</f>
        <v>BEL</v>
      </c>
      <c r="T891" t="str">
        <f>VLOOKUP(M891,Teams!A:B,2,FALSE)</f>
        <v>JPN</v>
      </c>
    </row>
    <row r="892" spans="1:20" x14ac:dyDescent="0.25">
      <c r="A892" t="str">
        <f t="shared" si="14"/>
        <v>FIFAWC2018-55</v>
      </c>
      <c r="B892" s="4">
        <v>55</v>
      </c>
      <c r="C892" s="3">
        <v>43284</v>
      </c>
      <c r="D892" s="7">
        <v>0.875</v>
      </c>
      <c r="E892">
        <v>2018</v>
      </c>
      <c r="F892" t="s">
        <v>1739</v>
      </c>
      <c r="G892" t="s">
        <v>1741</v>
      </c>
      <c r="H892" t="s">
        <v>1759</v>
      </c>
      <c r="I892" t="s">
        <v>1138</v>
      </c>
      <c r="J892" t="s">
        <v>900</v>
      </c>
      <c r="K892">
        <v>1</v>
      </c>
      <c r="L892">
        <v>0</v>
      </c>
      <c r="M892" t="s">
        <v>901</v>
      </c>
      <c r="O892" t="s">
        <v>1809</v>
      </c>
      <c r="R892" t="s">
        <v>1157</v>
      </c>
      <c r="S892" t="str">
        <f>VLOOKUP(J892,Teams!A:B,2,FALSE)</f>
        <v>SWE</v>
      </c>
      <c r="T892" t="str">
        <f>VLOOKUP(M892,Teams!A:B,2,FALSE)</f>
        <v>SUI</v>
      </c>
    </row>
    <row r="893" spans="1:20" x14ac:dyDescent="0.25">
      <c r="A893" t="str">
        <f t="shared" si="14"/>
        <v>FIFAWC2018-56</v>
      </c>
      <c r="B893" s="4">
        <v>56</v>
      </c>
      <c r="C893" s="3">
        <v>43285</v>
      </c>
      <c r="D893" s="7">
        <v>4.1666666666666664E-2</v>
      </c>
      <c r="E893">
        <v>2018</v>
      </c>
      <c r="F893" t="s">
        <v>1739</v>
      </c>
      <c r="G893" t="s">
        <v>1741</v>
      </c>
      <c r="H893" t="s">
        <v>1759</v>
      </c>
      <c r="I893" t="s">
        <v>1138</v>
      </c>
      <c r="J893" t="s">
        <v>1021</v>
      </c>
      <c r="K893">
        <v>1</v>
      </c>
      <c r="L893">
        <v>1</v>
      </c>
      <c r="M893" t="s">
        <v>771</v>
      </c>
      <c r="N893" t="s">
        <v>1790</v>
      </c>
      <c r="O893" t="s">
        <v>1812</v>
      </c>
      <c r="R893" t="s">
        <v>1157</v>
      </c>
      <c r="S893" t="str">
        <f>VLOOKUP(J893,Teams!A:B,2,FALSE)</f>
        <v>ENG</v>
      </c>
      <c r="T893" t="str">
        <f>VLOOKUP(M893,Teams!A:B,2,FALSE)</f>
        <v>COL</v>
      </c>
    </row>
    <row r="894" spans="1:20" x14ac:dyDescent="0.25">
      <c r="A894" t="str">
        <f t="shared" si="14"/>
        <v>FIFAWC2018-57</v>
      </c>
      <c r="B894" s="4">
        <v>57</v>
      </c>
      <c r="C894" s="3">
        <v>43287</v>
      </c>
      <c r="D894" s="7">
        <v>0.875</v>
      </c>
      <c r="E894">
        <v>2018</v>
      </c>
      <c r="F894" t="s">
        <v>1739</v>
      </c>
      <c r="G894" t="s">
        <v>1741</v>
      </c>
      <c r="H894" t="s">
        <v>1759</v>
      </c>
      <c r="I894" t="s">
        <v>1139</v>
      </c>
      <c r="J894" t="s">
        <v>224</v>
      </c>
      <c r="K894">
        <v>2</v>
      </c>
      <c r="L894">
        <v>0</v>
      </c>
      <c r="M894" t="s">
        <v>916</v>
      </c>
      <c r="O894" t="s">
        <v>1809</v>
      </c>
      <c r="R894" t="s">
        <v>1157</v>
      </c>
      <c r="S894" t="str">
        <f>VLOOKUP(J894,Teams!A:B,2,FALSE)</f>
        <v>FRA</v>
      </c>
      <c r="T894" t="str">
        <f>VLOOKUP(M894,Teams!A:B,2,FALSE)</f>
        <v>URU</v>
      </c>
    </row>
    <row r="895" spans="1:20" x14ac:dyDescent="0.25">
      <c r="A895" t="str">
        <f t="shared" si="14"/>
        <v>FIFAWC2018-58</v>
      </c>
      <c r="B895" s="4">
        <v>58</v>
      </c>
      <c r="C895" s="3">
        <v>43288</v>
      </c>
      <c r="D895" s="7">
        <v>4.1666666666666664E-2</v>
      </c>
      <c r="E895">
        <v>2018</v>
      </c>
      <c r="F895" t="s">
        <v>1739</v>
      </c>
      <c r="G895" t="s">
        <v>1741</v>
      </c>
      <c r="H895" t="s">
        <v>1759</v>
      </c>
      <c r="I895" t="s">
        <v>1139</v>
      </c>
      <c r="J895" t="s">
        <v>756</v>
      </c>
      <c r="K895">
        <v>2</v>
      </c>
      <c r="L895">
        <v>1</v>
      </c>
      <c r="M895" t="s">
        <v>760</v>
      </c>
      <c r="O895" t="s">
        <v>1806</v>
      </c>
      <c r="R895" t="s">
        <v>1157</v>
      </c>
      <c r="S895" t="str">
        <f>VLOOKUP(J895,Teams!A:B,2,FALSE)</f>
        <v>BEL</v>
      </c>
      <c r="T895" t="str">
        <f>VLOOKUP(M895,Teams!A:B,2,FALSE)</f>
        <v>BRA</v>
      </c>
    </row>
    <row r="896" spans="1:20" x14ac:dyDescent="0.25">
      <c r="A896" t="str">
        <f t="shared" si="14"/>
        <v>FIFAWC2018-59</v>
      </c>
      <c r="B896" s="4">
        <v>59</v>
      </c>
      <c r="C896" s="3">
        <v>43288</v>
      </c>
      <c r="D896" s="7">
        <v>0.875</v>
      </c>
      <c r="E896">
        <v>2018</v>
      </c>
      <c r="F896" t="s">
        <v>1739</v>
      </c>
      <c r="G896" t="s">
        <v>1741</v>
      </c>
      <c r="H896" t="s">
        <v>1759</v>
      </c>
      <c r="I896" t="s">
        <v>1139</v>
      </c>
      <c r="J896" t="s">
        <v>1021</v>
      </c>
      <c r="K896">
        <v>2</v>
      </c>
      <c r="L896">
        <v>0</v>
      </c>
      <c r="M896" t="s">
        <v>900</v>
      </c>
      <c r="O896" t="s">
        <v>1814</v>
      </c>
      <c r="R896" t="s">
        <v>1157</v>
      </c>
      <c r="S896" t="str">
        <f>VLOOKUP(J896,Teams!A:B,2,FALSE)</f>
        <v>ENG</v>
      </c>
      <c r="T896" t="str">
        <f>VLOOKUP(M896,Teams!A:B,2,FALSE)</f>
        <v>SWE</v>
      </c>
    </row>
    <row r="897" spans="1:20" x14ac:dyDescent="0.25">
      <c r="A897" t="str">
        <f t="shared" si="14"/>
        <v>FIFAWC2018-60</v>
      </c>
      <c r="B897" s="4">
        <v>60</v>
      </c>
      <c r="C897" s="3">
        <v>43289</v>
      </c>
      <c r="D897" s="7">
        <v>4.1666666666666664E-2</v>
      </c>
      <c r="E897">
        <v>2018</v>
      </c>
      <c r="F897" t="s">
        <v>1739</v>
      </c>
      <c r="G897" t="s">
        <v>1741</v>
      </c>
      <c r="H897" t="s">
        <v>1759</v>
      </c>
      <c r="I897" t="s">
        <v>1139</v>
      </c>
      <c r="J897" t="s">
        <v>775</v>
      </c>
      <c r="K897">
        <v>1</v>
      </c>
      <c r="L897">
        <v>1</v>
      </c>
      <c r="M897" t="s">
        <v>1041</v>
      </c>
      <c r="N897" t="s">
        <v>1791</v>
      </c>
      <c r="O897" t="s">
        <v>1808</v>
      </c>
      <c r="R897" t="s">
        <v>1157</v>
      </c>
      <c r="S897" t="str">
        <f>VLOOKUP(J897,Teams!A:B,2,FALSE)</f>
        <v>CRO</v>
      </c>
      <c r="T897" t="str">
        <f>VLOOKUP(M897,Teams!A:B,2,FALSE)</f>
        <v>RUS</v>
      </c>
    </row>
    <row r="898" spans="1:20" x14ac:dyDescent="0.25">
      <c r="A898" t="str">
        <f t="shared" si="14"/>
        <v>FIFAWC2018-61</v>
      </c>
      <c r="B898" s="4">
        <v>61</v>
      </c>
      <c r="C898" s="3">
        <v>43292</v>
      </c>
      <c r="D898" s="7">
        <v>4.1666666666666664E-2</v>
      </c>
      <c r="E898">
        <v>2018</v>
      </c>
      <c r="F898" t="s">
        <v>1739</v>
      </c>
      <c r="G898" t="s">
        <v>1741</v>
      </c>
      <c r="H898" t="s">
        <v>1759</v>
      </c>
      <c r="I898" t="s">
        <v>1140</v>
      </c>
      <c r="J898" t="s">
        <v>224</v>
      </c>
      <c r="K898">
        <v>1</v>
      </c>
      <c r="L898">
        <v>0</v>
      </c>
      <c r="M898" t="s">
        <v>756</v>
      </c>
      <c r="O898" t="s">
        <v>1809</v>
      </c>
      <c r="R898" t="s">
        <v>1157</v>
      </c>
      <c r="S898" t="str">
        <f>VLOOKUP(J898,Teams!A:B,2,FALSE)</f>
        <v>FRA</v>
      </c>
      <c r="T898" t="str">
        <f>VLOOKUP(M898,Teams!A:B,2,FALSE)</f>
        <v>BEL</v>
      </c>
    </row>
    <row r="899" spans="1:20" x14ac:dyDescent="0.25">
      <c r="A899" t="str">
        <f t="shared" si="14"/>
        <v>FIFAWC2018-62</v>
      </c>
      <c r="B899" s="4">
        <v>62</v>
      </c>
      <c r="C899" s="3">
        <v>43293</v>
      </c>
      <c r="D899" s="7">
        <v>4.1666666666666664E-2</v>
      </c>
      <c r="E899">
        <v>2018</v>
      </c>
      <c r="F899" t="s">
        <v>1739</v>
      </c>
      <c r="G899" t="s">
        <v>1741</v>
      </c>
      <c r="H899" t="s">
        <v>1759</v>
      </c>
      <c r="I899" t="s">
        <v>1140</v>
      </c>
      <c r="J899" t="s">
        <v>1021</v>
      </c>
      <c r="K899">
        <v>1</v>
      </c>
      <c r="L899">
        <v>1</v>
      </c>
      <c r="M899" t="s">
        <v>775</v>
      </c>
      <c r="O899" t="s">
        <v>1806</v>
      </c>
      <c r="R899" t="s">
        <v>1157</v>
      </c>
      <c r="S899" t="str">
        <f>VLOOKUP(J899,Teams!A:B,2,FALSE)</f>
        <v>ENG</v>
      </c>
      <c r="T899" t="str">
        <f>VLOOKUP(M899,Teams!A:B,2,FALSE)</f>
        <v>CRO</v>
      </c>
    </row>
    <row r="900" spans="1:20" x14ac:dyDescent="0.25">
      <c r="A900" t="str">
        <f t="shared" si="14"/>
        <v>FIFAWC2018-63</v>
      </c>
      <c r="B900" s="4">
        <v>63</v>
      </c>
      <c r="C900" s="3">
        <v>43295</v>
      </c>
      <c r="D900" s="7">
        <v>0.875</v>
      </c>
      <c r="E900">
        <v>2018</v>
      </c>
      <c r="F900" t="s">
        <v>1739</v>
      </c>
      <c r="G900" t="s">
        <v>1741</v>
      </c>
      <c r="H900" t="s">
        <v>1759</v>
      </c>
      <c r="I900" t="s">
        <v>1018</v>
      </c>
      <c r="J900" t="s">
        <v>756</v>
      </c>
      <c r="K900">
        <v>2</v>
      </c>
      <c r="L900">
        <v>0</v>
      </c>
      <c r="M900" t="s">
        <v>1021</v>
      </c>
      <c r="O900" t="s">
        <v>1809</v>
      </c>
      <c r="R900" t="s">
        <v>1157</v>
      </c>
      <c r="S900" t="str">
        <f>VLOOKUP(J900,Teams!A:B,2,FALSE)</f>
        <v>BEL</v>
      </c>
      <c r="T900" t="str">
        <f>VLOOKUP(M900,Teams!A:B,2,FALSE)</f>
        <v>ENG</v>
      </c>
    </row>
    <row r="901" spans="1:20" x14ac:dyDescent="0.25">
      <c r="A901" t="str">
        <f t="shared" si="14"/>
        <v>FIFAWC2018-64</v>
      </c>
      <c r="B901" s="4">
        <v>64</v>
      </c>
      <c r="C901" s="3">
        <v>43296</v>
      </c>
      <c r="D901" s="7">
        <v>0.91666666666666663</v>
      </c>
      <c r="E901">
        <v>2018</v>
      </c>
      <c r="F901" t="s">
        <v>1739</v>
      </c>
      <c r="G901" t="s">
        <v>1741</v>
      </c>
      <c r="H901" t="s">
        <v>1759</v>
      </c>
      <c r="I901" t="s">
        <v>1141</v>
      </c>
      <c r="J901" t="s">
        <v>224</v>
      </c>
      <c r="K901">
        <v>4</v>
      </c>
      <c r="L901">
        <v>2</v>
      </c>
      <c r="M901" t="s">
        <v>775</v>
      </c>
      <c r="O901" t="s">
        <v>1806</v>
      </c>
      <c r="R901" t="s">
        <v>1157</v>
      </c>
      <c r="S901" t="str">
        <f>VLOOKUP(J901,Teams!A:B,2,FALSE)</f>
        <v>FRA</v>
      </c>
      <c r="T901" t="str">
        <f>VLOOKUP(M901,Teams!A:B,2,FALSE)</f>
        <v>CRO</v>
      </c>
    </row>
  </sheetData>
  <sortState xmlns:xlrd2="http://schemas.microsoft.com/office/spreadsheetml/2017/richdata2" ref="A2:T901">
    <sortCondition ref="E2:E901"/>
    <sortCondition ref="B2:B901"/>
  </sortState>
  <conditionalFormatting sqref="A1:T1048576">
    <cfRule type="expression" dxfId="9" priority="3">
      <formula>CELL("row")=ROW()</formula>
    </cfRule>
  </conditionalFormatting>
  <conditionalFormatting sqref="U507">
    <cfRule type="expression" dxfId="8" priority="2">
      <formula>CELL("row")=ROW()</formula>
    </cfRule>
  </conditionalFormatting>
  <conditionalFormatting sqref="A1:A1048576">
    <cfRule type="duplicateValues" dxfId="7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K1060"/>
  <sheetViews>
    <sheetView topLeftCell="W895" workbookViewId="0">
      <selection sqref="A1:AK900"/>
    </sheetView>
  </sheetViews>
  <sheetFormatPr defaultRowHeight="15" x14ac:dyDescent="0.25"/>
  <cols>
    <col min="1" max="1" width="22.140625" bestFit="1" customWidth="1"/>
    <col min="2" max="2" width="13.7109375" bestFit="1" customWidth="1"/>
    <col min="3" max="3" width="14.28515625" bestFit="1" customWidth="1"/>
    <col min="5" max="5" width="27.7109375" bestFit="1" customWidth="1"/>
    <col min="6" max="6" width="10.7109375" bestFit="1" customWidth="1"/>
    <col min="7" max="7" width="30.85546875" style="6" bestFit="1" customWidth="1"/>
    <col min="8" max="8" width="5.5703125" style="9" bestFit="1" customWidth="1"/>
    <col min="9" max="9" width="13.5703125" bestFit="1" customWidth="1"/>
    <col min="11" max="11" width="12.28515625" bestFit="1" customWidth="1"/>
    <col min="12" max="12" width="11.85546875" bestFit="1" customWidth="1"/>
    <col min="13" max="13" width="10.42578125" bestFit="1" customWidth="1"/>
    <col min="15" max="15" width="9.5703125" style="6" bestFit="1" customWidth="1"/>
    <col min="16" max="16" width="9.5703125" customWidth="1"/>
    <col min="17" max="17" width="12.85546875" style="6" bestFit="1" customWidth="1"/>
    <col min="19" max="19" width="9.140625" style="6"/>
    <col min="21" max="21" width="9.140625" style="6"/>
    <col min="23" max="23" width="9.140625" style="6"/>
    <col min="25" max="25" width="9.140625" style="6"/>
    <col min="27" max="27" width="12.28515625" style="6" bestFit="1" customWidth="1"/>
    <col min="29" max="29" width="11.140625" style="6" bestFit="1" customWidth="1"/>
    <col min="30" max="30" width="31" style="11" bestFit="1" customWidth="1"/>
    <col min="31" max="31" width="11.85546875" style="6" bestFit="1" customWidth="1"/>
    <col min="32" max="32" width="27.140625" style="11" bestFit="1" customWidth="1"/>
    <col min="33" max="33" width="9.140625" style="6"/>
    <col min="34" max="35" width="9.140625" style="11"/>
    <col min="36" max="36" width="8.5703125" style="11" bestFit="1" customWidth="1"/>
  </cols>
  <sheetData>
    <row r="1" spans="1:37" x14ac:dyDescent="0.25">
      <c r="A1" t="s">
        <v>1792</v>
      </c>
      <c r="B1" t="str">
        <f>Matchs!A2</f>
        <v>FIFAWC1930-1</v>
      </c>
      <c r="C1" t="s">
        <v>1793</v>
      </c>
      <c r="D1">
        <f>Matchs!B2</f>
        <v>1</v>
      </c>
      <c r="E1" t="s">
        <v>1794</v>
      </c>
      <c r="F1" s="3">
        <f>Matchs!C2</f>
        <v>11153</v>
      </c>
      <c r="G1" s="10" t="s">
        <v>1823</v>
      </c>
      <c r="H1" s="9">
        <f>Matchs!D2</f>
        <v>4.1666666666666664E-2</v>
      </c>
      <c r="I1" t="s">
        <v>1795</v>
      </c>
      <c r="J1">
        <f>Matchs!E2</f>
        <v>1930</v>
      </c>
      <c r="K1" t="s">
        <v>1796</v>
      </c>
      <c r="L1" t="str">
        <f>Matchs!F2</f>
        <v>FIFAWC1930</v>
      </c>
      <c r="M1" t="s">
        <v>1797</v>
      </c>
      <c r="N1" t="str">
        <f>Matchs!G2</f>
        <v>Final Round</v>
      </c>
      <c r="O1" s="6" t="s">
        <v>1798</v>
      </c>
      <c r="P1" t="str">
        <f>Matchs!H2</f>
        <v>Group</v>
      </c>
      <c r="Q1" s="6" t="s">
        <v>1799</v>
      </c>
      <c r="R1" t="str">
        <f>Matchs!I2</f>
        <v>Group 1</v>
      </c>
      <c r="S1" s="6" t="s">
        <v>1803</v>
      </c>
      <c r="T1" t="str">
        <f>Matchs!J2</f>
        <v>France</v>
      </c>
      <c r="U1" s="6" t="s">
        <v>1804</v>
      </c>
      <c r="V1">
        <f>Matchs!K2</f>
        <v>4</v>
      </c>
      <c r="W1" s="6" t="s">
        <v>1805</v>
      </c>
      <c r="X1">
        <f>Matchs!L2</f>
        <v>1</v>
      </c>
      <c r="Y1" s="6" t="s">
        <v>1822</v>
      </c>
      <c r="Z1" t="str">
        <f>Matchs!M2</f>
        <v>Mexico</v>
      </c>
      <c r="AA1" s="6" t="s">
        <v>1800</v>
      </c>
      <c r="AB1" t="str">
        <f>IF(Matchs!N2="","",Matchs!N2)</f>
        <v/>
      </c>
      <c r="AC1" s="6" t="s">
        <v>1818</v>
      </c>
      <c r="AD1" s="11" t="str">
        <f>Matchs!O2</f>
        <v xml:space="preserve">Estadio Pocitos </v>
      </c>
      <c r="AE1" s="6" t="s">
        <v>1819</v>
      </c>
      <c r="AF1" s="11" t="str">
        <f>Matchs!P2</f>
        <v xml:space="preserve">Domingo Lombardi </v>
      </c>
      <c r="AG1" s="6" t="s">
        <v>1820</v>
      </c>
      <c r="AH1" s="11">
        <f>Matchs!Q2</f>
        <v>3000</v>
      </c>
      <c r="AI1" s="11" t="s">
        <v>1821</v>
      </c>
      <c r="AJ1" s="11" t="str">
        <f>Matchs!R2</f>
        <v>Finished</v>
      </c>
      <c r="AK1" t="s">
        <v>1801</v>
      </c>
    </row>
    <row r="2" spans="1:37" x14ac:dyDescent="0.25">
      <c r="A2" t="str">
        <f>A1</f>
        <v>new Match { MatchId= "</v>
      </c>
      <c r="B2" t="str">
        <f>Matchs!A3</f>
        <v>FIFAWC1930-2</v>
      </c>
      <c r="C2" t="str">
        <f>C1</f>
        <v>",MatchNumer=</v>
      </c>
      <c r="D2">
        <f>Matchs!B3</f>
        <v>2</v>
      </c>
      <c r="E2" t="str">
        <f>E1</f>
        <v>,DateMatch=DateTime.Parse("</v>
      </c>
      <c r="F2" s="3">
        <f>Matchs!C3</f>
        <v>11153</v>
      </c>
      <c r="G2" s="10" t="str">
        <f>G1</f>
        <v>"),TimeMatch=TimeSpan.Parse("</v>
      </c>
      <c r="H2" s="9">
        <f>Matchs!D3</f>
        <v>4.1666666666666664E-2</v>
      </c>
      <c r="I2" t="str">
        <f>I1</f>
        <v>"),MatchYear=</v>
      </c>
      <c r="J2">
        <f>Matchs!E3</f>
        <v>1930</v>
      </c>
      <c r="K2" t="str">
        <f>K1</f>
        <v>, SeasonId= "</v>
      </c>
      <c r="L2" t="str">
        <f>Matchs!F3</f>
        <v>FIFAWC1930</v>
      </c>
      <c r="M2" t="str">
        <f>M1</f>
        <v>",Round= "</v>
      </c>
      <c r="N2" t="str">
        <f>Matchs!G3</f>
        <v>Final Round</v>
      </c>
      <c r="O2" s="6" t="str">
        <f>O1</f>
        <v>",Stage= "</v>
      </c>
      <c r="P2" t="str">
        <f>Matchs!H3</f>
        <v>Group</v>
      </c>
      <c r="Q2" s="6" t="str">
        <f>Q1</f>
        <v>",SubStage= "</v>
      </c>
      <c r="R2" t="str">
        <f>Matchs!I3</f>
        <v>Group 4</v>
      </c>
      <c r="S2" s="6" t="str">
        <f>S1</f>
        <v>",HTeam= "</v>
      </c>
      <c r="T2" t="str">
        <f>Matchs!J3</f>
        <v>USA</v>
      </c>
      <c r="U2" s="6" t="str">
        <f>U1</f>
        <v>",HGoal=</v>
      </c>
      <c r="V2">
        <f>Matchs!K3</f>
        <v>3</v>
      </c>
      <c r="W2" s="6" t="str">
        <f>W1</f>
        <v>,GGoal=</v>
      </c>
      <c r="X2">
        <f>Matchs!L3</f>
        <v>0</v>
      </c>
      <c r="Y2" s="6" t="str">
        <f>Y1</f>
        <v>,GTeam= "</v>
      </c>
      <c r="Z2" t="str">
        <f>Matchs!M3</f>
        <v>Belgium</v>
      </c>
      <c r="AA2" s="6" t="str">
        <f>AA1</f>
        <v>",WinNote="</v>
      </c>
      <c r="AB2" t="str">
        <f>IF(Matchs!N3="","",Matchs!N3)</f>
        <v/>
      </c>
      <c r="AC2" s="6" t="str">
        <f>AC1</f>
        <v xml:space="preserve">",Stadium=" </v>
      </c>
      <c r="AD2" s="11" t="str">
        <f>Matchs!O3</f>
        <v xml:space="preserve">Parque Central </v>
      </c>
      <c r="AE2" s="6" t="str">
        <f>AE1</f>
        <v>",Referee= "</v>
      </c>
      <c r="AF2" s="11" t="str">
        <f>Matchs!P3</f>
        <v xml:space="preserve">Jose Macias </v>
      </c>
      <c r="AG2" s="6" t="str">
        <f>AG1</f>
        <v xml:space="preserve">",Visistors= </v>
      </c>
      <c r="AH2" s="11">
        <f>Matchs!Q3</f>
        <v>10000</v>
      </c>
      <c r="AI2" s="11" t="str">
        <f>AI1</f>
        <v>,Status= "</v>
      </c>
      <c r="AJ2" s="11" t="str">
        <f>Matchs!R3</f>
        <v>Finished</v>
      </c>
      <c r="AK2" t="str">
        <f>AK1</f>
        <v>" },</v>
      </c>
    </row>
    <row r="3" spans="1:37" x14ac:dyDescent="0.25">
      <c r="A3" t="str">
        <f t="shared" ref="A3:A66" si="0">A2</f>
        <v>new Match { MatchId= "</v>
      </c>
      <c r="B3" t="str">
        <f>Matchs!A4</f>
        <v>FIFAWC1930-3</v>
      </c>
      <c r="C3" t="str">
        <f t="shared" ref="C3:C66" si="1">C2</f>
        <v>",MatchNumer=</v>
      </c>
      <c r="D3">
        <f>Matchs!B4</f>
        <v>3</v>
      </c>
      <c r="E3" t="str">
        <f t="shared" ref="E3:E66" si="2">E2</f>
        <v>,DateMatch=DateTime.Parse("</v>
      </c>
      <c r="F3" s="3">
        <f>Matchs!C4</f>
        <v>11153</v>
      </c>
      <c r="G3" s="10" t="str">
        <f t="shared" ref="G3:G66" si="3">G2</f>
        <v>"),TimeMatch=TimeSpan.Parse("</v>
      </c>
      <c r="H3" s="9">
        <f>Matchs!D4</f>
        <v>0.94791666666666663</v>
      </c>
      <c r="I3" t="str">
        <f t="shared" ref="I3:I66" si="4">I2</f>
        <v>"),MatchYear=</v>
      </c>
      <c r="J3">
        <f>Matchs!E4</f>
        <v>1930</v>
      </c>
      <c r="K3" t="str">
        <f t="shared" ref="K3:K66" si="5">K2</f>
        <v>, SeasonId= "</v>
      </c>
      <c r="L3" t="str">
        <f>Matchs!F4</f>
        <v>FIFAWC1930</v>
      </c>
      <c r="M3" t="str">
        <f t="shared" ref="M3:M66" si="6">M2</f>
        <v>",Round= "</v>
      </c>
      <c r="N3" t="str">
        <f>Matchs!G4</f>
        <v>Final Round</v>
      </c>
      <c r="O3" s="6" t="str">
        <f t="shared" ref="O3:O66" si="7">O2</f>
        <v>",Stage= "</v>
      </c>
      <c r="P3" t="str">
        <f>Matchs!H4</f>
        <v>Group</v>
      </c>
      <c r="Q3" s="6" t="str">
        <f t="shared" ref="Q3:Q66" si="8">Q2</f>
        <v>",SubStage= "</v>
      </c>
      <c r="R3" t="str">
        <f>Matchs!I4</f>
        <v>Group 2</v>
      </c>
      <c r="S3" s="6" t="str">
        <f t="shared" ref="S3:S66" si="9">S2</f>
        <v>",HTeam= "</v>
      </c>
      <c r="T3" t="str">
        <f>Matchs!J4</f>
        <v>Yugoslavia</v>
      </c>
      <c r="U3" s="6" t="str">
        <f t="shared" ref="U3:U66" si="10">U2</f>
        <v>",HGoal=</v>
      </c>
      <c r="V3">
        <f>Matchs!K4</f>
        <v>2</v>
      </c>
      <c r="W3" s="6" t="str">
        <f t="shared" ref="W3:W66" si="11">W2</f>
        <v>,GGoal=</v>
      </c>
      <c r="X3">
        <f>Matchs!L4</f>
        <v>1</v>
      </c>
      <c r="Y3" s="6" t="str">
        <f t="shared" ref="Y3:Y66" si="12">Y2</f>
        <v>,GTeam= "</v>
      </c>
      <c r="Z3" t="str">
        <f>Matchs!M4</f>
        <v>Brazil</v>
      </c>
      <c r="AA3" s="6" t="str">
        <f t="shared" ref="AA3:AA66" si="13">AA2</f>
        <v>",WinNote="</v>
      </c>
      <c r="AB3" t="str">
        <f>IF(Matchs!N4="","",Matchs!N4)</f>
        <v/>
      </c>
      <c r="AC3" s="6" t="str">
        <f t="shared" ref="AC3:AC66" si="14">AC2</f>
        <v xml:space="preserve">",Stadium=" </v>
      </c>
      <c r="AD3" s="11" t="str">
        <f>Matchs!O4</f>
        <v xml:space="preserve">Parque Central </v>
      </c>
      <c r="AE3" s="6" t="str">
        <f t="shared" ref="AE3:AE66" si="15">AE2</f>
        <v>",Referee= "</v>
      </c>
      <c r="AF3" s="11" t="str">
        <f>Matchs!P4</f>
        <v xml:space="preserve">Aníbal Tejada </v>
      </c>
      <c r="AG3" s="6" t="str">
        <f t="shared" ref="AG3:AG66" si="16">AG2</f>
        <v xml:space="preserve">",Visistors= </v>
      </c>
      <c r="AH3" s="11">
        <f>Matchs!Q4</f>
        <v>5000</v>
      </c>
      <c r="AI3" s="11" t="str">
        <f t="shared" ref="AI3:AI66" si="17">AI2</f>
        <v>,Status= "</v>
      </c>
      <c r="AJ3" s="11" t="str">
        <f>Matchs!R4</f>
        <v>Finished</v>
      </c>
      <c r="AK3" t="str">
        <f t="shared" ref="AK3:AK66" si="18">AK2</f>
        <v>" },</v>
      </c>
    </row>
    <row r="4" spans="1:37" x14ac:dyDescent="0.25">
      <c r="A4" t="str">
        <f t="shared" si="0"/>
        <v>new Match { MatchId= "</v>
      </c>
      <c r="B4" t="str">
        <f>Matchs!A5</f>
        <v>FIFAWC1930-4</v>
      </c>
      <c r="C4" t="str">
        <f t="shared" si="1"/>
        <v>",MatchNumer=</v>
      </c>
      <c r="D4">
        <f>Matchs!B5</f>
        <v>4</v>
      </c>
      <c r="E4" t="str">
        <f t="shared" si="2"/>
        <v>,DateMatch=DateTime.Parse("</v>
      </c>
      <c r="F4" s="3">
        <f>Matchs!C5</f>
        <v>11154</v>
      </c>
      <c r="G4" s="10" t="str">
        <f t="shared" si="3"/>
        <v>"),TimeMatch=TimeSpan.Parse("</v>
      </c>
      <c r="H4" s="9">
        <f>Matchs!D5</f>
        <v>0.94791666666666663</v>
      </c>
      <c r="I4" t="str">
        <f t="shared" si="4"/>
        <v>"),MatchYear=</v>
      </c>
      <c r="J4">
        <f>Matchs!E5</f>
        <v>1930</v>
      </c>
      <c r="K4" t="str">
        <f t="shared" si="5"/>
        <v>, SeasonId= "</v>
      </c>
      <c r="L4" t="str">
        <f>Matchs!F5</f>
        <v>FIFAWC1930</v>
      </c>
      <c r="M4" t="str">
        <f t="shared" si="6"/>
        <v>",Round= "</v>
      </c>
      <c r="N4" t="str">
        <f>Matchs!G5</f>
        <v>Final Round</v>
      </c>
      <c r="O4" s="6" t="str">
        <f t="shared" si="7"/>
        <v>",Stage= "</v>
      </c>
      <c r="P4" t="str">
        <f>Matchs!H5</f>
        <v>Group</v>
      </c>
      <c r="Q4" s="6" t="str">
        <f t="shared" si="8"/>
        <v>",SubStage= "</v>
      </c>
      <c r="R4" t="str">
        <f>Matchs!I5</f>
        <v>Group 3</v>
      </c>
      <c r="S4" s="6" t="str">
        <f t="shared" si="9"/>
        <v>",HTeam= "</v>
      </c>
      <c r="T4" t="str">
        <f>Matchs!J5</f>
        <v>Romania</v>
      </c>
      <c r="U4" s="6" t="str">
        <f t="shared" si="10"/>
        <v>",HGoal=</v>
      </c>
      <c r="V4">
        <f>Matchs!K5</f>
        <v>3</v>
      </c>
      <c r="W4" s="6" t="str">
        <f t="shared" si="11"/>
        <v>,GGoal=</v>
      </c>
      <c r="X4">
        <f>Matchs!L5</f>
        <v>1</v>
      </c>
      <c r="Y4" s="6" t="str">
        <f t="shared" si="12"/>
        <v>,GTeam= "</v>
      </c>
      <c r="Z4" t="str">
        <f>Matchs!M5</f>
        <v>Peru</v>
      </c>
      <c r="AA4" s="6" t="str">
        <f t="shared" si="13"/>
        <v>",WinNote="</v>
      </c>
      <c r="AB4" t="str">
        <f>IF(Matchs!N5="","",Matchs!N5)</f>
        <v/>
      </c>
      <c r="AC4" s="6" t="str">
        <f t="shared" si="14"/>
        <v xml:space="preserve">",Stadium=" </v>
      </c>
      <c r="AD4" s="11" t="str">
        <f>Matchs!O5</f>
        <v xml:space="preserve">Estadio Pocitos </v>
      </c>
      <c r="AE4" s="6" t="str">
        <f t="shared" si="15"/>
        <v>",Referee= "</v>
      </c>
      <c r="AF4" s="11" t="str">
        <f>Matchs!P5</f>
        <v xml:space="preserve">Alberto Warnken </v>
      </c>
      <c r="AG4" s="6" t="str">
        <f t="shared" si="16"/>
        <v xml:space="preserve">",Visistors= </v>
      </c>
      <c r="AH4" s="11">
        <f>Matchs!Q5</f>
        <v>300</v>
      </c>
      <c r="AI4" s="11" t="str">
        <f t="shared" si="17"/>
        <v>,Status= "</v>
      </c>
      <c r="AJ4" s="11" t="str">
        <f>Matchs!R5</f>
        <v>Finished</v>
      </c>
      <c r="AK4" t="str">
        <f t="shared" si="18"/>
        <v>" },</v>
      </c>
    </row>
    <row r="5" spans="1:37" x14ac:dyDescent="0.25">
      <c r="A5" t="str">
        <f t="shared" si="0"/>
        <v>new Match { MatchId= "</v>
      </c>
      <c r="B5" t="str">
        <f>Matchs!A6</f>
        <v>FIFAWC1930-5</v>
      </c>
      <c r="C5" t="str">
        <f t="shared" si="1"/>
        <v>",MatchNumer=</v>
      </c>
      <c r="D5">
        <f>Matchs!B6</f>
        <v>5</v>
      </c>
      <c r="E5" t="str">
        <f t="shared" si="2"/>
        <v>,DateMatch=DateTime.Parse("</v>
      </c>
      <c r="F5" s="3">
        <f>Matchs!C6</f>
        <v>11154</v>
      </c>
      <c r="G5" s="10" t="str">
        <f t="shared" si="3"/>
        <v>"),TimeMatch=TimeSpan.Parse("</v>
      </c>
      <c r="H5" s="9">
        <f>Matchs!D6</f>
        <v>0.94791666666666663</v>
      </c>
      <c r="I5" t="str">
        <f t="shared" si="4"/>
        <v>"),MatchYear=</v>
      </c>
      <c r="J5">
        <f>Matchs!E6</f>
        <v>1930</v>
      </c>
      <c r="K5" t="str">
        <f t="shared" si="5"/>
        <v>, SeasonId= "</v>
      </c>
      <c r="L5" t="str">
        <f>Matchs!F6</f>
        <v>FIFAWC1930</v>
      </c>
      <c r="M5" t="str">
        <f t="shared" si="6"/>
        <v>",Round= "</v>
      </c>
      <c r="N5" t="str">
        <f>Matchs!G6</f>
        <v>Final Round</v>
      </c>
      <c r="O5" s="6" t="str">
        <f t="shared" si="7"/>
        <v>",Stage= "</v>
      </c>
      <c r="P5" t="str">
        <f>Matchs!H6</f>
        <v>Group</v>
      </c>
      <c r="Q5" s="6" t="str">
        <f t="shared" si="8"/>
        <v>",SubStage= "</v>
      </c>
      <c r="R5" t="str">
        <f>Matchs!I6</f>
        <v>Group 1</v>
      </c>
      <c r="S5" s="6" t="str">
        <f t="shared" si="9"/>
        <v>",HTeam= "</v>
      </c>
      <c r="T5" t="str">
        <f>Matchs!J6</f>
        <v>Argentina</v>
      </c>
      <c r="U5" s="6" t="str">
        <f t="shared" si="10"/>
        <v>",HGoal=</v>
      </c>
      <c r="V5">
        <f>Matchs!K6</f>
        <v>1</v>
      </c>
      <c r="W5" s="6" t="str">
        <f t="shared" si="11"/>
        <v>,GGoal=</v>
      </c>
      <c r="X5">
        <f>Matchs!L6</f>
        <v>0</v>
      </c>
      <c r="Y5" s="6" t="str">
        <f t="shared" si="12"/>
        <v>,GTeam= "</v>
      </c>
      <c r="Z5" t="str">
        <f>Matchs!M6</f>
        <v>France</v>
      </c>
      <c r="AA5" s="6" t="str">
        <f t="shared" si="13"/>
        <v>",WinNote="</v>
      </c>
      <c r="AB5" t="str">
        <f>IF(Matchs!N6="","",Matchs!N6)</f>
        <v/>
      </c>
      <c r="AC5" s="6" t="str">
        <f t="shared" si="14"/>
        <v xml:space="preserve">",Stadium=" </v>
      </c>
      <c r="AD5" s="11" t="str">
        <f>Matchs!O6</f>
        <v xml:space="preserve">Parque Central </v>
      </c>
      <c r="AE5" s="6" t="str">
        <f t="shared" si="15"/>
        <v>",Referee= "</v>
      </c>
      <c r="AF5" s="11" t="str">
        <f>Matchs!P6</f>
        <v xml:space="preserve">Almeida Rego </v>
      </c>
      <c r="AG5" s="6" t="str">
        <f t="shared" si="16"/>
        <v xml:space="preserve">",Visistors= </v>
      </c>
      <c r="AH5" s="11">
        <f>Matchs!Q6</f>
        <v>18000</v>
      </c>
      <c r="AI5" s="11" t="str">
        <f t="shared" si="17"/>
        <v>,Status= "</v>
      </c>
      <c r="AJ5" s="11" t="str">
        <f>Matchs!R6</f>
        <v>Finished</v>
      </c>
      <c r="AK5" t="str">
        <f t="shared" si="18"/>
        <v>" },</v>
      </c>
    </row>
    <row r="6" spans="1:37" x14ac:dyDescent="0.25">
      <c r="A6" t="str">
        <f t="shared" si="0"/>
        <v>new Match { MatchId= "</v>
      </c>
      <c r="B6" t="str">
        <f>Matchs!A7</f>
        <v>FIFAWC1930-6</v>
      </c>
      <c r="C6" t="str">
        <f t="shared" si="1"/>
        <v>",MatchNumer=</v>
      </c>
      <c r="D6">
        <f>Matchs!B7</f>
        <v>6</v>
      </c>
      <c r="E6" t="str">
        <f t="shared" si="2"/>
        <v>,DateMatch=DateTime.Parse("</v>
      </c>
      <c r="F6" s="3">
        <f>Matchs!C7</f>
        <v>11155</v>
      </c>
      <c r="G6" s="10" t="str">
        <f t="shared" si="3"/>
        <v>"),TimeMatch=TimeSpan.Parse("</v>
      </c>
      <c r="H6" s="9">
        <f>Matchs!D7</f>
        <v>8.3333333333333329E-2</v>
      </c>
      <c r="I6" t="str">
        <f t="shared" si="4"/>
        <v>"),MatchYear=</v>
      </c>
      <c r="J6">
        <f>Matchs!E7</f>
        <v>1930</v>
      </c>
      <c r="K6" t="str">
        <f t="shared" si="5"/>
        <v>, SeasonId= "</v>
      </c>
      <c r="L6" t="str">
        <f>Matchs!F7</f>
        <v>FIFAWC1930</v>
      </c>
      <c r="M6" t="str">
        <f t="shared" si="6"/>
        <v>",Round= "</v>
      </c>
      <c r="N6" t="str">
        <f>Matchs!G7</f>
        <v>Final Round</v>
      </c>
      <c r="O6" s="6" t="str">
        <f t="shared" si="7"/>
        <v>",Stage= "</v>
      </c>
      <c r="P6" t="str">
        <f>Matchs!H7</f>
        <v>Group</v>
      </c>
      <c r="Q6" s="6" t="str">
        <f t="shared" si="8"/>
        <v>",SubStage= "</v>
      </c>
      <c r="R6" t="str">
        <f>Matchs!I7</f>
        <v>Group 1</v>
      </c>
      <c r="S6" s="6" t="str">
        <f t="shared" si="9"/>
        <v>",HTeam= "</v>
      </c>
      <c r="T6" t="str">
        <f>Matchs!J7</f>
        <v>Chile</v>
      </c>
      <c r="U6" s="6" t="str">
        <f t="shared" si="10"/>
        <v>",HGoal=</v>
      </c>
      <c r="V6">
        <f>Matchs!K7</f>
        <v>3</v>
      </c>
      <c r="W6" s="6" t="str">
        <f t="shared" si="11"/>
        <v>,GGoal=</v>
      </c>
      <c r="X6">
        <f>Matchs!L7</f>
        <v>0</v>
      </c>
      <c r="Y6" s="6" t="str">
        <f t="shared" si="12"/>
        <v>,GTeam= "</v>
      </c>
      <c r="Z6" t="str">
        <f>Matchs!M7</f>
        <v>Mexico</v>
      </c>
      <c r="AA6" s="6" t="str">
        <f t="shared" si="13"/>
        <v>",WinNote="</v>
      </c>
      <c r="AB6" t="str">
        <f>IF(Matchs!N7="","",Matchs!N7)</f>
        <v/>
      </c>
      <c r="AC6" s="6" t="str">
        <f t="shared" si="14"/>
        <v xml:space="preserve">",Stadium=" </v>
      </c>
      <c r="AD6" s="11" t="str">
        <f>Matchs!O7</f>
        <v xml:space="preserve">Parque Central </v>
      </c>
      <c r="AE6" s="6" t="str">
        <f t="shared" si="15"/>
        <v>",Referee= "</v>
      </c>
      <c r="AF6" s="11" t="str">
        <f>Matchs!P7</f>
        <v xml:space="preserve">Henri Christophe </v>
      </c>
      <c r="AG6" s="6" t="str">
        <f t="shared" si="16"/>
        <v xml:space="preserve">",Visistors= </v>
      </c>
      <c r="AH6" s="11">
        <f>Matchs!Q7</f>
        <v>7000</v>
      </c>
      <c r="AI6" s="11" t="str">
        <f t="shared" si="17"/>
        <v>,Status= "</v>
      </c>
      <c r="AJ6" s="11" t="str">
        <f>Matchs!R7</f>
        <v>Finished</v>
      </c>
      <c r="AK6" t="str">
        <f t="shared" si="18"/>
        <v>" },</v>
      </c>
    </row>
    <row r="7" spans="1:37" x14ac:dyDescent="0.25">
      <c r="A7" t="str">
        <f t="shared" si="0"/>
        <v>new Match { MatchId= "</v>
      </c>
      <c r="B7" t="str">
        <f>Matchs!A8</f>
        <v>FIFAWC1930-7</v>
      </c>
      <c r="C7" t="str">
        <f t="shared" si="1"/>
        <v>",MatchNumer=</v>
      </c>
      <c r="D7">
        <f>Matchs!B8</f>
        <v>7</v>
      </c>
      <c r="E7" t="str">
        <f t="shared" si="2"/>
        <v>,DateMatch=DateTime.Parse("</v>
      </c>
      <c r="F7" s="3">
        <f>Matchs!C8</f>
        <v>11156</v>
      </c>
      <c r="G7" s="10" t="str">
        <f t="shared" si="3"/>
        <v>"),TimeMatch=TimeSpan.Parse("</v>
      </c>
      <c r="H7" s="9">
        <f>Matchs!D8</f>
        <v>0.94791666666666663</v>
      </c>
      <c r="I7" t="str">
        <f t="shared" si="4"/>
        <v>"),MatchYear=</v>
      </c>
      <c r="J7">
        <f>Matchs!E8</f>
        <v>1930</v>
      </c>
      <c r="K7" t="str">
        <f t="shared" si="5"/>
        <v>, SeasonId= "</v>
      </c>
      <c r="L7" t="str">
        <f>Matchs!F8</f>
        <v>FIFAWC1930</v>
      </c>
      <c r="M7" t="str">
        <f t="shared" si="6"/>
        <v>",Round= "</v>
      </c>
      <c r="N7" t="str">
        <f>Matchs!G8</f>
        <v>Final Round</v>
      </c>
      <c r="O7" s="6" t="str">
        <f t="shared" si="7"/>
        <v>",Stage= "</v>
      </c>
      <c r="P7" t="str">
        <f>Matchs!H8</f>
        <v>Group</v>
      </c>
      <c r="Q7" s="6" t="str">
        <f t="shared" si="8"/>
        <v>",SubStage= "</v>
      </c>
      <c r="R7" t="str">
        <f>Matchs!I8</f>
        <v>Group 2</v>
      </c>
      <c r="S7" s="6" t="str">
        <f t="shared" si="9"/>
        <v>",HTeam= "</v>
      </c>
      <c r="T7" t="str">
        <f>Matchs!J8</f>
        <v>Yugoslavia</v>
      </c>
      <c r="U7" s="6" t="str">
        <f t="shared" si="10"/>
        <v>",HGoal=</v>
      </c>
      <c r="V7">
        <f>Matchs!K8</f>
        <v>4</v>
      </c>
      <c r="W7" s="6" t="str">
        <f t="shared" si="11"/>
        <v>,GGoal=</v>
      </c>
      <c r="X7">
        <f>Matchs!L8</f>
        <v>0</v>
      </c>
      <c r="Y7" s="6" t="str">
        <f t="shared" si="12"/>
        <v>,GTeam= "</v>
      </c>
      <c r="Z7" t="str">
        <f>Matchs!M8</f>
        <v>Bolivia</v>
      </c>
      <c r="AA7" s="6" t="str">
        <f t="shared" si="13"/>
        <v>",WinNote="</v>
      </c>
      <c r="AB7" t="str">
        <f>IF(Matchs!N8="","",Matchs!N8)</f>
        <v/>
      </c>
      <c r="AC7" s="6" t="str">
        <f t="shared" si="14"/>
        <v xml:space="preserve">",Stadium=" </v>
      </c>
      <c r="AD7" s="11" t="str">
        <f>Matchs!O8</f>
        <v xml:space="preserve">Parque Central </v>
      </c>
      <c r="AE7" s="6" t="str">
        <f t="shared" si="15"/>
        <v>",Referee= "</v>
      </c>
      <c r="AF7" s="11" t="str">
        <f>Matchs!P8</f>
        <v xml:space="preserve">Francisco Mateucci </v>
      </c>
      <c r="AG7" s="6" t="str">
        <f t="shared" si="16"/>
        <v xml:space="preserve">",Visistors= </v>
      </c>
      <c r="AH7" s="11">
        <f>Matchs!Q8</f>
        <v>800</v>
      </c>
      <c r="AI7" s="11" t="str">
        <f t="shared" si="17"/>
        <v>,Status= "</v>
      </c>
      <c r="AJ7" s="11" t="str">
        <f>Matchs!R8</f>
        <v>Finished</v>
      </c>
      <c r="AK7" t="str">
        <f t="shared" si="18"/>
        <v>" },</v>
      </c>
    </row>
    <row r="8" spans="1:37" x14ac:dyDescent="0.25">
      <c r="A8" t="str">
        <f t="shared" si="0"/>
        <v>new Match { MatchId= "</v>
      </c>
      <c r="B8" t="str">
        <f>Matchs!A9</f>
        <v>FIFAWC1930-8</v>
      </c>
      <c r="C8" t="str">
        <f t="shared" si="1"/>
        <v>",MatchNumer=</v>
      </c>
      <c r="D8">
        <f>Matchs!B9</f>
        <v>8</v>
      </c>
      <c r="E8" t="str">
        <f t="shared" si="2"/>
        <v>,DateMatch=DateTime.Parse("</v>
      </c>
      <c r="F8" s="3">
        <f>Matchs!C9</f>
        <v>11156</v>
      </c>
      <c r="G8" s="10" t="str">
        <f t="shared" si="3"/>
        <v>"),TimeMatch=TimeSpan.Parse("</v>
      </c>
      <c r="H8" s="9">
        <f>Matchs!D9</f>
        <v>0.94791666666666663</v>
      </c>
      <c r="I8" t="str">
        <f t="shared" si="4"/>
        <v>"),MatchYear=</v>
      </c>
      <c r="J8">
        <f>Matchs!E9</f>
        <v>1930</v>
      </c>
      <c r="K8" t="str">
        <f t="shared" si="5"/>
        <v>, SeasonId= "</v>
      </c>
      <c r="L8" t="str">
        <f>Matchs!F9</f>
        <v>FIFAWC1930</v>
      </c>
      <c r="M8" t="str">
        <f t="shared" si="6"/>
        <v>",Round= "</v>
      </c>
      <c r="N8" t="str">
        <f>Matchs!G9</f>
        <v>Final Round</v>
      </c>
      <c r="O8" s="6" t="str">
        <f t="shared" si="7"/>
        <v>",Stage= "</v>
      </c>
      <c r="P8" t="str">
        <f>Matchs!H9</f>
        <v>Group</v>
      </c>
      <c r="Q8" s="6" t="str">
        <f t="shared" si="8"/>
        <v>",SubStage= "</v>
      </c>
      <c r="R8" t="str">
        <f>Matchs!I9</f>
        <v>Group 4</v>
      </c>
      <c r="S8" s="6" t="str">
        <f t="shared" si="9"/>
        <v>",HTeam= "</v>
      </c>
      <c r="T8" t="str">
        <f>Matchs!J9</f>
        <v>USA</v>
      </c>
      <c r="U8" s="6" t="str">
        <f t="shared" si="10"/>
        <v>",HGoal=</v>
      </c>
      <c r="V8">
        <f>Matchs!K9</f>
        <v>3</v>
      </c>
      <c r="W8" s="6" t="str">
        <f t="shared" si="11"/>
        <v>,GGoal=</v>
      </c>
      <c r="X8">
        <f>Matchs!L9</f>
        <v>0</v>
      </c>
      <c r="Y8" s="6" t="str">
        <f t="shared" si="12"/>
        <v>,GTeam= "</v>
      </c>
      <c r="Z8" t="str">
        <f>Matchs!M9</f>
        <v>Paraguay</v>
      </c>
      <c r="AA8" s="6" t="str">
        <f t="shared" si="13"/>
        <v>",WinNote="</v>
      </c>
      <c r="AB8" t="str">
        <f>IF(Matchs!N9="","",Matchs!N9)</f>
        <v/>
      </c>
      <c r="AC8" s="6" t="str">
        <f t="shared" si="14"/>
        <v xml:space="preserve">",Stadium=" </v>
      </c>
      <c r="AD8" s="11" t="str">
        <f>Matchs!O9</f>
        <v xml:space="preserve">Parque Central </v>
      </c>
      <c r="AE8" s="6" t="str">
        <f t="shared" si="15"/>
        <v>",Referee= "</v>
      </c>
      <c r="AF8" s="11" t="str">
        <f>Matchs!P9</f>
        <v xml:space="preserve">Jose Macia </v>
      </c>
      <c r="AG8" s="6" t="str">
        <f t="shared" si="16"/>
        <v xml:space="preserve">",Visistors= </v>
      </c>
      <c r="AH8" s="11">
        <f>Matchs!Q9</f>
        <v>800</v>
      </c>
      <c r="AI8" s="11" t="str">
        <f t="shared" si="17"/>
        <v>,Status= "</v>
      </c>
      <c r="AJ8" s="11" t="str">
        <f>Matchs!R9</f>
        <v>Finished</v>
      </c>
      <c r="AK8" t="str">
        <f t="shared" si="18"/>
        <v>" },</v>
      </c>
    </row>
    <row r="9" spans="1:37" x14ac:dyDescent="0.25">
      <c r="A9" t="str">
        <f t="shared" si="0"/>
        <v>new Match { MatchId= "</v>
      </c>
      <c r="B9" t="str">
        <f>Matchs!A10</f>
        <v>FIFAWC1930-9</v>
      </c>
      <c r="C9" t="str">
        <f t="shared" si="1"/>
        <v>",MatchNumer=</v>
      </c>
      <c r="D9">
        <f>Matchs!B10</f>
        <v>9</v>
      </c>
      <c r="E9" t="str">
        <f t="shared" si="2"/>
        <v>,DateMatch=DateTime.Parse("</v>
      </c>
      <c r="F9" s="3">
        <f>Matchs!C10</f>
        <v>11157</v>
      </c>
      <c r="G9" s="10" t="str">
        <f t="shared" si="3"/>
        <v>"),TimeMatch=TimeSpan.Parse("</v>
      </c>
      <c r="H9" s="9">
        <f>Matchs!D10</f>
        <v>0.94791666666666663</v>
      </c>
      <c r="I9" t="str">
        <f t="shared" si="4"/>
        <v>"),MatchYear=</v>
      </c>
      <c r="J9">
        <f>Matchs!E10</f>
        <v>1930</v>
      </c>
      <c r="K9" t="str">
        <f t="shared" si="5"/>
        <v>, SeasonId= "</v>
      </c>
      <c r="L9" t="str">
        <f>Matchs!F10</f>
        <v>FIFAWC1930</v>
      </c>
      <c r="M9" t="str">
        <f t="shared" si="6"/>
        <v>",Round= "</v>
      </c>
      <c r="N9" t="str">
        <f>Matchs!G10</f>
        <v>Final Round</v>
      </c>
      <c r="O9" s="6" t="str">
        <f t="shared" si="7"/>
        <v>",Stage= "</v>
      </c>
      <c r="P9" t="str">
        <f>Matchs!H10</f>
        <v>Group</v>
      </c>
      <c r="Q9" s="6" t="str">
        <f t="shared" si="8"/>
        <v>",SubStage= "</v>
      </c>
      <c r="R9" t="str">
        <f>Matchs!I10</f>
        <v>Group 3</v>
      </c>
      <c r="S9" s="6" t="str">
        <f t="shared" si="9"/>
        <v>",HTeam= "</v>
      </c>
      <c r="T9" t="str">
        <f>Matchs!J10</f>
        <v>Uruguay</v>
      </c>
      <c r="U9" s="6" t="str">
        <f t="shared" si="10"/>
        <v>",HGoal=</v>
      </c>
      <c r="V9">
        <f>Matchs!K10</f>
        <v>1</v>
      </c>
      <c r="W9" s="6" t="str">
        <f t="shared" si="11"/>
        <v>,GGoal=</v>
      </c>
      <c r="X9">
        <f>Matchs!L10</f>
        <v>0</v>
      </c>
      <c r="Y9" s="6" t="str">
        <f t="shared" si="12"/>
        <v>,GTeam= "</v>
      </c>
      <c r="Z9" t="str">
        <f>Matchs!M10</f>
        <v>Peru</v>
      </c>
      <c r="AA9" s="6" t="str">
        <f t="shared" si="13"/>
        <v>",WinNote="</v>
      </c>
      <c r="AB9" t="str">
        <f>IF(Matchs!N10="","",Matchs!N10)</f>
        <v/>
      </c>
      <c r="AC9" s="6" t="str">
        <f t="shared" si="14"/>
        <v xml:space="preserve">",Stadium=" </v>
      </c>
      <c r="AD9" s="11" t="str">
        <f>Matchs!O10</f>
        <v xml:space="preserve">Estadío Centenario </v>
      </c>
      <c r="AE9" s="6" t="str">
        <f t="shared" si="15"/>
        <v>",Referee= "</v>
      </c>
      <c r="AF9" s="11" t="str">
        <f>Matchs!P10</f>
        <v xml:space="preserve">John Langenus </v>
      </c>
      <c r="AG9" s="6" t="str">
        <f t="shared" si="16"/>
        <v xml:space="preserve">",Visistors= </v>
      </c>
      <c r="AH9" s="11">
        <f>Matchs!Q10</f>
        <v>70000</v>
      </c>
      <c r="AI9" s="11" t="str">
        <f t="shared" si="17"/>
        <v>,Status= "</v>
      </c>
      <c r="AJ9" s="11" t="str">
        <f>Matchs!R10</f>
        <v>Finished</v>
      </c>
      <c r="AK9" t="str">
        <f t="shared" si="18"/>
        <v>" },</v>
      </c>
    </row>
    <row r="10" spans="1:37" x14ac:dyDescent="0.25">
      <c r="A10" t="str">
        <f t="shared" si="0"/>
        <v>new Match { MatchId= "</v>
      </c>
      <c r="B10" t="str">
        <f>Matchs!A11</f>
        <v>FIFAWC1930-10</v>
      </c>
      <c r="C10" t="str">
        <f t="shared" si="1"/>
        <v>",MatchNumer=</v>
      </c>
      <c r="D10">
        <f>Matchs!B11</f>
        <v>10</v>
      </c>
      <c r="E10" t="str">
        <f t="shared" si="2"/>
        <v>,DateMatch=DateTime.Parse("</v>
      </c>
      <c r="F10" s="3">
        <f>Matchs!C11</f>
        <v>11158</v>
      </c>
      <c r="G10" s="10" t="str">
        <f t="shared" si="3"/>
        <v>"),TimeMatch=TimeSpan.Parse("</v>
      </c>
      <c r="H10" s="9">
        <f>Matchs!D11</f>
        <v>0.94791666666666663</v>
      </c>
      <c r="I10" t="str">
        <f t="shared" si="4"/>
        <v>"),MatchYear=</v>
      </c>
      <c r="J10">
        <f>Matchs!E11</f>
        <v>1930</v>
      </c>
      <c r="K10" t="str">
        <f t="shared" si="5"/>
        <v>, SeasonId= "</v>
      </c>
      <c r="L10" t="str">
        <f>Matchs!F11</f>
        <v>FIFAWC1930</v>
      </c>
      <c r="M10" t="str">
        <f t="shared" si="6"/>
        <v>",Round= "</v>
      </c>
      <c r="N10" t="str">
        <f>Matchs!G11</f>
        <v>Final Round</v>
      </c>
      <c r="O10" s="6" t="str">
        <f t="shared" si="7"/>
        <v>",Stage= "</v>
      </c>
      <c r="P10" t="str">
        <f>Matchs!H11</f>
        <v>Group</v>
      </c>
      <c r="Q10" s="6" t="str">
        <f t="shared" si="8"/>
        <v>",SubStage= "</v>
      </c>
      <c r="R10" t="str">
        <f>Matchs!I11</f>
        <v>Group 1</v>
      </c>
      <c r="S10" s="6" t="str">
        <f t="shared" si="9"/>
        <v>",HTeam= "</v>
      </c>
      <c r="T10" t="str">
        <f>Matchs!J11</f>
        <v>Chile</v>
      </c>
      <c r="U10" s="6" t="str">
        <f t="shared" si="10"/>
        <v>",HGoal=</v>
      </c>
      <c r="V10">
        <f>Matchs!K11</f>
        <v>1</v>
      </c>
      <c r="W10" s="6" t="str">
        <f t="shared" si="11"/>
        <v>,GGoal=</v>
      </c>
      <c r="X10">
        <f>Matchs!L11</f>
        <v>0</v>
      </c>
      <c r="Y10" s="6" t="str">
        <f t="shared" si="12"/>
        <v>,GTeam= "</v>
      </c>
      <c r="Z10" t="str">
        <f>Matchs!M11</f>
        <v>France</v>
      </c>
      <c r="AA10" s="6" t="str">
        <f t="shared" si="13"/>
        <v>",WinNote="</v>
      </c>
      <c r="AB10" t="str">
        <f>IF(Matchs!N11="","",Matchs!N11)</f>
        <v/>
      </c>
      <c r="AC10" s="6" t="str">
        <f t="shared" si="14"/>
        <v xml:space="preserve">",Stadium=" </v>
      </c>
      <c r="AD10" s="11" t="str">
        <f>Matchs!O11</f>
        <v xml:space="preserve">Estadío Centenario </v>
      </c>
      <c r="AE10" s="6" t="str">
        <f t="shared" si="15"/>
        <v>",Referee= "</v>
      </c>
      <c r="AF10" s="11" t="str">
        <f>Matchs!P11</f>
        <v xml:space="preserve">Aníbal Tejada </v>
      </c>
      <c r="AG10" s="6" t="str">
        <f t="shared" si="16"/>
        <v xml:space="preserve">",Visistors= </v>
      </c>
      <c r="AH10" s="11">
        <f>Matchs!Q11</f>
        <v>50000</v>
      </c>
      <c r="AI10" s="11" t="str">
        <f t="shared" si="17"/>
        <v>,Status= "</v>
      </c>
      <c r="AJ10" s="11" t="str">
        <f>Matchs!R11</f>
        <v>Finished</v>
      </c>
      <c r="AK10" t="str">
        <f t="shared" si="18"/>
        <v>" },</v>
      </c>
    </row>
    <row r="11" spans="1:37" x14ac:dyDescent="0.25">
      <c r="A11" t="str">
        <f t="shared" si="0"/>
        <v>new Match { MatchId= "</v>
      </c>
      <c r="B11" t="str">
        <f>Matchs!A12</f>
        <v>FIFAWC1930-11</v>
      </c>
      <c r="C11" t="str">
        <f t="shared" si="1"/>
        <v>",MatchNumer=</v>
      </c>
      <c r="D11">
        <f>Matchs!B12</f>
        <v>11</v>
      </c>
      <c r="E11" t="str">
        <f t="shared" si="2"/>
        <v>,DateMatch=DateTime.Parse("</v>
      </c>
      <c r="F11" s="3">
        <f>Matchs!C12</f>
        <v>11158</v>
      </c>
      <c r="G11" s="10" t="str">
        <f t="shared" si="3"/>
        <v>"),TimeMatch=TimeSpan.Parse("</v>
      </c>
      <c r="H11" s="9">
        <f>Matchs!D12</f>
        <v>0.94791666666666663</v>
      </c>
      <c r="I11" t="str">
        <f t="shared" si="4"/>
        <v>"),MatchYear=</v>
      </c>
      <c r="J11">
        <f>Matchs!E12</f>
        <v>1930</v>
      </c>
      <c r="K11" t="str">
        <f t="shared" si="5"/>
        <v>, SeasonId= "</v>
      </c>
      <c r="L11" t="str">
        <f>Matchs!F12</f>
        <v>FIFAWC1930</v>
      </c>
      <c r="M11" t="str">
        <f t="shared" si="6"/>
        <v>",Round= "</v>
      </c>
      <c r="N11" t="str">
        <f>Matchs!G12</f>
        <v>Final Round</v>
      </c>
      <c r="O11" s="6" t="str">
        <f t="shared" si="7"/>
        <v>",Stage= "</v>
      </c>
      <c r="P11" t="str">
        <f>Matchs!H12</f>
        <v>Group</v>
      </c>
      <c r="Q11" s="6" t="str">
        <f t="shared" si="8"/>
        <v>",SubStage= "</v>
      </c>
      <c r="R11" t="str">
        <f>Matchs!I12</f>
        <v>Group 1</v>
      </c>
      <c r="S11" s="6" t="str">
        <f t="shared" si="9"/>
        <v>",HTeam= "</v>
      </c>
      <c r="T11" t="str">
        <f>Matchs!J12</f>
        <v>Argentina</v>
      </c>
      <c r="U11" s="6" t="str">
        <f t="shared" si="10"/>
        <v>",HGoal=</v>
      </c>
      <c r="V11">
        <f>Matchs!K12</f>
        <v>6</v>
      </c>
      <c r="W11" s="6" t="str">
        <f t="shared" si="11"/>
        <v>,GGoal=</v>
      </c>
      <c r="X11">
        <f>Matchs!L12</f>
        <v>3</v>
      </c>
      <c r="Y11" s="6" t="str">
        <f t="shared" si="12"/>
        <v>,GTeam= "</v>
      </c>
      <c r="Z11" t="str">
        <f>Matchs!M12</f>
        <v>Mexico</v>
      </c>
      <c r="AA11" s="6" t="str">
        <f t="shared" si="13"/>
        <v>",WinNote="</v>
      </c>
      <c r="AB11" t="str">
        <f>IF(Matchs!N12="","",Matchs!N12)</f>
        <v/>
      </c>
      <c r="AC11" s="6" t="str">
        <f t="shared" si="14"/>
        <v xml:space="preserve">",Stadium=" </v>
      </c>
      <c r="AD11" s="11" t="str">
        <f>Matchs!O12</f>
        <v xml:space="preserve">Estadío Centenario </v>
      </c>
      <c r="AE11" s="6" t="str">
        <f t="shared" si="15"/>
        <v>",Referee= "</v>
      </c>
      <c r="AF11" s="11" t="str">
        <f>Matchs!P12</f>
        <v xml:space="preserve">Ulises Saucedo </v>
      </c>
      <c r="AG11" s="6" t="str">
        <f t="shared" si="16"/>
        <v xml:space="preserve">",Visistors= </v>
      </c>
      <c r="AH11" s="11">
        <f>Matchs!Q12</f>
        <v>50000</v>
      </c>
      <c r="AI11" s="11" t="str">
        <f t="shared" si="17"/>
        <v>,Status= "</v>
      </c>
      <c r="AJ11" s="11" t="str">
        <f>Matchs!R12</f>
        <v>Finished</v>
      </c>
      <c r="AK11" t="str">
        <f t="shared" si="18"/>
        <v>" },</v>
      </c>
    </row>
    <row r="12" spans="1:37" x14ac:dyDescent="0.25">
      <c r="A12" t="str">
        <f t="shared" si="0"/>
        <v>new Match { MatchId= "</v>
      </c>
      <c r="B12" t="str">
        <f>Matchs!A13</f>
        <v>FIFAWC1930-12</v>
      </c>
      <c r="C12" t="str">
        <f t="shared" si="1"/>
        <v>",MatchNumer=</v>
      </c>
      <c r="D12">
        <f>Matchs!B13</f>
        <v>12</v>
      </c>
      <c r="E12" t="str">
        <f t="shared" si="2"/>
        <v>,DateMatch=DateTime.Parse("</v>
      </c>
      <c r="F12" s="3">
        <f>Matchs!C13</f>
        <v>11159</v>
      </c>
      <c r="G12" s="10" t="str">
        <f t="shared" si="3"/>
        <v>"),TimeMatch=TimeSpan.Parse("</v>
      </c>
      <c r="H12" s="9">
        <f>Matchs!D13</f>
        <v>4.1666666666666664E-2</v>
      </c>
      <c r="I12" t="str">
        <f t="shared" si="4"/>
        <v>"),MatchYear=</v>
      </c>
      <c r="J12">
        <f>Matchs!E13</f>
        <v>1930</v>
      </c>
      <c r="K12" t="str">
        <f t="shared" si="5"/>
        <v>, SeasonId= "</v>
      </c>
      <c r="L12" t="str">
        <f>Matchs!F13</f>
        <v>FIFAWC1930</v>
      </c>
      <c r="M12" t="str">
        <f t="shared" si="6"/>
        <v>",Round= "</v>
      </c>
      <c r="N12" t="str">
        <f>Matchs!G13</f>
        <v>Final Round</v>
      </c>
      <c r="O12" s="6" t="str">
        <f t="shared" si="7"/>
        <v>",Stage= "</v>
      </c>
      <c r="P12" t="str">
        <f>Matchs!H13</f>
        <v>Group</v>
      </c>
      <c r="Q12" s="6" t="str">
        <f t="shared" si="8"/>
        <v>",SubStage= "</v>
      </c>
      <c r="R12" t="str">
        <f>Matchs!I13</f>
        <v>Group 2</v>
      </c>
      <c r="S12" s="6" t="str">
        <f t="shared" si="9"/>
        <v>",HTeam= "</v>
      </c>
      <c r="T12" t="str">
        <f>Matchs!J13</f>
        <v>Brazil</v>
      </c>
      <c r="U12" s="6" t="str">
        <f t="shared" si="10"/>
        <v>",HGoal=</v>
      </c>
      <c r="V12">
        <f>Matchs!K13</f>
        <v>4</v>
      </c>
      <c r="W12" s="6" t="str">
        <f t="shared" si="11"/>
        <v>,GGoal=</v>
      </c>
      <c r="X12">
        <f>Matchs!L13</f>
        <v>0</v>
      </c>
      <c r="Y12" s="6" t="str">
        <f t="shared" si="12"/>
        <v>,GTeam= "</v>
      </c>
      <c r="Z12" t="str">
        <f>Matchs!M13</f>
        <v>Bolivia</v>
      </c>
      <c r="AA12" s="6" t="str">
        <f t="shared" si="13"/>
        <v>",WinNote="</v>
      </c>
      <c r="AB12" t="str">
        <f>IF(Matchs!N13="","",Matchs!N13)</f>
        <v/>
      </c>
      <c r="AC12" s="6" t="str">
        <f t="shared" si="14"/>
        <v xml:space="preserve">",Stadium=" </v>
      </c>
      <c r="AD12" s="11" t="str">
        <f>Matchs!O13</f>
        <v xml:space="preserve">Estadío Centenario </v>
      </c>
      <c r="AE12" s="6" t="str">
        <f t="shared" si="15"/>
        <v>",Referee= "</v>
      </c>
      <c r="AF12" s="11" t="str">
        <f>Matchs!P13</f>
        <v xml:space="preserve">Thomas Balvay </v>
      </c>
      <c r="AG12" s="6" t="str">
        <f t="shared" si="16"/>
        <v xml:space="preserve">",Visistors= </v>
      </c>
      <c r="AH12" s="11">
        <f>Matchs!Q13</f>
        <v>1200</v>
      </c>
      <c r="AI12" s="11" t="str">
        <f t="shared" si="17"/>
        <v>,Status= "</v>
      </c>
      <c r="AJ12" s="11" t="str">
        <f>Matchs!R13</f>
        <v>Finished</v>
      </c>
      <c r="AK12" t="str">
        <f t="shared" si="18"/>
        <v>" },</v>
      </c>
    </row>
    <row r="13" spans="1:37" x14ac:dyDescent="0.25">
      <c r="A13" t="str">
        <f t="shared" si="0"/>
        <v>new Match { MatchId= "</v>
      </c>
      <c r="B13" t="str">
        <f>Matchs!A14</f>
        <v>FIFAWC1930-13</v>
      </c>
      <c r="C13" t="str">
        <f t="shared" si="1"/>
        <v>",MatchNumer=</v>
      </c>
      <c r="D13">
        <f>Matchs!B14</f>
        <v>13</v>
      </c>
      <c r="E13" t="str">
        <f t="shared" si="2"/>
        <v>,DateMatch=DateTime.Parse("</v>
      </c>
      <c r="F13" s="3">
        <f>Matchs!C14</f>
        <v>11159</v>
      </c>
      <c r="G13" s="10" t="str">
        <f t="shared" si="3"/>
        <v>"),TimeMatch=TimeSpan.Parse("</v>
      </c>
      <c r="H13" s="9">
        <f>Matchs!D14</f>
        <v>0.95833333333333337</v>
      </c>
      <c r="I13" t="str">
        <f t="shared" si="4"/>
        <v>"),MatchYear=</v>
      </c>
      <c r="J13">
        <f>Matchs!E14</f>
        <v>1930</v>
      </c>
      <c r="K13" t="str">
        <f t="shared" si="5"/>
        <v>, SeasonId= "</v>
      </c>
      <c r="L13" t="str">
        <f>Matchs!F14</f>
        <v>FIFAWC1930</v>
      </c>
      <c r="M13" t="str">
        <f t="shared" si="6"/>
        <v>",Round= "</v>
      </c>
      <c r="N13" t="str">
        <f>Matchs!G14</f>
        <v>Final Round</v>
      </c>
      <c r="O13" s="6" t="str">
        <f t="shared" si="7"/>
        <v>",Stage= "</v>
      </c>
      <c r="P13" t="str">
        <f>Matchs!H14</f>
        <v>Group</v>
      </c>
      <c r="Q13" s="6" t="str">
        <f t="shared" si="8"/>
        <v>",SubStage= "</v>
      </c>
      <c r="R13" t="str">
        <f>Matchs!I14</f>
        <v>Group 4</v>
      </c>
      <c r="S13" s="6" t="str">
        <f t="shared" si="9"/>
        <v>",HTeam= "</v>
      </c>
      <c r="T13" t="str">
        <f>Matchs!J14</f>
        <v>Paraguay</v>
      </c>
      <c r="U13" s="6" t="str">
        <f t="shared" si="10"/>
        <v>",HGoal=</v>
      </c>
      <c r="V13">
        <f>Matchs!K14</f>
        <v>1</v>
      </c>
      <c r="W13" s="6" t="str">
        <f t="shared" si="11"/>
        <v>,GGoal=</v>
      </c>
      <c r="X13">
        <f>Matchs!L14</f>
        <v>0</v>
      </c>
      <c r="Y13" s="6" t="str">
        <f t="shared" si="12"/>
        <v>,GTeam= "</v>
      </c>
      <c r="Z13" t="str">
        <f>Matchs!M14</f>
        <v>Belgium</v>
      </c>
      <c r="AA13" s="6" t="str">
        <f t="shared" si="13"/>
        <v>",WinNote="</v>
      </c>
      <c r="AB13" t="str">
        <f>IF(Matchs!N14="","",Matchs!N14)</f>
        <v/>
      </c>
      <c r="AC13" s="6" t="str">
        <f t="shared" si="14"/>
        <v xml:space="preserve">",Stadium=" </v>
      </c>
      <c r="AD13" s="11" t="str">
        <f>Matchs!O14</f>
        <v xml:space="preserve">Estadío Centenario </v>
      </c>
      <c r="AE13" s="6" t="str">
        <f t="shared" si="15"/>
        <v>",Referee= "</v>
      </c>
      <c r="AF13" s="11" t="str">
        <f>Matchs!P14</f>
        <v xml:space="preserve">Ricardo Vallarino </v>
      </c>
      <c r="AG13" s="6" t="str">
        <f t="shared" si="16"/>
        <v xml:space="preserve">",Visistors= </v>
      </c>
      <c r="AH13" s="11">
        <f>Matchs!Q14</f>
        <v>900</v>
      </c>
      <c r="AI13" s="11" t="str">
        <f t="shared" si="17"/>
        <v>,Status= "</v>
      </c>
      <c r="AJ13" s="11" t="str">
        <f>Matchs!R14</f>
        <v>Finished</v>
      </c>
      <c r="AK13" t="str">
        <f t="shared" si="18"/>
        <v>" },</v>
      </c>
    </row>
    <row r="14" spans="1:37" x14ac:dyDescent="0.25">
      <c r="A14" t="str">
        <f t="shared" si="0"/>
        <v>new Match { MatchId= "</v>
      </c>
      <c r="B14" t="str">
        <f>Matchs!A15</f>
        <v>FIFAWC1930-14</v>
      </c>
      <c r="C14" t="str">
        <f t="shared" si="1"/>
        <v>",MatchNumer=</v>
      </c>
      <c r="D14">
        <f>Matchs!B15</f>
        <v>14</v>
      </c>
      <c r="E14" t="str">
        <f t="shared" si="2"/>
        <v>,DateMatch=DateTime.Parse("</v>
      </c>
      <c r="F14" s="3">
        <f>Matchs!C15</f>
        <v>11161</v>
      </c>
      <c r="G14" s="10" t="str">
        <f t="shared" si="3"/>
        <v>"),TimeMatch=TimeSpan.Parse("</v>
      </c>
      <c r="H14" s="9">
        <f>Matchs!D15</f>
        <v>4.1666666666666664E-2</v>
      </c>
      <c r="I14" t="str">
        <f t="shared" si="4"/>
        <v>"),MatchYear=</v>
      </c>
      <c r="J14">
        <f>Matchs!E15</f>
        <v>1930</v>
      </c>
      <c r="K14" t="str">
        <f t="shared" si="5"/>
        <v>, SeasonId= "</v>
      </c>
      <c r="L14" t="str">
        <f>Matchs!F15</f>
        <v>FIFAWC1930</v>
      </c>
      <c r="M14" t="str">
        <f t="shared" si="6"/>
        <v>",Round= "</v>
      </c>
      <c r="N14" t="str">
        <f>Matchs!G15</f>
        <v>Final Round</v>
      </c>
      <c r="O14" s="6" t="str">
        <f t="shared" si="7"/>
        <v>",Stage= "</v>
      </c>
      <c r="P14" t="str">
        <f>Matchs!H15</f>
        <v>Group</v>
      </c>
      <c r="Q14" s="6" t="str">
        <f t="shared" si="8"/>
        <v>",SubStage= "</v>
      </c>
      <c r="R14" t="str">
        <f>Matchs!I15</f>
        <v>Group 3</v>
      </c>
      <c r="S14" s="6" t="str">
        <f t="shared" si="9"/>
        <v>",HTeam= "</v>
      </c>
      <c r="T14" t="str">
        <f>Matchs!J15</f>
        <v>Uruguay</v>
      </c>
      <c r="U14" s="6" t="str">
        <f t="shared" si="10"/>
        <v>",HGoal=</v>
      </c>
      <c r="V14">
        <f>Matchs!K15</f>
        <v>4</v>
      </c>
      <c r="W14" s="6" t="str">
        <f t="shared" si="11"/>
        <v>,GGoal=</v>
      </c>
      <c r="X14">
        <f>Matchs!L15</f>
        <v>0</v>
      </c>
      <c r="Y14" s="6" t="str">
        <f t="shared" si="12"/>
        <v>,GTeam= "</v>
      </c>
      <c r="Z14" t="str">
        <f>Matchs!M15</f>
        <v>Romania</v>
      </c>
      <c r="AA14" s="6" t="str">
        <f t="shared" si="13"/>
        <v>",WinNote="</v>
      </c>
      <c r="AB14" t="str">
        <f>IF(Matchs!N15="","",Matchs!N15)</f>
        <v/>
      </c>
      <c r="AC14" s="6" t="str">
        <f t="shared" si="14"/>
        <v xml:space="preserve">",Stadium=" </v>
      </c>
      <c r="AD14" s="11" t="str">
        <f>Matchs!O15</f>
        <v xml:space="preserve">Estadío Centenario </v>
      </c>
      <c r="AE14" s="6" t="str">
        <f t="shared" si="15"/>
        <v>",Referee= "</v>
      </c>
      <c r="AF14" s="11" t="str">
        <f>Matchs!P15</f>
        <v xml:space="preserve">Almeida Rego </v>
      </c>
      <c r="AG14" s="6" t="str">
        <f t="shared" si="16"/>
        <v xml:space="preserve">",Visistors= </v>
      </c>
      <c r="AH14" s="11">
        <f>Matchs!Q15</f>
        <v>80000</v>
      </c>
      <c r="AI14" s="11" t="str">
        <f t="shared" si="17"/>
        <v>,Status= "</v>
      </c>
      <c r="AJ14" s="11" t="str">
        <f>Matchs!R15</f>
        <v>Finished</v>
      </c>
      <c r="AK14" t="str">
        <f t="shared" si="18"/>
        <v>" },</v>
      </c>
    </row>
    <row r="15" spans="1:37" x14ac:dyDescent="0.25">
      <c r="A15" t="str">
        <f t="shared" si="0"/>
        <v>new Match { MatchId= "</v>
      </c>
      <c r="B15" t="str">
        <f>Matchs!A16</f>
        <v>FIFAWC1930-15</v>
      </c>
      <c r="C15" t="str">
        <f t="shared" si="1"/>
        <v>",MatchNumer=</v>
      </c>
      <c r="D15">
        <f>Matchs!B16</f>
        <v>15</v>
      </c>
      <c r="E15" t="str">
        <f t="shared" si="2"/>
        <v>,DateMatch=DateTime.Parse("</v>
      </c>
      <c r="F15" s="3">
        <f>Matchs!C16</f>
        <v>11162</v>
      </c>
      <c r="G15" s="10" t="str">
        <f t="shared" si="3"/>
        <v>"),TimeMatch=TimeSpan.Parse("</v>
      </c>
      <c r="H15" s="9">
        <f>Matchs!D16</f>
        <v>0.94791666666666663</v>
      </c>
      <c r="I15" t="str">
        <f t="shared" si="4"/>
        <v>"),MatchYear=</v>
      </c>
      <c r="J15">
        <f>Matchs!E16</f>
        <v>1930</v>
      </c>
      <c r="K15" t="str">
        <f t="shared" si="5"/>
        <v>, SeasonId= "</v>
      </c>
      <c r="L15" t="str">
        <f>Matchs!F16</f>
        <v>FIFAWC1930</v>
      </c>
      <c r="M15" t="str">
        <f t="shared" si="6"/>
        <v>",Round= "</v>
      </c>
      <c r="N15" t="str">
        <f>Matchs!G16</f>
        <v>Final Round</v>
      </c>
      <c r="O15" s="6" t="str">
        <f t="shared" si="7"/>
        <v>",Stage= "</v>
      </c>
      <c r="P15" t="str">
        <f>Matchs!H16</f>
        <v>Group</v>
      </c>
      <c r="Q15" s="6" t="str">
        <f t="shared" si="8"/>
        <v>",SubStage= "</v>
      </c>
      <c r="R15" t="str">
        <f>Matchs!I16</f>
        <v>Group 1</v>
      </c>
      <c r="S15" s="6" t="str">
        <f t="shared" si="9"/>
        <v>",HTeam= "</v>
      </c>
      <c r="T15" t="str">
        <f>Matchs!J16</f>
        <v>Argentina</v>
      </c>
      <c r="U15" s="6" t="str">
        <f t="shared" si="10"/>
        <v>",HGoal=</v>
      </c>
      <c r="V15">
        <f>Matchs!K16</f>
        <v>3</v>
      </c>
      <c r="W15" s="6" t="str">
        <f t="shared" si="11"/>
        <v>,GGoal=</v>
      </c>
      <c r="X15">
        <f>Matchs!L16</f>
        <v>1</v>
      </c>
      <c r="Y15" s="6" t="str">
        <f t="shared" si="12"/>
        <v>,GTeam= "</v>
      </c>
      <c r="Z15" t="str">
        <f>Matchs!M16</f>
        <v>Chile</v>
      </c>
      <c r="AA15" s="6" t="str">
        <f t="shared" si="13"/>
        <v>",WinNote="</v>
      </c>
      <c r="AB15" t="str">
        <f>IF(Matchs!N16="","",Matchs!N16)</f>
        <v/>
      </c>
      <c r="AC15" s="6" t="str">
        <f t="shared" si="14"/>
        <v xml:space="preserve">",Stadium=" </v>
      </c>
      <c r="AD15" s="11" t="str">
        <f>Matchs!O16</f>
        <v xml:space="preserve">Estadío Centenario </v>
      </c>
      <c r="AE15" s="6" t="str">
        <f t="shared" si="15"/>
        <v>",Referee= "</v>
      </c>
      <c r="AF15" s="11" t="str">
        <f>Matchs!P16</f>
        <v xml:space="preserve">John Langenus </v>
      </c>
      <c r="AG15" s="6" t="str">
        <f t="shared" si="16"/>
        <v xml:space="preserve">",Visistors= </v>
      </c>
      <c r="AH15" s="11">
        <f>Matchs!Q16</f>
        <v>35000</v>
      </c>
      <c r="AI15" s="11" t="str">
        <f t="shared" si="17"/>
        <v>,Status= "</v>
      </c>
      <c r="AJ15" s="11" t="str">
        <f>Matchs!R16</f>
        <v>Finished</v>
      </c>
      <c r="AK15" t="str">
        <f t="shared" si="18"/>
        <v>" },</v>
      </c>
    </row>
    <row r="16" spans="1:37" x14ac:dyDescent="0.25">
      <c r="A16" t="str">
        <f t="shared" si="0"/>
        <v>new Match { MatchId= "</v>
      </c>
      <c r="B16" t="str">
        <f>Matchs!A17</f>
        <v>FIFAWC1930-16</v>
      </c>
      <c r="C16" t="str">
        <f t="shared" si="1"/>
        <v>",MatchNumer=</v>
      </c>
      <c r="D16">
        <f>Matchs!B17</f>
        <v>16</v>
      </c>
      <c r="E16" t="str">
        <f t="shared" si="2"/>
        <v>,DateMatch=DateTime.Parse("</v>
      </c>
      <c r="F16" s="3">
        <f>Matchs!C17</f>
        <v>11165</v>
      </c>
      <c r="G16" s="10" t="str">
        <f t="shared" si="3"/>
        <v>"),TimeMatch=TimeSpan.Parse("</v>
      </c>
      <c r="H16" s="9">
        <f>Matchs!D17</f>
        <v>0.94791666666666663</v>
      </c>
      <c r="I16" t="str">
        <f t="shared" si="4"/>
        <v>"),MatchYear=</v>
      </c>
      <c r="J16">
        <f>Matchs!E17</f>
        <v>1930</v>
      </c>
      <c r="K16" t="str">
        <f t="shared" si="5"/>
        <v>, SeasonId= "</v>
      </c>
      <c r="L16" t="str">
        <f>Matchs!F17</f>
        <v>FIFAWC1930</v>
      </c>
      <c r="M16" t="str">
        <f t="shared" si="6"/>
        <v>",Round= "</v>
      </c>
      <c r="N16" t="str">
        <f>Matchs!G17</f>
        <v>Final Round</v>
      </c>
      <c r="O16" s="6" t="str">
        <f t="shared" si="7"/>
        <v>",Stage= "</v>
      </c>
      <c r="P16" t="str">
        <f>Matchs!H17</f>
        <v>Knockouts</v>
      </c>
      <c r="Q16" s="6" t="str">
        <f t="shared" si="8"/>
        <v>",SubStage= "</v>
      </c>
      <c r="R16" t="str">
        <f>Matchs!I17</f>
        <v>Semifinal</v>
      </c>
      <c r="S16" s="6" t="str">
        <f t="shared" si="9"/>
        <v>",HTeam= "</v>
      </c>
      <c r="T16" t="str">
        <f>Matchs!J17</f>
        <v>Argentina</v>
      </c>
      <c r="U16" s="6" t="str">
        <f t="shared" si="10"/>
        <v>",HGoal=</v>
      </c>
      <c r="V16">
        <f>Matchs!K17</f>
        <v>6</v>
      </c>
      <c r="W16" s="6" t="str">
        <f t="shared" si="11"/>
        <v>,GGoal=</v>
      </c>
      <c r="X16">
        <f>Matchs!L17</f>
        <v>1</v>
      </c>
      <c r="Y16" s="6" t="str">
        <f t="shared" si="12"/>
        <v>,GTeam= "</v>
      </c>
      <c r="Z16" t="str">
        <f>Matchs!M17</f>
        <v>USA</v>
      </c>
      <c r="AA16" s="6" t="str">
        <f t="shared" si="13"/>
        <v>",WinNote="</v>
      </c>
      <c r="AB16" t="str">
        <f>IF(Matchs!N17="","",Matchs!N17)</f>
        <v/>
      </c>
      <c r="AC16" s="6" t="str">
        <f t="shared" si="14"/>
        <v xml:space="preserve">",Stadium=" </v>
      </c>
      <c r="AD16" s="11" t="str">
        <f>Matchs!O17</f>
        <v xml:space="preserve">Estadío Centenario </v>
      </c>
      <c r="AE16" s="6" t="str">
        <f t="shared" si="15"/>
        <v>",Referee= "</v>
      </c>
      <c r="AF16" s="11" t="str">
        <f>Matchs!P17</f>
        <v xml:space="preserve">John Langenus </v>
      </c>
      <c r="AG16" s="6" t="str">
        <f t="shared" si="16"/>
        <v xml:space="preserve">",Visistors= </v>
      </c>
      <c r="AH16" s="11">
        <f>Matchs!Q17</f>
        <v>72886</v>
      </c>
      <c r="AI16" s="11" t="str">
        <f t="shared" si="17"/>
        <v>,Status= "</v>
      </c>
      <c r="AJ16" s="11" t="str">
        <f>Matchs!R17</f>
        <v>Finished</v>
      </c>
      <c r="AK16" t="str">
        <f t="shared" si="18"/>
        <v>" },</v>
      </c>
    </row>
    <row r="17" spans="1:37" x14ac:dyDescent="0.25">
      <c r="A17" t="str">
        <f t="shared" si="0"/>
        <v>new Match { MatchId= "</v>
      </c>
      <c r="B17" t="str">
        <f>Matchs!A18</f>
        <v>FIFAWC1930-17</v>
      </c>
      <c r="C17" t="str">
        <f t="shared" si="1"/>
        <v>",MatchNumer=</v>
      </c>
      <c r="D17">
        <f>Matchs!B18</f>
        <v>17</v>
      </c>
      <c r="E17" t="str">
        <f t="shared" si="2"/>
        <v>,DateMatch=DateTime.Parse("</v>
      </c>
      <c r="F17" s="3">
        <f>Matchs!C18</f>
        <v>11166</v>
      </c>
      <c r="G17" s="10" t="str">
        <f t="shared" si="3"/>
        <v>"),TimeMatch=TimeSpan.Parse("</v>
      </c>
      <c r="H17" s="9">
        <f>Matchs!D18</f>
        <v>0.94791666666666663</v>
      </c>
      <c r="I17" t="str">
        <f t="shared" si="4"/>
        <v>"),MatchYear=</v>
      </c>
      <c r="J17">
        <f>Matchs!E18</f>
        <v>1930</v>
      </c>
      <c r="K17" t="str">
        <f t="shared" si="5"/>
        <v>, SeasonId= "</v>
      </c>
      <c r="L17" t="str">
        <f>Matchs!F18</f>
        <v>FIFAWC1930</v>
      </c>
      <c r="M17" t="str">
        <f t="shared" si="6"/>
        <v>",Round= "</v>
      </c>
      <c r="N17" t="str">
        <f>Matchs!G18</f>
        <v>Final Round</v>
      </c>
      <c r="O17" s="6" t="str">
        <f t="shared" si="7"/>
        <v>",Stage= "</v>
      </c>
      <c r="P17" t="str">
        <f>Matchs!H18</f>
        <v>Knockouts</v>
      </c>
      <c r="Q17" s="6" t="str">
        <f t="shared" si="8"/>
        <v>",SubStage= "</v>
      </c>
      <c r="R17" t="str">
        <f>Matchs!I18</f>
        <v>Semifinal</v>
      </c>
      <c r="S17" s="6" t="str">
        <f t="shared" si="9"/>
        <v>",HTeam= "</v>
      </c>
      <c r="T17" t="str">
        <f>Matchs!J18</f>
        <v>Uruguay</v>
      </c>
      <c r="U17" s="6" t="str">
        <f t="shared" si="10"/>
        <v>",HGoal=</v>
      </c>
      <c r="V17">
        <f>Matchs!K18</f>
        <v>6</v>
      </c>
      <c r="W17" s="6" t="str">
        <f t="shared" si="11"/>
        <v>,GGoal=</v>
      </c>
      <c r="X17">
        <f>Matchs!L18</f>
        <v>1</v>
      </c>
      <c r="Y17" s="6" t="str">
        <f t="shared" si="12"/>
        <v>,GTeam= "</v>
      </c>
      <c r="Z17" t="str">
        <f>Matchs!M18</f>
        <v>Yugoslavia</v>
      </c>
      <c r="AA17" s="6" t="str">
        <f t="shared" si="13"/>
        <v>",WinNote="</v>
      </c>
      <c r="AB17" t="str">
        <f>IF(Matchs!N18="","",Matchs!N18)</f>
        <v/>
      </c>
      <c r="AC17" s="6" t="str">
        <f t="shared" si="14"/>
        <v xml:space="preserve">",Stadium=" </v>
      </c>
      <c r="AD17" s="11" t="str">
        <f>Matchs!O18</f>
        <v xml:space="preserve">Estadío Centenario </v>
      </c>
      <c r="AE17" s="6" t="str">
        <f t="shared" si="15"/>
        <v>",Referee= "</v>
      </c>
      <c r="AF17" s="11" t="str">
        <f>Matchs!P18</f>
        <v xml:space="preserve">Almeida Rego </v>
      </c>
      <c r="AG17" s="6" t="str">
        <f t="shared" si="16"/>
        <v xml:space="preserve">",Visistors= </v>
      </c>
      <c r="AH17" s="11">
        <f>Matchs!Q18</f>
        <v>79867</v>
      </c>
      <c r="AI17" s="11" t="str">
        <f t="shared" si="17"/>
        <v>,Status= "</v>
      </c>
      <c r="AJ17" s="11" t="str">
        <f>Matchs!R18</f>
        <v>Finished</v>
      </c>
      <c r="AK17" t="str">
        <f t="shared" si="18"/>
        <v>" },</v>
      </c>
    </row>
    <row r="18" spans="1:37" x14ac:dyDescent="0.25">
      <c r="A18" t="str">
        <f t="shared" si="0"/>
        <v>new Match { MatchId= "</v>
      </c>
      <c r="B18" t="str">
        <f>Matchs!A19</f>
        <v>FIFAWC1930-18</v>
      </c>
      <c r="C18" t="str">
        <f t="shared" si="1"/>
        <v>",MatchNumer=</v>
      </c>
      <c r="D18">
        <f>Matchs!B19</f>
        <v>18</v>
      </c>
      <c r="E18" t="str">
        <f t="shared" si="2"/>
        <v>,DateMatch=DateTime.Parse("</v>
      </c>
      <c r="F18" s="3">
        <f>Matchs!C19</f>
        <v>11169</v>
      </c>
      <c r="G18" s="10" t="str">
        <f t="shared" si="3"/>
        <v>"),TimeMatch=TimeSpan.Parse("</v>
      </c>
      <c r="H18" s="9">
        <f>Matchs!D19</f>
        <v>0.94791666666666663</v>
      </c>
      <c r="I18" t="str">
        <f t="shared" si="4"/>
        <v>"),MatchYear=</v>
      </c>
      <c r="J18">
        <f>Matchs!E19</f>
        <v>1930</v>
      </c>
      <c r="K18" t="str">
        <f t="shared" si="5"/>
        <v>, SeasonId= "</v>
      </c>
      <c r="L18" t="str">
        <f>Matchs!F19</f>
        <v>FIFAWC1930</v>
      </c>
      <c r="M18" t="str">
        <f t="shared" si="6"/>
        <v>",Round= "</v>
      </c>
      <c r="N18" t="str">
        <f>Matchs!G19</f>
        <v>Final Round</v>
      </c>
      <c r="O18" s="6" t="str">
        <f t="shared" si="7"/>
        <v>",Stage= "</v>
      </c>
      <c r="P18" t="str">
        <f>Matchs!H19</f>
        <v>Knockouts</v>
      </c>
      <c r="Q18" s="6" t="str">
        <f t="shared" si="8"/>
        <v>",SubStage= "</v>
      </c>
      <c r="R18" t="str">
        <f>Matchs!I19</f>
        <v>Final</v>
      </c>
      <c r="S18" s="6" t="str">
        <f t="shared" si="9"/>
        <v>",HTeam= "</v>
      </c>
      <c r="T18" t="str">
        <f>Matchs!J19</f>
        <v>Uruguay</v>
      </c>
      <c r="U18" s="6" t="str">
        <f t="shared" si="10"/>
        <v>",HGoal=</v>
      </c>
      <c r="V18">
        <f>Matchs!K19</f>
        <v>4</v>
      </c>
      <c r="W18" s="6" t="str">
        <f t="shared" si="11"/>
        <v>,GGoal=</v>
      </c>
      <c r="X18">
        <f>Matchs!L19</f>
        <v>2</v>
      </c>
      <c r="Y18" s="6" t="str">
        <f t="shared" si="12"/>
        <v>,GTeam= "</v>
      </c>
      <c r="Z18" t="str">
        <f>Matchs!M19</f>
        <v>Argentina</v>
      </c>
      <c r="AA18" s="6" t="str">
        <f t="shared" si="13"/>
        <v>",WinNote="</v>
      </c>
      <c r="AB18" t="str">
        <f>IF(Matchs!N19="","",Matchs!N19)</f>
        <v/>
      </c>
      <c r="AC18" s="6" t="str">
        <f t="shared" si="14"/>
        <v xml:space="preserve">",Stadium=" </v>
      </c>
      <c r="AD18" s="11" t="str">
        <f>Matchs!O19</f>
        <v xml:space="preserve">Estadío Centenario </v>
      </c>
      <c r="AE18" s="6" t="str">
        <f t="shared" si="15"/>
        <v>",Referee= "</v>
      </c>
      <c r="AF18" s="11" t="str">
        <f>Matchs!P19</f>
        <v xml:space="preserve">John Langenus </v>
      </c>
      <c r="AG18" s="6" t="str">
        <f t="shared" si="16"/>
        <v xml:space="preserve">",Visistors= </v>
      </c>
      <c r="AH18" s="11">
        <f>Matchs!Q19</f>
        <v>93000</v>
      </c>
      <c r="AI18" s="11" t="str">
        <f t="shared" si="17"/>
        <v>,Status= "</v>
      </c>
      <c r="AJ18" s="11" t="str">
        <f>Matchs!R19</f>
        <v>Finished</v>
      </c>
      <c r="AK18" t="str">
        <f t="shared" si="18"/>
        <v>" },</v>
      </c>
    </row>
    <row r="19" spans="1:37" x14ac:dyDescent="0.25">
      <c r="A19" t="str">
        <f t="shared" si="0"/>
        <v>new Match { MatchId= "</v>
      </c>
      <c r="B19" t="str">
        <f>Matchs!A20</f>
        <v>FIFAWC1934-1</v>
      </c>
      <c r="C19" t="str">
        <f t="shared" si="1"/>
        <v>",MatchNumer=</v>
      </c>
      <c r="D19">
        <f>Matchs!B20</f>
        <v>1</v>
      </c>
      <c r="E19" t="str">
        <f t="shared" si="2"/>
        <v>,DateMatch=DateTime.Parse("</v>
      </c>
      <c r="F19" s="3">
        <f>Matchs!C20</f>
        <v>12566</v>
      </c>
      <c r="G19" s="10" t="str">
        <f t="shared" si="3"/>
        <v>"),TimeMatch=TimeSpan.Parse("</v>
      </c>
      <c r="H19" s="9">
        <f>Matchs!D20</f>
        <v>0.89583333333333337</v>
      </c>
      <c r="I19" t="str">
        <f t="shared" si="4"/>
        <v>"),MatchYear=</v>
      </c>
      <c r="J19">
        <f>Matchs!E20</f>
        <v>1934</v>
      </c>
      <c r="K19" t="str">
        <f t="shared" si="5"/>
        <v>, SeasonId= "</v>
      </c>
      <c r="L19" t="str">
        <f>Matchs!F20</f>
        <v>FIFAWC1934</v>
      </c>
      <c r="M19" t="str">
        <f t="shared" si="6"/>
        <v>",Round= "</v>
      </c>
      <c r="N19" t="str">
        <f>Matchs!G20</f>
        <v>Final Round</v>
      </c>
      <c r="O19" s="6" t="str">
        <f t="shared" si="7"/>
        <v>",Stage= "</v>
      </c>
      <c r="P19" t="str">
        <f>Matchs!H20</f>
        <v>Group</v>
      </c>
      <c r="Q19" s="6" t="str">
        <f t="shared" si="8"/>
        <v>",SubStage= "</v>
      </c>
      <c r="R19" t="str">
        <f>Matchs!I20</f>
        <v>Preliminary Round</v>
      </c>
      <c r="S19" s="6" t="str">
        <f t="shared" si="9"/>
        <v>",HTeam= "</v>
      </c>
      <c r="T19" t="str">
        <f>Matchs!J20</f>
        <v>Czechoslovakia</v>
      </c>
      <c r="U19" s="6" t="str">
        <f t="shared" si="10"/>
        <v>",HGoal=</v>
      </c>
      <c r="V19">
        <f>Matchs!K20</f>
        <v>2</v>
      </c>
      <c r="W19" s="6" t="str">
        <f t="shared" si="11"/>
        <v>,GGoal=</v>
      </c>
      <c r="X19">
        <f>Matchs!L20</f>
        <v>1</v>
      </c>
      <c r="Y19" s="6" t="str">
        <f t="shared" si="12"/>
        <v>,GTeam= "</v>
      </c>
      <c r="Z19" t="str">
        <f>Matchs!M20</f>
        <v>Romania</v>
      </c>
      <c r="AA19" s="6" t="str">
        <f t="shared" si="13"/>
        <v>",WinNote="</v>
      </c>
      <c r="AB19" t="str">
        <f>IF(Matchs!N20="","",Matchs!N20)</f>
        <v/>
      </c>
      <c r="AC19" s="6" t="str">
        <f t="shared" si="14"/>
        <v xml:space="preserve">",Stadium=" </v>
      </c>
      <c r="AD19" s="11" t="str">
        <f>Matchs!O20</f>
        <v xml:space="preserve">Stadio Giuseppe Grezar </v>
      </c>
      <c r="AE19" s="6" t="str">
        <f t="shared" si="15"/>
        <v>",Referee= "</v>
      </c>
      <c r="AF19" s="11" t="str">
        <f>Matchs!P20</f>
        <v xml:space="preserve">John Langenus </v>
      </c>
      <c r="AG19" s="6" t="str">
        <f t="shared" si="16"/>
        <v xml:space="preserve">",Visistors= </v>
      </c>
      <c r="AH19" s="11">
        <f>Matchs!Q20</f>
        <v>8000</v>
      </c>
      <c r="AI19" s="11" t="str">
        <f t="shared" si="17"/>
        <v>,Status= "</v>
      </c>
      <c r="AJ19" s="11" t="str">
        <f>Matchs!R20</f>
        <v>Finished</v>
      </c>
      <c r="AK19" t="str">
        <f t="shared" si="18"/>
        <v>" },</v>
      </c>
    </row>
    <row r="20" spans="1:37" x14ac:dyDescent="0.25">
      <c r="A20" t="str">
        <f t="shared" si="0"/>
        <v>new Match { MatchId= "</v>
      </c>
      <c r="B20" t="str">
        <f>Matchs!A21</f>
        <v>FIFAWC1934-2</v>
      </c>
      <c r="C20" t="str">
        <f t="shared" si="1"/>
        <v>",MatchNumer=</v>
      </c>
      <c r="D20">
        <f>Matchs!B21</f>
        <v>2</v>
      </c>
      <c r="E20" t="str">
        <f t="shared" si="2"/>
        <v>,DateMatch=DateTime.Parse("</v>
      </c>
      <c r="F20" s="3">
        <f>Matchs!C21</f>
        <v>12566</v>
      </c>
      <c r="G20" s="10" t="str">
        <f t="shared" si="3"/>
        <v>"),TimeMatch=TimeSpan.Parse("</v>
      </c>
      <c r="H20" s="9">
        <f>Matchs!D21</f>
        <v>0.89583333333333337</v>
      </c>
      <c r="I20" t="str">
        <f t="shared" si="4"/>
        <v>"),MatchYear=</v>
      </c>
      <c r="J20">
        <f>Matchs!E21</f>
        <v>1934</v>
      </c>
      <c r="K20" t="str">
        <f t="shared" si="5"/>
        <v>, SeasonId= "</v>
      </c>
      <c r="L20" t="str">
        <f>Matchs!F21</f>
        <v>FIFAWC1934</v>
      </c>
      <c r="M20" t="str">
        <f t="shared" si="6"/>
        <v>",Round= "</v>
      </c>
      <c r="N20" t="str">
        <f>Matchs!G21</f>
        <v>Final Round</v>
      </c>
      <c r="O20" s="6" t="str">
        <f t="shared" si="7"/>
        <v>",Stage= "</v>
      </c>
      <c r="P20" t="str">
        <f>Matchs!H21</f>
        <v>Group</v>
      </c>
      <c r="Q20" s="6" t="str">
        <f t="shared" si="8"/>
        <v>",SubStage= "</v>
      </c>
      <c r="R20" t="str">
        <f>Matchs!I21</f>
        <v>Preliminary Round</v>
      </c>
      <c r="S20" s="6" t="str">
        <f t="shared" si="9"/>
        <v>",HTeam= "</v>
      </c>
      <c r="T20" t="str">
        <f>Matchs!J21</f>
        <v>Austria</v>
      </c>
      <c r="U20" s="6" t="str">
        <f t="shared" si="10"/>
        <v>",HGoal=</v>
      </c>
      <c r="V20">
        <f>Matchs!K21</f>
        <v>3</v>
      </c>
      <c r="W20" s="6" t="str">
        <f t="shared" si="11"/>
        <v>,GGoal=</v>
      </c>
      <c r="X20">
        <f>Matchs!L21</f>
        <v>2</v>
      </c>
      <c r="Y20" s="6" t="str">
        <f t="shared" si="12"/>
        <v>,GTeam= "</v>
      </c>
      <c r="Z20" t="str">
        <f>Matchs!M21</f>
        <v>France</v>
      </c>
      <c r="AA20" s="6" t="str">
        <f t="shared" si="13"/>
        <v>",WinNote="</v>
      </c>
      <c r="AB20" t="str">
        <f>IF(Matchs!N21="","",Matchs!N21)</f>
        <v/>
      </c>
      <c r="AC20" s="6" t="str">
        <f t="shared" si="14"/>
        <v xml:space="preserve">",Stadium=" </v>
      </c>
      <c r="AD20" s="11" t="str">
        <f>Matchs!O21</f>
        <v xml:space="preserve">Stadio Olimpico di Torino </v>
      </c>
      <c r="AE20" s="6" t="str">
        <f t="shared" si="15"/>
        <v>",Referee= "</v>
      </c>
      <c r="AF20" s="11" t="str">
        <f>Matchs!P21</f>
        <v xml:space="preserve">Johannes van Moorsel </v>
      </c>
      <c r="AG20" s="6" t="str">
        <f t="shared" si="16"/>
        <v xml:space="preserve">",Visistors= </v>
      </c>
      <c r="AH20" s="11">
        <f>Matchs!Q21</f>
        <v>20000</v>
      </c>
      <c r="AI20" s="11" t="str">
        <f t="shared" si="17"/>
        <v>,Status= "</v>
      </c>
      <c r="AJ20" s="11" t="str">
        <f>Matchs!R21</f>
        <v>Finished</v>
      </c>
      <c r="AK20" t="str">
        <f t="shared" si="18"/>
        <v>" },</v>
      </c>
    </row>
    <row r="21" spans="1:37" x14ac:dyDescent="0.25">
      <c r="A21" t="str">
        <f t="shared" si="0"/>
        <v>new Match { MatchId= "</v>
      </c>
      <c r="B21" t="str">
        <f>Matchs!A22</f>
        <v>FIFAWC1934-3</v>
      </c>
      <c r="C21" t="str">
        <f t="shared" si="1"/>
        <v>",MatchNumer=</v>
      </c>
      <c r="D21">
        <f>Matchs!B22</f>
        <v>3</v>
      </c>
      <c r="E21" t="str">
        <f t="shared" si="2"/>
        <v>,DateMatch=DateTime.Parse("</v>
      </c>
      <c r="F21" s="3">
        <f>Matchs!C22</f>
        <v>12566</v>
      </c>
      <c r="G21" s="10" t="str">
        <f t="shared" si="3"/>
        <v>"),TimeMatch=TimeSpan.Parse("</v>
      </c>
      <c r="H21" s="9">
        <f>Matchs!D22</f>
        <v>0.89583333333333337</v>
      </c>
      <c r="I21" t="str">
        <f t="shared" si="4"/>
        <v>"),MatchYear=</v>
      </c>
      <c r="J21">
        <f>Matchs!E22</f>
        <v>1934</v>
      </c>
      <c r="K21" t="str">
        <f t="shared" si="5"/>
        <v>, SeasonId= "</v>
      </c>
      <c r="L21" t="str">
        <f>Matchs!F22</f>
        <v>FIFAWC1934</v>
      </c>
      <c r="M21" t="str">
        <f t="shared" si="6"/>
        <v>",Round= "</v>
      </c>
      <c r="N21" t="str">
        <f>Matchs!G22</f>
        <v>Final Round</v>
      </c>
      <c r="O21" s="6" t="str">
        <f t="shared" si="7"/>
        <v>",Stage= "</v>
      </c>
      <c r="P21" t="str">
        <f>Matchs!H22</f>
        <v>Group</v>
      </c>
      <c r="Q21" s="6" t="str">
        <f t="shared" si="8"/>
        <v>",SubStage= "</v>
      </c>
      <c r="R21" t="str">
        <f>Matchs!I22</f>
        <v>Preliminary Round</v>
      </c>
      <c r="S21" s="6" t="str">
        <f t="shared" si="9"/>
        <v>",HTeam= "</v>
      </c>
      <c r="T21" t="str">
        <f>Matchs!J22</f>
        <v>Switzerland</v>
      </c>
      <c r="U21" s="6" t="str">
        <f t="shared" si="10"/>
        <v>",HGoal=</v>
      </c>
      <c r="V21">
        <f>Matchs!K22</f>
        <v>3</v>
      </c>
      <c r="W21" s="6" t="str">
        <f t="shared" si="11"/>
        <v>,GGoal=</v>
      </c>
      <c r="X21">
        <f>Matchs!L22</f>
        <v>2</v>
      </c>
      <c r="Y21" s="6" t="str">
        <f t="shared" si="12"/>
        <v>,GTeam= "</v>
      </c>
      <c r="Z21" t="str">
        <f>Matchs!M22</f>
        <v>Netherlands</v>
      </c>
      <c r="AA21" s="6" t="str">
        <f t="shared" si="13"/>
        <v>",WinNote="</v>
      </c>
      <c r="AB21" t="str">
        <f>IF(Matchs!N22="","",Matchs!N22)</f>
        <v/>
      </c>
      <c r="AC21" s="6" t="str">
        <f t="shared" si="14"/>
        <v xml:space="preserve">",Stadium=" </v>
      </c>
      <c r="AD21" s="11" t="str">
        <f>Matchs!O22</f>
        <v xml:space="preserve">San Siro </v>
      </c>
      <c r="AE21" s="6" t="str">
        <f t="shared" si="15"/>
        <v>",Referee= "</v>
      </c>
      <c r="AF21" s="11" t="str">
        <f>Matchs!P22</f>
        <v xml:space="preserve">Ivan Eklind </v>
      </c>
      <c r="AG21" s="6" t="str">
        <f t="shared" si="16"/>
        <v xml:space="preserve">",Visistors= </v>
      </c>
      <c r="AH21" s="11">
        <f>Matchs!Q22</f>
        <v>40000</v>
      </c>
      <c r="AI21" s="11" t="str">
        <f t="shared" si="17"/>
        <v>,Status= "</v>
      </c>
      <c r="AJ21" s="11" t="str">
        <f>Matchs!R22</f>
        <v>Finished</v>
      </c>
      <c r="AK21" t="str">
        <f t="shared" si="18"/>
        <v>" },</v>
      </c>
    </row>
    <row r="22" spans="1:37" x14ac:dyDescent="0.25">
      <c r="A22" t="str">
        <f t="shared" si="0"/>
        <v>new Match { MatchId= "</v>
      </c>
      <c r="B22" t="str">
        <f>Matchs!A23</f>
        <v>FIFAWC1934-4</v>
      </c>
      <c r="C22" t="str">
        <f t="shared" si="1"/>
        <v>",MatchNumer=</v>
      </c>
      <c r="D22">
        <f>Matchs!B23</f>
        <v>4</v>
      </c>
      <c r="E22" t="str">
        <f t="shared" si="2"/>
        <v>,DateMatch=DateTime.Parse("</v>
      </c>
      <c r="F22" s="3">
        <f>Matchs!C23</f>
        <v>12566</v>
      </c>
      <c r="G22" s="10" t="str">
        <f t="shared" si="3"/>
        <v>"),TimeMatch=TimeSpan.Parse("</v>
      </c>
      <c r="H22" s="9">
        <f>Matchs!D23</f>
        <v>0.89583333333333337</v>
      </c>
      <c r="I22" t="str">
        <f t="shared" si="4"/>
        <v>"),MatchYear=</v>
      </c>
      <c r="J22">
        <f>Matchs!E23</f>
        <v>1934</v>
      </c>
      <c r="K22" t="str">
        <f t="shared" si="5"/>
        <v>, SeasonId= "</v>
      </c>
      <c r="L22" t="str">
        <f>Matchs!F23</f>
        <v>FIFAWC1934</v>
      </c>
      <c r="M22" t="str">
        <f t="shared" si="6"/>
        <v>",Round= "</v>
      </c>
      <c r="N22" t="str">
        <f>Matchs!G23</f>
        <v>Final Round</v>
      </c>
      <c r="O22" s="6" t="str">
        <f t="shared" si="7"/>
        <v>",Stage= "</v>
      </c>
      <c r="P22" t="str">
        <f>Matchs!H23</f>
        <v>Group</v>
      </c>
      <c r="Q22" s="6" t="str">
        <f t="shared" si="8"/>
        <v>",SubStage= "</v>
      </c>
      <c r="R22" t="str">
        <f>Matchs!I23</f>
        <v>Preliminary Round</v>
      </c>
      <c r="S22" s="6" t="str">
        <f t="shared" si="9"/>
        <v>",HTeam= "</v>
      </c>
      <c r="T22" t="str">
        <f>Matchs!J23</f>
        <v>Germany</v>
      </c>
      <c r="U22" s="6" t="str">
        <f t="shared" si="10"/>
        <v>",HGoal=</v>
      </c>
      <c r="V22">
        <f>Matchs!K23</f>
        <v>5</v>
      </c>
      <c r="W22" s="6" t="str">
        <f t="shared" si="11"/>
        <v>,GGoal=</v>
      </c>
      <c r="X22">
        <f>Matchs!L23</f>
        <v>2</v>
      </c>
      <c r="Y22" s="6" t="str">
        <f t="shared" si="12"/>
        <v>,GTeam= "</v>
      </c>
      <c r="Z22" t="str">
        <f>Matchs!M23</f>
        <v>Belgium</v>
      </c>
      <c r="AA22" s="6" t="str">
        <f t="shared" si="13"/>
        <v>",WinNote="</v>
      </c>
      <c r="AB22" t="str">
        <f>IF(Matchs!N23="","",Matchs!N23)</f>
        <v/>
      </c>
      <c r="AC22" s="6" t="str">
        <f t="shared" si="14"/>
        <v xml:space="preserve">",Stadium=" </v>
      </c>
      <c r="AD22" s="11" t="str">
        <f>Matchs!O23</f>
        <v xml:space="preserve">Stadio Artemio Franchi </v>
      </c>
      <c r="AE22" s="6" t="str">
        <f t="shared" si="15"/>
        <v>",Referee= "</v>
      </c>
      <c r="AF22" s="11" t="str">
        <f>Matchs!P23</f>
        <v xml:space="preserve">Francesco Mattea </v>
      </c>
      <c r="AG22" s="6" t="str">
        <f t="shared" si="16"/>
        <v xml:space="preserve">",Visistors= </v>
      </c>
      <c r="AH22" s="11">
        <f>Matchs!Q23</f>
        <v>8000</v>
      </c>
      <c r="AI22" s="11" t="str">
        <f t="shared" si="17"/>
        <v>,Status= "</v>
      </c>
      <c r="AJ22" s="11" t="str">
        <f>Matchs!R23</f>
        <v>Finished</v>
      </c>
      <c r="AK22" t="str">
        <f t="shared" si="18"/>
        <v>" },</v>
      </c>
    </row>
    <row r="23" spans="1:37" x14ac:dyDescent="0.25">
      <c r="A23" t="str">
        <f t="shared" si="0"/>
        <v>new Match { MatchId= "</v>
      </c>
      <c r="B23" t="str">
        <f>Matchs!A24</f>
        <v>FIFAWC1934-5</v>
      </c>
      <c r="C23" t="str">
        <f t="shared" si="1"/>
        <v>",MatchNumer=</v>
      </c>
      <c r="D23">
        <f>Matchs!B24</f>
        <v>5</v>
      </c>
      <c r="E23" t="str">
        <f t="shared" si="2"/>
        <v>,DateMatch=DateTime.Parse("</v>
      </c>
      <c r="F23" s="3">
        <f>Matchs!C24</f>
        <v>12566</v>
      </c>
      <c r="G23" s="10" t="str">
        <f t="shared" si="3"/>
        <v>"),TimeMatch=TimeSpan.Parse("</v>
      </c>
      <c r="H23" s="9">
        <f>Matchs!D24</f>
        <v>0.89583333333333337</v>
      </c>
      <c r="I23" t="str">
        <f t="shared" si="4"/>
        <v>"),MatchYear=</v>
      </c>
      <c r="J23">
        <f>Matchs!E24</f>
        <v>1934</v>
      </c>
      <c r="K23" t="str">
        <f t="shared" si="5"/>
        <v>, SeasonId= "</v>
      </c>
      <c r="L23" t="str">
        <f>Matchs!F24</f>
        <v>FIFAWC1934</v>
      </c>
      <c r="M23" t="str">
        <f t="shared" si="6"/>
        <v>",Round= "</v>
      </c>
      <c r="N23" t="str">
        <f>Matchs!G24</f>
        <v>Final Round</v>
      </c>
      <c r="O23" s="6" t="str">
        <f t="shared" si="7"/>
        <v>",Stage= "</v>
      </c>
      <c r="P23" t="str">
        <f>Matchs!H24</f>
        <v>Group</v>
      </c>
      <c r="Q23" s="6" t="str">
        <f t="shared" si="8"/>
        <v>",SubStage= "</v>
      </c>
      <c r="R23" t="str">
        <f>Matchs!I24</f>
        <v>Preliminary Round</v>
      </c>
      <c r="S23" s="6" t="str">
        <f t="shared" si="9"/>
        <v>",HTeam= "</v>
      </c>
      <c r="T23" t="str">
        <f>Matchs!J24</f>
        <v>Sweden</v>
      </c>
      <c r="U23" s="6" t="str">
        <f t="shared" si="10"/>
        <v>",HGoal=</v>
      </c>
      <c r="V23">
        <f>Matchs!K24</f>
        <v>3</v>
      </c>
      <c r="W23" s="6" t="str">
        <f t="shared" si="11"/>
        <v>,GGoal=</v>
      </c>
      <c r="X23">
        <f>Matchs!L24</f>
        <v>2</v>
      </c>
      <c r="Y23" s="6" t="str">
        <f t="shared" si="12"/>
        <v>,GTeam= "</v>
      </c>
      <c r="Z23" t="str">
        <f>Matchs!M24</f>
        <v>Argentina</v>
      </c>
      <c r="AA23" s="6" t="str">
        <f t="shared" si="13"/>
        <v>",WinNote="</v>
      </c>
      <c r="AB23" t="str">
        <f>IF(Matchs!N24="","",Matchs!N24)</f>
        <v/>
      </c>
      <c r="AC23" s="6" t="str">
        <f t="shared" si="14"/>
        <v xml:space="preserve">",Stadium=" </v>
      </c>
      <c r="AD23" s="11" t="str">
        <f>Matchs!O24</f>
        <v xml:space="preserve">Stadio Renato Dall'Ara </v>
      </c>
      <c r="AE23" s="6" t="str">
        <f t="shared" si="15"/>
        <v>",Referee= "</v>
      </c>
      <c r="AF23" s="11" t="str">
        <f>Matchs!P24</f>
        <v xml:space="preserve">Eugen Braun </v>
      </c>
      <c r="AG23" s="6" t="str">
        <f t="shared" si="16"/>
        <v xml:space="preserve">",Visistors= </v>
      </c>
      <c r="AH23" s="11">
        <f>Matchs!Q24</f>
        <v>15000</v>
      </c>
      <c r="AI23" s="11" t="str">
        <f t="shared" si="17"/>
        <v>,Status= "</v>
      </c>
      <c r="AJ23" s="11" t="str">
        <f>Matchs!R24</f>
        <v>Finished</v>
      </c>
      <c r="AK23" t="str">
        <f t="shared" si="18"/>
        <v>" },</v>
      </c>
    </row>
    <row r="24" spans="1:37" x14ac:dyDescent="0.25">
      <c r="A24" t="str">
        <f t="shared" si="0"/>
        <v>new Match { MatchId= "</v>
      </c>
      <c r="B24" t="str">
        <f>Matchs!A25</f>
        <v>FIFAWC1934-6</v>
      </c>
      <c r="C24" t="str">
        <f t="shared" si="1"/>
        <v>",MatchNumer=</v>
      </c>
      <c r="D24">
        <f>Matchs!B25</f>
        <v>6</v>
      </c>
      <c r="E24" t="str">
        <f t="shared" si="2"/>
        <v>,DateMatch=DateTime.Parse("</v>
      </c>
      <c r="F24" s="3">
        <f>Matchs!C25</f>
        <v>12566</v>
      </c>
      <c r="G24" s="10" t="str">
        <f t="shared" si="3"/>
        <v>"),TimeMatch=TimeSpan.Parse("</v>
      </c>
      <c r="H24" s="9">
        <f>Matchs!D25</f>
        <v>0.89583333333333337</v>
      </c>
      <c r="I24" t="str">
        <f t="shared" si="4"/>
        <v>"),MatchYear=</v>
      </c>
      <c r="J24">
        <f>Matchs!E25</f>
        <v>1934</v>
      </c>
      <c r="K24" t="str">
        <f t="shared" si="5"/>
        <v>, SeasonId= "</v>
      </c>
      <c r="L24" t="str">
        <f>Matchs!F25</f>
        <v>FIFAWC1934</v>
      </c>
      <c r="M24" t="str">
        <f t="shared" si="6"/>
        <v>",Round= "</v>
      </c>
      <c r="N24" t="str">
        <f>Matchs!G25</f>
        <v>Final Round</v>
      </c>
      <c r="O24" s="6" t="str">
        <f t="shared" si="7"/>
        <v>",Stage= "</v>
      </c>
      <c r="P24" t="str">
        <f>Matchs!H25</f>
        <v>Group</v>
      </c>
      <c r="Q24" s="6" t="str">
        <f t="shared" si="8"/>
        <v>",SubStage= "</v>
      </c>
      <c r="R24" t="str">
        <f>Matchs!I25</f>
        <v>Preliminary Round</v>
      </c>
      <c r="S24" s="6" t="str">
        <f t="shared" si="9"/>
        <v>",HTeam= "</v>
      </c>
      <c r="T24" t="str">
        <f>Matchs!J25</f>
        <v>Spain</v>
      </c>
      <c r="U24" s="6" t="str">
        <f t="shared" si="10"/>
        <v>",HGoal=</v>
      </c>
      <c r="V24">
        <f>Matchs!K25</f>
        <v>3</v>
      </c>
      <c r="W24" s="6" t="str">
        <f t="shared" si="11"/>
        <v>,GGoal=</v>
      </c>
      <c r="X24">
        <f>Matchs!L25</f>
        <v>1</v>
      </c>
      <c r="Y24" s="6" t="str">
        <f t="shared" si="12"/>
        <v>,GTeam= "</v>
      </c>
      <c r="Z24" t="str">
        <f>Matchs!M25</f>
        <v>Brazil</v>
      </c>
      <c r="AA24" s="6" t="str">
        <f t="shared" si="13"/>
        <v>",WinNote="</v>
      </c>
      <c r="AB24" t="str">
        <f>IF(Matchs!N25="","",Matchs!N25)</f>
        <v/>
      </c>
      <c r="AC24" s="6" t="str">
        <f t="shared" si="14"/>
        <v xml:space="preserve">",Stadium=" </v>
      </c>
      <c r="AD24" s="11" t="str">
        <f>Matchs!O25</f>
        <v xml:space="preserve">Stadio Luigi Ferraris </v>
      </c>
      <c r="AE24" s="6" t="str">
        <f t="shared" si="15"/>
        <v>",Referee= "</v>
      </c>
      <c r="AF24" s="11" t="str">
        <f>Matchs!P25</f>
        <v xml:space="preserve">Alfred Birlem </v>
      </c>
      <c r="AG24" s="6" t="str">
        <f t="shared" si="16"/>
        <v xml:space="preserve">",Visistors= </v>
      </c>
      <c r="AH24" s="11">
        <f>Matchs!Q25</f>
        <v>21000</v>
      </c>
      <c r="AI24" s="11" t="str">
        <f t="shared" si="17"/>
        <v>,Status= "</v>
      </c>
      <c r="AJ24" s="11" t="str">
        <f>Matchs!R25</f>
        <v>Finished</v>
      </c>
      <c r="AK24" t="str">
        <f t="shared" si="18"/>
        <v>" },</v>
      </c>
    </row>
    <row r="25" spans="1:37" x14ac:dyDescent="0.25">
      <c r="A25" t="str">
        <f t="shared" si="0"/>
        <v>new Match { MatchId= "</v>
      </c>
      <c r="B25" t="str">
        <f>Matchs!A26</f>
        <v>FIFAWC1934-7</v>
      </c>
      <c r="C25" t="str">
        <f t="shared" si="1"/>
        <v>",MatchNumer=</v>
      </c>
      <c r="D25">
        <f>Matchs!B26</f>
        <v>7</v>
      </c>
      <c r="E25" t="str">
        <f t="shared" si="2"/>
        <v>,DateMatch=DateTime.Parse("</v>
      </c>
      <c r="F25" s="3">
        <f>Matchs!C26</f>
        <v>12566</v>
      </c>
      <c r="G25" s="10" t="str">
        <f t="shared" si="3"/>
        <v>"),TimeMatch=TimeSpan.Parse("</v>
      </c>
      <c r="H25" s="9">
        <f>Matchs!D26</f>
        <v>0.89583333333333337</v>
      </c>
      <c r="I25" t="str">
        <f t="shared" si="4"/>
        <v>"),MatchYear=</v>
      </c>
      <c r="J25">
        <f>Matchs!E26</f>
        <v>1934</v>
      </c>
      <c r="K25" t="str">
        <f t="shared" si="5"/>
        <v>, SeasonId= "</v>
      </c>
      <c r="L25" t="str">
        <f>Matchs!F26</f>
        <v>FIFAWC1934</v>
      </c>
      <c r="M25" t="str">
        <f t="shared" si="6"/>
        <v>",Round= "</v>
      </c>
      <c r="N25" t="str">
        <f>Matchs!G26</f>
        <v>Final Round</v>
      </c>
      <c r="O25" s="6" t="str">
        <f t="shared" si="7"/>
        <v>",Stage= "</v>
      </c>
      <c r="P25" t="str">
        <f>Matchs!H26</f>
        <v>Group</v>
      </c>
      <c r="Q25" s="6" t="str">
        <f t="shared" si="8"/>
        <v>",SubStage= "</v>
      </c>
      <c r="R25" t="str">
        <f>Matchs!I26</f>
        <v>Preliminary Round</v>
      </c>
      <c r="S25" s="6" t="str">
        <f t="shared" si="9"/>
        <v>",HTeam= "</v>
      </c>
      <c r="T25" t="str">
        <f>Matchs!J26</f>
        <v>Hungary</v>
      </c>
      <c r="U25" s="6" t="str">
        <f t="shared" si="10"/>
        <v>",HGoal=</v>
      </c>
      <c r="V25">
        <f>Matchs!K26</f>
        <v>4</v>
      </c>
      <c r="W25" s="6" t="str">
        <f t="shared" si="11"/>
        <v>,GGoal=</v>
      </c>
      <c r="X25">
        <f>Matchs!L26</f>
        <v>2</v>
      </c>
      <c r="Y25" s="6" t="str">
        <f t="shared" si="12"/>
        <v>,GTeam= "</v>
      </c>
      <c r="Z25" t="str">
        <f>Matchs!M26</f>
        <v>Egypt</v>
      </c>
      <c r="AA25" s="6" t="str">
        <f t="shared" si="13"/>
        <v>",WinNote="</v>
      </c>
      <c r="AB25" t="str">
        <f>IF(Matchs!N26="","",Matchs!N26)</f>
        <v/>
      </c>
      <c r="AC25" s="6" t="str">
        <f t="shared" si="14"/>
        <v xml:space="preserve">",Stadium=" </v>
      </c>
      <c r="AD25" s="11" t="str">
        <f>Matchs!O26</f>
        <v xml:space="preserve">Stadio Giorgio Ascarelli </v>
      </c>
      <c r="AE25" s="6" t="str">
        <f t="shared" si="15"/>
        <v>",Referee= "</v>
      </c>
      <c r="AF25" s="11" t="str">
        <f>Matchs!P26</f>
        <v xml:space="preserve">Rinaldo Barlassina </v>
      </c>
      <c r="AG25" s="6" t="str">
        <f t="shared" si="16"/>
        <v xml:space="preserve">",Visistors= </v>
      </c>
      <c r="AH25" s="11">
        <f>Matchs!Q26</f>
        <v>12000</v>
      </c>
      <c r="AI25" s="11" t="str">
        <f t="shared" si="17"/>
        <v>,Status= "</v>
      </c>
      <c r="AJ25" s="11" t="str">
        <f>Matchs!R26</f>
        <v>Finished</v>
      </c>
      <c r="AK25" t="str">
        <f t="shared" si="18"/>
        <v>" },</v>
      </c>
    </row>
    <row r="26" spans="1:37" x14ac:dyDescent="0.25">
      <c r="A26" t="str">
        <f t="shared" si="0"/>
        <v>new Match { MatchId= "</v>
      </c>
      <c r="B26" t="str">
        <f>Matchs!A27</f>
        <v>FIFAWC1934-8</v>
      </c>
      <c r="C26" t="str">
        <f t="shared" si="1"/>
        <v>",MatchNumer=</v>
      </c>
      <c r="D26">
        <f>Matchs!B27</f>
        <v>8</v>
      </c>
      <c r="E26" t="str">
        <f t="shared" si="2"/>
        <v>,DateMatch=DateTime.Parse("</v>
      </c>
      <c r="F26" s="3">
        <f>Matchs!C27</f>
        <v>12566</v>
      </c>
      <c r="G26" s="10" t="str">
        <f t="shared" si="3"/>
        <v>"),TimeMatch=TimeSpan.Parse("</v>
      </c>
      <c r="H26" s="9">
        <f>Matchs!D27</f>
        <v>0.89583333333333337</v>
      </c>
      <c r="I26" t="str">
        <f t="shared" si="4"/>
        <v>"),MatchYear=</v>
      </c>
      <c r="J26">
        <f>Matchs!E27</f>
        <v>1934</v>
      </c>
      <c r="K26" t="str">
        <f t="shared" si="5"/>
        <v>, SeasonId= "</v>
      </c>
      <c r="L26" t="str">
        <f>Matchs!F27</f>
        <v>FIFAWC1934</v>
      </c>
      <c r="M26" t="str">
        <f t="shared" si="6"/>
        <v>",Round= "</v>
      </c>
      <c r="N26" t="str">
        <f>Matchs!G27</f>
        <v>Final Round</v>
      </c>
      <c r="O26" s="6" t="str">
        <f t="shared" si="7"/>
        <v>",Stage= "</v>
      </c>
      <c r="P26" t="str">
        <f>Matchs!H27</f>
        <v>Group</v>
      </c>
      <c r="Q26" s="6" t="str">
        <f t="shared" si="8"/>
        <v>",SubStage= "</v>
      </c>
      <c r="R26" t="str">
        <f>Matchs!I27</f>
        <v>Preliminary Round</v>
      </c>
      <c r="S26" s="6" t="str">
        <f t="shared" si="9"/>
        <v>",HTeam= "</v>
      </c>
      <c r="T26" t="str">
        <f>Matchs!J27</f>
        <v>Italy</v>
      </c>
      <c r="U26" s="6" t="str">
        <f t="shared" si="10"/>
        <v>",HGoal=</v>
      </c>
      <c r="V26">
        <f>Matchs!K27</f>
        <v>7</v>
      </c>
      <c r="W26" s="6" t="str">
        <f t="shared" si="11"/>
        <v>,GGoal=</v>
      </c>
      <c r="X26">
        <f>Matchs!L27</f>
        <v>1</v>
      </c>
      <c r="Y26" s="6" t="str">
        <f t="shared" si="12"/>
        <v>,GTeam= "</v>
      </c>
      <c r="Z26" t="str">
        <f>Matchs!M27</f>
        <v>USA</v>
      </c>
      <c r="AA26" s="6" t="str">
        <f t="shared" si="13"/>
        <v>",WinNote="</v>
      </c>
      <c r="AB26" t="str">
        <f>IF(Matchs!N27="","",Matchs!N27)</f>
        <v/>
      </c>
      <c r="AC26" s="6" t="str">
        <f t="shared" si="14"/>
        <v xml:space="preserve">",Stadium=" </v>
      </c>
      <c r="AD26" s="11" t="str">
        <f>Matchs!O27</f>
        <v xml:space="preserve">Stadio Nazionale del PNF </v>
      </c>
      <c r="AE26" s="6" t="str">
        <f t="shared" si="15"/>
        <v>",Referee= "</v>
      </c>
      <c r="AF26" s="11" t="str">
        <f>Matchs!P27</f>
        <v xml:space="preserve">Rene Mercet </v>
      </c>
      <c r="AG26" s="6" t="str">
        <f t="shared" si="16"/>
        <v xml:space="preserve">",Visistors= </v>
      </c>
      <c r="AH26" s="11">
        <f>Matchs!Q27</f>
        <v>13000</v>
      </c>
      <c r="AI26" s="11" t="str">
        <f t="shared" si="17"/>
        <v>,Status= "</v>
      </c>
      <c r="AJ26" s="11" t="str">
        <f>Matchs!R27</f>
        <v>Finished</v>
      </c>
      <c r="AK26" t="str">
        <f t="shared" si="18"/>
        <v>" },</v>
      </c>
    </row>
    <row r="27" spans="1:37" x14ac:dyDescent="0.25">
      <c r="A27" t="str">
        <f t="shared" si="0"/>
        <v>new Match { MatchId= "</v>
      </c>
      <c r="B27" t="str">
        <f>Matchs!A28</f>
        <v>FIFAWC1934-9</v>
      </c>
      <c r="C27" t="str">
        <f t="shared" si="1"/>
        <v>",MatchNumer=</v>
      </c>
      <c r="D27">
        <f>Matchs!B28</f>
        <v>9</v>
      </c>
      <c r="E27" t="str">
        <f t="shared" si="2"/>
        <v>,DateMatch=DateTime.Parse("</v>
      </c>
      <c r="F27" s="3">
        <f>Matchs!C28</f>
        <v>12570</v>
      </c>
      <c r="G27" s="10" t="str">
        <f t="shared" si="3"/>
        <v>"),TimeMatch=TimeSpan.Parse("</v>
      </c>
      <c r="H27" s="9">
        <f>Matchs!D28</f>
        <v>0.89583333333333337</v>
      </c>
      <c r="I27" t="str">
        <f t="shared" si="4"/>
        <v>"),MatchYear=</v>
      </c>
      <c r="J27">
        <f>Matchs!E28</f>
        <v>1934</v>
      </c>
      <c r="K27" t="str">
        <f t="shared" si="5"/>
        <v>, SeasonId= "</v>
      </c>
      <c r="L27" t="str">
        <f>Matchs!F28</f>
        <v>FIFAWC1934</v>
      </c>
      <c r="M27" t="str">
        <f t="shared" si="6"/>
        <v>",Round= "</v>
      </c>
      <c r="N27" t="str">
        <f>Matchs!G28</f>
        <v>Final Round</v>
      </c>
      <c r="O27" s="6" t="str">
        <f t="shared" si="7"/>
        <v>",Stage= "</v>
      </c>
      <c r="P27" t="str">
        <f>Matchs!H28</f>
        <v>Knockouts</v>
      </c>
      <c r="Q27" s="6" t="str">
        <f t="shared" si="8"/>
        <v>",SubStage= "</v>
      </c>
      <c r="R27" t="str">
        <f>Matchs!I28</f>
        <v>Quaterfinal</v>
      </c>
      <c r="S27" s="6" t="str">
        <f t="shared" si="9"/>
        <v>",HTeam= "</v>
      </c>
      <c r="T27" t="str">
        <f>Matchs!J28</f>
        <v>Austria</v>
      </c>
      <c r="U27" s="6" t="str">
        <f t="shared" si="10"/>
        <v>",HGoal=</v>
      </c>
      <c r="V27">
        <f>Matchs!K28</f>
        <v>2</v>
      </c>
      <c r="W27" s="6" t="str">
        <f t="shared" si="11"/>
        <v>,GGoal=</v>
      </c>
      <c r="X27">
        <f>Matchs!L28</f>
        <v>1</v>
      </c>
      <c r="Y27" s="6" t="str">
        <f t="shared" si="12"/>
        <v>,GTeam= "</v>
      </c>
      <c r="Z27" t="str">
        <f>Matchs!M28</f>
        <v>Hungary</v>
      </c>
      <c r="AA27" s="6" t="str">
        <f t="shared" si="13"/>
        <v>",WinNote="</v>
      </c>
      <c r="AB27" t="str">
        <f>IF(Matchs!N28="","",Matchs!N28)</f>
        <v/>
      </c>
      <c r="AC27" s="6" t="str">
        <f t="shared" si="14"/>
        <v xml:space="preserve">",Stadium=" </v>
      </c>
      <c r="AD27" s="11" t="str">
        <f>Matchs!O28</f>
        <v xml:space="preserve">Stadio Renato Dall'Ara </v>
      </c>
      <c r="AE27" s="6" t="str">
        <f t="shared" si="15"/>
        <v>",Referee= "</v>
      </c>
      <c r="AF27" s="11" t="str">
        <f>Matchs!P28</f>
        <v xml:space="preserve">Francesco Mattea </v>
      </c>
      <c r="AG27" s="6" t="str">
        <f t="shared" si="16"/>
        <v xml:space="preserve">",Visistors= </v>
      </c>
      <c r="AH27" s="11">
        <f>Matchs!Q28</f>
        <v>25000</v>
      </c>
      <c r="AI27" s="11" t="str">
        <f t="shared" si="17"/>
        <v>,Status= "</v>
      </c>
      <c r="AJ27" s="11" t="str">
        <f>Matchs!R28</f>
        <v>Finished</v>
      </c>
      <c r="AK27" t="str">
        <f t="shared" si="18"/>
        <v>" },</v>
      </c>
    </row>
    <row r="28" spans="1:37" x14ac:dyDescent="0.25">
      <c r="A28" t="str">
        <f t="shared" si="0"/>
        <v>new Match { MatchId= "</v>
      </c>
      <c r="B28" t="str">
        <f>Matchs!A29</f>
        <v>FIFAWC1934-10</v>
      </c>
      <c r="C28" t="str">
        <f t="shared" si="1"/>
        <v>",MatchNumer=</v>
      </c>
      <c r="D28">
        <f>Matchs!B29</f>
        <v>10</v>
      </c>
      <c r="E28" t="str">
        <f t="shared" si="2"/>
        <v>,DateMatch=DateTime.Parse("</v>
      </c>
      <c r="F28" s="3">
        <f>Matchs!C29</f>
        <v>12570</v>
      </c>
      <c r="G28" s="10" t="str">
        <f t="shared" si="3"/>
        <v>"),TimeMatch=TimeSpan.Parse("</v>
      </c>
      <c r="H28" s="9">
        <f>Matchs!D29</f>
        <v>0.89583333333333337</v>
      </c>
      <c r="I28" t="str">
        <f t="shared" si="4"/>
        <v>"),MatchYear=</v>
      </c>
      <c r="J28">
        <f>Matchs!E29</f>
        <v>1934</v>
      </c>
      <c r="K28" t="str">
        <f t="shared" si="5"/>
        <v>, SeasonId= "</v>
      </c>
      <c r="L28" t="str">
        <f>Matchs!F29</f>
        <v>FIFAWC1934</v>
      </c>
      <c r="M28" t="str">
        <f t="shared" si="6"/>
        <v>",Round= "</v>
      </c>
      <c r="N28" t="str">
        <f>Matchs!G29</f>
        <v>Final Round</v>
      </c>
      <c r="O28" s="6" t="str">
        <f t="shared" si="7"/>
        <v>",Stage= "</v>
      </c>
      <c r="P28" t="str">
        <f>Matchs!H29</f>
        <v>Knockouts</v>
      </c>
      <c r="Q28" s="6" t="str">
        <f t="shared" si="8"/>
        <v>",SubStage= "</v>
      </c>
      <c r="R28" t="str">
        <f>Matchs!I29</f>
        <v>Quaterfinal</v>
      </c>
      <c r="S28" s="6" t="str">
        <f t="shared" si="9"/>
        <v>",HTeam= "</v>
      </c>
      <c r="T28" t="str">
        <f>Matchs!J29</f>
        <v>Spain</v>
      </c>
      <c r="U28" s="6" t="str">
        <f t="shared" si="10"/>
        <v>",HGoal=</v>
      </c>
      <c r="V28">
        <f>Matchs!K29</f>
        <v>1</v>
      </c>
      <c r="W28" s="6" t="str">
        <f t="shared" si="11"/>
        <v>,GGoal=</v>
      </c>
      <c r="X28">
        <f>Matchs!L29</f>
        <v>1</v>
      </c>
      <c r="Y28" s="6" t="str">
        <f t="shared" si="12"/>
        <v>,GTeam= "</v>
      </c>
      <c r="Z28" t="str">
        <f>Matchs!M29</f>
        <v>Italy</v>
      </c>
      <c r="AA28" s="6" t="str">
        <f t="shared" si="13"/>
        <v>",WinNote="</v>
      </c>
      <c r="AB28" t="str">
        <f>IF(Matchs!N29="","",Matchs!N29)</f>
        <v/>
      </c>
      <c r="AC28" s="6" t="str">
        <f t="shared" si="14"/>
        <v xml:space="preserve">",Stadium=" </v>
      </c>
      <c r="AD28" s="11" t="str">
        <f>Matchs!O29</f>
        <v xml:space="preserve">Stadio Artemio Franchi </v>
      </c>
      <c r="AE28" s="6" t="str">
        <f t="shared" si="15"/>
        <v>",Referee= "</v>
      </c>
      <c r="AF28" s="11" t="str">
        <f>Matchs!P29</f>
        <v xml:space="preserve">Louis Baert </v>
      </c>
      <c r="AG28" s="6" t="str">
        <f t="shared" si="16"/>
        <v xml:space="preserve">",Visistors= </v>
      </c>
      <c r="AH28" s="11">
        <f>Matchs!Q29</f>
        <v>35000</v>
      </c>
      <c r="AI28" s="11" t="str">
        <f t="shared" si="17"/>
        <v>,Status= "</v>
      </c>
      <c r="AJ28" s="11" t="str">
        <f>Matchs!R29</f>
        <v>Finished</v>
      </c>
      <c r="AK28" t="str">
        <f t="shared" si="18"/>
        <v>" },</v>
      </c>
    </row>
    <row r="29" spans="1:37" x14ac:dyDescent="0.25">
      <c r="A29" t="str">
        <f t="shared" si="0"/>
        <v>new Match { MatchId= "</v>
      </c>
      <c r="B29" t="str">
        <f>Matchs!A30</f>
        <v>FIFAWC1934-11</v>
      </c>
      <c r="C29" t="str">
        <f t="shared" si="1"/>
        <v>",MatchNumer=</v>
      </c>
      <c r="D29">
        <f>Matchs!B30</f>
        <v>11</v>
      </c>
      <c r="E29" t="str">
        <f t="shared" si="2"/>
        <v>,DateMatch=DateTime.Parse("</v>
      </c>
      <c r="F29" s="3">
        <f>Matchs!C30</f>
        <v>12570</v>
      </c>
      <c r="G29" s="10" t="str">
        <f t="shared" si="3"/>
        <v>"),TimeMatch=TimeSpan.Parse("</v>
      </c>
      <c r="H29" s="9">
        <f>Matchs!D30</f>
        <v>0.89583333333333337</v>
      </c>
      <c r="I29" t="str">
        <f t="shared" si="4"/>
        <v>"),MatchYear=</v>
      </c>
      <c r="J29">
        <f>Matchs!E30</f>
        <v>1934</v>
      </c>
      <c r="K29" t="str">
        <f t="shared" si="5"/>
        <v>, SeasonId= "</v>
      </c>
      <c r="L29" t="str">
        <f>Matchs!F30</f>
        <v>FIFAWC1934</v>
      </c>
      <c r="M29" t="str">
        <f t="shared" si="6"/>
        <v>",Round= "</v>
      </c>
      <c r="N29" t="str">
        <f>Matchs!G30</f>
        <v>Final Round</v>
      </c>
      <c r="O29" s="6" t="str">
        <f t="shared" si="7"/>
        <v>",Stage= "</v>
      </c>
      <c r="P29" t="str">
        <f>Matchs!H30</f>
        <v>Knockouts</v>
      </c>
      <c r="Q29" s="6" t="str">
        <f t="shared" si="8"/>
        <v>",SubStage= "</v>
      </c>
      <c r="R29" t="str">
        <f>Matchs!I30</f>
        <v>Quaterfinal</v>
      </c>
      <c r="S29" s="6" t="str">
        <f t="shared" si="9"/>
        <v>",HTeam= "</v>
      </c>
      <c r="T29" t="str">
        <f>Matchs!J30</f>
        <v>Germany</v>
      </c>
      <c r="U29" s="6" t="str">
        <f t="shared" si="10"/>
        <v>",HGoal=</v>
      </c>
      <c r="V29">
        <f>Matchs!K30</f>
        <v>2</v>
      </c>
      <c r="W29" s="6" t="str">
        <f t="shared" si="11"/>
        <v>,GGoal=</v>
      </c>
      <c r="X29">
        <f>Matchs!L30</f>
        <v>1</v>
      </c>
      <c r="Y29" s="6" t="str">
        <f t="shared" si="12"/>
        <v>,GTeam= "</v>
      </c>
      <c r="Z29" t="str">
        <f>Matchs!M30</f>
        <v>Sweden</v>
      </c>
      <c r="AA29" s="6" t="str">
        <f t="shared" si="13"/>
        <v>",WinNote="</v>
      </c>
      <c r="AB29" t="str">
        <f>IF(Matchs!N30="","",Matchs!N30)</f>
        <v/>
      </c>
      <c r="AC29" s="6" t="str">
        <f t="shared" si="14"/>
        <v xml:space="preserve">",Stadium=" </v>
      </c>
      <c r="AD29" s="11" t="str">
        <f>Matchs!O30</f>
        <v xml:space="preserve">San Siro </v>
      </c>
      <c r="AE29" s="6" t="str">
        <f t="shared" si="15"/>
        <v>",Referee= "</v>
      </c>
      <c r="AF29" s="11" t="str">
        <f>Matchs!P30</f>
        <v xml:space="preserve">Rinaldo Barlassina </v>
      </c>
      <c r="AG29" s="6" t="str">
        <f t="shared" si="16"/>
        <v xml:space="preserve">",Visistors= </v>
      </c>
      <c r="AH29" s="11">
        <f>Matchs!Q30</f>
        <v>15000</v>
      </c>
      <c r="AI29" s="11" t="str">
        <f t="shared" si="17"/>
        <v>,Status= "</v>
      </c>
      <c r="AJ29" s="11" t="str">
        <f>Matchs!R30</f>
        <v>Finished</v>
      </c>
      <c r="AK29" t="str">
        <f t="shared" si="18"/>
        <v>" },</v>
      </c>
    </row>
    <row r="30" spans="1:37" x14ac:dyDescent="0.25">
      <c r="A30" t="str">
        <f t="shared" si="0"/>
        <v>new Match { MatchId= "</v>
      </c>
      <c r="B30" t="str">
        <f>Matchs!A31</f>
        <v>FIFAWC1934-12</v>
      </c>
      <c r="C30" t="str">
        <f t="shared" si="1"/>
        <v>",MatchNumer=</v>
      </c>
      <c r="D30">
        <f>Matchs!B31</f>
        <v>12</v>
      </c>
      <c r="E30" t="str">
        <f t="shared" si="2"/>
        <v>,DateMatch=DateTime.Parse("</v>
      </c>
      <c r="F30" s="3">
        <f>Matchs!C31</f>
        <v>12570</v>
      </c>
      <c r="G30" s="10" t="str">
        <f t="shared" si="3"/>
        <v>"),TimeMatch=TimeSpan.Parse("</v>
      </c>
      <c r="H30" s="9">
        <f>Matchs!D31</f>
        <v>0.89583333333333337</v>
      </c>
      <c r="I30" t="str">
        <f t="shared" si="4"/>
        <v>"),MatchYear=</v>
      </c>
      <c r="J30">
        <f>Matchs!E31</f>
        <v>1934</v>
      </c>
      <c r="K30" t="str">
        <f t="shared" si="5"/>
        <v>, SeasonId= "</v>
      </c>
      <c r="L30" t="str">
        <f>Matchs!F31</f>
        <v>FIFAWC1934</v>
      </c>
      <c r="M30" t="str">
        <f t="shared" si="6"/>
        <v>",Round= "</v>
      </c>
      <c r="N30" t="str">
        <f>Matchs!G31</f>
        <v>Final Round</v>
      </c>
      <c r="O30" s="6" t="str">
        <f t="shared" si="7"/>
        <v>",Stage= "</v>
      </c>
      <c r="P30" t="str">
        <f>Matchs!H31</f>
        <v>Knockouts</v>
      </c>
      <c r="Q30" s="6" t="str">
        <f t="shared" si="8"/>
        <v>",SubStage= "</v>
      </c>
      <c r="R30" t="str">
        <f>Matchs!I31</f>
        <v>Quaterfinal</v>
      </c>
      <c r="S30" s="6" t="str">
        <f t="shared" si="9"/>
        <v>",HTeam= "</v>
      </c>
      <c r="T30" t="str">
        <f>Matchs!J31</f>
        <v>Czechoslovakia</v>
      </c>
      <c r="U30" s="6" t="str">
        <f t="shared" si="10"/>
        <v>",HGoal=</v>
      </c>
      <c r="V30">
        <f>Matchs!K31</f>
        <v>3</v>
      </c>
      <c r="W30" s="6" t="str">
        <f t="shared" si="11"/>
        <v>,GGoal=</v>
      </c>
      <c r="X30">
        <f>Matchs!L31</f>
        <v>2</v>
      </c>
      <c r="Y30" s="6" t="str">
        <f t="shared" si="12"/>
        <v>,GTeam= "</v>
      </c>
      <c r="Z30" t="str">
        <f>Matchs!M31</f>
        <v>Switzerland</v>
      </c>
      <c r="AA30" s="6" t="str">
        <f t="shared" si="13"/>
        <v>",WinNote="</v>
      </c>
      <c r="AB30" t="str">
        <f>IF(Matchs!N31="","",Matchs!N31)</f>
        <v/>
      </c>
      <c r="AC30" s="6" t="str">
        <f t="shared" si="14"/>
        <v xml:space="preserve">",Stadium=" </v>
      </c>
      <c r="AD30" s="11" t="str">
        <f>Matchs!O31</f>
        <v xml:space="preserve">Stadio Olimpico di Torino </v>
      </c>
      <c r="AE30" s="6" t="str">
        <f t="shared" si="15"/>
        <v>",Referee= "</v>
      </c>
      <c r="AF30" s="11" t="str">
        <f>Matchs!P31</f>
        <v xml:space="preserve">Alois Beranek </v>
      </c>
      <c r="AG30" s="6" t="str">
        <f t="shared" si="16"/>
        <v xml:space="preserve">",Visistors= </v>
      </c>
      <c r="AH30" s="11">
        <f>Matchs!Q31</f>
        <v>12000</v>
      </c>
      <c r="AI30" s="11" t="str">
        <f t="shared" si="17"/>
        <v>,Status= "</v>
      </c>
      <c r="AJ30" s="11" t="str">
        <f>Matchs!R31</f>
        <v>Finished</v>
      </c>
      <c r="AK30" t="str">
        <f t="shared" si="18"/>
        <v>" },</v>
      </c>
    </row>
    <row r="31" spans="1:37" x14ac:dyDescent="0.25">
      <c r="A31" t="str">
        <f t="shared" si="0"/>
        <v>new Match { MatchId= "</v>
      </c>
      <c r="B31" t="str">
        <f>Matchs!A32</f>
        <v>FIFAWC1934-13</v>
      </c>
      <c r="C31" t="str">
        <f t="shared" si="1"/>
        <v>",MatchNumer=</v>
      </c>
      <c r="D31">
        <f>Matchs!B32</f>
        <v>13</v>
      </c>
      <c r="E31" t="str">
        <f t="shared" si="2"/>
        <v>,DateMatch=DateTime.Parse("</v>
      </c>
      <c r="F31" s="3">
        <f>Matchs!C32</f>
        <v>12571</v>
      </c>
      <c r="G31" s="10" t="str">
        <f t="shared" si="3"/>
        <v>"),TimeMatch=TimeSpan.Parse("</v>
      </c>
      <c r="H31" s="9">
        <f>Matchs!D32</f>
        <v>0.89583333333333337</v>
      </c>
      <c r="I31" t="str">
        <f t="shared" si="4"/>
        <v>"),MatchYear=</v>
      </c>
      <c r="J31">
        <f>Matchs!E32</f>
        <v>1934</v>
      </c>
      <c r="K31" t="str">
        <f t="shared" si="5"/>
        <v>, SeasonId= "</v>
      </c>
      <c r="L31" t="str">
        <f>Matchs!F32</f>
        <v>FIFAWC1934</v>
      </c>
      <c r="M31" t="str">
        <f t="shared" si="6"/>
        <v>",Round= "</v>
      </c>
      <c r="N31" t="str">
        <f>Matchs!G32</f>
        <v>Final Round</v>
      </c>
      <c r="O31" s="6" t="str">
        <f t="shared" si="7"/>
        <v>",Stage= "</v>
      </c>
      <c r="P31" t="str">
        <f>Matchs!H32</f>
        <v>Knockouts</v>
      </c>
      <c r="Q31" s="6" t="str">
        <f t="shared" si="8"/>
        <v>",SubStage= "</v>
      </c>
      <c r="R31" t="str">
        <f>Matchs!I32</f>
        <v>Quaterfinal</v>
      </c>
      <c r="S31" s="6" t="str">
        <f t="shared" si="9"/>
        <v>",HTeam= "</v>
      </c>
      <c r="T31" t="str">
        <f>Matchs!J32</f>
        <v>Italy</v>
      </c>
      <c r="U31" s="6" t="str">
        <f t="shared" si="10"/>
        <v>",HGoal=</v>
      </c>
      <c r="V31">
        <f>Matchs!K32</f>
        <v>1</v>
      </c>
      <c r="W31" s="6" t="str">
        <f t="shared" si="11"/>
        <v>,GGoal=</v>
      </c>
      <c r="X31">
        <f>Matchs!L32</f>
        <v>0</v>
      </c>
      <c r="Y31" s="6" t="str">
        <f t="shared" si="12"/>
        <v>,GTeam= "</v>
      </c>
      <c r="Z31" t="str">
        <f>Matchs!M32</f>
        <v>Spain</v>
      </c>
      <c r="AA31" s="6" t="str">
        <f t="shared" si="13"/>
        <v>",WinNote="</v>
      </c>
      <c r="AB31" t="str">
        <f>IF(Matchs!N32="","",Matchs!N32)</f>
        <v/>
      </c>
      <c r="AC31" s="6" t="str">
        <f t="shared" si="14"/>
        <v xml:space="preserve">",Stadium=" </v>
      </c>
      <c r="AD31" s="11" t="str">
        <f>Matchs!O32</f>
        <v xml:space="preserve">Stadio Artemio Franchi </v>
      </c>
      <c r="AE31" s="6" t="str">
        <f t="shared" si="15"/>
        <v>",Referee= "</v>
      </c>
      <c r="AF31" s="11" t="str">
        <f>Matchs!P32</f>
        <v xml:space="preserve">Rene Mercet </v>
      </c>
      <c r="AG31" s="6" t="str">
        <f t="shared" si="16"/>
        <v xml:space="preserve">",Visistors= </v>
      </c>
      <c r="AH31" s="11">
        <f>Matchs!Q32</f>
        <v>45000</v>
      </c>
      <c r="AI31" s="11" t="str">
        <f t="shared" si="17"/>
        <v>,Status= "</v>
      </c>
      <c r="AJ31" s="11" t="str">
        <f>Matchs!R32</f>
        <v>Finished</v>
      </c>
      <c r="AK31" t="str">
        <f t="shared" si="18"/>
        <v>" },</v>
      </c>
    </row>
    <row r="32" spans="1:37" x14ac:dyDescent="0.25">
      <c r="A32" t="str">
        <f t="shared" si="0"/>
        <v>new Match { MatchId= "</v>
      </c>
      <c r="B32" t="str">
        <f>Matchs!A33</f>
        <v>FIFAWC1934-14</v>
      </c>
      <c r="C32" t="str">
        <f t="shared" si="1"/>
        <v>",MatchNumer=</v>
      </c>
      <c r="D32">
        <f>Matchs!B33</f>
        <v>14</v>
      </c>
      <c r="E32" t="str">
        <f t="shared" si="2"/>
        <v>,DateMatch=DateTime.Parse("</v>
      </c>
      <c r="F32" s="3">
        <f>Matchs!C33</f>
        <v>12573</v>
      </c>
      <c r="G32" s="10" t="str">
        <f t="shared" si="3"/>
        <v>"),TimeMatch=TimeSpan.Parse("</v>
      </c>
      <c r="H32" s="9">
        <f>Matchs!D33</f>
        <v>0.89583333333333337</v>
      </c>
      <c r="I32" t="str">
        <f t="shared" si="4"/>
        <v>"),MatchYear=</v>
      </c>
      <c r="J32">
        <f>Matchs!E33</f>
        <v>1934</v>
      </c>
      <c r="K32" t="str">
        <f t="shared" si="5"/>
        <v>, SeasonId= "</v>
      </c>
      <c r="L32" t="str">
        <f>Matchs!F33</f>
        <v>FIFAWC1934</v>
      </c>
      <c r="M32" t="str">
        <f t="shared" si="6"/>
        <v>",Round= "</v>
      </c>
      <c r="N32" t="str">
        <f>Matchs!G33</f>
        <v>Final Round</v>
      </c>
      <c r="O32" s="6" t="str">
        <f t="shared" si="7"/>
        <v>",Stage= "</v>
      </c>
      <c r="P32" t="str">
        <f>Matchs!H33</f>
        <v>Knockouts</v>
      </c>
      <c r="Q32" s="6" t="str">
        <f t="shared" si="8"/>
        <v>",SubStage= "</v>
      </c>
      <c r="R32" t="str">
        <f>Matchs!I33</f>
        <v>Semifinal</v>
      </c>
      <c r="S32" s="6" t="str">
        <f t="shared" si="9"/>
        <v>",HTeam= "</v>
      </c>
      <c r="T32" t="str">
        <f>Matchs!J33</f>
        <v>Italy</v>
      </c>
      <c r="U32" s="6" t="str">
        <f t="shared" si="10"/>
        <v>",HGoal=</v>
      </c>
      <c r="V32">
        <f>Matchs!K33</f>
        <v>1</v>
      </c>
      <c r="W32" s="6" t="str">
        <f t="shared" si="11"/>
        <v>,GGoal=</v>
      </c>
      <c r="X32">
        <f>Matchs!L33</f>
        <v>0</v>
      </c>
      <c r="Y32" s="6" t="str">
        <f t="shared" si="12"/>
        <v>,GTeam= "</v>
      </c>
      <c r="Z32" t="str">
        <f>Matchs!M33</f>
        <v>Austria</v>
      </c>
      <c r="AA32" s="6" t="str">
        <f t="shared" si="13"/>
        <v>",WinNote="</v>
      </c>
      <c r="AB32" t="str">
        <f>IF(Matchs!N33="","",Matchs!N33)</f>
        <v/>
      </c>
      <c r="AC32" s="6" t="str">
        <f t="shared" si="14"/>
        <v xml:space="preserve">",Stadium=" </v>
      </c>
      <c r="AD32" s="11" t="str">
        <f>Matchs!O33</f>
        <v xml:space="preserve">San Siro </v>
      </c>
      <c r="AE32" s="6" t="str">
        <f t="shared" si="15"/>
        <v>",Referee= "</v>
      </c>
      <c r="AF32" s="11" t="str">
        <f>Matchs!P33</f>
        <v xml:space="preserve">Ivan Eklind </v>
      </c>
      <c r="AG32" s="6" t="str">
        <f t="shared" si="16"/>
        <v xml:space="preserve">",Visistors= </v>
      </c>
      <c r="AH32" s="11">
        <f>Matchs!Q33</f>
        <v>60000</v>
      </c>
      <c r="AI32" s="11" t="str">
        <f t="shared" si="17"/>
        <v>,Status= "</v>
      </c>
      <c r="AJ32" s="11" t="str">
        <f>Matchs!R33</f>
        <v>Finished</v>
      </c>
      <c r="AK32" t="str">
        <f t="shared" si="18"/>
        <v>" },</v>
      </c>
    </row>
    <row r="33" spans="1:37" x14ac:dyDescent="0.25">
      <c r="A33" t="str">
        <f t="shared" si="0"/>
        <v>new Match { MatchId= "</v>
      </c>
      <c r="B33" t="str">
        <f>Matchs!A34</f>
        <v>FIFAWC1934-15</v>
      </c>
      <c r="C33" t="str">
        <f t="shared" si="1"/>
        <v>",MatchNumer=</v>
      </c>
      <c r="D33">
        <f>Matchs!B34</f>
        <v>15</v>
      </c>
      <c r="E33" t="str">
        <f t="shared" si="2"/>
        <v>,DateMatch=DateTime.Parse("</v>
      </c>
      <c r="F33" s="3">
        <f>Matchs!C34</f>
        <v>12573</v>
      </c>
      <c r="G33" s="10" t="str">
        <f t="shared" si="3"/>
        <v>"),TimeMatch=TimeSpan.Parse("</v>
      </c>
      <c r="H33" s="9">
        <f>Matchs!D34</f>
        <v>0.89583333333333337</v>
      </c>
      <c r="I33" t="str">
        <f t="shared" si="4"/>
        <v>"),MatchYear=</v>
      </c>
      <c r="J33">
        <f>Matchs!E34</f>
        <v>1934</v>
      </c>
      <c r="K33" t="str">
        <f t="shared" si="5"/>
        <v>, SeasonId= "</v>
      </c>
      <c r="L33" t="str">
        <f>Matchs!F34</f>
        <v>FIFAWC1934</v>
      </c>
      <c r="M33" t="str">
        <f t="shared" si="6"/>
        <v>",Round= "</v>
      </c>
      <c r="N33" t="str">
        <f>Matchs!G34</f>
        <v>Final Round</v>
      </c>
      <c r="O33" s="6" t="str">
        <f t="shared" si="7"/>
        <v>",Stage= "</v>
      </c>
      <c r="P33" t="str">
        <f>Matchs!H34</f>
        <v>Knockouts</v>
      </c>
      <c r="Q33" s="6" t="str">
        <f t="shared" si="8"/>
        <v>",SubStage= "</v>
      </c>
      <c r="R33" t="str">
        <f>Matchs!I34</f>
        <v>Semifinal</v>
      </c>
      <c r="S33" s="6" t="str">
        <f t="shared" si="9"/>
        <v>",HTeam= "</v>
      </c>
      <c r="T33" t="str">
        <f>Matchs!J34</f>
        <v>Czechoslovakia</v>
      </c>
      <c r="U33" s="6" t="str">
        <f t="shared" si="10"/>
        <v>",HGoal=</v>
      </c>
      <c r="V33">
        <f>Matchs!K34</f>
        <v>3</v>
      </c>
      <c r="W33" s="6" t="str">
        <f t="shared" si="11"/>
        <v>,GGoal=</v>
      </c>
      <c r="X33">
        <f>Matchs!L34</f>
        <v>1</v>
      </c>
      <c r="Y33" s="6" t="str">
        <f t="shared" si="12"/>
        <v>,GTeam= "</v>
      </c>
      <c r="Z33" t="str">
        <f>Matchs!M34</f>
        <v>Germany</v>
      </c>
      <c r="AA33" s="6" t="str">
        <f t="shared" si="13"/>
        <v>",WinNote="</v>
      </c>
      <c r="AB33" t="str">
        <f>IF(Matchs!N34="","",Matchs!N34)</f>
        <v/>
      </c>
      <c r="AC33" s="6" t="str">
        <f t="shared" si="14"/>
        <v xml:space="preserve">",Stadium=" </v>
      </c>
      <c r="AD33" s="11" t="str">
        <f>Matchs!O34</f>
        <v xml:space="preserve">Stadio Nazionale del PNF </v>
      </c>
      <c r="AE33" s="6" t="str">
        <f t="shared" si="15"/>
        <v>",Referee= "</v>
      </c>
      <c r="AF33" s="11" t="str">
        <f>Matchs!P34</f>
        <v xml:space="preserve">Rinaldo Barlassina </v>
      </c>
      <c r="AG33" s="6" t="str">
        <f t="shared" si="16"/>
        <v xml:space="preserve">",Visistors= </v>
      </c>
      <c r="AH33" s="11">
        <f>Matchs!Q34</f>
        <v>10000</v>
      </c>
      <c r="AI33" s="11" t="str">
        <f t="shared" si="17"/>
        <v>,Status= "</v>
      </c>
      <c r="AJ33" s="11" t="str">
        <f>Matchs!R34</f>
        <v>Finished</v>
      </c>
      <c r="AK33" t="str">
        <f t="shared" si="18"/>
        <v>" },</v>
      </c>
    </row>
    <row r="34" spans="1:37" x14ac:dyDescent="0.25">
      <c r="A34" t="str">
        <f t="shared" si="0"/>
        <v>new Match { MatchId= "</v>
      </c>
      <c r="B34" t="str">
        <f>Matchs!A35</f>
        <v>FIFAWC1934-16</v>
      </c>
      <c r="C34" t="str">
        <f t="shared" si="1"/>
        <v>",MatchNumer=</v>
      </c>
      <c r="D34">
        <f>Matchs!B35</f>
        <v>16</v>
      </c>
      <c r="E34" t="str">
        <f t="shared" si="2"/>
        <v>,DateMatch=DateTime.Parse("</v>
      </c>
      <c r="F34" s="3">
        <f>Matchs!C35</f>
        <v>12577</v>
      </c>
      <c r="G34" s="10" t="str">
        <f t="shared" si="3"/>
        <v>"),TimeMatch=TimeSpan.Parse("</v>
      </c>
      <c r="H34" s="9">
        <f>Matchs!D35</f>
        <v>0.89583333333333337</v>
      </c>
      <c r="I34" t="str">
        <f t="shared" si="4"/>
        <v>"),MatchYear=</v>
      </c>
      <c r="J34">
        <f>Matchs!E35</f>
        <v>1934</v>
      </c>
      <c r="K34" t="str">
        <f t="shared" si="5"/>
        <v>, SeasonId= "</v>
      </c>
      <c r="L34" t="str">
        <f>Matchs!F35</f>
        <v>FIFAWC1934</v>
      </c>
      <c r="M34" t="str">
        <f t="shared" si="6"/>
        <v>",Round= "</v>
      </c>
      <c r="N34" t="str">
        <f>Matchs!G35</f>
        <v>Final Round</v>
      </c>
      <c r="O34" s="6" t="str">
        <f t="shared" si="7"/>
        <v>",Stage= "</v>
      </c>
      <c r="P34" t="str">
        <f>Matchs!H35</f>
        <v>Knockouts</v>
      </c>
      <c r="Q34" s="6" t="str">
        <f t="shared" si="8"/>
        <v>",SubStage= "</v>
      </c>
      <c r="R34" t="str">
        <f>Matchs!I35</f>
        <v>3rd place</v>
      </c>
      <c r="S34" s="6" t="str">
        <f t="shared" si="9"/>
        <v>",HTeam= "</v>
      </c>
      <c r="T34" t="str">
        <f>Matchs!J35</f>
        <v>Germany</v>
      </c>
      <c r="U34" s="6" t="str">
        <f t="shared" si="10"/>
        <v>",HGoal=</v>
      </c>
      <c r="V34">
        <f>Matchs!K35</f>
        <v>3</v>
      </c>
      <c r="W34" s="6" t="str">
        <f t="shared" si="11"/>
        <v>,GGoal=</v>
      </c>
      <c r="X34">
        <f>Matchs!L35</f>
        <v>2</v>
      </c>
      <c r="Y34" s="6" t="str">
        <f t="shared" si="12"/>
        <v>,GTeam= "</v>
      </c>
      <c r="Z34" t="str">
        <f>Matchs!M35</f>
        <v>Austria</v>
      </c>
      <c r="AA34" s="6" t="str">
        <f t="shared" si="13"/>
        <v>",WinNote="</v>
      </c>
      <c r="AB34" t="str">
        <f>IF(Matchs!N35="","",Matchs!N35)</f>
        <v/>
      </c>
      <c r="AC34" s="6" t="str">
        <f t="shared" si="14"/>
        <v xml:space="preserve">",Stadium=" </v>
      </c>
      <c r="AD34" s="11" t="str">
        <f>Matchs!O35</f>
        <v xml:space="preserve">Stadio Giorgio Ascarelli </v>
      </c>
      <c r="AE34" s="6" t="str">
        <f t="shared" si="15"/>
        <v>",Referee= "</v>
      </c>
      <c r="AF34" s="11" t="str">
        <f>Matchs!P35</f>
        <v xml:space="preserve">Albino Carraro </v>
      </c>
      <c r="AG34" s="6" t="str">
        <f t="shared" si="16"/>
        <v xml:space="preserve">",Visistors= </v>
      </c>
      <c r="AH34" s="11">
        <f>Matchs!Q35</f>
        <v>8000</v>
      </c>
      <c r="AI34" s="11" t="str">
        <f t="shared" si="17"/>
        <v>,Status= "</v>
      </c>
      <c r="AJ34" s="11" t="str">
        <f>Matchs!R35</f>
        <v>Finished</v>
      </c>
      <c r="AK34" t="str">
        <f t="shared" si="18"/>
        <v>" },</v>
      </c>
    </row>
    <row r="35" spans="1:37" x14ac:dyDescent="0.25">
      <c r="A35" t="str">
        <f t="shared" si="0"/>
        <v>new Match { MatchId= "</v>
      </c>
      <c r="B35" t="str">
        <f>Matchs!A36</f>
        <v>FIFAWC1934-17</v>
      </c>
      <c r="C35" t="str">
        <f t="shared" si="1"/>
        <v>",MatchNumer=</v>
      </c>
      <c r="D35">
        <f>Matchs!B36</f>
        <v>17</v>
      </c>
      <c r="E35" t="str">
        <f t="shared" si="2"/>
        <v>,DateMatch=DateTime.Parse("</v>
      </c>
      <c r="F35" s="3">
        <f>Matchs!C36</f>
        <v>12580</v>
      </c>
      <c r="G35" s="10" t="str">
        <f t="shared" si="3"/>
        <v>"),TimeMatch=TimeSpan.Parse("</v>
      </c>
      <c r="H35" s="9">
        <f>Matchs!D36</f>
        <v>0.89583333333333337</v>
      </c>
      <c r="I35" t="str">
        <f t="shared" si="4"/>
        <v>"),MatchYear=</v>
      </c>
      <c r="J35">
        <f>Matchs!E36</f>
        <v>1934</v>
      </c>
      <c r="K35" t="str">
        <f t="shared" si="5"/>
        <v>, SeasonId= "</v>
      </c>
      <c r="L35" t="str">
        <f>Matchs!F36</f>
        <v>FIFAWC1934</v>
      </c>
      <c r="M35" t="str">
        <f t="shared" si="6"/>
        <v>",Round= "</v>
      </c>
      <c r="N35" t="str">
        <f>Matchs!G36</f>
        <v>Final Round</v>
      </c>
      <c r="O35" s="6" t="str">
        <f t="shared" si="7"/>
        <v>",Stage= "</v>
      </c>
      <c r="P35" t="str">
        <f>Matchs!H36</f>
        <v>Knockouts</v>
      </c>
      <c r="Q35" s="6" t="str">
        <f t="shared" si="8"/>
        <v>",SubStage= "</v>
      </c>
      <c r="R35" t="str">
        <f>Matchs!I36</f>
        <v>Final</v>
      </c>
      <c r="S35" s="6" t="str">
        <f t="shared" si="9"/>
        <v>",HTeam= "</v>
      </c>
      <c r="T35" t="str">
        <f>Matchs!J36</f>
        <v>Italy</v>
      </c>
      <c r="U35" s="6" t="str">
        <f t="shared" si="10"/>
        <v>",HGoal=</v>
      </c>
      <c r="V35">
        <f>Matchs!K36</f>
        <v>2</v>
      </c>
      <c r="W35" s="6" t="str">
        <f t="shared" si="11"/>
        <v>,GGoal=</v>
      </c>
      <c r="X35">
        <f>Matchs!L36</f>
        <v>1</v>
      </c>
      <c r="Y35" s="6" t="str">
        <f t="shared" si="12"/>
        <v>,GTeam= "</v>
      </c>
      <c r="Z35" t="str">
        <f>Matchs!M36</f>
        <v>Czechoslovakia</v>
      </c>
      <c r="AA35" s="6" t="str">
        <f t="shared" si="13"/>
        <v>",WinNote="</v>
      </c>
      <c r="AB35" t="str">
        <f>IF(Matchs!N36="","",Matchs!N36)</f>
        <v/>
      </c>
      <c r="AC35" s="6" t="str">
        <f t="shared" si="14"/>
        <v xml:space="preserve">",Stadium=" </v>
      </c>
      <c r="AD35" s="11" t="str">
        <f>Matchs!O36</f>
        <v xml:space="preserve">Stadio Nazionale del PNF </v>
      </c>
      <c r="AE35" s="6" t="str">
        <f t="shared" si="15"/>
        <v>",Referee= "</v>
      </c>
      <c r="AF35" s="11" t="str">
        <f>Matchs!P36</f>
        <v xml:space="preserve">Ivan Eklind </v>
      </c>
      <c r="AG35" s="6" t="str">
        <f t="shared" si="16"/>
        <v xml:space="preserve">",Visistors= </v>
      </c>
      <c r="AH35" s="11">
        <f>Matchs!Q36</f>
        <v>45000</v>
      </c>
      <c r="AI35" s="11" t="str">
        <f t="shared" si="17"/>
        <v>,Status= "</v>
      </c>
      <c r="AJ35" s="11" t="str">
        <f>Matchs!R36</f>
        <v>Finished</v>
      </c>
      <c r="AK35" t="str">
        <f t="shared" si="18"/>
        <v>" },</v>
      </c>
    </row>
    <row r="36" spans="1:37" x14ac:dyDescent="0.25">
      <c r="A36" t="str">
        <f t="shared" si="0"/>
        <v>new Match { MatchId= "</v>
      </c>
      <c r="B36" t="str">
        <f>Matchs!A37</f>
        <v>FIFAWC1938-1</v>
      </c>
      <c r="C36" t="str">
        <f t="shared" si="1"/>
        <v>",MatchNumer=</v>
      </c>
      <c r="D36">
        <f>Matchs!B37</f>
        <v>1</v>
      </c>
      <c r="E36" t="str">
        <f t="shared" si="2"/>
        <v>,DateMatch=DateTime.Parse("</v>
      </c>
      <c r="F36" s="3">
        <f>Matchs!C37</f>
        <v>14035</v>
      </c>
      <c r="G36" s="10" t="str">
        <f t="shared" si="3"/>
        <v>"),TimeMatch=TimeSpan.Parse("</v>
      </c>
      <c r="H36" s="9">
        <f>Matchs!D37</f>
        <v>0.91666666666666663</v>
      </c>
      <c r="I36" t="str">
        <f t="shared" si="4"/>
        <v>"),MatchYear=</v>
      </c>
      <c r="J36">
        <f>Matchs!E37</f>
        <v>1938</v>
      </c>
      <c r="K36" t="str">
        <f t="shared" si="5"/>
        <v>, SeasonId= "</v>
      </c>
      <c r="L36" t="str">
        <f>Matchs!F37</f>
        <v>FIFAWC1938</v>
      </c>
      <c r="M36" t="str">
        <f t="shared" si="6"/>
        <v>",Round= "</v>
      </c>
      <c r="N36" t="str">
        <f>Matchs!G37</f>
        <v>Final Round</v>
      </c>
      <c r="O36" s="6" t="str">
        <f t="shared" si="7"/>
        <v>",Stage= "</v>
      </c>
      <c r="P36" t="str">
        <f>Matchs!H37</f>
        <v>First Round</v>
      </c>
      <c r="Q36" s="6" t="str">
        <f t="shared" si="8"/>
        <v>",SubStage= "</v>
      </c>
      <c r="R36" t="str">
        <f>Matchs!I37</f>
        <v>First Round</v>
      </c>
      <c r="S36" s="6" t="str">
        <f t="shared" si="9"/>
        <v>",HTeam= "</v>
      </c>
      <c r="T36" t="str">
        <f>Matchs!J37</f>
        <v>Switzerland</v>
      </c>
      <c r="U36" s="6" t="str">
        <f t="shared" si="10"/>
        <v>",HGoal=</v>
      </c>
      <c r="V36">
        <f>Matchs!K37</f>
        <v>1</v>
      </c>
      <c r="W36" s="6" t="str">
        <f t="shared" si="11"/>
        <v>,GGoal=</v>
      </c>
      <c r="X36">
        <f>Matchs!L37</f>
        <v>1</v>
      </c>
      <c r="Y36" s="6" t="str">
        <f t="shared" si="12"/>
        <v>,GTeam= "</v>
      </c>
      <c r="Z36" t="str">
        <f>Matchs!M37</f>
        <v>Germany</v>
      </c>
      <c r="AA36" s="6" t="str">
        <f t="shared" si="13"/>
        <v>",WinNote="</v>
      </c>
      <c r="AB36" t="str">
        <f>IF(Matchs!N37="","",Matchs!N37)</f>
        <v/>
      </c>
      <c r="AC36" s="6" t="str">
        <f t="shared" si="14"/>
        <v xml:space="preserve">",Stadium=" </v>
      </c>
      <c r="AD36" s="11" t="str">
        <f>Matchs!O37</f>
        <v xml:space="preserve">Parc des Princes </v>
      </c>
      <c r="AE36" s="6" t="str">
        <f t="shared" si="15"/>
        <v>",Referee= "</v>
      </c>
      <c r="AF36" s="11">
        <f>Matchs!P37</f>
        <v>0</v>
      </c>
      <c r="AG36" s="6" t="str">
        <f t="shared" si="16"/>
        <v xml:space="preserve">",Visistors= </v>
      </c>
      <c r="AH36" s="11">
        <f>Matchs!Q37</f>
        <v>27152</v>
      </c>
      <c r="AI36" s="11" t="str">
        <f t="shared" si="17"/>
        <v>,Status= "</v>
      </c>
      <c r="AJ36" s="11" t="str">
        <f>Matchs!R37</f>
        <v>Finished</v>
      </c>
      <c r="AK36" t="str">
        <f t="shared" si="18"/>
        <v>" },</v>
      </c>
    </row>
    <row r="37" spans="1:37" x14ac:dyDescent="0.25">
      <c r="A37" t="str">
        <f t="shared" si="0"/>
        <v>new Match { MatchId= "</v>
      </c>
      <c r="B37" t="str">
        <f>Matchs!A38</f>
        <v>FIFAWC1938-2</v>
      </c>
      <c r="C37" t="str">
        <f t="shared" si="1"/>
        <v>",MatchNumer=</v>
      </c>
      <c r="D37">
        <f>Matchs!B38</f>
        <v>2</v>
      </c>
      <c r="E37" t="str">
        <f t="shared" si="2"/>
        <v>,DateMatch=DateTime.Parse("</v>
      </c>
      <c r="F37" s="3">
        <f>Matchs!C38</f>
        <v>14040</v>
      </c>
      <c r="G37" s="10" t="str">
        <f t="shared" si="3"/>
        <v>"),TimeMatch=TimeSpan.Parse("</v>
      </c>
      <c r="H37" s="9">
        <f>Matchs!D38</f>
        <v>0.91666666666666663</v>
      </c>
      <c r="I37" t="str">
        <f t="shared" si="4"/>
        <v>"),MatchYear=</v>
      </c>
      <c r="J37">
        <f>Matchs!E38</f>
        <v>1938</v>
      </c>
      <c r="K37" t="str">
        <f t="shared" si="5"/>
        <v>, SeasonId= "</v>
      </c>
      <c r="L37" t="str">
        <f>Matchs!F38</f>
        <v>FIFAWC1938</v>
      </c>
      <c r="M37" t="str">
        <f t="shared" si="6"/>
        <v>",Round= "</v>
      </c>
      <c r="N37" t="str">
        <f>Matchs!G38</f>
        <v>Final Round</v>
      </c>
      <c r="O37" s="6" t="str">
        <f t="shared" si="7"/>
        <v>",Stage= "</v>
      </c>
      <c r="P37" t="str">
        <f>Matchs!H38</f>
        <v>First Round</v>
      </c>
      <c r="Q37" s="6" t="str">
        <f t="shared" si="8"/>
        <v>",SubStage= "</v>
      </c>
      <c r="R37" t="str">
        <f>Matchs!I38</f>
        <v>First Round</v>
      </c>
      <c r="S37" s="6" t="str">
        <f t="shared" si="9"/>
        <v>",HTeam= "</v>
      </c>
      <c r="T37" t="str">
        <f>Matchs!J38</f>
        <v>Cuba</v>
      </c>
      <c r="U37" s="6" t="str">
        <f t="shared" si="10"/>
        <v>",HGoal=</v>
      </c>
      <c r="V37">
        <f>Matchs!K38</f>
        <v>2</v>
      </c>
      <c r="W37" s="6" t="str">
        <f t="shared" si="11"/>
        <v>,GGoal=</v>
      </c>
      <c r="X37">
        <f>Matchs!L38</f>
        <v>1</v>
      </c>
      <c r="Y37" s="6" t="str">
        <f t="shared" si="12"/>
        <v>,GTeam= "</v>
      </c>
      <c r="Z37" t="str">
        <f>Matchs!M38</f>
        <v>Romania</v>
      </c>
      <c r="AA37" s="6" t="str">
        <f t="shared" si="13"/>
        <v>",WinNote="</v>
      </c>
      <c r="AB37" t="str">
        <f>IF(Matchs!N38="","",Matchs!N38)</f>
        <v/>
      </c>
      <c r="AC37" s="6" t="str">
        <f t="shared" si="14"/>
        <v xml:space="preserve">",Stadium=" </v>
      </c>
      <c r="AD37" s="11" t="str">
        <f>Matchs!O38</f>
        <v xml:space="preserve">Stade Municipal de Toulouse </v>
      </c>
      <c r="AE37" s="6" t="str">
        <f t="shared" si="15"/>
        <v>",Referee= "</v>
      </c>
      <c r="AF37" s="11">
        <f>Matchs!P38</f>
        <v>0</v>
      </c>
      <c r="AG37" s="6" t="str">
        <f t="shared" si="16"/>
        <v xml:space="preserve">",Visistors= </v>
      </c>
      <c r="AH37" s="11">
        <f>Matchs!Q38</f>
        <v>8000</v>
      </c>
      <c r="AI37" s="11" t="str">
        <f t="shared" si="17"/>
        <v>,Status= "</v>
      </c>
      <c r="AJ37" s="11" t="str">
        <f>Matchs!R38</f>
        <v>Finished</v>
      </c>
      <c r="AK37" t="str">
        <f t="shared" si="18"/>
        <v>" },</v>
      </c>
    </row>
    <row r="38" spans="1:37" x14ac:dyDescent="0.25">
      <c r="A38" t="str">
        <f t="shared" si="0"/>
        <v>new Match { MatchId= "</v>
      </c>
      <c r="B38" t="str">
        <f>Matchs!A39</f>
        <v>FIFAWC1938-3</v>
      </c>
      <c r="C38" t="str">
        <f t="shared" si="1"/>
        <v>",MatchNumer=</v>
      </c>
      <c r="D38">
        <f>Matchs!B39</f>
        <v>3</v>
      </c>
      <c r="E38" t="str">
        <f t="shared" si="2"/>
        <v>,DateMatch=DateTime.Parse("</v>
      </c>
      <c r="F38" s="3">
        <f>Matchs!C39</f>
        <v>14036</v>
      </c>
      <c r="G38" s="10" t="str">
        <f t="shared" si="3"/>
        <v>"),TimeMatch=TimeSpan.Parse("</v>
      </c>
      <c r="H38" s="9">
        <f>Matchs!D39</f>
        <v>0.91666666666666663</v>
      </c>
      <c r="I38" t="str">
        <f t="shared" si="4"/>
        <v>"),MatchYear=</v>
      </c>
      <c r="J38">
        <f>Matchs!E39</f>
        <v>1938</v>
      </c>
      <c r="K38" t="str">
        <f t="shared" si="5"/>
        <v>, SeasonId= "</v>
      </c>
      <c r="L38" t="str">
        <f>Matchs!F39</f>
        <v>FIFAWC1938</v>
      </c>
      <c r="M38" t="str">
        <f t="shared" si="6"/>
        <v>",Round= "</v>
      </c>
      <c r="N38" t="str">
        <f>Matchs!G39</f>
        <v>Final Round</v>
      </c>
      <c r="O38" s="6" t="str">
        <f t="shared" si="7"/>
        <v>",Stage= "</v>
      </c>
      <c r="P38" t="str">
        <f>Matchs!H39</f>
        <v>First Round</v>
      </c>
      <c r="Q38" s="6" t="str">
        <f t="shared" si="8"/>
        <v>",SubStage= "</v>
      </c>
      <c r="R38" t="str">
        <f>Matchs!I39</f>
        <v>First Round</v>
      </c>
      <c r="S38" s="6" t="str">
        <f t="shared" si="9"/>
        <v>",HTeam= "</v>
      </c>
      <c r="T38" t="str">
        <f>Matchs!J39</f>
        <v>France</v>
      </c>
      <c r="U38" s="6" t="str">
        <f t="shared" si="10"/>
        <v>",HGoal=</v>
      </c>
      <c r="V38">
        <f>Matchs!K39</f>
        <v>3</v>
      </c>
      <c r="W38" s="6" t="str">
        <f t="shared" si="11"/>
        <v>,GGoal=</v>
      </c>
      <c r="X38">
        <f>Matchs!L39</f>
        <v>1</v>
      </c>
      <c r="Y38" s="6" t="str">
        <f t="shared" si="12"/>
        <v>,GTeam= "</v>
      </c>
      <c r="Z38" t="str">
        <f>Matchs!M39</f>
        <v>Belgium</v>
      </c>
      <c r="AA38" s="6" t="str">
        <f t="shared" si="13"/>
        <v>",WinNote="</v>
      </c>
      <c r="AB38" t="str">
        <f>IF(Matchs!N39="","",Matchs!N39)</f>
        <v/>
      </c>
      <c r="AC38" s="6" t="str">
        <f t="shared" si="14"/>
        <v xml:space="preserve">",Stadium=" </v>
      </c>
      <c r="AD38" s="11" t="str">
        <f>Matchs!O39</f>
        <v xml:space="preserve">Olympique, Paris/Colombes </v>
      </c>
      <c r="AE38" s="6" t="str">
        <f t="shared" si="15"/>
        <v>",Referee= "</v>
      </c>
      <c r="AF38" s="11">
        <f>Matchs!P39</f>
        <v>0</v>
      </c>
      <c r="AG38" s="6" t="str">
        <f t="shared" si="16"/>
        <v xml:space="preserve">",Visistors= </v>
      </c>
      <c r="AH38" s="11">
        <f>Matchs!Q39</f>
        <v>30454</v>
      </c>
      <c r="AI38" s="11" t="str">
        <f t="shared" si="17"/>
        <v>,Status= "</v>
      </c>
      <c r="AJ38" s="11" t="str">
        <f>Matchs!R39</f>
        <v>Finished</v>
      </c>
      <c r="AK38" t="str">
        <f t="shared" si="18"/>
        <v>" },</v>
      </c>
    </row>
    <row r="39" spans="1:37" x14ac:dyDescent="0.25">
      <c r="A39" t="str">
        <f t="shared" si="0"/>
        <v>new Match { MatchId= "</v>
      </c>
      <c r="B39" t="str">
        <f>Matchs!A40</f>
        <v>FIFAWC1938-4</v>
      </c>
      <c r="C39" t="str">
        <f t="shared" si="1"/>
        <v>",MatchNumer=</v>
      </c>
      <c r="D39">
        <f>Matchs!B40</f>
        <v>4</v>
      </c>
      <c r="E39" t="str">
        <f t="shared" si="2"/>
        <v>,DateMatch=DateTime.Parse("</v>
      </c>
      <c r="F39" s="3">
        <f>Matchs!C40</f>
        <v>14036</v>
      </c>
      <c r="G39" s="10" t="str">
        <f t="shared" si="3"/>
        <v>"),TimeMatch=TimeSpan.Parse("</v>
      </c>
      <c r="H39" s="9">
        <f>Matchs!D40</f>
        <v>0.91666666666666663</v>
      </c>
      <c r="I39" t="str">
        <f t="shared" si="4"/>
        <v>"),MatchYear=</v>
      </c>
      <c r="J39">
        <f>Matchs!E40</f>
        <v>1938</v>
      </c>
      <c r="K39" t="str">
        <f t="shared" si="5"/>
        <v>, SeasonId= "</v>
      </c>
      <c r="L39" t="str">
        <f>Matchs!F40</f>
        <v>FIFAWC1938</v>
      </c>
      <c r="M39" t="str">
        <f t="shared" si="6"/>
        <v>",Round= "</v>
      </c>
      <c r="N39" t="str">
        <f>Matchs!G40</f>
        <v>Final Round</v>
      </c>
      <c r="O39" s="6" t="str">
        <f t="shared" si="7"/>
        <v>",Stage= "</v>
      </c>
      <c r="P39" t="str">
        <f>Matchs!H40</f>
        <v>First Round</v>
      </c>
      <c r="Q39" s="6" t="str">
        <f t="shared" si="8"/>
        <v>",SubStage= "</v>
      </c>
      <c r="R39" t="str">
        <f>Matchs!I40</f>
        <v>First Round</v>
      </c>
      <c r="S39" s="6" t="str">
        <f t="shared" si="9"/>
        <v>",HTeam= "</v>
      </c>
      <c r="T39" t="str">
        <f>Matchs!J40</f>
        <v>Italy</v>
      </c>
      <c r="U39" s="6" t="str">
        <f t="shared" si="10"/>
        <v>",HGoal=</v>
      </c>
      <c r="V39">
        <f>Matchs!K40</f>
        <v>2</v>
      </c>
      <c r="W39" s="6" t="str">
        <f t="shared" si="11"/>
        <v>,GGoal=</v>
      </c>
      <c r="X39">
        <f>Matchs!L40</f>
        <v>1</v>
      </c>
      <c r="Y39" s="6" t="str">
        <f t="shared" si="12"/>
        <v>,GTeam= "</v>
      </c>
      <c r="Z39" t="str">
        <f>Matchs!M40</f>
        <v>Norway</v>
      </c>
      <c r="AA39" s="6" t="str">
        <f t="shared" si="13"/>
        <v>",WinNote="</v>
      </c>
      <c r="AB39" t="str">
        <f>IF(Matchs!N40="","",Matchs!N40)</f>
        <v/>
      </c>
      <c r="AC39" s="6" t="str">
        <f t="shared" si="14"/>
        <v xml:space="preserve">",Stadium=" </v>
      </c>
      <c r="AD39" s="11" t="str">
        <f>Matchs!O40</f>
        <v xml:space="preserve">Stade Vélodrome </v>
      </c>
      <c r="AE39" s="6" t="str">
        <f t="shared" si="15"/>
        <v>",Referee= "</v>
      </c>
      <c r="AF39" s="11">
        <f>Matchs!P40</f>
        <v>0</v>
      </c>
      <c r="AG39" s="6" t="str">
        <f t="shared" si="16"/>
        <v xml:space="preserve">",Visistors= </v>
      </c>
      <c r="AH39" s="11">
        <f>Matchs!Q40</f>
        <v>19000</v>
      </c>
      <c r="AI39" s="11" t="str">
        <f t="shared" si="17"/>
        <v>,Status= "</v>
      </c>
      <c r="AJ39" s="11" t="str">
        <f>Matchs!R40</f>
        <v>Finished</v>
      </c>
      <c r="AK39" t="str">
        <f t="shared" si="18"/>
        <v>" },</v>
      </c>
    </row>
    <row r="40" spans="1:37" x14ac:dyDescent="0.25">
      <c r="A40" t="str">
        <f t="shared" si="0"/>
        <v>new Match { MatchId= "</v>
      </c>
      <c r="B40" t="str">
        <f>Matchs!A41</f>
        <v>FIFAWC1938-5</v>
      </c>
      <c r="C40" t="str">
        <f t="shared" si="1"/>
        <v>",MatchNumer=</v>
      </c>
      <c r="D40">
        <f>Matchs!B41</f>
        <v>5</v>
      </c>
      <c r="E40" t="str">
        <f t="shared" si="2"/>
        <v>,DateMatch=DateTime.Parse("</v>
      </c>
      <c r="F40" s="3">
        <f>Matchs!C41</f>
        <v>14036</v>
      </c>
      <c r="G40" s="10" t="str">
        <f t="shared" si="3"/>
        <v>"),TimeMatch=TimeSpan.Parse("</v>
      </c>
      <c r="H40" s="9">
        <f>Matchs!D41</f>
        <v>0.91666666666666663</v>
      </c>
      <c r="I40" t="str">
        <f t="shared" si="4"/>
        <v>"),MatchYear=</v>
      </c>
      <c r="J40">
        <f>Matchs!E41</f>
        <v>1938</v>
      </c>
      <c r="K40" t="str">
        <f t="shared" si="5"/>
        <v>, SeasonId= "</v>
      </c>
      <c r="L40" t="str">
        <f>Matchs!F41</f>
        <v>FIFAWC1938</v>
      </c>
      <c r="M40" t="str">
        <f t="shared" si="6"/>
        <v>",Round= "</v>
      </c>
      <c r="N40" t="str">
        <f>Matchs!G41</f>
        <v>Final Round</v>
      </c>
      <c r="O40" s="6" t="str">
        <f t="shared" si="7"/>
        <v>",Stage= "</v>
      </c>
      <c r="P40" t="str">
        <f>Matchs!H41</f>
        <v>First Round</v>
      </c>
      <c r="Q40" s="6" t="str">
        <f t="shared" si="8"/>
        <v>",SubStage= "</v>
      </c>
      <c r="R40" t="str">
        <f>Matchs!I41</f>
        <v>First Round</v>
      </c>
      <c r="S40" s="6" t="str">
        <f t="shared" si="9"/>
        <v>",HTeam= "</v>
      </c>
      <c r="T40" t="str">
        <f>Matchs!J41</f>
        <v>Hungary</v>
      </c>
      <c r="U40" s="6" t="str">
        <f t="shared" si="10"/>
        <v>",HGoal=</v>
      </c>
      <c r="V40">
        <f>Matchs!K41</f>
        <v>6</v>
      </c>
      <c r="W40" s="6" t="str">
        <f t="shared" si="11"/>
        <v>,GGoal=</v>
      </c>
      <c r="X40">
        <f>Matchs!L41</f>
        <v>0</v>
      </c>
      <c r="Y40" s="6" t="str">
        <f t="shared" si="12"/>
        <v>,GTeam= "</v>
      </c>
      <c r="Z40" t="str">
        <f>Matchs!M41</f>
        <v>Dutch East Indies</v>
      </c>
      <c r="AA40" s="6" t="str">
        <f t="shared" si="13"/>
        <v>",WinNote="</v>
      </c>
      <c r="AB40" t="str">
        <f>IF(Matchs!N41="","",Matchs!N41)</f>
        <v/>
      </c>
      <c r="AC40" s="6" t="str">
        <f t="shared" si="14"/>
        <v xml:space="preserve">",Stadium=" </v>
      </c>
      <c r="AD40" s="11" t="str">
        <f>Matchs!O41</f>
        <v xml:space="preserve">Velodrome Municipale, Reims </v>
      </c>
      <c r="AE40" s="6" t="str">
        <f t="shared" si="15"/>
        <v>",Referee= "</v>
      </c>
      <c r="AF40" s="11">
        <f>Matchs!P41</f>
        <v>0</v>
      </c>
      <c r="AG40" s="6" t="str">
        <f t="shared" si="16"/>
        <v xml:space="preserve">",Visistors= </v>
      </c>
      <c r="AH40" s="11">
        <f>Matchs!Q41</f>
        <v>9000</v>
      </c>
      <c r="AI40" s="11" t="str">
        <f t="shared" si="17"/>
        <v>,Status= "</v>
      </c>
      <c r="AJ40" s="11" t="str">
        <f>Matchs!R41</f>
        <v>Finished</v>
      </c>
      <c r="AK40" t="str">
        <f t="shared" si="18"/>
        <v>" },</v>
      </c>
    </row>
    <row r="41" spans="1:37" x14ac:dyDescent="0.25">
      <c r="A41" t="str">
        <f t="shared" si="0"/>
        <v>new Match { MatchId= "</v>
      </c>
      <c r="B41" t="str">
        <f>Matchs!A42</f>
        <v>FIFAWC1938-6</v>
      </c>
      <c r="C41" t="str">
        <f t="shared" si="1"/>
        <v>",MatchNumer=</v>
      </c>
      <c r="D41">
        <f>Matchs!B42</f>
        <v>6</v>
      </c>
      <c r="E41" t="str">
        <f t="shared" si="2"/>
        <v>,DateMatch=DateTime.Parse("</v>
      </c>
      <c r="F41" s="3">
        <f>Matchs!C42</f>
        <v>14036</v>
      </c>
      <c r="G41" s="10" t="str">
        <f t="shared" si="3"/>
        <v>"),TimeMatch=TimeSpan.Parse("</v>
      </c>
      <c r="H41" s="9">
        <f>Matchs!D42</f>
        <v>0.91666666666666663</v>
      </c>
      <c r="I41" t="str">
        <f t="shared" si="4"/>
        <v>"),MatchYear=</v>
      </c>
      <c r="J41">
        <f>Matchs!E42</f>
        <v>1938</v>
      </c>
      <c r="K41" t="str">
        <f t="shared" si="5"/>
        <v>, SeasonId= "</v>
      </c>
      <c r="L41" t="str">
        <f>Matchs!F42</f>
        <v>FIFAWC1938</v>
      </c>
      <c r="M41" t="str">
        <f t="shared" si="6"/>
        <v>",Round= "</v>
      </c>
      <c r="N41" t="str">
        <f>Matchs!G42</f>
        <v>Final Round</v>
      </c>
      <c r="O41" s="6" t="str">
        <f t="shared" si="7"/>
        <v>",Stage= "</v>
      </c>
      <c r="P41" t="str">
        <f>Matchs!H42</f>
        <v>First Round</v>
      </c>
      <c r="Q41" s="6" t="str">
        <f t="shared" si="8"/>
        <v>",SubStage= "</v>
      </c>
      <c r="R41" t="str">
        <f>Matchs!I42</f>
        <v>First Round</v>
      </c>
      <c r="S41" s="6" t="str">
        <f t="shared" si="9"/>
        <v>",HTeam= "</v>
      </c>
      <c r="T41" t="str">
        <f>Matchs!J42</f>
        <v>Brazil</v>
      </c>
      <c r="U41" s="6" t="str">
        <f t="shared" si="10"/>
        <v>",HGoal=</v>
      </c>
      <c r="V41">
        <f>Matchs!K42</f>
        <v>6</v>
      </c>
      <c r="W41" s="6" t="str">
        <f t="shared" si="11"/>
        <v>,GGoal=</v>
      </c>
      <c r="X41">
        <f>Matchs!L42</f>
        <v>5</v>
      </c>
      <c r="Y41" s="6" t="str">
        <f t="shared" si="12"/>
        <v>,GTeam= "</v>
      </c>
      <c r="Z41" t="str">
        <f>Matchs!M42</f>
        <v>Poland</v>
      </c>
      <c r="AA41" s="6" t="str">
        <f t="shared" si="13"/>
        <v>",WinNote="</v>
      </c>
      <c r="AB41" t="str">
        <f>IF(Matchs!N42="","",Matchs!N42)</f>
        <v/>
      </c>
      <c r="AC41" s="6" t="str">
        <f t="shared" si="14"/>
        <v xml:space="preserve">",Stadium=" </v>
      </c>
      <c r="AD41" s="11" t="str">
        <f>Matchs!O42</f>
        <v xml:space="preserve">Stade de la Meinau </v>
      </c>
      <c r="AE41" s="6" t="str">
        <f t="shared" si="15"/>
        <v>",Referee= "</v>
      </c>
      <c r="AF41" s="11" t="str">
        <f>Matchs!P42</f>
        <v xml:space="preserve">I. Eklind </v>
      </c>
      <c r="AG41" s="6" t="str">
        <f t="shared" si="16"/>
        <v xml:space="preserve">",Visistors= </v>
      </c>
      <c r="AH41" s="11">
        <f>Matchs!Q42</f>
        <v>13452</v>
      </c>
      <c r="AI41" s="11" t="str">
        <f t="shared" si="17"/>
        <v>,Status= "</v>
      </c>
      <c r="AJ41" s="11" t="str">
        <f>Matchs!R42</f>
        <v>Finished</v>
      </c>
      <c r="AK41" t="str">
        <f t="shared" si="18"/>
        <v>" },</v>
      </c>
    </row>
    <row r="42" spans="1:37" x14ac:dyDescent="0.25">
      <c r="A42" t="str">
        <f t="shared" si="0"/>
        <v>new Match { MatchId= "</v>
      </c>
      <c r="B42" t="str">
        <f>Matchs!A43</f>
        <v>FIFAWC1938-7</v>
      </c>
      <c r="C42" t="str">
        <f t="shared" si="1"/>
        <v>",MatchNumer=</v>
      </c>
      <c r="D42">
        <f>Matchs!B43</f>
        <v>7</v>
      </c>
      <c r="E42" t="str">
        <f t="shared" si="2"/>
        <v>,DateMatch=DateTime.Parse("</v>
      </c>
      <c r="F42" s="3">
        <f>Matchs!C43</f>
        <v>14036</v>
      </c>
      <c r="G42" s="10" t="str">
        <f t="shared" si="3"/>
        <v>"),TimeMatch=TimeSpan.Parse("</v>
      </c>
      <c r="H42" s="9">
        <f>Matchs!D43</f>
        <v>0.91666666666666663</v>
      </c>
      <c r="I42" t="str">
        <f t="shared" si="4"/>
        <v>"),MatchYear=</v>
      </c>
      <c r="J42">
        <f>Matchs!E43</f>
        <v>1938</v>
      </c>
      <c r="K42" t="str">
        <f t="shared" si="5"/>
        <v>, SeasonId= "</v>
      </c>
      <c r="L42" t="str">
        <f>Matchs!F43</f>
        <v>FIFAWC1938</v>
      </c>
      <c r="M42" t="str">
        <f t="shared" si="6"/>
        <v>",Round= "</v>
      </c>
      <c r="N42" t="str">
        <f>Matchs!G43</f>
        <v>Final Round</v>
      </c>
      <c r="O42" s="6" t="str">
        <f t="shared" si="7"/>
        <v>",Stage= "</v>
      </c>
      <c r="P42" t="str">
        <f>Matchs!H43</f>
        <v>First Round</v>
      </c>
      <c r="Q42" s="6" t="str">
        <f t="shared" si="8"/>
        <v>",SubStage= "</v>
      </c>
      <c r="R42" t="str">
        <f>Matchs!I43</f>
        <v>First Round</v>
      </c>
      <c r="S42" s="6" t="str">
        <f t="shared" si="9"/>
        <v>",HTeam= "</v>
      </c>
      <c r="T42" t="str">
        <f>Matchs!J43</f>
        <v>Czechoslovakia</v>
      </c>
      <c r="U42" s="6" t="str">
        <f t="shared" si="10"/>
        <v>",HGoal=</v>
      </c>
      <c r="V42">
        <f>Matchs!K43</f>
        <v>3</v>
      </c>
      <c r="W42" s="6" t="str">
        <f t="shared" si="11"/>
        <v>,GGoal=</v>
      </c>
      <c r="X42">
        <f>Matchs!L43</f>
        <v>0</v>
      </c>
      <c r="Y42" s="6" t="str">
        <f t="shared" si="12"/>
        <v>,GTeam= "</v>
      </c>
      <c r="Z42" t="str">
        <f>Matchs!M43</f>
        <v>Netherlands</v>
      </c>
      <c r="AA42" s="6" t="str">
        <f t="shared" si="13"/>
        <v>",WinNote="</v>
      </c>
      <c r="AB42" t="str">
        <f>IF(Matchs!N43="","",Matchs!N43)</f>
        <v/>
      </c>
      <c r="AC42" s="6" t="str">
        <f t="shared" si="14"/>
        <v xml:space="preserve">",Stadium=" </v>
      </c>
      <c r="AD42" s="11" t="str">
        <f>Matchs!O43</f>
        <v xml:space="preserve">Stade de la Cavée verte </v>
      </c>
      <c r="AE42" s="6" t="str">
        <f t="shared" si="15"/>
        <v>",Referee= "</v>
      </c>
      <c r="AF42" s="11">
        <f>Matchs!P43</f>
        <v>0</v>
      </c>
      <c r="AG42" s="6" t="str">
        <f t="shared" si="16"/>
        <v xml:space="preserve">",Visistors= </v>
      </c>
      <c r="AH42" s="11">
        <f>Matchs!Q43</f>
        <v>11000</v>
      </c>
      <c r="AI42" s="11" t="str">
        <f t="shared" si="17"/>
        <v>,Status= "</v>
      </c>
      <c r="AJ42" s="11" t="str">
        <f>Matchs!R43</f>
        <v>Finished</v>
      </c>
      <c r="AK42" t="str">
        <f t="shared" si="18"/>
        <v>" },</v>
      </c>
    </row>
    <row r="43" spans="1:37" x14ac:dyDescent="0.25">
      <c r="A43" t="str">
        <f t="shared" si="0"/>
        <v>new Match { MatchId= "</v>
      </c>
      <c r="B43" t="str">
        <f>Matchs!A44</f>
        <v>FIFAWC1938-8</v>
      </c>
      <c r="C43" t="str">
        <f t="shared" si="1"/>
        <v>",MatchNumer=</v>
      </c>
      <c r="D43">
        <f>Matchs!B44</f>
        <v>8</v>
      </c>
      <c r="E43" t="str">
        <f t="shared" si="2"/>
        <v>,DateMatch=DateTime.Parse("</v>
      </c>
      <c r="F43" s="3">
        <f>Matchs!C44</f>
        <v>14040</v>
      </c>
      <c r="G43" s="10" t="str">
        <f t="shared" si="3"/>
        <v>"),TimeMatch=TimeSpan.Parse("</v>
      </c>
      <c r="H43" s="9">
        <f>Matchs!D44</f>
        <v>0.91666666666666663</v>
      </c>
      <c r="I43" t="str">
        <f t="shared" si="4"/>
        <v>"),MatchYear=</v>
      </c>
      <c r="J43">
        <f>Matchs!E44</f>
        <v>1938</v>
      </c>
      <c r="K43" t="str">
        <f t="shared" si="5"/>
        <v>, SeasonId= "</v>
      </c>
      <c r="L43" t="str">
        <f>Matchs!F44</f>
        <v>FIFAWC1938</v>
      </c>
      <c r="M43" t="str">
        <f t="shared" si="6"/>
        <v>",Round= "</v>
      </c>
      <c r="N43" t="str">
        <f>Matchs!G44</f>
        <v>Final Round</v>
      </c>
      <c r="O43" s="6" t="str">
        <f t="shared" si="7"/>
        <v>",Stage= "</v>
      </c>
      <c r="P43" t="str">
        <f>Matchs!H44</f>
        <v>First Round</v>
      </c>
      <c r="Q43" s="6" t="str">
        <f t="shared" si="8"/>
        <v>",SubStage= "</v>
      </c>
      <c r="R43" t="str">
        <f>Matchs!I44</f>
        <v>First Round</v>
      </c>
      <c r="S43" s="6" t="str">
        <f t="shared" si="9"/>
        <v>",HTeam= "</v>
      </c>
      <c r="T43" t="str">
        <f>Matchs!J44</f>
        <v>Cuba</v>
      </c>
      <c r="U43" s="6" t="str">
        <f t="shared" si="10"/>
        <v>",HGoal=</v>
      </c>
      <c r="V43">
        <f>Matchs!K44</f>
        <v>3</v>
      </c>
      <c r="W43" s="6" t="str">
        <f t="shared" si="11"/>
        <v>,GGoal=</v>
      </c>
      <c r="X43">
        <f>Matchs!L44</f>
        <v>3</v>
      </c>
      <c r="Y43" s="6" t="str">
        <f t="shared" si="12"/>
        <v>,GTeam= "</v>
      </c>
      <c r="Z43" t="str">
        <f>Matchs!M44</f>
        <v>Romania</v>
      </c>
      <c r="AA43" s="6" t="str">
        <f t="shared" si="13"/>
        <v>",WinNote="</v>
      </c>
      <c r="AB43" t="str">
        <f>IF(Matchs!N44="","",Matchs!N44)</f>
        <v/>
      </c>
      <c r="AC43" s="6" t="str">
        <f t="shared" si="14"/>
        <v xml:space="preserve">",Stadium=" </v>
      </c>
      <c r="AD43" s="11" t="str">
        <f>Matchs!O44</f>
        <v xml:space="preserve">Stade Municipal de Toulouse </v>
      </c>
      <c r="AE43" s="6" t="str">
        <f t="shared" si="15"/>
        <v>",Referee= "</v>
      </c>
      <c r="AF43" s="11">
        <f>Matchs!P44</f>
        <v>0</v>
      </c>
      <c r="AG43" s="6" t="str">
        <f t="shared" si="16"/>
        <v xml:space="preserve">",Visistors= </v>
      </c>
      <c r="AH43" s="11">
        <f>Matchs!Q44</f>
        <v>7000</v>
      </c>
      <c r="AI43" s="11" t="str">
        <f t="shared" si="17"/>
        <v>,Status= "</v>
      </c>
      <c r="AJ43" s="11" t="str">
        <f>Matchs!R44</f>
        <v>Finished</v>
      </c>
      <c r="AK43" t="str">
        <f t="shared" si="18"/>
        <v>" },</v>
      </c>
    </row>
    <row r="44" spans="1:37" x14ac:dyDescent="0.25">
      <c r="A44" t="str">
        <f t="shared" si="0"/>
        <v>new Match { MatchId= "</v>
      </c>
      <c r="B44" t="str">
        <f>Matchs!A45</f>
        <v>FIFAWC1938-9</v>
      </c>
      <c r="C44" t="str">
        <f t="shared" si="1"/>
        <v>",MatchNumer=</v>
      </c>
      <c r="D44">
        <f>Matchs!B45</f>
        <v>9</v>
      </c>
      <c r="E44" t="str">
        <f t="shared" si="2"/>
        <v>,DateMatch=DateTime.Parse("</v>
      </c>
      <c r="F44" s="3">
        <f>Matchs!C45</f>
        <v>14040</v>
      </c>
      <c r="G44" s="10" t="str">
        <f t="shared" si="3"/>
        <v>"),TimeMatch=TimeSpan.Parse("</v>
      </c>
      <c r="H44" s="9">
        <f>Matchs!D45</f>
        <v>0.91666666666666663</v>
      </c>
      <c r="I44" t="str">
        <f t="shared" si="4"/>
        <v>"),MatchYear=</v>
      </c>
      <c r="J44">
        <f>Matchs!E45</f>
        <v>1938</v>
      </c>
      <c r="K44" t="str">
        <f t="shared" si="5"/>
        <v>, SeasonId= "</v>
      </c>
      <c r="L44" t="str">
        <f>Matchs!F45</f>
        <v>FIFAWC1938</v>
      </c>
      <c r="M44" t="str">
        <f t="shared" si="6"/>
        <v>",Round= "</v>
      </c>
      <c r="N44" t="str">
        <f>Matchs!G45</f>
        <v>Final Round</v>
      </c>
      <c r="O44" s="6" t="str">
        <f t="shared" si="7"/>
        <v>",Stage= "</v>
      </c>
      <c r="P44" t="str">
        <f>Matchs!H45</f>
        <v>First Round</v>
      </c>
      <c r="Q44" s="6" t="str">
        <f t="shared" si="8"/>
        <v>",SubStage= "</v>
      </c>
      <c r="R44" t="str">
        <f>Matchs!I45</f>
        <v>First Round</v>
      </c>
      <c r="S44" s="6" t="str">
        <f t="shared" si="9"/>
        <v>",HTeam= "</v>
      </c>
      <c r="T44" t="str">
        <f>Matchs!J45</f>
        <v>Switzerland</v>
      </c>
      <c r="U44" s="6" t="str">
        <f t="shared" si="10"/>
        <v>",HGoal=</v>
      </c>
      <c r="V44">
        <f>Matchs!K45</f>
        <v>4</v>
      </c>
      <c r="W44" s="6" t="str">
        <f t="shared" si="11"/>
        <v>,GGoal=</v>
      </c>
      <c r="X44">
        <f>Matchs!L45</f>
        <v>2</v>
      </c>
      <c r="Y44" s="6" t="str">
        <f t="shared" si="12"/>
        <v>,GTeam= "</v>
      </c>
      <c r="Z44" t="str">
        <f>Matchs!M45</f>
        <v>Germany</v>
      </c>
      <c r="AA44" s="6" t="str">
        <f t="shared" si="13"/>
        <v>",WinNote="</v>
      </c>
      <c r="AB44" t="str">
        <f>IF(Matchs!N45="","",Matchs!N45)</f>
        <v/>
      </c>
      <c r="AC44" s="6" t="str">
        <f t="shared" si="14"/>
        <v xml:space="preserve">",Stadium=" </v>
      </c>
      <c r="AD44" s="11" t="str">
        <f>Matchs!O45</f>
        <v xml:space="preserve">Parc des Princes </v>
      </c>
      <c r="AE44" s="6" t="str">
        <f t="shared" si="15"/>
        <v>",Referee= "</v>
      </c>
      <c r="AF44" s="11">
        <f>Matchs!P45</f>
        <v>0</v>
      </c>
      <c r="AG44" s="6" t="str">
        <f t="shared" si="16"/>
        <v xml:space="preserve">",Visistors= </v>
      </c>
      <c r="AH44" s="11">
        <f>Matchs!Q45</f>
        <v>20025</v>
      </c>
      <c r="AI44" s="11" t="str">
        <f t="shared" si="17"/>
        <v>,Status= "</v>
      </c>
      <c r="AJ44" s="11" t="str">
        <f>Matchs!R45</f>
        <v>Finished</v>
      </c>
      <c r="AK44" t="str">
        <f t="shared" si="18"/>
        <v>" },</v>
      </c>
    </row>
    <row r="45" spans="1:37" x14ac:dyDescent="0.25">
      <c r="A45" t="str">
        <f t="shared" si="0"/>
        <v>new Match { MatchId= "</v>
      </c>
      <c r="B45" t="str">
        <f>Matchs!A46</f>
        <v>FIFAWC1938-10</v>
      </c>
      <c r="C45" t="str">
        <f t="shared" si="1"/>
        <v>",MatchNumer=</v>
      </c>
      <c r="D45">
        <f>Matchs!B46</f>
        <v>10</v>
      </c>
      <c r="E45" t="str">
        <f t="shared" si="2"/>
        <v>,DateMatch=DateTime.Parse("</v>
      </c>
      <c r="F45" s="3">
        <f>Matchs!C46</f>
        <v>14043</v>
      </c>
      <c r="G45" s="10" t="str">
        <f t="shared" si="3"/>
        <v>"),TimeMatch=TimeSpan.Parse("</v>
      </c>
      <c r="H45" s="9">
        <f>Matchs!D46</f>
        <v>0.91666666666666663</v>
      </c>
      <c r="I45" t="str">
        <f t="shared" si="4"/>
        <v>"),MatchYear=</v>
      </c>
      <c r="J45">
        <f>Matchs!E46</f>
        <v>1938</v>
      </c>
      <c r="K45" t="str">
        <f t="shared" si="5"/>
        <v>, SeasonId= "</v>
      </c>
      <c r="L45" t="str">
        <f>Matchs!F46</f>
        <v>FIFAWC1938</v>
      </c>
      <c r="M45" t="str">
        <f t="shared" si="6"/>
        <v>",Round= "</v>
      </c>
      <c r="N45" t="str">
        <f>Matchs!G46</f>
        <v>Final Round</v>
      </c>
      <c r="O45" s="6" t="str">
        <f t="shared" si="7"/>
        <v>",Stage= "</v>
      </c>
      <c r="P45" t="str">
        <f>Matchs!H46</f>
        <v>Knockouts</v>
      </c>
      <c r="Q45" s="6" t="str">
        <f t="shared" si="8"/>
        <v>",SubStage= "</v>
      </c>
      <c r="R45" t="str">
        <f>Matchs!I46</f>
        <v>Quaterfinal</v>
      </c>
      <c r="S45" s="6" t="str">
        <f t="shared" si="9"/>
        <v>",HTeam= "</v>
      </c>
      <c r="T45" t="str">
        <f>Matchs!J46</f>
        <v>Sweden</v>
      </c>
      <c r="U45" s="6" t="str">
        <f t="shared" si="10"/>
        <v>",HGoal=</v>
      </c>
      <c r="V45">
        <f>Matchs!K46</f>
        <v>8</v>
      </c>
      <c r="W45" s="6" t="str">
        <f t="shared" si="11"/>
        <v>,GGoal=</v>
      </c>
      <c r="X45">
        <f>Matchs!L46</f>
        <v>0</v>
      </c>
      <c r="Y45" s="6" t="str">
        <f t="shared" si="12"/>
        <v>,GTeam= "</v>
      </c>
      <c r="Z45" t="str">
        <f>Matchs!M46</f>
        <v>Cuba</v>
      </c>
      <c r="AA45" s="6" t="str">
        <f t="shared" si="13"/>
        <v>",WinNote="</v>
      </c>
      <c r="AB45" t="str">
        <f>IF(Matchs!N46="","",Matchs!N46)</f>
        <v/>
      </c>
      <c r="AC45" s="6" t="str">
        <f t="shared" si="14"/>
        <v xml:space="preserve">",Stadium=" </v>
      </c>
      <c r="AD45" s="11" t="str">
        <f>Matchs!O46</f>
        <v xml:space="preserve">Stade du Fort Carré </v>
      </c>
      <c r="AE45" s="6" t="str">
        <f t="shared" si="15"/>
        <v>",Referee= "</v>
      </c>
      <c r="AF45" s="11">
        <f>Matchs!P46</f>
        <v>0</v>
      </c>
      <c r="AG45" s="6" t="str">
        <f t="shared" si="16"/>
        <v xml:space="preserve">",Visistors= </v>
      </c>
      <c r="AH45" s="11">
        <f>Matchs!Q46</f>
        <v>7000</v>
      </c>
      <c r="AI45" s="11" t="str">
        <f t="shared" si="17"/>
        <v>,Status= "</v>
      </c>
      <c r="AJ45" s="11" t="str">
        <f>Matchs!R46</f>
        <v>Finished</v>
      </c>
      <c r="AK45" t="str">
        <f t="shared" si="18"/>
        <v>" },</v>
      </c>
    </row>
    <row r="46" spans="1:37" x14ac:dyDescent="0.25">
      <c r="A46" t="str">
        <f t="shared" si="0"/>
        <v>new Match { MatchId= "</v>
      </c>
      <c r="B46" t="str">
        <f>Matchs!A47</f>
        <v>FIFAWC1938-11</v>
      </c>
      <c r="C46" t="str">
        <f t="shared" si="1"/>
        <v>",MatchNumer=</v>
      </c>
      <c r="D46">
        <f>Matchs!B47</f>
        <v>11</v>
      </c>
      <c r="E46" t="str">
        <f t="shared" si="2"/>
        <v>,DateMatch=DateTime.Parse("</v>
      </c>
      <c r="F46" s="3">
        <f>Matchs!C47</f>
        <v>14043</v>
      </c>
      <c r="G46" s="10" t="str">
        <f t="shared" si="3"/>
        <v>"),TimeMatch=TimeSpan.Parse("</v>
      </c>
      <c r="H46" s="9">
        <f>Matchs!D47</f>
        <v>0.91666666666666663</v>
      </c>
      <c r="I46" t="str">
        <f t="shared" si="4"/>
        <v>"),MatchYear=</v>
      </c>
      <c r="J46">
        <f>Matchs!E47</f>
        <v>1938</v>
      </c>
      <c r="K46" t="str">
        <f t="shared" si="5"/>
        <v>, SeasonId= "</v>
      </c>
      <c r="L46" t="str">
        <f>Matchs!F47</f>
        <v>FIFAWC1938</v>
      </c>
      <c r="M46" t="str">
        <f t="shared" si="6"/>
        <v>",Round= "</v>
      </c>
      <c r="N46" t="str">
        <f>Matchs!G47</f>
        <v>Final Round</v>
      </c>
      <c r="O46" s="6" t="str">
        <f t="shared" si="7"/>
        <v>",Stage= "</v>
      </c>
      <c r="P46" t="str">
        <f>Matchs!H47</f>
        <v>Knockouts</v>
      </c>
      <c r="Q46" s="6" t="str">
        <f t="shared" si="8"/>
        <v>",SubStage= "</v>
      </c>
      <c r="R46" t="str">
        <f>Matchs!I47</f>
        <v>Quaterfinal</v>
      </c>
      <c r="S46" s="6" t="str">
        <f t="shared" si="9"/>
        <v>",HTeam= "</v>
      </c>
      <c r="T46" t="str">
        <f>Matchs!J47</f>
        <v>Brazil</v>
      </c>
      <c r="U46" s="6" t="str">
        <f t="shared" si="10"/>
        <v>",HGoal=</v>
      </c>
      <c r="V46">
        <f>Matchs!K47</f>
        <v>1</v>
      </c>
      <c r="W46" s="6" t="str">
        <f t="shared" si="11"/>
        <v>,GGoal=</v>
      </c>
      <c r="X46">
        <f>Matchs!L47</f>
        <v>1</v>
      </c>
      <c r="Y46" s="6" t="str">
        <f t="shared" si="12"/>
        <v>,GTeam= "</v>
      </c>
      <c r="Z46" t="str">
        <f>Matchs!M47</f>
        <v>Czechoslovakia</v>
      </c>
      <c r="AA46" s="6" t="str">
        <f t="shared" si="13"/>
        <v>",WinNote="</v>
      </c>
      <c r="AB46" t="str">
        <f>IF(Matchs!N47="","",Matchs!N47)</f>
        <v/>
      </c>
      <c r="AC46" s="6" t="str">
        <f t="shared" si="14"/>
        <v xml:space="preserve">",Stadium=" </v>
      </c>
      <c r="AD46" s="11" t="str">
        <f>Matchs!O47</f>
        <v xml:space="preserve">Stade Chaban-Delmas </v>
      </c>
      <c r="AE46" s="6" t="str">
        <f t="shared" si="15"/>
        <v>",Referee= "</v>
      </c>
      <c r="AF46" s="11" t="str">
        <f>Matchs!P47</f>
        <v xml:space="preserve">P.V. Hertzka </v>
      </c>
      <c r="AG46" s="6" t="str">
        <f t="shared" si="16"/>
        <v xml:space="preserve">",Visistors= </v>
      </c>
      <c r="AH46" s="11">
        <f>Matchs!Q47</f>
        <v>22021</v>
      </c>
      <c r="AI46" s="11" t="str">
        <f t="shared" si="17"/>
        <v>,Status= "</v>
      </c>
      <c r="AJ46" s="11" t="str">
        <f>Matchs!R47</f>
        <v>Finished</v>
      </c>
      <c r="AK46" t="str">
        <f t="shared" si="18"/>
        <v>" },</v>
      </c>
    </row>
    <row r="47" spans="1:37" x14ac:dyDescent="0.25">
      <c r="A47" t="str">
        <f t="shared" si="0"/>
        <v>new Match { MatchId= "</v>
      </c>
      <c r="B47" t="str">
        <f>Matchs!A48</f>
        <v>FIFAWC1938-12</v>
      </c>
      <c r="C47" t="str">
        <f t="shared" si="1"/>
        <v>",MatchNumer=</v>
      </c>
      <c r="D47">
        <f>Matchs!B48</f>
        <v>12</v>
      </c>
      <c r="E47" t="str">
        <f t="shared" si="2"/>
        <v>,DateMatch=DateTime.Parse("</v>
      </c>
      <c r="F47" s="3">
        <f>Matchs!C48</f>
        <v>14043</v>
      </c>
      <c r="G47" s="10" t="str">
        <f t="shared" si="3"/>
        <v>"),TimeMatch=TimeSpan.Parse("</v>
      </c>
      <c r="H47" s="9">
        <f>Matchs!D48</f>
        <v>0.91666666666666663</v>
      </c>
      <c r="I47" t="str">
        <f t="shared" si="4"/>
        <v>"),MatchYear=</v>
      </c>
      <c r="J47">
        <f>Matchs!E48</f>
        <v>1938</v>
      </c>
      <c r="K47" t="str">
        <f t="shared" si="5"/>
        <v>, SeasonId= "</v>
      </c>
      <c r="L47" t="str">
        <f>Matchs!F48</f>
        <v>FIFAWC1938</v>
      </c>
      <c r="M47" t="str">
        <f t="shared" si="6"/>
        <v>",Round= "</v>
      </c>
      <c r="N47" t="str">
        <f>Matchs!G48</f>
        <v>Final Round</v>
      </c>
      <c r="O47" s="6" t="str">
        <f t="shared" si="7"/>
        <v>",Stage= "</v>
      </c>
      <c r="P47" t="str">
        <f>Matchs!H48</f>
        <v>Knockouts</v>
      </c>
      <c r="Q47" s="6" t="str">
        <f t="shared" si="8"/>
        <v>",SubStage= "</v>
      </c>
      <c r="R47" t="str">
        <f>Matchs!I48</f>
        <v>Quaterfinal</v>
      </c>
      <c r="S47" s="6" t="str">
        <f t="shared" si="9"/>
        <v>",HTeam= "</v>
      </c>
      <c r="T47" t="str">
        <f>Matchs!J48</f>
        <v>Hungary</v>
      </c>
      <c r="U47" s="6" t="str">
        <f t="shared" si="10"/>
        <v>",HGoal=</v>
      </c>
      <c r="V47">
        <f>Matchs!K48</f>
        <v>2</v>
      </c>
      <c r="W47" s="6" t="str">
        <f t="shared" si="11"/>
        <v>,GGoal=</v>
      </c>
      <c r="X47">
        <f>Matchs!L48</f>
        <v>0</v>
      </c>
      <c r="Y47" s="6" t="str">
        <f t="shared" si="12"/>
        <v>,GTeam= "</v>
      </c>
      <c r="Z47" t="str">
        <f>Matchs!M48</f>
        <v>Switzerland</v>
      </c>
      <c r="AA47" s="6" t="str">
        <f t="shared" si="13"/>
        <v>",WinNote="</v>
      </c>
      <c r="AB47" t="str">
        <f>IF(Matchs!N48="","",Matchs!N48)</f>
        <v/>
      </c>
      <c r="AC47" s="6" t="str">
        <f t="shared" si="14"/>
        <v xml:space="preserve">",Stadium=" </v>
      </c>
      <c r="AD47" s="11" t="str">
        <f>Matchs!O48</f>
        <v xml:space="preserve">Stade Victor Boucquey </v>
      </c>
      <c r="AE47" s="6" t="str">
        <f t="shared" si="15"/>
        <v>",Referee= "</v>
      </c>
      <c r="AF47" s="11">
        <f>Matchs!P48</f>
        <v>0</v>
      </c>
      <c r="AG47" s="6" t="str">
        <f t="shared" si="16"/>
        <v xml:space="preserve">",Visistors= </v>
      </c>
      <c r="AH47" s="11">
        <f>Matchs!Q48</f>
        <v>15000</v>
      </c>
      <c r="AI47" s="11" t="str">
        <f t="shared" si="17"/>
        <v>,Status= "</v>
      </c>
      <c r="AJ47" s="11" t="str">
        <f>Matchs!R48</f>
        <v>Finished</v>
      </c>
      <c r="AK47" t="str">
        <f t="shared" si="18"/>
        <v>" },</v>
      </c>
    </row>
    <row r="48" spans="1:37" x14ac:dyDescent="0.25">
      <c r="A48" t="str">
        <f t="shared" si="0"/>
        <v>new Match { MatchId= "</v>
      </c>
      <c r="B48" t="str">
        <f>Matchs!A49</f>
        <v>FIFAWC1938-13</v>
      </c>
      <c r="C48" t="str">
        <f t="shared" si="1"/>
        <v>",MatchNumer=</v>
      </c>
      <c r="D48">
        <f>Matchs!B49</f>
        <v>13</v>
      </c>
      <c r="E48" t="str">
        <f t="shared" si="2"/>
        <v>,DateMatch=DateTime.Parse("</v>
      </c>
      <c r="F48" s="3">
        <f>Matchs!C49</f>
        <v>14043</v>
      </c>
      <c r="G48" s="10" t="str">
        <f t="shared" si="3"/>
        <v>"),TimeMatch=TimeSpan.Parse("</v>
      </c>
      <c r="H48" s="9">
        <f>Matchs!D49</f>
        <v>0.91666666666666663</v>
      </c>
      <c r="I48" t="str">
        <f t="shared" si="4"/>
        <v>"),MatchYear=</v>
      </c>
      <c r="J48">
        <f>Matchs!E49</f>
        <v>1938</v>
      </c>
      <c r="K48" t="str">
        <f t="shared" si="5"/>
        <v>, SeasonId= "</v>
      </c>
      <c r="L48" t="str">
        <f>Matchs!F49</f>
        <v>FIFAWC1938</v>
      </c>
      <c r="M48" t="str">
        <f t="shared" si="6"/>
        <v>",Round= "</v>
      </c>
      <c r="N48" t="str">
        <f>Matchs!G49</f>
        <v>Final Round</v>
      </c>
      <c r="O48" s="6" t="str">
        <f t="shared" si="7"/>
        <v>",Stage= "</v>
      </c>
      <c r="P48" t="str">
        <f>Matchs!H49</f>
        <v>Knockouts</v>
      </c>
      <c r="Q48" s="6" t="str">
        <f t="shared" si="8"/>
        <v>",SubStage= "</v>
      </c>
      <c r="R48" t="str">
        <f>Matchs!I49</f>
        <v>Quaterfinal</v>
      </c>
      <c r="S48" s="6" t="str">
        <f t="shared" si="9"/>
        <v>",HTeam= "</v>
      </c>
      <c r="T48" t="str">
        <f>Matchs!J49</f>
        <v>Italy</v>
      </c>
      <c r="U48" s="6" t="str">
        <f t="shared" si="10"/>
        <v>",HGoal=</v>
      </c>
      <c r="V48">
        <f>Matchs!K49</f>
        <v>3</v>
      </c>
      <c r="W48" s="6" t="str">
        <f t="shared" si="11"/>
        <v>,GGoal=</v>
      </c>
      <c r="X48">
        <f>Matchs!L49</f>
        <v>1</v>
      </c>
      <c r="Y48" s="6" t="str">
        <f t="shared" si="12"/>
        <v>,GTeam= "</v>
      </c>
      <c r="Z48" t="str">
        <f>Matchs!M49</f>
        <v>France</v>
      </c>
      <c r="AA48" s="6" t="str">
        <f t="shared" si="13"/>
        <v>",WinNote="</v>
      </c>
      <c r="AB48" t="str">
        <f>IF(Matchs!N49="","",Matchs!N49)</f>
        <v/>
      </c>
      <c r="AC48" s="6" t="str">
        <f t="shared" si="14"/>
        <v xml:space="preserve">",Stadium=" </v>
      </c>
      <c r="AD48" s="11" t="str">
        <f>Matchs!O49</f>
        <v xml:space="preserve">Olympique, Paris/Colombes </v>
      </c>
      <c r="AE48" s="6" t="str">
        <f t="shared" si="15"/>
        <v>",Referee= "</v>
      </c>
      <c r="AF48" s="11">
        <f>Matchs!P49</f>
        <v>0</v>
      </c>
      <c r="AG48" s="6" t="str">
        <f t="shared" si="16"/>
        <v xml:space="preserve">",Visistors= </v>
      </c>
      <c r="AH48" s="11">
        <f>Matchs!Q49</f>
        <v>58455</v>
      </c>
      <c r="AI48" s="11" t="str">
        <f t="shared" si="17"/>
        <v>,Status= "</v>
      </c>
      <c r="AJ48" s="11" t="str">
        <f>Matchs!R49</f>
        <v>Finished</v>
      </c>
      <c r="AK48" t="str">
        <f t="shared" si="18"/>
        <v>" },</v>
      </c>
    </row>
    <row r="49" spans="1:37" x14ac:dyDescent="0.25">
      <c r="A49" t="str">
        <f t="shared" si="0"/>
        <v>new Match { MatchId= "</v>
      </c>
      <c r="B49" t="str">
        <f>Matchs!A50</f>
        <v>FIFAWC1938-14</v>
      </c>
      <c r="C49" t="str">
        <f t="shared" si="1"/>
        <v>",MatchNumer=</v>
      </c>
      <c r="D49">
        <f>Matchs!B50</f>
        <v>14</v>
      </c>
      <c r="E49" t="str">
        <f t="shared" si="2"/>
        <v>,DateMatch=DateTime.Parse("</v>
      </c>
      <c r="F49" s="3">
        <f>Matchs!C50</f>
        <v>14045</v>
      </c>
      <c r="G49" s="10" t="str">
        <f t="shared" si="3"/>
        <v>"),TimeMatch=TimeSpan.Parse("</v>
      </c>
      <c r="H49" s="9">
        <f>Matchs!D50</f>
        <v>0.91666666666666663</v>
      </c>
      <c r="I49" t="str">
        <f t="shared" si="4"/>
        <v>"),MatchYear=</v>
      </c>
      <c r="J49">
        <f>Matchs!E50</f>
        <v>1938</v>
      </c>
      <c r="K49" t="str">
        <f t="shared" si="5"/>
        <v>, SeasonId= "</v>
      </c>
      <c r="L49" t="str">
        <f>Matchs!F50</f>
        <v>FIFAWC1938</v>
      </c>
      <c r="M49" t="str">
        <f t="shared" si="6"/>
        <v>",Round= "</v>
      </c>
      <c r="N49" t="str">
        <f>Matchs!G50</f>
        <v>Final Round</v>
      </c>
      <c r="O49" s="6" t="str">
        <f t="shared" si="7"/>
        <v>",Stage= "</v>
      </c>
      <c r="P49" t="str">
        <f>Matchs!H50</f>
        <v>Knockouts</v>
      </c>
      <c r="Q49" s="6" t="str">
        <f t="shared" si="8"/>
        <v>",SubStage= "</v>
      </c>
      <c r="R49" t="str">
        <f>Matchs!I50</f>
        <v>Quaterfinal</v>
      </c>
      <c r="S49" s="6" t="str">
        <f t="shared" si="9"/>
        <v>",HTeam= "</v>
      </c>
      <c r="T49" t="str">
        <f>Matchs!J50</f>
        <v>Brazil</v>
      </c>
      <c r="U49" s="6" t="str">
        <f t="shared" si="10"/>
        <v>",HGoal=</v>
      </c>
      <c r="V49">
        <f>Matchs!K50</f>
        <v>2</v>
      </c>
      <c r="W49" s="6" t="str">
        <f t="shared" si="11"/>
        <v>,GGoal=</v>
      </c>
      <c r="X49">
        <f>Matchs!L50</f>
        <v>1</v>
      </c>
      <c r="Y49" s="6" t="str">
        <f t="shared" si="12"/>
        <v>,GTeam= "</v>
      </c>
      <c r="Z49" t="str">
        <f>Matchs!M50</f>
        <v>Czechoslovakia</v>
      </c>
      <c r="AA49" s="6" t="str">
        <f t="shared" si="13"/>
        <v>",WinNote="</v>
      </c>
      <c r="AB49" t="str">
        <f>IF(Matchs!N50="","",Matchs!N50)</f>
        <v/>
      </c>
      <c r="AC49" s="6" t="str">
        <f t="shared" si="14"/>
        <v xml:space="preserve">",Stadium=" </v>
      </c>
      <c r="AD49" s="11" t="str">
        <f>Matchs!O50</f>
        <v xml:space="preserve">Stade Chaban-Delmas </v>
      </c>
      <c r="AE49" s="6" t="str">
        <f t="shared" si="15"/>
        <v>",Referee= "</v>
      </c>
      <c r="AF49" s="11" t="str">
        <f>Matchs!P50</f>
        <v xml:space="preserve">G. Capdeville </v>
      </c>
      <c r="AG49" s="6" t="str">
        <f t="shared" si="16"/>
        <v xml:space="preserve">",Visistors= </v>
      </c>
      <c r="AH49" s="11">
        <f>Matchs!Q50</f>
        <v>18141</v>
      </c>
      <c r="AI49" s="11" t="str">
        <f t="shared" si="17"/>
        <v>,Status= "</v>
      </c>
      <c r="AJ49" s="11" t="str">
        <f>Matchs!R50</f>
        <v>Finished</v>
      </c>
      <c r="AK49" t="str">
        <f t="shared" si="18"/>
        <v>" },</v>
      </c>
    </row>
    <row r="50" spans="1:37" x14ac:dyDescent="0.25">
      <c r="A50" t="str">
        <f t="shared" si="0"/>
        <v>new Match { MatchId= "</v>
      </c>
      <c r="B50" t="str">
        <f>Matchs!A51</f>
        <v>FIFAWC1938-15</v>
      </c>
      <c r="C50" t="str">
        <f t="shared" si="1"/>
        <v>",MatchNumer=</v>
      </c>
      <c r="D50">
        <f>Matchs!B51</f>
        <v>15</v>
      </c>
      <c r="E50" t="str">
        <f t="shared" si="2"/>
        <v>,DateMatch=DateTime.Parse("</v>
      </c>
      <c r="F50" s="3">
        <f>Matchs!C51</f>
        <v>14047</v>
      </c>
      <c r="G50" s="10" t="str">
        <f t="shared" si="3"/>
        <v>"),TimeMatch=TimeSpan.Parse("</v>
      </c>
      <c r="H50" s="9">
        <f>Matchs!D51</f>
        <v>0.91666666666666663</v>
      </c>
      <c r="I50" t="str">
        <f t="shared" si="4"/>
        <v>"),MatchYear=</v>
      </c>
      <c r="J50">
        <f>Matchs!E51</f>
        <v>1938</v>
      </c>
      <c r="K50" t="str">
        <f t="shared" si="5"/>
        <v>, SeasonId= "</v>
      </c>
      <c r="L50" t="str">
        <f>Matchs!F51</f>
        <v>FIFAWC1938</v>
      </c>
      <c r="M50" t="str">
        <f t="shared" si="6"/>
        <v>",Round= "</v>
      </c>
      <c r="N50" t="str">
        <f>Matchs!G51</f>
        <v>Final Round</v>
      </c>
      <c r="O50" s="6" t="str">
        <f t="shared" si="7"/>
        <v>",Stage= "</v>
      </c>
      <c r="P50" t="str">
        <f>Matchs!H51</f>
        <v>Knockouts</v>
      </c>
      <c r="Q50" s="6" t="str">
        <f t="shared" si="8"/>
        <v>",SubStage= "</v>
      </c>
      <c r="R50" t="str">
        <f>Matchs!I51</f>
        <v>Semifinal</v>
      </c>
      <c r="S50" s="6" t="str">
        <f t="shared" si="9"/>
        <v>",HTeam= "</v>
      </c>
      <c r="T50" t="str">
        <f>Matchs!J51</f>
        <v>Hungary</v>
      </c>
      <c r="U50" s="6" t="str">
        <f t="shared" si="10"/>
        <v>",HGoal=</v>
      </c>
      <c r="V50">
        <f>Matchs!K51</f>
        <v>5</v>
      </c>
      <c r="W50" s="6" t="str">
        <f t="shared" si="11"/>
        <v>,GGoal=</v>
      </c>
      <c r="X50">
        <f>Matchs!L51</f>
        <v>1</v>
      </c>
      <c r="Y50" s="6" t="str">
        <f t="shared" si="12"/>
        <v>,GTeam= "</v>
      </c>
      <c r="Z50" t="str">
        <f>Matchs!M51</f>
        <v>Sweden</v>
      </c>
      <c r="AA50" s="6" t="str">
        <f t="shared" si="13"/>
        <v>",WinNote="</v>
      </c>
      <c r="AB50" t="str">
        <f>IF(Matchs!N51="","",Matchs!N51)</f>
        <v/>
      </c>
      <c r="AC50" s="6" t="str">
        <f t="shared" si="14"/>
        <v xml:space="preserve">",Stadium=" </v>
      </c>
      <c r="AD50" s="11" t="str">
        <f>Matchs!O51</f>
        <v xml:space="preserve">Parc des Princes </v>
      </c>
      <c r="AE50" s="6" t="str">
        <f t="shared" si="15"/>
        <v>",Referee= "</v>
      </c>
      <c r="AF50" s="11">
        <f>Matchs!P51</f>
        <v>0</v>
      </c>
      <c r="AG50" s="6" t="str">
        <f t="shared" si="16"/>
        <v xml:space="preserve">",Visistors= </v>
      </c>
      <c r="AH50" s="11">
        <f>Matchs!Q51</f>
        <v>20000</v>
      </c>
      <c r="AI50" s="11" t="str">
        <f t="shared" si="17"/>
        <v>,Status= "</v>
      </c>
      <c r="AJ50" s="11" t="str">
        <f>Matchs!R51</f>
        <v>Finished</v>
      </c>
      <c r="AK50" t="str">
        <f t="shared" si="18"/>
        <v>" },</v>
      </c>
    </row>
    <row r="51" spans="1:37" x14ac:dyDescent="0.25">
      <c r="A51" t="str">
        <f t="shared" si="0"/>
        <v>new Match { MatchId= "</v>
      </c>
      <c r="B51" t="str">
        <f>Matchs!A52</f>
        <v>FIFAWC1938-16</v>
      </c>
      <c r="C51" t="str">
        <f t="shared" si="1"/>
        <v>",MatchNumer=</v>
      </c>
      <c r="D51">
        <f>Matchs!B52</f>
        <v>16</v>
      </c>
      <c r="E51" t="str">
        <f t="shared" si="2"/>
        <v>,DateMatch=DateTime.Parse("</v>
      </c>
      <c r="F51" s="3">
        <f>Matchs!C52</f>
        <v>14047</v>
      </c>
      <c r="G51" s="10" t="str">
        <f t="shared" si="3"/>
        <v>"),TimeMatch=TimeSpan.Parse("</v>
      </c>
      <c r="H51" s="9">
        <f>Matchs!D52</f>
        <v>0.91666666666666663</v>
      </c>
      <c r="I51" t="str">
        <f t="shared" si="4"/>
        <v>"),MatchYear=</v>
      </c>
      <c r="J51">
        <f>Matchs!E52</f>
        <v>1938</v>
      </c>
      <c r="K51" t="str">
        <f t="shared" si="5"/>
        <v>, SeasonId= "</v>
      </c>
      <c r="L51" t="str">
        <f>Matchs!F52</f>
        <v>FIFAWC1938</v>
      </c>
      <c r="M51" t="str">
        <f t="shared" si="6"/>
        <v>",Round= "</v>
      </c>
      <c r="N51" t="str">
        <f>Matchs!G52</f>
        <v>Final Round</v>
      </c>
      <c r="O51" s="6" t="str">
        <f t="shared" si="7"/>
        <v>",Stage= "</v>
      </c>
      <c r="P51" t="str">
        <f>Matchs!H52</f>
        <v>Knockouts</v>
      </c>
      <c r="Q51" s="6" t="str">
        <f t="shared" si="8"/>
        <v>",SubStage= "</v>
      </c>
      <c r="R51" t="str">
        <f>Matchs!I52</f>
        <v>Semifinal</v>
      </c>
      <c r="S51" s="6" t="str">
        <f t="shared" si="9"/>
        <v>",HTeam= "</v>
      </c>
      <c r="T51" t="str">
        <f>Matchs!J52</f>
        <v>Italy</v>
      </c>
      <c r="U51" s="6" t="str">
        <f t="shared" si="10"/>
        <v>",HGoal=</v>
      </c>
      <c r="V51">
        <f>Matchs!K52</f>
        <v>2</v>
      </c>
      <c r="W51" s="6" t="str">
        <f t="shared" si="11"/>
        <v>,GGoal=</v>
      </c>
      <c r="X51">
        <f>Matchs!L52</f>
        <v>1</v>
      </c>
      <c r="Y51" s="6" t="str">
        <f t="shared" si="12"/>
        <v>,GTeam= "</v>
      </c>
      <c r="Z51" t="str">
        <f>Matchs!M52</f>
        <v>Brazil</v>
      </c>
      <c r="AA51" s="6" t="str">
        <f t="shared" si="13"/>
        <v>",WinNote="</v>
      </c>
      <c r="AB51" t="str">
        <f>IF(Matchs!N52="","",Matchs!N52)</f>
        <v/>
      </c>
      <c r="AC51" s="6" t="str">
        <f t="shared" si="14"/>
        <v xml:space="preserve">",Stadium=" </v>
      </c>
      <c r="AD51" s="11" t="str">
        <f>Matchs!O52</f>
        <v xml:space="preserve">Stade Vélodrome </v>
      </c>
      <c r="AE51" s="6" t="str">
        <f t="shared" si="15"/>
        <v>",Referee= "</v>
      </c>
      <c r="AF51" s="11" t="str">
        <f>Matchs!P52</f>
        <v xml:space="preserve">H. Wutrich </v>
      </c>
      <c r="AG51" s="6" t="str">
        <f t="shared" si="16"/>
        <v xml:space="preserve">",Visistors= </v>
      </c>
      <c r="AH51" s="11">
        <f>Matchs!Q52</f>
        <v>33000</v>
      </c>
      <c r="AI51" s="11" t="str">
        <f t="shared" si="17"/>
        <v>,Status= "</v>
      </c>
      <c r="AJ51" s="11" t="str">
        <f>Matchs!R52</f>
        <v>Finished</v>
      </c>
      <c r="AK51" t="str">
        <f t="shared" si="18"/>
        <v>" },</v>
      </c>
    </row>
    <row r="52" spans="1:37" x14ac:dyDescent="0.25">
      <c r="A52" t="str">
        <f t="shared" si="0"/>
        <v>new Match { MatchId= "</v>
      </c>
      <c r="B52" t="str">
        <f>Matchs!A53</f>
        <v>FIFAWC1938-17</v>
      </c>
      <c r="C52" t="str">
        <f t="shared" si="1"/>
        <v>",MatchNumer=</v>
      </c>
      <c r="D52">
        <f>Matchs!B53</f>
        <v>17</v>
      </c>
      <c r="E52" t="str">
        <f t="shared" si="2"/>
        <v>,DateMatch=DateTime.Parse("</v>
      </c>
      <c r="F52" s="3">
        <f>Matchs!C53</f>
        <v>14050</v>
      </c>
      <c r="G52" s="10" t="str">
        <f t="shared" si="3"/>
        <v>"),TimeMatch=TimeSpan.Parse("</v>
      </c>
      <c r="H52" s="9">
        <f>Matchs!D53</f>
        <v>0.91666666666666663</v>
      </c>
      <c r="I52" t="str">
        <f t="shared" si="4"/>
        <v>"),MatchYear=</v>
      </c>
      <c r="J52">
        <f>Matchs!E53</f>
        <v>1938</v>
      </c>
      <c r="K52" t="str">
        <f t="shared" si="5"/>
        <v>, SeasonId= "</v>
      </c>
      <c r="L52" t="str">
        <f>Matchs!F53</f>
        <v>FIFAWC1938</v>
      </c>
      <c r="M52" t="str">
        <f t="shared" si="6"/>
        <v>",Round= "</v>
      </c>
      <c r="N52" t="str">
        <f>Matchs!G53</f>
        <v>Final Round</v>
      </c>
      <c r="O52" s="6" t="str">
        <f t="shared" si="7"/>
        <v>",Stage= "</v>
      </c>
      <c r="P52" t="str">
        <f>Matchs!H53</f>
        <v>Knockouts</v>
      </c>
      <c r="Q52" s="6" t="str">
        <f t="shared" si="8"/>
        <v>",SubStage= "</v>
      </c>
      <c r="R52" t="str">
        <f>Matchs!I53</f>
        <v>3rd place</v>
      </c>
      <c r="S52" s="6" t="str">
        <f t="shared" si="9"/>
        <v>",HTeam= "</v>
      </c>
      <c r="T52" t="str">
        <f>Matchs!J53</f>
        <v>Brazil</v>
      </c>
      <c r="U52" s="6" t="str">
        <f t="shared" si="10"/>
        <v>",HGoal=</v>
      </c>
      <c r="V52">
        <f>Matchs!K53</f>
        <v>4</v>
      </c>
      <c r="W52" s="6" t="str">
        <f t="shared" si="11"/>
        <v>,GGoal=</v>
      </c>
      <c r="X52">
        <f>Matchs!L53</f>
        <v>2</v>
      </c>
      <c r="Y52" s="6" t="str">
        <f t="shared" si="12"/>
        <v>,GTeam= "</v>
      </c>
      <c r="Z52" t="str">
        <f>Matchs!M53</f>
        <v>Sweden</v>
      </c>
      <c r="AA52" s="6" t="str">
        <f t="shared" si="13"/>
        <v>",WinNote="</v>
      </c>
      <c r="AB52" t="str">
        <f>IF(Matchs!N53="","",Matchs!N53)</f>
        <v/>
      </c>
      <c r="AC52" s="6" t="str">
        <f t="shared" si="14"/>
        <v xml:space="preserve">",Stadium=" </v>
      </c>
      <c r="AD52" s="11" t="str">
        <f>Matchs!O53</f>
        <v xml:space="preserve">Stade Chaban-Delmas </v>
      </c>
      <c r="AE52" s="6" t="str">
        <f t="shared" si="15"/>
        <v>",Referee= "</v>
      </c>
      <c r="AF52" s="11" t="str">
        <f>Matchs!P53</f>
        <v xml:space="preserve">John Langenus </v>
      </c>
      <c r="AG52" s="6" t="str">
        <f t="shared" si="16"/>
        <v xml:space="preserve">",Visistors= </v>
      </c>
      <c r="AH52" s="11">
        <f>Matchs!Q53</f>
        <v>12000</v>
      </c>
      <c r="AI52" s="11" t="str">
        <f t="shared" si="17"/>
        <v>,Status= "</v>
      </c>
      <c r="AJ52" s="11" t="str">
        <f>Matchs!R53</f>
        <v>Finished</v>
      </c>
      <c r="AK52" t="str">
        <f t="shared" si="18"/>
        <v>" },</v>
      </c>
    </row>
    <row r="53" spans="1:37" x14ac:dyDescent="0.25">
      <c r="A53" t="str">
        <f t="shared" si="0"/>
        <v>new Match { MatchId= "</v>
      </c>
      <c r="B53" t="str">
        <f>Matchs!A54</f>
        <v>FIFAWC1938-18</v>
      </c>
      <c r="C53" t="str">
        <f t="shared" si="1"/>
        <v>",MatchNumer=</v>
      </c>
      <c r="D53">
        <f>Matchs!B54</f>
        <v>18</v>
      </c>
      <c r="E53" t="str">
        <f t="shared" si="2"/>
        <v>,DateMatch=DateTime.Parse("</v>
      </c>
      <c r="F53" s="3">
        <f>Matchs!C54</f>
        <v>14050</v>
      </c>
      <c r="G53" s="10" t="str">
        <f t="shared" si="3"/>
        <v>"),TimeMatch=TimeSpan.Parse("</v>
      </c>
      <c r="H53" s="9">
        <f>Matchs!D54</f>
        <v>0.91666666666666663</v>
      </c>
      <c r="I53" t="str">
        <f t="shared" si="4"/>
        <v>"),MatchYear=</v>
      </c>
      <c r="J53">
        <f>Matchs!E54</f>
        <v>1938</v>
      </c>
      <c r="K53" t="str">
        <f t="shared" si="5"/>
        <v>, SeasonId= "</v>
      </c>
      <c r="L53" t="str">
        <f>Matchs!F54</f>
        <v>FIFAWC1938</v>
      </c>
      <c r="M53" t="str">
        <f t="shared" si="6"/>
        <v>",Round= "</v>
      </c>
      <c r="N53" t="str">
        <f>Matchs!G54</f>
        <v>Final Round</v>
      </c>
      <c r="O53" s="6" t="str">
        <f t="shared" si="7"/>
        <v>",Stage= "</v>
      </c>
      <c r="P53" t="str">
        <f>Matchs!H54</f>
        <v>Knockouts</v>
      </c>
      <c r="Q53" s="6" t="str">
        <f t="shared" si="8"/>
        <v>",SubStage= "</v>
      </c>
      <c r="R53" t="str">
        <f>Matchs!I54</f>
        <v>Final</v>
      </c>
      <c r="S53" s="6" t="str">
        <f t="shared" si="9"/>
        <v>",HTeam= "</v>
      </c>
      <c r="T53" t="str">
        <f>Matchs!J54</f>
        <v>Italy</v>
      </c>
      <c r="U53" s="6" t="str">
        <f t="shared" si="10"/>
        <v>",HGoal=</v>
      </c>
      <c r="V53">
        <f>Matchs!K54</f>
        <v>4</v>
      </c>
      <c r="W53" s="6" t="str">
        <f t="shared" si="11"/>
        <v>,GGoal=</v>
      </c>
      <c r="X53">
        <f>Matchs!L54</f>
        <v>2</v>
      </c>
      <c r="Y53" s="6" t="str">
        <f t="shared" si="12"/>
        <v>,GTeam= "</v>
      </c>
      <c r="Z53" t="str">
        <f>Matchs!M54</f>
        <v>Hungary</v>
      </c>
      <c r="AA53" s="6" t="str">
        <f t="shared" si="13"/>
        <v>",WinNote="</v>
      </c>
      <c r="AB53" t="str">
        <f>IF(Matchs!N54="","",Matchs!N54)</f>
        <v/>
      </c>
      <c r="AC53" s="6" t="str">
        <f t="shared" si="14"/>
        <v xml:space="preserve">",Stadium=" </v>
      </c>
      <c r="AD53" s="11" t="str">
        <f>Matchs!O54</f>
        <v xml:space="preserve">Olympique, Paris/Colombes </v>
      </c>
      <c r="AE53" s="6" t="str">
        <f t="shared" si="15"/>
        <v>",Referee= "</v>
      </c>
      <c r="AF53" s="11">
        <f>Matchs!P54</f>
        <v>0</v>
      </c>
      <c r="AG53" s="6" t="str">
        <f t="shared" si="16"/>
        <v xml:space="preserve">",Visistors= </v>
      </c>
      <c r="AH53" s="11">
        <f>Matchs!Q54</f>
        <v>45000</v>
      </c>
      <c r="AI53" s="11" t="str">
        <f t="shared" si="17"/>
        <v>,Status= "</v>
      </c>
      <c r="AJ53" s="11" t="str">
        <f>Matchs!R54</f>
        <v>Finished</v>
      </c>
      <c r="AK53" t="str">
        <f t="shared" si="18"/>
        <v>" },</v>
      </c>
    </row>
    <row r="54" spans="1:37" x14ac:dyDescent="0.25">
      <c r="A54" t="str">
        <f t="shared" si="0"/>
        <v>new Match { MatchId= "</v>
      </c>
      <c r="B54" t="str">
        <f>Matchs!A55</f>
        <v>FIFAWC1950-1</v>
      </c>
      <c r="C54" t="str">
        <f t="shared" si="1"/>
        <v>",MatchNumer=</v>
      </c>
      <c r="D54">
        <f>Matchs!B55</f>
        <v>1</v>
      </c>
      <c r="E54" t="str">
        <f t="shared" si="2"/>
        <v>,DateMatch=DateTime.Parse("</v>
      </c>
      <c r="F54" s="3">
        <f>Matchs!C55</f>
        <v>18438</v>
      </c>
      <c r="G54" s="10" t="str">
        <f t="shared" si="3"/>
        <v>"),TimeMatch=TimeSpan.Parse("</v>
      </c>
      <c r="H54" s="9">
        <f>Matchs!D55</f>
        <v>8.3333333333333329E-2</v>
      </c>
      <c r="I54" t="str">
        <f t="shared" si="4"/>
        <v>"),MatchYear=</v>
      </c>
      <c r="J54">
        <f>Matchs!E55</f>
        <v>1950</v>
      </c>
      <c r="K54" t="str">
        <f t="shared" si="5"/>
        <v>, SeasonId= "</v>
      </c>
      <c r="L54" t="str">
        <f>Matchs!F55</f>
        <v>FIFAWC1950</v>
      </c>
      <c r="M54" t="str">
        <f t="shared" si="6"/>
        <v>",Round= "</v>
      </c>
      <c r="N54" t="str">
        <f>Matchs!G55</f>
        <v>Final Round</v>
      </c>
      <c r="O54" s="6" t="str">
        <f t="shared" si="7"/>
        <v>",Stage= "</v>
      </c>
      <c r="P54" t="str">
        <f>Matchs!H55</f>
        <v>Group</v>
      </c>
      <c r="Q54" s="6" t="str">
        <f t="shared" si="8"/>
        <v>",SubStage= "</v>
      </c>
      <c r="R54" t="str">
        <f>Matchs!I55</f>
        <v>Group 1</v>
      </c>
      <c r="S54" s="6" t="str">
        <f t="shared" si="9"/>
        <v>",HTeam= "</v>
      </c>
      <c r="T54" t="str">
        <f>Matchs!J55</f>
        <v>Brazil</v>
      </c>
      <c r="U54" s="6" t="str">
        <f t="shared" si="10"/>
        <v>",HGoal=</v>
      </c>
      <c r="V54">
        <f>Matchs!K55</f>
        <v>4</v>
      </c>
      <c r="W54" s="6" t="str">
        <f t="shared" si="11"/>
        <v>,GGoal=</v>
      </c>
      <c r="X54">
        <f>Matchs!L55</f>
        <v>0</v>
      </c>
      <c r="Y54" s="6" t="str">
        <f t="shared" si="12"/>
        <v>,GTeam= "</v>
      </c>
      <c r="Z54" t="str">
        <f>Matchs!M55</f>
        <v>Mexico</v>
      </c>
      <c r="AA54" s="6" t="str">
        <f t="shared" si="13"/>
        <v>",WinNote="</v>
      </c>
      <c r="AB54" t="str">
        <f>IF(Matchs!N55="","",Matchs!N55)</f>
        <v/>
      </c>
      <c r="AC54" s="6" t="str">
        <f t="shared" si="14"/>
        <v xml:space="preserve">",Stadium=" </v>
      </c>
      <c r="AD54" s="11" t="str">
        <f>Matchs!O55</f>
        <v xml:space="preserve">Estádio do Maracanã </v>
      </c>
      <c r="AE54" s="6" t="str">
        <f t="shared" si="15"/>
        <v>",Referee= "</v>
      </c>
      <c r="AF54" s="11" t="str">
        <f>Matchs!P55</f>
        <v xml:space="preserve">George Reader </v>
      </c>
      <c r="AG54" s="6" t="str">
        <f t="shared" si="16"/>
        <v xml:space="preserve">",Visistors= </v>
      </c>
      <c r="AH54" s="11">
        <f>Matchs!Q55</f>
        <v>82000</v>
      </c>
      <c r="AI54" s="11" t="str">
        <f t="shared" si="17"/>
        <v>,Status= "</v>
      </c>
      <c r="AJ54" s="11" t="str">
        <f>Matchs!R55</f>
        <v>Finished</v>
      </c>
      <c r="AK54" t="str">
        <f t="shared" si="18"/>
        <v>" },</v>
      </c>
    </row>
    <row r="55" spans="1:37" x14ac:dyDescent="0.25">
      <c r="A55" t="str">
        <f t="shared" si="0"/>
        <v>new Match { MatchId= "</v>
      </c>
      <c r="B55" t="str">
        <f>Matchs!A56</f>
        <v>FIFAWC1950-2</v>
      </c>
      <c r="C55" t="str">
        <f t="shared" si="1"/>
        <v>",MatchNumer=</v>
      </c>
      <c r="D55">
        <f>Matchs!B56</f>
        <v>2</v>
      </c>
      <c r="E55" t="str">
        <f t="shared" si="2"/>
        <v>,DateMatch=DateTime.Parse("</v>
      </c>
      <c r="F55" s="3">
        <f>Matchs!C56</f>
        <v>18440</v>
      </c>
      <c r="G55" s="10" t="str">
        <f t="shared" si="3"/>
        <v>"),TimeMatch=TimeSpan.Parse("</v>
      </c>
      <c r="H55" s="9">
        <f>Matchs!D56</f>
        <v>8.3333333333333329E-2</v>
      </c>
      <c r="I55" t="str">
        <f t="shared" si="4"/>
        <v>"),MatchYear=</v>
      </c>
      <c r="J55">
        <f>Matchs!E56</f>
        <v>1950</v>
      </c>
      <c r="K55" t="str">
        <f t="shared" si="5"/>
        <v>, SeasonId= "</v>
      </c>
      <c r="L55" t="str">
        <f>Matchs!F56</f>
        <v>FIFAWC1950</v>
      </c>
      <c r="M55" t="str">
        <f t="shared" si="6"/>
        <v>",Round= "</v>
      </c>
      <c r="N55" t="str">
        <f>Matchs!G56</f>
        <v>Final Round</v>
      </c>
      <c r="O55" s="6" t="str">
        <f t="shared" si="7"/>
        <v>",Stage= "</v>
      </c>
      <c r="P55" t="str">
        <f>Matchs!H56</f>
        <v>Group</v>
      </c>
      <c r="Q55" s="6" t="str">
        <f t="shared" si="8"/>
        <v>",SubStage= "</v>
      </c>
      <c r="R55" t="str">
        <f>Matchs!I56</f>
        <v>Group 2</v>
      </c>
      <c r="S55" s="6" t="str">
        <f t="shared" si="9"/>
        <v>",HTeam= "</v>
      </c>
      <c r="T55" t="str">
        <f>Matchs!J56</f>
        <v>England</v>
      </c>
      <c r="U55" s="6" t="str">
        <f t="shared" si="10"/>
        <v>",HGoal=</v>
      </c>
      <c r="V55">
        <f>Matchs!K56</f>
        <v>2</v>
      </c>
      <c r="W55" s="6" t="str">
        <f t="shared" si="11"/>
        <v>,GGoal=</v>
      </c>
      <c r="X55">
        <f>Matchs!L56</f>
        <v>0</v>
      </c>
      <c r="Y55" s="6" t="str">
        <f t="shared" si="12"/>
        <v>,GTeam= "</v>
      </c>
      <c r="Z55" t="str">
        <f>Matchs!M56</f>
        <v>Chile</v>
      </c>
      <c r="AA55" s="6" t="str">
        <f t="shared" si="13"/>
        <v>",WinNote="</v>
      </c>
      <c r="AB55" t="str">
        <f>IF(Matchs!N56="","",Matchs!N56)</f>
        <v/>
      </c>
      <c r="AC55" s="6" t="str">
        <f t="shared" si="14"/>
        <v xml:space="preserve">",Stadium=" </v>
      </c>
      <c r="AD55" s="11" t="str">
        <f>Matchs!O56</f>
        <v xml:space="preserve">Estádio do Maracanã </v>
      </c>
      <c r="AE55" s="6" t="str">
        <f t="shared" si="15"/>
        <v>",Referee= "</v>
      </c>
      <c r="AF55" s="11" t="str">
        <f>Matchs!P56</f>
        <v xml:space="preserve">Karel van der Meer </v>
      </c>
      <c r="AG55" s="6" t="str">
        <f t="shared" si="16"/>
        <v xml:space="preserve">",Visistors= </v>
      </c>
      <c r="AH55" s="11">
        <f>Matchs!Q56</f>
        <v>30000</v>
      </c>
      <c r="AI55" s="11" t="str">
        <f t="shared" si="17"/>
        <v>,Status= "</v>
      </c>
      <c r="AJ55" s="11" t="str">
        <f>Matchs!R56</f>
        <v>Finished</v>
      </c>
      <c r="AK55" t="str">
        <f t="shared" si="18"/>
        <v>" },</v>
      </c>
    </row>
    <row r="56" spans="1:37" x14ac:dyDescent="0.25">
      <c r="A56" t="str">
        <f t="shared" si="0"/>
        <v>new Match { MatchId= "</v>
      </c>
      <c r="B56" t="str">
        <f>Matchs!A57</f>
        <v>FIFAWC1950-3</v>
      </c>
      <c r="C56" t="str">
        <f t="shared" si="1"/>
        <v>",MatchNumer=</v>
      </c>
      <c r="D56">
        <f>Matchs!B57</f>
        <v>3</v>
      </c>
      <c r="E56" t="str">
        <f t="shared" si="2"/>
        <v>,DateMatch=DateTime.Parse("</v>
      </c>
      <c r="F56" s="3">
        <f>Matchs!C57</f>
        <v>18440</v>
      </c>
      <c r="G56" s="10" t="str">
        <f t="shared" si="3"/>
        <v>"),TimeMatch=TimeSpan.Parse("</v>
      </c>
      <c r="H56" s="9">
        <f>Matchs!D57</f>
        <v>8.3333333333333329E-2</v>
      </c>
      <c r="I56" t="str">
        <f t="shared" si="4"/>
        <v>"),MatchYear=</v>
      </c>
      <c r="J56">
        <f>Matchs!E57</f>
        <v>1950</v>
      </c>
      <c r="K56" t="str">
        <f t="shared" si="5"/>
        <v>, SeasonId= "</v>
      </c>
      <c r="L56" t="str">
        <f>Matchs!F57</f>
        <v>FIFAWC1950</v>
      </c>
      <c r="M56" t="str">
        <f t="shared" si="6"/>
        <v>",Round= "</v>
      </c>
      <c r="N56" t="str">
        <f>Matchs!G57</f>
        <v>Final Round</v>
      </c>
      <c r="O56" s="6" t="str">
        <f t="shared" si="7"/>
        <v>",Stage= "</v>
      </c>
      <c r="P56" t="str">
        <f>Matchs!H57</f>
        <v>Group</v>
      </c>
      <c r="Q56" s="6" t="str">
        <f t="shared" si="8"/>
        <v>",SubStage= "</v>
      </c>
      <c r="R56" t="str">
        <f>Matchs!I57</f>
        <v>Group 1</v>
      </c>
      <c r="S56" s="6" t="str">
        <f t="shared" si="9"/>
        <v>",HTeam= "</v>
      </c>
      <c r="T56" t="str">
        <f>Matchs!J57</f>
        <v>Yugoslavia</v>
      </c>
      <c r="U56" s="6" t="str">
        <f t="shared" si="10"/>
        <v>",HGoal=</v>
      </c>
      <c r="V56">
        <f>Matchs!K57</f>
        <v>3</v>
      </c>
      <c r="W56" s="6" t="str">
        <f t="shared" si="11"/>
        <v>,GGoal=</v>
      </c>
      <c r="X56">
        <f>Matchs!L57</f>
        <v>0</v>
      </c>
      <c r="Y56" s="6" t="str">
        <f t="shared" si="12"/>
        <v>,GTeam= "</v>
      </c>
      <c r="Z56" t="str">
        <f>Matchs!M57</f>
        <v>Switzerland</v>
      </c>
      <c r="AA56" s="6" t="str">
        <f t="shared" si="13"/>
        <v>",WinNote="</v>
      </c>
      <c r="AB56" t="str">
        <f>IF(Matchs!N57="","",Matchs!N57)</f>
        <v/>
      </c>
      <c r="AC56" s="6" t="str">
        <f t="shared" si="14"/>
        <v xml:space="preserve">",Stadium=" </v>
      </c>
      <c r="AD56" s="11" t="str">
        <f>Matchs!O57</f>
        <v xml:space="preserve">Estádio Independência </v>
      </c>
      <c r="AE56" s="6" t="str">
        <f t="shared" si="15"/>
        <v>",Referee= "</v>
      </c>
      <c r="AF56" s="11" t="str">
        <f>Matchs!P57</f>
        <v xml:space="preserve">Giovanni Galeati </v>
      </c>
      <c r="AG56" s="6" t="str">
        <f t="shared" si="16"/>
        <v xml:space="preserve">",Visistors= </v>
      </c>
      <c r="AH56" s="11">
        <f>Matchs!Q57</f>
        <v>7500</v>
      </c>
      <c r="AI56" s="11" t="str">
        <f t="shared" si="17"/>
        <v>,Status= "</v>
      </c>
      <c r="AJ56" s="11" t="str">
        <f>Matchs!R57</f>
        <v>Finished</v>
      </c>
      <c r="AK56" t="str">
        <f t="shared" si="18"/>
        <v>" },</v>
      </c>
    </row>
    <row r="57" spans="1:37" x14ac:dyDescent="0.25">
      <c r="A57" t="str">
        <f t="shared" si="0"/>
        <v>new Match { MatchId= "</v>
      </c>
      <c r="B57" t="str">
        <f>Matchs!A58</f>
        <v>FIFAWC1950-4</v>
      </c>
      <c r="C57" t="str">
        <f t="shared" si="1"/>
        <v>",MatchNumer=</v>
      </c>
      <c r="D57">
        <f>Matchs!B58</f>
        <v>4</v>
      </c>
      <c r="E57" t="str">
        <f t="shared" si="2"/>
        <v>,DateMatch=DateTime.Parse("</v>
      </c>
      <c r="F57" s="3">
        <f>Matchs!C58</f>
        <v>18440</v>
      </c>
      <c r="G57" s="10" t="str">
        <f t="shared" si="3"/>
        <v>"),TimeMatch=TimeSpan.Parse("</v>
      </c>
      <c r="H57" s="9">
        <f>Matchs!D58</f>
        <v>8.3333333333333329E-2</v>
      </c>
      <c r="I57" t="str">
        <f t="shared" si="4"/>
        <v>"),MatchYear=</v>
      </c>
      <c r="J57">
        <f>Matchs!E58</f>
        <v>1950</v>
      </c>
      <c r="K57" t="str">
        <f t="shared" si="5"/>
        <v>, SeasonId= "</v>
      </c>
      <c r="L57" t="str">
        <f>Matchs!F58</f>
        <v>FIFAWC1950</v>
      </c>
      <c r="M57" t="str">
        <f t="shared" si="6"/>
        <v>",Round= "</v>
      </c>
      <c r="N57" t="str">
        <f>Matchs!G58</f>
        <v>Final Round</v>
      </c>
      <c r="O57" s="6" t="str">
        <f t="shared" si="7"/>
        <v>",Stage= "</v>
      </c>
      <c r="P57" t="str">
        <f>Matchs!H58</f>
        <v>Group</v>
      </c>
      <c r="Q57" s="6" t="str">
        <f t="shared" si="8"/>
        <v>",SubStage= "</v>
      </c>
      <c r="R57" t="str">
        <f>Matchs!I58</f>
        <v>Group 3</v>
      </c>
      <c r="S57" s="6" t="str">
        <f t="shared" si="9"/>
        <v>",HTeam= "</v>
      </c>
      <c r="T57" t="str">
        <f>Matchs!J58</f>
        <v>Sweden</v>
      </c>
      <c r="U57" s="6" t="str">
        <f t="shared" si="10"/>
        <v>",HGoal=</v>
      </c>
      <c r="V57">
        <f>Matchs!K58</f>
        <v>3</v>
      </c>
      <c r="W57" s="6" t="str">
        <f t="shared" si="11"/>
        <v>,GGoal=</v>
      </c>
      <c r="X57">
        <f>Matchs!L58</f>
        <v>2</v>
      </c>
      <c r="Y57" s="6" t="str">
        <f t="shared" si="12"/>
        <v>,GTeam= "</v>
      </c>
      <c r="Z57" t="str">
        <f>Matchs!M58</f>
        <v>Italy</v>
      </c>
      <c r="AA57" s="6" t="str">
        <f t="shared" si="13"/>
        <v>",WinNote="</v>
      </c>
      <c r="AB57" t="str">
        <f>IF(Matchs!N58="","",Matchs!N58)</f>
        <v/>
      </c>
      <c r="AC57" s="6" t="str">
        <f t="shared" si="14"/>
        <v xml:space="preserve">",Stadium=" </v>
      </c>
      <c r="AD57" s="11" t="str">
        <f>Matchs!O58</f>
        <v xml:space="preserve">Estádio do Pacaembu </v>
      </c>
      <c r="AE57" s="6" t="str">
        <f t="shared" si="15"/>
        <v>",Referee= "</v>
      </c>
      <c r="AF57" s="11" t="str">
        <f>Matchs!P58</f>
        <v xml:space="preserve">Jean Lutz </v>
      </c>
      <c r="AG57" s="6" t="str">
        <f t="shared" si="16"/>
        <v xml:space="preserve">",Visistors= </v>
      </c>
      <c r="AH57" s="11">
        <f>Matchs!Q58</f>
        <v>36000</v>
      </c>
      <c r="AI57" s="11" t="str">
        <f t="shared" si="17"/>
        <v>,Status= "</v>
      </c>
      <c r="AJ57" s="11" t="str">
        <f>Matchs!R58</f>
        <v>Finished</v>
      </c>
      <c r="AK57" t="str">
        <f t="shared" si="18"/>
        <v>" },</v>
      </c>
    </row>
    <row r="58" spans="1:37" x14ac:dyDescent="0.25">
      <c r="A58" t="str">
        <f t="shared" si="0"/>
        <v>new Match { MatchId= "</v>
      </c>
      <c r="B58" t="str">
        <f>Matchs!A59</f>
        <v>FIFAWC1950-5</v>
      </c>
      <c r="C58" t="str">
        <f t="shared" si="1"/>
        <v>",MatchNumer=</v>
      </c>
      <c r="D58">
        <f>Matchs!B59</f>
        <v>5</v>
      </c>
      <c r="E58" t="str">
        <f t="shared" si="2"/>
        <v>,DateMatch=DateTime.Parse("</v>
      </c>
      <c r="F58" s="3">
        <f>Matchs!C59</f>
        <v>18440</v>
      </c>
      <c r="G58" s="10" t="str">
        <f t="shared" si="3"/>
        <v>"),TimeMatch=TimeSpan.Parse("</v>
      </c>
      <c r="H58" s="9">
        <f>Matchs!D59</f>
        <v>8.3333333333333329E-2</v>
      </c>
      <c r="I58" t="str">
        <f t="shared" si="4"/>
        <v>"),MatchYear=</v>
      </c>
      <c r="J58">
        <f>Matchs!E59</f>
        <v>1950</v>
      </c>
      <c r="K58" t="str">
        <f t="shared" si="5"/>
        <v>, SeasonId= "</v>
      </c>
      <c r="L58" t="str">
        <f>Matchs!F59</f>
        <v>FIFAWC1950</v>
      </c>
      <c r="M58" t="str">
        <f t="shared" si="6"/>
        <v>",Round= "</v>
      </c>
      <c r="N58" t="str">
        <f>Matchs!G59</f>
        <v>Final Round</v>
      </c>
      <c r="O58" s="6" t="str">
        <f t="shared" si="7"/>
        <v>",Stage= "</v>
      </c>
      <c r="P58" t="str">
        <f>Matchs!H59</f>
        <v>Group</v>
      </c>
      <c r="Q58" s="6" t="str">
        <f t="shared" si="8"/>
        <v>",SubStage= "</v>
      </c>
      <c r="R58" t="str">
        <f>Matchs!I59</f>
        <v>Group 2</v>
      </c>
      <c r="S58" s="6" t="str">
        <f t="shared" si="9"/>
        <v>",HTeam= "</v>
      </c>
      <c r="T58" t="str">
        <f>Matchs!J59</f>
        <v>Spain</v>
      </c>
      <c r="U58" s="6" t="str">
        <f t="shared" si="10"/>
        <v>",HGoal=</v>
      </c>
      <c r="V58">
        <f>Matchs!K59</f>
        <v>3</v>
      </c>
      <c r="W58" s="6" t="str">
        <f t="shared" si="11"/>
        <v>,GGoal=</v>
      </c>
      <c r="X58">
        <f>Matchs!L59</f>
        <v>1</v>
      </c>
      <c r="Y58" s="6" t="str">
        <f t="shared" si="12"/>
        <v>,GTeam= "</v>
      </c>
      <c r="Z58" t="str">
        <f>Matchs!M59</f>
        <v>USA</v>
      </c>
      <c r="AA58" s="6" t="str">
        <f t="shared" si="13"/>
        <v>",WinNote="</v>
      </c>
      <c r="AB58" t="str">
        <f>IF(Matchs!N59="","",Matchs!N59)</f>
        <v/>
      </c>
      <c r="AC58" s="6" t="str">
        <f t="shared" si="14"/>
        <v xml:space="preserve">",Stadium=" </v>
      </c>
      <c r="AD58" s="11" t="str">
        <f>Matchs!O59</f>
        <v xml:space="preserve">Estádio Vila Capanema </v>
      </c>
      <c r="AE58" s="6" t="str">
        <f t="shared" si="15"/>
        <v>",Referee= "</v>
      </c>
      <c r="AF58" s="11" t="str">
        <f>Matchs!P59</f>
        <v xml:space="preserve">Mario Vianna </v>
      </c>
      <c r="AG58" s="6" t="str">
        <f t="shared" si="16"/>
        <v xml:space="preserve">",Visistors= </v>
      </c>
      <c r="AH58" s="11">
        <f>Matchs!Q59</f>
        <v>10000</v>
      </c>
      <c r="AI58" s="11" t="str">
        <f t="shared" si="17"/>
        <v>,Status= "</v>
      </c>
      <c r="AJ58" s="11" t="str">
        <f>Matchs!R59</f>
        <v>Finished</v>
      </c>
      <c r="AK58" t="str">
        <f t="shared" si="18"/>
        <v>" },</v>
      </c>
    </row>
    <row r="59" spans="1:37" x14ac:dyDescent="0.25">
      <c r="A59" t="str">
        <f t="shared" si="0"/>
        <v>new Match { MatchId= "</v>
      </c>
      <c r="B59" t="str">
        <f>Matchs!A60</f>
        <v>FIFAWC1950-6</v>
      </c>
      <c r="C59" t="str">
        <f t="shared" si="1"/>
        <v>",MatchNumer=</v>
      </c>
      <c r="D59">
        <f>Matchs!B60</f>
        <v>6</v>
      </c>
      <c r="E59" t="str">
        <f t="shared" si="2"/>
        <v>,DateMatch=DateTime.Parse("</v>
      </c>
      <c r="F59" s="3">
        <f>Matchs!C60</f>
        <v>18443</v>
      </c>
      <c r="G59" s="10" t="str">
        <f t="shared" si="3"/>
        <v>"),TimeMatch=TimeSpan.Parse("</v>
      </c>
      <c r="H59" s="9">
        <f>Matchs!D60</f>
        <v>8.3333333333333329E-2</v>
      </c>
      <c r="I59" t="str">
        <f t="shared" si="4"/>
        <v>"),MatchYear=</v>
      </c>
      <c r="J59">
        <f>Matchs!E60</f>
        <v>1950</v>
      </c>
      <c r="K59" t="str">
        <f t="shared" si="5"/>
        <v>, SeasonId= "</v>
      </c>
      <c r="L59" t="str">
        <f>Matchs!F60</f>
        <v>FIFAWC1950</v>
      </c>
      <c r="M59" t="str">
        <f t="shared" si="6"/>
        <v>",Round= "</v>
      </c>
      <c r="N59" t="str">
        <f>Matchs!G60</f>
        <v>Final Round</v>
      </c>
      <c r="O59" s="6" t="str">
        <f t="shared" si="7"/>
        <v>",Stage= "</v>
      </c>
      <c r="P59" t="str">
        <f>Matchs!H60</f>
        <v>Group</v>
      </c>
      <c r="Q59" s="6" t="str">
        <f t="shared" si="8"/>
        <v>",SubStage= "</v>
      </c>
      <c r="R59" t="str">
        <f>Matchs!I60</f>
        <v>Group 1</v>
      </c>
      <c r="S59" s="6" t="str">
        <f t="shared" si="9"/>
        <v>",HTeam= "</v>
      </c>
      <c r="T59" t="str">
        <f>Matchs!J60</f>
        <v>Brazil</v>
      </c>
      <c r="U59" s="6" t="str">
        <f t="shared" si="10"/>
        <v>",HGoal=</v>
      </c>
      <c r="V59">
        <f>Matchs!K60</f>
        <v>2</v>
      </c>
      <c r="W59" s="6" t="str">
        <f t="shared" si="11"/>
        <v>,GGoal=</v>
      </c>
      <c r="X59">
        <f>Matchs!L60</f>
        <v>2</v>
      </c>
      <c r="Y59" s="6" t="str">
        <f t="shared" si="12"/>
        <v>,GTeam= "</v>
      </c>
      <c r="Z59" t="str">
        <f>Matchs!M60</f>
        <v>Switzerland</v>
      </c>
      <c r="AA59" s="6" t="str">
        <f t="shared" si="13"/>
        <v>",WinNote="</v>
      </c>
      <c r="AB59" t="str">
        <f>IF(Matchs!N60="","",Matchs!N60)</f>
        <v/>
      </c>
      <c r="AC59" s="6" t="str">
        <f t="shared" si="14"/>
        <v xml:space="preserve">",Stadium=" </v>
      </c>
      <c r="AD59" s="11" t="str">
        <f>Matchs!O60</f>
        <v xml:space="preserve">Estádio do Pacaembu </v>
      </c>
      <c r="AE59" s="6" t="str">
        <f t="shared" si="15"/>
        <v>",Referee= "</v>
      </c>
      <c r="AF59" s="11" t="str">
        <f>Matchs!P60</f>
        <v xml:space="preserve">Ramon Azon Roma </v>
      </c>
      <c r="AG59" s="6" t="str">
        <f t="shared" si="16"/>
        <v xml:space="preserve">",Visistors= </v>
      </c>
      <c r="AH59" s="11">
        <f>Matchs!Q60</f>
        <v>42000</v>
      </c>
      <c r="AI59" s="11" t="str">
        <f t="shared" si="17"/>
        <v>,Status= "</v>
      </c>
      <c r="AJ59" s="11" t="str">
        <f>Matchs!R60</f>
        <v>Finished</v>
      </c>
      <c r="AK59" t="str">
        <f t="shared" si="18"/>
        <v>" },</v>
      </c>
    </row>
    <row r="60" spans="1:37" x14ac:dyDescent="0.25">
      <c r="A60" t="str">
        <f t="shared" si="0"/>
        <v>new Match { MatchId= "</v>
      </c>
      <c r="B60" t="str">
        <f>Matchs!A61</f>
        <v>FIFAWC1950-7</v>
      </c>
      <c r="C60" t="str">
        <f t="shared" si="1"/>
        <v>",MatchNumer=</v>
      </c>
      <c r="D60">
        <f>Matchs!B61</f>
        <v>7</v>
      </c>
      <c r="E60" t="str">
        <f t="shared" si="2"/>
        <v>,DateMatch=DateTime.Parse("</v>
      </c>
      <c r="F60" s="3">
        <f>Matchs!C61</f>
        <v>18443</v>
      </c>
      <c r="G60" s="10" t="str">
        <f t="shared" si="3"/>
        <v>"),TimeMatch=TimeSpan.Parse("</v>
      </c>
      <c r="H60" s="9">
        <f>Matchs!D61</f>
        <v>8.3333333333333329E-2</v>
      </c>
      <c r="I60" t="str">
        <f t="shared" si="4"/>
        <v>"),MatchYear=</v>
      </c>
      <c r="J60">
        <f>Matchs!E61</f>
        <v>1950</v>
      </c>
      <c r="K60" t="str">
        <f t="shared" si="5"/>
        <v>, SeasonId= "</v>
      </c>
      <c r="L60" t="str">
        <f>Matchs!F61</f>
        <v>FIFAWC1950</v>
      </c>
      <c r="M60" t="str">
        <f t="shared" si="6"/>
        <v>",Round= "</v>
      </c>
      <c r="N60" t="str">
        <f>Matchs!G61</f>
        <v>Final Round</v>
      </c>
      <c r="O60" s="6" t="str">
        <f t="shared" si="7"/>
        <v>",Stage= "</v>
      </c>
      <c r="P60" t="str">
        <f>Matchs!H61</f>
        <v>Group</v>
      </c>
      <c r="Q60" s="6" t="str">
        <f t="shared" si="8"/>
        <v>",SubStage= "</v>
      </c>
      <c r="R60" t="str">
        <f>Matchs!I61</f>
        <v>Group 1</v>
      </c>
      <c r="S60" s="6" t="str">
        <f t="shared" si="9"/>
        <v>",HTeam= "</v>
      </c>
      <c r="T60" t="str">
        <f>Matchs!J61</f>
        <v>Yugoslavia</v>
      </c>
      <c r="U60" s="6" t="str">
        <f t="shared" si="10"/>
        <v>",HGoal=</v>
      </c>
      <c r="V60">
        <f>Matchs!K61</f>
        <v>4</v>
      </c>
      <c r="W60" s="6" t="str">
        <f t="shared" si="11"/>
        <v>,GGoal=</v>
      </c>
      <c r="X60">
        <f>Matchs!L61</f>
        <v>1</v>
      </c>
      <c r="Y60" s="6" t="str">
        <f t="shared" si="12"/>
        <v>,GTeam= "</v>
      </c>
      <c r="Z60" t="str">
        <f>Matchs!M61</f>
        <v>Mexico</v>
      </c>
      <c r="AA60" s="6" t="str">
        <f t="shared" si="13"/>
        <v>",WinNote="</v>
      </c>
      <c r="AB60" t="str">
        <f>IF(Matchs!N61="","",Matchs!N61)</f>
        <v/>
      </c>
      <c r="AC60" s="6" t="str">
        <f t="shared" si="14"/>
        <v xml:space="preserve">",Stadium=" </v>
      </c>
      <c r="AD60" s="11" t="str">
        <f>Matchs!O61</f>
        <v xml:space="preserve">Estádio dos Eucaliptos </v>
      </c>
      <c r="AE60" s="6" t="str">
        <f t="shared" si="15"/>
        <v>",Referee= "</v>
      </c>
      <c r="AF60" s="11" t="str">
        <f>Matchs!P61</f>
        <v xml:space="preserve">Reginald Leate </v>
      </c>
      <c r="AG60" s="6" t="str">
        <f t="shared" si="16"/>
        <v xml:space="preserve">",Visistors= </v>
      </c>
      <c r="AH60" s="11">
        <f>Matchs!Q61</f>
        <v>11000</v>
      </c>
      <c r="AI60" s="11" t="str">
        <f t="shared" si="17"/>
        <v>,Status= "</v>
      </c>
      <c r="AJ60" s="11" t="str">
        <f>Matchs!R61</f>
        <v>Finished</v>
      </c>
      <c r="AK60" t="str">
        <f t="shared" si="18"/>
        <v>" },</v>
      </c>
    </row>
    <row r="61" spans="1:37" x14ac:dyDescent="0.25">
      <c r="A61" t="str">
        <f t="shared" si="0"/>
        <v>new Match { MatchId= "</v>
      </c>
      <c r="B61" t="str">
        <f>Matchs!A62</f>
        <v>FIFAWC1950-8</v>
      </c>
      <c r="C61" t="str">
        <f t="shared" si="1"/>
        <v>",MatchNumer=</v>
      </c>
      <c r="D61">
        <f>Matchs!B62</f>
        <v>8</v>
      </c>
      <c r="E61" t="str">
        <f t="shared" si="2"/>
        <v>,DateMatch=DateTime.Parse("</v>
      </c>
      <c r="F61" s="3">
        <f>Matchs!C62</f>
        <v>18444</v>
      </c>
      <c r="G61" s="10" t="str">
        <f t="shared" si="3"/>
        <v>"),TimeMatch=TimeSpan.Parse("</v>
      </c>
      <c r="H61" s="9">
        <f>Matchs!D62</f>
        <v>8.3333333333333329E-2</v>
      </c>
      <c r="I61" t="str">
        <f t="shared" si="4"/>
        <v>"),MatchYear=</v>
      </c>
      <c r="J61">
        <f>Matchs!E62</f>
        <v>1950</v>
      </c>
      <c r="K61" t="str">
        <f t="shared" si="5"/>
        <v>, SeasonId= "</v>
      </c>
      <c r="L61" t="str">
        <f>Matchs!F62</f>
        <v>FIFAWC1950</v>
      </c>
      <c r="M61" t="str">
        <f t="shared" si="6"/>
        <v>",Round= "</v>
      </c>
      <c r="N61" t="str">
        <f>Matchs!G62</f>
        <v>Final Round</v>
      </c>
      <c r="O61" s="6" t="str">
        <f t="shared" si="7"/>
        <v>",Stage= "</v>
      </c>
      <c r="P61" t="str">
        <f>Matchs!H62</f>
        <v>Group</v>
      </c>
      <c r="Q61" s="6" t="str">
        <f t="shared" si="8"/>
        <v>",SubStage= "</v>
      </c>
      <c r="R61" t="str">
        <f>Matchs!I62</f>
        <v>Group 2</v>
      </c>
      <c r="S61" s="6" t="str">
        <f t="shared" si="9"/>
        <v>",HTeam= "</v>
      </c>
      <c r="T61" t="str">
        <f>Matchs!J62</f>
        <v>USA</v>
      </c>
      <c r="U61" s="6" t="str">
        <f t="shared" si="10"/>
        <v>",HGoal=</v>
      </c>
      <c r="V61">
        <f>Matchs!K62</f>
        <v>1</v>
      </c>
      <c r="W61" s="6" t="str">
        <f t="shared" si="11"/>
        <v>,GGoal=</v>
      </c>
      <c r="X61">
        <f>Matchs!L62</f>
        <v>0</v>
      </c>
      <c r="Y61" s="6" t="str">
        <f t="shared" si="12"/>
        <v>,GTeam= "</v>
      </c>
      <c r="Z61" t="str">
        <f>Matchs!M62</f>
        <v>England</v>
      </c>
      <c r="AA61" s="6" t="str">
        <f t="shared" si="13"/>
        <v>",WinNote="</v>
      </c>
      <c r="AB61" t="str">
        <f>IF(Matchs!N62="","",Matchs!N62)</f>
        <v/>
      </c>
      <c r="AC61" s="6" t="str">
        <f t="shared" si="14"/>
        <v xml:space="preserve">",Stadium=" </v>
      </c>
      <c r="AD61" s="11" t="str">
        <f>Matchs!O62</f>
        <v xml:space="preserve">Estádio Independência </v>
      </c>
      <c r="AE61" s="6" t="str">
        <f t="shared" si="15"/>
        <v>",Referee= "</v>
      </c>
      <c r="AF61" s="11" t="str">
        <f>Matchs!P62</f>
        <v xml:space="preserve">Generoso Dattilo </v>
      </c>
      <c r="AG61" s="6" t="str">
        <f t="shared" si="16"/>
        <v xml:space="preserve">",Visistors= </v>
      </c>
      <c r="AH61" s="11">
        <f>Matchs!Q62</f>
        <v>10000</v>
      </c>
      <c r="AI61" s="11" t="str">
        <f t="shared" si="17"/>
        <v>,Status= "</v>
      </c>
      <c r="AJ61" s="11" t="str">
        <f>Matchs!R62</f>
        <v>Finished</v>
      </c>
      <c r="AK61" t="str">
        <f t="shared" si="18"/>
        <v>" },</v>
      </c>
    </row>
    <row r="62" spans="1:37" x14ac:dyDescent="0.25">
      <c r="A62" t="str">
        <f t="shared" si="0"/>
        <v>new Match { MatchId= "</v>
      </c>
      <c r="B62" t="str">
        <f>Matchs!A63</f>
        <v>FIFAWC1950-9</v>
      </c>
      <c r="C62" t="str">
        <f t="shared" si="1"/>
        <v>",MatchNumer=</v>
      </c>
      <c r="D62">
        <f>Matchs!B63</f>
        <v>9</v>
      </c>
      <c r="E62" t="str">
        <f t="shared" si="2"/>
        <v>,DateMatch=DateTime.Parse("</v>
      </c>
      <c r="F62" s="3">
        <f>Matchs!C63</f>
        <v>18444</v>
      </c>
      <c r="G62" s="10" t="str">
        <f t="shared" si="3"/>
        <v>"),TimeMatch=TimeSpan.Parse("</v>
      </c>
      <c r="H62" s="9">
        <f>Matchs!D63</f>
        <v>8.3333333333333329E-2</v>
      </c>
      <c r="I62" t="str">
        <f t="shared" si="4"/>
        <v>"),MatchYear=</v>
      </c>
      <c r="J62">
        <f>Matchs!E63</f>
        <v>1950</v>
      </c>
      <c r="K62" t="str">
        <f t="shared" si="5"/>
        <v>, SeasonId= "</v>
      </c>
      <c r="L62" t="str">
        <f>Matchs!F63</f>
        <v>FIFAWC1950</v>
      </c>
      <c r="M62" t="str">
        <f t="shared" si="6"/>
        <v>",Round= "</v>
      </c>
      <c r="N62" t="str">
        <f>Matchs!G63</f>
        <v>Final Round</v>
      </c>
      <c r="O62" s="6" t="str">
        <f t="shared" si="7"/>
        <v>",Stage= "</v>
      </c>
      <c r="P62" t="str">
        <f>Matchs!H63</f>
        <v>Group</v>
      </c>
      <c r="Q62" s="6" t="str">
        <f t="shared" si="8"/>
        <v>",SubStage= "</v>
      </c>
      <c r="R62" t="str">
        <f>Matchs!I63</f>
        <v>Group 2</v>
      </c>
      <c r="S62" s="6" t="str">
        <f t="shared" si="9"/>
        <v>",HTeam= "</v>
      </c>
      <c r="T62" t="str">
        <f>Matchs!J63</f>
        <v>Spain</v>
      </c>
      <c r="U62" s="6" t="str">
        <f t="shared" si="10"/>
        <v>",HGoal=</v>
      </c>
      <c r="V62">
        <f>Matchs!K63</f>
        <v>2</v>
      </c>
      <c r="W62" s="6" t="str">
        <f t="shared" si="11"/>
        <v>,GGoal=</v>
      </c>
      <c r="X62">
        <f>Matchs!L63</f>
        <v>0</v>
      </c>
      <c r="Y62" s="6" t="str">
        <f t="shared" si="12"/>
        <v>,GTeam= "</v>
      </c>
      <c r="Z62" t="str">
        <f>Matchs!M63</f>
        <v>Chile</v>
      </c>
      <c r="AA62" s="6" t="str">
        <f t="shared" si="13"/>
        <v>",WinNote="</v>
      </c>
      <c r="AB62" t="str">
        <f>IF(Matchs!N63="","",Matchs!N63)</f>
        <v/>
      </c>
      <c r="AC62" s="6" t="str">
        <f t="shared" si="14"/>
        <v xml:space="preserve">",Stadium=" </v>
      </c>
      <c r="AD62" s="11" t="str">
        <f>Matchs!O63</f>
        <v xml:space="preserve">Estádio do Maracanã </v>
      </c>
      <c r="AE62" s="6" t="str">
        <f t="shared" si="15"/>
        <v>",Referee= "</v>
      </c>
      <c r="AF62" s="11" t="str">
        <f>Matchs!P63</f>
        <v xml:space="preserve">Alberto Malcher </v>
      </c>
      <c r="AG62" s="6" t="str">
        <f t="shared" si="16"/>
        <v xml:space="preserve">",Visistors= </v>
      </c>
      <c r="AH62" s="11">
        <f>Matchs!Q63</f>
        <v>16000</v>
      </c>
      <c r="AI62" s="11" t="str">
        <f t="shared" si="17"/>
        <v>,Status= "</v>
      </c>
      <c r="AJ62" s="11" t="str">
        <f>Matchs!R63</f>
        <v>Finished</v>
      </c>
      <c r="AK62" t="str">
        <f t="shared" si="18"/>
        <v>" },</v>
      </c>
    </row>
    <row r="63" spans="1:37" x14ac:dyDescent="0.25">
      <c r="A63" t="str">
        <f t="shared" si="0"/>
        <v>new Match { MatchId= "</v>
      </c>
      <c r="B63" t="str">
        <f>Matchs!A64</f>
        <v>FIFAWC1950-10</v>
      </c>
      <c r="C63" t="str">
        <f t="shared" si="1"/>
        <v>",MatchNumer=</v>
      </c>
      <c r="D63">
        <f>Matchs!B64</f>
        <v>10</v>
      </c>
      <c r="E63" t="str">
        <f t="shared" si="2"/>
        <v>,DateMatch=DateTime.Parse("</v>
      </c>
      <c r="F63" s="3">
        <f>Matchs!C64</f>
        <v>18444</v>
      </c>
      <c r="G63" s="10" t="str">
        <f t="shared" si="3"/>
        <v>"),TimeMatch=TimeSpan.Parse("</v>
      </c>
      <c r="H63" s="9">
        <f>Matchs!D64</f>
        <v>8.3333333333333329E-2</v>
      </c>
      <c r="I63" t="str">
        <f t="shared" si="4"/>
        <v>"),MatchYear=</v>
      </c>
      <c r="J63">
        <f>Matchs!E64</f>
        <v>1950</v>
      </c>
      <c r="K63" t="str">
        <f t="shared" si="5"/>
        <v>, SeasonId= "</v>
      </c>
      <c r="L63" t="str">
        <f>Matchs!F64</f>
        <v>FIFAWC1950</v>
      </c>
      <c r="M63" t="str">
        <f t="shared" si="6"/>
        <v>",Round= "</v>
      </c>
      <c r="N63" t="str">
        <f>Matchs!G64</f>
        <v>Final Round</v>
      </c>
      <c r="O63" s="6" t="str">
        <f t="shared" si="7"/>
        <v>",Stage= "</v>
      </c>
      <c r="P63" t="str">
        <f>Matchs!H64</f>
        <v>Group</v>
      </c>
      <c r="Q63" s="6" t="str">
        <f t="shared" si="8"/>
        <v>",SubStage= "</v>
      </c>
      <c r="R63" t="str">
        <f>Matchs!I64</f>
        <v>Group 3</v>
      </c>
      <c r="S63" s="6" t="str">
        <f t="shared" si="9"/>
        <v>",HTeam= "</v>
      </c>
      <c r="T63" t="str">
        <f>Matchs!J64</f>
        <v>Sweden</v>
      </c>
      <c r="U63" s="6" t="str">
        <f t="shared" si="10"/>
        <v>",HGoal=</v>
      </c>
      <c r="V63">
        <f>Matchs!K64</f>
        <v>2</v>
      </c>
      <c r="W63" s="6" t="str">
        <f t="shared" si="11"/>
        <v>,GGoal=</v>
      </c>
      <c r="X63">
        <f>Matchs!L64</f>
        <v>2</v>
      </c>
      <c r="Y63" s="6" t="str">
        <f t="shared" si="12"/>
        <v>,GTeam= "</v>
      </c>
      <c r="Z63" t="str">
        <f>Matchs!M64</f>
        <v>Paraguay</v>
      </c>
      <c r="AA63" s="6" t="str">
        <f t="shared" si="13"/>
        <v>",WinNote="</v>
      </c>
      <c r="AB63" t="str">
        <f>IF(Matchs!N64="","",Matchs!N64)</f>
        <v/>
      </c>
      <c r="AC63" s="6" t="str">
        <f t="shared" si="14"/>
        <v xml:space="preserve">",Stadium=" </v>
      </c>
      <c r="AD63" s="11" t="str">
        <f>Matchs!O64</f>
        <v xml:space="preserve">Estádio Vila Capanema </v>
      </c>
      <c r="AE63" s="6" t="str">
        <f t="shared" si="15"/>
        <v>",Referee= "</v>
      </c>
      <c r="AF63" s="11" t="str">
        <f>Matchs!P64</f>
        <v xml:space="preserve">Robert Mitchell </v>
      </c>
      <c r="AG63" s="6" t="str">
        <f t="shared" si="16"/>
        <v xml:space="preserve">",Visistors= </v>
      </c>
      <c r="AH63" s="11">
        <f>Matchs!Q64</f>
        <v>8000</v>
      </c>
      <c r="AI63" s="11" t="str">
        <f t="shared" si="17"/>
        <v>,Status= "</v>
      </c>
      <c r="AJ63" s="11" t="str">
        <f>Matchs!R64</f>
        <v>Finished</v>
      </c>
      <c r="AK63" t="str">
        <f t="shared" si="18"/>
        <v>" },</v>
      </c>
    </row>
    <row r="64" spans="1:37" x14ac:dyDescent="0.25">
      <c r="A64" t="str">
        <f t="shared" si="0"/>
        <v>new Match { MatchId= "</v>
      </c>
      <c r="B64" t="str">
        <f>Matchs!A65</f>
        <v>FIFAWC1950-11</v>
      </c>
      <c r="C64" t="str">
        <f t="shared" si="1"/>
        <v>",MatchNumer=</v>
      </c>
      <c r="D64">
        <f>Matchs!B65</f>
        <v>11</v>
      </c>
      <c r="E64" t="str">
        <f t="shared" si="2"/>
        <v>,DateMatch=DateTime.Parse("</v>
      </c>
      <c r="F64" s="3">
        <f>Matchs!C65</f>
        <v>18446</v>
      </c>
      <c r="G64" s="10" t="str">
        <f t="shared" si="3"/>
        <v>"),TimeMatch=TimeSpan.Parse("</v>
      </c>
      <c r="H64" s="9">
        <f>Matchs!D65</f>
        <v>8.3333333333333329E-2</v>
      </c>
      <c r="I64" t="str">
        <f t="shared" si="4"/>
        <v>"),MatchYear=</v>
      </c>
      <c r="J64">
        <f>Matchs!E65</f>
        <v>1950</v>
      </c>
      <c r="K64" t="str">
        <f t="shared" si="5"/>
        <v>, SeasonId= "</v>
      </c>
      <c r="L64" t="str">
        <f>Matchs!F65</f>
        <v>FIFAWC1950</v>
      </c>
      <c r="M64" t="str">
        <f t="shared" si="6"/>
        <v>",Round= "</v>
      </c>
      <c r="N64" t="str">
        <f>Matchs!G65</f>
        <v>Final Round</v>
      </c>
      <c r="O64" s="6" t="str">
        <f t="shared" si="7"/>
        <v>",Stage= "</v>
      </c>
      <c r="P64" t="str">
        <f>Matchs!H65</f>
        <v>Group</v>
      </c>
      <c r="Q64" s="6" t="str">
        <f t="shared" si="8"/>
        <v>",SubStage= "</v>
      </c>
      <c r="R64" t="str">
        <f>Matchs!I65</f>
        <v>Group 1</v>
      </c>
      <c r="S64" s="6" t="str">
        <f t="shared" si="9"/>
        <v>",HTeam= "</v>
      </c>
      <c r="T64" t="str">
        <f>Matchs!J65</f>
        <v>Brazil</v>
      </c>
      <c r="U64" s="6" t="str">
        <f t="shared" si="10"/>
        <v>",HGoal=</v>
      </c>
      <c r="V64">
        <f>Matchs!K65</f>
        <v>2</v>
      </c>
      <c r="W64" s="6" t="str">
        <f t="shared" si="11"/>
        <v>,GGoal=</v>
      </c>
      <c r="X64">
        <f>Matchs!L65</f>
        <v>0</v>
      </c>
      <c r="Y64" s="6" t="str">
        <f t="shared" si="12"/>
        <v>,GTeam= "</v>
      </c>
      <c r="Z64" t="str">
        <f>Matchs!M65</f>
        <v>Yugoslavia</v>
      </c>
      <c r="AA64" s="6" t="str">
        <f t="shared" si="13"/>
        <v>",WinNote="</v>
      </c>
      <c r="AB64" t="str">
        <f>IF(Matchs!N65="","",Matchs!N65)</f>
        <v/>
      </c>
      <c r="AC64" s="6" t="str">
        <f t="shared" si="14"/>
        <v xml:space="preserve">",Stadium=" </v>
      </c>
      <c r="AD64" s="11" t="str">
        <f>Matchs!O65</f>
        <v xml:space="preserve">Estádio do Maracanã </v>
      </c>
      <c r="AE64" s="6" t="str">
        <f t="shared" si="15"/>
        <v>",Referee= "</v>
      </c>
      <c r="AF64" s="11" t="str">
        <f>Matchs!P65</f>
        <v xml:space="preserve">Benjamin Griffiths </v>
      </c>
      <c r="AG64" s="6" t="str">
        <f t="shared" si="16"/>
        <v xml:space="preserve">",Visistors= </v>
      </c>
      <c r="AH64" s="11">
        <f>Matchs!Q65</f>
        <v>142000</v>
      </c>
      <c r="AI64" s="11" t="str">
        <f t="shared" si="17"/>
        <v>,Status= "</v>
      </c>
      <c r="AJ64" s="11" t="str">
        <f>Matchs!R65</f>
        <v>Finished</v>
      </c>
      <c r="AK64" t="str">
        <f t="shared" si="18"/>
        <v>" },</v>
      </c>
    </row>
    <row r="65" spans="1:37" x14ac:dyDescent="0.25">
      <c r="A65" t="str">
        <f t="shared" si="0"/>
        <v>new Match { MatchId= "</v>
      </c>
      <c r="B65" t="str">
        <f>Matchs!A66</f>
        <v>FIFAWC1950-12</v>
      </c>
      <c r="C65" t="str">
        <f t="shared" si="1"/>
        <v>",MatchNumer=</v>
      </c>
      <c r="D65">
        <f>Matchs!B66</f>
        <v>12</v>
      </c>
      <c r="E65" t="str">
        <f t="shared" si="2"/>
        <v>,DateMatch=DateTime.Parse("</v>
      </c>
      <c r="F65" s="3">
        <f>Matchs!C66</f>
        <v>18447</v>
      </c>
      <c r="G65" s="10" t="str">
        <f t="shared" si="3"/>
        <v>"),TimeMatch=TimeSpan.Parse("</v>
      </c>
      <c r="H65" s="9">
        <f>Matchs!D66</f>
        <v>8.3333333333333329E-2</v>
      </c>
      <c r="I65" t="str">
        <f t="shared" si="4"/>
        <v>"),MatchYear=</v>
      </c>
      <c r="J65">
        <f>Matchs!E66</f>
        <v>1950</v>
      </c>
      <c r="K65" t="str">
        <f t="shared" si="5"/>
        <v>, SeasonId= "</v>
      </c>
      <c r="L65" t="str">
        <f>Matchs!F66</f>
        <v>FIFAWC1950</v>
      </c>
      <c r="M65" t="str">
        <f t="shared" si="6"/>
        <v>",Round= "</v>
      </c>
      <c r="N65" t="str">
        <f>Matchs!G66</f>
        <v>Final Round</v>
      </c>
      <c r="O65" s="6" t="str">
        <f t="shared" si="7"/>
        <v>",Stage= "</v>
      </c>
      <c r="P65" t="str">
        <f>Matchs!H66</f>
        <v>Group</v>
      </c>
      <c r="Q65" s="6" t="str">
        <f t="shared" si="8"/>
        <v>",SubStage= "</v>
      </c>
      <c r="R65" t="str">
        <f>Matchs!I66</f>
        <v>Group 2</v>
      </c>
      <c r="S65" s="6" t="str">
        <f t="shared" si="9"/>
        <v>",HTeam= "</v>
      </c>
      <c r="T65" t="str">
        <f>Matchs!J66</f>
        <v>Spain</v>
      </c>
      <c r="U65" s="6" t="str">
        <f t="shared" si="10"/>
        <v>",HGoal=</v>
      </c>
      <c r="V65">
        <f>Matchs!K66</f>
        <v>1</v>
      </c>
      <c r="W65" s="6" t="str">
        <f t="shared" si="11"/>
        <v>,GGoal=</v>
      </c>
      <c r="X65">
        <f>Matchs!L66</f>
        <v>0</v>
      </c>
      <c r="Y65" s="6" t="str">
        <f t="shared" si="12"/>
        <v>,GTeam= "</v>
      </c>
      <c r="Z65" t="str">
        <f>Matchs!M66</f>
        <v>England</v>
      </c>
      <c r="AA65" s="6" t="str">
        <f t="shared" si="13"/>
        <v>",WinNote="</v>
      </c>
      <c r="AB65" t="str">
        <f>IF(Matchs!N66="","",Matchs!N66)</f>
        <v/>
      </c>
      <c r="AC65" s="6" t="str">
        <f t="shared" si="14"/>
        <v xml:space="preserve">",Stadium=" </v>
      </c>
      <c r="AD65" s="11" t="str">
        <f>Matchs!O66</f>
        <v xml:space="preserve">Estádio do Maracanã </v>
      </c>
      <c r="AE65" s="6" t="str">
        <f t="shared" si="15"/>
        <v>",Referee= "</v>
      </c>
      <c r="AF65" s="11" t="str">
        <f>Matchs!P66</f>
        <v xml:space="preserve">Giovanni Galeati </v>
      </c>
      <c r="AG65" s="6" t="str">
        <f t="shared" si="16"/>
        <v xml:space="preserve">",Visistors= </v>
      </c>
      <c r="AH65" s="11">
        <f>Matchs!Q66</f>
        <v>74000</v>
      </c>
      <c r="AI65" s="11" t="str">
        <f t="shared" si="17"/>
        <v>,Status= "</v>
      </c>
      <c r="AJ65" s="11" t="str">
        <f>Matchs!R66</f>
        <v>Finished</v>
      </c>
      <c r="AK65" t="str">
        <f t="shared" si="18"/>
        <v>" },</v>
      </c>
    </row>
    <row r="66" spans="1:37" x14ac:dyDescent="0.25">
      <c r="A66" t="str">
        <f t="shared" si="0"/>
        <v>new Match { MatchId= "</v>
      </c>
      <c r="B66" t="str">
        <f>Matchs!A67</f>
        <v>FIFAWC1950-13</v>
      </c>
      <c r="C66" t="str">
        <f t="shared" si="1"/>
        <v>",MatchNumer=</v>
      </c>
      <c r="D66">
        <f>Matchs!B67</f>
        <v>13</v>
      </c>
      <c r="E66" t="str">
        <f t="shared" si="2"/>
        <v>,DateMatch=DateTime.Parse("</v>
      </c>
      <c r="F66" s="3">
        <f>Matchs!C67</f>
        <v>18447</v>
      </c>
      <c r="G66" s="10" t="str">
        <f t="shared" si="3"/>
        <v>"),TimeMatch=TimeSpan.Parse("</v>
      </c>
      <c r="H66" s="9">
        <f>Matchs!D67</f>
        <v>8.3333333333333329E-2</v>
      </c>
      <c r="I66" t="str">
        <f t="shared" si="4"/>
        <v>"),MatchYear=</v>
      </c>
      <c r="J66">
        <f>Matchs!E67</f>
        <v>1950</v>
      </c>
      <c r="K66" t="str">
        <f t="shared" si="5"/>
        <v>, SeasonId= "</v>
      </c>
      <c r="L66" t="str">
        <f>Matchs!F67</f>
        <v>FIFAWC1950</v>
      </c>
      <c r="M66" t="str">
        <f t="shared" si="6"/>
        <v>",Round= "</v>
      </c>
      <c r="N66" t="str">
        <f>Matchs!G67</f>
        <v>Final Round</v>
      </c>
      <c r="O66" s="6" t="str">
        <f t="shared" si="7"/>
        <v>",Stage= "</v>
      </c>
      <c r="P66" t="str">
        <f>Matchs!H67</f>
        <v>Group</v>
      </c>
      <c r="Q66" s="6" t="str">
        <f t="shared" si="8"/>
        <v>",SubStage= "</v>
      </c>
      <c r="R66" t="str">
        <f>Matchs!I67</f>
        <v>Group 3</v>
      </c>
      <c r="S66" s="6" t="str">
        <f t="shared" si="9"/>
        <v>",HTeam= "</v>
      </c>
      <c r="T66" t="str">
        <f>Matchs!J67</f>
        <v>Italy</v>
      </c>
      <c r="U66" s="6" t="str">
        <f t="shared" si="10"/>
        <v>",HGoal=</v>
      </c>
      <c r="V66">
        <f>Matchs!K67</f>
        <v>2</v>
      </c>
      <c r="W66" s="6" t="str">
        <f t="shared" si="11"/>
        <v>,GGoal=</v>
      </c>
      <c r="X66">
        <f>Matchs!L67</f>
        <v>0</v>
      </c>
      <c r="Y66" s="6" t="str">
        <f t="shared" si="12"/>
        <v>,GTeam= "</v>
      </c>
      <c r="Z66" t="str">
        <f>Matchs!M67</f>
        <v>Paraguay</v>
      </c>
      <c r="AA66" s="6" t="str">
        <f t="shared" si="13"/>
        <v>",WinNote="</v>
      </c>
      <c r="AB66" t="str">
        <f>IF(Matchs!N67="","",Matchs!N67)</f>
        <v/>
      </c>
      <c r="AC66" s="6" t="str">
        <f t="shared" si="14"/>
        <v xml:space="preserve">",Stadium=" </v>
      </c>
      <c r="AD66" s="11" t="str">
        <f>Matchs!O67</f>
        <v xml:space="preserve">Estádio do Pacaembu </v>
      </c>
      <c r="AE66" s="6" t="str">
        <f t="shared" si="15"/>
        <v>",Referee= "</v>
      </c>
      <c r="AF66" s="11" t="str">
        <f>Matchs!P67</f>
        <v xml:space="preserve">Arthur Ellis </v>
      </c>
      <c r="AG66" s="6" t="str">
        <f t="shared" si="16"/>
        <v xml:space="preserve">",Visistors= </v>
      </c>
      <c r="AH66" s="11">
        <f>Matchs!Q67</f>
        <v>26000</v>
      </c>
      <c r="AI66" s="11" t="str">
        <f t="shared" si="17"/>
        <v>,Status= "</v>
      </c>
      <c r="AJ66" s="11" t="str">
        <f>Matchs!R67</f>
        <v>Finished</v>
      </c>
      <c r="AK66" t="str">
        <f t="shared" si="18"/>
        <v>" },</v>
      </c>
    </row>
    <row r="67" spans="1:37" x14ac:dyDescent="0.25">
      <c r="A67" t="str">
        <f t="shared" ref="A67:A130" si="19">A66</f>
        <v>new Match { MatchId= "</v>
      </c>
      <c r="B67" t="str">
        <f>Matchs!A68</f>
        <v>FIFAWC1950-14</v>
      </c>
      <c r="C67" t="str">
        <f t="shared" ref="C67:C130" si="20">C66</f>
        <v>",MatchNumer=</v>
      </c>
      <c r="D67">
        <f>Matchs!B68</f>
        <v>14</v>
      </c>
      <c r="E67" t="str">
        <f t="shared" ref="E67:E130" si="21">E66</f>
        <v>,DateMatch=DateTime.Parse("</v>
      </c>
      <c r="F67" s="3">
        <f>Matchs!C68</f>
        <v>18447</v>
      </c>
      <c r="G67" s="10" t="str">
        <f t="shared" ref="G67:G130" si="22">G66</f>
        <v>"),TimeMatch=TimeSpan.Parse("</v>
      </c>
      <c r="H67" s="9">
        <f>Matchs!D68</f>
        <v>8.3333333333333329E-2</v>
      </c>
      <c r="I67" t="str">
        <f t="shared" ref="I67:I130" si="23">I66</f>
        <v>"),MatchYear=</v>
      </c>
      <c r="J67">
        <f>Matchs!E68</f>
        <v>1950</v>
      </c>
      <c r="K67" t="str">
        <f t="shared" ref="K67:K130" si="24">K66</f>
        <v>, SeasonId= "</v>
      </c>
      <c r="L67" t="str">
        <f>Matchs!F68</f>
        <v>FIFAWC1950</v>
      </c>
      <c r="M67" t="str">
        <f t="shared" ref="M67:M130" si="25">M66</f>
        <v>",Round= "</v>
      </c>
      <c r="N67" t="str">
        <f>Matchs!G68</f>
        <v>Final Round</v>
      </c>
      <c r="O67" s="6" t="str">
        <f t="shared" ref="O67:O130" si="26">O66</f>
        <v>",Stage= "</v>
      </c>
      <c r="P67" t="str">
        <f>Matchs!H68</f>
        <v>Group</v>
      </c>
      <c r="Q67" s="6" t="str">
        <f t="shared" ref="Q67:Q130" si="27">Q66</f>
        <v>",SubStage= "</v>
      </c>
      <c r="R67" t="str">
        <f>Matchs!I68</f>
        <v>Group 2</v>
      </c>
      <c r="S67" s="6" t="str">
        <f t="shared" ref="S67:S130" si="28">S66</f>
        <v>",HTeam= "</v>
      </c>
      <c r="T67" t="str">
        <f>Matchs!J68</f>
        <v>Chile</v>
      </c>
      <c r="U67" s="6" t="str">
        <f t="shared" ref="U67:U130" si="29">U66</f>
        <v>",HGoal=</v>
      </c>
      <c r="V67">
        <f>Matchs!K68</f>
        <v>5</v>
      </c>
      <c r="W67" s="6" t="str">
        <f t="shared" ref="W67:W130" si="30">W66</f>
        <v>,GGoal=</v>
      </c>
      <c r="X67">
        <f>Matchs!L68</f>
        <v>2</v>
      </c>
      <c r="Y67" s="6" t="str">
        <f t="shared" ref="Y67:Y130" si="31">Y66</f>
        <v>,GTeam= "</v>
      </c>
      <c r="Z67" t="str">
        <f>Matchs!M68</f>
        <v>USA</v>
      </c>
      <c r="AA67" s="6" t="str">
        <f t="shared" ref="AA67:AA130" si="32">AA66</f>
        <v>",WinNote="</v>
      </c>
      <c r="AB67" t="str">
        <f>IF(Matchs!N68="","",Matchs!N68)</f>
        <v/>
      </c>
      <c r="AC67" s="6" t="str">
        <f t="shared" ref="AC67:AC130" si="33">AC66</f>
        <v xml:space="preserve">",Stadium=" </v>
      </c>
      <c r="AD67" s="11" t="str">
        <f>Matchs!O68</f>
        <v xml:space="preserve">Estádio Ilha do Retiro </v>
      </c>
      <c r="AE67" s="6" t="str">
        <f t="shared" ref="AE67:AE130" si="34">AE66</f>
        <v>",Referee= "</v>
      </c>
      <c r="AF67" s="11" t="str">
        <f>Matchs!P68</f>
        <v xml:space="preserve">Mario Gardelli </v>
      </c>
      <c r="AG67" s="6" t="str">
        <f t="shared" ref="AG67:AG130" si="35">AG66</f>
        <v xml:space="preserve">",Visistors= </v>
      </c>
      <c r="AH67" s="11">
        <f>Matchs!Q68</f>
        <v>9000</v>
      </c>
      <c r="AI67" s="11" t="str">
        <f t="shared" ref="AI67:AI130" si="36">AI66</f>
        <v>,Status= "</v>
      </c>
      <c r="AJ67" s="11" t="str">
        <f>Matchs!R68</f>
        <v>Finished</v>
      </c>
      <c r="AK67" t="str">
        <f t="shared" ref="AK67:AK130" si="37">AK66</f>
        <v>" },</v>
      </c>
    </row>
    <row r="68" spans="1:37" x14ac:dyDescent="0.25">
      <c r="A68" t="str">
        <f t="shared" si="19"/>
        <v>new Match { MatchId= "</v>
      </c>
      <c r="B68" t="str">
        <f>Matchs!A69</f>
        <v>FIFAWC1950-15</v>
      </c>
      <c r="C68" t="str">
        <f t="shared" si="20"/>
        <v>",MatchNumer=</v>
      </c>
      <c r="D68">
        <f>Matchs!B69</f>
        <v>15</v>
      </c>
      <c r="E68" t="str">
        <f t="shared" si="21"/>
        <v>,DateMatch=DateTime.Parse("</v>
      </c>
      <c r="F68" s="3">
        <f>Matchs!C69</f>
        <v>18447</v>
      </c>
      <c r="G68" s="10" t="str">
        <f t="shared" si="22"/>
        <v>"),TimeMatch=TimeSpan.Parse("</v>
      </c>
      <c r="H68" s="9">
        <f>Matchs!D69</f>
        <v>8.3333333333333329E-2</v>
      </c>
      <c r="I68" t="str">
        <f t="shared" si="23"/>
        <v>"),MatchYear=</v>
      </c>
      <c r="J68">
        <f>Matchs!E69</f>
        <v>1950</v>
      </c>
      <c r="K68" t="str">
        <f t="shared" si="24"/>
        <v>, SeasonId= "</v>
      </c>
      <c r="L68" t="str">
        <f>Matchs!F69</f>
        <v>FIFAWC1950</v>
      </c>
      <c r="M68" t="str">
        <f t="shared" si="25"/>
        <v>",Round= "</v>
      </c>
      <c r="N68" t="str">
        <f>Matchs!G69</f>
        <v>Final Round</v>
      </c>
      <c r="O68" s="6" t="str">
        <f t="shared" si="26"/>
        <v>",Stage= "</v>
      </c>
      <c r="P68" t="str">
        <f>Matchs!H69</f>
        <v>Group</v>
      </c>
      <c r="Q68" s="6" t="str">
        <f t="shared" si="27"/>
        <v>",SubStage= "</v>
      </c>
      <c r="R68" t="str">
        <f>Matchs!I69</f>
        <v>Group 4</v>
      </c>
      <c r="S68" s="6" t="str">
        <f t="shared" si="28"/>
        <v>",HTeam= "</v>
      </c>
      <c r="T68" t="str">
        <f>Matchs!J69</f>
        <v>Uruguay</v>
      </c>
      <c r="U68" s="6" t="str">
        <f t="shared" si="29"/>
        <v>",HGoal=</v>
      </c>
      <c r="V68">
        <f>Matchs!K69</f>
        <v>8</v>
      </c>
      <c r="W68" s="6" t="str">
        <f t="shared" si="30"/>
        <v>,GGoal=</v>
      </c>
      <c r="X68">
        <f>Matchs!L69</f>
        <v>0</v>
      </c>
      <c r="Y68" s="6" t="str">
        <f t="shared" si="31"/>
        <v>,GTeam= "</v>
      </c>
      <c r="Z68" t="str">
        <f>Matchs!M69</f>
        <v>Bolivia</v>
      </c>
      <c r="AA68" s="6" t="str">
        <f t="shared" si="32"/>
        <v>",WinNote="</v>
      </c>
      <c r="AB68" t="str">
        <f>IF(Matchs!N69="","",Matchs!N69)</f>
        <v/>
      </c>
      <c r="AC68" s="6" t="str">
        <f t="shared" si="33"/>
        <v xml:space="preserve">",Stadium=" </v>
      </c>
      <c r="AD68" s="11" t="str">
        <f>Matchs!O69</f>
        <v xml:space="preserve">Estádio Independência </v>
      </c>
      <c r="AE68" s="6" t="str">
        <f t="shared" si="34"/>
        <v>",Referee= "</v>
      </c>
      <c r="AF68" s="11" t="str">
        <f>Matchs!P69</f>
        <v xml:space="preserve">George Reader </v>
      </c>
      <c r="AG68" s="6" t="str">
        <f t="shared" si="35"/>
        <v xml:space="preserve">",Visistors= </v>
      </c>
      <c r="AH68" s="11">
        <f>Matchs!Q69</f>
        <v>6000</v>
      </c>
      <c r="AI68" s="11" t="str">
        <f t="shared" si="36"/>
        <v>,Status= "</v>
      </c>
      <c r="AJ68" s="11" t="str">
        <f>Matchs!R69</f>
        <v>Finished</v>
      </c>
      <c r="AK68" t="str">
        <f t="shared" si="37"/>
        <v>" },</v>
      </c>
    </row>
    <row r="69" spans="1:37" x14ac:dyDescent="0.25">
      <c r="A69" t="str">
        <f t="shared" si="19"/>
        <v>new Match { MatchId= "</v>
      </c>
      <c r="B69" t="str">
        <f>Matchs!A70</f>
        <v>FIFAWC1950-16</v>
      </c>
      <c r="C69" t="str">
        <f t="shared" si="20"/>
        <v>",MatchNumer=</v>
      </c>
      <c r="D69">
        <f>Matchs!B70</f>
        <v>16</v>
      </c>
      <c r="E69" t="str">
        <f t="shared" si="21"/>
        <v>,DateMatch=DateTime.Parse("</v>
      </c>
      <c r="F69" s="3">
        <f>Matchs!C70</f>
        <v>18447</v>
      </c>
      <c r="G69" s="10" t="str">
        <f t="shared" si="22"/>
        <v>"),TimeMatch=TimeSpan.Parse("</v>
      </c>
      <c r="H69" s="9">
        <f>Matchs!D70</f>
        <v>8.3333333333333329E-2</v>
      </c>
      <c r="I69" t="str">
        <f t="shared" si="23"/>
        <v>"),MatchYear=</v>
      </c>
      <c r="J69">
        <f>Matchs!E70</f>
        <v>1950</v>
      </c>
      <c r="K69" t="str">
        <f t="shared" si="24"/>
        <v>, SeasonId= "</v>
      </c>
      <c r="L69" t="str">
        <f>Matchs!F70</f>
        <v>FIFAWC1950</v>
      </c>
      <c r="M69" t="str">
        <f t="shared" si="25"/>
        <v>",Round= "</v>
      </c>
      <c r="N69" t="str">
        <f>Matchs!G70</f>
        <v>Final Round</v>
      </c>
      <c r="O69" s="6" t="str">
        <f t="shared" si="26"/>
        <v>",Stage= "</v>
      </c>
      <c r="P69" t="str">
        <f>Matchs!H70</f>
        <v>Group</v>
      </c>
      <c r="Q69" s="6" t="str">
        <f t="shared" si="27"/>
        <v>",SubStage= "</v>
      </c>
      <c r="R69" t="str">
        <f>Matchs!I70</f>
        <v>Group 1</v>
      </c>
      <c r="S69" s="6" t="str">
        <f t="shared" si="28"/>
        <v>",HTeam= "</v>
      </c>
      <c r="T69" t="str">
        <f>Matchs!J70</f>
        <v>Switzerland</v>
      </c>
      <c r="U69" s="6" t="str">
        <f t="shared" si="29"/>
        <v>",HGoal=</v>
      </c>
      <c r="V69">
        <f>Matchs!K70</f>
        <v>2</v>
      </c>
      <c r="W69" s="6" t="str">
        <f t="shared" si="30"/>
        <v>,GGoal=</v>
      </c>
      <c r="X69">
        <f>Matchs!L70</f>
        <v>1</v>
      </c>
      <c r="Y69" s="6" t="str">
        <f t="shared" si="31"/>
        <v>,GTeam= "</v>
      </c>
      <c r="Z69" t="str">
        <f>Matchs!M70</f>
        <v>Mexico</v>
      </c>
      <c r="AA69" s="6" t="str">
        <f t="shared" si="32"/>
        <v>",WinNote="</v>
      </c>
      <c r="AB69" t="str">
        <f>IF(Matchs!N70="","",Matchs!N70)</f>
        <v/>
      </c>
      <c r="AC69" s="6" t="str">
        <f t="shared" si="33"/>
        <v xml:space="preserve">",Stadium=" </v>
      </c>
      <c r="AD69" s="11" t="str">
        <f>Matchs!O70</f>
        <v xml:space="preserve">Estádio dos Eucaliptos </v>
      </c>
      <c r="AE69" s="6" t="str">
        <f t="shared" si="34"/>
        <v>",Referee= "</v>
      </c>
      <c r="AF69" s="11" t="str">
        <f>Matchs!P70</f>
        <v xml:space="preserve">Ivan Eklind </v>
      </c>
      <c r="AG69" s="6" t="str">
        <f t="shared" si="35"/>
        <v xml:space="preserve">",Visistors= </v>
      </c>
      <c r="AH69" s="11">
        <f>Matchs!Q70</f>
        <v>4000</v>
      </c>
      <c r="AI69" s="11" t="str">
        <f t="shared" si="36"/>
        <v>,Status= "</v>
      </c>
      <c r="AJ69" s="11" t="str">
        <f>Matchs!R70</f>
        <v>Finished</v>
      </c>
      <c r="AK69" t="str">
        <f t="shared" si="37"/>
        <v>" },</v>
      </c>
    </row>
    <row r="70" spans="1:37" x14ac:dyDescent="0.25">
      <c r="A70" t="str">
        <f t="shared" si="19"/>
        <v>new Match { MatchId= "</v>
      </c>
      <c r="B70" t="str">
        <f>Matchs!A71</f>
        <v>FIFAWC1950-17</v>
      </c>
      <c r="C70" t="str">
        <f t="shared" si="20"/>
        <v>",MatchNumer=</v>
      </c>
      <c r="D70">
        <f>Matchs!B71</f>
        <v>17</v>
      </c>
      <c r="E70" t="str">
        <f t="shared" si="21"/>
        <v>,DateMatch=DateTime.Parse("</v>
      </c>
      <c r="F70" s="3">
        <f>Matchs!C71</f>
        <v>18454</v>
      </c>
      <c r="G70" s="10" t="str">
        <f t="shared" si="22"/>
        <v>"),TimeMatch=TimeSpan.Parse("</v>
      </c>
      <c r="H70" s="9">
        <f>Matchs!D71</f>
        <v>8.3333333333333329E-2</v>
      </c>
      <c r="I70" t="str">
        <f t="shared" si="23"/>
        <v>"),MatchYear=</v>
      </c>
      <c r="J70">
        <f>Matchs!E71</f>
        <v>1950</v>
      </c>
      <c r="K70" t="str">
        <f t="shared" si="24"/>
        <v>, SeasonId= "</v>
      </c>
      <c r="L70" t="str">
        <f>Matchs!F71</f>
        <v>FIFAWC1950</v>
      </c>
      <c r="M70" t="str">
        <f t="shared" si="25"/>
        <v>",Round= "</v>
      </c>
      <c r="N70" t="str">
        <f>Matchs!G71</f>
        <v>Final Round</v>
      </c>
      <c r="O70" s="6" t="str">
        <f t="shared" si="26"/>
        <v>",Stage= "</v>
      </c>
      <c r="P70" t="str">
        <f>Matchs!H71</f>
        <v>Final Round</v>
      </c>
      <c r="Q70" s="6" t="str">
        <f t="shared" si="27"/>
        <v>",SubStage= "</v>
      </c>
      <c r="R70" t="str">
        <f>Matchs!I71</f>
        <v>Final Round</v>
      </c>
      <c r="S70" s="6" t="str">
        <f t="shared" si="28"/>
        <v>",HTeam= "</v>
      </c>
      <c r="T70" t="str">
        <f>Matchs!J71</f>
        <v>Brazil</v>
      </c>
      <c r="U70" s="6" t="str">
        <f t="shared" si="29"/>
        <v>",HGoal=</v>
      </c>
      <c r="V70">
        <f>Matchs!K71</f>
        <v>7</v>
      </c>
      <c r="W70" s="6" t="str">
        <f t="shared" si="30"/>
        <v>,GGoal=</v>
      </c>
      <c r="X70">
        <f>Matchs!L71</f>
        <v>1</v>
      </c>
      <c r="Y70" s="6" t="str">
        <f t="shared" si="31"/>
        <v>,GTeam= "</v>
      </c>
      <c r="Z70" t="str">
        <f>Matchs!M71</f>
        <v>Sweden</v>
      </c>
      <c r="AA70" s="6" t="str">
        <f t="shared" si="32"/>
        <v>",WinNote="</v>
      </c>
      <c r="AB70" t="str">
        <f>IF(Matchs!N71="","",Matchs!N71)</f>
        <v/>
      </c>
      <c r="AC70" s="6" t="str">
        <f t="shared" si="33"/>
        <v xml:space="preserve">",Stadium=" </v>
      </c>
      <c r="AD70" s="11" t="str">
        <f>Matchs!O71</f>
        <v xml:space="preserve">Estádio do Maracanã </v>
      </c>
      <c r="AE70" s="6" t="str">
        <f t="shared" si="34"/>
        <v>",Referee= "</v>
      </c>
      <c r="AF70" s="11" t="str">
        <f>Matchs!P71</f>
        <v xml:space="preserve">Arthur Elis </v>
      </c>
      <c r="AG70" s="6" t="str">
        <f t="shared" si="35"/>
        <v xml:space="preserve">",Visistors= </v>
      </c>
      <c r="AH70" s="11">
        <f>Matchs!Q71</f>
        <v>139000</v>
      </c>
      <c r="AI70" s="11" t="str">
        <f t="shared" si="36"/>
        <v>,Status= "</v>
      </c>
      <c r="AJ70" s="11" t="str">
        <f>Matchs!R71</f>
        <v>Finished</v>
      </c>
      <c r="AK70" t="str">
        <f t="shared" si="37"/>
        <v>" },</v>
      </c>
    </row>
    <row r="71" spans="1:37" x14ac:dyDescent="0.25">
      <c r="A71" t="str">
        <f t="shared" si="19"/>
        <v>new Match { MatchId= "</v>
      </c>
      <c r="B71" t="str">
        <f>Matchs!A72</f>
        <v>FIFAWC1950-18</v>
      </c>
      <c r="C71" t="str">
        <f t="shared" si="20"/>
        <v>",MatchNumer=</v>
      </c>
      <c r="D71">
        <f>Matchs!B72</f>
        <v>18</v>
      </c>
      <c r="E71" t="str">
        <f t="shared" si="21"/>
        <v>,DateMatch=DateTime.Parse("</v>
      </c>
      <c r="F71" s="3">
        <f>Matchs!C72</f>
        <v>18454</v>
      </c>
      <c r="G71" s="10" t="str">
        <f t="shared" si="22"/>
        <v>"),TimeMatch=TimeSpan.Parse("</v>
      </c>
      <c r="H71" s="9">
        <f>Matchs!D72</f>
        <v>8.3333333333333329E-2</v>
      </c>
      <c r="I71" t="str">
        <f t="shared" si="23"/>
        <v>"),MatchYear=</v>
      </c>
      <c r="J71">
        <f>Matchs!E72</f>
        <v>1950</v>
      </c>
      <c r="K71" t="str">
        <f t="shared" si="24"/>
        <v>, SeasonId= "</v>
      </c>
      <c r="L71" t="str">
        <f>Matchs!F72</f>
        <v>FIFAWC1950</v>
      </c>
      <c r="M71" t="str">
        <f t="shared" si="25"/>
        <v>",Round= "</v>
      </c>
      <c r="N71" t="str">
        <f>Matchs!G72</f>
        <v>Final Round</v>
      </c>
      <c r="O71" s="6" t="str">
        <f t="shared" si="26"/>
        <v>",Stage= "</v>
      </c>
      <c r="P71" t="str">
        <f>Matchs!H72</f>
        <v>Final Round</v>
      </c>
      <c r="Q71" s="6" t="str">
        <f t="shared" si="27"/>
        <v>",SubStage= "</v>
      </c>
      <c r="R71" t="str">
        <f>Matchs!I72</f>
        <v>Final Round</v>
      </c>
      <c r="S71" s="6" t="str">
        <f t="shared" si="28"/>
        <v>",HTeam= "</v>
      </c>
      <c r="T71" t="str">
        <f>Matchs!J72</f>
        <v>Uruguay</v>
      </c>
      <c r="U71" s="6" t="str">
        <f t="shared" si="29"/>
        <v>",HGoal=</v>
      </c>
      <c r="V71">
        <f>Matchs!K72</f>
        <v>2</v>
      </c>
      <c r="W71" s="6" t="str">
        <f t="shared" si="30"/>
        <v>,GGoal=</v>
      </c>
      <c r="X71">
        <f>Matchs!L72</f>
        <v>2</v>
      </c>
      <c r="Y71" s="6" t="str">
        <f t="shared" si="31"/>
        <v>,GTeam= "</v>
      </c>
      <c r="Z71" t="str">
        <f>Matchs!M72</f>
        <v>Spain</v>
      </c>
      <c r="AA71" s="6" t="str">
        <f t="shared" si="32"/>
        <v>",WinNote="</v>
      </c>
      <c r="AB71" t="str">
        <f>IF(Matchs!N72="","",Matchs!N72)</f>
        <v/>
      </c>
      <c r="AC71" s="6" t="str">
        <f t="shared" si="33"/>
        <v xml:space="preserve">",Stadium=" </v>
      </c>
      <c r="AD71" s="11" t="str">
        <f>Matchs!O72</f>
        <v xml:space="preserve">Estádio do Pacaembu </v>
      </c>
      <c r="AE71" s="6" t="str">
        <f t="shared" si="34"/>
        <v>",Referee= "</v>
      </c>
      <c r="AF71" s="11" t="str">
        <f>Matchs!P72</f>
        <v xml:space="preserve">Benjamin Griffiths </v>
      </c>
      <c r="AG71" s="6" t="str">
        <f t="shared" si="35"/>
        <v xml:space="preserve">",Visistors= </v>
      </c>
      <c r="AH71" s="11">
        <f>Matchs!Q72</f>
        <v>45000</v>
      </c>
      <c r="AI71" s="11" t="str">
        <f t="shared" si="36"/>
        <v>,Status= "</v>
      </c>
      <c r="AJ71" s="11" t="str">
        <f>Matchs!R72</f>
        <v>Finished</v>
      </c>
      <c r="AK71" t="str">
        <f t="shared" si="37"/>
        <v>" },</v>
      </c>
    </row>
    <row r="72" spans="1:37" x14ac:dyDescent="0.25">
      <c r="A72" t="str">
        <f t="shared" si="19"/>
        <v>new Match { MatchId= "</v>
      </c>
      <c r="B72" t="str">
        <f>Matchs!A73</f>
        <v>FIFAWC1950-19</v>
      </c>
      <c r="C72" t="str">
        <f t="shared" si="20"/>
        <v>",MatchNumer=</v>
      </c>
      <c r="D72">
        <f>Matchs!B73</f>
        <v>19</v>
      </c>
      <c r="E72" t="str">
        <f t="shared" si="21"/>
        <v>,DateMatch=DateTime.Parse("</v>
      </c>
      <c r="F72" s="3">
        <f>Matchs!C73</f>
        <v>18458</v>
      </c>
      <c r="G72" s="10" t="str">
        <f t="shared" si="22"/>
        <v>"),TimeMatch=TimeSpan.Parse("</v>
      </c>
      <c r="H72" s="9">
        <f>Matchs!D73</f>
        <v>8.3333333333333329E-2</v>
      </c>
      <c r="I72" t="str">
        <f t="shared" si="23"/>
        <v>"),MatchYear=</v>
      </c>
      <c r="J72">
        <f>Matchs!E73</f>
        <v>1950</v>
      </c>
      <c r="K72" t="str">
        <f t="shared" si="24"/>
        <v>, SeasonId= "</v>
      </c>
      <c r="L72" t="str">
        <f>Matchs!F73</f>
        <v>FIFAWC1950</v>
      </c>
      <c r="M72" t="str">
        <f t="shared" si="25"/>
        <v>",Round= "</v>
      </c>
      <c r="N72" t="str">
        <f>Matchs!G73</f>
        <v>Final Round</v>
      </c>
      <c r="O72" s="6" t="str">
        <f t="shared" si="26"/>
        <v>",Stage= "</v>
      </c>
      <c r="P72" t="str">
        <f>Matchs!H73</f>
        <v>Final Round</v>
      </c>
      <c r="Q72" s="6" t="str">
        <f t="shared" si="27"/>
        <v>",SubStage= "</v>
      </c>
      <c r="R72" t="str">
        <f>Matchs!I73</f>
        <v>Final Round</v>
      </c>
      <c r="S72" s="6" t="str">
        <f t="shared" si="28"/>
        <v>",HTeam= "</v>
      </c>
      <c r="T72" t="str">
        <f>Matchs!J73</f>
        <v>Uruguay</v>
      </c>
      <c r="U72" s="6" t="str">
        <f t="shared" si="29"/>
        <v>",HGoal=</v>
      </c>
      <c r="V72">
        <f>Matchs!K73</f>
        <v>3</v>
      </c>
      <c r="W72" s="6" t="str">
        <f t="shared" si="30"/>
        <v>,GGoal=</v>
      </c>
      <c r="X72">
        <f>Matchs!L73</f>
        <v>2</v>
      </c>
      <c r="Y72" s="6" t="str">
        <f t="shared" si="31"/>
        <v>,GTeam= "</v>
      </c>
      <c r="Z72" t="str">
        <f>Matchs!M73</f>
        <v>Sweden</v>
      </c>
      <c r="AA72" s="6" t="str">
        <f t="shared" si="32"/>
        <v>",WinNote="</v>
      </c>
      <c r="AB72" t="str">
        <f>IF(Matchs!N73="","",Matchs!N73)</f>
        <v/>
      </c>
      <c r="AC72" s="6" t="str">
        <f t="shared" si="33"/>
        <v xml:space="preserve">",Stadium=" </v>
      </c>
      <c r="AD72" s="11" t="str">
        <f>Matchs!O73</f>
        <v xml:space="preserve">Estádio do Pacaembu </v>
      </c>
      <c r="AE72" s="6" t="str">
        <f t="shared" si="34"/>
        <v>",Referee= "</v>
      </c>
      <c r="AF72" s="11" t="str">
        <f>Matchs!P73</f>
        <v xml:space="preserve">Giovanni Galeati </v>
      </c>
      <c r="AG72" s="6" t="str">
        <f t="shared" si="35"/>
        <v xml:space="preserve">",Visistors= </v>
      </c>
      <c r="AH72" s="11">
        <f>Matchs!Q73</f>
        <v>8000</v>
      </c>
      <c r="AI72" s="11" t="str">
        <f t="shared" si="36"/>
        <v>,Status= "</v>
      </c>
      <c r="AJ72" s="11" t="str">
        <f>Matchs!R73</f>
        <v>Finished</v>
      </c>
      <c r="AK72" t="str">
        <f t="shared" si="37"/>
        <v>" },</v>
      </c>
    </row>
    <row r="73" spans="1:37" x14ac:dyDescent="0.25">
      <c r="A73" t="str">
        <f t="shared" si="19"/>
        <v>new Match { MatchId= "</v>
      </c>
      <c r="B73" t="str">
        <f>Matchs!A74</f>
        <v>FIFAWC1950-20</v>
      </c>
      <c r="C73" t="str">
        <f t="shared" si="20"/>
        <v>",MatchNumer=</v>
      </c>
      <c r="D73">
        <f>Matchs!B74</f>
        <v>20</v>
      </c>
      <c r="E73" t="str">
        <f t="shared" si="21"/>
        <v>,DateMatch=DateTime.Parse("</v>
      </c>
      <c r="F73" s="3">
        <f>Matchs!C74</f>
        <v>18458</v>
      </c>
      <c r="G73" s="10" t="str">
        <f t="shared" si="22"/>
        <v>"),TimeMatch=TimeSpan.Parse("</v>
      </c>
      <c r="H73" s="9">
        <f>Matchs!D74</f>
        <v>8.3333333333333329E-2</v>
      </c>
      <c r="I73" t="str">
        <f t="shared" si="23"/>
        <v>"),MatchYear=</v>
      </c>
      <c r="J73">
        <f>Matchs!E74</f>
        <v>1950</v>
      </c>
      <c r="K73" t="str">
        <f t="shared" si="24"/>
        <v>, SeasonId= "</v>
      </c>
      <c r="L73" t="str">
        <f>Matchs!F74</f>
        <v>FIFAWC1950</v>
      </c>
      <c r="M73" t="str">
        <f t="shared" si="25"/>
        <v>",Round= "</v>
      </c>
      <c r="N73" t="str">
        <f>Matchs!G74</f>
        <v>Final Round</v>
      </c>
      <c r="O73" s="6" t="str">
        <f t="shared" si="26"/>
        <v>",Stage= "</v>
      </c>
      <c r="P73" t="str">
        <f>Matchs!H74</f>
        <v>Final Round</v>
      </c>
      <c r="Q73" s="6" t="str">
        <f t="shared" si="27"/>
        <v>",SubStage= "</v>
      </c>
      <c r="R73" t="str">
        <f>Matchs!I74</f>
        <v>Final Round</v>
      </c>
      <c r="S73" s="6" t="str">
        <f t="shared" si="28"/>
        <v>",HTeam= "</v>
      </c>
      <c r="T73" t="str">
        <f>Matchs!J74</f>
        <v>Brazil</v>
      </c>
      <c r="U73" s="6" t="str">
        <f t="shared" si="29"/>
        <v>",HGoal=</v>
      </c>
      <c r="V73">
        <f>Matchs!K74</f>
        <v>6</v>
      </c>
      <c r="W73" s="6" t="str">
        <f t="shared" si="30"/>
        <v>,GGoal=</v>
      </c>
      <c r="X73">
        <f>Matchs!L74</f>
        <v>1</v>
      </c>
      <c r="Y73" s="6" t="str">
        <f t="shared" si="31"/>
        <v>,GTeam= "</v>
      </c>
      <c r="Z73" t="str">
        <f>Matchs!M74</f>
        <v>Spain</v>
      </c>
      <c r="AA73" s="6" t="str">
        <f t="shared" si="32"/>
        <v>",WinNote="</v>
      </c>
      <c r="AB73" t="str">
        <f>IF(Matchs!N74="","",Matchs!N74)</f>
        <v/>
      </c>
      <c r="AC73" s="6" t="str">
        <f t="shared" si="33"/>
        <v xml:space="preserve">",Stadium=" </v>
      </c>
      <c r="AD73" s="11" t="str">
        <f>Matchs!O74</f>
        <v xml:space="preserve">Estádio do Maracanã </v>
      </c>
      <c r="AE73" s="6" t="str">
        <f t="shared" si="34"/>
        <v>",Referee= "</v>
      </c>
      <c r="AF73" s="11" t="str">
        <f>Matchs!P74</f>
        <v xml:space="preserve">Reginald Leafe </v>
      </c>
      <c r="AG73" s="6" t="str">
        <f t="shared" si="35"/>
        <v xml:space="preserve">",Visistors= </v>
      </c>
      <c r="AH73" s="11">
        <f>Matchs!Q74</f>
        <v>153000</v>
      </c>
      <c r="AI73" s="11" t="str">
        <f t="shared" si="36"/>
        <v>,Status= "</v>
      </c>
      <c r="AJ73" s="11" t="str">
        <f>Matchs!R74</f>
        <v>Finished</v>
      </c>
      <c r="AK73" t="str">
        <f t="shared" si="37"/>
        <v>" },</v>
      </c>
    </row>
    <row r="74" spans="1:37" x14ac:dyDescent="0.25">
      <c r="A74" t="str">
        <f t="shared" si="19"/>
        <v>new Match { MatchId= "</v>
      </c>
      <c r="B74" t="str">
        <f>Matchs!A75</f>
        <v>FIFAWC1950-21</v>
      </c>
      <c r="C74" t="str">
        <f t="shared" si="20"/>
        <v>",MatchNumer=</v>
      </c>
      <c r="D74">
        <f>Matchs!B75</f>
        <v>21</v>
      </c>
      <c r="E74" t="str">
        <f t="shared" si="21"/>
        <v>,DateMatch=DateTime.Parse("</v>
      </c>
      <c r="F74" s="3">
        <f>Matchs!C75</f>
        <v>18461</v>
      </c>
      <c r="G74" s="10" t="str">
        <f t="shared" si="22"/>
        <v>"),TimeMatch=TimeSpan.Parse("</v>
      </c>
      <c r="H74" s="9">
        <f>Matchs!D75</f>
        <v>8.3333333333333329E-2</v>
      </c>
      <c r="I74" t="str">
        <f t="shared" si="23"/>
        <v>"),MatchYear=</v>
      </c>
      <c r="J74">
        <f>Matchs!E75</f>
        <v>1950</v>
      </c>
      <c r="K74" t="str">
        <f t="shared" si="24"/>
        <v>, SeasonId= "</v>
      </c>
      <c r="L74" t="str">
        <f>Matchs!F75</f>
        <v>FIFAWC1950</v>
      </c>
      <c r="M74" t="str">
        <f t="shared" si="25"/>
        <v>",Round= "</v>
      </c>
      <c r="N74" t="str">
        <f>Matchs!G75</f>
        <v>Final Round</v>
      </c>
      <c r="O74" s="6" t="str">
        <f t="shared" si="26"/>
        <v>",Stage= "</v>
      </c>
      <c r="P74" t="str">
        <f>Matchs!H75</f>
        <v>Final Round</v>
      </c>
      <c r="Q74" s="6" t="str">
        <f t="shared" si="27"/>
        <v>",SubStage= "</v>
      </c>
      <c r="R74" t="str">
        <f>Matchs!I75</f>
        <v>Final Round</v>
      </c>
      <c r="S74" s="6" t="str">
        <f t="shared" si="28"/>
        <v>",HTeam= "</v>
      </c>
      <c r="T74" t="str">
        <f>Matchs!J75</f>
        <v>Sweden</v>
      </c>
      <c r="U74" s="6" t="str">
        <f t="shared" si="29"/>
        <v>",HGoal=</v>
      </c>
      <c r="V74">
        <f>Matchs!K75</f>
        <v>3</v>
      </c>
      <c r="W74" s="6" t="str">
        <f t="shared" si="30"/>
        <v>,GGoal=</v>
      </c>
      <c r="X74">
        <f>Matchs!L75</f>
        <v>1</v>
      </c>
      <c r="Y74" s="6" t="str">
        <f t="shared" si="31"/>
        <v>,GTeam= "</v>
      </c>
      <c r="Z74" t="str">
        <f>Matchs!M75</f>
        <v>Spain</v>
      </c>
      <c r="AA74" s="6" t="str">
        <f t="shared" si="32"/>
        <v>",WinNote="</v>
      </c>
      <c r="AB74" t="str">
        <f>IF(Matchs!N75="","",Matchs!N75)</f>
        <v/>
      </c>
      <c r="AC74" s="6" t="str">
        <f t="shared" si="33"/>
        <v xml:space="preserve">",Stadium=" </v>
      </c>
      <c r="AD74" s="11" t="str">
        <f>Matchs!O75</f>
        <v xml:space="preserve">Estádio do Pacaembu </v>
      </c>
      <c r="AE74" s="6" t="str">
        <f t="shared" si="34"/>
        <v>",Referee= "</v>
      </c>
      <c r="AF74" s="11" t="str">
        <f>Matchs!P75</f>
        <v xml:space="preserve">Karl van der Meer </v>
      </c>
      <c r="AG74" s="6" t="str">
        <f t="shared" si="35"/>
        <v xml:space="preserve">",Visistors= </v>
      </c>
      <c r="AH74" s="11">
        <f>Matchs!Q75</f>
        <v>11000</v>
      </c>
      <c r="AI74" s="11" t="str">
        <f t="shared" si="36"/>
        <v>,Status= "</v>
      </c>
      <c r="AJ74" s="11" t="str">
        <f>Matchs!R75</f>
        <v>Finished</v>
      </c>
      <c r="AK74" t="str">
        <f t="shared" si="37"/>
        <v>" },</v>
      </c>
    </row>
    <row r="75" spans="1:37" x14ac:dyDescent="0.25">
      <c r="A75" t="str">
        <f t="shared" si="19"/>
        <v>new Match { MatchId= "</v>
      </c>
      <c r="B75" t="str">
        <f>Matchs!A76</f>
        <v>FIFAWC1950-22</v>
      </c>
      <c r="C75" t="str">
        <f t="shared" si="20"/>
        <v>",MatchNumer=</v>
      </c>
      <c r="D75">
        <f>Matchs!B76</f>
        <v>22</v>
      </c>
      <c r="E75" t="str">
        <f t="shared" si="21"/>
        <v>,DateMatch=DateTime.Parse("</v>
      </c>
      <c r="F75" s="3">
        <f>Matchs!C76</f>
        <v>18461</v>
      </c>
      <c r="G75" s="10" t="str">
        <f t="shared" si="22"/>
        <v>"),TimeMatch=TimeSpan.Parse("</v>
      </c>
      <c r="H75" s="9">
        <f>Matchs!D76</f>
        <v>8.3333333333333329E-2</v>
      </c>
      <c r="I75" t="str">
        <f t="shared" si="23"/>
        <v>"),MatchYear=</v>
      </c>
      <c r="J75">
        <f>Matchs!E76</f>
        <v>1950</v>
      </c>
      <c r="K75" t="str">
        <f t="shared" si="24"/>
        <v>, SeasonId= "</v>
      </c>
      <c r="L75" t="str">
        <f>Matchs!F76</f>
        <v>FIFAWC1950</v>
      </c>
      <c r="M75" t="str">
        <f t="shared" si="25"/>
        <v>",Round= "</v>
      </c>
      <c r="N75" t="str">
        <f>Matchs!G76</f>
        <v>Final Round</v>
      </c>
      <c r="O75" s="6" t="str">
        <f t="shared" si="26"/>
        <v>",Stage= "</v>
      </c>
      <c r="P75" t="str">
        <f>Matchs!H76</f>
        <v>Final Round</v>
      </c>
      <c r="Q75" s="6" t="str">
        <f t="shared" si="27"/>
        <v>",SubStage= "</v>
      </c>
      <c r="R75" t="str">
        <f>Matchs!I76</f>
        <v>Final Round</v>
      </c>
      <c r="S75" s="6" t="str">
        <f t="shared" si="28"/>
        <v>",HTeam= "</v>
      </c>
      <c r="T75" t="str">
        <f>Matchs!J76</f>
        <v>Uruguay</v>
      </c>
      <c r="U75" s="6" t="str">
        <f t="shared" si="29"/>
        <v>",HGoal=</v>
      </c>
      <c r="V75">
        <f>Matchs!K76</f>
        <v>2</v>
      </c>
      <c r="W75" s="6" t="str">
        <f t="shared" si="30"/>
        <v>,GGoal=</v>
      </c>
      <c r="X75">
        <f>Matchs!L76</f>
        <v>1</v>
      </c>
      <c r="Y75" s="6" t="str">
        <f t="shared" si="31"/>
        <v>,GTeam= "</v>
      </c>
      <c r="Z75" t="str">
        <f>Matchs!M76</f>
        <v>Brazil</v>
      </c>
      <c r="AA75" s="6" t="str">
        <f t="shared" si="32"/>
        <v>",WinNote="</v>
      </c>
      <c r="AB75" t="str">
        <f>IF(Matchs!N76="","",Matchs!N76)</f>
        <v/>
      </c>
      <c r="AC75" s="6" t="str">
        <f t="shared" si="33"/>
        <v xml:space="preserve">",Stadium=" </v>
      </c>
      <c r="AD75" s="11" t="str">
        <f>Matchs!O76</f>
        <v xml:space="preserve">Estádio do Maracanã </v>
      </c>
      <c r="AE75" s="6" t="str">
        <f t="shared" si="34"/>
        <v>",Referee= "</v>
      </c>
      <c r="AF75" s="11" t="str">
        <f>Matchs!P76</f>
        <v xml:space="preserve">George Reader </v>
      </c>
      <c r="AG75" s="6" t="str">
        <f t="shared" si="35"/>
        <v xml:space="preserve">",Visistors= </v>
      </c>
      <c r="AH75" s="11">
        <f>Matchs!Q76</f>
        <v>200000</v>
      </c>
      <c r="AI75" s="11" t="str">
        <f t="shared" si="36"/>
        <v>,Status= "</v>
      </c>
      <c r="AJ75" s="11" t="str">
        <f>Matchs!R76</f>
        <v>Finished</v>
      </c>
      <c r="AK75" t="str">
        <f t="shared" si="37"/>
        <v>" },</v>
      </c>
    </row>
    <row r="76" spans="1:37" x14ac:dyDescent="0.25">
      <c r="A76" t="str">
        <f t="shared" si="19"/>
        <v>new Match { MatchId= "</v>
      </c>
      <c r="B76" t="str">
        <f>Matchs!A77</f>
        <v>FIFAWC1954-1</v>
      </c>
      <c r="C76" t="str">
        <f t="shared" si="20"/>
        <v>",MatchNumer=</v>
      </c>
      <c r="D76">
        <f>Matchs!B77</f>
        <v>1</v>
      </c>
      <c r="E76" t="str">
        <f t="shared" si="21"/>
        <v>,DateMatch=DateTime.Parse("</v>
      </c>
      <c r="F76" s="3">
        <f>Matchs!C77</f>
        <v>19891</v>
      </c>
      <c r="G76" s="10" t="str">
        <f t="shared" si="22"/>
        <v>"),TimeMatch=TimeSpan.Parse("</v>
      </c>
      <c r="H76" s="9">
        <f>Matchs!D77</f>
        <v>0.95138888888888884</v>
      </c>
      <c r="I76" t="str">
        <f t="shared" si="23"/>
        <v>"),MatchYear=</v>
      </c>
      <c r="J76">
        <f>Matchs!E77</f>
        <v>1954</v>
      </c>
      <c r="K76" t="str">
        <f t="shared" si="24"/>
        <v>, SeasonId= "</v>
      </c>
      <c r="L76" t="str">
        <f>Matchs!F77</f>
        <v>FIFAWC1954</v>
      </c>
      <c r="M76" t="str">
        <f t="shared" si="25"/>
        <v>",Round= "</v>
      </c>
      <c r="N76" t="str">
        <f>Matchs!G77</f>
        <v>Final Round</v>
      </c>
      <c r="O76" s="6" t="str">
        <f t="shared" si="26"/>
        <v>",Stage= "</v>
      </c>
      <c r="P76" t="str">
        <f>Matchs!H77</f>
        <v>Group</v>
      </c>
      <c r="Q76" s="6" t="str">
        <f t="shared" si="27"/>
        <v>",SubStage= "</v>
      </c>
      <c r="R76" t="str">
        <f>Matchs!I77</f>
        <v>Group 1</v>
      </c>
      <c r="S76" s="6" t="str">
        <f t="shared" si="28"/>
        <v>",HTeam= "</v>
      </c>
      <c r="T76" t="str">
        <f>Matchs!J77</f>
        <v>Brazil</v>
      </c>
      <c r="U76" s="6" t="str">
        <f t="shared" si="29"/>
        <v>",HGoal=</v>
      </c>
      <c r="V76">
        <f>Matchs!K77</f>
        <v>5</v>
      </c>
      <c r="W76" s="6" t="str">
        <f t="shared" si="30"/>
        <v>,GGoal=</v>
      </c>
      <c r="X76">
        <f>Matchs!L77</f>
        <v>0</v>
      </c>
      <c r="Y76" s="6" t="str">
        <f t="shared" si="31"/>
        <v>,GTeam= "</v>
      </c>
      <c r="Z76" t="str">
        <f>Matchs!M77</f>
        <v>Mexico</v>
      </c>
      <c r="AA76" s="6" t="str">
        <f t="shared" si="32"/>
        <v>",WinNote="</v>
      </c>
      <c r="AB76" t="str">
        <f>IF(Matchs!N77="","",Matchs!N77)</f>
        <v/>
      </c>
      <c r="AC76" s="6" t="str">
        <f t="shared" si="33"/>
        <v xml:space="preserve">",Stadium=" </v>
      </c>
      <c r="AD76" s="11" t="str">
        <f>Matchs!O77</f>
        <v xml:space="preserve">Charmilles Stadium </v>
      </c>
      <c r="AE76" s="6" t="str">
        <f t="shared" si="34"/>
        <v>",Referee= "</v>
      </c>
      <c r="AF76" s="11" t="str">
        <f>Matchs!P77</f>
        <v xml:space="preserve">Raymon Wyssling </v>
      </c>
      <c r="AG76" s="6" t="str">
        <f t="shared" si="35"/>
        <v xml:space="preserve">",Visistors= </v>
      </c>
      <c r="AH76" s="11">
        <f>Matchs!Q77</f>
        <v>13000</v>
      </c>
      <c r="AI76" s="11" t="str">
        <f t="shared" si="36"/>
        <v>,Status= "</v>
      </c>
      <c r="AJ76" s="11" t="str">
        <f>Matchs!R77</f>
        <v>Finished</v>
      </c>
      <c r="AK76" t="str">
        <f t="shared" si="37"/>
        <v>" },</v>
      </c>
    </row>
    <row r="77" spans="1:37" x14ac:dyDescent="0.25">
      <c r="A77" t="str">
        <f t="shared" si="19"/>
        <v>new Match { MatchId= "</v>
      </c>
      <c r="B77" t="str">
        <f>Matchs!A78</f>
        <v>FIFAWC1954-2</v>
      </c>
      <c r="C77" t="str">
        <f t="shared" si="20"/>
        <v>",MatchNumer=</v>
      </c>
      <c r="D77">
        <f>Matchs!B78</f>
        <v>2</v>
      </c>
      <c r="E77" t="str">
        <f t="shared" si="21"/>
        <v>,DateMatch=DateTime.Parse("</v>
      </c>
      <c r="F77" s="3">
        <f>Matchs!C78</f>
        <v>19891</v>
      </c>
      <c r="G77" s="10" t="str">
        <f t="shared" si="22"/>
        <v>"),TimeMatch=TimeSpan.Parse("</v>
      </c>
      <c r="H77" s="9">
        <f>Matchs!D78</f>
        <v>0.95138888888888884</v>
      </c>
      <c r="I77" t="str">
        <f t="shared" si="23"/>
        <v>"),MatchYear=</v>
      </c>
      <c r="J77">
        <f>Matchs!E78</f>
        <v>1954</v>
      </c>
      <c r="K77" t="str">
        <f t="shared" si="24"/>
        <v>, SeasonId= "</v>
      </c>
      <c r="L77" t="str">
        <f>Matchs!F78</f>
        <v>FIFAWC1954</v>
      </c>
      <c r="M77" t="str">
        <f t="shared" si="25"/>
        <v>",Round= "</v>
      </c>
      <c r="N77" t="str">
        <f>Matchs!G78</f>
        <v>Final Round</v>
      </c>
      <c r="O77" s="6" t="str">
        <f t="shared" si="26"/>
        <v>",Stage= "</v>
      </c>
      <c r="P77" t="str">
        <f>Matchs!H78</f>
        <v>Group</v>
      </c>
      <c r="Q77" s="6" t="str">
        <f t="shared" si="27"/>
        <v>",SubStage= "</v>
      </c>
      <c r="R77" t="str">
        <f>Matchs!I78</f>
        <v>Group 1</v>
      </c>
      <c r="S77" s="6" t="str">
        <f t="shared" si="28"/>
        <v>",HTeam= "</v>
      </c>
      <c r="T77" t="str">
        <f>Matchs!J78</f>
        <v>Yugoslavia</v>
      </c>
      <c r="U77" s="6" t="str">
        <f t="shared" si="29"/>
        <v>",HGoal=</v>
      </c>
      <c r="V77">
        <f>Matchs!K78</f>
        <v>1</v>
      </c>
      <c r="W77" s="6" t="str">
        <f t="shared" si="30"/>
        <v>,GGoal=</v>
      </c>
      <c r="X77">
        <f>Matchs!L78</f>
        <v>0</v>
      </c>
      <c r="Y77" s="6" t="str">
        <f t="shared" si="31"/>
        <v>,GTeam= "</v>
      </c>
      <c r="Z77" t="str">
        <f>Matchs!M78</f>
        <v>France</v>
      </c>
      <c r="AA77" s="6" t="str">
        <f t="shared" si="32"/>
        <v>",WinNote="</v>
      </c>
      <c r="AB77" t="str">
        <f>IF(Matchs!N78="","",Matchs!N78)</f>
        <v/>
      </c>
      <c r="AC77" s="6" t="str">
        <f t="shared" si="33"/>
        <v xml:space="preserve">",Stadium=" </v>
      </c>
      <c r="AD77" s="11" t="str">
        <f>Matchs!O78</f>
        <v xml:space="preserve">Stade Olympique de la Pontaise </v>
      </c>
      <c r="AE77" s="6" t="str">
        <f t="shared" si="34"/>
        <v>",Referee= "</v>
      </c>
      <c r="AF77" s="11" t="str">
        <f>Matchs!P78</f>
        <v xml:space="preserve">Benjamin Griffiths </v>
      </c>
      <c r="AG77" s="6" t="str">
        <f t="shared" si="35"/>
        <v xml:space="preserve">",Visistors= </v>
      </c>
      <c r="AH77" s="11">
        <f>Matchs!Q78</f>
        <v>27000</v>
      </c>
      <c r="AI77" s="11" t="str">
        <f t="shared" si="36"/>
        <v>,Status= "</v>
      </c>
      <c r="AJ77" s="11" t="str">
        <f>Matchs!R78</f>
        <v>Finished</v>
      </c>
      <c r="AK77" t="str">
        <f t="shared" si="37"/>
        <v>" },</v>
      </c>
    </row>
    <row r="78" spans="1:37" x14ac:dyDescent="0.25">
      <c r="A78" t="str">
        <f t="shared" si="19"/>
        <v>new Match { MatchId= "</v>
      </c>
      <c r="B78" t="str">
        <f>Matchs!A79</f>
        <v>FIFAWC1954-3</v>
      </c>
      <c r="C78" t="str">
        <f t="shared" si="20"/>
        <v>",MatchNumer=</v>
      </c>
      <c r="D78">
        <f>Matchs!B79</f>
        <v>3</v>
      </c>
      <c r="E78" t="str">
        <f t="shared" si="21"/>
        <v>,DateMatch=DateTime.Parse("</v>
      </c>
      <c r="F78" s="3">
        <f>Matchs!C79</f>
        <v>19891</v>
      </c>
      <c r="G78" s="10" t="str">
        <f t="shared" si="22"/>
        <v>"),TimeMatch=TimeSpan.Parse("</v>
      </c>
      <c r="H78" s="9">
        <f>Matchs!D79</f>
        <v>0.95138888888888884</v>
      </c>
      <c r="I78" t="str">
        <f t="shared" si="23"/>
        <v>"),MatchYear=</v>
      </c>
      <c r="J78">
        <f>Matchs!E79</f>
        <v>1954</v>
      </c>
      <c r="K78" t="str">
        <f t="shared" si="24"/>
        <v>, SeasonId= "</v>
      </c>
      <c r="L78" t="str">
        <f>Matchs!F79</f>
        <v>FIFAWC1954</v>
      </c>
      <c r="M78" t="str">
        <f t="shared" si="25"/>
        <v>",Round= "</v>
      </c>
      <c r="N78" t="str">
        <f>Matchs!G79</f>
        <v>Final Round</v>
      </c>
      <c r="O78" s="6" t="str">
        <f t="shared" si="26"/>
        <v>",Stage= "</v>
      </c>
      <c r="P78" t="str">
        <f>Matchs!H79</f>
        <v>Group</v>
      </c>
      <c r="Q78" s="6" t="str">
        <f t="shared" si="27"/>
        <v>",SubStage= "</v>
      </c>
      <c r="R78" t="str">
        <f>Matchs!I79</f>
        <v>Group 3</v>
      </c>
      <c r="S78" s="6" t="str">
        <f t="shared" si="28"/>
        <v>",HTeam= "</v>
      </c>
      <c r="T78" t="str">
        <f>Matchs!J79</f>
        <v>Uruguay</v>
      </c>
      <c r="U78" s="6" t="str">
        <f t="shared" si="29"/>
        <v>",HGoal=</v>
      </c>
      <c r="V78">
        <f>Matchs!K79</f>
        <v>2</v>
      </c>
      <c r="W78" s="6" t="str">
        <f t="shared" si="30"/>
        <v>,GGoal=</v>
      </c>
      <c r="X78">
        <f>Matchs!L79</f>
        <v>0</v>
      </c>
      <c r="Y78" s="6" t="str">
        <f t="shared" si="31"/>
        <v>,GTeam= "</v>
      </c>
      <c r="Z78" t="str">
        <f>Matchs!M79</f>
        <v>Czechoslovakia</v>
      </c>
      <c r="AA78" s="6" t="str">
        <f t="shared" si="32"/>
        <v>",WinNote="</v>
      </c>
      <c r="AB78" t="str">
        <f>IF(Matchs!N79="","",Matchs!N79)</f>
        <v/>
      </c>
      <c r="AC78" s="6" t="str">
        <f t="shared" si="33"/>
        <v xml:space="preserve">",Stadium=" </v>
      </c>
      <c r="AD78" s="11" t="str">
        <f>Matchs!O79</f>
        <v xml:space="preserve">Wankdorf Stadium </v>
      </c>
      <c r="AE78" s="6" t="str">
        <f t="shared" si="34"/>
        <v>",Referee= "</v>
      </c>
      <c r="AF78" s="11" t="str">
        <f>Matchs!P79</f>
        <v xml:space="preserve">Ellis </v>
      </c>
      <c r="AG78" s="6" t="str">
        <f t="shared" si="35"/>
        <v xml:space="preserve">",Visistors= </v>
      </c>
      <c r="AH78" s="11">
        <f>Matchs!Q79</f>
        <v>20500</v>
      </c>
      <c r="AI78" s="11" t="str">
        <f t="shared" si="36"/>
        <v>,Status= "</v>
      </c>
      <c r="AJ78" s="11" t="str">
        <f>Matchs!R79</f>
        <v>Finished</v>
      </c>
      <c r="AK78" t="str">
        <f t="shared" si="37"/>
        <v>" },</v>
      </c>
    </row>
    <row r="79" spans="1:37" x14ac:dyDescent="0.25">
      <c r="A79" t="str">
        <f t="shared" si="19"/>
        <v>new Match { MatchId= "</v>
      </c>
      <c r="B79" t="str">
        <f>Matchs!A80</f>
        <v>FIFAWC1954-4</v>
      </c>
      <c r="C79" t="str">
        <f t="shared" si="20"/>
        <v>",MatchNumer=</v>
      </c>
      <c r="D79">
        <f>Matchs!B80</f>
        <v>4</v>
      </c>
      <c r="E79" t="str">
        <f t="shared" si="21"/>
        <v>,DateMatch=DateTime.Parse("</v>
      </c>
      <c r="F79" s="3">
        <f>Matchs!C80</f>
        <v>19891</v>
      </c>
      <c r="G79" s="10" t="str">
        <f t="shared" si="22"/>
        <v>"),TimeMatch=TimeSpan.Parse("</v>
      </c>
      <c r="H79" s="9">
        <f>Matchs!D80</f>
        <v>0.95138888888888884</v>
      </c>
      <c r="I79" t="str">
        <f t="shared" si="23"/>
        <v>"),MatchYear=</v>
      </c>
      <c r="J79">
        <f>Matchs!E80</f>
        <v>1954</v>
      </c>
      <c r="K79" t="str">
        <f t="shared" si="24"/>
        <v>, SeasonId= "</v>
      </c>
      <c r="L79" t="str">
        <f>Matchs!F80</f>
        <v>FIFAWC1954</v>
      </c>
      <c r="M79" t="str">
        <f t="shared" si="25"/>
        <v>",Round= "</v>
      </c>
      <c r="N79" t="str">
        <f>Matchs!G80</f>
        <v>Final Round</v>
      </c>
      <c r="O79" s="6" t="str">
        <f t="shared" si="26"/>
        <v>",Stage= "</v>
      </c>
      <c r="P79" t="str">
        <f>Matchs!H80</f>
        <v>Group</v>
      </c>
      <c r="Q79" s="6" t="str">
        <f t="shared" si="27"/>
        <v>",SubStage= "</v>
      </c>
      <c r="R79" t="str">
        <f>Matchs!I80</f>
        <v>Group 3</v>
      </c>
      <c r="S79" s="6" t="str">
        <f t="shared" si="28"/>
        <v>",HTeam= "</v>
      </c>
      <c r="T79" t="str">
        <f>Matchs!J80</f>
        <v>Austria</v>
      </c>
      <c r="U79" s="6" t="str">
        <f t="shared" si="29"/>
        <v>",HGoal=</v>
      </c>
      <c r="V79">
        <f>Matchs!K80</f>
        <v>1</v>
      </c>
      <c r="W79" s="6" t="str">
        <f t="shared" si="30"/>
        <v>,GGoal=</v>
      </c>
      <c r="X79">
        <f>Matchs!L80</f>
        <v>0</v>
      </c>
      <c r="Y79" s="6" t="str">
        <f t="shared" si="31"/>
        <v>,GTeam= "</v>
      </c>
      <c r="Z79" t="str">
        <f>Matchs!M80</f>
        <v>Scotland</v>
      </c>
      <c r="AA79" s="6" t="str">
        <f t="shared" si="32"/>
        <v>",WinNote="</v>
      </c>
      <c r="AB79" t="str">
        <f>IF(Matchs!N80="","",Matchs!N80)</f>
        <v/>
      </c>
      <c r="AC79" s="6" t="str">
        <f t="shared" si="33"/>
        <v xml:space="preserve">",Stadium=" </v>
      </c>
      <c r="AD79" s="11" t="str">
        <f>Matchs!O80</f>
        <v xml:space="preserve">Hardturm </v>
      </c>
      <c r="AE79" s="6" t="str">
        <f t="shared" si="34"/>
        <v>",Referee= "</v>
      </c>
      <c r="AF79" s="11" t="str">
        <f>Matchs!P80</f>
        <v xml:space="preserve">Laurent Franken </v>
      </c>
      <c r="AG79" s="6" t="str">
        <f t="shared" si="35"/>
        <v xml:space="preserve">",Visistors= </v>
      </c>
      <c r="AH79" s="11">
        <f>Matchs!Q80</f>
        <v>30000</v>
      </c>
      <c r="AI79" s="11" t="str">
        <f t="shared" si="36"/>
        <v>,Status= "</v>
      </c>
      <c r="AJ79" s="11" t="str">
        <f>Matchs!R80</f>
        <v>Finished</v>
      </c>
      <c r="AK79" t="str">
        <f t="shared" si="37"/>
        <v>" },</v>
      </c>
    </row>
    <row r="80" spans="1:37" x14ac:dyDescent="0.25">
      <c r="A80" t="str">
        <f t="shared" si="19"/>
        <v>new Match { MatchId= "</v>
      </c>
      <c r="B80" t="str">
        <f>Matchs!A81</f>
        <v>FIFAWC1954-5</v>
      </c>
      <c r="C80" t="str">
        <f t="shared" si="20"/>
        <v>",MatchNumer=</v>
      </c>
      <c r="D80">
        <f>Matchs!B81</f>
        <v>5</v>
      </c>
      <c r="E80" t="str">
        <f t="shared" si="21"/>
        <v>,DateMatch=DateTime.Parse("</v>
      </c>
      <c r="F80" s="3">
        <f>Matchs!C81</f>
        <v>19892</v>
      </c>
      <c r="G80" s="10" t="str">
        <f t="shared" si="22"/>
        <v>"),TimeMatch=TimeSpan.Parse("</v>
      </c>
      <c r="H80" s="9">
        <f>Matchs!D81</f>
        <v>0.95138888888888884</v>
      </c>
      <c r="I80" t="str">
        <f t="shared" si="23"/>
        <v>"),MatchYear=</v>
      </c>
      <c r="J80">
        <f>Matchs!E81</f>
        <v>1954</v>
      </c>
      <c r="K80" t="str">
        <f t="shared" si="24"/>
        <v>, SeasonId= "</v>
      </c>
      <c r="L80" t="str">
        <f>Matchs!F81</f>
        <v>FIFAWC1954</v>
      </c>
      <c r="M80" t="str">
        <f t="shared" si="25"/>
        <v>",Round= "</v>
      </c>
      <c r="N80" t="str">
        <f>Matchs!G81</f>
        <v>Final Round</v>
      </c>
      <c r="O80" s="6" t="str">
        <f t="shared" si="26"/>
        <v>",Stage= "</v>
      </c>
      <c r="P80" t="str">
        <f>Matchs!H81</f>
        <v>Group</v>
      </c>
      <c r="Q80" s="6" t="str">
        <f t="shared" si="27"/>
        <v>",SubStage= "</v>
      </c>
      <c r="R80" t="str">
        <f>Matchs!I81</f>
        <v>Group 2</v>
      </c>
      <c r="S80" s="6" t="str">
        <f t="shared" si="28"/>
        <v>",HTeam= "</v>
      </c>
      <c r="T80" t="str">
        <f>Matchs!J81</f>
        <v>Germany</v>
      </c>
      <c r="U80" s="6" t="str">
        <f t="shared" si="29"/>
        <v>",HGoal=</v>
      </c>
      <c r="V80">
        <f>Matchs!K81</f>
        <v>4</v>
      </c>
      <c r="W80" s="6" t="str">
        <f t="shared" si="30"/>
        <v>,GGoal=</v>
      </c>
      <c r="X80">
        <f>Matchs!L81</f>
        <v>1</v>
      </c>
      <c r="Y80" s="6" t="str">
        <f t="shared" si="31"/>
        <v>,GTeam= "</v>
      </c>
      <c r="Z80" t="str">
        <f>Matchs!M81</f>
        <v>Turkey</v>
      </c>
      <c r="AA80" s="6" t="str">
        <f t="shared" si="32"/>
        <v>",WinNote="</v>
      </c>
      <c r="AB80" t="str">
        <f>IF(Matchs!N81="","",Matchs!N81)</f>
        <v/>
      </c>
      <c r="AC80" s="6" t="str">
        <f t="shared" si="33"/>
        <v xml:space="preserve">",Stadium=" </v>
      </c>
      <c r="AD80" s="11" t="str">
        <f>Matchs!O81</f>
        <v xml:space="preserve">Wankdorf Stadium </v>
      </c>
      <c r="AE80" s="6" t="str">
        <f t="shared" si="34"/>
        <v>",Referee= "</v>
      </c>
      <c r="AF80" s="11" t="str">
        <f>Matchs!P81</f>
        <v xml:space="preserve">Jose da Costa Vieira </v>
      </c>
      <c r="AG80" s="6" t="str">
        <f t="shared" si="35"/>
        <v xml:space="preserve">",Visistors= </v>
      </c>
      <c r="AH80" s="11">
        <f>Matchs!Q81</f>
        <v>39000</v>
      </c>
      <c r="AI80" s="11" t="str">
        <f t="shared" si="36"/>
        <v>,Status= "</v>
      </c>
      <c r="AJ80" s="11" t="str">
        <f>Matchs!R81</f>
        <v>Finished</v>
      </c>
      <c r="AK80" t="str">
        <f t="shared" si="37"/>
        <v>" },</v>
      </c>
    </row>
    <row r="81" spans="1:37" x14ac:dyDescent="0.25">
      <c r="A81" t="str">
        <f t="shared" si="19"/>
        <v>new Match { MatchId= "</v>
      </c>
      <c r="B81" t="str">
        <f>Matchs!A82</f>
        <v>FIFAWC1954-6</v>
      </c>
      <c r="C81" t="str">
        <f t="shared" si="20"/>
        <v>",MatchNumer=</v>
      </c>
      <c r="D81">
        <f>Matchs!B82</f>
        <v>6</v>
      </c>
      <c r="E81" t="str">
        <f t="shared" si="21"/>
        <v>,DateMatch=DateTime.Parse("</v>
      </c>
      <c r="F81" s="3">
        <f>Matchs!C82</f>
        <v>19892</v>
      </c>
      <c r="G81" s="10" t="str">
        <f t="shared" si="22"/>
        <v>"),TimeMatch=TimeSpan.Parse("</v>
      </c>
      <c r="H81" s="9">
        <f>Matchs!D82</f>
        <v>0.95138888888888884</v>
      </c>
      <c r="I81" t="str">
        <f t="shared" si="23"/>
        <v>"),MatchYear=</v>
      </c>
      <c r="J81">
        <f>Matchs!E82</f>
        <v>1954</v>
      </c>
      <c r="K81" t="str">
        <f t="shared" si="24"/>
        <v>, SeasonId= "</v>
      </c>
      <c r="L81" t="str">
        <f>Matchs!F82</f>
        <v>FIFAWC1954</v>
      </c>
      <c r="M81" t="str">
        <f t="shared" si="25"/>
        <v>",Round= "</v>
      </c>
      <c r="N81" t="str">
        <f>Matchs!G82</f>
        <v>Final Round</v>
      </c>
      <c r="O81" s="6" t="str">
        <f t="shared" si="26"/>
        <v>",Stage= "</v>
      </c>
      <c r="P81" t="str">
        <f>Matchs!H82</f>
        <v>Group</v>
      </c>
      <c r="Q81" s="6" t="str">
        <f t="shared" si="27"/>
        <v>",SubStage= "</v>
      </c>
      <c r="R81" t="str">
        <f>Matchs!I82</f>
        <v>Group 2</v>
      </c>
      <c r="S81" s="6" t="str">
        <f t="shared" si="28"/>
        <v>",HTeam= "</v>
      </c>
      <c r="T81" t="str">
        <f>Matchs!J82</f>
        <v>Hungary</v>
      </c>
      <c r="U81" s="6" t="str">
        <f t="shared" si="29"/>
        <v>",HGoal=</v>
      </c>
      <c r="V81">
        <f>Matchs!K82</f>
        <v>9</v>
      </c>
      <c r="W81" s="6" t="str">
        <f t="shared" si="30"/>
        <v>,GGoal=</v>
      </c>
      <c r="X81">
        <f>Matchs!L82</f>
        <v>0</v>
      </c>
      <c r="Y81" s="6" t="str">
        <f t="shared" si="31"/>
        <v>,GTeam= "</v>
      </c>
      <c r="Z81" t="str">
        <f>Matchs!M82</f>
        <v>South Korea</v>
      </c>
      <c r="AA81" s="6" t="str">
        <f t="shared" si="32"/>
        <v>",WinNote="</v>
      </c>
      <c r="AB81" t="str">
        <f>IF(Matchs!N82="","",Matchs!N82)</f>
        <v/>
      </c>
      <c r="AC81" s="6" t="str">
        <f t="shared" si="33"/>
        <v xml:space="preserve">",Stadium=" </v>
      </c>
      <c r="AD81" s="11" t="str">
        <f>Matchs!O82</f>
        <v xml:space="preserve">Hardturm </v>
      </c>
      <c r="AE81" s="6" t="str">
        <f t="shared" si="34"/>
        <v>",Referee= "</v>
      </c>
      <c r="AF81" s="11" t="str">
        <f>Matchs!P82</f>
        <v xml:space="preserve">Raymond Vincenti </v>
      </c>
      <c r="AG81" s="6" t="str">
        <f t="shared" si="35"/>
        <v xml:space="preserve">",Visistors= </v>
      </c>
      <c r="AH81" s="11">
        <f>Matchs!Q82</f>
        <v>18000</v>
      </c>
      <c r="AI81" s="11" t="str">
        <f t="shared" si="36"/>
        <v>,Status= "</v>
      </c>
      <c r="AJ81" s="11" t="str">
        <f>Matchs!R82</f>
        <v>Finished</v>
      </c>
      <c r="AK81" t="str">
        <f t="shared" si="37"/>
        <v>" },</v>
      </c>
    </row>
    <row r="82" spans="1:37" x14ac:dyDescent="0.25">
      <c r="A82" t="str">
        <f t="shared" si="19"/>
        <v>new Match { MatchId= "</v>
      </c>
      <c r="B82" t="str">
        <f>Matchs!A83</f>
        <v>FIFAWC1954-7</v>
      </c>
      <c r="C82" t="str">
        <f t="shared" si="20"/>
        <v>",MatchNumer=</v>
      </c>
      <c r="D82">
        <f>Matchs!B83</f>
        <v>7</v>
      </c>
      <c r="E82" t="str">
        <f t="shared" si="21"/>
        <v>,DateMatch=DateTime.Parse("</v>
      </c>
      <c r="F82" s="3">
        <f>Matchs!C83</f>
        <v>19892</v>
      </c>
      <c r="G82" s="10" t="str">
        <f t="shared" si="22"/>
        <v>"),TimeMatch=TimeSpan.Parse("</v>
      </c>
      <c r="H82" s="9">
        <f>Matchs!D83</f>
        <v>0.95138888888888884</v>
      </c>
      <c r="I82" t="str">
        <f t="shared" si="23"/>
        <v>"),MatchYear=</v>
      </c>
      <c r="J82">
        <f>Matchs!E83</f>
        <v>1954</v>
      </c>
      <c r="K82" t="str">
        <f t="shared" si="24"/>
        <v>, SeasonId= "</v>
      </c>
      <c r="L82" t="str">
        <f>Matchs!F83</f>
        <v>FIFAWC1954</v>
      </c>
      <c r="M82" t="str">
        <f t="shared" si="25"/>
        <v>",Round= "</v>
      </c>
      <c r="N82" t="str">
        <f>Matchs!G83</f>
        <v>Final Round</v>
      </c>
      <c r="O82" s="6" t="str">
        <f t="shared" si="26"/>
        <v>",Stage= "</v>
      </c>
      <c r="P82" t="str">
        <f>Matchs!H83</f>
        <v>Group</v>
      </c>
      <c r="Q82" s="6" t="str">
        <f t="shared" si="27"/>
        <v>",SubStage= "</v>
      </c>
      <c r="R82" t="str">
        <f>Matchs!I83</f>
        <v>Group 4</v>
      </c>
      <c r="S82" s="6" t="str">
        <f t="shared" si="28"/>
        <v>",HTeam= "</v>
      </c>
      <c r="T82" t="str">
        <f>Matchs!J83</f>
        <v>Switzerland</v>
      </c>
      <c r="U82" s="6" t="str">
        <f t="shared" si="29"/>
        <v>",HGoal=</v>
      </c>
      <c r="V82">
        <f>Matchs!K83</f>
        <v>2</v>
      </c>
      <c r="W82" s="6" t="str">
        <f t="shared" si="30"/>
        <v>,GGoal=</v>
      </c>
      <c r="X82">
        <f>Matchs!L83</f>
        <v>1</v>
      </c>
      <c r="Y82" s="6" t="str">
        <f t="shared" si="31"/>
        <v>,GTeam= "</v>
      </c>
      <c r="Z82" t="str">
        <f>Matchs!M83</f>
        <v>Italy</v>
      </c>
      <c r="AA82" s="6" t="str">
        <f t="shared" si="32"/>
        <v>",WinNote="</v>
      </c>
      <c r="AB82" t="str">
        <f>IF(Matchs!N83="","",Matchs!N83)</f>
        <v/>
      </c>
      <c r="AC82" s="6" t="str">
        <f t="shared" si="33"/>
        <v xml:space="preserve">",Stadium=" </v>
      </c>
      <c r="AD82" s="11" t="str">
        <f>Matchs!O83</f>
        <v xml:space="preserve">Stade Olympique de la Pontaise </v>
      </c>
      <c r="AE82" s="6" t="str">
        <f t="shared" si="34"/>
        <v>",Referee= "</v>
      </c>
      <c r="AF82" s="11" t="str">
        <f>Matchs!P83</f>
        <v xml:space="preserve">Mario Vianna </v>
      </c>
      <c r="AG82" s="6" t="str">
        <f t="shared" si="35"/>
        <v xml:space="preserve">",Visistors= </v>
      </c>
      <c r="AH82" s="11">
        <f>Matchs!Q83</f>
        <v>43000</v>
      </c>
      <c r="AI82" s="11" t="str">
        <f t="shared" si="36"/>
        <v>,Status= "</v>
      </c>
      <c r="AJ82" s="11" t="str">
        <f>Matchs!R83</f>
        <v>Finished</v>
      </c>
      <c r="AK82" t="str">
        <f t="shared" si="37"/>
        <v>" },</v>
      </c>
    </row>
    <row r="83" spans="1:37" x14ac:dyDescent="0.25">
      <c r="A83" t="str">
        <f t="shared" si="19"/>
        <v>new Match { MatchId= "</v>
      </c>
      <c r="B83" t="str">
        <f>Matchs!A84</f>
        <v>FIFAWC1954-8</v>
      </c>
      <c r="C83" t="str">
        <f t="shared" si="20"/>
        <v>",MatchNumer=</v>
      </c>
      <c r="D83">
        <f>Matchs!B84</f>
        <v>8</v>
      </c>
      <c r="E83" t="str">
        <f t="shared" si="21"/>
        <v>,DateMatch=DateTime.Parse("</v>
      </c>
      <c r="F83" s="3">
        <f>Matchs!C84</f>
        <v>19892</v>
      </c>
      <c r="G83" s="10" t="str">
        <f t="shared" si="22"/>
        <v>"),TimeMatch=TimeSpan.Parse("</v>
      </c>
      <c r="H83" s="9">
        <f>Matchs!D84</f>
        <v>0.95138888888888884</v>
      </c>
      <c r="I83" t="str">
        <f t="shared" si="23"/>
        <v>"),MatchYear=</v>
      </c>
      <c r="J83">
        <f>Matchs!E84</f>
        <v>1954</v>
      </c>
      <c r="K83" t="str">
        <f t="shared" si="24"/>
        <v>, SeasonId= "</v>
      </c>
      <c r="L83" t="str">
        <f>Matchs!F84</f>
        <v>FIFAWC1954</v>
      </c>
      <c r="M83" t="str">
        <f t="shared" si="25"/>
        <v>",Round= "</v>
      </c>
      <c r="N83" t="str">
        <f>Matchs!G84</f>
        <v>Final Round</v>
      </c>
      <c r="O83" s="6" t="str">
        <f t="shared" si="26"/>
        <v>",Stage= "</v>
      </c>
      <c r="P83" t="str">
        <f>Matchs!H84</f>
        <v>Group</v>
      </c>
      <c r="Q83" s="6" t="str">
        <f t="shared" si="27"/>
        <v>",SubStage= "</v>
      </c>
      <c r="R83" t="str">
        <f>Matchs!I84</f>
        <v>Group 4</v>
      </c>
      <c r="S83" s="6" t="str">
        <f t="shared" si="28"/>
        <v>",HTeam= "</v>
      </c>
      <c r="T83" t="str">
        <f>Matchs!J84</f>
        <v>England</v>
      </c>
      <c r="U83" s="6" t="str">
        <f t="shared" si="29"/>
        <v>",HGoal=</v>
      </c>
      <c r="V83">
        <f>Matchs!K84</f>
        <v>4</v>
      </c>
      <c r="W83" s="6" t="str">
        <f t="shared" si="30"/>
        <v>,GGoal=</v>
      </c>
      <c r="X83">
        <f>Matchs!L84</f>
        <v>4</v>
      </c>
      <c r="Y83" s="6" t="str">
        <f t="shared" si="31"/>
        <v>,GTeam= "</v>
      </c>
      <c r="Z83" t="str">
        <f>Matchs!M84</f>
        <v>Belgium</v>
      </c>
      <c r="AA83" s="6" t="str">
        <f t="shared" si="32"/>
        <v>",WinNote="</v>
      </c>
      <c r="AB83" t="str">
        <f>IF(Matchs!N84="","",Matchs!N84)</f>
        <v/>
      </c>
      <c r="AC83" s="6" t="str">
        <f t="shared" si="33"/>
        <v xml:space="preserve">",Stadium=" </v>
      </c>
      <c r="AD83" s="11" t="str">
        <f>Matchs!O84</f>
        <v xml:space="preserve">St. Jakob-Park </v>
      </c>
      <c r="AE83" s="6" t="str">
        <f t="shared" si="34"/>
        <v>",Referee= "</v>
      </c>
      <c r="AF83" s="11" t="str">
        <f>Matchs!P84</f>
        <v xml:space="preserve">Emil Schmetzer </v>
      </c>
      <c r="AG83" s="6" t="str">
        <f t="shared" si="35"/>
        <v xml:space="preserve">",Visistors= </v>
      </c>
      <c r="AH83" s="11">
        <f>Matchs!Q84</f>
        <v>40000</v>
      </c>
      <c r="AI83" s="11" t="str">
        <f t="shared" si="36"/>
        <v>,Status= "</v>
      </c>
      <c r="AJ83" s="11" t="str">
        <f>Matchs!R84</f>
        <v>Finished</v>
      </c>
      <c r="AK83" t="str">
        <f t="shared" si="37"/>
        <v>" },</v>
      </c>
    </row>
    <row r="84" spans="1:37" x14ac:dyDescent="0.25">
      <c r="A84" t="str">
        <f t="shared" si="19"/>
        <v>new Match { MatchId= "</v>
      </c>
      <c r="B84" t="str">
        <f>Matchs!A85</f>
        <v>FIFAWC1954-9</v>
      </c>
      <c r="C84" t="str">
        <f t="shared" si="20"/>
        <v>",MatchNumer=</v>
      </c>
      <c r="D84">
        <f>Matchs!B85</f>
        <v>9</v>
      </c>
      <c r="E84" t="str">
        <f t="shared" si="21"/>
        <v>,DateMatch=DateTime.Parse("</v>
      </c>
      <c r="F84" s="3">
        <f>Matchs!C85</f>
        <v>19894</v>
      </c>
      <c r="G84" s="10" t="str">
        <f t="shared" si="22"/>
        <v>"),TimeMatch=TimeSpan.Parse("</v>
      </c>
      <c r="H84" s="9">
        <f>Matchs!D85</f>
        <v>0.95138888888888884</v>
      </c>
      <c r="I84" t="str">
        <f t="shared" si="23"/>
        <v>"),MatchYear=</v>
      </c>
      <c r="J84">
        <f>Matchs!E85</f>
        <v>1954</v>
      </c>
      <c r="K84" t="str">
        <f t="shared" si="24"/>
        <v>, SeasonId= "</v>
      </c>
      <c r="L84" t="str">
        <f>Matchs!F85</f>
        <v>FIFAWC1954</v>
      </c>
      <c r="M84" t="str">
        <f t="shared" si="25"/>
        <v>",Round= "</v>
      </c>
      <c r="N84" t="str">
        <f>Matchs!G85</f>
        <v>Final Round</v>
      </c>
      <c r="O84" s="6" t="str">
        <f t="shared" si="26"/>
        <v>",Stage= "</v>
      </c>
      <c r="P84" t="str">
        <f>Matchs!H85</f>
        <v>Group</v>
      </c>
      <c r="Q84" s="6" t="str">
        <f t="shared" si="27"/>
        <v>",SubStage= "</v>
      </c>
      <c r="R84" t="str">
        <f>Matchs!I85</f>
        <v>Group 1</v>
      </c>
      <c r="S84" s="6" t="str">
        <f t="shared" si="28"/>
        <v>",HTeam= "</v>
      </c>
      <c r="T84" t="str">
        <f>Matchs!J85</f>
        <v>Yugoslavia</v>
      </c>
      <c r="U84" s="6" t="str">
        <f t="shared" si="29"/>
        <v>",HGoal=</v>
      </c>
      <c r="V84">
        <f>Matchs!K85</f>
        <v>1</v>
      </c>
      <c r="W84" s="6" t="str">
        <f t="shared" si="30"/>
        <v>,GGoal=</v>
      </c>
      <c r="X84">
        <f>Matchs!L85</f>
        <v>1</v>
      </c>
      <c r="Y84" s="6" t="str">
        <f t="shared" si="31"/>
        <v>,GTeam= "</v>
      </c>
      <c r="Z84" t="str">
        <f>Matchs!M85</f>
        <v>Brazil</v>
      </c>
      <c r="AA84" s="6" t="str">
        <f t="shared" si="32"/>
        <v>",WinNote="</v>
      </c>
      <c r="AB84" t="str">
        <f>IF(Matchs!N85="","",Matchs!N85)</f>
        <v/>
      </c>
      <c r="AC84" s="6" t="str">
        <f t="shared" si="33"/>
        <v xml:space="preserve">",Stadium=" </v>
      </c>
      <c r="AD84" s="11" t="str">
        <f>Matchs!O85</f>
        <v xml:space="preserve">Stade Olympique de la Pontaise </v>
      </c>
      <c r="AE84" s="6" t="str">
        <f t="shared" si="34"/>
        <v>",Referee= "</v>
      </c>
      <c r="AF84" s="11" t="str">
        <f>Matchs!P85</f>
        <v xml:space="preserve">Charlie Faultless </v>
      </c>
      <c r="AG84" s="6" t="str">
        <f t="shared" si="35"/>
        <v xml:space="preserve">",Visistors= </v>
      </c>
      <c r="AH84" s="11">
        <f>Matchs!Q85</f>
        <v>40000</v>
      </c>
      <c r="AI84" s="11" t="str">
        <f t="shared" si="36"/>
        <v>,Status= "</v>
      </c>
      <c r="AJ84" s="11" t="str">
        <f>Matchs!R85</f>
        <v>Finished</v>
      </c>
      <c r="AK84" t="str">
        <f t="shared" si="37"/>
        <v>" },</v>
      </c>
    </row>
    <row r="85" spans="1:37" x14ac:dyDescent="0.25">
      <c r="A85" t="str">
        <f t="shared" si="19"/>
        <v>new Match { MatchId= "</v>
      </c>
      <c r="B85" t="str">
        <f>Matchs!A86</f>
        <v>FIFAWC1954-10</v>
      </c>
      <c r="C85" t="str">
        <f t="shared" si="20"/>
        <v>",MatchNumer=</v>
      </c>
      <c r="D85">
        <f>Matchs!B86</f>
        <v>10</v>
      </c>
      <c r="E85" t="str">
        <f t="shared" si="21"/>
        <v>,DateMatch=DateTime.Parse("</v>
      </c>
      <c r="F85" s="3">
        <f>Matchs!C86</f>
        <v>19894</v>
      </c>
      <c r="G85" s="10" t="str">
        <f t="shared" si="22"/>
        <v>"),TimeMatch=TimeSpan.Parse("</v>
      </c>
      <c r="H85" s="9">
        <f>Matchs!D86</f>
        <v>0.95138888888888884</v>
      </c>
      <c r="I85" t="str">
        <f t="shared" si="23"/>
        <v>"),MatchYear=</v>
      </c>
      <c r="J85">
        <f>Matchs!E86</f>
        <v>1954</v>
      </c>
      <c r="K85" t="str">
        <f t="shared" si="24"/>
        <v>, SeasonId= "</v>
      </c>
      <c r="L85" t="str">
        <f>Matchs!F86</f>
        <v>FIFAWC1954</v>
      </c>
      <c r="M85" t="str">
        <f t="shared" si="25"/>
        <v>",Round= "</v>
      </c>
      <c r="N85" t="str">
        <f>Matchs!G86</f>
        <v>Final Round</v>
      </c>
      <c r="O85" s="6" t="str">
        <f t="shared" si="26"/>
        <v>",Stage= "</v>
      </c>
      <c r="P85" t="str">
        <f>Matchs!H86</f>
        <v>Group</v>
      </c>
      <c r="Q85" s="6" t="str">
        <f t="shared" si="27"/>
        <v>",SubStage= "</v>
      </c>
      <c r="R85" t="str">
        <f>Matchs!I86</f>
        <v>Group 1</v>
      </c>
      <c r="S85" s="6" t="str">
        <f t="shared" si="28"/>
        <v>",HTeam= "</v>
      </c>
      <c r="T85" t="str">
        <f>Matchs!J86</f>
        <v>France</v>
      </c>
      <c r="U85" s="6" t="str">
        <f t="shared" si="29"/>
        <v>",HGoal=</v>
      </c>
      <c r="V85">
        <f>Matchs!K86</f>
        <v>3</v>
      </c>
      <c r="W85" s="6" t="str">
        <f t="shared" si="30"/>
        <v>,GGoal=</v>
      </c>
      <c r="X85">
        <f>Matchs!L86</f>
        <v>2</v>
      </c>
      <c r="Y85" s="6" t="str">
        <f t="shared" si="31"/>
        <v>,GTeam= "</v>
      </c>
      <c r="Z85" t="str">
        <f>Matchs!M86</f>
        <v>Mexico</v>
      </c>
      <c r="AA85" s="6" t="str">
        <f t="shared" si="32"/>
        <v>",WinNote="</v>
      </c>
      <c r="AB85" t="str">
        <f>IF(Matchs!N86="","",Matchs!N86)</f>
        <v/>
      </c>
      <c r="AC85" s="6" t="str">
        <f t="shared" si="33"/>
        <v xml:space="preserve">",Stadium=" </v>
      </c>
      <c r="AD85" s="11" t="str">
        <f>Matchs!O86</f>
        <v xml:space="preserve">Charmilles Stadium </v>
      </c>
      <c r="AE85" s="6" t="str">
        <f t="shared" si="34"/>
        <v>",Referee= "</v>
      </c>
      <c r="AF85" s="11" t="str">
        <f>Matchs!P86</f>
        <v xml:space="preserve">Manuel Asensi </v>
      </c>
      <c r="AG85" s="6" t="str">
        <f t="shared" si="35"/>
        <v xml:space="preserve">",Visistors= </v>
      </c>
      <c r="AH85" s="11">
        <f>Matchs!Q86</f>
        <v>19000</v>
      </c>
      <c r="AI85" s="11" t="str">
        <f t="shared" si="36"/>
        <v>,Status= "</v>
      </c>
      <c r="AJ85" s="11" t="str">
        <f>Matchs!R86</f>
        <v>Finished</v>
      </c>
      <c r="AK85" t="str">
        <f t="shared" si="37"/>
        <v>" },</v>
      </c>
    </row>
    <row r="86" spans="1:37" x14ac:dyDescent="0.25">
      <c r="A86" t="str">
        <f t="shared" si="19"/>
        <v>new Match { MatchId= "</v>
      </c>
      <c r="B86" t="str">
        <f>Matchs!A87</f>
        <v>FIFAWC1954-11</v>
      </c>
      <c r="C86" t="str">
        <f t="shared" si="20"/>
        <v>",MatchNumer=</v>
      </c>
      <c r="D86">
        <f>Matchs!B87</f>
        <v>11</v>
      </c>
      <c r="E86" t="str">
        <f t="shared" si="21"/>
        <v>,DateMatch=DateTime.Parse("</v>
      </c>
      <c r="F86" s="3">
        <f>Matchs!C87</f>
        <v>19894</v>
      </c>
      <c r="G86" s="10" t="str">
        <f t="shared" si="22"/>
        <v>"),TimeMatch=TimeSpan.Parse("</v>
      </c>
      <c r="H86" s="9">
        <f>Matchs!D87</f>
        <v>0.95138888888888884</v>
      </c>
      <c r="I86" t="str">
        <f t="shared" si="23"/>
        <v>"),MatchYear=</v>
      </c>
      <c r="J86">
        <f>Matchs!E87</f>
        <v>1954</v>
      </c>
      <c r="K86" t="str">
        <f t="shared" si="24"/>
        <v>, SeasonId= "</v>
      </c>
      <c r="L86" t="str">
        <f>Matchs!F87</f>
        <v>FIFAWC1954</v>
      </c>
      <c r="M86" t="str">
        <f t="shared" si="25"/>
        <v>",Round= "</v>
      </c>
      <c r="N86" t="str">
        <f>Matchs!G87</f>
        <v>Final Round</v>
      </c>
      <c r="O86" s="6" t="str">
        <f t="shared" si="26"/>
        <v>",Stage= "</v>
      </c>
      <c r="P86" t="str">
        <f>Matchs!H87</f>
        <v>Group</v>
      </c>
      <c r="Q86" s="6" t="str">
        <f t="shared" si="27"/>
        <v>",SubStage= "</v>
      </c>
      <c r="R86" t="str">
        <f>Matchs!I87</f>
        <v>Group 3</v>
      </c>
      <c r="S86" s="6" t="str">
        <f t="shared" si="28"/>
        <v>",HTeam= "</v>
      </c>
      <c r="T86" t="str">
        <f>Matchs!J87</f>
        <v>Uruguay</v>
      </c>
      <c r="U86" s="6" t="str">
        <f t="shared" si="29"/>
        <v>",HGoal=</v>
      </c>
      <c r="V86">
        <f>Matchs!K87</f>
        <v>7</v>
      </c>
      <c r="W86" s="6" t="str">
        <f t="shared" si="30"/>
        <v>,GGoal=</v>
      </c>
      <c r="X86">
        <f>Matchs!L87</f>
        <v>0</v>
      </c>
      <c r="Y86" s="6" t="str">
        <f t="shared" si="31"/>
        <v>,GTeam= "</v>
      </c>
      <c r="Z86" t="str">
        <f>Matchs!M87</f>
        <v>Scotland</v>
      </c>
      <c r="AA86" s="6" t="str">
        <f t="shared" si="32"/>
        <v>",WinNote="</v>
      </c>
      <c r="AB86" t="str">
        <f>IF(Matchs!N87="","",Matchs!N87)</f>
        <v/>
      </c>
      <c r="AC86" s="6" t="str">
        <f t="shared" si="33"/>
        <v xml:space="preserve">",Stadium=" </v>
      </c>
      <c r="AD86" s="11" t="str">
        <f>Matchs!O87</f>
        <v xml:space="preserve">St. Jakob-Park </v>
      </c>
      <c r="AE86" s="6" t="str">
        <f t="shared" si="34"/>
        <v>",Referee= "</v>
      </c>
      <c r="AF86" s="11" t="str">
        <f>Matchs!P87</f>
        <v xml:space="preserve">Vincenzo Orlandini </v>
      </c>
      <c r="AG86" s="6" t="str">
        <f t="shared" si="35"/>
        <v xml:space="preserve">",Visistors= </v>
      </c>
      <c r="AH86" s="11">
        <f>Matchs!Q87</f>
        <v>43000</v>
      </c>
      <c r="AI86" s="11" t="str">
        <f t="shared" si="36"/>
        <v>,Status= "</v>
      </c>
      <c r="AJ86" s="11" t="str">
        <f>Matchs!R87</f>
        <v>Finished</v>
      </c>
      <c r="AK86" t="str">
        <f t="shared" si="37"/>
        <v>" },</v>
      </c>
    </row>
    <row r="87" spans="1:37" x14ac:dyDescent="0.25">
      <c r="A87" t="str">
        <f t="shared" si="19"/>
        <v>new Match { MatchId= "</v>
      </c>
      <c r="B87" t="str">
        <f>Matchs!A88</f>
        <v>FIFAWC1954-12</v>
      </c>
      <c r="C87" t="str">
        <f t="shared" si="20"/>
        <v>",MatchNumer=</v>
      </c>
      <c r="D87">
        <f>Matchs!B88</f>
        <v>12</v>
      </c>
      <c r="E87" t="str">
        <f t="shared" si="21"/>
        <v>,DateMatch=DateTime.Parse("</v>
      </c>
      <c r="F87" s="3">
        <f>Matchs!C88</f>
        <v>19894</v>
      </c>
      <c r="G87" s="10" t="str">
        <f t="shared" si="22"/>
        <v>"),TimeMatch=TimeSpan.Parse("</v>
      </c>
      <c r="H87" s="9">
        <f>Matchs!D88</f>
        <v>0.95138888888888884</v>
      </c>
      <c r="I87" t="str">
        <f t="shared" si="23"/>
        <v>"),MatchYear=</v>
      </c>
      <c r="J87">
        <f>Matchs!E88</f>
        <v>1954</v>
      </c>
      <c r="K87" t="str">
        <f t="shared" si="24"/>
        <v>, SeasonId= "</v>
      </c>
      <c r="L87" t="str">
        <f>Matchs!F88</f>
        <v>FIFAWC1954</v>
      </c>
      <c r="M87" t="str">
        <f t="shared" si="25"/>
        <v>",Round= "</v>
      </c>
      <c r="N87" t="str">
        <f>Matchs!G88</f>
        <v>Final Round</v>
      </c>
      <c r="O87" s="6" t="str">
        <f t="shared" si="26"/>
        <v>",Stage= "</v>
      </c>
      <c r="P87" t="str">
        <f>Matchs!H88</f>
        <v>Group</v>
      </c>
      <c r="Q87" s="6" t="str">
        <f t="shared" si="27"/>
        <v>",SubStage= "</v>
      </c>
      <c r="R87" t="str">
        <f>Matchs!I88</f>
        <v>Group 3</v>
      </c>
      <c r="S87" s="6" t="str">
        <f t="shared" si="28"/>
        <v>",HTeam= "</v>
      </c>
      <c r="T87" t="str">
        <f>Matchs!J88</f>
        <v>Austria</v>
      </c>
      <c r="U87" s="6" t="str">
        <f t="shared" si="29"/>
        <v>",HGoal=</v>
      </c>
      <c r="V87">
        <f>Matchs!K88</f>
        <v>5</v>
      </c>
      <c r="W87" s="6" t="str">
        <f t="shared" si="30"/>
        <v>,GGoal=</v>
      </c>
      <c r="X87">
        <f>Matchs!L88</f>
        <v>0</v>
      </c>
      <c r="Y87" s="6" t="str">
        <f t="shared" si="31"/>
        <v>,GTeam= "</v>
      </c>
      <c r="Z87" t="str">
        <f>Matchs!M88</f>
        <v>Czechoslovakia</v>
      </c>
      <c r="AA87" s="6" t="str">
        <f t="shared" si="32"/>
        <v>",WinNote="</v>
      </c>
      <c r="AB87" t="str">
        <f>IF(Matchs!N88="","",Matchs!N88)</f>
        <v/>
      </c>
      <c r="AC87" s="6" t="str">
        <f t="shared" si="33"/>
        <v xml:space="preserve">",Stadium=" </v>
      </c>
      <c r="AD87" s="11" t="str">
        <f>Matchs!O88</f>
        <v xml:space="preserve">Hardturm </v>
      </c>
      <c r="AE87" s="6" t="str">
        <f t="shared" si="34"/>
        <v>",Referee= "</v>
      </c>
      <c r="AF87" s="11" t="str">
        <f>Matchs!P88</f>
        <v xml:space="preserve">Vasa Stefanovic </v>
      </c>
      <c r="AG87" s="6" t="str">
        <f t="shared" si="35"/>
        <v xml:space="preserve">",Visistors= </v>
      </c>
      <c r="AH87" s="11">
        <f>Matchs!Q88</f>
        <v>25000</v>
      </c>
      <c r="AI87" s="11" t="str">
        <f t="shared" si="36"/>
        <v>,Status= "</v>
      </c>
      <c r="AJ87" s="11" t="str">
        <f>Matchs!R88</f>
        <v>Finished</v>
      </c>
      <c r="AK87" t="str">
        <f t="shared" si="37"/>
        <v>" },</v>
      </c>
    </row>
    <row r="88" spans="1:37" x14ac:dyDescent="0.25">
      <c r="A88" t="str">
        <f t="shared" si="19"/>
        <v>new Match { MatchId= "</v>
      </c>
      <c r="B88" t="str">
        <f>Matchs!A89</f>
        <v>FIFAWC1954-13</v>
      </c>
      <c r="C88" t="str">
        <f t="shared" si="20"/>
        <v>",MatchNumer=</v>
      </c>
      <c r="D88">
        <f>Matchs!B89</f>
        <v>13</v>
      </c>
      <c r="E88" t="str">
        <f t="shared" si="21"/>
        <v>,DateMatch=DateTime.Parse("</v>
      </c>
      <c r="F88" s="3">
        <f>Matchs!C89</f>
        <v>19895</v>
      </c>
      <c r="G88" s="10" t="str">
        <f t="shared" si="22"/>
        <v>"),TimeMatch=TimeSpan.Parse("</v>
      </c>
      <c r="H88" s="9">
        <f>Matchs!D89</f>
        <v>0.95138888888888884</v>
      </c>
      <c r="I88" t="str">
        <f t="shared" si="23"/>
        <v>"),MatchYear=</v>
      </c>
      <c r="J88">
        <f>Matchs!E89</f>
        <v>1954</v>
      </c>
      <c r="K88" t="str">
        <f t="shared" si="24"/>
        <v>, SeasonId= "</v>
      </c>
      <c r="L88" t="str">
        <f>Matchs!F89</f>
        <v>FIFAWC1954</v>
      </c>
      <c r="M88" t="str">
        <f t="shared" si="25"/>
        <v>",Round= "</v>
      </c>
      <c r="N88" t="str">
        <f>Matchs!G89</f>
        <v>Final Round</v>
      </c>
      <c r="O88" s="6" t="str">
        <f t="shared" si="26"/>
        <v>",Stage= "</v>
      </c>
      <c r="P88" t="str">
        <f>Matchs!H89</f>
        <v>Group</v>
      </c>
      <c r="Q88" s="6" t="str">
        <f t="shared" si="27"/>
        <v>",SubStage= "</v>
      </c>
      <c r="R88" t="str">
        <f>Matchs!I89</f>
        <v>Group 2</v>
      </c>
      <c r="S88" s="6" t="str">
        <f t="shared" si="28"/>
        <v>",HTeam= "</v>
      </c>
      <c r="T88" t="str">
        <f>Matchs!J89</f>
        <v>Hungary</v>
      </c>
      <c r="U88" s="6" t="str">
        <f t="shared" si="29"/>
        <v>",HGoal=</v>
      </c>
      <c r="V88">
        <f>Matchs!K89</f>
        <v>8</v>
      </c>
      <c r="W88" s="6" t="str">
        <f t="shared" si="30"/>
        <v>,GGoal=</v>
      </c>
      <c r="X88">
        <f>Matchs!L89</f>
        <v>3</v>
      </c>
      <c r="Y88" s="6" t="str">
        <f t="shared" si="31"/>
        <v>,GTeam= "</v>
      </c>
      <c r="Z88" t="str">
        <f>Matchs!M89</f>
        <v>Germany</v>
      </c>
      <c r="AA88" s="6" t="str">
        <f t="shared" si="32"/>
        <v>",WinNote="</v>
      </c>
      <c r="AB88" t="str">
        <f>IF(Matchs!N89="","",Matchs!N89)</f>
        <v/>
      </c>
      <c r="AC88" s="6" t="str">
        <f t="shared" si="33"/>
        <v xml:space="preserve">",Stadium=" </v>
      </c>
      <c r="AD88" s="11" t="str">
        <f>Matchs!O89</f>
        <v xml:space="preserve">St. Jakob-Park </v>
      </c>
      <c r="AE88" s="6" t="str">
        <f t="shared" si="34"/>
        <v>",Referee= "</v>
      </c>
      <c r="AF88" s="11" t="str">
        <f>Matchs!P89</f>
        <v xml:space="preserve">Ling </v>
      </c>
      <c r="AG88" s="6" t="str">
        <f t="shared" si="35"/>
        <v xml:space="preserve">",Visistors= </v>
      </c>
      <c r="AH88" s="11">
        <f>Matchs!Q89</f>
        <v>65000</v>
      </c>
      <c r="AI88" s="11" t="str">
        <f t="shared" si="36"/>
        <v>,Status= "</v>
      </c>
      <c r="AJ88" s="11" t="str">
        <f>Matchs!R89</f>
        <v>Finished</v>
      </c>
      <c r="AK88" t="str">
        <f t="shared" si="37"/>
        <v>" },</v>
      </c>
    </row>
    <row r="89" spans="1:37" x14ac:dyDescent="0.25">
      <c r="A89" t="str">
        <f t="shared" si="19"/>
        <v>new Match { MatchId= "</v>
      </c>
      <c r="B89" t="str">
        <f>Matchs!A90</f>
        <v>FIFAWC1954-14</v>
      </c>
      <c r="C89" t="str">
        <f t="shared" si="20"/>
        <v>",MatchNumer=</v>
      </c>
      <c r="D89">
        <f>Matchs!B90</f>
        <v>14</v>
      </c>
      <c r="E89" t="str">
        <f t="shared" si="21"/>
        <v>,DateMatch=DateTime.Parse("</v>
      </c>
      <c r="F89" s="3">
        <f>Matchs!C90</f>
        <v>19895</v>
      </c>
      <c r="G89" s="10" t="str">
        <f t="shared" si="22"/>
        <v>"),TimeMatch=TimeSpan.Parse("</v>
      </c>
      <c r="H89" s="9">
        <f>Matchs!D90</f>
        <v>0.95138888888888884</v>
      </c>
      <c r="I89" t="str">
        <f t="shared" si="23"/>
        <v>"),MatchYear=</v>
      </c>
      <c r="J89">
        <f>Matchs!E90</f>
        <v>1954</v>
      </c>
      <c r="K89" t="str">
        <f t="shared" si="24"/>
        <v>, SeasonId= "</v>
      </c>
      <c r="L89" t="str">
        <f>Matchs!F90</f>
        <v>FIFAWC1954</v>
      </c>
      <c r="M89" t="str">
        <f t="shared" si="25"/>
        <v>",Round= "</v>
      </c>
      <c r="N89" t="str">
        <f>Matchs!G90</f>
        <v>Final Round</v>
      </c>
      <c r="O89" s="6" t="str">
        <f t="shared" si="26"/>
        <v>",Stage= "</v>
      </c>
      <c r="P89" t="str">
        <f>Matchs!H90</f>
        <v>Group</v>
      </c>
      <c r="Q89" s="6" t="str">
        <f t="shared" si="27"/>
        <v>",SubStage= "</v>
      </c>
      <c r="R89" t="str">
        <f>Matchs!I90</f>
        <v>Group 2</v>
      </c>
      <c r="S89" s="6" t="str">
        <f t="shared" si="28"/>
        <v>",HTeam= "</v>
      </c>
      <c r="T89" t="str">
        <f>Matchs!J90</f>
        <v>Turkey</v>
      </c>
      <c r="U89" s="6" t="str">
        <f t="shared" si="29"/>
        <v>",HGoal=</v>
      </c>
      <c r="V89">
        <f>Matchs!K90</f>
        <v>7</v>
      </c>
      <c r="W89" s="6" t="str">
        <f t="shared" si="30"/>
        <v>,GGoal=</v>
      </c>
      <c r="X89">
        <f>Matchs!L90</f>
        <v>0</v>
      </c>
      <c r="Y89" s="6" t="str">
        <f t="shared" si="31"/>
        <v>,GTeam= "</v>
      </c>
      <c r="Z89" t="str">
        <f>Matchs!M90</f>
        <v>South Korea</v>
      </c>
      <c r="AA89" s="6" t="str">
        <f t="shared" si="32"/>
        <v>",WinNote="</v>
      </c>
      <c r="AB89" t="str">
        <f>IF(Matchs!N90="","",Matchs!N90)</f>
        <v/>
      </c>
      <c r="AC89" s="6" t="str">
        <f t="shared" si="33"/>
        <v xml:space="preserve">",Stadium=" </v>
      </c>
      <c r="AD89" s="11" t="str">
        <f>Matchs!O90</f>
        <v xml:space="preserve">Charmilles Stadium </v>
      </c>
      <c r="AE89" s="6" t="str">
        <f t="shared" si="34"/>
        <v>",Referee= "</v>
      </c>
      <c r="AF89" s="11" t="str">
        <f>Matchs!P90</f>
        <v xml:space="preserve">Esteban Marino </v>
      </c>
      <c r="AG89" s="6" t="str">
        <f t="shared" si="35"/>
        <v xml:space="preserve">",Visistors= </v>
      </c>
      <c r="AH89" s="11">
        <f>Matchs!Q90</f>
        <v>3000</v>
      </c>
      <c r="AI89" s="11" t="str">
        <f t="shared" si="36"/>
        <v>,Status= "</v>
      </c>
      <c r="AJ89" s="11" t="str">
        <f>Matchs!R90</f>
        <v>Finished</v>
      </c>
      <c r="AK89" t="str">
        <f t="shared" si="37"/>
        <v>" },</v>
      </c>
    </row>
    <row r="90" spans="1:37" x14ac:dyDescent="0.25">
      <c r="A90" t="str">
        <f t="shared" si="19"/>
        <v>new Match { MatchId= "</v>
      </c>
      <c r="B90" t="str">
        <f>Matchs!A91</f>
        <v>FIFAWC1954-15</v>
      </c>
      <c r="C90" t="str">
        <f t="shared" si="20"/>
        <v>",MatchNumer=</v>
      </c>
      <c r="D90">
        <f>Matchs!B91</f>
        <v>15</v>
      </c>
      <c r="E90" t="str">
        <f t="shared" si="21"/>
        <v>,DateMatch=DateTime.Parse("</v>
      </c>
      <c r="F90" s="3">
        <f>Matchs!C91</f>
        <v>19895</v>
      </c>
      <c r="G90" s="10" t="str">
        <f t="shared" si="22"/>
        <v>"),TimeMatch=TimeSpan.Parse("</v>
      </c>
      <c r="H90" s="9">
        <f>Matchs!D91</f>
        <v>0.95138888888888884</v>
      </c>
      <c r="I90" t="str">
        <f t="shared" si="23"/>
        <v>"),MatchYear=</v>
      </c>
      <c r="J90">
        <f>Matchs!E91</f>
        <v>1954</v>
      </c>
      <c r="K90" t="str">
        <f t="shared" si="24"/>
        <v>, SeasonId= "</v>
      </c>
      <c r="L90" t="str">
        <f>Matchs!F91</f>
        <v>FIFAWC1954</v>
      </c>
      <c r="M90" t="str">
        <f t="shared" si="25"/>
        <v>",Round= "</v>
      </c>
      <c r="N90" t="str">
        <f>Matchs!G91</f>
        <v>Final Round</v>
      </c>
      <c r="O90" s="6" t="str">
        <f t="shared" si="26"/>
        <v>",Stage= "</v>
      </c>
      <c r="P90" t="str">
        <f>Matchs!H91</f>
        <v>Group</v>
      </c>
      <c r="Q90" s="6" t="str">
        <f t="shared" si="27"/>
        <v>",SubStage= "</v>
      </c>
      <c r="R90" t="str">
        <f>Matchs!I91</f>
        <v>Group 4</v>
      </c>
      <c r="S90" s="6" t="str">
        <f t="shared" si="28"/>
        <v>",HTeam= "</v>
      </c>
      <c r="T90" t="str">
        <f>Matchs!J91</f>
        <v>Italy</v>
      </c>
      <c r="U90" s="6" t="str">
        <f t="shared" si="29"/>
        <v>",HGoal=</v>
      </c>
      <c r="V90">
        <f>Matchs!K91</f>
        <v>4</v>
      </c>
      <c r="W90" s="6" t="str">
        <f t="shared" si="30"/>
        <v>,GGoal=</v>
      </c>
      <c r="X90">
        <f>Matchs!L91</f>
        <v>1</v>
      </c>
      <c r="Y90" s="6" t="str">
        <f t="shared" si="31"/>
        <v>,GTeam= "</v>
      </c>
      <c r="Z90" t="str">
        <f>Matchs!M91</f>
        <v>Belgium</v>
      </c>
      <c r="AA90" s="6" t="str">
        <f t="shared" si="32"/>
        <v>",WinNote="</v>
      </c>
      <c r="AB90" t="str">
        <f>IF(Matchs!N91="","",Matchs!N91)</f>
        <v/>
      </c>
      <c r="AC90" s="6" t="str">
        <f t="shared" si="33"/>
        <v xml:space="preserve">",Stadium=" </v>
      </c>
      <c r="AD90" s="11" t="str">
        <f>Matchs!O91</f>
        <v xml:space="preserve">Cornaredo Stadium </v>
      </c>
      <c r="AE90" s="6" t="str">
        <f t="shared" si="34"/>
        <v>",Referee= "</v>
      </c>
      <c r="AF90" s="11" t="str">
        <f>Matchs!P91</f>
        <v xml:space="preserve">Carl Erich Steiner </v>
      </c>
      <c r="AG90" s="6" t="str">
        <f t="shared" si="35"/>
        <v xml:space="preserve">",Visistors= </v>
      </c>
      <c r="AH90" s="11">
        <f>Matchs!Q91</f>
        <v>26000</v>
      </c>
      <c r="AI90" s="11" t="str">
        <f t="shared" si="36"/>
        <v>,Status= "</v>
      </c>
      <c r="AJ90" s="11" t="str">
        <f>Matchs!R91</f>
        <v>Finished</v>
      </c>
      <c r="AK90" t="str">
        <f t="shared" si="37"/>
        <v>" },</v>
      </c>
    </row>
    <row r="91" spans="1:37" x14ac:dyDescent="0.25">
      <c r="A91" t="str">
        <f t="shared" si="19"/>
        <v>new Match { MatchId= "</v>
      </c>
      <c r="B91" t="str">
        <f>Matchs!A92</f>
        <v>FIFAWC1954-16</v>
      </c>
      <c r="C91" t="str">
        <f t="shared" si="20"/>
        <v>",MatchNumer=</v>
      </c>
      <c r="D91">
        <f>Matchs!B92</f>
        <v>16</v>
      </c>
      <c r="E91" t="str">
        <f t="shared" si="21"/>
        <v>,DateMatch=DateTime.Parse("</v>
      </c>
      <c r="F91" s="3">
        <f>Matchs!C92</f>
        <v>19895</v>
      </c>
      <c r="G91" s="10" t="str">
        <f t="shared" si="22"/>
        <v>"),TimeMatch=TimeSpan.Parse("</v>
      </c>
      <c r="H91" s="9">
        <f>Matchs!D92</f>
        <v>0.95138888888888884</v>
      </c>
      <c r="I91" t="str">
        <f t="shared" si="23"/>
        <v>"),MatchYear=</v>
      </c>
      <c r="J91">
        <f>Matchs!E92</f>
        <v>1954</v>
      </c>
      <c r="K91" t="str">
        <f t="shared" si="24"/>
        <v>, SeasonId= "</v>
      </c>
      <c r="L91" t="str">
        <f>Matchs!F92</f>
        <v>FIFAWC1954</v>
      </c>
      <c r="M91" t="str">
        <f t="shared" si="25"/>
        <v>",Round= "</v>
      </c>
      <c r="N91" t="str">
        <f>Matchs!G92</f>
        <v>Final Round</v>
      </c>
      <c r="O91" s="6" t="str">
        <f t="shared" si="26"/>
        <v>",Stage= "</v>
      </c>
      <c r="P91" t="str">
        <f>Matchs!H92</f>
        <v>Group</v>
      </c>
      <c r="Q91" s="6" t="str">
        <f t="shared" si="27"/>
        <v>",SubStage= "</v>
      </c>
      <c r="R91" t="str">
        <f>Matchs!I92</f>
        <v>Group 4</v>
      </c>
      <c r="S91" s="6" t="str">
        <f t="shared" si="28"/>
        <v>",HTeam= "</v>
      </c>
      <c r="T91" t="str">
        <f>Matchs!J92</f>
        <v>England</v>
      </c>
      <c r="U91" s="6" t="str">
        <f t="shared" si="29"/>
        <v>",HGoal=</v>
      </c>
      <c r="V91">
        <f>Matchs!K92</f>
        <v>2</v>
      </c>
      <c r="W91" s="6" t="str">
        <f t="shared" si="30"/>
        <v>,GGoal=</v>
      </c>
      <c r="X91">
        <f>Matchs!L92</f>
        <v>0</v>
      </c>
      <c r="Y91" s="6" t="str">
        <f t="shared" si="31"/>
        <v>,GTeam= "</v>
      </c>
      <c r="Z91" t="str">
        <f>Matchs!M92</f>
        <v>Switzerland</v>
      </c>
      <c r="AA91" s="6" t="str">
        <f t="shared" si="32"/>
        <v>",WinNote="</v>
      </c>
      <c r="AB91" t="str">
        <f>IF(Matchs!N92="","",Matchs!N92)</f>
        <v/>
      </c>
      <c r="AC91" s="6" t="str">
        <f t="shared" si="33"/>
        <v xml:space="preserve">",Stadium=" </v>
      </c>
      <c r="AD91" s="11" t="str">
        <f>Matchs!O92</f>
        <v xml:space="preserve">Wankdorf Stadium </v>
      </c>
      <c r="AE91" s="6" t="str">
        <f t="shared" si="34"/>
        <v>",Referee= "</v>
      </c>
      <c r="AF91" s="11" t="str">
        <f>Matchs!P92</f>
        <v xml:space="preserve">Istvan Zsolt </v>
      </c>
      <c r="AG91" s="6" t="str">
        <f t="shared" si="35"/>
        <v xml:space="preserve">",Visistors= </v>
      </c>
      <c r="AH91" s="11">
        <f>Matchs!Q92</f>
        <v>50000</v>
      </c>
      <c r="AI91" s="11" t="str">
        <f t="shared" si="36"/>
        <v>,Status= "</v>
      </c>
      <c r="AJ91" s="11" t="str">
        <f>Matchs!R92</f>
        <v>Finished</v>
      </c>
      <c r="AK91" t="str">
        <f t="shared" si="37"/>
        <v>" },</v>
      </c>
    </row>
    <row r="92" spans="1:37" x14ac:dyDescent="0.25">
      <c r="A92" t="str">
        <f t="shared" si="19"/>
        <v>new Match { MatchId= "</v>
      </c>
      <c r="B92" t="str">
        <f>Matchs!A93</f>
        <v>FIFAWC1954-17</v>
      </c>
      <c r="C92" t="str">
        <f t="shared" si="20"/>
        <v>",MatchNumer=</v>
      </c>
      <c r="D92">
        <f>Matchs!B93</f>
        <v>17</v>
      </c>
      <c r="E92" t="str">
        <f t="shared" si="21"/>
        <v>,DateMatch=DateTime.Parse("</v>
      </c>
      <c r="F92" s="3">
        <f>Matchs!C93</f>
        <v>19898</v>
      </c>
      <c r="G92" s="10" t="str">
        <f t="shared" si="22"/>
        <v>"),TimeMatch=TimeSpan.Parse("</v>
      </c>
      <c r="H92" s="9">
        <f>Matchs!D93</f>
        <v>0.95138888888888884</v>
      </c>
      <c r="I92" t="str">
        <f t="shared" si="23"/>
        <v>"),MatchYear=</v>
      </c>
      <c r="J92">
        <f>Matchs!E93</f>
        <v>1954</v>
      </c>
      <c r="K92" t="str">
        <f t="shared" si="24"/>
        <v>, SeasonId= "</v>
      </c>
      <c r="L92" t="str">
        <f>Matchs!F93</f>
        <v>FIFAWC1954</v>
      </c>
      <c r="M92" t="str">
        <f t="shared" si="25"/>
        <v>",Round= "</v>
      </c>
      <c r="N92" t="str">
        <f>Matchs!G93</f>
        <v>Final Round</v>
      </c>
      <c r="O92" s="6" t="str">
        <f t="shared" si="26"/>
        <v>",Stage= "</v>
      </c>
      <c r="P92" t="str">
        <f>Matchs!H93</f>
        <v>Group</v>
      </c>
      <c r="Q92" s="6" t="str">
        <f t="shared" si="27"/>
        <v>",SubStage= "</v>
      </c>
      <c r="R92" t="str">
        <f>Matchs!I93</f>
        <v>Group 2</v>
      </c>
      <c r="S92" s="6" t="str">
        <f t="shared" si="28"/>
        <v>",HTeam= "</v>
      </c>
      <c r="T92" t="str">
        <f>Matchs!J93</f>
        <v>Germany</v>
      </c>
      <c r="U92" s="6" t="str">
        <f t="shared" si="29"/>
        <v>",HGoal=</v>
      </c>
      <c r="V92">
        <f>Matchs!K93</f>
        <v>7</v>
      </c>
      <c r="W92" s="6" t="str">
        <f t="shared" si="30"/>
        <v>,GGoal=</v>
      </c>
      <c r="X92">
        <f>Matchs!L93</f>
        <v>2</v>
      </c>
      <c r="Y92" s="6" t="str">
        <f t="shared" si="31"/>
        <v>,GTeam= "</v>
      </c>
      <c r="Z92" t="str">
        <f>Matchs!M93</f>
        <v>Turkey</v>
      </c>
      <c r="AA92" s="6" t="str">
        <f t="shared" si="32"/>
        <v>",WinNote="</v>
      </c>
      <c r="AB92" t="str">
        <f>IF(Matchs!N93="","",Matchs!N93)</f>
        <v/>
      </c>
      <c r="AC92" s="6" t="str">
        <f t="shared" si="33"/>
        <v xml:space="preserve">",Stadium=" </v>
      </c>
      <c r="AD92" s="11" t="str">
        <f>Matchs!O93</f>
        <v xml:space="preserve">Hardturm </v>
      </c>
      <c r="AE92" s="6" t="str">
        <f t="shared" si="34"/>
        <v>",Referee= "</v>
      </c>
      <c r="AF92" s="11" t="str">
        <f>Matchs!P93</f>
        <v xml:space="preserve">Raymond Vincenti </v>
      </c>
      <c r="AG92" s="6" t="str">
        <f t="shared" si="35"/>
        <v xml:space="preserve">",Visistors= </v>
      </c>
      <c r="AH92" s="11">
        <f>Matchs!Q93</f>
        <v>18000</v>
      </c>
      <c r="AI92" s="11" t="str">
        <f t="shared" si="36"/>
        <v>,Status= "</v>
      </c>
      <c r="AJ92" s="11" t="str">
        <f>Matchs!R93</f>
        <v>Finished</v>
      </c>
      <c r="AK92" t="str">
        <f t="shared" si="37"/>
        <v>" },</v>
      </c>
    </row>
    <row r="93" spans="1:37" x14ac:dyDescent="0.25">
      <c r="A93" t="str">
        <f t="shared" si="19"/>
        <v>new Match { MatchId= "</v>
      </c>
      <c r="B93" t="str">
        <f>Matchs!A94</f>
        <v>FIFAWC1954-18</v>
      </c>
      <c r="C93" t="str">
        <f t="shared" si="20"/>
        <v>",MatchNumer=</v>
      </c>
      <c r="D93">
        <f>Matchs!B94</f>
        <v>18</v>
      </c>
      <c r="E93" t="str">
        <f t="shared" si="21"/>
        <v>,DateMatch=DateTime.Parse("</v>
      </c>
      <c r="F93" s="3">
        <f>Matchs!C94</f>
        <v>19898</v>
      </c>
      <c r="G93" s="10" t="str">
        <f t="shared" si="22"/>
        <v>"),TimeMatch=TimeSpan.Parse("</v>
      </c>
      <c r="H93" s="9">
        <f>Matchs!D94</f>
        <v>0.95138888888888884</v>
      </c>
      <c r="I93" t="str">
        <f t="shared" si="23"/>
        <v>"),MatchYear=</v>
      </c>
      <c r="J93">
        <f>Matchs!E94</f>
        <v>1954</v>
      </c>
      <c r="K93" t="str">
        <f t="shared" si="24"/>
        <v>, SeasonId= "</v>
      </c>
      <c r="L93" t="str">
        <f>Matchs!F94</f>
        <v>FIFAWC1954</v>
      </c>
      <c r="M93" t="str">
        <f t="shared" si="25"/>
        <v>",Round= "</v>
      </c>
      <c r="N93" t="str">
        <f>Matchs!G94</f>
        <v>Final Round</v>
      </c>
      <c r="O93" s="6" t="str">
        <f t="shared" si="26"/>
        <v>",Stage= "</v>
      </c>
      <c r="P93" t="str">
        <f>Matchs!H94</f>
        <v>Group</v>
      </c>
      <c r="Q93" s="6" t="str">
        <f t="shared" si="27"/>
        <v>",SubStage= "</v>
      </c>
      <c r="R93" t="str">
        <f>Matchs!I94</f>
        <v>Group 4</v>
      </c>
      <c r="S93" s="6" t="str">
        <f t="shared" si="28"/>
        <v>",HTeam= "</v>
      </c>
      <c r="T93" t="str">
        <f>Matchs!J94</f>
        <v>Switzerland</v>
      </c>
      <c r="U93" s="6" t="str">
        <f t="shared" si="29"/>
        <v>",HGoal=</v>
      </c>
      <c r="V93">
        <f>Matchs!K94</f>
        <v>4</v>
      </c>
      <c r="W93" s="6" t="str">
        <f t="shared" si="30"/>
        <v>,GGoal=</v>
      </c>
      <c r="X93">
        <f>Matchs!L94</f>
        <v>1</v>
      </c>
      <c r="Y93" s="6" t="str">
        <f t="shared" si="31"/>
        <v>,GTeam= "</v>
      </c>
      <c r="Z93" t="str">
        <f>Matchs!M94</f>
        <v>Italy</v>
      </c>
      <c r="AA93" s="6" t="str">
        <f t="shared" si="32"/>
        <v>",WinNote="</v>
      </c>
      <c r="AB93" t="str">
        <f>IF(Matchs!N94="","",Matchs!N94)</f>
        <v/>
      </c>
      <c r="AC93" s="6" t="str">
        <f t="shared" si="33"/>
        <v xml:space="preserve">",Stadium=" </v>
      </c>
      <c r="AD93" s="11" t="str">
        <f>Matchs!O94</f>
        <v xml:space="preserve">St. Jakob-Park </v>
      </c>
      <c r="AE93" s="6" t="str">
        <f t="shared" si="34"/>
        <v>",Referee= "</v>
      </c>
      <c r="AF93" s="11" t="str">
        <f>Matchs!P94</f>
        <v xml:space="preserve">Benjamin Griffiths </v>
      </c>
      <c r="AG93" s="6" t="str">
        <f t="shared" si="35"/>
        <v xml:space="preserve">",Visistors= </v>
      </c>
      <c r="AH93" s="11">
        <f>Matchs!Q94</f>
        <v>30000</v>
      </c>
      <c r="AI93" s="11" t="str">
        <f t="shared" si="36"/>
        <v>,Status= "</v>
      </c>
      <c r="AJ93" s="11" t="str">
        <f>Matchs!R94</f>
        <v>Finished</v>
      </c>
      <c r="AK93" t="str">
        <f t="shared" si="37"/>
        <v>" },</v>
      </c>
    </row>
    <row r="94" spans="1:37" x14ac:dyDescent="0.25">
      <c r="A94" t="str">
        <f t="shared" si="19"/>
        <v>new Match { MatchId= "</v>
      </c>
      <c r="B94" t="str">
        <f>Matchs!A95</f>
        <v>FIFAWC1954-19</v>
      </c>
      <c r="C94" t="str">
        <f t="shared" si="20"/>
        <v>",MatchNumer=</v>
      </c>
      <c r="D94">
        <f>Matchs!B95</f>
        <v>19</v>
      </c>
      <c r="E94" t="str">
        <f t="shared" si="21"/>
        <v>,DateMatch=DateTime.Parse("</v>
      </c>
      <c r="F94" s="3">
        <f>Matchs!C95</f>
        <v>19901</v>
      </c>
      <c r="G94" s="10" t="str">
        <f t="shared" si="22"/>
        <v>"),TimeMatch=TimeSpan.Parse("</v>
      </c>
      <c r="H94" s="9">
        <f>Matchs!D95</f>
        <v>0.95138888888888884</v>
      </c>
      <c r="I94" t="str">
        <f t="shared" si="23"/>
        <v>"),MatchYear=</v>
      </c>
      <c r="J94">
        <f>Matchs!E95</f>
        <v>1954</v>
      </c>
      <c r="K94" t="str">
        <f t="shared" si="24"/>
        <v>, SeasonId= "</v>
      </c>
      <c r="L94" t="str">
        <f>Matchs!F95</f>
        <v>FIFAWC1954</v>
      </c>
      <c r="M94" t="str">
        <f t="shared" si="25"/>
        <v>",Round= "</v>
      </c>
      <c r="N94" t="str">
        <f>Matchs!G95</f>
        <v>Final Round</v>
      </c>
      <c r="O94" s="6" t="str">
        <f t="shared" si="26"/>
        <v>",Stage= "</v>
      </c>
      <c r="P94" t="str">
        <f>Matchs!H95</f>
        <v>Knockouts</v>
      </c>
      <c r="Q94" s="6" t="str">
        <f t="shared" si="27"/>
        <v>",SubStage= "</v>
      </c>
      <c r="R94" t="str">
        <f>Matchs!I95</f>
        <v>Quaterfinal</v>
      </c>
      <c r="S94" s="6" t="str">
        <f t="shared" si="28"/>
        <v>",HTeam= "</v>
      </c>
      <c r="T94" t="str">
        <f>Matchs!J95</f>
        <v>Austria</v>
      </c>
      <c r="U94" s="6" t="str">
        <f t="shared" si="29"/>
        <v>",HGoal=</v>
      </c>
      <c r="V94">
        <f>Matchs!K95</f>
        <v>7</v>
      </c>
      <c r="W94" s="6" t="str">
        <f t="shared" si="30"/>
        <v>,GGoal=</v>
      </c>
      <c r="X94">
        <f>Matchs!L95</f>
        <v>5</v>
      </c>
      <c r="Y94" s="6" t="str">
        <f t="shared" si="31"/>
        <v>,GTeam= "</v>
      </c>
      <c r="Z94" t="str">
        <f>Matchs!M95</f>
        <v>Switzerland</v>
      </c>
      <c r="AA94" s="6" t="str">
        <f t="shared" si="32"/>
        <v>",WinNote="</v>
      </c>
      <c r="AB94" t="str">
        <f>IF(Matchs!N95="","",Matchs!N95)</f>
        <v/>
      </c>
      <c r="AC94" s="6" t="str">
        <f t="shared" si="33"/>
        <v xml:space="preserve">",Stadium=" </v>
      </c>
      <c r="AD94" s="11" t="str">
        <f>Matchs!O95</f>
        <v xml:space="preserve">Stade Olympique de la Pontaise </v>
      </c>
      <c r="AE94" s="6" t="str">
        <f t="shared" si="34"/>
        <v>",Referee= "</v>
      </c>
      <c r="AF94" s="11" t="str">
        <f>Matchs!P95</f>
        <v xml:space="preserve">Charlie Faultless </v>
      </c>
      <c r="AG94" s="6" t="str">
        <f t="shared" si="35"/>
        <v xml:space="preserve">",Visistors= </v>
      </c>
      <c r="AH94" s="11">
        <f>Matchs!Q95</f>
        <v>35000</v>
      </c>
      <c r="AI94" s="11" t="str">
        <f t="shared" si="36"/>
        <v>,Status= "</v>
      </c>
      <c r="AJ94" s="11" t="str">
        <f>Matchs!R95</f>
        <v>Finished</v>
      </c>
      <c r="AK94" t="str">
        <f t="shared" si="37"/>
        <v>" },</v>
      </c>
    </row>
    <row r="95" spans="1:37" x14ac:dyDescent="0.25">
      <c r="A95" t="str">
        <f t="shared" si="19"/>
        <v>new Match { MatchId= "</v>
      </c>
      <c r="B95" t="str">
        <f>Matchs!A96</f>
        <v>FIFAWC1954-20</v>
      </c>
      <c r="C95" t="str">
        <f t="shared" si="20"/>
        <v>",MatchNumer=</v>
      </c>
      <c r="D95">
        <f>Matchs!B96</f>
        <v>20</v>
      </c>
      <c r="E95" t="str">
        <f t="shared" si="21"/>
        <v>,DateMatch=DateTime.Parse("</v>
      </c>
      <c r="F95" s="3">
        <f>Matchs!C96</f>
        <v>19901</v>
      </c>
      <c r="G95" s="10" t="str">
        <f t="shared" si="22"/>
        <v>"),TimeMatch=TimeSpan.Parse("</v>
      </c>
      <c r="H95" s="9">
        <f>Matchs!D96</f>
        <v>0.95138888888888884</v>
      </c>
      <c r="I95" t="str">
        <f t="shared" si="23"/>
        <v>"),MatchYear=</v>
      </c>
      <c r="J95">
        <f>Matchs!E96</f>
        <v>1954</v>
      </c>
      <c r="K95" t="str">
        <f t="shared" si="24"/>
        <v>, SeasonId= "</v>
      </c>
      <c r="L95" t="str">
        <f>Matchs!F96</f>
        <v>FIFAWC1954</v>
      </c>
      <c r="M95" t="str">
        <f t="shared" si="25"/>
        <v>",Round= "</v>
      </c>
      <c r="N95" t="str">
        <f>Matchs!G96</f>
        <v>Final Round</v>
      </c>
      <c r="O95" s="6" t="str">
        <f t="shared" si="26"/>
        <v>",Stage= "</v>
      </c>
      <c r="P95" t="str">
        <f>Matchs!H96</f>
        <v>Knockouts</v>
      </c>
      <c r="Q95" s="6" t="str">
        <f t="shared" si="27"/>
        <v>",SubStage= "</v>
      </c>
      <c r="R95" t="str">
        <f>Matchs!I96</f>
        <v>Quaterfinal</v>
      </c>
      <c r="S95" s="6" t="str">
        <f t="shared" si="28"/>
        <v>",HTeam= "</v>
      </c>
      <c r="T95" t="str">
        <f>Matchs!J96</f>
        <v>Uruguay</v>
      </c>
      <c r="U95" s="6" t="str">
        <f t="shared" si="29"/>
        <v>",HGoal=</v>
      </c>
      <c r="V95">
        <f>Matchs!K96</f>
        <v>4</v>
      </c>
      <c r="W95" s="6" t="str">
        <f t="shared" si="30"/>
        <v>,GGoal=</v>
      </c>
      <c r="X95">
        <f>Matchs!L96</f>
        <v>2</v>
      </c>
      <c r="Y95" s="6" t="str">
        <f t="shared" si="31"/>
        <v>,GTeam= "</v>
      </c>
      <c r="Z95" t="str">
        <f>Matchs!M96</f>
        <v>England</v>
      </c>
      <c r="AA95" s="6" t="str">
        <f t="shared" si="32"/>
        <v>",WinNote="</v>
      </c>
      <c r="AB95" t="str">
        <f>IF(Matchs!N96="","",Matchs!N96)</f>
        <v/>
      </c>
      <c r="AC95" s="6" t="str">
        <f t="shared" si="33"/>
        <v xml:space="preserve">",Stadium=" </v>
      </c>
      <c r="AD95" s="11" t="str">
        <f>Matchs!O96</f>
        <v xml:space="preserve">St. Jakob-Park </v>
      </c>
      <c r="AE95" s="6" t="str">
        <f t="shared" si="34"/>
        <v>",Referee= "</v>
      </c>
      <c r="AF95" s="11" t="str">
        <f>Matchs!P96</f>
        <v xml:space="preserve">Carl Erich Steiner </v>
      </c>
      <c r="AG95" s="6" t="str">
        <f t="shared" si="35"/>
        <v xml:space="preserve">",Visistors= </v>
      </c>
      <c r="AH95" s="11">
        <f>Matchs!Q96</f>
        <v>35000</v>
      </c>
      <c r="AI95" s="11" t="str">
        <f t="shared" si="36"/>
        <v>,Status= "</v>
      </c>
      <c r="AJ95" s="11" t="str">
        <f>Matchs!R96</f>
        <v>Finished</v>
      </c>
      <c r="AK95" t="str">
        <f t="shared" si="37"/>
        <v>" },</v>
      </c>
    </row>
    <row r="96" spans="1:37" x14ac:dyDescent="0.25">
      <c r="A96" t="str">
        <f t="shared" si="19"/>
        <v>new Match { MatchId= "</v>
      </c>
      <c r="B96" t="str">
        <f>Matchs!A97</f>
        <v>FIFAWC1954-21</v>
      </c>
      <c r="C96" t="str">
        <f t="shared" si="20"/>
        <v>",MatchNumer=</v>
      </c>
      <c r="D96">
        <f>Matchs!B97</f>
        <v>21</v>
      </c>
      <c r="E96" t="str">
        <f t="shared" si="21"/>
        <v>,DateMatch=DateTime.Parse("</v>
      </c>
      <c r="F96" s="3">
        <f>Matchs!C97</f>
        <v>19902</v>
      </c>
      <c r="G96" s="10" t="str">
        <f t="shared" si="22"/>
        <v>"),TimeMatch=TimeSpan.Parse("</v>
      </c>
      <c r="H96" s="9">
        <f>Matchs!D97</f>
        <v>0.95138888888888884</v>
      </c>
      <c r="I96" t="str">
        <f t="shared" si="23"/>
        <v>"),MatchYear=</v>
      </c>
      <c r="J96">
        <f>Matchs!E97</f>
        <v>1954</v>
      </c>
      <c r="K96" t="str">
        <f t="shared" si="24"/>
        <v>, SeasonId= "</v>
      </c>
      <c r="L96" t="str">
        <f>Matchs!F97</f>
        <v>FIFAWC1954</v>
      </c>
      <c r="M96" t="str">
        <f t="shared" si="25"/>
        <v>",Round= "</v>
      </c>
      <c r="N96" t="str">
        <f>Matchs!G97</f>
        <v>Final Round</v>
      </c>
      <c r="O96" s="6" t="str">
        <f t="shared" si="26"/>
        <v>",Stage= "</v>
      </c>
      <c r="P96" t="str">
        <f>Matchs!H97</f>
        <v>Knockouts</v>
      </c>
      <c r="Q96" s="6" t="str">
        <f t="shared" si="27"/>
        <v>",SubStage= "</v>
      </c>
      <c r="R96" t="str">
        <f>Matchs!I97</f>
        <v>Quaterfinal</v>
      </c>
      <c r="S96" s="6" t="str">
        <f t="shared" si="28"/>
        <v>",HTeam= "</v>
      </c>
      <c r="T96" t="str">
        <f>Matchs!J97</f>
        <v>Hungary</v>
      </c>
      <c r="U96" s="6" t="str">
        <f t="shared" si="29"/>
        <v>",HGoal=</v>
      </c>
      <c r="V96">
        <f>Matchs!K97</f>
        <v>4</v>
      </c>
      <c r="W96" s="6" t="str">
        <f t="shared" si="30"/>
        <v>,GGoal=</v>
      </c>
      <c r="X96">
        <f>Matchs!L97</f>
        <v>2</v>
      </c>
      <c r="Y96" s="6" t="str">
        <f t="shared" si="31"/>
        <v>,GTeam= "</v>
      </c>
      <c r="Z96" t="str">
        <f>Matchs!M97</f>
        <v>Brazil</v>
      </c>
      <c r="AA96" s="6" t="str">
        <f t="shared" si="32"/>
        <v>",WinNote="</v>
      </c>
      <c r="AB96" t="str">
        <f>IF(Matchs!N97="","",Matchs!N97)</f>
        <v/>
      </c>
      <c r="AC96" s="6" t="str">
        <f t="shared" si="33"/>
        <v xml:space="preserve">",Stadium=" </v>
      </c>
      <c r="AD96" s="11" t="str">
        <f>Matchs!O97</f>
        <v xml:space="preserve">Wankdorf Stadium </v>
      </c>
      <c r="AE96" s="6" t="str">
        <f t="shared" si="34"/>
        <v>",Referee= "</v>
      </c>
      <c r="AF96" s="11" t="str">
        <f>Matchs!P97</f>
        <v xml:space="preserve">Arthur Edward Ellis </v>
      </c>
      <c r="AG96" s="6" t="str">
        <f t="shared" si="35"/>
        <v xml:space="preserve">",Visistors= </v>
      </c>
      <c r="AH96" s="11">
        <f>Matchs!Q97</f>
        <v>60000</v>
      </c>
      <c r="AI96" s="11" t="str">
        <f t="shared" si="36"/>
        <v>,Status= "</v>
      </c>
      <c r="AJ96" s="11" t="str">
        <f>Matchs!R97</f>
        <v>Finished</v>
      </c>
      <c r="AK96" t="str">
        <f t="shared" si="37"/>
        <v>" },</v>
      </c>
    </row>
    <row r="97" spans="1:37" x14ac:dyDescent="0.25">
      <c r="A97" t="str">
        <f t="shared" si="19"/>
        <v>new Match { MatchId= "</v>
      </c>
      <c r="B97" t="str">
        <f>Matchs!A98</f>
        <v>FIFAWC1954-22</v>
      </c>
      <c r="C97" t="str">
        <f t="shared" si="20"/>
        <v>",MatchNumer=</v>
      </c>
      <c r="D97">
        <f>Matchs!B98</f>
        <v>22</v>
      </c>
      <c r="E97" t="str">
        <f t="shared" si="21"/>
        <v>,DateMatch=DateTime.Parse("</v>
      </c>
      <c r="F97" s="3">
        <f>Matchs!C98</f>
        <v>19902</v>
      </c>
      <c r="G97" s="10" t="str">
        <f t="shared" si="22"/>
        <v>"),TimeMatch=TimeSpan.Parse("</v>
      </c>
      <c r="H97" s="9">
        <f>Matchs!D98</f>
        <v>0.95138888888888884</v>
      </c>
      <c r="I97" t="str">
        <f t="shared" si="23"/>
        <v>"),MatchYear=</v>
      </c>
      <c r="J97">
        <f>Matchs!E98</f>
        <v>1954</v>
      </c>
      <c r="K97" t="str">
        <f t="shared" si="24"/>
        <v>, SeasonId= "</v>
      </c>
      <c r="L97" t="str">
        <f>Matchs!F98</f>
        <v>FIFAWC1954</v>
      </c>
      <c r="M97" t="str">
        <f t="shared" si="25"/>
        <v>",Round= "</v>
      </c>
      <c r="N97" t="str">
        <f>Matchs!G98</f>
        <v>Final Round</v>
      </c>
      <c r="O97" s="6" t="str">
        <f t="shared" si="26"/>
        <v>",Stage= "</v>
      </c>
      <c r="P97" t="str">
        <f>Matchs!H98</f>
        <v>Knockouts</v>
      </c>
      <c r="Q97" s="6" t="str">
        <f t="shared" si="27"/>
        <v>",SubStage= "</v>
      </c>
      <c r="R97" t="str">
        <f>Matchs!I98</f>
        <v>Quaterfinal</v>
      </c>
      <c r="S97" s="6" t="str">
        <f t="shared" si="28"/>
        <v>",HTeam= "</v>
      </c>
      <c r="T97" t="str">
        <f>Matchs!J98</f>
        <v>Germany</v>
      </c>
      <c r="U97" s="6" t="str">
        <f t="shared" si="29"/>
        <v>",HGoal=</v>
      </c>
      <c r="V97">
        <f>Matchs!K98</f>
        <v>2</v>
      </c>
      <c r="W97" s="6" t="str">
        <f t="shared" si="30"/>
        <v>,GGoal=</v>
      </c>
      <c r="X97">
        <f>Matchs!L98</f>
        <v>0</v>
      </c>
      <c r="Y97" s="6" t="str">
        <f t="shared" si="31"/>
        <v>,GTeam= "</v>
      </c>
      <c r="Z97" t="str">
        <f>Matchs!M98</f>
        <v>Yugoslavia</v>
      </c>
      <c r="AA97" s="6" t="str">
        <f t="shared" si="32"/>
        <v>",WinNote="</v>
      </c>
      <c r="AB97" t="str">
        <f>IF(Matchs!N98="","",Matchs!N98)</f>
        <v/>
      </c>
      <c r="AC97" s="6" t="str">
        <f t="shared" si="33"/>
        <v xml:space="preserve">",Stadium=" </v>
      </c>
      <c r="AD97" s="11" t="str">
        <f>Matchs!O98</f>
        <v xml:space="preserve">Charmilles Stadium </v>
      </c>
      <c r="AE97" s="6" t="str">
        <f t="shared" si="34"/>
        <v>",Referee= "</v>
      </c>
      <c r="AF97" s="11" t="str">
        <f>Matchs!P98</f>
        <v xml:space="preserve">Istan Zsolt </v>
      </c>
      <c r="AG97" s="6" t="str">
        <f t="shared" si="35"/>
        <v xml:space="preserve">",Visistors= </v>
      </c>
      <c r="AH97" s="11">
        <f>Matchs!Q98</f>
        <v>20000</v>
      </c>
      <c r="AI97" s="11" t="str">
        <f t="shared" si="36"/>
        <v>,Status= "</v>
      </c>
      <c r="AJ97" s="11" t="str">
        <f>Matchs!R98</f>
        <v>Finished</v>
      </c>
      <c r="AK97" t="str">
        <f t="shared" si="37"/>
        <v>" },</v>
      </c>
    </row>
    <row r="98" spans="1:37" x14ac:dyDescent="0.25">
      <c r="A98" t="str">
        <f t="shared" si="19"/>
        <v>new Match { MatchId= "</v>
      </c>
      <c r="B98" t="str">
        <f>Matchs!A99</f>
        <v>FIFAWC1954-23</v>
      </c>
      <c r="C98" t="str">
        <f t="shared" si="20"/>
        <v>",MatchNumer=</v>
      </c>
      <c r="D98">
        <f>Matchs!B99</f>
        <v>23</v>
      </c>
      <c r="E98" t="str">
        <f t="shared" si="21"/>
        <v>,DateMatch=DateTime.Parse("</v>
      </c>
      <c r="F98" s="3">
        <f>Matchs!C99</f>
        <v>19905</v>
      </c>
      <c r="G98" s="10" t="str">
        <f t="shared" si="22"/>
        <v>"),TimeMatch=TimeSpan.Parse("</v>
      </c>
      <c r="H98" s="9">
        <f>Matchs!D99</f>
        <v>0.95138888888888884</v>
      </c>
      <c r="I98" t="str">
        <f t="shared" si="23"/>
        <v>"),MatchYear=</v>
      </c>
      <c r="J98">
        <f>Matchs!E99</f>
        <v>1954</v>
      </c>
      <c r="K98" t="str">
        <f t="shared" si="24"/>
        <v>, SeasonId= "</v>
      </c>
      <c r="L98" t="str">
        <f>Matchs!F99</f>
        <v>FIFAWC1954</v>
      </c>
      <c r="M98" t="str">
        <f t="shared" si="25"/>
        <v>",Round= "</v>
      </c>
      <c r="N98" t="str">
        <f>Matchs!G99</f>
        <v>Final Round</v>
      </c>
      <c r="O98" s="6" t="str">
        <f t="shared" si="26"/>
        <v>",Stage= "</v>
      </c>
      <c r="P98" t="str">
        <f>Matchs!H99</f>
        <v>Knockouts</v>
      </c>
      <c r="Q98" s="6" t="str">
        <f t="shared" si="27"/>
        <v>",SubStage= "</v>
      </c>
      <c r="R98" t="str">
        <f>Matchs!I99</f>
        <v>Semifinal</v>
      </c>
      <c r="S98" s="6" t="str">
        <f t="shared" si="28"/>
        <v>",HTeam= "</v>
      </c>
      <c r="T98" t="str">
        <f>Matchs!J99</f>
        <v>Hungary</v>
      </c>
      <c r="U98" s="6" t="str">
        <f t="shared" si="29"/>
        <v>",HGoal=</v>
      </c>
      <c r="V98">
        <f>Matchs!K99</f>
        <v>4</v>
      </c>
      <c r="W98" s="6" t="str">
        <f t="shared" si="30"/>
        <v>,GGoal=</v>
      </c>
      <c r="X98">
        <f>Matchs!L99</f>
        <v>2</v>
      </c>
      <c r="Y98" s="6" t="str">
        <f t="shared" si="31"/>
        <v>,GTeam= "</v>
      </c>
      <c r="Z98" t="str">
        <f>Matchs!M99</f>
        <v>Uruguay</v>
      </c>
      <c r="AA98" s="6" t="str">
        <f t="shared" si="32"/>
        <v>",WinNote="</v>
      </c>
      <c r="AB98" t="str">
        <f>IF(Matchs!N99="","",Matchs!N99)</f>
        <v/>
      </c>
      <c r="AC98" s="6" t="str">
        <f t="shared" si="33"/>
        <v xml:space="preserve">",Stadium=" </v>
      </c>
      <c r="AD98" s="11" t="str">
        <f>Matchs!O99</f>
        <v xml:space="preserve">Stade Olympique de la Pontaise </v>
      </c>
      <c r="AE98" s="6" t="str">
        <f t="shared" si="34"/>
        <v>",Referee= "</v>
      </c>
      <c r="AF98" s="11" t="str">
        <f>Matchs!P99</f>
        <v xml:space="preserve">Benjamin Griffiths </v>
      </c>
      <c r="AG98" s="6" t="str">
        <f t="shared" si="35"/>
        <v xml:space="preserve">",Visistors= </v>
      </c>
      <c r="AH98" s="11">
        <f>Matchs!Q99</f>
        <v>37000</v>
      </c>
      <c r="AI98" s="11" t="str">
        <f t="shared" si="36"/>
        <v>,Status= "</v>
      </c>
      <c r="AJ98" s="11" t="str">
        <f>Matchs!R99</f>
        <v>Finished</v>
      </c>
      <c r="AK98" t="str">
        <f t="shared" si="37"/>
        <v>" },</v>
      </c>
    </row>
    <row r="99" spans="1:37" x14ac:dyDescent="0.25">
      <c r="A99" t="str">
        <f t="shared" si="19"/>
        <v>new Match { MatchId= "</v>
      </c>
      <c r="B99" t="str">
        <f>Matchs!A100</f>
        <v>FIFAWC1954-24</v>
      </c>
      <c r="C99" t="str">
        <f t="shared" si="20"/>
        <v>",MatchNumer=</v>
      </c>
      <c r="D99">
        <f>Matchs!B100</f>
        <v>24</v>
      </c>
      <c r="E99" t="str">
        <f t="shared" si="21"/>
        <v>,DateMatch=DateTime.Parse("</v>
      </c>
      <c r="F99" s="3">
        <f>Matchs!C100</f>
        <v>19905</v>
      </c>
      <c r="G99" s="10" t="str">
        <f t="shared" si="22"/>
        <v>"),TimeMatch=TimeSpan.Parse("</v>
      </c>
      <c r="H99" s="9">
        <f>Matchs!D100</f>
        <v>0.95138888888888884</v>
      </c>
      <c r="I99" t="str">
        <f t="shared" si="23"/>
        <v>"),MatchYear=</v>
      </c>
      <c r="J99">
        <f>Matchs!E100</f>
        <v>1954</v>
      </c>
      <c r="K99" t="str">
        <f t="shared" si="24"/>
        <v>, SeasonId= "</v>
      </c>
      <c r="L99" t="str">
        <f>Matchs!F100</f>
        <v>FIFAWC1954</v>
      </c>
      <c r="M99" t="str">
        <f t="shared" si="25"/>
        <v>",Round= "</v>
      </c>
      <c r="N99" t="str">
        <f>Matchs!G100</f>
        <v>Final Round</v>
      </c>
      <c r="O99" s="6" t="str">
        <f t="shared" si="26"/>
        <v>",Stage= "</v>
      </c>
      <c r="P99" t="str">
        <f>Matchs!H100</f>
        <v>Knockouts</v>
      </c>
      <c r="Q99" s="6" t="str">
        <f t="shared" si="27"/>
        <v>",SubStage= "</v>
      </c>
      <c r="R99" t="str">
        <f>Matchs!I100</f>
        <v>Semifinal</v>
      </c>
      <c r="S99" s="6" t="str">
        <f t="shared" si="28"/>
        <v>",HTeam= "</v>
      </c>
      <c r="T99" t="str">
        <f>Matchs!J100</f>
        <v>Germany</v>
      </c>
      <c r="U99" s="6" t="str">
        <f t="shared" si="29"/>
        <v>",HGoal=</v>
      </c>
      <c r="V99">
        <f>Matchs!K100</f>
        <v>6</v>
      </c>
      <c r="W99" s="6" t="str">
        <f t="shared" si="30"/>
        <v>,GGoal=</v>
      </c>
      <c r="X99">
        <f>Matchs!L100</f>
        <v>1</v>
      </c>
      <c r="Y99" s="6" t="str">
        <f t="shared" si="31"/>
        <v>,GTeam= "</v>
      </c>
      <c r="Z99" t="str">
        <f>Matchs!M100</f>
        <v>Austria</v>
      </c>
      <c r="AA99" s="6" t="str">
        <f t="shared" si="32"/>
        <v>",WinNote="</v>
      </c>
      <c r="AB99" t="str">
        <f>IF(Matchs!N100="","",Matchs!N100)</f>
        <v/>
      </c>
      <c r="AC99" s="6" t="str">
        <f t="shared" si="33"/>
        <v xml:space="preserve">",Stadium=" </v>
      </c>
      <c r="AD99" s="11" t="str">
        <f>Matchs!O100</f>
        <v xml:space="preserve">St. Jakob-Park </v>
      </c>
      <c r="AE99" s="6" t="str">
        <f t="shared" si="34"/>
        <v>",Referee= "</v>
      </c>
      <c r="AF99" s="11" t="str">
        <f>Matchs!P100</f>
        <v xml:space="preserve">Vincenzo Orlandini </v>
      </c>
      <c r="AG99" s="6" t="str">
        <f t="shared" si="35"/>
        <v xml:space="preserve">",Visistors= </v>
      </c>
      <c r="AH99" s="11">
        <f>Matchs!Q100</f>
        <v>58000</v>
      </c>
      <c r="AI99" s="11" t="str">
        <f t="shared" si="36"/>
        <v>,Status= "</v>
      </c>
      <c r="AJ99" s="11" t="str">
        <f>Matchs!R100</f>
        <v>Finished</v>
      </c>
      <c r="AK99" t="str">
        <f t="shared" si="37"/>
        <v>" },</v>
      </c>
    </row>
    <row r="100" spans="1:37" x14ac:dyDescent="0.25">
      <c r="A100" t="str">
        <f t="shared" si="19"/>
        <v>new Match { MatchId= "</v>
      </c>
      <c r="B100" t="str">
        <f>Matchs!A101</f>
        <v>FIFAWC1954-25</v>
      </c>
      <c r="C100" t="str">
        <f t="shared" si="20"/>
        <v>",MatchNumer=</v>
      </c>
      <c r="D100">
        <f>Matchs!B101</f>
        <v>25</v>
      </c>
      <c r="E100" t="str">
        <f t="shared" si="21"/>
        <v>,DateMatch=DateTime.Parse("</v>
      </c>
      <c r="F100" s="3">
        <f>Matchs!C101</f>
        <v>19908</v>
      </c>
      <c r="G100" s="10" t="str">
        <f t="shared" si="22"/>
        <v>"),TimeMatch=TimeSpan.Parse("</v>
      </c>
      <c r="H100" s="9">
        <f>Matchs!D101</f>
        <v>0.95138888888888884</v>
      </c>
      <c r="I100" t="str">
        <f t="shared" si="23"/>
        <v>"),MatchYear=</v>
      </c>
      <c r="J100">
        <f>Matchs!E101</f>
        <v>1954</v>
      </c>
      <c r="K100" t="str">
        <f t="shared" si="24"/>
        <v>, SeasonId= "</v>
      </c>
      <c r="L100" t="str">
        <f>Matchs!F101</f>
        <v>FIFAWC1954</v>
      </c>
      <c r="M100" t="str">
        <f t="shared" si="25"/>
        <v>",Round= "</v>
      </c>
      <c r="N100" t="str">
        <f>Matchs!G101</f>
        <v>Final Round</v>
      </c>
      <c r="O100" s="6" t="str">
        <f t="shared" si="26"/>
        <v>",Stage= "</v>
      </c>
      <c r="P100" t="str">
        <f>Matchs!H101</f>
        <v>Knockouts</v>
      </c>
      <c r="Q100" s="6" t="str">
        <f t="shared" si="27"/>
        <v>",SubStage= "</v>
      </c>
      <c r="R100" t="str">
        <f>Matchs!I101</f>
        <v>3rd place</v>
      </c>
      <c r="S100" s="6" t="str">
        <f t="shared" si="28"/>
        <v>",HTeam= "</v>
      </c>
      <c r="T100" t="str">
        <f>Matchs!J101</f>
        <v>Austria</v>
      </c>
      <c r="U100" s="6" t="str">
        <f t="shared" si="29"/>
        <v>",HGoal=</v>
      </c>
      <c r="V100">
        <f>Matchs!K101</f>
        <v>3</v>
      </c>
      <c r="W100" s="6" t="str">
        <f t="shared" si="30"/>
        <v>,GGoal=</v>
      </c>
      <c r="X100">
        <f>Matchs!L101</f>
        <v>1</v>
      </c>
      <c r="Y100" s="6" t="str">
        <f t="shared" si="31"/>
        <v>,GTeam= "</v>
      </c>
      <c r="Z100" t="str">
        <f>Matchs!M101</f>
        <v>Uruguay</v>
      </c>
      <c r="AA100" s="6" t="str">
        <f t="shared" si="32"/>
        <v>",WinNote="</v>
      </c>
      <c r="AB100" t="str">
        <f>IF(Matchs!N101="","",Matchs!N101)</f>
        <v/>
      </c>
      <c r="AC100" s="6" t="str">
        <f t="shared" si="33"/>
        <v xml:space="preserve">",Stadium=" </v>
      </c>
      <c r="AD100" s="11" t="str">
        <f>Matchs!O101</f>
        <v xml:space="preserve">Hardturm </v>
      </c>
      <c r="AE100" s="6" t="str">
        <f t="shared" si="34"/>
        <v>",Referee= "</v>
      </c>
      <c r="AF100" s="11" t="str">
        <f>Matchs!P101</f>
        <v xml:space="preserve">Raymon Wyssling </v>
      </c>
      <c r="AG100" s="6" t="str">
        <f t="shared" si="35"/>
        <v xml:space="preserve">",Visistors= </v>
      </c>
      <c r="AH100" s="11">
        <f>Matchs!Q101</f>
        <v>35000</v>
      </c>
      <c r="AI100" s="11" t="str">
        <f t="shared" si="36"/>
        <v>,Status= "</v>
      </c>
      <c r="AJ100" s="11" t="str">
        <f>Matchs!R101</f>
        <v>Finished</v>
      </c>
      <c r="AK100" t="str">
        <f t="shared" si="37"/>
        <v>" },</v>
      </c>
    </row>
    <row r="101" spans="1:37" x14ac:dyDescent="0.25">
      <c r="A101" t="str">
        <f t="shared" si="19"/>
        <v>new Match { MatchId= "</v>
      </c>
      <c r="B101" t="str">
        <f>Matchs!A102</f>
        <v>FIFAWC1954-26</v>
      </c>
      <c r="C101" t="str">
        <f t="shared" si="20"/>
        <v>",MatchNumer=</v>
      </c>
      <c r="D101">
        <f>Matchs!B102</f>
        <v>26</v>
      </c>
      <c r="E101" t="str">
        <f t="shared" si="21"/>
        <v>,DateMatch=DateTime.Parse("</v>
      </c>
      <c r="F101" s="3">
        <f>Matchs!C102</f>
        <v>19909</v>
      </c>
      <c r="G101" s="10" t="str">
        <f t="shared" si="22"/>
        <v>"),TimeMatch=TimeSpan.Parse("</v>
      </c>
      <c r="H101" s="9">
        <f>Matchs!D102</f>
        <v>0.95138888888888884</v>
      </c>
      <c r="I101" t="str">
        <f t="shared" si="23"/>
        <v>"),MatchYear=</v>
      </c>
      <c r="J101">
        <f>Matchs!E102</f>
        <v>1954</v>
      </c>
      <c r="K101" t="str">
        <f t="shared" si="24"/>
        <v>, SeasonId= "</v>
      </c>
      <c r="L101" t="str">
        <f>Matchs!F102</f>
        <v>FIFAWC1954</v>
      </c>
      <c r="M101" t="str">
        <f t="shared" si="25"/>
        <v>",Round= "</v>
      </c>
      <c r="N101" t="str">
        <f>Matchs!G102</f>
        <v>Final Round</v>
      </c>
      <c r="O101" s="6" t="str">
        <f t="shared" si="26"/>
        <v>",Stage= "</v>
      </c>
      <c r="P101" t="str">
        <f>Matchs!H102</f>
        <v>Knockouts</v>
      </c>
      <c r="Q101" s="6" t="str">
        <f t="shared" si="27"/>
        <v>",SubStage= "</v>
      </c>
      <c r="R101" t="str">
        <f>Matchs!I102</f>
        <v>Final</v>
      </c>
      <c r="S101" s="6" t="str">
        <f t="shared" si="28"/>
        <v>",HTeam= "</v>
      </c>
      <c r="T101" t="str">
        <f>Matchs!J102</f>
        <v>Germany</v>
      </c>
      <c r="U101" s="6" t="str">
        <f t="shared" si="29"/>
        <v>",HGoal=</v>
      </c>
      <c r="V101">
        <f>Matchs!K102</f>
        <v>3</v>
      </c>
      <c r="W101" s="6" t="str">
        <f t="shared" si="30"/>
        <v>,GGoal=</v>
      </c>
      <c r="X101">
        <f>Matchs!L102</f>
        <v>2</v>
      </c>
      <c r="Y101" s="6" t="str">
        <f t="shared" si="31"/>
        <v>,GTeam= "</v>
      </c>
      <c r="Z101" t="str">
        <f>Matchs!M102</f>
        <v>Hungary</v>
      </c>
      <c r="AA101" s="6" t="str">
        <f t="shared" si="32"/>
        <v>",WinNote="</v>
      </c>
      <c r="AB101" t="str">
        <f>IF(Matchs!N102="","",Matchs!N102)</f>
        <v/>
      </c>
      <c r="AC101" s="6" t="str">
        <f t="shared" si="33"/>
        <v xml:space="preserve">",Stadium=" </v>
      </c>
      <c r="AD101" s="11" t="str">
        <f>Matchs!O102</f>
        <v xml:space="preserve">Wankdorf Stadium </v>
      </c>
      <c r="AE101" s="6" t="str">
        <f t="shared" si="34"/>
        <v>",Referee= "</v>
      </c>
      <c r="AF101" s="11" t="str">
        <f>Matchs!P102</f>
        <v xml:space="preserve">William Ling </v>
      </c>
      <c r="AG101" s="6" t="str">
        <f t="shared" si="35"/>
        <v xml:space="preserve">",Visistors= </v>
      </c>
      <c r="AH101" s="11">
        <f>Matchs!Q102</f>
        <v>60000</v>
      </c>
      <c r="AI101" s="11" t="str">
        <f t="shared" si="36"/>
        <v>,Status= "</v>
      </c>
      <c r="AJ101" s="11" t="str">
        <f>Matchs!R102</f>
        <v>Finished</v>
      </c>
      <c r="AK101" t="str">
        <f t="shared" si="37"/>
        <v>" },</v>
      </c>
    </row>
    <row r="102" spans="1:37" x14ac:dyDescent="0.25">
      <c r="A102" t="str">
        <f t="shared" si="19"/>
        <v>new Match { MatchId= "</v>
      </c>
      <c r="B102" t="str">
        <f>Matchs!A103</f>
        <v>FIFAWC1958-1</v>
      </c>
      <c r="C102" t="str">
        <f t="shared" si="20"/>
        <v>",MatchNumer=</v>
      </c>
      <c r="D102">
        <f>Matchs!B103</f>
        <v>1</v>
      </c>
      <c r="E102" t="str">
        <f t="shared" si="21"/>
        <v>,DateMatch=DateTime.Parse("</v>
      </c>
      <c r="F102" s="3">
        <f>Matchs!C103</f>
        <v>21344</v>
      </c>
      <c r="G102" s="10" t="str">
        <f t="shared" si="22"/>
        <v>"),TimeMatch=TimeSpan.Parse("</v>
      </c>
      <c r="H102" s="9">
        <f>Matchs!D103</f>
        <v>0.79166666666666663</v>
      </c>
      <c r="I102" t="str">
        <f t="shared" si="23"/>
        <v>"),MatchYear=</v>
      </c>
      <c r="J102">
        <f>Matchs!E103</f>
        <v>1958</v>
      </c>
      <c r="K102" t="str">
        <f t="shared" si="24"/>
        <v>, SeasonId= "</v>
      </c>
      <c r="L102" t="str">
        <f>Matchs!F103</f>
        <v>FIFAWC1958</v>
      </c>
      <c r="M102" t="str">
        <f t="shared" si="25"/>
        <v>",Round= "</v>
      </c>
      <c r="N102" t="str">
        <f>Matchs!G103</f>
        <v>Final Round</v>
      </c>
      <c r="O102" s="6" t="str">
        <f t="shared" si="26"/>
        <v>",Stage= "</v>
      </c>
      <c r="P102" t="str">
        <f>Matchs!H103</f>
        <v>Group</v>
      </c>
      <c r="Q102" s="6" t="str">
        <f t="shared" si="27"/>
        <v>",SubStage= "</v>
      </c>
      <c r="R102" t="str">
        <f>Matchs!I103</f>
        <v>Group 3</v>
      </c>
      <c r="S102" s="6" t="str">
        <f t="shared" si="28"/>
        <v>",HTeam= "</v>
      </c>
      <c r="T102" t="str">
        <f>Matchs!J103</f>
        <v>Sweden</v>
      </c>
      <c r="U102" s="6" t="str">
        <f t="shared" si="29"/>
        <v>",HGoal=</v>
      </c>
      <c r="V102">
        <f>Matchs!K103</f>
        <v>3</v>
      </c>
      <c r="W102" s="6" t="str">
        <f t="shared" si="30"/>
        <v>,GGoal=</v>
      </c>
      <c r="X102">
        <f>Matchs!L103</f>
        <v>0</v>
      </c>
      <c r="Y102" s="6" t="str">
        <f t="shared" si="31"/>
        <v>,GTeam= "</v>
      </c>
      <c r="Z102" t="str">
        <f>Matchs!M103</f>
        <v>Mexico</v>
      </c>
      <c r="AA102" s="6" t="str">
        <f t="shared" si="32"/>
        <v>",WinNote="</v>
      </c>
      <c r="AB102" t="str">
        <f>IF(Matchs!N103="","",Matchs!N103)</f>
        <v/>
      </c>
      <c r="AC102" s="6" t="str">
        <f t="shared" si="33"/>
        <v xml:space="preserve">",Stadium=" </v>
      </c>
      <c r="AD102" s="11" t="str">
        <f>Matchs!O103</f>
        <v xml:space="preserve">Råsunda Stadium </v>
      </c>
      <c r="AE102" s="6" t="str">
        <f t="shared" si="34"/>
        <v>",Referee= "</v>
      </c>
      <c r="AF102" s="11" t="str">
        <f>Matchs!P103</f>
        <v xml:space="preserve">Latychev </v>
      </c>
      <c r="AG102" s="6" t="str">
        <f t="shared" si="35"/>
        <v xml:space="preserve">",Visistors= </v>
      </c>
      <c r="AH102" s="11">
        <f>Matchs!Q103</f>
        <v>45000</v>
      </c>
      <c r="AI102" s="11" t="str">
        <f t="shared" si="36"/>
        <v>,Status= "</v>
      </c>
      <c r="AJ102" s="11" t="str">
        <f>Matchs!R103</f>
        <v>Finished</v>
      </c>
      <c r="AK102" t="str">
        <f t="shared" si="37"/>
        <v>" },</v>
      </c>
    </row>
    <row r="103" spans="1:37" x14ac:dyDescent="0.25">
      <c r="A103" t="str">
        <f t="shared" si="19"/>
        <v>new Match { MatchId= "</v>
      </c>
      <c r="B103" t="str">
        <f>Matchs!A104</f>
        <v>FIFAWC1958-2</v>
      </c>
      <c r="C103" t="str">
        <f t="shared" si="20"/>
        <v>",MatchNumer=</v>
      </c>
      <c r="D103">
        <f>Matchs!B104</f>
        <v>2</v>
      </c>
      <c r="E103" t="str">
        <f t="shared" si="21"/>
        <v>,DateMatch=DateTime.Parse("</v>
      </c>
      <c r="F103" s="3">
        <f>Matchs!C104</f>
        <v>21344</v>
      </c>
      <c r="G103" s="10" t="str">
        <f t="shared" si="22"/>
        <v>"),TimeMatch=TimeSpan.Parse("</v>
      </c>
      <c r="H103" s="9">
        <f>Matchs!D104</f>
        <v>1</v>
      </c>
      <c r="I103" t="str">
        <f t="shared" si="23"/>
        <v>"),MatchYear=</v>
      </c>
      <c r="J103">
        <f>Matchs!E104</f>
        <v>1958</v>
      </c>
      <c r="K103" t="str">
        <f t="shared" si="24"/>
        <v>, SeasonId= "</v>
      </c>
      <c r="L103" t="str">
        <f>Matchs!F104</f>
        <v>FIFAWC1958</v>
      </c>
      <c r="M103" t="str">
        <f t="shared" si="25"/>
        <v>",Round= "</v>
      </c>
      <c r="N103" t="str">
        <f>Matchs!G104</f>
        <v>Final Round</v>
      </c>
      <c r="O103" s="6" t="str">
        <f t="shared" si="26"/>
        <v>",Stage= "</v>
      </c>
      <c r="P103" t="str">
        <f>Matchs!H104</f>
        <v>Group</v>
      </c>
      <c r="Q103" s="6" t="str">
        <f t="shared" si="27"/>
        <v>",SubStage= "</v>
      </c>
      <c r="R103" t="str">
        <f>Matchs!I104</f>
        <v>Group 2</v>
      </c>
      <c r="S103" s="6" t="str">
        <f t="shared" si="28"/>
        <v>",HTeam= "</v>
      </c>
      <c r="T103" t="str">
        <f>Matchs!J104</f>
        <v>France</v>
      </c>
      <c r="U103" s="6" t="str">
        <f t="shared" si="29"/>
        <v>",HGoal=</v>
      </c>
      <c r="V103">
        <f>Matchs!K104</f>
        <v>7</v>
      </c>
      <c r="W103" s="6" t="str">
        <f t="shared" si="30"/>
        <v>,GGoal=</v>
      </c>
      <c r="X103">
        <f>Matchs!L104</f>
        <v>3</v>
      </c>
      <c r="Y103" s="6" t="str">
        <f t="shared" si="31"/>
        <v>,GTeam= "</v>
      </c>
      <c r="Z103" t="str">
        <f>Matchs!M104</f>
        <v>Paraguay</v>
      </c>
      <c r="AA103" s="6" t="str">
        <f t="shared" si="32"/>
        <v>",WinNote="</v>
      </c>
      <c r="AB103" t="str">
        <f>IF(Matchs!N104="","",Matchs!N104)</f>
        <v/>
      </c>
      <c r="AC103" s="6" t="str">
        <f t="shared" si="33"/>
        <v xml:space="preserve">",Stadium=" </v>
      </c>
      <c r="AD103" s="11" t="str">
        <f>Matchs!O104</f>
        <v xml:space="preserve">Idrottsparken </v>
      </c>
      <c r="AE103" s="6" t="str">
        <f t="shared" si="34"/>
        <v>",Referee= "</v>
      </c>
      <c r="AF103" s="11" t="str">
        <f>Matchs!P104</f>
        <v xml:space="preserve">Gardeazabal </v>
      </c>
      <c r="AG103" s="6" t="str">
        <f t="shared" si="35"/>
        <v xml:space="preserve">",Visistors= </v>
      </c>
      <c r="AH103" s="11">
        <f>Matchs!Q104</f>
        <v>16500</v>
      </c>
      <c r="AI103" s="11" t="str">
        <f t="shared" si="36"/>
        <v>,Status= "</v>
      </c>
      <c r="AJ103" s="11" t="str">
        <f>Matchs!R104</f>
        <v>Finished</v>
      </c>
      <c r="AK103" t="str">
        <f t="shared" si="37"/>
        <v>" },</v>
      </c>
    </row>
    <row r="104" spans="1:37" x14ac:dyDescent="0.25">
      <c r="A104" t="str">
        <f t="shared" si="19"/>
        <v>new Match { MatchId= "</v>
      </c>
      <c r="B104" t="str">
        <f>Matchs!A105</f>
        <v>FIFAWC1958-3</v>
      </c>
      <c r="C104" t="str">
        <f t="shared" si="20"/>
        <v>",MatchNumer=</v>
      </c>
      <c r="D104">
        <f>Matchs!B105</f>
        <v>3</v>
      </c>
      <c r="E104" t="str">
        <f t="shared" si="21"/>
        <v>,DateMatch=DateTime.Parse("</v>
      </c>
      <c r="F104" s="3">
        <f>Matchs!C105</f>
        <v>21344</v>
      </c>
      <c r="G104" s="10" t="str">
        <f t="shared" si="22"/>
        <v>"),TimeMatch=TimeSpan.Parse("</v>
      </c>
      <c r="H104" s="9">
        <f>Matchs!D105</f>
        <v>1</v>
      </c>
      <c r="I104" t="str">
        <f t="shared" si="23"/>
        <v>"),MatchYear=</v>
      </c>
      <c r="J104">
        <f>Matchs!E105</f>
        <v>1958</v>
      </c>
      <c r="K104" t="str">
        <f t="shared" si="24"/>
        <v>, SeasonId= "</v>
      </c>
      <c r="L104" t="str">
        <f>Matchs!F105</f>
        <v>FIFAWC1958</v>
      </c>
      <c r="M104" t="str">
        <f t="shared" si="25"/>
        <v>",Round= "</v>
      </c>
      <c r="N104" t="str">
        <f>Matchs!G105</f>
        <v>Final Round</v>
      </c>
      <c r="O104" s="6" t="str">
        <f t="shared" si="26"/>
        <v>",Stage= "</v>
      </c>
      <c r="P104" t="str">
        <f>Matchs!H105</f>
        <v>Group</v>
      </c>
      <c r="Q104" s="6" t="str">
        <f t="shared" si="27"/>
        <v>",SubStage= "</v>
      </c>
      <c r="R104" t="str">
        <f>Matchs!I105</f>
        <v>Group 3</v>
      </c>
      <c r="S104" s="6" t="str">
        <f t="shared" si="28"/>
        <v>",HTeam= "</v>
      </c>
      <c r="T104" t="str">
        <f>Matchs!J105</f>
        <v>Hungary</v>
      </c>
      <c r="U104" s="6" t="str">
        <f t="shared" si="29"/>
        <v>",HGoal=</v>
      </c>
      <c r="V104">
        <f>Matchs!K105</f>
        <v>1</v>
      </c>
      <c r="W104" s="6" t="str">
        <f t="shared" si="30"/>
        <v>,GGoal=</v>
      </c>
      <c r="X104">
        <f>Matchs!L105</f>
        <v>1</v>
      </c>
      <c r="Y104" s="6" t="str">
        <f t="shared" si="31"/>
        <v>,GTeam= "</v>
      </c>
      <c r="Z104" t="str">
        <f>Matchs!M105</f>
        <v>Wales</v>
      </c>
      <c r="AA104" s="6" t="str">
        <f t="shared" si="32"/>
        <v>",WinNote="</v>
      </c>
      <c r="AB104" t="str">
        <f>IF(Matchs!N105="","",Matchs!N105)</f>
        <v/>
      </c>
      <c r="AC104" s="6" t="str">
        <f t="shared" si="33"/>
        <v xml:space="preserve">",Stadium=" </v>
      </c>
      <c r="AD104" s="11" t="str">
        <f>Matchs!O105</f>
        <v xml:space="preserve">Jernvallen </v>
      </c>
      <c r="AE104" s="6" t="str">
        <f t="shared" si="34"/>
        <v>",Referee= "</v>
      </c>
      <c r="AF104" s="11" t="str">
        <f>Matchs!P105</f>
        <v xml:space="preserve">Codesal </v>
      </c>
      <c r="AG104" s="6" t="str">
        <f t="shared" si="35"/>
        <v xml:space="preserve">",Visistors= </v>
      </c>
      <c r="AH104" s="11">
        <f>Matchs!Q105</f>
        <v>20000</v>
      </c>
      <c r="AI104" s="11" t="str">
        <f t="shared" si="36"/>
        <v>,Status= "</v>
      </c>
      <c r="AJ104" s="11" t="str">
        <f>Matchs!R105</f>
        <v>Finished</v>
      </c>
      <c r="AK104" t="str">
        <f t="shared" si="37"/>
        <v>" },</v>
      </c>
    </row>
    <row r="105" spans="1:37" x14ac:dyDescent="0.25">
      <c r="A105" t="str">
        <f t="shared" si="19"/>
        <v>new Match { MatchId= "</v>
      </c>
      <c r="B105" t="str">
        <f>Matchs!A106</f>
        <v>FIFAWC1958-4</v>
      </c>
      <c r="C105" t="str">
        <f t="shared" si="20"/>
        <v>",MatchNumer=</v>
      </c>
      <c r="D105">
        <f>Matchs!B106</f>
        <v>4</v>
      </c>
      <c r="E105" t="str">
        <f t="shared" si="21"/>
        <v>,DateMatch=DateTime.Parse("</v>
      </c>
      <c r="F105" s="3">
        <f>Matchs!C106</f>
        <v>21344</v>
      </c>
      <c r="G105" s="10" t="str">
        <f t="shared" si="22"/>
        <v>"),TimeMatch=TimeSpan.Parse("</v>
      </c>
      <c r="H105" s="9">
        <f>Matchs!D106</f>
        <v>1</v>
      </c>
      <c r="I105" t="str">
        <f t="shared" si="23"/>
        <v>"),MatchYear=</v>
      </c>
      <c r="J105">
        <f>Matchs!E106</f>
        <v>1958</v>
      </c>
      <c r="K105" t="str">
        <f t="shared" si="24"/>
        <v>, SeasonId= "</v>
      </c>
      <c r="L105" t="str">
        <f>Matchs!F106</f>
        <v>FIFAWC1958</v>
      </c>
      <c r="M105" t="str">
        <f t="shared" si="25"/>
        <v>",Round= "</v>
      </c>
      <c r="N105" t="str">
        <f>Matchs!G106</f>
        <v>Final Round</v>
      </c>
      <c r="O105" s="6" t="str">
        <f t="shared" si="26"/>
        <v>",Stage= "</v>
      </c>
      <c r="P105" t="str">
        <f>Matchs!H106</f>
        <v>Group</v>
      </c>
      <c r="Q105" s="6" t="str">
        <f t="shared" si="27"/>
        <v>",SubStage= "</v>
      </c>
      <c r="R105" t="str">
        <f>Matchs!I106</f>
        <v>Group 4</v>
      </c>
      <c r="S105" s="6" t="str">
        <f t="shared" si="28"/>
        <v>",HTeam= "</v>
      </c>
      <c r="T105" t="str">
        <f>Matchs!J106</f>
        <v>Soviet Union</v>
      </c>
      <c r="U105" s="6" t="str">
        <f t="shared" si="29"/>
        <v>",HGoal=</v>
      </c>
      <c r="V105">
        <f>Matchs!K106</f>
        <v>2</v>
      </c>
      <c r="W105" s="6" t="str">
        <f t="shared" si="30"/>
        <v>,GGoal=</v>
      </c>
      <c r="X105">
        <f>Matchs!L106</f>
        <v>2</v>
      </c>
      <c r="Y105" s="6" t="str">
        <f t="shared" si="31"/>
        <v>,GTeam= "</v>
      </c>
      <c r="Z105" t="str">
        <f>Matchs!M106</f>
        <v>England</v>
      </c>
      <c r="AA105" s="6" t="str">
        <f t="shared" si="32"/>
        <v>",WinNote="</v>
      </c>
      <c r="AB105" t="str">
        <f>IF(Matchs!N106="","",Matchs!N106)</f>
        <v/>
      </c>
      <c r="AC105" s="6" t="str">
        <f t="shared" si="33"/>
        <v xml:space="preserve">",Stadium=" </v>
      </c>
      <c r="AD105" s="11" t="str">
        <f>Matchs!O106</f>
        <v xml:space="preserve">Ullevi </v>
      </c>
      <c r="AE105" s="6" t="str">
        <f t="shared" si="34"/>
        <v>",Referee= "</v>
      </c>
      <c r="AF105" s="11" t="str">
        <f>Matchs!P106</f>
        <v xml:space="preserve">Zsolt </v>
      </c>
      <c r="AG105" s="6" t="str">
        <f t="shared" si="35"/>
        <v xml:space="preserve">",Visistors= </v>
      </c>
      <c r="AH105" s="11">
        <f>Matchs!Q106</f>
        <v>49348</v>
      </c>
      <c r="AI105" s="11" t="str">
        <f t="shared" si="36"/>
        <v>,Status= "</v>
      </c>
      <c r="AJ105" s="11" t="str">
        <f>Matchs!R106</f>
        <v>Finished</v>
      </c>
      <c r="AK105" t="str">
        <f t="shared" si="37"/>
        <v>" },</v>
      </c>
    </row>
    <row r="106" spans="1:37" x14ac:dyDescent="0.25">
      <c r="A106" t="str">
        <f t="shared" si="19"/>
        <v>new Match { MatchId= "</v>
      </c>
      <c r="B106" t="str">
        <f>Matchs!A107</f>
        <v>FIFAWC1958-5</v>
      </c>
      <c r="C106" t="str">
        <f t="shared" si="20"/>
        <v>",MatchNumer=</v>
      </c>
      <c r="D106">
        <f>Matchs!B107</f>
        <v>5</v>
      </c>
      <c r="E106" t="str">
        <f t="shared" si="21"/>
        <v>,DateMatch=DateTime.Parse("</v>
      </c>
      <c r="F106" s="3">
        <f>Matchs!C107</f>
        <v>21344</v>
      </c>
      <c r="G106" s="10" t="str">
        <f t="shared" si="22"/>
        <v>"),TimeMatch=TimeSpan.Parse("</v>
      </c>
      <c r="H106" s="9">
        <f>Matchs!D107</f>
        <v>1</v>
      </c>
      <c r="I106" t="str">
        <f t="shared" si="23"/>
        <v>"),MatchYear=</v>
      </c>
      <c r="J106">
        <f>Matchs!E107</f>
        <v>1958</v>
      </c>
      <c r="K106" t="str">
        <f t="shared" si="24"/>
        <v>, SeasonId= "</v>
      </c>
      <c r="L106" t="str">
        <f>Matchs!F107</f>
        <v>FIFAWC1958</v>
      </c>
      <c r="M106" t="str">
        <f t="shared" si="25"/>
        <v>",Round= "</v>
      </c>
      <c r="N106" t="str">
        <f>Matchs!G107</f>
        <v>Final Round</v>
      </c>
      <c r="O106" s="6" t="str">
        <f t="shared" si="26"/>
        <v>",Stage= "</v>
      </c>
      <c r="P106" t="str">
        <f>Matchs!H107</f>
        <v>Group</v>
      </c>
      <c r="Q106" s="6" t="str">
        <f t="shared" si="27"/>
        <v>",SubStage= "</v>
      </c>
      <c r="R106" t="str">
        <f>Matchs!I107</f>
        <v>Group 1</v>
      </c>
      <c r="S106" s="6" t="str">
        <f t="shared" si="28"/>
        <v>",HTeam= "</v>
      </c>
      <c r="T106" t="str">
        <f>Matchs!J107</f>
        <v>Northern Ireland</v>
      </c>
      <c r="U106" s="6" t="str">
        <f t="shared" si="29"/>
        <v>",HGoal=</v>
      </c>
      <c r="V106">
        <f>Matchs!K107</f>
        <v>1</v>
      </c>
      <c r="W106" s="6" t="str">
        <f t="shared" si="30"/>
        <v>,GGoal=</v>
      </c>
      <c r="X106">
        <f>Matchs!L107</f>
        <v>0</v>
      </c>
      <c r="Y106" s="6" t="str">
        <f t="shared" si="31"/>
        <v>,GTeam= "</v>
      </c>
      <c r="Z106" t="str">
        <f>Matchs!M107</f>
        <v>Czechoslovakia</v>
      </c>
      <c r="AA106" s="6" t="str">
        <f t="shared" si="32"/>
        <v>",WinNote="</v>
      </c>
      <c r="AB106" t="str">
        <f>IF(Matchs!N107="","",Matchs!N107)</f>
        <v/>
      </c>
      <c r="AC106" s="6" t="str">
        <f t="shared" si="33"/>
        <v xml:space="preserve">",Stadium=" </v>
      </c>
      <c r="AD106" s="11" t="str">
        <f>Matchs!O107</f>
        <v xml:space="preserve">Örjans Vall </v>
      </c>
      <c r="AE106" s="6" t="str">
        <f t="shared" si="34"/>
        <v>",Referee= "</v>
      </c>
      <c r="AF106" s="11" t="str">
        <f>Matchs!P107</f>
        <v xml:space="preserve">Seipelt </v>
      </c>
      <c r="AG106" s="6" t="str">
        <f t="shared" si="35"/>
        <v xml:space="preserve">",Visistors= </v>
      </c>
      <c r="AH106" s="11">
        <f>Matchs!Q107</f>
        <v>10647</v>
      </c>
      <c r="AI106" s="11" t="str">
        <f t="shared" si="36"/>
        <v>,Status= "</v>
      </c>
      <c r="AJ106" s="11" t="str">
        <f>Matchs!R107</f>
        <v>Finished</v>
      </c>
      <c r="AK106" t="str">
        <f t="shared" si="37"/>
        <v>" },</v>
      </c>
    </row>
    <row r="107" spans="1:37" x14ac:dyDescent="0.25">
      <c r="A107" t="str">
        <f t="shared" si="19"/>
        <v>new Match { MatchId= "</v>
      </c>
      <c r="B107" t="str">
        <f>Matchs!A108</f>
        <v>FIFAWC1958-6</v>
      </c>
      <c r="C107" t="str">
        <f t="shared" si="20"/>
        <v>",MatchNumer=</v>
      </c>
      <c r="D107">
        <f>Matchs!B108</f>
        <v>6</v>
      </c>
      <c r="E107" t="str">
        <f t="shared" si="21"/>
        <v>,DateMatch=DateTime.Parse("</v>
      </c>
      <c r="F107" s="3">
        <f>Matchs!C108</f>
        <v>21344</v>
      </c>
      <c r="G107" s="10" t="str">
        <f t="shared" si="22"/>
        <v>"),TimeMatch=TimeSpan.Parse("</v>
      </c>
      <c r="H107" s="9">
        <f>Matchs!D108</f>
        <v>1</v>
      </c>
      <c r="I107" t="str">
        <f t="shared" si="23"/>
        <v>"),MatchYear=</v>
      </c>
      <c r="J107">
        <f>Matchs!E108</f>
        <v>1958</v>
      </c>
      <c r="K107" t="str">
        <f t="shared" si="24"/>
        <v>, SeasonId= "</v>
      </c>
      <c r="L107" t="str">
        <f>Matchs!F108</f>
        <v>FIFAWC1958</v>
      </c>
      <c r="M107" t="str">
        <f t="shared" si="25"/>
        <v>",Round= "</v>
      </c>
      <c r="N107" t="str">
        <f>Matchs!G108</f>
        <v>Final Round</v>
      </c>
      <c r="O107" s="6" t="str">
        <f t="shared" si="26"/>
        <v>",Stage= "</v>
      </c>
      <c r="P107" t="str">
        <f>Matchs!H108</f>
        <v>Group</v>
      </c>
      <c r="Q107" s="6" t="str">
        <f t="shared" si="27"/>
        <v>",SubStage= "</v>
      </c>
      <c r="R107" t="str">
        <f>Matchs!I108</f>
        <v>Group 1</v>
      </c>
      <c r="S107" s="6" t="str">
        <f t="shared" si="28"/>
        <v>",HTeam= "</v>
      </c>
      <c r="T107" t="str">
        <f>Matchs!J108</f>
        <v>Argentina</v>
      </c>
      <c r="U107" s="6" t="str">
        <f t="shared" si="29"/>
        <v>",HGoal=</v>
      </c>
      <c r="V107">
        <f>Matchs!K108</f>
        <v>1</v>
      </c>
      <c r="W107" s="6" t="str">
        <f t="shared" si="30"/>
        <v>,GGoal=</v>
      </c>
      <c r="X107">
        <f>Matchs!L108</f>
        <v>3</v>
      </c>
      <c r="Y107" s="6" t="str">
        <f t="shared" si="31"/>
        <v>,GTeam= "</v>
      </c>
      <c r="Z107" t="str">
        <f>Matchs!M108</f>
        <v>Germany</v>
      </c>
      <c r="AA107" s="6" t="str">
        <f t="shared" si="32"/>
        <v>",WinNote="</v>
      </c>
      <c r="AB107" t="str">
        <f>IF(Matchs!N108="","",Matchs!N108)</f>
        <v/>
      </c>
      <c r="AC107" s="6" t="str">
        <f t="shared" si="33"/>
        <v xml:space="preserve">",Stadium=" </v>
      </c>
      <c r="AD107" s="11" t="str">
        <f>Matchs!O108</f>
        <v xml:space="preserve">Malmö Stadion </v>
      </c>
      <c r="AE107" s="6" t="str">
        <f t="shared" si="34"/>
        <v>",Referee= "</v>
      </c>
      <c r="AF107" s="11" t="str">
        <f>Matchs!P108</f>
        <v xml:space="preserve">Leafe </v>
      </c>
      <c r="AG107" s="6" t="str">
        <f t="shared" si="35"/>
        <v xml:space="preserve">",Visistors= </v>
      </c>
      <c r="AH107" s="11">
        <f>Matchs!Q108</f>
        <v>31156</v>
      </c>
      <c r="AI107" s="11" t="str">
        <f t="shared" si="36"/>
        <v>,Status= "</v>
      </c>
      <c r="AJ107" s="11" t="str">
        <f>Matchs!R108</f>
        <v>Finished</v>
      </c>
      <c r="AK107" t="str">
        <f t="shared" si="37"/>
        <v>" },</v>
      </c>
    </row>
    <row r="108" spans="1:37" x14ac:dyDescent="0.25">
      <c r="A108" t="str">
        <f t="shared" si="19"/>
        <v>new Match { MatchId= "</v>
      </c>
      <c r="B108" t="str">
        <f>Matchs!A109</f>
        <v>FIFAWC1958-7</v>
      </c>
      <c r="C108" t="str">
        <f t="shared" si="20"/>
        <v>",MatchNumer=</v>
      </c>
      <c r="D108">
        <f>Matchs!B109</f>
        <v>7</v>
      </c>
      <c r="E108" t="str">
        <f t="shared" si="21"/>
        <v>,DateMatch=DateTime.Parse("</v>
      </c>
      <c r="F108" s="3">
        <f>Matchs!C109</f>
        <v>21344</v>
      </c>
      <c r="G108" s="10" t="str">
        <f t="shared" si="22"/>
        <v>"),TimeMatch=TimeSpan.Parse("</v>
      </c>
      <c r="H108" s="9">
        <f>Matchs!D109</f>
        <v>1</v>
      </c>
      <c r="I108" t="str">
        <f t="shared" si="23"/>
        <v>"),MatchYear=</v>
      </c>
      <c r="J108">
        <f>Matchs!E109</f>
        <v>1958</v>
      </c>
      <c r="K108" t="str">
        <f t="shared" si="24"/>
        <v>, SeasonId= "</v>
      </c>
      <c r="L108" t="str">
        <f>Matchs!F109</f>
        <v>FIFAWC1958</v>
      </c>
      <c r="M108" t="str">
        <f t="shared" si="25"/>
        <v>",Round= "</v>
      </c>
      <c r="N108" t="str">
        <f>Matchs!G109</f>
        <v>Final Round</v>
      </c>
      <c r="O108" s="6" t="str">
        <f t="shared" si="26"/>
        <v>",Stage= "</v>
      </c>
      <c r="P108" t="str">
        <f>Matchs!H109</f>
        <v>Group</v>
      </c>
      <c r="Q108" s="6" t="str">
        <f t="shared" si="27"/>
        <v>",SubStage= "</v>
      </c>
      <c r="R108" t="str">
        <f>Matchs!I109</f>
        <v>Group 2</v>
      </c>
      <c r="S108" s="6" t="str">
        <f t="shared" si="28"/>
        <v>",HTeam= "</v>
      </c>
      <c r="T108" t="str">
        <f>Matchs!J109</f>
        <v>Yugoslavia</v>
      </c>
      <c r="U108" s="6" t="str">
        <f t="shared" si="29"/>
        <v>",HGoal=</v>
      </c>
      <c r="V108">
        <f>Matchs!K109</f>
        <v>1</v>
      </c>
      <c r="W108" s="6" t="str">
        <f t="shared" si="30"/>
        <v>,GGoal=</v>
      </c>
      <c r="X108">
        <f>Matchs!L109</f>
        <v>1</v>
      </c>
      <c r="Y108" s="6" t="str">
        <f t="shared" si="31"/>
        <v>,GTeam= "</v>
      </c>
      <c r="Z108" t="str">
        <f>Matchs!M109</f>
        <v>Scotland</v>
      </c>
      <c r="AA108" s="6" t="str">
        <f t="shared" si="32"/>
        <v>",WinNote="</v>
      </c>
      <c r="AB108" t="str">
        <f>IF(Matchs!N109="","",Matchs!N109)</f>
        <v/>
      </c>
      <c r="AC108" s="6" t="str">
        <f t="shared" si="33"/>
        <v xml:space="preserve">",Stadium=" </v>
      </c>
      <c r="AD108" s="11" t="str">
        <f>Matchs!O109</f>
        <v xml:space="preserve">Arosvallen </v>
      </c>
      <c r="AE108" s="6" t="str">
        <f t="shared" si="34"/>
        <v>",Referee= "</v>
      </c>
      <c r="AF108" s="11" t="str">
        <f>Matchs!P109</f>
        <v xml:space="preserve">Wyssling </v>
      </c>
      <c r="AG108" s="6" t="str">
        <f t="shared" si="35"/>
        <v xml:space="preserve">",Visistors= </v>
      </c>
      <c r="AH108" s="11">
        <f>Matchs!Q109</f>
        <v>9500</v>
      </c>
      <c r="AI108" s="11" t="str">
        <f t="shared" si="36"/>
        <v>,Status= "</v>
      </c>
      <c r="AJ108" s="11" t="str">
        <f>Matchs!R109</f>
        <v>Finished</v>
      </c>
      <c r="AK108" t="str">
        <f t="shared" si="37"/>
        <v>" },</v>
      </c>
    </row>
    <row r="109" spans="1:37" x14ac:dyDescent="0.25">
      <c r="A109" t="str">
        <f t="shared" si="19"/>
        <v>new Match { MatchId= "</v>
      </c>
      <c r="B109" t="str">
        <f>Matchs!A110</f>
        <v>FIFAWC1958-8</v>
      </c>
      <c r="C109" t="str">
        <f t="shared" si="20"/>
        <v>",MatchNumer=</v>
      </c>
      <c r="D109">
        <f>Matchs!B110</f>
        <v>8</v>
      </c>
      <c r="E109" t="str">
        <f t="shared" si="21"/>
        <v>,DateMatch=DateTime.Parse("</v>
      </c>
      <c r="F109" s="3">
        <f>Matchs!C110</f>
        <v>21344</v>
      </c>
      <c r="G109" s="10" t="str">
        <f t="shared" si="22"/>
        <v>"),TimeMatch=TimeSpan.Parse("</v>
      </c>
      <c r="H109" s="9">
        <f>Matchs!D110</f>
        <v>1</v>
      </c>
      <c r="I109" t="str">
        <f t="shared" si="23"/>
        <v>"),MatchYear=</v>
      </c>
      <c r="J109">
        <f>Matchs!E110</f>
        <v>1958</v>
      </c>
      <c r="K109" t="str">
        <f t="shared" si="24"/>
        <v>, SeasonId= "</v>
      </c>
      <c r="L109" t="str">
        <f>Matchs!F110</f>
        <v>FIFAWC1958</v>
      </c>
      <c r="M109" t="str">
        <f t="shared" si="25"/>
        <v>",Round= "</v>
      </c>
      <c r="N109" t="str">
        <f>Matchs!G110</f>
        <v>Final Round</v>
      </c>
      <c r="O109" s="6" t="str">
        <f t="shared" si="26"/>
        <v>",Stage= "</v>
      </c>
      <c r="P109" t="str">
        <f>Matchs!H110</f>
        <v>Group</v>
      </c>
      <c r="Q109" s="6" t="str">
        <f t="shared" si="27"/>
        <v>",SubStage= "</v>
      </c>
      <c r="R109" t="str">
        <f>Matchs!I110</f>
        <v>Group 4</v>
      </c>
      <c r="S109" s="6" t="str">
        <f t="shared" si="28"/>
        <v>",HTeam= "</v>
      </c>
      <c r="T109" t="str">
        <f>Matchs!J110</f>
        <v>Brazil</v>
      </c>
      <c r="U109" s="6" t="str">
        <f t="shared" si="29"/>
        <v>",HGoal=</v>
      </c>
      <c r="V109">
        <f>Matchs!K110</f>
        <v>3</v>
      </c>
      <c r="W109" s="6" t="str">
        <f t="shared" si="30"/>
        <v>,GGoal=</v>
      </c>
      <c r="X109">
        <f>Matchs!L110</f>
        <v>0</v>
      </c>
      <c r="Y109" s="6" t="str">
        <f t="shared" si="31"/>
        <v>,GTeam= "</v>
      </c>
      <c r="Z109" t="str">
        <f>Matchs!M110</f>
        <v>Austria</v>
      </c>
      <c r="AA109" s="6" t="str">
        <f t="shared" si="32"/>
        <v>",WinNote="</v>
      </c>
      <c r="AB109" t="str">
        <f>IF(Matchs!N110="","",Matchs!N110)</f>
        <v/>
      </c>
      <c r="AC109" s="6" t="str">
        <f t="shared" si="33"/>
        <v xml:space="preserve">",Stadium=" </v>
      </c>
      <c r="AD109" s="11" t="str">
        <f>Matchs!O110</f>
        <v xml:space="preserve">Rimnersvallen </v>
      </c>
      <c r="AE109" s="6" t="str">
        <f t="shared" si="34"/>
        <v>",Referee= "</v>
      </c>
      <c r="AF109" s="11" t="str">
        <f>Matchs!P110</f>
        <v xml:space="preserve">Guigue </v>
      </c>
      <c r="AG109" s="6" t="str">
        <f t="shared" si="35"/>
        <v xml:space="preserve">",Visistors= </v>
      </c>
      <c r="AH109" s="11">
        <f>Matchs!Q110</f>
        <v>17778</v>
      </c>
      <c r="AI109" s="11" t="str">
        <f t="shared" si="36"/>
        <v>,Status= "</v>
      </c>
      <c r="AJ109" s="11" t="str">
        <f>Matchs!R110</f>
        <v>Finished</v>
      </c>
      <c r="AK109" t="str">
        <f t="shared" si="37"/>
        <v>" },</v>
      </c>
    </row>
    <row r="110" spans="1:37" x14ac:dyDescent="0.25">
      <c r="A110" t="str">
        <f t="shared" si="19"/>
        <v>new Match { MatchId= "</v>
      </c>
      <c r="B110" t="str">
        <f>Matchs!A111</f>
        <v>FIFAWC1958-9</v>
      </c>
      <c r="C110" t="str">
        <f t="shared" si="20"/>
        <v>",MatchNumer=</v>
      </c>
      <c r="D110">
        <f>Matchs!B111</f>
        <v>9</v>
      </c>
      <c r="E110" t="str">
        <f t="shared" si="21"/>
        <v>,DateMatch=DateTime.Parse("</v>
      </c>
      <c r="F110" s="3">
        <f>Matchs!C111</f>
        <v>21348</v>
      </c>
      <c r="G110" s="10" t="str">
        <f t="shared" si="22"/>
        <v>"),TimeMatch=TimeSpan.Parse("</v>
      </c>
      <c r="H110" s="9">
        <f>Matchs!D111</f>
        <v>1</v>
      </c>
      <c r="I110" t="str">
        <f t="shared" si="23"/>
        <v>"),MatchYear=</v>
      </c>
      <c r="J110">
        <f>Matchs!E111</f>
        <v>1958</v>
      </c>
      <c r="K110" t="str">
        <f t="shared" si="24"/>
        <v>, SeasonId= "</v>
      </c>
      <c r="L110" t="str">
        <f>Matchs!F111</f>
        <v>FIFAWC1958</v>
      </c>
      <c r="M110" t="str">
        <f t="shared" si="25"/>
        <v>",Round= "</v>
      </c>
      <c r="N110" t="str">
        <f>Matchs!G111</f>
        <v>Final Round</v>
      </c>
      <c r="O110" s="6" t="str">
        <f t="shared" si="26"/>
        <v>",Stage= "</v>
      </c>
      <c r="P110" t="str">
        <f>Matchs!H111</f>
        <v>Group</v>
      </c>
      <c r="Q110" s="6" t="str">
        <f t="shared" si="27"/>
        <v>",SubStage= "</v>
      </c>
      <c r="R110" t="str">
        <f>Matchs!I111</f>
        <v>Group 1</v>
      </c>
      <c r="S110" s="6" t="str">
        <f t="shared" si="28"/>
        <v>",HTeam= "</v>
      </c>
      <c r="T110" t="str">
        <f>Matchs!J111</f>
        <v>Argentina</v>
      </c>
      <c r="U110" s="6" t="str">
        <f t="shared" si="29"/>
        <v>",HGoal=</v>
      </c>
      <c r="V110">
        <f>Matchs!K111</f>
        <v>3</v>
      </c>
      <c r="W110" s="6" t="str">
        <f t="shared" si="30"/>
        <v>,GGoal=</v>
      </c>
      <c r="X110">
        <f>Matchs!L111</f>
        <v>1</v>
      </c>
      <c r="Y110" s="6" t="str">
        <f t="shared" si="31"/>
        <v>,GTeam= "</v>
      </c>
      <c r="Z110" t="str">
        <f>Matchs!M111</f>
        <v>Northern Ireland</v>
      </c>
      <c r="AA110" s="6" t="str">
        <f t="shared" si="32"/>
        <v>",WinNote="</v>
      </c>
      <c r="AB110" t="str">
        <f>IF(Matchs!N111="","",Matchs!N111)</f>
        <v/>
      </c>
      <c r="AC110" s="6" t="str">
        <f t="shared" si="33"/>
        <v xml:space="preserve">",Stadium=" </v>
      </c>
      <c r="AD110" s="11" t="str">
        <f>Matchs!O111</f>
        <v xml:space="preserve">Örjans Vall </v>
      </c>
      <c r="AE110" s="6" t="str">
        <f t="shared" si="34"/>
        <v>",Referee= "</v>
      </c>
      <c r="AF110" s="11" t="str">
        <f>Matchs!P111</f>
        <v xml:space="preserve">Ahlner </v>
      </c>
      <c r="AG110" s="6" t="str">
        <f t="shared" si="35"/>
        <v xml:space="preserve">",Visistors= </v>
      </c>
      <c r="AH110" s="11">
        <f>Matchs!Q111</f>
        <v>14174</v>
      </c>
      <c r="AI110" s="11" t="str">
        <f t="shared" si="36"/>
        <v>,Status= "</v>
      </c>
      <c r="AJ110" s="11" t="str">
        <f>Matchs!R111</f>
        <v>Finished</v>
      </c>
      <c r="AK110" t="str">
        <f t="shared" si="37"/>
        <v>" },</v>
      </c>
    </row>
    <row r="111" spans="1:37" x14ac:dyDescent="0.25">
      <c r="A111" t="str">
        <f t="shared" si="19"/>
        <v>new Match { MatchId= "</v>
      </c>
      <c r="B111" t="str">
        <f>Matchs!A112</f>
        <v>FIFAWC1958-10</v>
      </c>
      <c r="C111" t="str">
        <f t="shared" si="20"/>
        <v>",MatchNumer=</v>
      </c>
      <c r="D111">
        <f>Matchs!B112</f>
        <v>10</v>
      </c>
      <c r="E111" t="str">
        <f t="shared" si="21"/>
        <v>,DateMatch=DateTime.Parse("</v>
      </c>
      <c r="F111" s="3">
        <f>Matchs!C112</f>
        <v>21348</v>
      </c>
      <c r="G111" s="10" t="str">
        <f t="shared" si="22"/>
        <v>"),TimeMatch=TimeSpan.Parse("</v>
      </c>
      <c r="H111" s="9">
        <f>Matchs!D112</f>
        <v>1</v>
      </c>
      <c r="I111" t="str">
        <f t="shared" si="23"/>
        <v>"),MatchYear=</v>
      </c>
      <c r="J111">
        <f>Matchs!E112</f>
        <v>1958</v>
      </c>
      <c r="K111" t="str">
        <f t="shared" si="24"/>
        <v>, SeasonId= "</v>
      </c>
      <c r="L111" t="str">
        <f>Matchs!F112</f>
        <v>FIFAWC1958</v>
      </c>
      <c r="M111" t="str">
        <f t="shared" si="25"/>
        <v>",Round= "</v>
      </c>
      <c r="N111" t="str">
        <f>Matchs!G112</f>
        <v>Final Round</v>
      </c>
      <c r="O111" s="6" t="str">
        <f t="shared" si="26"/>
        <v>",Stage= "</v>
      </c>
      <c r="P111" t="str">
        <f>Matchs!H112</f>
        <v>Group</v>
      </c>
      <c r="Q111" s="6" t="str">
        <f t="shared" si="27"/>
        <v>",SubStage= "</v>
      </c>
      <c r="R111" t="str">
        <f>Matchs!I112</f>
        <v>Group 2</v>
      </c>
      <c r="S111" s="6" t="str">
        <f t="shared" si="28"/>
        <v>",HTeam= "</v>
      </c>
      <c r="T111" t="str">
        <f>Matchs!J112</f>
        <v>Yugoslavia</v>
      </c>
      <c r="U111" s="6" t="str">
        <f t="shared" si="29"/>
        <v>",HGoal=</v>
      </c>
      <c r="V111">
        <f>Matchs!K112</f>
        <v>3</v>
      </c>
      <c r="W111" s="6" t="str">
        <f t="shared" si="30"/>
        <v>,GGoal=</v>
      </c>
      <c r="X111">
        <f>Matchs!L112</f>
        <v>2</v>
      </c>
      <c r="Y111" s="6" t="str">
        <f t="shared" si="31"/>
        <v>,GTeam= "</v>
      </c>
      <c r="Z111" t="str">
        <f>Matchs!M112</f>
        <v>France</v>
      </c>
      <c r="AA111" s="6" t="str">
        <f t="shared" si="32"/>
        <v>",WinNote="</v>
      </c>
      <c r="AB111" t="str">
        <f>IF(Matchs!N112="","",Matchs!N112)</f>
        <v/>
      </c>
      <c r="AC111" s="6" t="str">
        <f t="shared" si="33"/>
        <v xml:space="preserve">",Stadium=" </v>
      </c>
      <c r="AD111" s="11" t="str">
        <f>Matchs!O112</f>
        <v xml:space="preserve">Arosvallen </v>
      </c>
      <c r="AE111" s="6" t="str">
        <f t="shared" si="34"/>
        <v>",Referee= "</v>
      </c>
      <c r="AF111" s="11" t="str">
        <f>Matchs!P112</f>
        <v xml:space="preserve">Benjamin Griffiths </v>
      </c>
      <c r="AG111" s="6" t="str">
        <f t="shared" si="35"/>
        <v xml:space="preserve">",Visistors= </v>
      </c>
      <c r="AH111" s="11">
        <f>Matchs!Q112</f>
        <v>12000</v>
      </c>
      <c r="AI111" s="11" t="str">
        <f t="shared" si="36"/>
        <v>,Status= "</v>
      </c>
      <c r="AJ111" s="11" t="str">
        <f>Matchs!R112</f>
        <v>Finished</v>
      </c>
      <c r="AK111" t="str">
        <f t="shared" si="37"/>
        <v>" },</v>
      </c>
    </row>
    <row r="112" spans="1:37" x14ac:dyDescent="0.25">
      <c r="A112" t="str">
        <f t="shared" si="19"/>
        <v>new Match { MatchId= "</v>
      </c>
      <c r="B112" t="str">
        <f>Matchs!A113</f>
        <v>FIFAWC1958-11</v>
      </c>
      <c r="C112" t="str">
        <f t="shared" si="20"/>
        <v>",MatchNumer=</v>
      </c>
      <c r="D112">
        <f>Matchs!B113</f>
        <v>11</v>
      </c>
      <c r="E112" t="str">
        <f t="shared" si="21"/>
        <v>,DateMatch=DateTime.Parse("</v>
      </c>
      <c r="F112" s="3">
        <f>Matchs!C113</f>
        <v>21348</v>
      </c>
      <c r="G112" s="10" t="str">
        <f t="shared" si="22"/>
        <v>"),TimeMatch=TimeSpan.Parse("</v>
      </c>
      <c r="H112" s="9">
        <f>Matchs!D113</f>
        <v>1</v>
      </c>
      <c r="I112" t="str">
        <f t="shared" si="23"/>
        <v>"),MatchYear=</v>
      </c>
      <c r="J112">
        <f>Matchs!E113</f>
        <v>1958</v>
      </c>
      <c r="K112" t="str">
        <f t="shared" si="24"/>
        <v>, SeasonId= "</v>
      </c>
      <c r="L112" t="str">
        <f>Matchs!F113</f>
        <v>FIFAWC1958</v>
      </c>
      <c r="M112" t="str">
        <f t="shared" si="25"/>
        <v>",Round= "</v>
      </c>
      <c r="N112" t="str">
        <f>Matchs!G113</f>
        <v>Final Round</v>
      </c>
      <c r="O112" s="6" t="str">
        <f t="shared" si="26"/>
        <v>",Stage= "</v>
      </c>
      <c r="P112" t="str">
        <f>Matchs!H113</f>
        <v>Group</v>
      </c>
      <c r="Q112" s="6" t="str">
        <f t="shared" si="27"/>
        <v>",SubStage= "</v>
      </c>
      <c r="R112" t="str">
        <f>Matchs!I113</f>
        <v>Group 2</v>
      </c>
      <c r="S112" s="6" t="str">
        <f t="shared" si="28"/>
        <v>",HTeam= "</v>
      </c>
      <c r="T112" t="str">
        <f>Matchs!J113</f>
        <v>Paraguay</v>
      </c>
      <c r="U112" s="6" t="str">
        <f t="shared" si="29"/>
        <v>",HGoal=</v>
      </c>
      <c r="V112">
        <f>Matchs!K113</f>
        <v>3</v>
      </c>
      <c r="W112" s="6" t="str">
        <f t="shared" si="30"/>
        <v>,GGoal=</v>
      </c>
      <c r="X112">
        <f>Matchs!L113</f>
        <v>2</v>
      </c>
      <c r="Y112" s="6" t="str">
        <f t="shared" si="31"/>
        <v>,GTeam= "</v>
      </c>
      <c r="Z112" t="str">
        <f>Matchs!M113</f>
        <v>Scotland</v>
      </c>
      <c r="AA112" s="6" t="str">
        <f t="shared" si="32"/>
        <v>",WinNote="</v>
      </c>
      <c r="AB112" t="str">
        <f>IF(Matchs!N113="","",Matchs!N113)</f>
        <v/>
      </c>
      <c r="AC112" s="6" t="str">
        <f t="shared" si="33"/>
        <v xml:space="preserve">",Stadium=" </v>
      </c>
      <c r="AD112" s="11" t="str">
        <f>Matchs!O113</f>
        <v xml:space="preserve">Idrottsparken </v>
      </c>
      <c r="AE112" s="6" t="str">
        <f t="shared" si="34"/>
        <v>",Referee= "</v>
      </c>
      <c r="AF112" s="11" t="str">
        <f>Matchs!P113</f>
        <v xml:space="preserve">Orlandini </v>
      </c>
      <c r="AG112" s="6" t="str">
        <f t="shared" si="35"/>
        <v xml:space="preserve">",Visistors= </v>
      </c>
      <c r="AH112" s="11">
        <f>Matchs!Q113</f>
        <v>12000</v>
      </c>
      <c r="AI112" s="11" t="str">
        <f t="shared" si="36"/>
        <v>,Status= "</v>
      </c>
      <c r="AJ112" s="11" t="str">
        <f>Matchs!R113</f>
        <v>Finished</v>
      </c>
      <c r="AK112" t="str">
        <f t="shared" si="37"/>
        <v>" },</v>
      </c>
    </row>
    <row r="113" spans="1:37" x14ac:dyDescent="0.25">
      <c r="A113" t="str">
        <f t="shared" si="19"/>
        <v>new Match { MatchId= "</v>
      </c>
      <c r="B113" t="str">
        <f>Matchs!A114</f>
        <v>FIFAWC1958-12</v>
      </c>
      <c r="C113" t="str">
        <f t="shared" si="20"/>
        <v>",MatchNumer=</v>
      </c>
      <c r="D113">
        <f>Matchs!B114</f>
        <v>12</v>
      </c>
      <c r="E113" t="str">
        <f t="shared" si="21"/>
        <v>,DateMatch=DateTime.Parse("</v>
      </c>
      <c r="F113" s="3">
        <f>Matchs!C114</f>
        <v>21348</v>
      </c>
      <c r="G113" s="10" t="str">
        <f t="shared" si="22"/>
        <v>"),TimeMatch=TimeSpan.Parse("</v>
      </c>
      <c r="H113" s="9">
        <f>Matchs!D114</f>
        <v>1</v>
      </c>
      <c r="I113" t="str">
        <f t="shared" si="23"/>
        <v>"),MatchYear=</v>
      </c>
      <c r="J113">
        <f>Matchs!E114</f>
        <v>1958</v>
      </c>
      <c r="K113" t="str">
        <f t="shared" si="24"/>
        <v>, SeasonId= "</v>
      </c>
      <c r="L113" t="str">
        <f>Matchs!F114</f>
        <v>FIFAWC1958</v>
      </c>
      <c r="M113" t="str">
        <f t="shared" si="25"/>
        <v>",Round= "</v>
      </c>
      <c r="N113" t="str">
        <f>Matchs!G114</f>
        <v>Final Round</v>
      </c>
      <c r="O113" s="6" t="str">
        <f t="shared" si="26"/>
        <v>",Stage= "</v>
      </c>
      <c r="P113" t="str">
        <f>Matchs!H114</f>
        <v>Group</v>
      </c>
      <c r="Q113" s="6" t="str">
        <f t="shared" si="27"/>
        <v>",SubStage= "</v>
      </c>
      <c r="R113" t="str">
        <f>Matchs!I114</f>
        <v>Group 4</v>
      </c>
      <c r="S113" s="6" t="str">
        <f t="shared" si="28"/>
        <v>",HTeam= "</v>
      </c>
      <c r="T113" t="str">
        <f>Matchs!J114</f>
        <v>Brazil</v>
      </c>
      <c r="U113" s="6" t="str">
        <f t="shared" si="29"/>
        <v>",HGoal=</v>
      </c>
      <c r="V113">
        <f>Matchs!K114</f>
        <v>0</v>
      </c>
      <c r="W113" s="6" t="str">
        <f t="shared" si="30"/>
        <v>,GGoal=</v>
      </c>
      <c r="X113">
        <f>Matchs!L114</f>
        <v>0</v>
      </c>
      <c r="Y113" s="6" t="str">
        <f t="shared" si="31"/>
        <v>,GTeam= "</v>
      </c>
      <c r="Z113" t="str">
        <f>Matchs!M114</f>
        <v>England</v>
      </c>
      <c r="AA113" s="6" t="str">
        <f t="shared" si="32"/>
        <v>",WinNote="</v>
      </c>
      <c r="AB113" t="str">
        <f>IF(Matchs!N114="","",Matchs!N114)</f>
        <v/>
      </c>
      <c r="AC113" s="6" t="str">
        <f t="shared" si="33"/>
        <v xml:space="preserve">",Stadium=" </v>
      </c>
      <c r="AD113" s="11" t="str">
        <f>Matchs!O114</f>
        <v xml:space="preserve">Ullevi </v>
      </c>
      <c r="AE113" s="6" t="str">
        <f t="shared" si="34"/>
        <v>",Referee= "</v>
      </c>
      <c r="AF113" s="11" t="str">
        <f>Matchs!P114</f>
        <v xml:space="preserve">Dusch </v>
      </c>
      <c r="AG113" s="6" t="str">
        <f t="shared" si="35"/>
        <v xml:space="preserve">",Visistors= </v>
      </c>
      <c r="AH113" s="11">
        <f>Matchs!Q114</f>
        <v>40895</v>
      </c>
      <c r="AI113" s="11" t="str">
        <f t="shared" si="36"/>
        <v>,Status= "</v>
      </c>
      <c r="AJ113" s="11" t="str">
        <f>Matchs!R114</f>
        <v>Finished</v>
      </c>
      <c r="AK113" t="str">
        <f t="shared" si="37"/>
        <v>" },</v>
      </c>
    </row>
    <row r="114" spans="1:37" x14ac:dyDescent="0.25">
      <c r="A114" t="str">
        <f t="shared" si="19"/>
        <v>new Match { MatchId= "</v>
      </c>
      <c r="B114" t="str">
        <f>Matchs!A115</f>
        <v>FIFAWC1958-13</v>
      </c>
      <c r="C114" t="str">
        <f t="shared" si="20"/>
        <v>",MatchNumer=</v>
      </c>
      <c r="D114">
        <f>Matchs!B115</f>
        <v>13</v>
      </c>
      <c r="E114" t="str">
        <f t="shared" si="21"/>
        <v>,DateMatch=DateTime.Parse("</v>
      </c>
      <c r="F114" s="3">
        <f>Matchs!C115</f>
        <v>21348</v>
      </c>
      <c r="G114" s="10" t="str">
        <f t="shared" si="22"/>
        <v>"),TimeMatch=TimeSpan.Parse("</v>
      </c>
      <c r="H114" s="9">
        <f>Matchs!D115</f>
        <v>1</v>
      </c>
      <c r="I114" t="str">
        <f t="shared" si="23"/>
        <v>"),MatchYear=</v>
      </c>
      <c r="J114">
        <f>Matchs!E115</f>
        <v>1958</v>
      </c>
      <c r="K114" t="str">
        <f t="shared" si="24"/>
        <v>, SeasonId= "</v>
      </c>
      <c r="L114" t="str">
        <f>Matchs!F115</f>
        <v>FIFAWC1958</v>
      </c>
      <c r="M114" t="str">
        <f t="shared" si="25"/>
        <v>",Round= "</v>
      </c>
      <c r="N114" t="str">
        <f>Matchs!G115</f>
        <v>Final Round</v>
      </c>
      <c r="O114" s="6" t="str">
        <f t="shared" si="26"/>
        <v>",Stage= "</v>
      </c>
      <c r="P114" t="str">
        <f>Matchs!H115</f>
        <v>Group</v>
      </c>
      <c r="Q114" s="6" t="str">
        <f t="shared" si="27"/>
        <v>",SubStage= "</v>
      </c>
      <c r="R114" t="str">
        <f>Matchs!I115</f>
        <v>Group 3</v>
      </c>
      <c r="S114" s="6" t="str">
        <f t="shared" si="28"/>
        <v>",HTeam= "</v>
      </c>
      <c r="T114" t="str">
        <f>Matchs!J115</f>
        <v>Mexico</v>
      </c>
      <c r="U114" s="6" t="str">
        <f t="shared" si="29"/>
        <v>",HGoal=</v>
      </c>
      <c r="V114">
        <f>Matchs!K115</f>
        <v>1</v>
      </c>
      <c r="W114" s="6" t="str">
        <f t="shared" si="30"/>
        <v>,GGoal=</v>
      </c>
      <c r="X114">
        <f>Matchs!L115</f>
        <v>1</v>
      </c>
      <c r="Y114" s="6" t="str">
        <f t="shared" si="31"/>
        <v>,GTeam= "</v>
      </c>
      <c r="Z114" t="str">
        <f>Matchs!M115</f>
        <v>Wales</v>
      </c>
      <c r="AA114" s="6" t="str">
        <f t="shared" si="32"/>
        <v>",WinNote="</v>
      </c>
      <c r="AB114" t="str">
        <f>IF(Matchs!N115="","",Matchs!N115)</f>
        <v/>
      </c>
      <c r="AC114" s="6" t="str">
        <f t="shared" si="33"/>
        <v xml:space="preserve">",Stadium=" </v>
      </c>
      <c r="AD114" s="11" t="str">
        <f>Matchs!O115</f>
        <v xml:space="preserve">Råsunda Stadium </v>
      </c>
      <c r="AE114" s="6" t="str">
        <f t="shared" si="34"/>
        <v>",Referee= "</v>
      </c>
      <c r="AF114" s="11" t="str">
        <f>Matchs!P115</f>
        <v xml:space="preserve">Lemesic </v>
      </c>
      <c r="AG114" s="6" t="str">
        <f t="shared" si="35"/>
        <v xml:space="preserve">",Visistors= </v>
      </c>
      <c r="AH114" s="11">
        <f>Matchs!Q115</f>
        <v>25000</v>
      </c>
      <c r="AI114" s="11" t="str">
        <f t="shared" si="36"/>
        <v>,Status= "</v>
      </c>
      <c r="AJ114" s="11" t="str">
        <f>Matchs!R115</f>
        <v>Finished</v>
      </c>
      <c r="AK114" t="str">
        <f t="shared" si="37"/>
        <v>" },</v>
      </c>
    </row>
    <row r="115" spans="1:37" x14ac:dyDescent="0.25">
      <c r="A115" t="str">
        <f t="shared" si="19"/>
        <v>new Match { MatchId= "</v>
      </c>
      <c r="B115" t="str">
        <f>Matchs!A116</f>
        <v>FIFAWC1958-14</v>
      </c>
      <c r="C115" t="str">
        <f t="shared" si="20"/>
        <v>",MatchNumer=</v>
      </c>
      <c r="D115">
        <f>Matchs!B116</f>
        <v>14</v>
      </c>
      <c r="E115" t="str">
        <f t="shared" si="21"/>
        <v>,DateMatch=DateTime.Parse("</v>
      </c>
      <c r="F115" s="3">
        <f>Matchs!C116</f>
        <v>21348</v>
      </c>
      <c r="G115" s="10" t="str">
        <f t="shared" si="22"/>
        <v>"),TimeMatch=TimeSpan.Parse("</v>
      </c>
      <c r="H115" s="9">
        <f>Matchs!D116</f>
        <v>1</v>
      </c>
      <c r="I115" t="str">
        <f t="shared" si="23"/>
        <v>"),MatchYear=</v>
      </c>
      <c r="J115">
        <f>Matchs!E116</f>
        <v>1958</v>
      </c>
      <c r="K115" t="str">
        <f t="shared" si="24"/>
        <v>, SeasonId= "</v>
      </c>
      <c r="L115" t="str">
        <f>Matchs!F116</f>
        <v>FIFAWC1958</v>
      </c>
      <c r="M115" t="str">
        <f t="shared" si="25"/>
        <v>",Round= "</v>
      </c>
      <c r="N115" t="str">
        <f>Matchs!G116</f>
        <v>Final Round</v>
      </c>
      <c r="O115" s="6" t="str">
        <f t="shared" si="26"/>
        <v>",Stage= "</v>
      </c>
      <c r="P115" t="str">
        <f>Matchs!H116</f>
        <v>Group</v>
      </c>
      <c r="Q115" s="6" t="str">
        <f t="shared" si="27"/>
        <v>",SubStage= "</v>
      </c>
      <c r="R115" t="str">
        <f>Matchs!I116</f>
        <v>Group 1</v>
      </c>
      <c r="S115" s="6" t="str">
        <f t="shared" si="28"/>
        <v>",HTeam= "</v>
      </c>
      <c r="T115" t="str">
        <f>Matchs!J116</f>
        <v>Germany</v>
      </c>
      <c r="U115" s="6" t="str">
        <f t="shared" si="29"/>
        <v>",HGoal=</v>
      </c>
      <c r="V115">
        <f>Matchs!K116</f>
        <v>2</v>
      </c>
      <c r="W115" s="6" t="str">
        <f t="shared" si="30"/>
        <v>,GGoal=</v>
      </c>
      <c r="X115">
        <f>Matchs!L116</f>
        <v>2</v>
      </c>
      <c r="Y115" s="6" t="str">
        <f t="shared" si="31"/>
        <v>,GTeam= "</v>
      </c>
      <c r="Z115" t="str">
        <f>Matchs!M116</f>
        <v>Czechoslovakia</v>
      </c>
      <c r="AA115" s="6" t="str">
        <f t="shared" si="32"/>
        <v>",WinNote="</v>
      </c>
      <c r="AB115" t="str">
        <f>IF(Matchs!N116="","",Matchs!N116)</f>
        <v/>
      </c>
      <c r="AC115" s="6" t="str">
        <f t="shared" si="33"/>
        <v xml:space="preserve">",Stadium=" </v>
      </c>
      <c r="AD115" s="11" t="str">
        <f>Matchs!O116</f>
        <v xml:space="preserve">Olympiastadion </v>
      </c>
      <c r="AE115" s="6" t="str">
        <f t="shared" si="34"/>
        <v>",Referee= "</v>
      </c>
      <c r="AF115" s="11" t="str">
        <f>Matchs!P116</f>
        <v xml:space="preserve">Ellis </v>
      </c>
      <c r="AG115" s="6" t="str">
        <f t="shared" si="35"/>
        <v xml:space="preserve">",Visistors= </v>
      </c>
      <c r="AH115" s="11">
        <f>Matchs!Q116</f>
        <v>25000</v>
      </c>
      <c r="AI115" s="11" t="str">
        <f t="shared" si="36"/>
        <v>,Status= "</v>
      </c>
      <c r="AJ115" s="11" t="str">
        <f>Matchs!R116</f>
        <v>Finished</v>
      </c>
      <c r="AK115" t="str">
        <f t="shared" si="37"/>
        <v>" },</v>
      </c>
    </row>
    <row r="116" spans="1:37" x14ac:dyDescent="0.25">
      <c r="A116" t="str">
        <f t="shared" si="19"/>
        <v>new Match { MatchId= "</v>
      </c>
      <c r="B116" t="str">
        <f>Matchs!A117</f>
        <v>FIFAWC1958-15</v>
      </c>
      <c r="C116" t="str">
        <f t="shared" si="20"/>
        <v>",MatchNumer=</v>
      </c>
      <c r="D116">
        <f>Matchs!B117</f>
        <v>15</v>
      </c>
      <c r="E116" t="str">
        <f t="shared" si="21"/>
        <v>,DateMatch=DateTime.Parse("</v>
      </c>
      <c r="F116" s="3">
        <f>Matchs!C117</f>
        <v>21348</v>
      </c>
      <c r="G116" s="10" t="str">
        <f t="shared" si="22"/>
        <v>"),TimeMatch=TimeSpan.Parse("</v>
      </c>
      <c r="H116" s="9">
        <f>Matchs!D117</f>
        <v>1</v>
      </c>
      <c r="I116" t="str">
        <f t="shared" si="23"/>
        <v>"),MatchYear=</v>
      </c>
      <c r="J116">
        <f>Matchs!E117</f>
        <v>1958</v>
      </c>
      <c r="K116" t="str">
        <f t="shared" si="24"/>
        <v>, SeasonId= "</v>
      </c>
      <c r="L116" t="str">
        <f>Matchs!F117</f>
        <v>FIFAWC1958</v>
      </c>
      <c r="M116" t="str">
        <f t="shared" si="25"/>
        <v>",Round= "</v>
      </c>
      <c r="N116" t="str">
        <f>Matchs!G117</f>
        <v>Final Round</v>
      </c>
      <c r="O116" s="6" t="str">
        <f t="shared" si="26"/>
        <v>",Stage= "</v>
      </c>
      <c r="P116" t="str">
        <f>Matchs!H117</f>
        <v>Group</v>
      </c>
      <c r="Q116" s="6" t="str">
        <f t="shared" si="27"/>
        <v>",SubStage= "</v>
      </c>
      <c r="R116" t="str">
        <f>Matchs!I117</f>
        <v>Group 4</v>
      </c>
      <c r="S116" s="6" t="str">
        <f t="shared" si="28"/>
        <v>",HTeam= "</v>
      </c>
      <c r="T116" t="str">
        <f>Matchs!J117</f>
        <v>Soviet Union</v>
      </c>
      <c r="U116" s="6" t="str">
        <f t="shared" si="29"/>
        <v>",HGoal=</v>
      </c>
      <c r="V116">
        <f>Matchs!K117</f>
        <v>2</v>
      </c>
      <c r="W116" s="6" t="str">
        <f t="shared" si="30"/>
        <v>,GGoal=</v>
      </c>
      <c r="X116">
        <f>Matchs!L117</f>
        <v>0</v>
      </c>
      <c r="Y116" s="6" t="str">
        <f t="shared" si="31"/>
        <v>,GTeam= "</v>
      </c>
      <c r="Z116" t="str">
        <f>Matchs!M117</f>
        <v>Austria</v>
      </c>
      <c r="AA116" s="6" t="str">
        <f t="shared" si="32"/>
        <v>",WinNote="</v>
      </c>
      <c r="AB116" t="str">
        <f>IF(Matchs!N117="","",Matchs!N117)</f>
        <v/>
      </c>
      <c r="AC116" s="6" t="str">
        <f t="shared" si="33"/>
        <v xml:space="preserve">",Stadium=" </v>
      </c>
      <c r="AD116" s="11" t="str">
        <f>Matchs!O117</f>
        <v xml:space="preserve">Ryavallen </v>
      </c>
      <c r="AE116" s="6" t="str">
        <f t="shared" si="34"/>
        <v>",Referee= "</v>
      </c>
      <c r="AF116" s="11" t="str">
        <f>Matchs!P117</f>
        <v xml:space="preserve">Jorgensen </v>
      </c>
      <c r="AG116" s="6" t="str">
        <f t="shared" si="35"/>
        <v xml:space="preserve">",Visistors= </v>
      </c>
      <c r="AH116" s="11">
        <f>Matchs!Q117</f>
        <v>21239</v>
      </c>
      <c r="AI116" s="11" t="str">
        <f t="shared" si="36"/>
        <v>,Status= "</v>
      </c>
      <c r="AJ116" s="11" t="str">
        <f>Matchs!R117</f>
        <v>Finished</v>
      </c>
      <c r="AK116" t="str">
        <f t="shared" si="37"/>
        <v>" },</v>
      </c>
    </row>
    <row r="117" spans="1:37" x14ac:dyDescent="0.25">
      <c r="A117" t="str">
        <f t="shared" si="19"/>
        <v>new Match { MatchId= "</v>
      </c>
      <c r="B117" t="str">
        <f>Matchs!A118</f>
        <v>FIFAWC1958-16</v>
      </c>
      <c r="C117" t="str">
        <f t="shared" si="20"/>
        <v>",MatchNumer=</v>
      </c>
      <c r="D117">
        <f>Matchs!B118</f>
        <v>16</v>
      </c>
      <c r="E117" t="str">
        <f t="shared" si="21"/>
        <v>,DateMatch=DateTime.Parse("</v>
      </c>
      <c r="F117" s="3">
        <f>Matchs!C118</f>
        <v>21349</v>
      </c>
      <c r="G117" s="10" t="str">
        <f t="shared" si="22"/>
        <v>"),TimeMatch=TimeSpan.Parse("</v>
      </c>
      <c r="H117" s="9">
        <f>Matchs!D118</f>
        <v>1</v>
      </c>
      <c r="I117" t="str">
        <f t="shared" si="23"/>
        <v>"),MatchYear=</v>
      </c>
      <c r="J117">
        <f>Matchs!E118</f>
        <v>1958</v>
      </c>
      <c r="K117" t="str">
        <f t="shared" si="24"/>
        <v>, SeasonId= "</v>
      </c>
      <c r="L117" t="str">
        <f>Matchs!F118</f>
        <v>FIFAWC1958</v>
      </c>
      <c r="M117" t="str">
        <f t="shared" si="25"/>
        <v>",Round= "</v>
      </c>
      <c r="N117" t="str">
        <f>Matchs!G118</f>
        <v>Final Round</v>
      </c>
      <c r="O117" s="6" t="str">
        <f t="shared" si="26"/>
        <v>",Stage= "</v>
      </c>
      <c r="P117" t="str">
        <f>Matchs!H118</f>
        <v>Group</v>
      </c>
      <c r="Q117" s="6" t="str">
        <f t="shared" si="27"/>
        <v>",SubStage= "</v>
      </c>
      <c r="R117" t="str">
        <f>Matchs!I118</f>
        <v>Group 3</v>
      </c>
      <c r="S117" s="6" t="str">
        <f t="shared" si="28"/>
        <v>",HTeam= "</v>
      </c>
      <c r="T117" t="str">
        <f>Matchs!J118</f>
        <v>Sweden</v>
      </c>
      <c r="U117" s="6" t="str">
        <f t="shared" si="29"/>
        <v>",HGoal=</v>
      </c>
      <c r="V117">
        <f>Matchs!K118</f>
        <v>2</v>
      </c>
      <c r="W117" s="6" t="str">
        <f t="shared" si="30"/>
        <v>,GGoal=</v>
      </c>
      <c r="X117">
        <f>Matchs!L118</f>
        <v>1</v>
      </c>
      <c r="Y117" s="6" t="str">
        <f t="shared" si="31"/>
        <v>,GTeam= "</v>
      </c>
      <c r="Z117" t="str">
        <f>Matchs!M118</f>
        <v>Hungary</v>
      </c>
      <c r="AA117" s="6" t="str">
        <f t="shared" si="32"/>
        <v>",WinNote="</v>
      </c>
      <c r="AB117" t="str">
        <f>IF(Matchs!N118="","",Matchs!N118)</f>
        <v/>
      </c>
      <c r="AC117" s="6" t="str">
        <f t="shared" si="33"/>
        <v xml:space="preserve">",Stadium=" </v>
      </c>
      <c r="AD117" s="11" t="str">
        <f>Matchs!O118</f>
        <v xml:space="preserve">Råsunda Stadium </v>
      </c>
      <c r="AE117" s="6" t="str">
        <f t="shared" si="34"/>
        <v>",Referee= "</v>
      </c>
      <c r="AF117" s="11" t="str">
        <f>Matchs!P118</f>
        <v xml:space="preserve">Mowat </v>
      </c>
      <c r="AG117" s="6" t="str">
        <f t="shared" si="35"/>
        <v xml:space="preserve">",Visistors= </v>
      </c>
      <c r="AH117" s="11">
        <f>Matchs!Q118</f>
        <v>40000</v>
      </c>
      <c r="AI117" s="11" t="str">
        <f t="shared" si="36"/>
        <v>,Status= "</v>
      </c>
      <c r="AJ117" s="11" t="str">
        <f>Matchs!R118</f>
        <v>Finished</v>
      </c>
      <c r="AK117" t="str">
        <f t="shared" si="37"/>
        <v>" },</v>
      </c>
    </row>
    <row r="118" spans="1:37" x14ac:dyDescent="0.25">
      <c r="A118" t="str">
        <f t="shared" si="19"/>
        <v>new Match { MatchId= "</v>
      </c>
      <c r="B118" t="str">
        <f>Matchs!A119</f>
        <v>FIFAWC1958-17</v>
      </c>
      <c r="C118" t="str">
        <f t="shared" si="20"/>
        <v>",MatchNumer=</v>
      </c>
      <c r="D118">
        <f>Matchs!B119</f>
        <v>17</v>
      </c>
      <c r="E118" t="str">
        <f t="shared" si="21"/>
        <v>,DateMatch=DateTime.Parse("</v>
      </c>
      <c r="F118" s="3">
        <f>Matchs!C119</f>
        <v>21351</v>
      </c>
      <c r="G118" s="10" t="str">
        <f t="shared" si="22"/>
        <v>"),TimeMatch=TimeSpan.Parse("</v>
      </c>
      <c r="H118" s="9">
        <f>Matchs!D119</f>
        <v>0.79166666666666663</v>
      </c>
      <c r="I118" t="str">
        <f t="shared" si="23"/>
        <v>"),MatchYear=</v>
      </c>
      <c r="J118">
        <f>Matchs!E119</f>
        <v>1958</v>
      </c>
      <c r="K118" t="str">
        <f t="shared" si="24"/>
        <v>, SeasonId= "</v>
      </c>
      <c r="L118" t="str">
        <f>Matchs!F119</f>
        <v>FIFAWC1958</v>
      </c>
      <c r="M118" t="str">
        <f t="shared" si="25"/>
        <v>",Round= "</v>
      </c>
      <c r="N118" t="str">
        <f>Matchs!G119</f>
        <v>Final Round</v>
      </c>
      <c r="O118" s="6" t="str">
        <f t="shared" si="26"/>
        <v>",Stage= "</v>
      </c>
      <c r="P118" t="str">
        <f>Matchs!H119</f>
        <v>Group</v>
      </c>
      <c r="Q118" s="6" t="str">
        <f t="shared" si="27"/>
        <v>",SubStage= "</v>
      </c>
      <c r="R118" t="str">
        <f>Matchs!I119</f>
        <v>Group 3</v>
      </c>
      <c r="S118" s="6" t="str">
        <f t="shared" si="28"/>
        <v>",HTeam= "</v>
      </c>
      <c r="T118" t="str">
        <f>Matchs!J119</f>
        <v>Sweden</v>
      </c>
      <c r="U118" s="6" t="str">
        <f t="shared" si="29"/>
        <v>",HGoal=</v>
      </c>
      <c r="V118">
        <f>Matchs!K119</f>
        <v>0</v>
      </c>
      <c r="W118" s="6" t="str">
        <f t="shared" si="30"/>
        <v>,GGoal=</v>
      </c>
      <c r="X118">
        <f>Matchs!L119</f>
        <v>0</v>
      </c>
      <c r="Y118" s="6" t="str">
        <f t="shared" si="31"/>
        <v>,GTeam= "</v>
      </c>
      <c r="Z118" t="str">
        <f>Matchs!M119</f>
        <v>Wales</v>
      </c>
      <c r="AA118" s="6" t="str">
        <f t="shared" si="32"/>
        <v>",WinNote="</v>
      </c>
      <c r="AB118" t="str">
        <f>IF(Matchs!N119="","",Matchs!N119)</f>
        <v/>
      </c>
      <c r="AC118" s="6" t="str">
        <f t="shared" si="33"/>
        <v xml:space="preserve">",Stadium=" </v>
      </c>
      <c r="AD118" s="11" t="str">
        <f>Matchs!O119</f>
        <v xml:space="preserve">Råsunda Stadium </v>
      </c>
      <c r="AE118" s="6" t="str">
        <f t="shared" si="34"/>
        <v>",Referee= "</v>
      </c>
      <c r="AF118" s="11" t="str">
        <f>Matchs!P119</f>
        <v xml:space="preserve">Van Nuffel </v>
      </c>
      <c r="AG118" s="6" t="str">
        <f t="shared" si="35"/>
        <v xml:space="preserve">",Visistors= </v>
      </c>
      <c r="AH118" s="11">
        <f>Matchs!Q119</f>
        <v>35000</v>
      </c>
      <c r="AI118" s="11" t="str">
        <f t="shared" si="36"/>
        <v>,Status= "</v>
      </c>
      <c r="AJ118" s="11" t="str">
        <f>Matchs!R119</f>
        <v>Finished</v>
      </c>
      <c r="AK118" t="str">
        <f t="shared" si="37"/>
        <v>" },</v>
      </c>
    </row>
    <row r="119" spans="1:37" x14ac:dyDescent="0.25">
      <c r="A119" t="str">
        <f t="shared" si="19"/>
        <v>new Match { MatchId= "</v>
      </c>
      <c r="B119" t="str">
        <f>Matchs!A120</f>
        <v>FIFAWC1958-18</v>
      </c>
      <c r="C119" t="str">
        <f t="shared" si="20"/>
        <v>",MatchNumer=</v>
      </c>
      <c r="D119">
        <f>Matchs!B120</f>
        <v>18</v>
      </c>
      <c r="E119" t="str">
        <f t="shared" si="21"/>
        <v>,DateMatch=DateTime.Parse("</v>
      </c>
      <c r="F119" s="3">
        <f>Matchs!C120</f>
        <v>21352</v>
      </c>
      <c r="G119" s="10" t="str">
        <f t="shared" si="22"/>
        <v>"),TimeMatch=TimeSpan.Parse("</v>
      </c>
      <c r="H119" s="9">
        <f>Matchs!D120</f>
        <v>1</v>
      </c>
      <c r="I119" t="str">
        <f t="shared" si="23"/>
        <v>"),MatchYear=</v>
      </c>
      <c r="J119">
        <f>Matchs!E120</f>
        <v>1958</v>
      </c>
      <c r="K119" t="str">
        <f t="shared" si="24"/>
        <v>, SeasonId= "</v>
      </c>
      <c r="L119" t="str">
        <f>Matchs!F120</f>
        <v>FIFAWC1958</v>
      </c>
      <c r="M119" t="str">
        <f t="shared" si="25"/>
        <v>",Round= "</v>
      </c>
      <c r="N119" t="str">
        <f>Matchs!G120</f>
        <v>Final Round</v>
      </c>
      <c r="O119" s="6" t="str">
        <f t="shared" si="26"/>
        <v>",Stage= "</v>
      </c>
      <c r="P119" t="str">
        <f>Matchs!H120</f>
        <v>Group</v>
      </c>
      <c r="Q119" s="6" t="str">
        <f t="shared" si="27"/>
        <v>",SubStage= "</v>
      </c>
      <c r="R119" t="str">
        <f>Matchs!I120</f>
        <v>Group 2</v>
      </c>
      <c r="S119" s="6" t="str">
        <f t="shared" si="28"/>
        <v>",HTeam= "</v>
      </c>
      <c r="T119" t="str">
        <f>Matchs!J120</f>
        <v>Paraguay</v>
      </c>
      <c r="U119" s="6" t="str">
        <f t="shared" si="29"/>
        <v>",HGoal=</v>
      </c>
      <c r="V119">
        <f>Matchs!K120</f>
        <v>3</v>
      </c>
      <c r="W119" s="6" t="str">
        <f t="shared" si="30"/>
        <v>,GGoal=</v>
      </c>
      <c r="X119">
        <f>Matchs!L120</f>
        <v>3</v>
      </c>
      <c r="Y119" s="6" t="str">
        <f t="shared" si="31"/>
        <v>,GTeam= "</v>
      </c>
      <c r="Z119" t="str">
        <f>Matchs!M120</f>
        <v>Yugoslavia</v>
      </c>
      <c r="AA119" s="6" t="str">
        <f t="shared" si="32"/>
        <v>",WinNote="</v>
      </c>
      <c r="AB119" t="str">
        <f>IF(Matchs!N120="","",Matchs!N120)</f>
        <v/>
      </c>
      <c r="AC119" s="6" t="str">
        <f t="shared" si="33"/>
        <v xml:space="preserve">",Stadium=" </v>
      </c>
      <c r="AD119" s="11" t="str">
        <f>Matchs!O120</f>
        <v xml:space="preserve">Tunavallen </v>
      </c>
      <c r="AE119" s="6" t="str">
        <f t="shared" si="34"/>
        <v>",Referee= "</v>
      </c>
      <c r="AF119" s="11" t="str">
        <f>Matchs!P120</f>
        <v xml:space="preserve">Macko </v>
      </c>
      <c r="AG119" s="6" t="str">
        <f t="shared" si="35"/>
        <v xml:space="preserve">",Visistors= </v>
      </c>
      <c r="AH119" s="11">
        <f>Matchs!Q120</f>
        <v>12000</v>
      </c>
      <c r="AI119" s="11" t="str">
        <f t="shared" si="36"/>
        <v>,Status= "</v>
      </c>
      <c r="AJ119" s="11" t="str">
        <f>Matchs!R120</f>
        <v>Finished</v>
      </c>
      <c r="AK119" t="str">
        <f t="shared" si="37"/>
        <v>" },</v>
      </c>
    </row>
    <row r="120" spans="1:37" x14ac:dyDescent="0.25">
      <c r="A120" t="str">
        <f t="shared" si="19"/>
        <v>new Match { MatchId= "</v>
      </c>
      <c r="B120" t="str">
        <f>Matchs!A121</f>
        <v>FIFAWC1958-19</v>
      </c>
      <c r="C120" t="str">
        <f t="shared" si="20"/>
        <v>",MatchNumer=</v>
      </c>
      <c r="D120">
        <f>Matchs!B121</f>
        <v>19</v>
      </c>
      <c r="E120" t="str">
        <f t="shared" si="21"/>
        <v>,DateMatch=DateTime.Parse("</v>
      </c>
      <c r="F120" s="3">
        <f>Matchs!C121</f>
        <v>21352</v>
      </c>
      <c r="G120" s="10" t="str">
        <f t="shared" si="22"/>
        <v>"),TimeMatch=TimeSpan.Parse("</v>
      </c>
      <c r="H120" s="9">
        <f>Matchs!D121</f>
        <v>1</v>
      </c>
      <c r="I120" t="str">
        <f t="shared" si="23"/>
        <v>"),MatchYear=</v>
      </c>
      <c r="J120">
        <f>Matchs!E121</f>
        <v>1958</v>
      </c>
      <c r="K120" t="str">
        <f t="shared" si="24"/>
        <v>, SeasonId= "</v>
      </c>
      <c r="L120" t="str">
        <f>Matchs!F121</f>
        <v>FIFAWC1958</v>
      </c>
      <c r="M120" t="str">
        <f t="shared" si="25"/>
        <v>",Round= "</v>
      </c>
      <c r="N120" t="str">
        <f>Matchs!G121</f>
        <v>Final Round</v>
      </c>
      <c r="O120" s="6" t="str">
        <f t="shared" si="26"/>
        <v>",Stage= "</v>
      </c>
      <c r="P120" t="str">
        <f>Matchs!H121</f>
        <v>Group</v>
      </c>
      <c r="Q120" s="6" t="str">
        <f t="shared" si="27"/>
        <v>",SubStage= "</v>
      </c>
      <c r="R120" t="str">
        <f>Matchs!I121</f>
        <v>Group 3</v>
      </c>
      <c r="S120" s="6" t="str">
        <f t="shared" si="28"/>
        <v>",HTeam= "</v>
      </c>
      <c r="T120" t="str">
        <f>Matchs!J121</f>
        <v>Hungary</v>
      </c>
      <c r="U120" s="6" t="str">
        <f t="shared" si="29"/>
        <v>",HGoal=</v>
      </c>
      <c r="V120">
        <f>Matchs!K121</f>
        <v>4</v>
      </c>
      <c r="W120" s="6" t="str">
        <f t="shared" si="30"/>
        <v>,GGoal=</v>
      </c>
      <c r="X120">
        <f>Matchs!L121</f>
        <v>0</v>
      </c>
      <c r="Y120" s="6" t="str">
        <f t="shared" si="31"/>
        <v>,GTeam= "</v>
      </c>
      <c r="Z120" t="str">
        <f>Matchs!M121</f>
        <v>Mexico</v>
      </c>
      <c r="AA120" s="6" t="str">
        <f t="shared" si="32"/>
        <v>",WinNote="</v>
      </c>
      <c r="AB120" t="str">
        <f>IF(Matchs!N121="","",Matchs!N121)</f>
        <v/>
      </c>
      <c r="AC120" s="6" t="str">
        <f t="shared" si="33"/>
        <v xml:space="preserve">",Stadium=" </v>
      </c>
      <c r="AD120" s="11" t="str">
        <f>Matchs!O121</f>
        <v xml:space="preserve">Jernvallen </v>
      </c>
      <c r="AE120" s="6" t="str">
        <f t="shared" si="34"/>
        <v>",Referee= "</v>
      </c>
      <c r="AF120" s="11" t="str">
        <f>Matchs!P121</f>
        <v xml:space="preserve">Eriksson </v>
      </c>
      <c r="AG120" s="6" t="str">
        <f t="shared" si="35"/>
        <v xml:space="preserve">",Visistors= </v>
      </c>
      <c r="AH120" s="11">
        <f>Matchs!Q121</f>
        <v>13300</v>
      </c>
      <c r="AI120" s="11" t="str">
        <f t="shared" si="36"/>
        <v>,Status= "</v>
      </c>
      <c r="AJ120" s="11" t="str">
        <f>Matchs!R121</f>
        <v>Finished</v>
      </c>
      <c r="AK120" t="str">
        <f t="shared" si="37"/>
        <v>" },</v>
      </c>
    </row>
    <row r="121" spans="1:37" x14ac:dyDescent="0.25">
      <c r="A121" t="str">
        <f t="shared" si="19"/>
        <v>new Match { MatchId= "</v>
      </c>
      <c r="B121" t="str">
        <f>Matchs!A122</f>
        <v>FIFAWC1958-20</v>
      </c>
      <c r="C121" t="str">
        <f t="shared" si="20"/>
        <v>",MatchNumer=</v>
      </c>
      <c r="D121">
        <f>Matchs!B122</f>
        <v>20</v>
      </c>
      <c r="E121" t="str">
        <f t="shared" si="21"/>
        <v>,DateMatch=DateTime.Parse("</v>
      </c>
      <c r="F121" s="3">
        <f>Matchs!C122</f>
        <v>21352</v>
      </c>
      <c r="G121" s="10" t="str">
        <f t="shared" si="22"/>
        <v>"),TimeMatch=TimeSpan.Parse("</v>
      </c>
      <c r="H121" s="9">
        <f>Matchs!D122</f>
        <v>1</v>
      </c>
      <c r="I121" t="str">
        <f t="shared" si="23"/>
        <v>"),MatchYear=</v>
      </c>
      <c r="J121">
        <f>Matchs!E122</f>
        <v>1958</v>
      </c>
      <c r="K121" t="str">
        <f t="shared" si="24"/>
        <v>, SeasonId= "</v>
      </c>
      <c r="L121" t="str">
        <f>Matchs!F122</f>
        <v>FIFAWC1958</v>
      </c>
      <c r="M121" t="str">
        <f t="shared" si="25"/>
        <v>",Round= "</v>
      </c>
      <c r="N121" t="str">
        <f>Matchs!G122</f>
        <v>Final Round</v>
      </c>
      <c r="O121" s="6" t="str">
        <f t="shared" si="26"/>
        <v>",Stage= "</v>
      </c>
      <c r="P121" t="str">
        <f>Matchs!H122</f>
        <v>Group</v>
      </c>
      <c r="Q121" s="6" t="str">
        <f t="shared" si="27"/>
        <v>",SubStage= "</v>
      </c>
      <c r="R121" t="str">
        <f>Matchs!I122</f>
        <v>Group 4</v>
      </c>
      <c r="S121" s="6" t="str">
        <f t="shared" si="28"/>
        <v>",HTeam= "</v>
      </c>
      <c r="T121" t="str">
        <f>Matchs!J122</f>
        <v>England</v>
      </c>
      <c r="U121" s="6" t="str">
        <f t="shared" si="29"/>
        <v>",HGoal=</v>
      </c>
      <c r="V121">
        <f>Matchs!K122</f>
        <v>2</v>
      </c>
      <c r="W121" s="6" t="str">
        <f t="shared" si="30"/>
        <v>,GGoal=</v>
      </c>
      <c r="X121">
        <f>Matchs!L122</f>
        <v>2</v>
      </c>
      <c r="Y121" s="6" t="str">
        <f t="shared" si="31"/>
        <v>,GTeam= "</v>
      </c>
      <c r="Z121" t="str">
        <f>Matchs!M122</f>
        <v>Austria</v>
      </c>
      <c r="AA121" s="6" t="str">
        <f t="shared" si="32"/>
        <v>",WinNote="</v>
      </c>
      <c r="AB121" t="str">
        <f>IF(Matchs!N122="","",Matchs!N122)</f>
        <v/>
      </c>
      <c r="AC121" s="6" t="str">
        <f t="shared" si="33"/>
        <v xml:space="preserve">",Stadium=" </v>
      </c>
      <c r="AD121" s="11" t="str">
        <f>Matchs!O122</f>
        <v xml:space="preserve">Ryavallen </v>
      </c>
      <c r="AE121" s="6" t="str">
        <f t="shared" si="34"/>
        <v>",Referee= "</v>
      </c>
      <c r="AF121" s="11" t="str">
        <f>Matchs!P122</f>
        <v xml:space="preserve">Bronkhorst </v>
      </c>
      <c r="AG121" s="6" t="str">
        <f t="shared" si="35"/>
        <v xml:space="preserve">",Visistors= </v>
      </c>
      <c r="AH121" s="11">
        <f>Matchs!Q122</f>
        <v>15872</v>
      </c>
      <c r="AI121" s="11" t="str">
        <f t="shared" si="36"/>
        <v>,Status= "</v>
      </c>
      <c r="AJ121" s="11" t="str">
        <f>Matchs!R122</f>
        <v>Finished</v>
      </c>
      <c r="AK121" t="str">
        <f t="shared" si="37"/>
        <v>" },</v>
      </c>
    </row>
    <row r="122" spans="1:37" x14ac:dyDescent="0.25">
      <c r="A122" t="str">
        <f t="shared" si="19"/>
        <v>new Match { MatchId= "</v>
      </c>
      <c r="B122" t="str">
        <f>Matchs!A123</f>
        <v>FIFAWC1958-21</v>
      </c>
      <c r="C122" t="str">
        <f t="shared" si="20"/>
        <v>",MatchNumer=</v>
      </c>
      <c r="D122">
        <f>Matchs!B123</f>
        <v>21</v>
      </c>
      <c r="E122" t="str">
        <f t="shared" si="21"/>
        <v>,DateMatch=DateTime.Parse("</v>
      </c>
      <c r="F122" s="3">
        <f>Matchs!C123</f>
        <v>21352</v>
      </c>
      <c r="G122" s="10" t="str">
        <f t="shared" si="22"/>
        <v>"),TimeMatch=TimeSpan.Parse("</v>
      </c>
      <c r="H122" s="9">
        <f>Matchs!D123</f>
        <v>1</v>
      </c>
      <c r="I122" t="str">
        <f t="shared" si="23"/>
        <v>"),MatchYear=</v>
      </c>
      <c r="J122">
        <f>Matchs!E123</f>
        <v>1958</v>
      </c>
      <c r="K122" t="str">
        <f t="shared" si="24"/>
        <v>, SeasonId= "</v>
      </c>
      <c r="L122" t="str">
        <f>Matchs!F123</f>
        <v>FIFAWC1958</v>
      </c>
      <c r="M122" t="str">
        <f t="shared" si="25"/>
        <v>",Round= "</v>
      </c>
      <c r="N122" t="str">
        <f>Matchs!G123</f>
        <v>Final Round</v>
      </c>
      <c r="O122" s="6" t="str">
        <f t="shared" si="26"/>
        <v>",Stage= "</v>
      </c>
      <c r="P122" t="str">
        <f>Matchs!H123</f>
        <v>Group</v>
      </c>
      <c r="Q122" s="6" t="str">
        <f t="shared" si="27"/>
        <v>",SubStage= "</v>
      </c>
      <c r="R122" t="str">
        <f>Matchs!I123</f>
        <v>Group 1</v>
      </c>
      <c r="S122" s="6" t="str">
        <f t="shared" si="28"/>
        <v>",HTeam= "</v>
      </c>
      <c r="T122" t="str">
        <f>Matchs!J123</f>
        <v>Czechoslovakia</v>
      </c>
      <c r="U122" s="6" t="str">
        <f t="shared" si="29"/>
        <v>",HGoal=</v>
      </c>
      <c r="V122">
        <f>Matchs!K123</f>
        <v>6</v>
      </c>
      <c r="W122" s="6" t="str">
        <f t="shared" si="30"/>
        <v>,GGoal=</v>
      </c>
      <c r="X122">
        <f>Matchs!L123</f>
        <v>1</v>
      </c>
      <c r="Y122" s="6" t="str">
        <f t="shared" si="31"/>
        <v>,GTeam= "</v>
      </c>
      <c r="Z122" t="str">
        <f>Matchs!M123</f>
        <v>Argentina</v>
      </c>
      <c r="AA122" s="6" t="str">
        <f t="shared" si="32"/>
        <v>",WinNote="</v>
      </c>
      <c r="AB122" t="str">
        <f>IF(Matchs!N123="","",Matchs!N123)</f>
        <v/>
      </c>
      <c r="AC122" s="6" t="str">
        <f t="shared" si="33"/>
        <v xml:space="preserve">",Stadium=" </v>
      </c>
      <c r="AD122" s="11" t="str">
        <f>Matchs!O123</f>
        <v xml:space="preserve">Olympiastadion </v>
      </c>
      <c r="AE122" s="6" t="str">
        <f t="shared" si="34"/>
        <v>",Referee= "</v>
      </c>
      <c r="AF122" s="11" t="str">
        <f>Matchs!P123</f>
        <v xml:space="preserve">Ellis </v>
      </c>
      <c r="AG122" s="6" t="str">
        <f t="shared" si="35"/>
        <v xml:space="preserve">",Visistors= </v>
      </c>
      <c r="AH122" s="11">
        <f>Matchs!Q123</f>
        <v>16418</v>
      </c>
      <c r="AI122" s="11" t="str">
        <f t="shared" si="36"/>
        <v>,Status= "</v>
      </c>
      <c r="AJ122" s="11" t="str">
        <f>Matchs!R123</f>
        <v>Finished</v>
      </c>
      <c r="AK122" t="str">
        <f t="shared" si="37"/>
        <v>" },</v>
      </c>
    </row>
    <row r="123" spans="1:37" x14ac:dyDescent="0.25">
      <c r="A123" t="str">
        <f t="shared" si="19"/>
        <v>new Match { MatchId= "</v>
      </c>
      <c r="B123" t="str">
        <f>Matchs!A124</f>
        <v>FIFAWC1958-22</v>
      </c>
      <c r="C123" t="str">
        <f t="shared" si="20"/>
        <v>",MatchNumer=</v>
      </c>
      <c r="D123">
        <f>Matchs!B124</f>
        <v>22</v>
      </c>
      <c r="E123" t="str">
        <f t="shared" si="21"/>
        <v>,DateMatch=DateTime.Parse("</v>
      </c>
      <c r="F123" s="3">
        <f>Matchs!C124</f>
        <v>21352</v>
      </c>
      <c r="G123" s="10" t="str">
        <f t="shared" si="22"/>
        <v>"),TimeMatch=TimeSpan.Parse("</v>
      </c>
      <c r="H123" s="9">
        <f>Matchs!D124</f>
        <v>1</v>
      </c>
      <c r="I123" t="str">
        <f t="shared" si="23"/>
        <v>"),MatchYear=</v>
      </c>
      <c r="J123">
        <f>Matchs!E124</f>
        <v>1958</v>
      </c>
      <c r="K123" t="str">
        <f t="shared" si="24"/>
        <v>, SeasonId= "</v>
      </c>
      <c r="L123" t="str">
        <f>Matchs!F124</f>
        <v>FIFAWC1958</v>
      </c>
      <c r="M123" t="str">
        <f t="shared" si="25"/>
        <v>",Round= "</v>
      </c>
      <c r="N123" t="str">
        <f>Matchs!G124</f>
        <v>Final Round</v>
      </c>
      <c r="O123" s="6" t="str">
        <f t="shared" si="26"/>
        <v>",Stage= "</v>
      </c>
      <c r="P123" t="str">
        <f>Matchs!H124</f>
        <v>Group</v>
      </c>
      <c r="Q123" s="6" t="str">
        <f t="shared" si="27"/>
        <v>",SubStage= "</v>
      </c>
      <c r="R123" t="str">
        <f>Matchs!I124</f>
        <v>Group 2</v>
      </c>
      <c r="S123" s="6" t="str">
        <f t="shared" si="28"/>
        <v>",HTeam= "</v>
      </c>
      <c r="T123" t="str">
        <f>Matchs!J124</f>
        <v>France</v>
      </c>
      <c r="U123" s="6" t="str">
        <f t="shared" si="29"/>
        <v>",HGoal=</v>
      </c>
      <c r="V123">
        <f>Matchs!K124</f>
        <v>2</v>
      </c>
      <c r="W123" s="6" t="str">
        <f t="shared" si="30"/>
        <v>,GGoal=</v>
      </c>
      <c r="X123">
        <f>Matchs!L124</f>
        <v>1</v>
      </c>
      <c r="Y123" s="6" t="str">
        <f t="shared" si="31"/>
        <v>,GTeam= "</v>
      </c>
      <c r="Z123" t="str">
        <f>Matchs!M124</f>
        <v>Scotland</v>
      </c>
      <c r="AA123" s="6" t="str">
        <f t="shared" si="32"/>
        <v>",WinNote="</v>
      </c>
      <c r="AB123" t="str">
        <f>IF(Matchs!N124="","",Matchs!N124)</f>
        <v/>
      </c>
      <c r="AC123" s="6" t="str">
        <f t="shared" si="33"/>
        <v xml:space="preserve">",Stadium=" </v>
      </c>
      <c r="AD123" s="11" t="str">
        <f>Matchs!O124</f>
        <v xml:space="preserve">Eyravallen </v>
      </c>
      <c r="AE123" s="6" t="str">
        <f t="shared" si="34"/>
        <v>",Referee= "</v>
      </c>
      <c r="AF123" s="11" t="str">
        <f>Matchs!P124</f>
        <v xml:space="preserve">Brozzi </v>
      </c>
      <c r="AG123" s="6" t="str">
        <f t="shared" si="35"/>
        <v xml:space="preserve">",Visistors= </v>
      </c>
      <c r="AH123" s="11">
        <f>Matchs!Q124</f>
        <v>13500</v>
      </c>
      <c r="AI123" s="11" t="str">
        <f t="shared" si="36"/>
        <v>,Status= "</v>
      </c>
      <c r="AJ123" s="11" t="str">
        <f>Matchs!R124</f>
        <v>Finished</v>
      </c>
      <c r="AK123" t="str">
        <f t="shared" si="37"/>
        <v>" },</v>
      </c>
    </row>
    <row r="124" spans="1:37" x14ac:dyDescent="0.25">
      <c r="A124" t="str">
        <f t="shared" si="19"/>
        <v>new Match { MatchId= "</v>
      </c>
      <c r="B124" t="str">
        <f>Matchs!A125</f>
        <v>FIFAWC1958-23</v>
      </c>
      <c r="C124" t="str">
        <f t="shared" si="20"/>
        <v>",MatchNumer=</v>
      </c>
      <c r="D124">
        <f>Matchs!B125</f>
        <v>23</v>
      </c>
      <c r="E124" t="str">
        <f t="shared" si="21"/>
        <v>,DateMatch=DateTime.Parse("</v>
      </c>
      <c r="F124" s="3">
        <f>Matchs!C125</f>
        <v>21352</v>
      </c>
      <c r="G124" s="10" t="str">
        <f t="shared" si="22"/>
        <v>"),TimeMatch=TimeSpan.Parse("</v>
      </c>
      <c r="H124" s="9">
        <f>Matchs!D125</f>
        <v>1</v>
      </c>
      <c r="I124" t="str">
        <f t="shared" si="23"/>
        <v>"),MatchYear=</v>
      </c>
      <c r="J124">
        <f>Matchs!E125</f>
        <v>1958</v>
      </c>
      <c r="K124" t="str">
        <f t="shared" si="24"/>
        <v>, SeasonId= "</v>
      </c>
      <c r="L124" t="str">
        <f>Matchs!F125</f>
        <v>FIFAWC1958</v>
      </c>
      <c r="M124" t="str">
        <f t="shared" si="25"/>
        <v>",Round= "</v>
      </c>
      <c r="N124" t="str">
        <f>Matchs!G125</f>
        <v>Final Round</v>
      </c>
      <c r="O124" s="6" t="str">
        <f t="shared" si="26"/>
        <v>",Stage= "</v>
      </c>
      <c r="P124" t="str">
        <f>Matchs!H125</f>
        <v>Group</v>
      </c>
      <c r="Q124" s="6" t="str">
        <f t="shared" si="27"/>
        <v>",SubStage= "</v>
      </c>
      <c r="R124" t="str">
        <f>Matchs!I125</f>
        <v>Group 1</v>
      </c>
      <c r="S124" s="6" t="str">
        <f t="shared" si="28"/>
        <v>",HTeam= "</v>
      </c>
      <c r="T124" t="str">
        <f>Matchs!J125</f>
        <v>Northern Ireland</v>
      </c>
      <c r="U124" s="6" t="str">
        <f t="shared" si="29"/>
        <v>",HGoal=</v>
      </c>
      <c r="V124">
        <f>Matchs!K125</f>
        <v>2</v>
      </c>
      <c r="W124" s="6" t="str">
        <f t="shared" si="30"/>
        <v>,GGoal=</v>
      </c>
      <c r="X124">
        <f>Matchs!L125</f>
        <v>2</v>
      </c>
      <c r="Y124" s="6" t="str">
        <f t="shared" si="31"/>
        <v>,GTeam= "</v>
      </c>
      <c r="Z124" t="str">
        <f>Matchs!M125</f>
        <v>Germany</v>
      </c>
      <c r="AA124" s="6" t="str">
        <f t="shared" si="32"/>
        <v>",WinNote="</v>
      </c>
      <c r="AB124" t="str">
        <f>IF(Matchs!N125="","",Matchs!N125)</f>
        <v/>
      </c>
      <c r="AC124" s="6" t="str">
        <f t="shared" si="33"/>
        <v xml:space="preserve">",Stadium=" </v>
      </c>
      <c r="AD124" s="11" t="str">
        <f>Matchs!O125</f>
        <v xml:space="preserve">Malmö Stadion </v>
      </c>
      <c r="AE124" s="6" t="str">
        <f t="shared" si="34"/>
        <v>",Referee= "</v>
      </c>
      <c r="AF124" s="11" t="str">
        <f>Matchs!P125</f>
        <v xml:space="preserve">Campos </v>
      </c>
      <c r="AG124" s="6" t="str">
        <f t="shared" si="35"/>
        <v xml:space="preserve">",Visistors= </v>
      </c>
      <c r="AH124" s="11">
        <f>Matchs!Q125</f>
        <v>21990</v>
      </c>
      <c r="AI124" s="11" t="str">
        <f t="shared" si="36"/>
        <v>,Status= "</v>
      </c>
      <c r="AJ124" s="11" t="str">
        <f>Matchs!R125</f>
        <v>Finished</v>
      </c>
      <c r="AK124" t="str">
        <f t="shared" si="37"/>
        <v>" },</v>
      </c>
    </row>
    <row r="125" spans="1:37" x14ac:dyDescent="0.25">
      <c r="A125" t="str">
        <f t="shared" si="19"/>
        <v>new Match { MatchId= "</v>
      </c>
      <c r="B125" t="str">
        <f>Matchs!A126</f>
        <v>FIFAWC1958-24</v>
      </c>
      <c r="C125" t="str">
        <f t="shared" si="20"/>
        <v>",MatchNumer=</v>
      </c>
      <c r="D125">
        <f>Matchs!B126</f>
        <v>24</v>
      </c>
      <c r="E125" t="str">
        <f t="shared" si="21"/>
        <v>,DateMatch=DateTime.Parse("</v>
      </c>
      <c r="F125" s="3">
        <f>Matchs!C126</f>
        <v>21352</v>
      </c>
      <c r="G125" s="10" t="str">
        <f t="shared" si="22"/>
        <v>"),TimeMatch=TimeSpan.Parse("</v>
      </c>
      <c r="H125" s="9">
        <f>Matchs!D126</f>
        <v>1</v>
      </c>
      <c r="I125" t="str">
        <f t="shared" si="23"/>
        <v>"),MatchYear=</v>
      </c>
      <c r="J125">
        <f>Matchs!E126</f>
        <v>1958</v>
      </c>
      <c r="K125" t="str">
        <f t="shared" si="24"/>
        <v>, SeasonId= "</v>
      </c>
      <c r="L125" t="str">
        <f>Matchs!F126</f>
        <v>FIFAWC1958</v>
      </c>
      <c r="M125" t="str">
        <f t="shared" si="25"/>
        <v>",Round= "</v>
      </c>
      <c r="N125" t="str">
        <f>Matchs!G126</f>
        <v>Final Round</v>
      </c>
      <c r="O125" s="6" t="str">
        <f t="shared" si="26"/>
        <v>",Stage= "</v>
      </c>
      <c r="P125" t="str">
        <f>Matchs!H126</f>
        <v>Group</v>
      </c>
      <c r="Q125" s="6" t="str">
        <f t="shared" si="27"/>
        <v>",SubStage= "</v>
      </c>
      <c r="R125" t="str">
        <f>Matchs!I126</f>
        <v>Group 4</v>
      </c>
      <c r="S125" s="6" t="str">
        <f t="shared" si="28"/>
        <v>",HTeam= "</v>
      </c>
      <c r="T125" t="str">
        <f>Matchs!J126</f>
        <v>Brazil</v>
      </c>
      <c r="U125" s="6" t="str">
        <f t="shared" si="29"/>
        <v>",HGoal=</v>
      </c>
      <c r="V125">
        <f>Matchs!K126</f>
        <v>2</v>
      </c>
      <c r="W125" s="6" t="str">
        <f t="shared" si="30"/>
        <v>,GGoal=</v>
      </c>
      <c r="X125">
        <f>Matchs!L126</f>
        <v>0</v>
      </c>
      <c r="Y125" s="6" t="str">
        <f t="shared" si="31"/>
        <v>,GTeam= "</v>
      </c>
      <c r="Z125" t="str">
        <f>Matchs!M126</f>
        <v>Soviet Union</v>
      </c>
      <c r="AA125" s="6" t="str">
        <f t="shared" si="32"/>
        <v>",WinNote="</v>
      </c>
      <c r="AB125" t="str">
        <f>IF(Matchs!N126="","",Matchs!N126)</f>
        <v/>
      </c>
      <c r="AC125" s="6" t="str">
        <f t="shared" si="33"/>
        <v xml:space="preserve">",Stadium=" </v>
      </c>
      <c r="AD125" s="11" t="str">
        <f>Matchs!O126</f>
        <v xml:space="preserve">Ullevi </v>
      </c>
      <c r="AE125" s="6" t="str">
        <f t="shared" si="34"/>
        <v>",Referee= "</v>
      </c>
      <c r="AF125" s="11" t="str">
        <f>Matchs!P126</f>
        <v xml:space="preserve">Guigue </v>
      </c>
      <c r="AG125" s="6" t="str">
        <f t="shared" si="35"/>
        <v xml:space="preserve">",Visistors= </v>
      </c>
      <c r="AH125" s="11">
        <f>Matchs!Q126</f>
        <v>50928</v>
      </c>
      <c r="AI125" s="11" t="str">
        <f t="shared" si="36"/>
        <v>,Status= "</v>
      </c>
      <c r="AJ125" s="11" t="str">
        <f>Matchs!R126</f>
        <v>Finished</v>
      </c>
      <c r="AK125" t="str">
        <f t="shared" si="37"/>
        <v>" },</v>
      </c>
    </row>
    <row r="126" spans="1:37" x14ac:dyDescent="0.25">
      <c r="A126" t="str">
        <f t="shared" si="19"/>
        <v>new Match { MatchId= "</v>
      </c>
      <c r="B126" t="str">
        <f>Matchs!A127</f>
        <v>FIFAWC1958-25</v>
      </c>
      <c r="C126" t="str">
        <f t="shared" si="20"/>
        <v>",MatchNumer=</v>
      </c>
      <c r="D126">
        <f>Matchs!B127</f>
        <v>25</v>
      </c>
      <c r="E126" t="str">
        <f t="shared" si="21"/>
        <v>,DateMatch=DateTime.Parse("</v>
      </c>
      <c r="F126" s="3">
        <f>Matchs!C127</f>
        <v>21354</v>
      </c>
      <c r="G126" s="10" t="str">
        <f t="shared" si="22"/>
        <v>"),TimeMatch=TimeSpan.Parse("</v>
      </c>
      <c r="H126" s="9">
        <f>Matchs!D127</f>
        <v>1</v>
      </c>
      <c r="I126" t="str">
        <f t="shared" si="23"/>
        <v>"),MatchYear=</v>
      </c>
      <c r="J126">
        <f>Matchs!E127</f>
        <v>1958</v>
      </c>
      <c r="K126" t="str">
        <f t="shared" si="24"/>
        <v>, SeasonId= "</v>
      </c>
      <c r="L126" t="str">
        <f>Matchs!F127</f>
        <v>FIFAWC1958</v>
      </c>
      <c r="M126" t="str">
        <f t="shared" si="25"/>
        <v>",Round= "</v>
      </c>
      <c r="N126" t="str">
        <f>Matchs!G127</f>
        <v>Final Round</v>
      </c>
      <c r="O126" s="6" t="str">
        <f t="shared" si="26"/>
        <v>",Stage= "</v>
      </c>
      <c r="P126" t="str">
        <f>Matchs!H127</f>
        <v>Group</v>
      </c>
      <c r="Q126" s="6" t="str">
        <f t="shared" si="27"/>
        <v>",SubStage= "</v>
      </c>
      <c r="R126" t="str">
        <f>Matchs!I127</f>
        <v>Group 1</v>
      </c>
      <c r="S126" s="6" t="str">
        <f t="shared" si="28"/>
        <v>",HTeam= "</v>
      </c>
      <c r="T126" t="str">
        <f>Matchs!J127</f>
        <v>Northern Ireland</v>
      </c>
      <c r="U126" s="6" t="str">
        <f t="shared" si="29"/>
        <v>",HGoal=</v>
      </c>
      <c r="V126">
        <f>Matchs!K127</f>
        <v>2</v>
      </c>
      <c r="W126" s="6" t="str">
        <f t="shared" si="30"/>
        <v>,GGoal=</v>
      </c>
      <c r="X126">
        <f>Matchs!L127</f>
        <v>1</v>
      </c>
      <c r="Y126" s="6" t="str">
        <f t="shared" si="31"/>
        <v>,GTeam= "</v>
      </c>
      <c r="Z126" t="str">
        <f>Matchs!M127</f>
        <v>Czechoslovakia</v>
      </c>
      <c r="AA126" s="6" t="str">
        <f t="shared" si="32"/>
        <v>",WinNote="</v>
      </c>
      <c r="AB126" t="str">
        <f>IF(Matchs!N127="","",Matchs!N127)</f>
        <v/>
      </c>
      <c r="AC126" s="6" t="str">
        <f t="shared" si="33"/>
        <v xml:space="preserve">",Stadium=" </v>
      </c>
      <c r="AD126" s="11" t="str">
        <f>Matchs!O127</f>
        <v xml:space="preserve">Malmö Stadion </v>
      </c>
      <c r="AE126" s="6" t="str">
        <f t="shared" si="34"/>
        <v>",Referee= "</v>
      </c>
      <c r="AF126" s="11" t="str">
        <f>Matchs!P127</f>
        <v xml:space="preserve">Guigue </v>
      </c>
      <c r="AG126" s="6" t="str">
        <f t="shared" si="35"/>
        <v xml:space="preserve">",Visistors= </v>
      </c>
      <c r="AH126" s="11">
        <f>Matchs!Q127</f>
        <v>6196</v>
      </c>
      <c r="AI126" s="11" t="str">
        <f t="shared" si="36"/>
        <v>,Status= "</v>
      </c>
      <c r="AJ126" s="11" t="str">
        <f>Matchs!R127</f>
        <v>Finished</v>
      </c>
      <c r="AK126" t="str">
        <f t="shared" si="37"/>
        <v>" },</v>
      </c>
    </row>
    <row r="127" spans="1:37" x14ac:dyDescent="0.25">
      <c r="A127" t="str">
        <f t="shared" si="19"/>
        <v>new Match { MatchId= "</v>
      </c>
      <c r="B127" t="str">
        <f>Matchs!A128</f>
        <v>FIFAWC1958-26</v>
      </c>
      <c r="C127" t="str">
        <f t="shared" si="20"/>
        <v>",MatchNumer=</v>
      </c>
      <c r="D127">
        <f>Matchs!B128</f>
        <v>26</v>
      </c>
      <c r="E127" t="str">
        <f t="shared" si="21"/>
        <v>,DateMatch=DateTime.Parse("</v>
      </c>
      <c r="F127" s="3">
        <f>Matchs!C128</f>
        <v>21354</v>
      </c>
      <c r="G127" s="10" t="str">
        <f t="shared" si="22"/>
        <v>"),TimeMatch=TimeSpan.Parse("</v>
      </c>
      <c r="H127" s="9">
        <f>Matchs!D128</f>
        <v>1</v>
      </c>
      <c r="I127" t="str">
        <f t="shared" si="23"/>
        <v>"),MatchYear=</v>
      </c>
      <c r="J127">
        <f>Matchs!E128</f>
        <v>1958</v>
      </c>
      <c r="K127" t="str">
        <f t="shared" si="24"/>
        <v>, SeasonId= "</v>
      </c>
      <c r="L127" t="str">
        <f>Matchs!F128</f>
        <v>FIFAWC1958</v>
      </c>
      <c r="M127" t="str">
        <f t="shared" si="25"/>
        <v>",Round= "</v>
      </c>
      <c r="N127" t="str">
        <f>Matchs!G128</f>
        <v>Final Round</v>
      </c>
      <c r="O127" s="6" t="str">
        <f t="shared" si="26"/>
        <v>",Stage= "</v>
      </c>
      <c r="P127" t="str">
        <f>Matchs!H128</f>
        <v>Group</v>
      </c>
      <c r="Q127" s="6" t="str">
        <f t="shared" si="27"/>
        <v>",SubStage= "</v>
      </c>
      <c r="R127" t="str">
        <f>Matchs!I128</f>
        <v>Group 3</v>
      </c>
      <c r="S127" s="6" t="str">
        <f t="shared" si="28"/>
        <v>",HTeam= "</v>
      </c>
      <c r="T127" t="str">
        <f>Matchs!J128</f>
        <v>Wales</v>
      </c>
      <c r="U127" s="6" t="str">
        <f t="shared" si="29"/>
        <v>",HGoal=</v>
      </c>
      <c r="V127">
        <f>Matchs!K128</f>
        <v>2</v>
      </c>
      <c r="W127" s="6" t="str">
        <f t="shared" si="30"/>
        <v>,GGoal=</v>
      </c>
      <c r="X127">
        <f>Matchs!L128</f>
        <v>1</v>
      </c>
      <c r="Y127" s="6" t="str">
        <f t="shared" si="31"/>
        <v>,GTeam= "</v>
      </c>
      <c r="Z127" t="str">
        <f>Matchs!M128</f>
        <v>Hungary</v>
      </c>
      <c r="AA127" s="6" t="str">
        <f t="shared" si="32"/>
        <v>",WinNote="</v>
      </c>
      <c r="AB127" t="str">
        <f>IF(Matchs!N128="","",Matchs!N128)</f>
        <v/>
      </c>
      <c r="AC127" s="6" t="str">
        <f t="shared" si="33"/>
        <v xml:space="preserve">",Stadium=" </v>
      </c>
      <c r="AD127" s="11" t="str">
        <f>Matchs!O128</f>
        <v xml:space="preserve">Råsunda Stadium </v>
      </c>
      <c r="AE127" s="6" t="str">
        <f t="shared" si="34"/>
        <v>",Referee= "</v>
      </c>
      <c r="AF127" s="11">
        <f>Matchs!P128</f>
        <v>0</v>
      </c>
      <c r="AG127" s="6" t="str">
        <f t="shared" si="35"/>
        <v xml:space="preserve">",Visistors= </v>
      </c>
      <c r="AH127" s="11">
        <f>Matchs!Q128</f>
        <v>2823</v>
      </c>
      <c r="AI127" s="11" t="str">
        <f t="shared" si="36"/>
        <v>,Status= "</v>
      </c>
      <c r="AJ127" s="11" t="str">
        <f>Matchs!R128</f>
        <v>Finished</v>
      </c>
      <c r="AK127" t="str">
        <f t="shared" si="37"/>
        <v>" },</v>
      </c>
    </row>
    <row r="128" spans="1:37" x14ac:dyDescent="0.25">
      <c r="A128" t="str">
        <f t="shared" si="19"/>
        <v>new Match { MatchId= "</v>
      </c>
      <c r="B128" t="str">
        <f>Matchs!A129</f>
        <v>FIFAWC1958-27</v>
      </c>
      <c r="C128" t="str">
        <f t="shared" si="20"/>
        <v>",MatchNumer=</v>
      </c>
      <c r="D128">
        <f>Matchs!B129</f>
        <v>27</v>
      </c>
      <c r="E128" t="str">
        <f t="shared" si="21"/>
        <v>,DateMatch=DateTime.Parse("</v>
      </c>
      <c r="F128" s="3">
        <f>Matchs!C129</f>
        <v>21354</v>
      </c>
      <c r="G128" s="10" t="str">
        <f t="shared" si="22"/>
        <v>"),TimeMatch=TimeSpan.Parse("</v>
      </c>
      <c r="H128" s="9">
        <f>Matchs!D129</f>
        <v>1</v>
      </c>
      <c r="I128" t="str">
        <f t="shared" si="23"/>
        <v>"),MatchYear=</v>
      </c>
      <c r="J128">
        <f>Matchs!E129</f>
        <v>1958</v>
      </c>
      <c r="K128" t="str">
        <f t="shared" si="24"/>
        <v>, SeasonId= "</v>
      </c>
      <c r="L128" t="str">
        <f>Matchs!F129</f>
        <v>FIFAWC1958</v>
      </c>
      <c r="M128" t="str">
        <f t="shared" si="25"/>
        <v>",Round= "</v>
      </c>
      <c r="N128" t="str">
        <f>Matchs!G129</f>
        <v>Final Round</v>
      </c>
      <c r="O128" s="6" t="str">
        <f t="shared" si="26"/>
        <v>",Stage= "</v>
      </c>
      <c r="P128" t="str">
        <f>Matchs!H129</f>
        <v>Group</v>
      </c>
      <c r="Q128" s="6" t="str">
        <f t="shared" si="27"/>
        <v>",SubStage= "</v>
      </c>
      <c r="R128" t="str">
        <f>Matchs!I129</f>
        <v>Group 4</v>
      </c>
      <c r="S128" s="6" t="str">
        <f t="shared" si="28"/>
        <v>",HTeam= "</v>
      </c>
      <c r="T128" t="str">
        <f>Matchs!J129</f>
        <v>Soviet Union</v>
      </c>
      <c r="U128" s="6" t="str">
        <f t="shared" si="29"/>
        <v>",HGoal=</v>
      </c>
      <c r="V128">
        <f>Matchs!K129</f>
        <v>1</v>
      </c>
      <c r="W128" s="6" t="str">
        <f t="shared" si="30"/>
        <v>,GGoal=</v>
      </c>
      <c r="X128">
        <f>Matchs!L129</f>
        <v>0</v>
      </c>
      <c r="Y128" s="6" t="str">
        <f t="shared" si="31"/>
        <v>,GTeam= "</v>
      </c>
      <c r="Z128" t="str">
        <f>Matchs!M129</f>
        <v>England</v>
      </c>
      <c r="AA128" s="6" t="str">
        <f t="shared" si="32"/>
        <v>",WinNote="</v>
      </c>
      <c r="AB128" t="str">
        <f>IF(Matchs!N129="","",Matchs!N129)</f>
        <v/>
      </c>
      <c r="AC128" s="6" t="str">
        <f t="shared" si="33"/>
        <v xml:space="preserve">",Stadium=" </v>
      </c>
      <c r="AD128" s="11" t="str">
        <f>Matchs!O129</f>
        <v xml:space="preserve">Ullevi </v>
      </c>
      <c r="AE128" s="6" t="str">
        <f t="shared" si="34"/>
        <v>",Referee= "</v>
      </c>
      <c r="AF128" s="11" t="str">
        <f>Matchs!P129</f>
        <v xml:space="preserve">Dusch </v>
      </c>
      <c r="AG128" s="6" t="str">
        <f t="shared" si="35"/>
        <v xml:space="preserve">",Visistors= </v>
      </c>
      <c r="AH128" s="11">
        <f>Matchs!Q129</f>
        <v>23182</v>
      </c>
      <c r="AI128" s="11" t="str">
        <f t="shared" si="36"/>
        <v>,Status= "</v>
      </c>
      <c r="AJ128" s="11" t="str">
        <f>Matchs!R129</f>
        <v>Finished</v>
      </c>
      <c r="AK128" t="str">
        <f t="shared" si="37"/>
        <v>" },</v>
      </c>
    </row>
    <row r="129" spans="1:37" x14ac:dyDescent="0.25">
      <c r="A129" t="str">
        <f t="shared" si="19"/>
        <v>new Match { MatchId= "</v>
      </c>
      <c r="B129" t="str">
        <f>Matchs!A130</f>
        <v>FIFAWC1958-28</v>
      </c>
      <c r="C129" t="str">
        <f t="shared" si="20"/>
        <v>",MatchNumer=</v>
      </c>
      <c r="D129">
        <f>Matchs!B130</f>
        <v>28</v>
      </c>
      <c r="E129" t="str">
        <f t="shared" si="21"/>
        <v>,DateMatch=DateTime.Parse("</v>
      </c>
      <c r="F129" s="3">
        <f>Matchs!C130</f>
        <v>21356</v>
      </c>
      <c r="G129" s="10" t="str">
        <f t="shared" si="22"/>
        <v>"),TimeMatch=TimeSpan.Parse("</v>
      </c>
      <c r="H129" s="9">
        <f>Matchs!D130</f>
        <v>1</v>
      </c>
      <c r="I129" t="str">
        <f t="shared" si="23"/>
        <v>"),MatchYear=</v>
      </c>
      <c r="J129">
        <f>Matchs!E130</f>
        <v>1958</v>
      </c>
      <c r="K129" t="str">
        <f t="shared" si="24"/>
        <v>, SeasonId= "</v>
      </c>
      <c r="L129" t="str">
        <f>Matchs!F130</f>
        <v>FIFAWC1958</v>
      </c>
      <c r="M129" t="str">
        <f t="shared" si="25"/>
        <v>",Round= "</v>
      </c>
      <c r="N129" t="str">
        <f>Matchs!G130</f>
        <v>Final Round</v>
      </c>
      <c r="O129" s="6" t="str">
        <f t="shared" si="26"/>
        <v>",Stage= "</v>
      </c>
      <c r="P129" t="str">
        <f>Matchs!H130</f>
        <v>Knockouts</v>
      </c>
      <c r="Q129" s="6" t="str">
        <f t="shared" si="27"/>
        <v>",SubStage= "</v>
      </c>
      <c r="R129" t="str">
        <f>Matchs!I130</f>
        <v>Quaterfinal</v>
      </c>
      <c r="S129" s="6" t="str">
        <f t="shared" si="28"/>
        <v>",HTeam= "</v>
      </c>
      <c r="T129" t="str">
        <f>Matchs!J130</f>
        <v>Brazil</v>
      </c>
      <c r="U129" s="6" t="str">
        <f t="shared" si="29"/>
        <v>",HGoal=</v>
      </c>
      <c r="V129">
        <f>Matchs!K130</f>
        <v>1</v>
      </c>
      <c r="W129" s="6" t="str">
        <f t="shared" si="30"/>
        <v>,GGoal=</v>
      </c>
      <c r="X129">
        <f>Matchs!L130</f>
        <v>0</v>
      </c>
      <c r="Y129" s="6" t="str">
        <f t="shared" si="31"/>
        <v>,GTeam= "</v>
      </c>
      <c r="Z129" t="str">
        <f>Matchs!M130</f>
        <v>Wales</v>
      </c>
      <c r="AA129" s="6" t="str">
        <f t="shared" si="32"/>
        <v>",WinNote="</v>
      </c>
      <c r="AB129" t="str">
        <f>IF(Matchs!N130="","",Matchs!N130)</f>
        <v/>
      </c>
      <c r="AC129" s="6" t="str">
        <f t="shared" si="33"/>
        <v xml:space="preserve">",Stadium=" </v>
      </c>
      <c r="AD129" s="11" t="str">
        <f>Matchs!O130</f>
        <v xml:space="preserve">Ullevi </v>
      </c>
      <c r="AE129" s="6" t="str">
        <f t="shared" si="34"/>
        <v>",Referee= "</v>
      </c>
      <c r="AF129" s="11" t="str">
        <f>Matchs!P130</f>
        <v xml:space="preserve">Seipelt </v>
      </c>
      <c r="AG129" s="6" t="str">
        <f t="shared" si="35"/>
        <v xml:space="preserve">",Visistors= </v>
      </c>
      <c r="AH129" s="11">
        <f>Matchs!Q130</f>
        <v>25000</v>
      </c>
      <c r="AI129" s="11" t="str">
        <f t="shared" si="36"/>
        <v>,Status= "</v>
      </c>
      <c r="AJ129" s="11" t="str">
        <f>Matchs!R130</f>
        <v>Finished</v>
      </c>
      <c r="AK129" t="str">
        <f t="shared" si="37"/>
        <v>" },</v>
      </c>
    </row>
    <row r="130" spans="1:37" x14ac:dyDescent="0.25">
      <c r="A130" t="str">
        <f t="shared" si="19"/>
        <v>new Match { MatchId= "</v>
      </c>
      <c r="B130" t="str">
        <f>Matchs!A131</f>
        <v>FIFAWC1958-29</v>
      </c>
      <c r="C130" t="str">
        <f t="shared" si="20"/>
        <v>",MatchNumer=</v>
      </c>
      <c r="D130">
        <f>Matchs!B131</f>
        <v>29</v>
      </c>
      <c r="E130" t="str">
        <f t="shared" si="21"/>
        <v>,DateMatch=DateTime.Parse("</v>
      </c>
      <c r="F130" s="3">
        <f>Matchs!C131</f>
        <v>21356</v>
      </c>
      <c r="G130" s="10" t="str">
        <f t="shared" si="22"/>
        <v>"),TimeMatch=TimeSpan.Parse("</v>
      </c>
      <c r="H130" s="9">
        <f>Matchs!D131</f>
        <v>1</v>
      </c>
      <c r="I130" t="str">
        <f t="shared" si="23"/>
        <v>"),MatchYear=</v>
      </c>
      <c r="J130">
        <f>Matchs!E131</f>
        <v>1958</v>
      </c>
      <c r="K130" t="str">
        <f t="shared" si="24"/>
        <v>, SeasonId= "</v>
      </c>
      <c r="L130" t="str">
        <f>Matchs!F131</f>
        <v>FIFAWC1958</v>
      </c>
      <c r="M130" t="str">
        <f t="shared" si="25"/>
        <v>",Round= "</v>
      </c>
      <c r="N130" t="str">
        <f>Matchs!G131</f>
        <v>Final Round</v>
      </c>
      <c r="O130" s="6" t="str">
        <f t="shared" si="26"/>
        <v>",Stage= "</v>
      </c>
      <c r="P130" t="str">
        <f>Matchs!H131</f>
        <v>Knockouts</v>
      </c>
      <c r="Q130" s="6" t="str">
        <f t="shared" si="27"/>
        <v>",SubStage= "</v>
      </c>
      <c r="R130" t="str">
        <f>Matchs!I131</f>
        <v>Quaterfinal</v>
      </c>
      <c r="S130" s="6" t="str">
        <f t="shared" si="28"/>
        <v>",HTeam= "</v>
      </c>
      <c r="T130" t="str">
        <f>Matchs!J131</f>
        <v>France</v>
      </c>
      <c r="U130" s="6" t="str">
        <f t="shared" si="29"/>
        <v>",HGoal=</v>
      </c>
      <c r="V130">
        <f>Matchs!K131</f>
        <v>4</v>
      </c>
      <c r="W130" s="6" t="str">
        <f t="shared" si="30"/>
        <v>,GGoal=</v>
      </c>
      <c r="X130">
        <f>Matchs!L131</f>
        <v>0</v>
      </c>
      <c r="Y130" s="6" t="str">
        <f t="shared" si="31"/>
        <v>,GTeam= "</v>
      </c>
      <c r="Z130" t="str">
        <f>Matchs!M131</f>
        <v>Northern Ireland</v>
      </c>
      <c r="AA130" s="6" t="str">
        <f t="shared" si="32"/>
        <v>",WinNote="</v>
      </c>
      <c r="AB130" t="str">
        <f>IF(Matchs!N131="","",Matchs!N131)</f>
        <v/>
      </c>
      <c r="AC130" s="6" t="str">
        <f t="shared" si="33"/>
        <v xml:space="preserve">",Stadium=" </v>
      </c>
      <c r="AD130" s="11" t="str">
        <f>Matchs!O131</f>
        <v xml:space="preserve">Idrottsparken </v>
      </c>
      <c r="AE130" s="6" t="str">
        <f t="shared" si="34"/>
        <v>",Referee= "</v>
      </c>
      <c r="AF130" s="11" t="str">
        <f>Matchs!P131</f>
        <v xml:space="preserve">Gardeazabal </v>
      </c>
      <c r="AG130" s="6" t="str">
        <f t="shared" si="35"/>
        <v xml:space="preserve">",Visistors= </v>
      </c>
      <c r="AH130" s="11">
        <f>Matchs!Q131</f>
        <v>12000</v>
      </c>
      <c r="AI130" s="11" t="str">
        <f t="shared" si="36"/>
        <v>,Status= "</v>
      </c>
      <c r="AJ130" s="11" t="str">
        <f>Matchs!R131</f>
        <v>Finished</v>
      </c>
      <c r="AK130" t="str">
        <f t="shared" si="37"/>
        <v>" },</v>
      </c>
    </row>
    <row r="131" spans="1:37" x14ac:dyDescent="0.25">
      <c r="A131" t="str">
        <f t="shared" ref="A131:A194" si="38">A130</f>
        <v>new Match { MatchId= "</v>
      </c>
      <c r="B131" t="str">
        <f>Matchs!A132</f>
        <v>FIFAWC1958-30</v>
      </c>
      <c r="C131" t="str">
        <f t="shared" ref="C131:C194" si="39">C130</f>
        <v>",MatchNumer=</v>
      </c>
      <c r="D131">
        <f>Matchs!B132</f>
        <v>30</v>
      </c>
      <c r="E131" t="str">
        <f t="shared" ref="E131:E194" si="40">E130</f>
        <v>,DateMatch=DateTime.Parse("</v>
      </c>
      <c r="F131" s="3">
        <f>Matchs!C132</f>
        <v>21356</v>
      </c>
      <c r="G131" s="10" t="str">
        <f t="shared" ref="G131:G194" si="41">G130</f>
        <v>"),TimeMatch=TimeSpan.Parse("</v>
      </c>
      <c r="H131" s="9">
        <f>Matchs!D132</f>
        <v>1</v>
      </c>
      <c r="I131" t="str">
        <f t="shared" ref="I131:I194" si="42">I130</f>
        <v>"),MatchYear=</v>
      </c>
      <c r="J131">
        <f>Matchs!E132</f>
        <v>1958</v>
      </c>
      <c r="K131" t="str">
        <f t="shared" ref="K131:K194" si="43">K130</f>
        <v>, SeasonId= "</v>
      </c>
      <c r="L131" t="str">
        <f>Matchs!F132</f>
        <v>FIFAWC1958</v>
      </c>
      <c r="M131" t="str">
        <f t="shared" ref="M131:M194" si="44">M130</f>
        <v>",Round= "</v>
      </c>
      <c r="N131" t="str">
        <f>Matchs!G132</f>
        <v>Final Round</v>
      </c>
      <c r="O131" s="6" t="str">
        <f t="shared" ref="O131:O194" si="45">O130</f>
        <v>",Stage= "</v>
      </c>
      <c r="P131" t="str">
        <f>Matchs!H132</f>
        <v>Knockouts</v>
      </c>
      <c r="Q131" s="6" t="str">
        <f t="shared" ref="Q131:Q194" si="46">Q130</f>
        <v>",SubStage= "</v>
      </c>
      <c r="R131" t="str">
        <f>Matchs!I132</f>
        <v>Quaterfinal</v>
      </c>
      <c r="S131" s="6" t="str">
        <f t="shared" ref="S131:S194" si="47">S130</f>
        <v>",HTeam= "</v>
      </c>
      <c r="T131" t="str">
        <f>Matchs!J132</f>
        <v>Germany</v>
      </c>
      <c r="U131" s="6" t="str">
        <f t="shared" ref="U131:U194" si="48">U130</f>
        <v>",HGoal=</v>
      </c>
      <c r="V131">
        <f>Matchs!K132</f>
        <v>1</v>
      </c>
      <c r="W131" s="6" t="str">
        <f t="shared" ref="W131:W194" si="49">W130</f>
        <v>,GGoal=</v>
      </c>
      <c r="X131">
        <f>Matchs!L132</f>
        <v>0</v>
      </c>
      <c r="Y131" s="6" t="str">
        <f t="shared" ref="Y131:Y194" si="50">Y130</f>
        <v>,GTeam= "</v>
      </c>
      <c r="Z131" t="str">
        <f>Matchs!M132</f>
        <v>Yugoslavia</v>
      </c>
      <c r="AA131" s="6" t="str">
        <f t="shared" ref="AA131:AA194" si="51">AA130</f>
        <v>",WinNote="</v>
      </c>
      <c r="AB131" t="str">
        <f>IF(Matchs!N132="","",Matchs!N132)</f>
        <v/>
      </c>
      <c r="AC131" s="6" t="str">
        <f t="shared" ref="AC131:AC194" si="52">AC130</f>
        <v xml:space="preserve">",Stadium=" </v>
      </c>
      <c r="AD131" s="11" t="str">
        <f>Matchs!O132</f>
        <v xml:space="preserve">Malmö Stadion </v>
      </c>
      <c r="AE131" s="6" t="str">
        <f t="shared" ref="AE131:AE194" si="53">AE130</f>
        <v>",Referee= "</v>
      </c>
      <c r="AF131" s="11" t="str">
        <f>Matchs!P132</f>
        <v xml:space="preserve">Wyssling </v>
      </c>
      <c r="AG131" s="6" t="str">
        <f t="shared" ref="AG131:AG194" si="54">AG130</f>
        <v xml:space="preserve">",Visistors= </v>
      </c>
      <c r="AH131" s="11">
        <f>Matchs!Q132</f>
        <v>20000</v>
      </c>
      <c r="AI131" s="11" t="str">
        <f t="shared" ref="AI131:AI194" si="55">AI130</f>
        <v>,Status= "</v>
      </c>
      <c r="AJ131" s="11" t="str">
        <f>Matchs!R132</f>
        <v>Finished</v>
      </c>
      <c r="AK131" t="str">
        <f t="shared" ref="AK131:AK194" si="56">AK130</f>
        <v>" },</v>
      </c>
    </row>
    <row r="132" spans="1:37" x14ac:dyDescent="0.25">
      <c r="A132" t="str">
        <f t="shared" si="38"/>
        <v>new Match { MatchId= "</v>
      </c>
      <c r="B132" t="str">
        <f>Matchs!A133</f>
        <v>FIFAWC1958-31</v>
      </c>
      <c r="C132" t="str">
        <f t="shared" si="39"/>
        <v>",MatchNumer=</v>
      </c>
      <c r="D132">
        <f>Matchs!B133</f>
        <v>31</v>
      </c>
      <c r="E132" t="str">
        <f t="shared" si="40"/>
        <v>,DateMatch=DateTime.Parse("</v>
      </c>
      <c r="F132" s="3">
        <f>Matchs!C133</f>
        <v>21356</v>
      </c>
      <c r="G132" s="10" t="str">
        <f t="shared" si="41"/>
        <v>"),TimeMatch=TimeSpan.Parse("</v>
      </c>
      <c r="H132" s="9">
        <f>Matchs!D133</f>
        <v>1</v>
      </c>
      <c r="I132" t="str">
        <f t="shared" si="42"/>
        <v>"),MatchYear=</v>
      </c>
      <c r="J132">
        <f>Matchs!E133</f>
        <v>1958</v>
      </c>
      <c r="K132" t="str">
        <f t="shared" si="43"/>
        <v>, SeasonId= "</v>
      </c>
      <c r="L132" t="str">
        <f>Matchs!F133</f>
        <v>FIFAWC1958</v>
      </c>
      <c r="M132" t="str">
        <f t="shared" si="44"/>
        <v>",Round= "</v>
      </c>
      <c r="N132" t="str">
        <f>Matchs!G133</f>
        <v>Final Round</v>
      </c>
      <c r="O132" s="6" t="str">
        <f t="shared" si="45"/>
        <v>",Stage= "</v>
      </c>
      <c r="P132" t="str">
        <f>Matchs!H133</f>
        <v>Knockouts</v>
      </c>
      <c r="Q132" s="6" t="str">
        <f t="shared" si="46"/>
        <v>",SubStage= "</v>
      </c>
      <c r="R132" t="str">
        <f>Matchs!I133</f>
        <v>Quaterfinal</v>
      </c>
      <c r="S132" s="6" t="str">
        <f t="shared" si="47"/>
        <v>",HTeam= "</v>
      </c>
      <c r="T132" t="str">
        <f>Matchs!J133</f>
        <v>Sweden</v>
      </c>
      <c r="U132" s="6" t="str">
        <f t="shared" si="48"/>
        <v>",HGoal=</v>
      </c>
      <c r="V132">
        <f>Matchs!K133</f>
        <v>2</v>
      </c>
      <c r="W132" s="6" t="str">
        <f t="shared" si="49"/>
        <v>,GGoal=</v>
      </c>
      <c r="X132">
        <f>Matchs!L133</f>
        <v>0</v>
      </c>
      <c r="Y132" s="6" t="str">
        <f t="shared" si="50"/>
        <v>,GTeam= "</v>
      </c>
      <c r="Z132" t="str">
        <f>Matchs!M133</f>
        <v>Soviet Union</v>
      </c>
      <c r="AA132" s="6" t="str">
        <f t="shared" si="51"/>
        <v>",WinNote="</v>
      </c>
      <c r="AB132" t="str">
        <f>IF(Matchs!N133="","",Matchs!N133)</f>
        <v/>
      </c>
      <c r="AC132" s="6" t="str">
        <f t="shared" si="52"/>
        <v xml:space="preserve">",Stadium=" </v>
      </c>
      <c r="AD132" s="11" t="str">
        <f>Matchs!O133</f>
        <v xml:space="preserve">Råsunda Stadium </v>
      </c>
      <c r="AE132" s="6" t="str">
        <f t="shared" si="53"/>
        <v>",Referee= "</v>
      </c>
      <c r="AF132" s="11" t="str">
        <f>Matchs!P133</f>
        <v xml:space="preserve">Leafe </v>
      </c>
      <c r="AG132" s="6" t="str">
        <f t="shared" si="54"/>
        <v xml:space="preserve">",Visistors= </v>
      </c>
      <c r="AH132" s="11">
        <f>Matchs!Q133</f>
        <v>45000</v>
      </c>
      <c r="AI132" s="11" t="str">
        <f t="shared" si="55"/>
        <v>,Status= "</v>
      </c>
      <c r="AJ132" s="11" t="str">
        <f>Matchs!R133</f>
        <v>Finished</v>
      </c>
      <c r="AK132" t="str">
        <f t="shared" si="56"/>
        <v>" },</v>
      </c>
    </row>
    <row r="133" spans="1:37" x14ac:dyDescent="0.25">
      <c r="A133" t="str">
        <f t="shared" si="38"/>
        <v>new Match { MatchId= "</v>
      </c>
      <c r="B133" t="str">
        <f>Matchs!A134</f>
        <v>FIFAWC1958-32</v>
      </c>
      <c r="C133" t="str">
        <f t="shared" si="39"/>
        <v>",MatchNumer=</v>
      </c>
      <c r="D133">
        <f>Matchs!B134</f>
        <v>32</v>
      </c>
      <c r="E133" t="str">
        <f t="shared" si="40"/>
        <v>,DateMatch=DateTime.Parse("</v>
      </c>
      <c r="F133" s="3">
        <f>Matchs!C134</f>
        <v>21361</v>
      </c>
      <c r="G133" s="10" t="str">
        <f t="shared" si="41"/>
        <v>"),TimeMatch=TimeSpan.Parse("</v>
      </c>
      <c r="H133" s="9">
        <f>Matchs!D134</f>
        <v>1</v>
      </c>
      <c r="I133" t="str">
        <f t="shared" si="42"/>
        <v>"),MatchYear=</v>
      </c>
      <c r="J133">
        <f>Matchs!E134</f>
        <v>1958</v>
      </c>
      <c r="K133" t="str">
        <f t="shared" si="43"/>
        <v>, SeasonId= "</v>
      </c>
      <c r="L133" t="str">
        <f>Matchs!F134</f>
        <v>FIFAWC1958</v>
      </c>
      <c r="M133" t="str">
        <f t="shared" si="44"/>
        <v>",Round= "</v>
      </c>
      <c r="N133" t="str">
        <f>Matchs!G134</f>
        <v>Final Round</v>
      </c>
      <c r="O133" s="6" t="str">
        <f t="shared" si="45"/>
        <v>",Stage= "</v>
      </c>
      <c r="P133" t="str">
        <f>Matchs!H134</f>
        <v>Knockouts</v>
      </c>
      <c r="Q133" s="6" t="str">
        <f t="shared" si="46"/>
        <v>",SubStage= "</v>
      </c>
      <c r="R133" t="str">
        <f>Matchs!I134</f>
        <v>Semifinal</v>
      </c>
      <c r="S133" s="6" t="str">
        <f t="shared" si="47"/>
        <v>",HTeam= "</v>
      </c>
      <c r="T133" t="str">
        <f>Matchs!J134</f>
        <v>Brazil</v>
      </c>
      <c r="U133" s="6" t="str">
        <f t="shared" si="48"/>
        <v>",HGoal=</v>
      </c>
      <c r="V133">
        <f>Matchs!K134</f>
        <v>5</v>
      </c>
      <c r="W133" s="6" t="str">
        <f t="shared" si="49"/>
        <v>,GGoal=</v>
      </c>
      <c r="X133">
        <f>Matchs!L134</f>
        <v>2</v>
      </c>
      <c r="Y133" s="6" t="str">
        <f t="shared" si="50"/>
        <v>,GTeam= "</v>
      </c>
      <c r="Z133" t="str">
        <f>Matchs!M134</f>
        <v>France</v>
      </c>
      <c r="AA133" s="6" t="str">
        <f t="shared" si="51"/>
        <v>",WinNote="</v>
      </c>
      <c r="AB133" t="str">
        <f>IF(Matchs!N134="","",Matchs!N134)</f>
        <v/>
      </c>
      <c r="AC133" s="6" t="str">
        <f t="shared" si="52"/>
        <v xml:space="preserve">",Stadium=" </v>
      </c>
      <c r="AD133" s="11" t="str">
        <f>Matchs!O134</f>
        <v xml:space="preserve">Råsunda Stadium </v>
      </c>
      <c r="AE133" s="6" t="str">
        <f t="shared" si="53"/>
        <v>",Referee= "</v>
      </c>
      <c r="AF133" s="11">
        <f>Matchs!P134</f>
        <v>0</v>
      </c>
      <c r="AG133" s="6" t="str">
        <f t="shared" si="54"/>
        <v xml:space="preserve">",Visistors= </v>
      </c>
      <c r="AH133" s="11">
        <f>Matchs!Q134</f>
        <v>27000</v>
      </c>
      <c r="AI133" s="11" t="str">
        <f t="shared" si="55"/>
        <v>,Status= "</v>
      </c>
      <c r="AJ133" s="11" t="str">
        <f>Matchs!R134</f>
        <v>Finished</v>
      </c>
      <c r="AK133" t="str">
        <f t="shared" si="56"/>
        <v>" },</v>
      </c>
    </row>
    <row r="134" spans="1:37" x14ac:dyDescent="0.25">
      <c r="A134" t="str">
        <f t="shared" si="38"/>
        <v>new Match { MatchId= "</v>
      </c>
      <c r="B134" t="str">
        <f>Matchs!A135</f>
        <v>FIFAWC1958-33</v>
      </c>
      <c r="C134" t="str">
        <f t="shared" si="39"/>
        <v>",MatchNumer=</v>
      </c>
      <c r="D134">
        <f>Matchs!B135</f>
        <v>33</v>
      </c>
      <c r="E134" t="str">
        <f t="shared" si="40"/>
        <v>,DateMatch=DateTime.Parse("</v>
      </c>
      <c r="F134" s="3">
        <f>Matchs!C135</f>
        <v>21361</v>
      </c>
      <c r="G134" s="10" t="str">
        <f t="shared" si="41"/>
        <v>"),TimeMatch=TimeSpan.Parse("</v>
      </c>
      <c r="H134" s="9">
        <f>Matchs!D135</f>
        <v>1</v>
      </c>
      <c r="I134" t="str">
        <f t="shared" si="42"/>
        <v>"),MatchYear=</v>
      </c>
      <c r="J134">
        <f>Matchs!E135</f>
        <v>1958</v>
      </c>
      <c r="K134" t="str">
        <f t="shared" si="43"/>
        <v>, SeasonId= "</v>
      </c>
      <c r="L134" t="str">
        <f>Matchs!F135</f>
        <v>FIFAWC1958</v>
      </c>
      <c r="M134" t="str">
        <f t="shared" si="44"/>
        <v>",Round= "</v>
      </c>
      <c r="N134" t="str">
        <f>Matchs!G135</f>
        <v>Final Round</v>
      </c>
      <c r="O134" s="6" t="str">
        <f t="shared" si="45"/>
        <v>",Stage= "</v>
      </c>
      <c r="P134" t="str">
        <f>Matchs!H135</f>
        <v>Knockouts</v>
      </c>
      <c r="Q134" s="6" t="str">
        <f t="shared" si="46"/>
        <v>",SubStage= "</v>
      </c>
      <c r="R134" t="str">
        <f>Matchs!I135</f>
        <v>Semifinal</v>
      </c>
      <c r="S134" s="6" t="str">
        <f t="shared" si="47"/>
        <v>",HTeam= "</v>
      </c>
      <c r="T134" t="str">
        <f>Matchs!J135</f>
        <v>Sweden</v>
      </c>
      <c r="U134" s="6" t="str">
        <f t="shared" si="48"/>
        <v>",HGoal=</v>
      </c>
      <c r="V134">
        <f>Matchs!K135</f>
        <v>3</v>
      </c>
      <c r="W134" s="6" t="str">
        <f t="shared" si="49"/>
        <v>,GGoal=</v>
      </c>
      <c r="X134">
        <f>Matchs!L135</f>
        <v>1</v>
      </c>
      <c r="Y134" s="6" t="str">
        <f t="shared" si="50"/>
        <v>,GTeam= "</v>
      </c>
      <c r="Z134" t="str">
        <f>Matchs!M135</f>
        <v>Germany</v>
      </c>
      <c r="AA134" s="6" t="str">
        <f t="shared" si="51"/>
        <v>",WinNote="</v>
      </c>
      <c r="AB134" t="str">
        <f>IF(Matchs!N135="","",Matchs!N135)</f>
        <v/>
      </c>
      <c r="AC134" s="6" t="str">
        <f t="shared" si="52"/>
        <v xml:space="preserve">",Stadium=" </v>
      </c>
      <c r="AD134" s="11" t="str">
        <f>Matchs!O135</f>
        <v xml:space="preserve">Ullevi </v>
      </c>
      <c r="AE134" s="6" t="str">
        <f t="shared" si="53"/>
        <v>",Referee= "</v>
      </c>
      <c r="AF134" s="11" t="str">
        <f>Matchs!P135</f>
        <v xml:space="preserve">Zsolt </v>
      </c>
      <c r="AG134" s="6" t="str">
        <f t="shared" si="54"/>
        <v xml:space="preserve">",Visistors= </v>
      </c>
      <c r="AH134" s="11">
        <f>Matchs!Q135</f>
        <v>50000</v>
      </c>
      <c r="AI134" s="11" t="str">
        <f t="shared" si="55"/>
        <v>,Status= "</v>
      </c>
      <c r="AJ134" s="11" t="str">
        <f>Matchs!R135</f>
        <v>Finished</v>
      </c>
      <c r="AK134" t="str">
        <f t="shared" si="56"/>
        <v>" },</v>
      </c>
    </row>
    <row r="135" spans="1:37" x14ac:dyDescent="0.25">
      <c r="A135" t="str">
        <f t="shared" si="38"/>
        <v>new Match { MatchId= "</v>
      </c>
      <c r="B135" t="str">
        <f>Matchs!A136</f>
        <v>FIFAWC1958-34</v>
      </c>
      <c r="C135" t="str">
        <f t="shared" si="39"/>
        <v>",MatchNumer=</v>
      </c>
      <c r="D135">
        <f>Matchs!B136</f>
        <v>34</v>
      </c>
      <c r="E135" t="str">
        <f t="shared" si="40"/>
        <v>,DateMatch=DateTime.Parse("</v>
      </c>
      <c r="F135" s="3">
        <f>Matchs!C136</f>
        <v>21364</v>
      </c>
      <c r="G135" s="10" t="str">
        <f t="shared" si="41"/>
        <v>"),TimeMatch=TimeSpan.Parse("</v>
      </c>
      <c r="H135" s="9">
        <f>Matchs!D136</f>
        <v>1</v>
      </c>
      <c r="I135" t="str">
        <f t="shared" si="42"/>
        <v>"),MatchYear=</v>
      </c>
      <c r="J135">
        <f>Matchs!E136</f>
        <v>1958</v>
      </c>
      <c r="K135" t="str">
        <f t="shared" si="43"/>
        <v>, SeasonId= "</v>
      </c>
      <c r="L135" t="str">
        <f>Matchs!F136</f>
        <v>FIFAWC1958</v>
      </c>
      <c r="M135" t="str">
        <f t="shared" si="44"/>
        <v>",Round= "</v>
      </c>
      <c r="N135" t="str">
        <f>Matchs!G136</f>
        <v>Final Round</v>
      </c>
      <c r="O135" s="6" t="str">
        <f t="shared" si="45"/>
        <v>",Stage= "</v>
      </c>
      <c r="P135" t="str">
        <f>Matchs!H136</f>
        <v>Knockouts</v>
      </c>
      <c r="Q135" s="6" t="str">
        <f t="shared" si="46"/>
        <v>",SubStage= "</v>
      </c>
      <c r="R135" t="str">
        <f>Matchs!I136</f>
        <v>3rd place</v>
      </c>
      <c r="S135" s="6" t="str">
        <f t="shared" si="47"/>
        <v>",HTeam= "</v>
      </c>
      <c r="T135" t="str">
        <f>Matchs!J136</f>
        <v>France</v>
      </c>
      <c r="U135" s="6" t="str">
        <f t="shared" si="48"/>
        <v>",HGoal=</v>
      </c>
      <c r="V135">
        <f>Matchs!K136</f>
        <v>6</v>
      </c>
      <c r="W135" s="6" t="str">
        <f t="shared" si="49"/>
        <v>,GGoal=</v>
      </c>
      <c r="X135">
        <f>Matchs!L136</f>
        <v>3</v>
      </c>
      <c r="Y135" s="6" t="str">
        <f t="shared" si="50"/>
        <v>,GTeam= "</v>
      </c>
      <c r="Z135" t="str">
        <f>Matchs!M136</f>
        <v>Germany</v>
      </c>
      <c r="AA135" s="6" t="str">
        <f t="shared" si="51"/>
        <v>",WinNote="</v>
      </c>
      <c r="AB135" t="str">
        <f>IF(Matchs!N136="","",Matchs!N136)</f>
        <v/>
      </c>
      <c r="AC135" s="6" t="str">
        <f t="shared" si="52"/>
        <v xml:space="preserve">",Stadium=" </v>
      </c>
      <c r="AD135" s="11" t="str">
        <f>Matchs!O136</f>
        <v xml:space="preserve">Ullevi </v>
      </c>
      <c r="AE135" s="6" t="str">
        <f t="shared" si="53"/>
        <v>",Referee= "</v>
      </c>
      <c r="AF135" s="11" t="str">
        <f>Matchs!P136</f>
        <v xml:space="preserve">Brozzi </v>
      </c>
      <c r="AG135" s="6" t="str">
        <f t="shared" si="54"/>
        <v xml:space="preserve">",Visistors= </v>
      </c>
      <c r="AH135" s="11">
        <f>Matchs!Q136</f>
        <v>25000</v>
      </c>
      <c r="AI135" s="11" t="str">
        <f t="shared" si="55"/>
        <v>,Status= "</v>
      </c>
      <c r="AJ135" s="11" t="str">
        <f>Matchs!R136</f>
        <v>Finished</v>
      </c>
      <c r="AK135" t="str">
        <f t="shared" si="56"/>
        <v>" },</v>
      </c>
    </row>
    <row r="136" spans="1:37" x14ac:dyDescent="0.25">
      <c r="A136" t="str">
        <f t="shared" si="38"/>
        <v>new Match { MatchId= "</v>
      </c>
      <c r="B136" t="str">
        <f>Matchs!A137</f>
        <v>FIFAWC1958-35</v>
      </c>
      <c r="C136" t="str">
        <f t="shared" si="39"/>
        <v>",MatchNumer=</v>
      </c>
      <c r="D136">
        <f>Matchs!B137</f>
        <v>35</v>
      </c>
      <c r="E136" t="str">
        <f t="shared" si="40"/>
        <v>,DateMatch=DateTime.Parse("</v>
      </c>
      <c r="F136" s="3">
        <f>Matchs!C137</f>
        <v>21365</v>
      </c>
      <c r="G136" s="10" t="str">
        <f t="shared" si="41"/>
        <v>"),TimeMatch=TimeSpan.Parse("</v>
      </c>
      <c r="H136" s="9">
        <f>Matchs!D137</f>
        <v>1</v>
      </c>
      <c r="I136" t="str">
        <f t="shared" si="42"/>
        <v>"),MatchYear=</v>
      </c>
      <c r="J136">
        <f>Matchs!E137</f>
        <v>1958</v>
      </c>
      <c r="K136" t="str">
        <f t="shared" si="43"/>
        <v>, SeasonId= "</v>
      </c>
      <c r="L136" t="str">
        <f>Matchs!F137</f>
        <v>FIFAWC1958</v>
      </c>
      <c r="M136" t="str">
        <f t="shared" si="44"/>
        <v>",Round= "</v>
      </c>
      <c r="N136" t="str">
        <f>Matchs!G137</f>
        <v>Final Round</v>
      </c>
      <c r="O136" s="6" t="str">
        <f t="shared" si="45"/>
        <v>",Stage= "</v>
      </c>
      <c r="P136" t="str">
        <f>Matchs!H137</f>
        <v>Knockouts</v>
      </c>
      <c r="Q136" s="6" t="str">
        <f t="shared" si="46"/>
        <v>",SubStage= "</v>
      </c>
      <c r="R136" t="str">
        <f>Matchs!I137</f>
        <v>Final</v>
      </c>
      <c r="S136" s="6" t="str">
        <f t="shared" si="47"/>
        <v>",HTeam= "</v>
      </c>
      <c r="T136" t="str">
        <f>Matchs!J137</f>
        <v>Brazil</v>
      </c>
      <c r="U136" s="6" t="str">
        <f t="shared" si="48"/>
        <v>",HGoal=</v>
      </c>
      <c r="V136">
        <f>Matchs!K137</f>
        <v>5</v>
      </c>
      <c r="W136" s="6" t="str">
        <f t="shared" si="49"/>
        <v>,GGoal=</v>
      </c>
      <c r="X136">
        <f>Matchs!L137</f>
        <v>2</v>
      </c>
      <c r="Y136" s="6" t="str">
        <f t="shared" si="50"/>
        <v>,GTeam= "</v>
      </c>
      <c r="Z136" t="str">
        <f>Matchs!M137</f>
        <v>Sweden</v>
      </c>
      <c r="AA136" s="6" t="str">
        <f t="shared" si="51"/>
        <v>",WinNote="</v>
      </c>
      <c r="AB136" t="str">
        <f>IF(Matchs!N137="","",Matchs!N137)</f>
        <v/>
      </c>
      <c r="AC136" s="6" t="str">
        <f t="shared" si="52"/>
        <v xml:space="preserve">",Stadium=" </v>
      </c>
      <c r="AD136" s="11" t="str">
        <f>Matchs!O137</f>
        <v xml:space="preserve">Råsunda Stadium </v>
      </c>
      <c r="AE136" s="6" t="str">
        <f t="shared" si="53"/>
        <v>",Referee= "</v>
      </c>
      <c r="AF136" s="11" t="str">
        <f>Matchs!P137</f>
        <v xml:space="preserve">Maurice Guigue </v>
      </c>
      <c r="AG136" s="6" t="str">
        <f t="shared" si="54"/>
        <v xml:space="preserve">",Visistors= </v>
      </c>
      <c r="AH136" s="11">
        <f>Matchs!Q137</f>
        <v>51800</v>
      </c>
      <c r="AI136" s="11" t="str">
        <f t="shared" si="55"/>
        <v>,Status= "</v>
      </c>
      <c r="AJ136" s="11" t="str">
        <f>Matchs!R137</f>
        <v>Finished</v>
      </c>
      <c r="AK136" t="str">
        <f t="shared" si="56"/>
        <v>" },</v>
      </c>
    </row>
    <row r="137" spans="1:37" x14ac:dyDescent="0.25">
      <c r="A137" t="str">
        <f t="shared" si="38"/>
        <v>new Match { MatchId= "</v>
      </c>
      <c r="B137" t="str">
        <f>Matchs!A138</f>
        <v>FIFAWC1962-1</v>
      </c>
      <c r="C137" t="str">
        <f t="shared" si="39"/>
        <v>",MatchNumer=</v>
      </c>
      <c r="D137">
        <f>Matchs!B138</f>
        <v>1</v>
      </c>
      <c r="E137" t="str">
        <f t="shared" si="40"/>
        <v>,DateMatch=DateTime.Parse("</v>
      </c>
      <c r="F137" s="3">
        <f>Matchs!C138</f>
        <v>22797</v>
      </c>
      <c r="G137" s="10" t="str">
        <f t="shared" si="41"/>
        <v>"),TimeMatch=TimeSpan.Parse("</v>
      </c>
      <c r="H137" s="9">
        <f>Matchs!D138</f>
        <v>0.125</v>
      </c>
      <c r="I137" t="str">
        <f t="shared" si="42"/>
        <v>"),MatchYear=</v>
      </c>
      <c r="J137">
        <f>Matchs!E138</f>
        <v>1962</v>
      </c>
      <c r="K137" t="str">
        <f t="shared" si="43"/>
        <v>, SeasonId= "</v>
      </c>
      <c r="L137" t="str">
        <f>Matchs!F138</f>
        <v>FIFAWC1962</v>
      </c>
      <c r="M137" t="str">
        <f t="shared" si="44"/>
        <v>",Round= "</v>
      </c>
      <c r="N137" t="str">
        <f>Matchs!G138</f>
        <v>Final Round</v>
      </c>
      <c r="O137" s="6" t="str">
        <f t="shared" si="45"/>
        <v>",Stage= "</v>
      </c>
      <c r="P137" t="str">
        <f>Matchs!H138</f>
        <v>Group</v>
      </c>
      <c r="Q137" s="6" t="str">
        <f t="shared" si="46"/>
        <v>",SubStage= "</v>
      </c>
      <c r="R137" t="str">
        <f>Matchs!I138</f>
        <v>Group 2</v>
      </c>
      <c r="S137" s="6" t="str">
        <f t="shared" si="47"/>
        <v>",HTeam= "</v>
      </c>
      <c r="T137" t="str">
        <f>Matchs!J138</f>
        <v>Chile</v>
      </c>
      <c r="U137" s="6" t="str">
        <f t="shared" si="48"/>
        <v>",HGoal=</v>
      </c>
      <c r="V137">
        <f>Matchs!K138</f>
        <v>3</v>
      </c>
      <c r="W137" s="6" t="str">
        <f t="shared" si="49"/>
        <v>,GGoal=</v>
      </c>
      <c r="X137">
        <f>Matchs!L138</f>
        <v>1</v>
      </c>
      <c r="Y137" s="6" t="str">
        <f t="shared" si="50"/>
        <v>,GTeam= "</v>
      </c>
      <c r="Z137" t="str">
        <f>Matchs!M138</f>
        <v>Switzerland</v>
      </c>
      <c r="AA137" s="6" t="str">
        <f t="shared" si="51"/>
        <v>",WinNote="</v>
      </c>
      <c r="AB137" t="str">
        <f>IF(Matchs!N138="","",Matchs!N138)</f>
        <v/>
      </c>
      <c r="AC137" s="6" t="str">
        <f t="shared" si="52"/>
        <v xml:space="preserve">",Stadium=" </v>
      </c>
      <c r="AD137" s="11" t="str">
        <f>Matchs!O138</f>
        <v xml:space="preserve">Estadio Nacional Julio Mart... </v>
      </c>
      <c r="AE137" s="6" t="str">
        <f t="shared" si="53"/>
        <v>",Referee= "</v>
      </c>
      <c r="AF137" s="11" t="str">
        <f>Matchs!P138</f>
        <v xml:space="preserve">Kenneth Aston </v>
      </c>
      <c r="AG137" s="6" t="str">
        <f t="shared" si="54"/>
        <v xml:space="preserve">",Visistors= </v>
      </c>
      <c r="AH137" s="11">
        <f>Matchs!Q138</f>
        <v>65000</v>
      </c>
      <c r="AI137" s="11" t="str">
        <f t="shared" si="55"/>
        <v>,Status= "</v>
      </c>
      <c r="AJ137" s="11" t="str">
        <f>Matchs!R138</f>
        <v>Finished</v>
      </c>
      <c r="AK137" t="str">
        <f t="shared" si="56"/>
        <v>" },</v>
      </c>
    </row>
    <row r="138" spans="1:37" x14ac:dyDescent="0.25">
      <c r="A138" t="str">
        <f t="shared" si="38"/>
        <v>new Match { MatchId= "</v>
      </c>
      <c r="B138" t="str">
        <f>Matchs!A139</f>
        <v>FIFAWC1962-2</v>
      </c>
      <c r="C138" t="str">
        <f t="shared" si="39"/>
        <v>",MatchNumer=</v>
      </c>
      <c r="D138">
        <f>Matchs!B139</f>
        <v>2</v>
      </c>
      <c r="E138" t="str">
        <f t="shared" si="40"/>
        <v>,DateMatch=DateTime.Parse("</v>
      </c>
      <c r="F138" s="3">
        <f>Matchs!C139</f>
        <v>22797</v>
      </c>
      <c r="G138" s="10" t="str">
        <f t="shared" si="41"/>
        <v>"),TimeMatch=TimeSpan.Parse("</v>
      </c>
      <c r="H138" s="9">
        <f>Matchs!D139</f>
        <v>0.125</v>
      </c>
      <c r="I138" t="str">
        <f t="shared" si="42"/>
        <v>"),MatchYear=</v>
      </c>
      <c r="J138">
        <f>Matchs!E139</f>
        <v>1962</v>
      </c>
      <c r="K138" t="str">
        <f t="shared" si="43"/>
        <v>, SeasonId= "</v>
      </c>
      <c r="L138" t="str">
        <f>Matchs!F139</f>
        <v>FIFAWC1962</v>
      </c>
      <c r="M138" t="str">
        <f t="shared" si="44"/>
        <v>",Round= "</v>
      </c>
      <c r="N138" t="str">
        <f>Matchs!G139</f>
        <v>Final Round</v>
      </c>
      <c r="O138" s="6" t="str">
        <f t="shared" si="45"/>
        <v>",Stage= "</v>
      </c>
      <c r="P138" t="str">
        <f>Matchs!H139</f>
        <v>Group</v>
      </c>
      <c r="Q138" s="6" t="str">
        <f t="shared" si="46"/>
        <v>",SubStage= "</v>
      </c>
      <c r="R138" t="str">
        <f>Matchs!I139</f>
        <v>Group 4</v>
      </c>
      <c r="S138" s="6" t="str">
        <f t="shared" si="47"/>
        <v>",HTeam= "</v>
      </c>
      <c r="T138" t="str">
        <f>Matchs!J139</f>
        <v>Argentina</v>
      </c>
      <c r="U138" s="6" t="str">
        <f t="shared" si="48"/>
        <v>",HGoal=</v>
      </c>
      <c r="V138">
        <f>Matchs!K139</f>
        <v>1</v>
      </c>
      <c r="W138" s="6" t="str">
        <f t="shared" si="49"/>
        <v>,GGoal=</v>
      </c>
      <c r="X138">
        <f>Matchs!L139</f>
        <v>0</v>
      </c>
      <c r="Y138" s="6" t="str">
        <f t="shared" si="50"/>
        <v>,GTeam= "</v>
      </c>
      <c r="Z138" t="str">
        <f>Matchs!M139</f>
        <v>Bulgaria</v>
      </c>
      <c r="AA138" s="6" t="str">
        <f t="shared" si="51"/>
        <v>",WinNote="</v>
      </c>
      <c r="AB138" t="str">
        <f>IF(Matchs!N139="","",Matchs!N139)</f>
        <v/>
      </c>
      <c r="AC138" s="6" t="str">
        <f t="shared" si="52"/>
        <v xml:space="preserve">",Stadium=" </v>
      </c>
      <c r="AD138" s="11" t="str">
        <f>Matchs!O139</f>
        <v xml:space="preserve">Estadio El Teniente </v>
      </c>
      <c r="AE138" s="6" t="str">
        <f t="shared" si="53"/>
        <v>",Referee= "</v>
      </c>
      <c r="AF138" s="11" t="str">
        <f>Matchs!P139</f>
        <v xml:space="preserve">Juan Gardeazabal </v>
      </c>
      <c r="AG138" s="6" t="str">
        <f t="shared" si="54"/>
        <v xml:space="preserve">",Visistors= </v>
      </c>
      <c r="AH138" s="11">
        <f>Matchs!Q139</f>
        <v>7134</v>
      </c>
      <c r="AI138" s="11" t="str">
        <f t="shared" si="55"/>
        <v>,Status= "</v>
      </c>
      <c r="AJ138" s="11" t="str">
        <f>Matchs!R139</f>
        <v>Finished</v>
      </c>
      <c r="AK138" t="str">
        <f t="shared" si="56"/>
        <v>" },</v>
      </c>
    </row>
    <row r="139" spans="1:37" x14ac:dyDescent="0.25">
      <c r="A139" t="str">
        <f t="shared" si="38"/>
        <v>new Match { MatchId= "</v>
      </c>
      <c r="B139" t="str">
        <f>Matchs!A140</f>
        <v>FIFAWC1962-3</v>
      </c>
      <c r="C139" t="str">
        <f t="shared" si="39"/>
        <v>",MatchNumer=</v>
      </c>
      <c r="D139">
        <f>Matchs!B140</f>
        <v>3</v>
      </c>
      <c r="E139" t="str">
        <f t="shared" si="40"/>
        <v>,DateMatch=DateTime.Parse("</v>
      </c>
      <c r="F139" s="3">
        <f>Matchs!C140</f>
        <v>22797</v>
      </c>
      <c r="G139" s="10" t="str">
        <f t="shared" si="41"/>
        <v>"),TimeMatch=TimeSpan.Parse("</v>
      </c>
      <c r="H139" s="9">
        <f>Matchs!D140</f>
        <v>0.125</v>
      </c>
      <c r="I139" t="str">
        <f t="shared" si="42"/>
        <v>"),MatchYear=</v>
      </c>
      <c r="J139">
        <f>Matchs!E140</f>
        <v>1962</v>
      </c>
      <c r="K139" t="str">
        <f t="shared" si="43"/>
        <v>, SeasonId= "</v>
      </c>
      <c r="L139" t="str">
        <f>Matchs!F140</f>
        <v>FIFAWC1962</v>
      </c>
      <c r="M139" t="str">
        <f t="shared" si="44"/>
        <v>",Round= "</v>
      </c>
      <c r="N139" t="str">
        <f>Matchs!G140</f>
        <v>Final Round</v>
      </c>
      <c r="O139" s="6" t="str">
        <f t="shared" si="45"/>
        <v>",Stage= "</v>
      </c>
      <c r="P139" t="str">
        <f>Matchs!H140</f>
        <v>Group</v>
      </c>
      <c r="Q139" s="6" t="str">
        <f t="shared" si="46"/>
        <v>",SubStage= "</v>
      </c>
      <c r="R139" t="str">
        <f>Matchs!I140</f>
        <v>Group 1</v>
      </c>
      <c r="S139" s="6" t="str">
        <f t="shared" si="47"/>
        <v>",HTeam= "</v>
      </c>
      <c r="T139" t="str">
        <f>Matchs!J140</f>
        <v>Uruguay</v>
      </c>
      <c r="U139" s="6" t="str">
        <f t="shared" si="48"/>
        <v>",HGoal=</v>
      </c>
      <c r="V139">
        <f>Matchs!K140</f>
        <v>2</v>
      </c>
      <c r="W139" s="6" t="str">
        <f t="shared" si="49"/>
        <v>,GGoal=</v>
      </c>
      <c r="X139">
        <f>Matchs!L140</f>
        <v>1</v>
      </c>
      <c r="Y139" s="6" t="str">
        <f t="shared" si="50"/>
        <v>,GTeam= "</v>
      </c>
      <c r="Z139" t="str">
        <f>Matchs!M140</f>
        <v>Colombia</v>
      </c>
      <c r="AA139" s="6" t="str">
        <f t="shared" si="51"/>
        <v>",WinNote="</v>
      </c>
      <c r="AB139" t="str">
        <f>IF(Matchs!N140="","",Matchs!N140)</f>
        <v/>
      </c>
      <c r="AC139" s="6" t="str">
        <f t="shared" si="52"/>
        <v xml:space="preserve">",Stadium=" </v>
      </c>
      <c r="AD139" s="11" t="str">
        <f>Matchs!O140</f>
        <v xml:space="preserve">Estadio Carlos Dittborn </v>
      </c>
      <c r="AE139" s="6" t="str">
        <f t="shared" si="53"/>
        <v>",Referee= "</v>
      </c>
      <c r="AF139" s="11" t="str">
        <f>Matchs!P140</f>
        <v xml:space="preserve">Andor Dorogi </v>
      </c>
      <c r="AG139" s="6" t="str">
        <f t="shared" si="54"/>
        <v xml:space="preserve">",Visistors= </v>
      </c>
      <c r="AH139" s="11">
        <f>Matchs!Q140</f>
        <v>7908</v>
      </c>
      <c r="AI139" s="11" t="str">
        <f t="shared" si="55"/>
        <v>,Status= "</v>
      </c>
      <c r="AJ139" s="11" t="str">
        <f>Matchs!R140</f>
        <v>Finished</v>
      </c>
      <c r="AK139" t="str">
        <f t="shared" si="56"/>
        <v>" },</v>
      </c>
    </row>
    <row r="140" spans="1:37" x14ac:dyDescent="0.25">
      <c r="A140" t="str">
        <f t="shared" si="38"/>
        <v>new Match { MatchId= "</v>
      </c>
      <c r="B140" t="str">
        <f>Matchs!A141</f>
        <v>FIFAWC1962-4</v>
      </c>
      <c r="C140" t="str">
        <f t="shared" si="39"/>
        <v>",MatchNumer=</v>
      </c>
      <c r="D140">
        <f>Matchs!B141</f>
        <v>4</v>
      </c>
      <c r="E140" t="str">
        <f t="shared" si="40"/>
        <v>,DateMatch=DateTime.Parse("</v>
      </c>
      <c r="F140" s="3">
        <f>Matchs!C141</f>
        <v>22797</v>
      </c>
      <c r="G140" s="10" t="str">
        <f t="shared" si="41"/>
        <v>"),TimeMatch=TimeSpan.Parse("</v>
      </c>
      <c r="H140" s="9">
        <f>Matchs!D141</f>
        <v>0.125</v>
      </c>
      <c r="I140" t="str">
        <f t="shared" si="42"/>
        <v>"),MatchYear=</v>
      </c>
      <c r="J140">
        <f>Matchs!E141</f>
        <v>1962</v>
      </c>
      <c r="K140" t="str">
        <f t="shared" si="43"/>
        <v>, SeasonId= "</v>
      </c>
      <c r="L140" t="str">
        <f>Matchs!F141</f>
        <v>FIFAWC1962</v>
      </c>
      <c r="M140" t="str">
        <f t="shared" si="44"/>
        <v>",Round= "</v>
      </c>
      <c r="N140" t="str">
        <f>Matchs!G141</f>
        <v>Final Round</v>
      </c>
      <c r="O140" s="6" t="str">
        <f t="shared" si="45"/>
        <v>",Stage= "</v>
      </c>
      <c r="P140" t="str">
        <f>Matchs!H141</f>
        <v>Group</v>
      </c>
      <c r="Q140" s="6" t="str">
        <f t="shared" si="46"/>
        <v>",SubStage= "</v>
      </c>
      <c r="R140" t="str">
        <f>Matchs!I141</f>
        <v>Group 3</v>
      </c>
      <c r="S140" s="6" t="str">
        <f t="shared" si="47"/>
        <v>",HTeam= "</v>
      </c>
      <c r="T140" t="str">
        <f>Matchs!J141</f>
        <v>Brazil</v>
      </c>
      <c r="U140" s="6" t="str">
        <f t="shared" si="48"/>
        <v>",HGoal=</v>
      </c>
      <c r="V140">
        <f>Matchs!K141</f>
        <v>2</v>
      </c>
      <c r="W140" s="6" t="str">
        <f t="shared" si="49"/>
        <v>,GGoal=</v>
      </c>
      <c r="X140">
        <f>Matchs!L141</f>
        <v>0</v>
      </c>
      <c r="Y140" s="6" t="str">
        <f t="shared" si="50"/>
        <v>,GTeam= "</v>
      </c>
      <c r="Z140" t="str">
        <f>Matchs!M141</f>
        <v>Mexico</v>
      </c>
      <c r="AA140" s="6" t="str">
        <f t="shared" si="51"/>
        <v>",WinNote="</v>
      </c>
      <c r="AB140" t="str">
        <f>IF(Matchs!N141="","",Matchs!N141)</f>
        <v/>
      </c>
      <c r="AC140" s="6" t="str">
        <f t="shared" si="52"/>
        <v xml:space="preserve">",Stadium=" </v>
      </c>
      <c r="AD140" s="11" t="str">
        <f>Matchs!O141</f>
        <v xml:space="preserve">Estadio Sausalito </v>
      </c>
      <c r="AE140" s="6" t="str">
        <f t="shared" si="53"/>
        <v>",Referee= "</v>
      </c>
      <c r="AF140" s="11" t="str">
        <f>Matchs!P141</f>
        <v xml:space="preserve">Gottfried Dienst </v>
      </c>
      <c r="AG140" s="6" t="str">
        <f t="shared" si="54"/>
        <v xml:space="preserve">",Visistors= </v>
      </c>
      <c r="AH140" s="11">
        <f>Matchs!Q141</f>
        <v>10484</v>
      </c>
      <c r="AI140" s="11" t="str">
        <f t="shared" si="55"/>
        <v>,Status= "</v>
      </c>
      <c r="AJ140" s="11" t="str">
        <f>Matchs!R141</f>
        <v>Finished</v>
      </c>
      <c r="AK140" t="str">
        <f t="shared" si="56"/>
        <v>" },</v>
      </c>
    </row>
    <row r="141" spans="1:37" x14ac:dyDescent="0.25">
      <c r="A141" t="str">
        <f t="shared" si="38"/>
        <v>new Match { MatchId= "</v>
      </c>
      <c r="B141" t="str">
        <f>Matchs!A142</f>
        <v>FIFAWC1962-5</v>
      </c>
      <c r="C141" t="str">
        <f t="shared" si="39"/>
        <v>",MatchNumer=</v>
      </c>
      <c r="D141">
        <f>Matchs!B142</f>
        <v>5</v>
      </c>
      <c r="E141" t="str">
        <f t="shared" si="40"/>
        <v>,DateMatch=DateTime.Parse("</v>
      </c>
      <c r="F141" s="3">
        <f>Matchs!C142</f>
        <v>22798</v>
      </c>
      <c r="G141" s="10" t="str">
        <f t="shared" si="41"/>
        <v>"),TimeMatch=TimeSpan.Parse("</v>
      </c>
      <c r="H141" s="9">
        <f>Matchs!D142</f>
        <v>0.125</v>
      </c>
      <c r="I141" t="str">
        <f t="shared" si="42"/>
        <v>"),MatchYear=</v>
      </c>
      <c r="J141">
        <f>Matchs!E142</f>
        <v>1962</v>
      </c>
      <c r="K141" t="str">
        <f t="shared" si="43"/>
        <v>, SeasonId= "</v>
      </c>
      <c r="L141" t="str">
        <f>Matchs!F142</f>
        <v>FIFAWC1962</v>
      </c>
      <c r="M141" t="str">
        <f t="shared" si="44"/>
        <v>",Round= "</v>
      </c>
      <c r="N141" t="str">
        <f>Matchs!G142</f>
        <v>Final Round</v>
      </c>
      <c r="O141" s="6" t="str">
        <f t="shared" si="45"/>
        <v>",Stage= "</v>
      </c>
      <c r="P141" t="str">
        <f>Matchs!H142</f>
        <v>Group</v>
      </c>
      <c r="Q141" s="6" t="str">
        <f t="shared" si="46"/>
        <v>",SubStage= "</v>
      </c>
      <c r="R141" t="str">
        <f>Matchs!I142</f>
        <v>Group 2</v>
      </c>
      <c r="S141" s="6" t="str">
        <f t="shared" si="47"/>
        <v>",HTeam= "</v>
      </c>
      <c r="T141" t="str">
        <f>Matchs!J142</f>
        <v>Germany</v>
      </c>
      <c r="U141" s="6" t="str">
        <f t="shared" si="48"/>
        <v>",HGoal=</v>
      </c>
      <c r="V141">
        <f>Matchs!K142</f>
        <v>0</v>
      </c>
      <c r="W141" s="6" t="str">
        <f t="shared" si="49"/>
        <v>,GGoal=</v>
      </c>
      <c r="X141">
        <f>Matchs!L142</f>
        <v>0</v>
      </c>
      <c r="Y141" s="6" t="str">
        <f t="shared" si="50"/>
        <v>,GTeam= "</v>
      </c>
      <c r="Z141" t="str">
        <f>Matchs!M142</f>
        <v>Italy</v>
      </c>
      <c r="AA141" s="6" t="str">
        <f t="shared" si="51"/>
        <v>",WinNote="</v>
      </c>
      <c r="AB141" t="str">
        <f>IF(Matchs!N142="","",Matchs!N142)</f>
        <v/>
      </c>
      <c r="AC141" s="6" t="str">
        <f t="shared" si="52"/>
        <v xml:space="preserve">",Stadium=" </v>
      </c>
      <c r="AD141" s="11" t="str">
        <f>Matchs!O142</f>
        <v xml:space="preserve">Estadio Nacional Julio Mart... </v>
      </c>
      <c r="AE141" s="6" t="str">
        <f t="shared" si="53"/>
        <v>",Referee= "</v>
      </c>
      <c r="AF141" s="11" t="str">
        <f>Matchs!P142</f>
        <v xml:space="preserve">Robert Holley Davidson </v>
      </c>
      <c r="AG141" s="6" t="str">
        <f t="shared" si="54"/>
        <v xml:space="preserve">",Visistors= </v>
      </c>
      <c r="AH141" s="11">
        <f>Matchs!Q142</f>
        <v>65440</v>
      </c>
      <c r="AI141" s="11" t="str">
        <f t="shared" si="55"/>
        <v>,Status= "</v>
      </c>
      <c r="AJ141" s="11" t="str">
        <f>Matchs!R142</f>
        <v>Finished</v>
      </c>
      <c r="AK141" t="str">
        <f t="shared" si="56"/>
        <v>" },</v>
      </c>
    </row>
    <row r="142" spans="1:37" x14ac:dyDescent="0.25">
      <c r="A142" t="str">
        <f t="shared" si="38"/>
        <v>new Match { MatchId= "</v>
      </c>
      <c r="B142" t="str">
        <f>Matchs!A143</f>
        <v>FIFAWC1962-6</v>
      </c>
      <c r="C142" t="str">
        <f t="shared" si="39"/>
        <v>",MatchNumer=</v>
      </c>
      <c r="D142">
        <f>Matchs!B143</f>
        <v>6</v>
      </c>
      <c r="E142" t="str">
        <f t="shared" si="40"/>
        <v>,DateMatch=DateTime.Parse("</v>
      </c>
      <c r="F142" s="3">
        <f>Matchs!C143</f>
        <v>22798</v>
      </c>
      <c r="G142" s="10" t="str">
        <f t="shared" si="41"/>
        <v>"),TimeMatch=TimeSpan.Parse("</v>
      </c>
      <c r="H142" s="9">
        <f>Matchs!D143</f>
        <v>0.125</v>
      </c>
      <c r="I142" t="str">
        <f t="shared" si="42"/>
        <v>"),MatchYear=</v>
      </c>
      <c r="J142">
        <f>Matchs!E143</f>
        <v>1962</v>
      </c>
      <c r="K142" t="str">
        <f t="shared" si="43"/>
        <v>, SeasonId= "</v>
      </c>
      <c r="L142" t="str">
        <f>Matchs!F143</f>
        <v>FIFAWC1962</v>
      </c>
      <c r="M142" t="str">
        <f t="shared" si="44"/>
        <v>",Round= "</v>
      </c>
      <c r="N142" t="str">
        <f>Matchs!G143</f>
        <v>Final Round</v>
      </c>
      <c r="O142" s="6" t="str">
        <f t="shared" si="45"/>
        <v>",Stage= "</v>
      </c>
      <c r="P142" t="str">
        <f>Matchs!H143</f>
        <v>Group</v>
      </c>
      <c r="Q142" s="6" t="str">
        <f t="shared" si="46"/>
        <v>",SubStage= "</v>
      </c>
      <c r="R142" t="str">
        <f>Matchs!I143</f>
        <v>Group 1</v>
      </c>
      <c r="S142" s="6" t="str">
        <f t="shared" si="47"/>
        <v>",HTeam= "</v>
      </c>
      <c r="T142" t="str">
        <f>Matchs!J143</f>
        <v>Soviet Union</v>
      </c>
      <c r="U142" s="6" t="str">
        <f t="shared" si="48"/>
        <v>",HGoal=</v>
      </c>
      <c r="V142">
        <f>Matchs!K143</f>
        <v>2</v>
      </c>
      <c r="W142" s="6" t="str">
        <f t="shared" si="49"/>
        <v>,GGoal=</v>
      </c>
      <c r="X142">
        <f>Matchs!L143</f>
        <v>0</v>
      </c>
      <c r="Y142" s="6" t="str">
        <f t="shared" si="50"/>
        <v>,GTeam= "</v>
      </c>
      <c r="Z142" t="str">
        <f>Matchs!M143</f>
        <v>Yugoslavia</v>
      </c>
      <c r="AA142" s="6" t="str">
        <f t="shared" si="51"/>
        <v>",WinNote="</v>
      </c>
      <c r="AB142" t="str">
        <f>IF(Matchs!N143="","",Matchs!N143)</f>
        <v/>
      </c>
      <c r="AC142" s="6" t="str">
        <f t="shared" si="52"/>
        <v xml:space="preserve">",Stadium=" </v>
      </c>
      <c r="AD142" s="11" t="str">
        <f>Matchs!O143</f>
        <v xml:space="preserve">Estadio Carlos Dittborn </v>
      </c>
      <c r="AE142" s="6" t="str">
        <f t="shared" si="53"/>
        <v>",Referee= "</v>
      </c>
      <c r="AF142" s="11" t="str">
        <f>Matchs!P143</f>
        <v xml:space="preserve">Albert Dusch </v>
      </c>
      <c r="AG142" s="6" t="str">
        <f t="shared" si="54"/>
        <v xml:space="preserve">",Visistors= </v>
      </c>
      <c r="AH142" s="11">
        <f>Matchs!Q143</f>
        <v>15000</v>
      </c>
      <c r="AI142" s="11" t="str">
        <f t="shared" si="55"/>
        <v>,Status= "</v>
      </c>
      <c r="AJ142" s="11" t="str">
        <f>Matchs!R143</f>
        <v>Finished</v>
      </c>
      <c r="AK142" t="str">
        <f t="shared" si="56"/>
        <v>" },</v>
      </c>
    </row>
    <row r="143" spans="1:37" x14ac:dyDescent="0.25">
      <c r="A143" t="str">
        <f t="shared" si="38"/>
        <v>new Match { MatchId= "</v>
      </c>
      <c r="B143" t="str">
        <f>Matchs!A144</f>
        <v>FIFAWC1962-7</v>
      </c>
      <c r="C143" t="str">
        <f t="shared" si="39"/>
        <v>",MatchNumer=</v>
      </c>
      <c r="D143">
        <f>Matchs!B144</f>
        <v>7</v>
      </c>
      <c r="E143" t="str">
        <f t="shared" si="40"/>
        <v>,DateMatch=DateTime.Parse("</v>
      </c>
      <c r="F143" s="3">
        <f>Matchs!C144</f>
        <v>22798</v>
      </c>
      <c r="G143" s="10" t="str">
        <f t="shared" si="41"/>
        <v>"),TimeMatch=TimeSpan.Parse("</v>
      </c>
      <c r="H143" s="9">
        <f>Matchs!D144</f>
        <v>0.125</v>
      </c>
      <c r="I143" t="str">
        <f t="shared" si="42"/>
        <v>"),MatchYear=</v>
      </c>
      <c r="J143">
        <f>Matchs!E144</f>
        <v>1962</v>
      </c>
      <c r="K143" t="str">
        <f t="shared" si="43"/>
        <v>, SeasonId= "</v>
      </c>
      <c r="L143" t="str">
        <f>Matchs!F144</f>
        <v>FIFAWC1962</v>
      </c>
      <c r="M143" t="str">
        <f t="shared" si="44"/>
        <v>",Round= "</v>
      </c>
      <c r="N143" t="str">
        <f>Matchs!G144</f>
        <v>Final Round</v>
      </c>
      <c r="O143" s="6" t="str">
        <f t="shared" si="45"/>
        <v>",Stage= "</v>
      </c>
      <c r="P143" t="str">
        <f>Matchs!H144</f>
        <v>Group</v>
      </c>
      <c r="Q143" s="6" t="str">
        <f t="shared" si="46"/>
        <v>",SubStage= "</v>
      </c>
      <c r="R143" t="str">
        <f>Matchs!I144</f>
        <v>Group 3</v>
      </c>
      <c r="S143" s="6" t="str">
        <f t="shared" si="47"/>
        <v>",HTeam= "</v>
      </c>
      <c r="T143" t="str">
        <f>Matchs!J144</f>
        <v>Czechoslovakia</v>
      </c>
      <c r="U143" s="6" t="str">
        <f t="shared" si="48"/>
        <v>",HGoal=</v>
      </c>
      <c r="V143">
        <f>Matchs!K144</f>
        <v>1</v>
      </c>
      <c r="W143" s="6" t="str">
        <f t="shared" si="49"/>
        <v>,GGoal=</v>
      </c>
      <c r="X143">
        <f>Matchs!L144</f>
        <v>0</v>
      </c>
      <c r="Y143" s="6" t="str">
        <f t="shared" si="50"/>
        <v>,GTeam= "</v>
      </c>
      <c r="Z143" t="str">
        <f>Matchs!M144</f>
        <v>Spain</v>
      </c>
      <c r="AA143" s="6" t="str">
        <f t="shared" si="51"/>
        <v>",WinNote="</v>
      </c>
      <c r="AB143" t="str">
        <f>IF(Matchs!N144="","",Matchs!N144)</f>
        <v/>
      </c>
      <c r="AC143" s="6" t="str">
        <f t="shared" si="52"/>
        <v xml:space="preserve">",Stadium=" </v>
      </c>
      <c r="AD143" s="11" t="str">
        <f>Matchs!O144</f>
        <v xml:space="preserve">Estadio Sausalito </v>
      </c>
      <c r="AE143" s="6" t="str">
        <f t="shared" si="53"/>
        <v>",Referee= "</v>
      </c>
      <c r="AF143" s="11" t="str">
        <f>Matchs!P144</f>
        <v xml:space="preserve">Carl Erich Steiner </v>
      </c>
      <c r="AG143" s="6" t="str">
        <f t="shared" si="54"/>
        <v xml:space="preserve">",Visistors= </v>
      </c>
      <c r="AH143" s="11">
        <f>Matchs!Q144</f>
        <v>12700</v>
      </c>
      <c r="AI143" s="11" t="str">
        <f t="shared" si="55"/>
        <v>,Status= "</v>
      </c>
      <c r="AJ143" s="11" t="str">
        <f>Matchs!R144</f>
        <v>Finished</v>
      </c>
      <c r="AK143" t="str">
        <f t="shared" si="56"/>
        <v>" },</v>
      </c>
    </row>
    <row r="144" spans="1:37" x14ac:dyDescent="0.25">
      <c r="A144" t="str">
        <f t="shared" si="38"/>
        <v>new Match { MatchId= "</v>
      </c>
      <c r="B144" t="str">
        <f>Matchs!A145</f>
        <v>FIFAWC1962-8</v>
      </c>
      <c r="C144" t="str">
        <f t="shared" si="39"/>
        <v>",MatchNumer=</v>
      </c>
      <c r="D144">
        <f>Matchs!B145</f>
        <v>8</v>
      </c>
      <c r="E144" t="str">
        <f t="shared" si="40"/>
        <v>,DateMatch=DateTime.Parse("</v>
      </c>
      <c r="F144" s="3">
        <f>Matchs!C145</f>
        <v>22798</v>
      </c>
      <c r="G144" s="10" t="str">
        <f t="shared" si="41"/>
        <v>"),TimeMatch=TimeSpan.Parse("</v>
      </c>
      <c r="H144" s="9">
        <f>Matchs!D145</f>
        <v>0.125</v>
      </c>
      <c r="I144" t="str">
        <f t="shared" si="42"/>
        <v>"),MatchYear=</v>
      </c>
      <c r="J144">
        <f>Matchs!E145</f>
        <v>1962</v>
      </c>
      <c r="K144" t="str">
        <f t="shared" si="43"/>
        <v>, SeasonId= "</v>
      </c>
      <c r="L144" t="str">
        <f>Matchs!F145</f>
        <v>FIFAWC1962</v>
      </c>
      <c r="M144" t="str">
        <f t="shared" si="44"/>
        <v>",Round= "</v>
      </c>
      <c r="N144" t="str">
        <f>Matchs!G145</f>
        <v>Final Round</v>
      </c>
      <c r="O144" s="6" t="str">
        <f t="shared" si="45"/>
        <v>",Stage= "</v>
      </c>
      <c r="P144" t="str">
        <f>Matchs!H145</f>
        <v>Group</v>
      </c>
      <c r="Q144" s="6" t="str">
        <f t="shared" si="46"/>
        <v>",SubStage= "</v>
      </c>
      <c r="R144" t="str">
        <f>Matchs!I145</f>
        <v>Group 4</v>
      </c>
      <c r="S144" s="6" t="str">
        <f t="shared" si="47"/>
        <v>",HTeam= "</v>
      </c>
      <c r="T144" t="str">
        <f>Matchs!J145</f>
        <v>Hungary</v>
      </c>
      <c r="U144" s="6" t="str">
        <f t="shared" si="48"/>
        <v>",HGoal=</v>
      </c>
      <c r="V144">
        <f>Matchs!K145</f>
        <v>2</v>
      </c>
      <c r="W144" s="6" t="str">
        <f t="shared" si="49"/>
        <v>,GGoal=</v>
      </c>
      <c r="X144">
        <f>Matchs!L145</f>
        <v>1</v>
      </c>
      <c r="Y144" s="6" t="str">
        <f t="shared" si="50"/>
        <v>,GTeam= "</v>
      </c>
      <c r="Z144" t="str">
        <f>Matchs!M145</f>
        <v>England</v>
      </c>
      <c r="AA144" s="6" t="str">
        <f t="shared" si="51"/>
        <v>",WinNote="</v>
      </c>
      <c r="AB144" t="str">
        <f>IF(Matchs!N145="","",Matchs!N145)</f>
        <v/>
      </c>
      <c r="AC144" s="6" t="str">
        <f t="shared" si="52"/>
        <v xml:space="preserve">",Stadium=" </v>
      </c>
      <c r="AD144" s="11" t="str">
        <f>Matchs!O145</f>
        <v xml:space="preserve">Estadio El Teniente </v>
      </c>
      <c r="AE144" s="6" t="str">
        <f t="shared" si="53"/>
        <v>",Referee= "</v>
      </c>
      <c r="AF144" s="11" t="str">
        <f>Matchs!P145</f>
        <v xml:space="preserve">Leo Horn </v>
      </c>
      <c r="AG144" s="6" t="str">
        <f t="shared" si="54"/>
        <v xml:space="preserve">",Visistors= </v>
      </c>
      <c r="AH144" s="11">
        <f>Matchs!Q145</f>
        <v>7938</v>
      </c>
      <c r="AI144" s="11" t="str">
        <f t="shared" si="55"/>
        <v>,Status= "</v>
      </c>
      <c r="AJ144" s="11" t="str">
        <f>Matchs!R145</f>
        <v>Finished</v>
      </c>
      <c r="AK144" t="str">
        <f t="shared" si="56"/>
        <v>" },</v>
      </c>
    </row>
    <row r="145" spans="1:37" x14ac:dyDescent="0.25">
      <c r="A145" t="str">
        <f t="shared" si="38"/>
        <v>new Match { MatchId= "</v>
      </c>
      <c r="B145" t="str">
        <f>Matchs!A146</f>
        <v>FIFAWC1962-9</v>
      </c>
      <c r="C145" t="str">
        <f t="shared" si="39"/>
        <v>",MatchNumer=</v>
      </c>
      <c r="D145">
        <f>Matchs!B146</f>
        <v>9</v>
      </c>
      <c r="E145" t="str">
        <f t="shared" si="40"/>
        <v>,DateMatch=DateTime.Parse("</v>
      </c>
      <c r="F145" s="3">
        <f>Matchs!C146</f>
        <v>22800</v>
      </c>
      <c r="G145" s="10" t="str">
        <f t="shared" si="41"/>
        <v>"),TimeMatch=TimeSpan.Parse("</v>
      </c>
      <c r="H145" s="9">
        <f>Matchs!D146</f>
        <v>0.125</v>
      </c>
      <c r="I145" t="str">
        <f t="shared" si="42"/>
        <v>"),MatchYear=</v>
      </c>
      <c r="J145">
        <f>Matchs!E146</f>
        <v>1962</v>
      </c>
      <c r="K145" t="str">
        <f t="shared" si="43"/>
        <v>, SeasonId= "</v>
      </c>
      <c r="L145" t="str">
        <f>Matchs!F146</f>
        <v>FIFAWC1962</v>
      </c>
      <c r="M145" t="str">
        <f t="shared" si="44"/>
        <v>",Round= "</v>
      </c>
      <c r="N145" t="str">
        <f>Matchs!G146</f>
        <v>Final Round</v>
      </c>
      <c r="O145" s="6" t="str">
        <f t="shared" si="45"/>
        <v>",Stage= "</v>
      </c>
      <c r="P145" t="str">
        <f>Matchs!H146</f>
        <v>Group</v>
      </c>
      <c r="Q145" s="6" t="str">
        <f t="shared" si="46"/>
        <v>",SubStage= "</v>
      </c>
      <c r="R145" t="str">
        <f>Matchs!I146</f>
        <v>Group 1</v>
      </c>
      <c r="S145" s="6" t="str">
        <f t="shared" si="47"/>
        <v>",HTeam= "</v>
      </c>
      <c r="T145" t="str">
        <f>Matchs!J146</f>
        <v>Yugoslavia</v>
      </c>
      <c r="U145" s="6" t="str">
        <f t="shared" si="48"/>
        <v>",HGoal=</v>
      </c>
      <c r="V145">
        <f>Matchs!K146</f>
        <v>3</v>
      </c>
      <c r="W145" s="6" t="str">
        <f t="shared" si="49"/>
        <v>,GGoal=</v>
      </c>
      <c r="X145">
        <f>Matchs!L146</f>
        <v>1</v>
      </c>
      <c r="Y145" s="6" t="str">
        <f t="shared" si="50"/>
        <v>,GTeam= "</v>
      </c>
      <c r="Z145" t="str">
        <f>Matchs!M146</f>
        <v>Uruguay</v>
      </c>
      <c r="AA145" s="6" t="str">
        <f t="shared" si="51"/>
        <v>",WinNote="</v>
      </c>
      <c r="AB145" t="str">
        <f>IF(Matchs!N146="","",Matchs!N146)</f>
        <v/>
      </c>
      <c r="AC145" s="6" t="str">
        <f t="shared" si="52"/>
        <v xml:space="preserve">",Stadium=" </v>
      </c>
      <c r="AD145" s="11" t="str">
        <f>Matchs!O146</f>
        <v xml:space="preserve">Estadio Carlos Dittborn </v>
      </c>
      <c r="AE145" s="6" t="str">
        <f t="shared" si="53"/>
        <v>",Referee= "</v>
      </c>
      <c r="AF145" s="11" t="str">
        <f>Matchs!P146</f>
        <v xml:space="preserve">Karol Galba </v>
      </c>
      <c r="AG145" s="6" t="str">
        <f t="shared" si="54"/>
        <v xml:space="preserve">",Visistors= </v>
      </c>
      <c r="AH145" s="11">
        <f>Matchs!Q146</f>
        <v>8829</v>
      </c>
      <c r="AI145" s="11" t="str">
        <f t="shared" si="55"/>
        <v>,Status= "</v>
      </c>
      <c r="AJ145" s="11" t="str">
        <f>Matchs!R146</f>
        <v>Finished</v>
      </c>
      <c r="AK145" t="str">
        <f t="shared" si="56"/>
        <v>" },</v>
      </c>
    </row>
    <row r="146" spans="1:37" x14ac:dyDescent="0.25">
      <c r="A146" t="str">
        <f t="shared" si="38"/>
        <v>new Match { MatchId= "</v>
      </c>
      <c r="B146" t="str">
        <f>Matchs!A147</f>
        <v>FIFAWC1962-10</v>
      </c>
      <c r="C146" t="str">
        <f t="shared" si="39"/>
        <v>",MatchNumer=</v>
      </c>
      <c r="D146">
        <f>Matchs!B147</f>
        <v>10</v>
      </c>
      <c r="E146" t="str">
        <f t="shared" si="40"/>
        <v>,DateMatch=DateTime.Parse("</v>
      </c>
      <c r="F146" s="3">
        <f>Matchs!C147</f>
        <v>22800</v>
      </c>
      <c r="G146" s="10" t="str">
        <f t="shared" si="41"/>
        <v>"),TimeMatch=TimeSpan.Parse("</v>
      </c>
      <c r="H146" s="9">
        <f>Matchs!D147</f>
        <v>0.125</v>
      </c>
      <c r="I146" t="str">
        <f t="shared" si="42"/>
        <v>"),MatchYear=</v>
      </c>
      <c r="J146">
        <f>Matchs!E147</f>
        <v>1962</v>
      </c>
      <c r="K146" t="str">
        <f t="shared" si="43"/>
        <v>, SeasonId= "</v>
      </c>
      <c r="L146" t="str">
        <f>Matchs!F147</f>
        <v>FIFAWC1962</v>
      </c>
      <c r="M146" t="str">
        <f t="shared" si="44"/>
        <v>",Round= "</v>
      </c>
      <c r="N146" t="str">
        <f>Matchs!G147</f>
        <v>Final Round</v>
      </c>
      <c r="O146" s="6" t="str">
        <f t="shared" si="45"/>
        <v>",Stage= "</v>
      </c>
      <c r="P146" t="str">
        <f>Matchs!H147</f>
        <v>Group</v>
      </c>
      <c r="Q146" s="6" t="str">
        <f t="shared" si="46"/>
        <v>",SubStage= "</v>
      </c>
      <c r="R146" t="str">
        <f>Matchs!I147</f>
        <v>Group 4</v>
      </c>
      <c r="S146" s="6" t="str">
        <f t="shared" si="47"/>
        <v>",HTeam= "</v>
      </c>
      <c r="T146" t="str">
        <f>Matchs!J147</f>
        <v>England</v>
      </c>
      <c r="U146" s="6" t="str">
        <f t="shared" si="48"/>
        <v>",HGoal=</v>
      </c>
      <c r="V146">
        <f>Matchs!K147</f>
        <v>3</v>
      </c>
      <c r="W146" s="6" t="str">
        <f t="shared" si="49"/>
        <v>,GGoal=</v>
      </c>
      <c r="X146">
        <f>Matchs!L147</f>
        <v>1</v>
      </c>
      <c r="Y146" s="6" t="str">
        <f t="shared" si="50"/>
        <v>,GTeam= "</v>
      </c>
      <c r="Z146" t="str">
        <f>Matchs!M147</f>
        <v>Argentina</v>
      </c>
      <c r="AA146" s="6" t="str">
        <f t="shared" si="51"/>
        <v>",WinNote="</v>
      </c>
      <c r="AB146" t="str">
        <f>IF(Matchs!N147="","",Matchs!N147)</f>
        <v/>
      </c>
      <c r="AC146" s="6" t="str">
        <f t="shared" si="52"/>
        <v xml:space="preserve">",Stadium=" </v>
      </c>
      <c r="AD146" s="11" t="str">
        <f>Matchs!O147</f>
        <v xml:space="preserve">Estadio El Teniente </v>
      </c>
      <c r="AE146" s="6" t="str">
        <f t="shared" si="53"/>
        <v>",Referee= "</v>
      </c>
      <c r="AF146" s="11" t="str">
        <f>Matchs!P147</f>
        <v xml:space="preserve">Nikolay Latyshev </v>
      </c>
      <c r="AG146" s="6" t="str">
        <f t="shared" si="54"/>
        <v xml:space="preserve">",Visistors= </v>
      </c>
      <c r="AH146" s="11">
        <f>Matchs!Q147</f>
        <v>9794</v>
      </c>
      <c r="AI146" s="11" t="str">
        <f t="shared" si="55"/>
        <v>,Status= "</v>
      </c>
      <c r="AJ146" s="11" t="str">
        <f>Matchs!R147</f>
        <v>Finished</v>
      </c>
      <c r="AK146" t="str">
        <f t="shared" si="56"/>
        <v>" },</v>
      </c>
    </row>
    <row r="147" spans="1:37" x14ac:dyDescent="0.25">
      <c r="A147" t="str">
        <f t="shared" si="38"/>
        <v>new Match { MatchId= "</v>
      </c>
      <c r="B147" t="str">
        <f>Matchs!A148</f>
        <v>FIFAWC1962-11</v>
      </c>
      <c r="C147" t="str">
        <f t="shared" si="39"/>
        <v>",MatchNumer=</v>
      </c>
      <c r="D147">
        <f>Matchs!B148</f>
        <v>11</v>
      </c>
      <c r="E147" t="str">
        <f t="shared" si="40"/>
        <v>,DateMatch=DateTime.Parse("</v>
      </c>
      <c r="F147" s="3">
        <f>Matchs!C148</f>
        <v>22800</v>
      </c>
      <c r="G147" s="10" t="str">
        <f t="shared" si="41"/>
        <v>"),TimeMatch=TimeSpan.Parse("</v>
      </c>
      <c r="H147" s="9">
        <f>Matchs!D148</f>
        <v>0.125</v>
      </c>
      <c r="I147" t="str">
        <f t="shared" si="42"/>
        <v>"),MatchYear=</v>
      </c>
      <c r="J147">
        <f>Matchs!E148</f>
        <v>1962</v>
      </c>
      <c r="K147" t="str">
        <f t="shared" si="43"/>
        <v>, SeasonId= "</v>
      </c>
      <c r="L147" t="str">
        <f>Matchs!F148</f>
        <v>FIFAWC1962</v>
      </c>
      <c r="M147" t="str">
        <f t="shared" si="44"/>
        <v>",Round= "</v>
      </c>
      <c r="N147" t="str">
        <f>Matchs!G148</f>
        <v>Final Round</v>
      </c>
      <c r="O147" s="6" t="str">
        <f t="shared" si="45"/>
        <v>",Stage= "</v>
      </c>
      <c r="P147" t="str">
        <f>Matchs!H148</f>
        <v>Group</v>
      </c>
      <c r="Q147" s="6" t="str">
        <f t="shared" si="46"/>
        <v>",SubStage= "</v>
      </c>
      <c r="R147" t="str">
        <f>Matchs!I148</f>
        <v>Group 3</v>
      </c>
      <c r="S147" s="6" t="str">
        <f t="shared" si="47"/>
        <v>",HTeam= "</v>
      </c>
      <c r="T147" t="str">
        <f>Matchs!J148</f>
        <v>Brazil</v>
      </c>
      <c r="U147" s="6" t="str">
        <f t="shared" si="48"/>
        <v>",HGoal=</v>
      </c>
      <c r="V147">
        <f>Matchs!K148</f>
        <v>0</v>
      </c>
      <c r="W147" s="6" t="str">
        <f t="shared" si="49"/>
        <v>,GGoal=</v>
      </c>
      <c r="X147">
        <f>Matchs!L148</f>
        <v>0</v>
      </c>
      <c r="Y147" s="6" t="str">
        <f t="shared" si="50"/>
        <v>,GTeam= "</v>
      </c>
      <c r="Z147" t="str">
        <f>Matchs!M148</f>
        <v>Czechoslovakia</v>
      </c>
      <c r="AA147" s="6" t="str">
        <f t="shared" si="51"/>
        <v>",WinNote="</v>
      </c>
      <c r="AB147" t="str">
        <f>IF(Matchs!N148="","",Matchs!N148)</f>
        <v/>
      </c>
      <c r="AC147" s="6" t="str">
        <f t="shared" si="52"/>
        <v xml:space="preserve">",Stadium=" </v>
      </c>
      <c r="AD147" s="11" t="str">
        <f>Matchs!O148</f>
        <v xml:space="preserve">Estadio Sausalito </v>
      </c>
      <c r="AE147" s="6" t="str">
        <f t="shared" si="53"/>
        <v>",Referee= "</v>
      </c>
      <c r="AF147" s="11" t="str">
        <f>Matchs!P148</f>
        <v xml:space="preserve">Pierre Schwinte </v>
      </c>
      <c r="AG147" s="6" t="str">
        <f t="shared" si="54"/>
        <v xml:space="preserve">",Visistors= </v>
      </c>
      <c r="AH147" s="11">
        <f>Matchs!Q148</f>
        <v>14903</v>
      </c>
      <c r="AI147" s="11" t="str">
        <f t="shared" si="55"/>
        <v>,Status= "</v>
      </c>
      <c r="AJ147" s="11" t="str">
        <f>Matchs!R148</f>
        <v>Finished</v>
      </c>
      <c r="AK147" t="str">
        <f t="shared" si="56"/>
        <v>" },</v>
      </c>
    </row>
    <row r="148" spans="1:37" x14ac:dyDescent="0.25">
      <c r="A148" t="str">
        <f t="shared" si="38"/>
        <v>new Match { MatchId= "</v>
      </c>
      <c r="B148" t="str">
        <f>Matchs!A149</f>
        <v>FIFAWC1962-12</v>
      </c>
      <c r="C148" t="str">
        <f t="shared" si="39"/>
        <v>",MatchNumer=</v>
      </c>
      <c r="D148">
        <f>Matchs!B149</f>
        <v>12</v>
      </c>
      <c r="E148" t="str">
        <f t="shared" si="40"/>
        <v>,DateMatch=DateTime.Parse("</v>
      </c>
      <c r="F148" s="3">
        <f>Matchs!C149</f>
        <v>22800</v>
      </c>
      <c r="G148" s="10" t="str">
        <f t="shared" si="41"/>
        <v>"),TimeMatch=TimeSpan.Parse("</v>
      </c>
      <c r="H148" s="9">
        <f>Matchs!D149</f>
        <v>0.125</v>
      </c>
      <c r="I148" t="str">
        <f t="shared" si="42"/>
        <v>"),MatchYear=</v>
      </c>
      <c r="J148">
        <f>Matchs!E149</f>
        <v>1962</v>
      </c>
      <c r="K148" t="str">
        <f t="shared" si="43"/>
        <v>, SeasonId= "</v>
      </c>
      <c r="L148" t="str">
        <f>Matchs!F149</f>
        <v>FIFAWC1962</v>
      </c>
      <c r="M148" t="str">
        <f t="shared" si="44"/>
        <v>",Round= "</v>
      </c>
      <c r="N148" t="str">
        <f>Matchs!G149</f>
        <v>Final Round</v>
      </c>
      <c r="O148" s="6" t="str">
        <f t="shared" si="45"/>
        <v>",Stage= "</v>
      </c>
      <c r="P148" t="str">
        <f>Matchs!H149</f>
        <v>Group</v>
      </c>
      <c r="Q148" s="6" t="str">
        <f t="shared" si="46"/>
        <v>",SubStage= "</v>
      </c>
      <c r="R148" t="str">
        <f>Matchs!I149</f>
        <v>Group 2</v>
      </c>
      <c r="S148" s="6" t="str">
        <f t="shared" si="47"/>
        <v>",HTeam= "</v>
      </c>
      <c r="T148" t="str">
        <f>Matchs!J149</f>
        <v>Chile</v>
      </c>
      <c r="U148" s="6" t="str">
        <f t="shared" si="48"/>
        <v>",HGoal=</v>
      </c>
      <c r="V148">
        <f>Matchs!K149</f>
        <v>2</v>
      </c>
      <c r="W148" s="6" t="str">
        <f t="shared" si="49"/>
        <v>,GGoal=</v>
      </c>
      <c r="X148">
        <f>Matchs!L149</f>
        <v>0</v>
      </c>
      <c r="Y148" s="6" t="str">
        <f t="shared" si="50"/>
        <v>,GTeam= "</v>
      </c>
      <c r="Z148" t="str">
        <f>Matchs!M149</f>
        <v>Italy</v>
      </c>
      <c r="AA148" s="6" t="str">
        <f t="shared" si="51"/>
        <v>",WinNote="</v>
      </c>
      <c r="AB148" t="str">
        <f>IF(Matchs!N149="","",Matchs!N149)</f>
        <v/>
      </c>
      <c r="AC148" s="6" t="str">
        <f t="shared" si="52"/>
        <v xml:space="preserve">",Stadium=" </v>
      </c>
      <c r="AD148" s="11" t="str">
        <f>Matchs!O149</f>
        <v xml:space="preserve">Estadio Nacional Julio Mart... </v>
      </c>
      <c r="AE148" s="6" t="str">
        <f t="shared" si="53"/>
        <v>",Referee= "</v>
      </c>
      <c r="AF148" s="11" t="str">
        <f>Matchs!P149</f>
        <v xml:space="preserve">Kenneth Aston </v>
      </c>
      <c r="AG148" s="6" t="str">
        <f t="shared" si="54"/>
        <v xml:space="preserve">",Visistors= </v>
      </c>
      <c r="AH148" s="11">
        <f>Matchs!Q149</f>
        <v>66057</v>
      </c>
      <c r="AI148" s="11" t="str">
        <f t="shared" si="55"/>
        <v>,Status= "</v>
      </c>
      <c r="AJ148" s="11" t="str">
        <f>Matchs!R149</f>
        <v>Finished</v>
      </c>
      <c r="AK148" t="str">
        <f t="shared" si="56"/>
        <v>" },</v>
      </c>
    </row>
    <row r="149" spans="1:37" x14ac:dyDescent="0.25">
      <c r="A149" t="str">
        <f t="shared" si="38"/>
        <v>new Match { MatchId= "</v>
      </c>
      <c r="B149" t="str">
        <f>Matchs!A150</f>
        <v>FIFAWC1962-13</v>
      </c>
      <c r="C149" t="str">
        <f t="shared" si="39"/>
        <v>",MatchNumer=</v>
      </c>
      <c r="D149">
        <f>Matchs!B150</f>
        <v>13</v>
      </c>
      <c r="E149" t="str">
        <f t="shared" si="40"/>
        <v>,DateMatch=DateTime.Parse("</v>
      </c>
      <c r="F149" s="3">
        <f>Matchs!C150</f>
        <v>22801</v>
      </c>
      <c r="G149" s="10" t="str">
        <f t="shared" si="41"/>
        <v>"),TimeMatch=TimeSpan.Parse("</v>
      </c>
      <c r="H149" s="9">
        <f>Matchs!D150</f>
        <v>0.125</v>
      </c>
      <c r="I149" t="str">
        <f t="shared" si="42"/>
        <v>"),MatchYear=</v>
      </c>
      <c r="J149">
        <f>Matchs!E150</f>
        <v>1962</v>
      </c>
      <c r="K149" t="str">
        <f t="shared" si="43"/>
        <v>, SeasonId= "</v>
      </c>
      <c r="L149" t="str">
        <f>Matchs!F150</f>
        <v>FIFAWC1962</v>
      </c>
      <c r="M149" t="str">
        <f t="shared" si="44"/>
        <v>",Round= "</v>
      </c>
      <c r="N149" t="str">
        <f>Matchs!G150</f>
        <v>Final Round</v>
      </c>
      <c r="O149" s="6" t="str">
        <f t="shared" si="45"/>
        <v>",Stage= "</v>
      </c>
      <c r="P149" t="str">
        <f>Matchs!H150</f>
        <v>Group</v>
      </c>
      <c r="Q149" s="6" t="str">
        <f t="shared" si="46"/>
        <v>",SubStage= "</v>
      </c>
      <c r="R149" t="str">
        <f>Matchs!I150</f>
        <v>Group 1</v>
      </c>
      <c r="S149" s="6" t="str">
        <f t="shared" si="47"/>
        <v>",HTeam= "</v>
      </c>
      <c r="T149" t="str">
        <f>Matchs!J150</f>
        <v>Soviet Union</v>
      </c>
      <c r="U149" s="6" t="str">
        <f t="shared" si="48"/>
        <v>",HGoal=</v>
      </c>
      <c r="V149">
        <f>Matchs!K150</f>
        <v>4</v>
      </c>
      <c r="W149" s="6" t="str">
        <f t="shared" si="49"/>
        <v>,GGoal=</v>
      </c>
      <c r="X149">
        <f>Matchs!L150</f>
        <v>4</v>
      </c>
      <c r="Y149" s="6" t="str">
        <f t="shared" si="50"/>
        <v>,GTeam= "</v>
      </c>
      <c r="Z149" t="str">
        <f>Matchs!M150</f>
        <v>Colombia</v>
      </c>
      <c r="AA149" s="6" t="str">
        <f t="shared" si="51"/>
        <v>",WinNote="</v>
      </c>
      <c r="AB149" t="str">
        <f>IF(Matchs!N150="","",Matchs!N150)</f>
        <v/>
      </c>
      <c r="AC149" s="6" t="str">
        <f t="shared" si="52"/>
        <v xml:space="preserve">",Stadium=" </v>
      </c>
      <c r="AD149" s="11" t="str">
        <f>Matchs!O150</f>
        <v xml:space="preserve">Estadio Carlos Dittborn </v>
      </c>
      <c r="AE149" s="6" t="str">
        <f t="shared" si="53"/>
        <v>",Referee= "</v>
      </c>
      <c r="AF149" s="11" t="str">
        <f>Matchs!P150</f>
        <v xml:space="preserve">João Etzel Filho </v>
      </c>
      <c r="AG149" s="6" t="str">
        <f t="shared" si="54"/>
        <v xml:space="preserve">",Visistors= </v>
      </c>
      <c r="AH149" s="11">
        <f>Matchs!Q150</f>
        <v>8040</v>
      </c>
      <c r="AI149" s="11" t="str">
        <f t="shared" si="55"/>
        <v>,Status= "</v>
      </c>
      <c r="AJ149" s="11" t="str">
        <f>Matchs!R150</f>
        <v>Finished</v>
      </c>
      <c r="AK149" t="str">
        <f t="shared" si="56"/>
        <v>" },</v>
      </c>
    </row>
    <row r="150" spans="1:37" x14ac:dyDescent="0.25">
      <c r="A150" t="str">
        <f t="shared" si="38"/>
        <v>new Match { MatchId= "</v>
      </c>
      <c r="B150" t="str">
        <f>Matchs!A151</f>
        <v>FIFAWC1962-14</v>
      </c>
      <c r="C150" t="str">
        <f t="shared" si="39"/>
        <v>",MatchNumer=</v>
      </c>
      <c r="D150">
        <f>Matchs!B151</f>
        <v>14</v>
      </c>
      <c r="E150" t="str">
        <f t="shared" si="40"/>
        <v>,DateMatch=DateTime.Parse("</v>
      </c>
      <c r="F150" s="3">
        <f>Matchs!C151</f>
        <v>22801</v>
      </c>
      <c r="G150" s="10" t="str">
        <f t="shared" si="41"/>
        <v>"),TimeMatch=TimeSpan.Parse("</v>
      </c>
      <c r="H150" s="9">
        <f>Matchs!D151</f>
        <v>0.125</v>
      </c>
      <c r="I150" t="str">
        <f t="shared" si="42"/>
        <v>"),MatchYear=</v>
      </c>
      <c r="J150">
        <f>Matchs!E151</f>
        <v>1962</v>
      </c>
      <c r="K150" t="str">
        <f t="shared" si="43"/>
        <v>, SeasonId= "</v>
      </c>
      <c r="L150" t="str">
        <f>Matchs!F151</f>
        <v>FIFAWC1962</v>
      </c>
      <c r="M150" t="str">
        <f t="shared" si="44"/>
        <v>",Round= "</v>
      </c>
      <c r="N150" t="str">
        <f>Matchs!G151</f>
        <v>Final Round</v>
      </c>
      <c r="O150" s="6" t="str">
        <f t="shared" si="45"/>
        <v>",Stage= "</v>
      </c>
      <c r="P150" t="str">
        <f>Matchs!H151</f>
        <v>Group</v>
      </c>
      <c r="Q150" s="6" t="str">
        <f t="shared" si="46"/>
        <v>",SubStage= "</v>
      </c>
      <c r="R150" t="str">
        <f>Matchs!I151</f>
        <v>Group 2</v>
      </c>
      <c r="S150" s="6" t="str">
        <f t="shared" si="47"/>
        <v>",HTeam= "</v>
      </c>
      <c r="T150" t="str">
        <f>Matchs!J151</f>
        <v>Germany</v>
      </c>
      <c r="U150" s="6" t="str">
        <f t="shared" si="48"/>
        <v>",HGoal=</v>
      </c>
      <c r="V150">
        <f>Matchs!K151</f>
        <v>2</v>
      </c>
      <c r="W150" s="6" t="str">
        <f t="shared" si="49"/>
        <v>,GGoal=</v>
      </c>
      <c r="X150">
        <f>Matchs!L151</f>
        <v>1</v>
      </c>
      <c r="Y150" s="6" t="str">
        <f t="shared" si="50"/>
        <v>,GTeam= "</v>
      </c>
      <c r="Z150" t="str">
        <f>Matchs!M151</f>
        <v>Switzerland</v>
      </c>
      <c r="AA150" s="6" t="str">
        <f t="shared" si="51"/>
        <v>",WinNote="</v>
      </c>
      <c r="AB150" t="str">
        <f>IF(Matchs!N151="","",Matchs!N151)</f>
        <v/>
      </c>
      <c r="AC150" s="6" t="str">
        <f t="shared" si="52"/>
        <v xml:space="preserve">",Stadium=" </v>
      </c>
      <c r="AD150" s="11" t="str">
        <f>Matchs!O151</f>
        <v xml:space="preserve">Estadio Nacional Julio Mart... </v>
      </c>
      <c r="AE150" s="6" t="str">
        <f t="shared" si="53"/>
        <v>",Referee= "</v>
      </c>
      <c r="AF150" s="11" t="str">
        <f>Matchs!P151</f>
        <v xml:space="preserve">Leo Horn </v>
      </c>
      <c r="AG150" s="6" t="str">
        <f t="shared" si="54"/>
        <v xml:space="preserve">",Visistors= </v>
      </c>
      <c r="AH150" s="11">
        <f>Matchs!Q151</f>
        <v>64922</v>
      </c>
      <c r="AI150" s="11" t="str">
        <f t="shared" si="55"/>
        <v>,Status= "</v>
      </c>
      <c r="AJ150" s="11" t="str">
        <f>Matchs!R151</f>
        <v>Finished</v>
      </c>
      <c r="AK150" t="str">
        <f t="shared" si="56"/>
        <v>" },</v>
      </c>
    </row>
    <row r="151" spans="1:37" x14ac:dyDescent="0.25">
      <c r="A151" t="str">
        <f t="shared" si="38"/>
        <v>new Match { MatchId= "</v>
      </c>
      <c r="B151" t="str">
        <f>Matchs!A152</f>
        <v>FIFAWC1962-15</v>
      </c>
      <c r="C151" t="str">
        <f t="shared" si="39"/>
        <v>",MatchNumer=</v>
      </c>
      <c r="D151">
        <f>Matchs!B152</f>
        <v>15</v>
      </c>
      <c r="E151" t="str">
        <f t="shared" si="40"/>
        <v>,DateMatch=DateTime.Parse("</v>
      </c>
      <c r="F151" s="3">
        <f>Matchs!C152</f>
        <v>22801</v>
      </c>
      <c r="G151" s="10" t="str">
        <f t="shared" si="41"/>
        <v>"),TimeMatch=TimeSpan.Parse("</v>
      </c>
      <c r="H151" s="9">
        <f>Matchs!D152</f>
        <v>0.125</v>
      </c>
      <c r="I151" t="str">
        <f t="shared" si="42"/>
        <v>"),MatchYear=</v>
      </c>
      <c r="J151">
        <f>Matchs!E152</f>
        <v>1962</v>
      </c>
      <c r="K151" t="str">
        <f t="shared" si="43"/>
        <v>, SeasonId= "</v>
      </c>
      <c r="L151" t="str">
        <f>Matchs!F152</f>
        <v>FIFAWC1962</v>
      </c>
      <c r="M151" t="str">
        <f t="shared" si="44"/>
        <v>",Round= "</v>
      </c>
      <c r="N151" t="str">
        <f>Matchs!G152</f>
        <v>Final Round</v>
      </c>
      <c r="O151" s="6" t="str">
        <f t="shared" si="45"/>
        <v>",Stage= "</v>
      </c>
      <c r="P151" t="str">
        <f>Matchs!H152</f>
        <v>Group</v>
      </c>
      <c r="Q151" s="6" t="str">
        <f t="shared" si="46"/>
        <v>",SubStage= "</v>
      </c>
      <c r="R151" t="str">
        <f>Matchs!I152</f>
        <v>Group 3</v>
      </c>
      <c r="S151" s="6" t="str">
        <f t="shared" si="47"/>
        <v>",HTeam= "</v>
      </c>
      <c r="T151" t="str">
        <f>Matchs!J152</f>
        <v>Spain</v>
      </c>
      <c r="U151" s="6" t="str">
        <f t="shared" si="48"/>
        <v>",HGoal=</v>
      </c>
      <c r="V151">
        <f>Matchs!K152</f>
        <v>1</v>
      </c>
      <c r="W151" s="6" t="str">
        <f t="shared" si="49"/>
        <v>,GGoal=</v>
      </c>
      <c r="X151">
        <f>Matchs!L152</f>
        <v>0</v>
      </c>
      <c r="Y151" s="6" t="str">
        <f t="shared" si="50"/>
        <v>,GTeam= "</v>
      </c>
      <c r="Z151" t="str">
        <f>Matchs!M152</f>
        <v>Mexico</v>
      </c>
      <c r="AA151" s="6" t="str">
        <f t="shared" si="51"/>
        <v>",WinNote="</v>
      </c>
      <c r="AB151" t="str">
        <f>IF(Matchs!N152="","",Matchs!N152)</f>
        <v/>
      </c>
      <c r="AC151" s="6" t="str">
        <f t="shared" si="52"/>
        <v xml:space="preserve">",Stadium=" </v>
      </c>
      <c r="AD151" s="11" t="str">
        <f>Matchs!O152</f>
        <v xml:space="preserve">Estadio Sausalito </v>
      </c>
      <c r="AE151" s="6" t="str">
        <f t="shared" si="53"/>
        <v>",Referee= "</v>
      </c>
      <c r="AF151" s="11" t="str">
        <f>Matchs!P152</f>
        <v xml:space="preserve">Branko Tesanic </v>
      </c>
      <c r="AG151" s="6" t="str">
        <f t="shared" si="54"/>
        <v xml:space="preserve">",Visistors= </v>
      </c>
      <c r="AH151" s="11">
        <f>Matchs!Q152</f>
        <v>11875</v>
      </c>
      <c r="AI151" s="11" t="str">
        <f t="shared" si="55"/>
        <v>,Status= "</v>
      </c>
      <c r="AJ151" s="11" t="str">
        <f>Matchs!R152</f>
        <v>Finished</v>
      </c>
      <c r="AK151" t="str">
        <f t="shared" si="56"/>
        <v>" },</v>
      </c>
    </row>
    <row r="152" spans="1:37" x14ac:dyDescent="0.25">
      <c r="A152" t="str">
        <f t="shared" si="38"/>
        <v>new Match { MatchId= "</v>
      </c>
      <c r="B152" t="str">
        <f>Matchs!A153</f>
        <v>FIFAWC1962-16</v>
      </c>
      <c r="C152" t="str">
        <f t="shared" si="39"/>
        <v>",MatchNumer=</v>
      </c>
      <c r="D152">
        <f>Matchs!B153</f>
        <v>16</v>
      </c>
      <c r="E152" t="str">
        <f t="shared" si="40"/>
        <v>,DateMatch=DateTime.Parse("</v>
      </c>
      <c r="F152" s="3">
        <f>Matchs!C153</f>
        <v>22801</v>
      </c>
      <c r="G152" s="10" t="str">
        <f t="shared" si="41"/>
        <v>"),TimeMatch=TimeSpan.Parse("</v>
      </c>
      <c r="H152" s="9">
        <f>Matchs!D153</f>
        <v>0.125</v>
      </c>
      <c r="I152" t="str">
        <f t="shared" si="42"/>
        <v>"),MatchYear=</v>
      </c>
      <c r="J152">
        <f>Matchs!E153</f>
        <v>1962</v>
      </c>
      <c r="K152" t="str">
        <f t="shared" si="43"/>
        <v>, SeasonId= "</v>
      </c>
      <c r="L152" t="str">
        <f>Matchs!F153</f>
        <v>FIFAWC1962</v>
      </c>
      <c r="M152" t="str">
        <f t="shared" si="44"/>
        <v>",Round= "</v>
      </c>
      <c r="N152" t="str">
        <f>Matchs!G153</f>
        <v>Final Round</v>
      </c>
      <c r="O152" s="6" t="str">
        <f t="shared" si="45"/>
        <v>",Stage= "</v>
      </c>
      <c r="P152" t="str">
        <f>Matchs!H153</f>
        <v>Group</v>
      </c>
      <c r="Q152" s="6" t="str">
        <f t="shared" si="46"/>
        <v>",SubStage= "</v>
      </c>
      <c r="R152" t="str">
        <f>Matchs!I153</f>
        <v>Group 4</v>
      </c>
      <c r="S152" s="6" t="str">
        <f t="shared" si="47"/>
        <v>",HTeam= "</v>
      </c>
      <c r="T152" t="str">
        <f>Matchs!J153</f>
        <v>Hungary</v>
      </c>
      <c r="U152" s="6" t="str">
        <f t="shared" si="48"/>
        <v>",HGoal=</v>
      </c>
      <c r="V152">
        <f>Matchs!K153</f>
        <v>6</v>
      </c>
      <c r="W152" s="6" t="str">
        <f t="shared" si="49"/>
        <v>,GGoal=</v>
      </c>
      <c r="X152">
        <f>Matchs!L153</f>
        <v>1</v>
      </c>
      <c r="Y152" s="6" t="str">
        <f t="shared" si="50"/>
        <v>,GTeam= "</v>
      </c>
      <c r="Z152" t="str">
        <f>Matchs!M153</f>
        <v>Bulgaria</v>
      </c>
      <c r="AA152" s="6" t="str">
        <f t="shared" si="51"/>
        <v>",WinNote="</v>
      </c>
      <c r="AB152" t="str">
        <f>IF(Matchs!N153="","",Matchs!N153)</f>
        <v/>
      </c>
      <c r="AC152" s="6" t="str">
        <f t="shared" si="52"/>
        <v xml:space="preserve">",Stadium=" </v>
      </c>
      <c r="AD152" s="11" t="str">
        <f>Matchs!O153</f>
        <v xml:space="preserve">Estadio El Teniente </v>
      </c>
      <c r="AE152" s="6" t="str">
        <f t="shared" si="53"/>
        <v>",Referee= "</v>
      </c>
      <c r="AF152" s="11" t="str">
        <f>Matchs!P153</f>
        <v xml:space="preserve">Juan Gardeazabal Garay </v>
      </c>
      <c r="AG152" s="6" t="str">
        <f t="shared" si="54"/>
        <v xml:space="preserve">",Visistors= </v>
      </c>
      <c r="AH152" s="11">
        <f>Matchs!Q153</f>
        <v>7442</v>
      </c>
      <c r="AI152" s="11" t="str">
        <f t="shared" si="55"/>
        <v>,Status= "</v>
      </c>
      <c r="AJ152" s="11" t="str">
        <f>Matchs!R153</f>
        <v>Finished</v>
      </c>
      <c r="AK152" t="str">
        <f t="shared" si="56"/>
        <v>" },</v>
      </c>
    </row>
    <row r="153" spans="1:37" x14ac:dyDescent="0.25">
      <c r="A153" t="str">
        <f t="shared" si="38"/>
        <v>new Match { MatchId= "</v>
      </c>
      <c r="B153" t="str">
        <f>Matchs!A154</f>
        <v>FIFAWC1962-17</v>
      </c>
      <c r="C153" t="str">
        <f t="shared" si="39"/>
        <v>",MatchNumer=</v>
      </c>
      <c r="D153">
        <f>Matchs!B154</f>
        <v>17</v>
      </c>
      <c r="E153" t="str">
        <f t="shared" si="40"/>
        <v>,DateMatch=DateTime.Parse("</v>
      </c>
      <c r="F153" s="3">
        <f>Matchs!C154</f>
        <v>22804</v>
      </c>
      <c r="G153" s="10" t="str">
        <f t="shared" si="41"/>
        <v>"),TimeMatch=TimeSpan.Parse("</v>
      </c>
      <c r="H153" s="9">
        <f>Matchs!D154</f>
        <v>0.125</v>
      </c>
      <c r="I153" t="str">
        <f t="shared" si="42"/>
        <v>"),MatchYear=</v>
      </c>
      <c r="J153">
        <f>Matchs!E154</f>
        <v>1962</v>
      </c>
      <c r="K153" t="str">
        <f t="shared" si="43"/>
        <v>, SeasonId= "</v>
      </c>
      <c r="L153" t="str">
        <f>Matchs!F154</f>
        <v>FIFAWC1962</v>
      </c>
      <c r="M153" t="str">
        <f t="shared" si="44"/>
        <v>",Round= "</v>
      </c>
      <c r="N153" t="str">
        <f>Matchs!G154</f>
        <v>Final Round</v>
      </c>
      <c r="O153" s="6" t="str">
        <f t="shared" si="45"/>
        <v>",Stage= "</v>
      </c>
      <c r="P153" t="str">
        <f>Matchs!H154</f>
        <v>Group</v>
      </c>
      <c r="Q153" s="6" t="str">
        <f t="shared" si="46"/>
        <v>",SubStage= "</v>
      </c>
      <c r="R153" t="str">
        <f>Matchs!I154</f>
        <v>Group 2</v>
      </c>
      <c r="S153" s="6" t="str">
        <f t="shared" si="47"/>
        <v>",HTeam= "</v>
      </c>
      <c r="T153" t="str">
        <f>Matchs!J154</f>
        <v>Germany</v>
      </c>
      <c r="U153" s="6" t="str">
        <f t="shared" si="48"/>
        <v>",HGoal=</v>
      </c>
      <c r="V153">
        <f>Matchs!K154</f>
        <v>2</v>
      </c>
      <c r="W153" s="6" t="str">
        <f t="shared" si="49"/>
        <v>,GGoal=</v>
      </c>
      <c r="X153">
        <f>Matchs!L154</f>
        <v>0</v>
      </c>
      <c r="Y153" s="6" t="str">
        <f t="shared" si="50"/>
        <v>,GTeam= "</v>
      </c>
      <c r="Z153" t="str">
        <f>Matchs!M154</f>
        <v>Chile</v>
      </c>
      <c r="AA153" s="6" t="str">
        <f t="shared" si="51"/>
        <v>",WinNote="</v>
      </c>
      <c r="AB153" t="str">
        <f>IF(Matchs!N154="","",Matchs!N154)</f>
        <v/>
      </c>
      <c r="AC153" s="6" t="str">
        <f t="shared" si="52"/>
        <v xml:space="preserve">",Stadium=" </v>
      </c>
      <c r="AD153" s="11" t="str">
        <f>Matchs!O154</f>
        <v xml:space="preserve">Estadio Nacional Julio Mart... </v>
      </c>
      <c r="AE153" s="6" t="str">
        <f t="shared" si="53"/>
        <v>",Referee= "</v>
      </c>
      <c r="AF153" s="11" t="str">
        <f>Matchs!P154</f>
        <v xml:space="preserve">Robert Holley Davidson </v>
      </c>
      <c r="AG153" s="6" t="str">
        <f t="shared" si="54"/>
        <v xml:space="preserve">",Visistors= </v>
      </c>
      <c r="AH153" s="11">
        <f>Matchs!Q154</f>
        <v>67224</v>
      </c>
      <c r="AI153" s="11" t="str">
        <f t="shared" si="55"/>
        <v>,Status= "</v>
      </c>
      <c r="AJ153" s="11" t="str">
        <f>Matchs!R154</f>
        <v>Finished</v>
      </c>
      <c r="AK153" t="str">
        <f t="shared" si="56"/>
        <v>" },</v>
      </c>
    </row>
    <row r="154" spans="1:37" x14ac:dyDescent="0.25">
      <c r="A154" t="str">
        <f t="shared" si="38"/>
        <v>new Match { MatchId= "</v>
      </c>
      <c r="B154" t="str">
        <f>Matchs!A155</f>
        <v>FIFAWC1962-18</v>
      </c>
      <c r="C154" t="str">
        <f t="shared" si="39"/>
        <v>",MatchNumer=</v>
      </c>
      <c r="D154">
        <f>Matchs!B155</f>
        <v>18</v>
      </c>
      <c r="E154" t="str">
        <f t="shared" si="40"/>
        <v>,DateMatch=DateTime.Parse("</v>
      </c>
      <c r="F154" s="3">
        <f>Matchs!C155</f>
        <v>22804</v>
      </c>
      <c r="G154" s="10" t="str">
        <f t="shared" si="41"/>
        <v>"),TimeMatch=TimeSpan.Parse("</v>
      </c>
      <c r="H154" s="9">
        <f>Matchs!D155</f>
        <v>0.125</v>
      </c>
      <c r="I154" t="str">
        <f t="shared" si="42"/>
        <v>"),MatchYear=</v>
      </c>
      <c r="J154">
        <f>Matchs!E155</f>
        <v>1962</v>
      </c>
      <c r="K154" t="str">
        <f t="shared" si="43"/>
        <v>, SeasonId= "</v>
      </c>
      <c r="L154" t="str">
        <f>Matchs!F155</f>
        <v>FIFAWC1962</v>
      </c>
      <c r="M154" t="str">
        <f t="shared" si="44"/>
        <v>",Round= "</v>
      </c>
      <c r="N154" t="str">
        <f>Matchs!G155</f>
        <v>Final Round</v>
      </c>
      <c r="O154" s="6" t="str">
        <f t="shared" si="45"/>
        <v>",Stage= "</v>
      </c>
      <c r="P154" t="str">
        <f>Matchs!H155</f>
        <v>Group</v>
      </c>
      <c r="Q154" s="6" t="str">
        <f t="shared" si="46"/>
        <v>",SubStage= "</v>
      </c>
      <c r="R154" t="str">
        <f>Matchs!I155</f>
        <v>Group 3</v>
      </c>
      <c r="S154" s="6" t="str">
        <f t="shared" si="47"/>
        <v>",HTeam= "</v>
      </c>
      <c r="T154" t="str">
        <f>Matchs!J155</f>
        <v>Brazil</v>
      </c>
      <c r="U154" s="6" t="str">
        <f t="shared" si="48"/>
        <v>",HGoal=</v>
      </c>
      <c r="V154">
        <f>Matchs!K155</f>
        <v>2</v>
      </c>
      <c r="W154" s="6" t="str">
        <f t="shared" si="49"/>
        <v>,GGoal=</v>
      </c>
      <c r="X154">
        <f>Matchs!L155</f>
        <v>1</v>
      </c>
      <c r="Y154" s="6" t="str">
        <f t="shared" si="50"/>
        <v>,GTeam= "</v>
      </c>
      <c r="Z154" t="str">
        <f>Matchs!M155</f>
        <v>Spain</v>
      </c>
      <c r="AA154" s="6" t="str">
        <f t="shared" si="51"/>
        <v>",WinNote="</v>
      </c>
      <c r="AB154" t="str">
        <f>IF(Matchs!N155="","",Matchs!N155)</f>
        <v/>
      </c>
      <c r="AC154" s="6" t="str">
        <f t="shared" si="52"/>
        <v xml:space="preserve">",Stadium=" </v>
      </c>
      <c r="AD154" s="11" t="str">
        <f>Matchs!O155</f>
        <v xml:space="preserve">Estadio Sausalito </v>
      </c>
      <c r="AE154" s="6" t="str">
        <f t="shared" si="53"/>
        <v>",Referee= "</v>
      </c>
      <c r="AF154" s="11" t="str">
        <f>Matchs!P155</f>
        <v xml:space="preserve">Sergio Bustamante </v>
      </c>
      <c r="AG154" s="6" t="str">
        <f t="shared" si="54"/>
        <v xml:space="preserve">",Visistors= </v>
      </c>
      <c r="AH154" s="11">
        <f>Matchs!Q155</f>
        <v>18715</v>
      </c>
      <c r="AI154" s="11" t="str">
        <f t="shared" si="55"/>
        <v>,Status= "</v>
      </c>
      <c r="AJ154" s="11" t="str">
        <f>Matchs!R155</f>
        <v>Finished</v>
      </c>
      <c r="AK154" t="str">
        <f t="shared" si="56"/>
        <v>" },</v>
      </c>
    </row>
    <row r="155" spans="1:37" x14ac:dyDescent="0.25">
      <c r="A155" t="str">
        <f t="shared" si="38"/>
        <v>new Match { MatchId= "</v>
      </c>
      <c r="B155" t="str">
        <f>Matchs!A156</f>
        <v>FIFAWC1962-19</v>
      </c>
      <c r="C155" t="str">
        <f t="shared" si="39"/>
        <v>",MatchNumer=</v>
      </c>
      <c r="D155">
        <f>Matchs!B156</f>
        <v>19</v>
      </c>
      <c r="E155" t="str">
        <f t="shared" si="40"/>
        <v>,DateMatch=DateTime.Parse("</v>
      </c>
      <c r="F155" s="3">
        <f>Matchs!C156</f>
        <v>22804</v>
      </c>
      <c r="G155" s="10" t="str">
        <f t="shared" si="41"/>
        <v>"),TimeMatch=TimeSpan.Parse("</v>
      </c>
      <c r="H155" s="9">
        <f>Matchs!D156</f>
        <v>0.125</v>
      </c>
      <c r="I155" t="str">
        <f t="shared" si="42"/>
        <v>"),MatchYear=</v>
      </c>
      <c r="J155">
        <f>Matchs!E156</f>
        <v>1962</v>
      </c>
      <c r="K155" t="str">
        <f t="shared" si="43"/>
        <v>, SeasonId= "</v>
      </c>
      <c r="L155" t="str">
        <f>Matchs!F156</f>
        <v>FIFAWC1962</v>
      </c>
      <c r="M155" t="str">
        <f t="shared" si="44"/>
        <v>",Round= "</v>
      </c>
      <c r="N155" t="str">
        <f>Matchs!G156</f>
        <v>Final Round</v>
      </c>
      <c r="O155" s="6" t="str">
        <f t="shared" si="45"/>
        <v>",Stage= "</v>
      </c>
      <c r="P155" t="str">
        <f>Matchs!H156</f>
        <v>Group</v>
      </c>
      <c r="Q155" s="6" t="str">
        <f t="shared" si="46"/>
        <v>",SubStage= "</v>
      </c>
      <c r="R155" t="str">
        <f>Matchs!I156</f>
        <v>Group 1</v>
      </c>
      <c r="S155" s="6" t="str">
        <f t="shared" si="47"/>
        <v>",HTeam= "</v>
      </c>
      <c r="T155" t="str">
        <f>Matchs!J156</f>
        <v>Soviet Union</v>
      </c>
      <c r="U155" s="6" t="str">
        <f t="shared" si="48"/>
        <v>",HGoal=</v>
      </c>
      <c r="V155">
        <f>Matchs!K156</f>
        <v>2</v>
      </c>
      <c r="W155" s="6" t="str">
        <f t="shared" si="49"/>
        <v>,GGoal=</v>
      </c>
      <c r="X155">
        <f>Matchs!L156</f>
        <v>1</v>
      </c>
      <c r="Y155" s="6" t="str">
        <f t="shared" si="50"/>
        <v>,GTeam= "</v>
      </c>
      <c r="Z155" t="str">
        <f>Matchs!M156</f>
        <v>Uruguay</v>
      </c>
      <c r="AA155" s="6" t="str">
        <f t="shared" si="51"/>
        <v>",WinNote="</v>
      </c>
      <c r="AB155" t="str">
        <f>IF(Matchs!N156="","",Matchs!N156)</f>
        <v/>
      </c>
      <c r="AC155" s="6" t="str">
        <f t="shared" si="52"/>
        <v xml:space="preserve">",Stadium=" </v>
      </c>
      <c r="AD155" s="11" t="str">
        <f>Matchs!O156</f>
        <v xml:space="preserve">Estadio Carlos Dittborn </v>
      </c>
      <c r="AE155" s="6" t="str">
        <f t="shared" si="53"/>
        <v>",Referee= "</v>
      </c>
      <c r="AF155" s="11" t="str">
        <f>Matchs!P156</f>
        <v xml:space="preserve">Cesare Jonni </v>
      </c>
      <c r="AG155" s="6" t="str">
        <f t="shared" si="54"/>
        <v xml:space="preserve">",Visistors= </v>
      </c>
      <c r="AH155" s="11">
        <f>Matchs!Q156</f>
        <v>9973</v>
      </c>
      <c r="AI155" s="11" t="str">
        <f t="shared" si="55"/>
        <v>,Status= "</v>
      </c>
      <c r="AJ155" s="11" t="str">
        <f>Matchs!R156</f>
        <v>Finished</v>
      </c>
      <c r="AK155" t="str">
        <f t="shared" si="56"/>
        <v>" },</v>
      </c>
    </row>
    <row r="156" spans="1:37" x14ac:dyDescent="0.25">
      <c r="A156" t="str">
        <f t="shared" si="38"/>
        <v>new Match { MatchId= "</v>
      </c>
      <c r="B156" t="str">
        <f>Matchs!A157</f>
        <v>FIFAWC1962-20</v>
      </c>
      <c r="C156" t="str">
        <f t="shared" si="39"/>
        <v>",MatchNumer=</v>
      </c>
      <c r="D156">
        <f>Matchs!B157</f>
        <v>20</v>
      </c>
      <c r="E156" t="str">
        <f t="shared" si="40"/>
        <v>,DateMatch=DateTime.Parse("</v>
      </c>
      <c r="F156" s="3">
        <f>Matchs!C157</f>
        <v>22804</v>
      </c>
      <c r="G156" s="10" t="str">
        <f t="shared" si="41"/>
        <v>"),TimeMatch=TimeSpan.Parse("</v>
      </c>
      <c r="H156" s="9">
        <f>Matchs!D157</f>
        <v>0.125</v>
      </c>
      <c r="I156" t="str">
        <f t="shared" si="42"/>
        <v>"),MatchYear=</v>
      </c>
      <c r="J156">
        <f>Matchs!E157</f>
        <v>1962</v>
      </c>
      <c r="K156" t="str">
        <f t="shared" si="43"/>
        <v>, SeasonId= "</v>
      </c>
      <c r="L156" t="str">
        <f>Matchs!F157</f>
        <v>FIFAWC1962</v>
      </c>
      <c r="M156" t="str">
        <f t="shared" si="44"/>
        <v>",Round= "</v>
      </c>
      <c r="N156" t="str">
        <f>Matchs!G157</f>
        <v>Final Round</v>
      </c>
      <c r="O156" s="6" t="str">
        <f t="shared" si="45"/>
        <v>",Stage= "</v>
      </c>
      <c r="P156" t="str">
        <f>Matchs!H157</f>
        <v>Group</v>
      </c>
      <c r="Q156" s="6" t="str">
        <f t="shared" si="46"/>
        <v>",SubStage= "</v>
      </c>
      <c r="R156" t="str">
        <f>Matchs!I157</f>
        <v>Group 4</v>
      </c>
      <c r="S156" s="6" t="str">
        <f t="shared" si="47"/>
        <v>",HTeam= "</v>
      </c>
      <c r="T156" t="str">
        <f>Matchs!J157</f>
        <v>Hungary</v>
      </c>
      <c r="U156" s="6" t="str">
        <f t="shared" si="48"/>
        <v>",HGoal=</v>
      </c>
      <c r="V156">
        <f>Matchs!K157</f>
        <v>0</v>
      </c>
      <c r="W156" s="6" t="str">
        <f t="shared" si="49"/>
        <v>,GGoal=</v>
      </c>
      <c r="X156">
        <f>Matchs!L157</f>
        <v>0</v>
      </c>
      <c r="Y156" s="6" t="str">
        <f t="shared" si="50"/>
        <v>,GTeam= "</v>
      </c>
      <c r="Z156" t="str">
        <f>Matchs!M157</f>
        <v>Argentina</v>
      </c>
      <c r="AA156" s="6" t="str">
        <f t="shared" si="51"/>
        <v>",WinNote="</v>
      </c>
      <c r="AB156" t="str">
        <f>IF(Matchs!N157="","",Matchs!N157)</f>
        <v/>
      </c>
      <c r="AC156" s="6" t="str">
        <f t="shared" si="52"/>
        <v xml:space="preserve">",Stadium=" </v>
      </c>
      <c r="AD156" s="11" t="str">
        <f>Matchs!O157</f>
        <v xml:space="preserve">Estadio El Teniente </v>
      </c>
      <c r="AE156" s="6" t="str">
        <f t="shared" si="53"/>
        <v>",Referee= "</v>
      </c>
      <c r="AF156" s="11" t="str">
        <f>Matchs!P157</f>
        <v xml:space="preserve">Arturo Yamasaki Maldonado </v>
      </c>
      <c r="AG156" s="6" t="str">
        <f t="shared" si="54"/>
        <v xml:space="preserve">",Visistors= </v>
      </c>
      <c r="AH156" s="11">
        <f>Matchs!Q157</f>
        <v>7945</v>
      </c>
      <c r="AI156" s="11" t="str">
        <f t="shared" si="55"/>
        <v>,Status= "</v>
      </c>
      <c r="AJ156" s="11" t="str">
        <f>Matchs!R157</f>
        <v>Finished</v>
      </c>
      <c r="AK156" t="str">
        <f t="shared" si="56"/>
        <v>" },</v>
      </c>
    </row>
    <row r="157" spans="1:37" x14ac:dyDescent="0.25">
      <c r="A157" t="str">
        <f t="shared" si="38"/>
        <v>new Match { MatchId= "</v>
      </c>
      <c r="B157" t="str">
        <f>Matchs!A158</f>
        <v>FIFAWC1962-21</v>
      </c>
      <c r="C157" t="str">
        <f t="shared" si="39"/>
        <v>",MatchNumer=</v>
      </c>
      <c r="D157">
        <f>Matchs!B158</f>
        <v>21</v>
      </c>
      <c r="E157" t="str">
        <f t="shared" si="40"/>
        <v>,DateMatch=DateTime.Parse("</v>
      </c>
      <c r="F157" s="3">
        <f>Matchs!C158</f>
        <v>22805</v>
      </c>
      <c r="G157" s="10" t="str">
        <f t="shared" si="41"/>
        <v>"),TimeMatch=TimeSpan.Parse("</v>
      </c>
      <c r="H157" s="9">
        <f>Matchs!D158</f>
        <v>0.125</v>
      </c>
      <c r="I157" t="str">
        <f t="shared" si="42"/>
        <v>"),MatchYear=</v>
      </c>
      <c r="J157">
        <f>Matchs!E158</f>
        <v>1962</v>
      </c>
      <c r="K157" t="str">
        <f t="shared" si="43"/>
        <v>, SeasonId= "</v>
      </c>
      <c r="L157" t="str">
        <f>Matchs!F158</f>
        <v>FIFAWC1962</v>
      </c>
      <c r="M157" t="str">
        <f t="shared" si="44"/>
        <v>",Round= "</v>
      </c>
      <c r="N157" t="str">
        <f>Matchs!G158</f>
        <v>Final Round</v>
      </c>
      <c r="O157" s="6" t="str">
        <f t="shared" si="45"/>
        <v>",Stage= "</v>
      </c>
      <c r="P157" t="str">
        <f>Matchs!H158</f>
        <v>Group</v>
      </c>
      <c r="Q157" s="6" t="str">
        <f t="shared" si="46"/>
        <v>",SubStage= "</v>
      </c>
      <c r="R157" t="str">
        <f>Matchs!I158</f>
        <v>Group 2</v>
      </c>
      <c r="S157" s="6" t="str">
        <f t="shared" si="47"/>
        <v>",HTeam= "</v>
      </c>
      <c r="T157" t="str">
        <f>Matchs!J158</f>
        <v>Italy</v>
      </c>
      <c r="U157" s="6" t="str">
        <f t="shared" si="48"/>
        <v>",HGoal=</v>
      </c>
      <c r="V157">
        <f>Matchs!K158</f>
        <v>3</v>
      </c>
      <c r="W157" s="6" t="str">
        <f t="shared" si="49"/>
        <v>,GGoal=</v>
      </c>
      <c r="X157">
        <f>Matchs!L158</f>
        <v>0</v>
      </c>
      <c r="Y157" s="6" t="str">
        <f t="shared" si="50"/>
        <v>,GTeam= "</v>
      </c>
      <c r="Z157" t="str">
        <f>Matchs!M158</f>
        <v>Switzerland</v>
      </c>
      <c r="AA157" s="6" t="str">
        <f t="shared" si="51"/>
        <v>",WinNote="</v>
      </c>
      <c r="AB157" t="str">
        <f>IF(Matchs!N158="","",Matchs!N158)</f>
        <v/>
      </c>
      <c r="AC157" s="6" t="str">
        <f t="shared" si="52"/>
        <v xml:space="preserve">",Stadium=" </v>
      </c>
      <c r="AD157" s="11" t="str">
        <f>Matchs!O158</f>
        <v xml:space="preserve">Estadio Nacional Julio Mart... </v>
      </c>
      <c r="AE157" s="6" t="str">
        <f t="shared" si="53"/>
        <v>",Referee= "</v>
      </c>
      <c r="AF157" s="11" t="str">
        <f>Matchs!P158</f>
        <v xml:space="preserve">Nikolay Latyshev </v>
      </c>
      <c r="AG157" s="6" t="str">
        <f t="shared" si="54"/>
        <v xml:space="preserve">",Visistors= </v>
      </c>
      <c r="AH157" s="11">
        <f>Matchs!Q158</f>
        <v>59828</v>
      </c>
      <c r="AI157" s="11" t="str">
        <f t="shared" si="55"/>
        <v>,Status= "</v>
      </c>
      <c r="AJ157" s="11" t="str">
        <f>Matchs!R158</f>
        <v>Finished</v>
      </c>
      <c r="AK157" t="str">
        <f t="shared" si="56"/>
        <v>" },</v>
      </c>
    </row>
    <row r="158" spans="1:37" x14ac:dyDescent="0.25">
      <c r="A158" t="str">
        <f t="shared" si="38"/>
        <v>new Match { MatchId= "</v>
      </c>
      <c r="B158" t="str">
        <f>Matchs!A159</f>
        <v>FIFAWC1962-22</v>
      </c>
      <c r="C158" t="str">
        <f t="shared" si="39"/>
        <v>",MatchNumer=</v>
      </c>
      <c r="D158">
        <f>Matchs!B159</f>
        <v>22</v>
      </c>
      <c r="E158" t="str">
        <f t="shared" si="40"/>
        <v>,DateMatch=DateTime.Parse("</v>
      </c>
      <c r="F158" s="3">
        <f>Matchs!C159</f>
        <v>22805</v>
      </c>
      <c r="G158" s="10" t="str">
        <f t="shared" si="41"/>
        <v>"),TimeMatch=TimeSpan.Parse("</v>
      </c>
      <c r="H158" s="9">
        <f>Matchs!D159</f>
        <v>0.125</v>
      </c>
      <c r="I158" t="str">
        <f t="shared" si="42"/>
        <v>"),MatchYear=</v>
      </c>
      <c r="J158">
        <f>Matchs!E159</f>
        <v>1962</v>
      </c>
      <c r="K158" t="str">
        <f t="shared" si="43"/>
        <v>, SeasonId= "</v>
      </c>
      <c r="L158" t="str">
        <f>Matchs!F159</f>
        <v>FIFAWC1962</v>
      </c>
      <c r="M158" t="str">
        <f t="shared" si="44"/>
        <v>",Round= "</v>
      </c>
      <c r="N158" t="str">
        <f>Matchs!G159</f>
        <v>Final Round</v>
      </c>
      <c r="O158" s="6" t="str">
        <f t="shared" si="45"/>
        <v>",Stage= "</v>
      </c>
      <c r="P158" t="str">
        <f>Matchs!H159</f>
        <v>Group</v>
      </c>
      <c r="Q158" s="6" t="str">
        <f t="shared" si="46"/>
        <v>",SubStage= "</v>
      </c>
      <c r="R158" t="str">
        <f>Matchs!I159</f>
        <v>Group 3</v>
      </c>
      <c r="S158" s="6" t="str">
        <f t="shared" si="47"/>
        <v>",HTeam= "</v>
      </c>
      <c r="T158" t="str">
        <f>Matchs!J159</f>
        <v>Mexico</v>
      </c>
      <c r="U158" s="6" t="str">
        <f t="shared" si="48"/>
        <v>",HGoal=</v>
      </c>
      <c r="V158">
        <f>Matchs!K159</f>
        <v>3</v>
      </c>
      <c r="W158" s="6" t="str">
        <f t="shared" si="49"/>
        <v>,GGoal=</v>
      </c>
      <c r="X158">
        <f>Matchs!L159</f>
        <v>1</v>
      </c>
      <c r="Y158" s="6" t="str">
        <f t="shared" si="50"/>
        <v>,GTeam= "</v>
      </c>
      <c r="Z158" t="str">
        <f>Matchs!M159</f>
        <v>Czechoslovakia</v>
      </c>
      <c r="AA158" s="6" t="str">
        <f t="shared" si="51"/>
        <v>",WinNote="</v>
      </c>
      <c r="AB158" t="str">
        <f>IF(Matchs!N159="","",Matchs!N159)</f>
        <v/>
      </c>
      <c r="AC158" s="6" t="str">
        <f t="shared" si="52"/>
        <v xml:space="preserve">",Stadium=" </v>
      </c>
      <c r="AD158" s="11" t="str">
        <f>Matchs!O159</f>
        <v xml:space="preserve">Estadio Sausalito </v>
      </c>
      <c r="AE158" s="6" t="str">
        <f t="shared" si="53"/>
        <v>",Referee= "</v>
      </c>
      <c r="AF158" s="11" t="str">
        <f>Matchs!P159</f>
        <v xml:space="preserve">Gottfried Dienst </v>
      </c>
      <c r="AG158" s="6" t="str">
        <f t="shared" si="54"/>
        <v xml:space="preserve">",Visistors= </v>
      </c>
      <c r="AH158" s="11">
        <f>Matchs!Q159</f>
        <v>10648</v>
      </c>
      <c r="AI158" s="11" t="str">
        <f t="shared" si="55"/>
        <v>,Status= "</v>
      </c>
      <c r="AJ158" s="11" t="str">
        <f>Matchs!R159</f>
        <v>Finished</v>
      </c>
      <c r="AK158" t="str">
        <f t="shared" si="56"/>
        <v>" },</v>
      </c>
    </row>
    <row r="159" spans="1:37" x14ac:dyDescent="0.25">
      <c r="A159" t="str">
        <f t="shared" si="38"/>
        <v>new Match { MatchId= "</v>
      </c>
      <c r="B159" t="str">
        <f>Matchs!A160</f>
        <v>FIFAWC1962-23</v>
      </c>
      <c r="C159" t="str">
        <f t="shared" si="39"/>
        <v>",MatchNumer=</v>
      </c>
      <c r="D159">
        <f>Matchs!B160</f>
        <v>23</v>
      </c>
      <c r="E159" t="str">
        <f t="shared" si="40"/>
        <v>,DateMatch=DateTime.Parse("</v>
      </c>
      <c r="F159" s="3">
        <f>Matchs!C160</f>
        <v>22805</v>
      </c>
      <c r="G159" s="10" t="str">
        <f t="shared" si="41"/>
        <v>"),TimeMatch=TimeSpan.Parse("</v>
      </c>
      <c r="H159" s="9">
        <f>Matchs!D160</f>
        <v>0.125</v>
      </c>
      <c r="I159" t="str">
        <f t="shared" si="42"/>
        <v>"),MatchYear=</v>
      </c>
      <c r="J159">
        <f>Matchs!E160</f>
        <v>1962</v>
      </c>
      <c r="K159" t="str">
        <f t="shared" si="43"/>
        <v>, SeasonId= "</v>
      </c>
      <c r="L159" t="str">
        <f>Matchs!F160</f>
        <v>FIFAWC1962</v>
      </c>
      <c r="M159" t="str">
        <f t="shared" si="44"/>
        <v>",Round= "</v>
      </c>
      <c r="N159" t="str">
        <f>Matchs!G160</f>
        <v>Final Round</v>
      </c>
      <c r="O159" s="6" t="str">
        <f t="shared" si="45"/>
        <v>",Stage= "</v>
      </c>
      <c r="P159" t="str">
        <f>Matchs!H160</f>
        <v>Group</v>
      </c>
      <c r="Q159" s="6" t="str">
        <f t="shared" si="46"/>
        <v>",SubStage= "</v>
      </c>
      <c r="R159" t="str">
        <f>Matchs!I160</f>
        <v>Group 1</v>
      </c>
      <c r="S159" s="6" t="str">
        <f t="shared" si="47"/>
        <v>",HTeam= "</v>
      </c>
      <c r="T159" t="str">
        <f>Matchs!J160</f>
        <v>Yugoslavia</v>
      </c>
      <c r="U159" s="6" t="str">
        <f t="shared" si="48"/>
        <v>",HGoal=</v>
      </c>
      <c r="V159">
        <f>Matchs!K160</f>
        <v>5</v>
      </c>
      <c r="W159" s="6" t="str">
        <f t="shared" si="49"/>
        <v>,GGoal=</v>
      </c>
      <c r="X159">
        <f>Matchs!L160</f>
        <v>0</v>
      </c>
      <c r="Y159" s="6" t="str">
        <f t="shared" si="50"/>
        <v>,GTeam= "</v>
      </c>
      <c r="Z159" t="str">
        <f>Matchs!M160</f>
        <v>Colombia</v>
      </c>
      <c r="AA159" s="6" t="str">
        <f t="shared" si="51"/>
        <v>",WinNote="</v>
      </c>
      <c r="AB159" t="str">
        <f>IF(Matchs!N160="","",Matchs!N160)</f>
        <v/>
      </c>
      <c r="AC159" s="6" t="str">
        <f t="shared" si="52"/>
        <v xml:space="preserve">",Stadium=" </v>
      </c>
      <c r="AD159" s="11" t="str">
        <f>Matchs!O160</f>
        <v xml:space="preserve">Estadio Carlos Dittborn </v>
      </c>
      <c r="AE159" s="6" t="str">
        <f t="shared" si="53"/>
        <v>",Referee= "</v>
      </c>
      <c r="AF159" s="11" t="str">
        <f>Matchs!P160</f>
        <v xml:space="preserve">Carlos Robles </v>
      </c>
      <c r="AG159" s="6" t="str">
        <f t="shared" si="54"/>
        <v xml:space="preserve">",Visistors= </v>
      </c>
      <c r="AH159" s="11">
        <f>Matchs!Q160</f>
        <v>7167</v>
      </c>
      <c r="AI159" s="11" t="str">
        <f t="shared" si="55"/>
        <v>,Status= "</v>
      </c>
      <c r="AJ159" s="11" t="str">
        <f>Matchs!R160</f>
        <v>Finished</v>
      </c>
      <c r="AK159" t="str">
        <f t="shared" si="56"/>
        <v>" },</v>
      </c>
    </row>
    <row r="160" spans="1:37" x14ac:dyDescent="0.25">
      <c r="A160" t="str">
        <f t="shared" si="38"/>
        <v>new Match { MatchId= "</v>
      </c>
      <c r="B160" t="str">
        <f>Matchs!A161</f>
        <v>FIFAWC1962-24</v>
      </c>
      <c r="C160" t="str">
        <f t="shared" si="39"/>
        <v>",MatchNumer=</v>
      </c>
      <c r="D160">
        <f>Matchs!B161</f>
        <v>24</v>
      </c>
      <c r="E160" t="str">
        <f t="shared" si="40"/>
        <v>,DateMatch=DateTime.Parse("</v>
      </c>
      <c r="F160" s="3">
        <f>Matchs!C161</f>
        <v>22805</v>
      </c>
      <c r="G160" s="10" t="str">
        <f t="shared" si="41"/>
        <v>"),TimeMatch=TimeSpan.Parse("</v>
      </c>
      <c r="H160" s="9">
        <f>Matchs!D161</f>
        <v>0.125</v>
      </c>
      <c r="I160" t="str">
        <f t="shared" si="42"/>
        <v>"),MatchYear=</v>
      </c>
      <c r="J160">
        <f>Matchs!E161</f>
        <v>1962</v>
      </c>
      <c r="K160" t="str">
        <f t="shared" si="43"/>
        <v>, SeasonId= "</v>
      </c>
      <c r="L160" t="str">
        <f>Matchs!F161</f>
        <v>FIFAWC1962</v>
      </c>
      <c r="M160" t="str">
        <f t="shared" si="44"/>
        <v>",Round= "</v>
      </c>
      <c r="N160" t="str">
        <f>Matchs!G161</f>
        <v>Final Round</v>
      </c>
      <c r="O160" s="6" t="str">
        <f t="shared" si="45"/>
        <v>",Stage= "</v>
      </c>
      <c r="P160" t="str">
        <f>Matchs!H161</f>
        <v>Group</v>
      </c>
      <c r="Q160" s="6" t="str">
        <f t="shared" si="46"/>
        <v>",SubStage= "</v>
      </c>
      <c r="R160" t="str">
        <f>Matchs!I161</f>
        <v>Group 4</v>
      </c>
      <c r="S160" s="6" t="str">
        <f t="shared" si="47"/>
        <v>",HTeam= "</v>
      </c>
      <c r="T160" t="str">
        <f>Matchs!J161</f>
        <v>England</v>
      </c>
      <c r="U160" s="6" t="str">
        <f t="shared" si="48"/>
        <v>",HGoal=</v>
      </c>
      <c r="V160">
        <f>Matchs!K161</f>
        <v>0</v>
      </c>
      <c r="W160" s="6" t="str">
        <f t="shared" si="49"/>
        <v>,GGoal=</v>
      </c>
      <c r="X160">
        <f>Matchs!L161</f>
        <v>0</v>
      </c>
      <c r="Y160" s="6" t="str">
        <f t="shared" si="50"/>
        <v>,GTeam= "</v>
      </c>
      <c r="Z160" t="str">
        <f>Matchs!M161</f>
        <v>Bulgaria</v>
      </c>
      <c r="AA160" s="6" t="str">
        <f t="shared" si="51"/>
        <v>",WinNote="</v>
      </c>
      <c r="AB160" t="str">
        <f>IF(Matchs!N161="","",Matchs!N161)</f>
        <v/>
      </c>
      <c r="AC160" s="6" t="str">
        <f t="shared" si="52"/>
        <v xml:space="preserve">",Stadium=" </v>
      </c>
      <c r="AD160" s="11" t="str">
        <f>Matchs!O161</f>
        <v xml:space="preserve">Estadio El Teniente </v>
      </c>
      <c r="AE160" s="6" t="str">
        <f t="shared" si="53"/>
        <v>",Referee= "</v>
      </c>
      <c r="AF160" s="11" t="str">
        <f>Matchs!P161</f>
        <v xml:space="preserve">Antoine Blavier </v>
      </c>
      <c r="AG160" s="6" t="str">
        <f t="shared" si="54"/>
        <v xml:space="preserve">",Visistors= </v>
      </c>
      <c r="AH160" s="11">
        <f>Matchs!Q161</f>
        <v>5700</v>
      </c>
      <c r="AI160" s="11" t="str">
        <f t="shared" si="55"/>
        <v>,Status= "</v>
      </c>
      <c r="AJ160" s="11" t="str">
        <f>Matchs!R161</f>
        <v>Finished</v>
      </c>
      <c r="AK160" t="str">
        <f t="shared" si="56"/>
        <v>" },</v>
      </c>
    </row>
    <row r="161" spans="1:37" x14ac:dyDescent="0.25">
      <c r="A161" t="str">
        <f t="shared" si="38"/>
        <v>new Match { MatchId= "</v>
      </c>
      <c r="B161" t="str">
        <f>Matchs!A162</f>
        <v>FIFAWC1962-25</v>
      </c>
      <c r="C161" t="str">
        <f t="shared" si="39"/>
        <v>",MatchNumer=</v>
      </c>
      <c r="D161">
        <f>Matchs!B162</f>
        <v>25</v>
      </c>
      <c r="E161" t="str">
        <f t="shared" si="40"/>
        <v>,DateMatch=DateTime.Parse("</v>
      </c>
      <c r="F161" s="3">
        <f>Matchs!C162</f>
        <v>22807</v>
      </c>
      <c r="G161" s="10" t="str">
        <f t="shared" si="41"/>
        <v>"),TimeMatch=TimeSpan.Parse("</v>
      </c>
      <c r="H161" s="9">
        <f>Matchs!D162</f>
        <v>0.125</v>
      </c>
      <c r="I161" t="str">
        <f t="shared" si="42"/>
        <v>"),MatchYear=</v>
      </c>
      <c r="J161">
        <f>Matchs!E162</f>
        <v>1962</v>
      </c>
      <c r="K161" t="str">
        <f t="shared" si="43"/>
        <v>, SeasonId= "</v>
      </c>
      <c r="L161" t="str">
        <f>Matchs!F162</f>
        <v>FIFAWC1962</v>
      </c>
      <c r="M161" t="str">
        <f t="shared" si="44"/>
        <v>",Round= "</v>
      </c>
      <c r="N161" t="str">
        <f>Matchs!G162</f>
        <v>Final Round</v>
      </c>
      <c r="O161" s="6" t="str">
        <f t="shared" si="45"/>
        <v>",Stage= "</v>
      </c>
      <c r="P161" t="str">
        <f>Matchs!H162</f>
        <v>Knockouts</v>
      </c>
      <c r="Q161" s="6" t="str">
        <f t="shared" si="46"/>
        <v>",SubStage= "</v>
      </c>
      <c r="R161" t="str">
        <f>Matchs!I162</f>
        <v>Quaterfinal</v>
      </c>
      <c r="S161" s="6" t="str">
        <f t="shared" si="47"/>
        <v>",HTeam= "</v>
      </c>
      <c r="T161" t="str">
        <f>Matchs!J162</f>
        <v>Chile</v>
      </c>
      <c r="U161" s="6" t="str">
        <f t="shared" si="48"/>
        <v>",HGoal=</v>
      </c>
      <c r="V161">
        <f>Matchs!K162</f>
        <v>2</v>
      </c>
      <c r="W161" s="6" t="str">
        <f t="shared" si="49"/>
        <v>,GGoal=</v>
      </c>
      <c r="X161">
        <f>Matchs!L162</f>
        <v>1</v>
      </c>
      <c r="Y161" s="6" t="str">
        <f t="shared" si="50"/>
        <v>,GTeam= "</v>
      </c>
      <c r="Z161" t="str">
        <f>Matchs!M162</f>
        <v>Soviet Union</v>
      </c>
      <c r="AA161" s="6" t="str">
        <f t="shared" si="51"/>
        <v>",WinNote="</v>
      </c>
      <c r="AB161" t="str">
        <f>IF(Matchs!N162="","",Matchs!N162)</f>
        <v/>
      </c>
      <c r="AC161" s="6" t="str">
        <f t="shared" si="52"/>
        <v xml:space="preserve">",Stadium=" </v>
      </c>
      <c r="AD161" s="11" t="str">
        <f>Matchs!O162</f>
        <v xml:space="preserve">Estadio Carlos Dittborn </v>
      </c>
      <c r="AE161" s="6" t="str">
        <f t="shared" si="53"/>
        <v>",Referee= "</v>
      </c>
      <c r="AF161" s="11" t="str">
        <f>Matchs!P162</f>
        <v xml:space="preserve">Leo Horn </v>
      </c>
      <c r="AG161" s="6" t="str">
        <f t="shared" si="54"/>
        <v xml:space="preserve">",Visistors= </v>
      </c>
      <c r="AH161" s="11">
        <f>Matchs!Q162</f>
        <v>17268</v>
      </c>
      <c r="AI161" s="11" t="str">
        <f t="shared" si="55"/>
        <v>,Status= "</v>
      </c>
      <c r="AJ161" s="11" t="str">
        <f>Matchs!R162</f>
        <v>Finished</v>
      </c>
      <c r="AK161" t="str">
        <f t="shared" si="56"/>
        <v>" },</v>
      </c>
    </row>
    <row r="162" spans="1:37" x14ac:dyDescent="0.25">
      <c r="A162" t="str">
        <f t="shared" si="38"/>
        <v>new Match { MatchId= "</v>
      </c>
      <c r="B162" t="str">
        <f>Matchs!A163</f>
        <v>FIFAWC1962-26</v>
      </c>
      <c r="C162" t="str">
        <f t="shared" si="39"/>
        <v>",MatchNumer=</v>
      </c>
      <c r="D162">
        <f>Matchs!B163</f>
        <v>26</v>
      </c>
      <c r="E162" t="str">
        <f t="shared" si="40"/>
        <v>,DateMatch=DateTime.Parse("</v>
      </c>
      <c r="F162" s="3">
        <f>Matchs!C163</f>
        <v>22807</v>
      </c>
      <c r="G162" s="10" t="str">
        <f t="shared" si="41"/>
        <v>"),TimeMatch=TimeSpan.Parse("</v>
      </c>
      <c r="H162" s="9">
        <f>Matchs!D163</f>
        <v>0.125</v>
      </c>
      <c r="I162" t="str">
        <f t="shared" si="42"/>
        <v>"),MatchYear=</v>
      </c>
      <c r="J162">
        <f>Matchs!E163</f>
        <v>1962</v>
      </c>
      <c r="K162" t="str">
        <f t="shared" si="43"/>
        <v>, SeasonId= "</v>
      </c>
      <c r="L162" t="str">
        <f>Matchs!F163</f>
        <v>FIFAWC1962</v>
      </c>
      <c r="M162" t="str">
        <f t="shared" si="44"/>
        <v>",Round= "</v>
      </c>
      <c r="N162" t="str">
        <f>Matchs!G163</f>
        <v>Final Round</v>
      </c>
      <c r="O162" s="6" t="str">
        <f t="shared" si="45"/>
        <v>",Stage= "</v>
      </c>
      <c r="P162" t="str">
        <f>Matchs!H163</f>
        <v>Knockouts</v>
      </c>
      <c r="Q162" s="6" t="str">
        <f t="shared" si="46"/>
        <v>",SubStage= "</v>
      </c>
      <c r="R162" t="str">
        <f>Matchs!I163</f>
        <v>Quaterfinal</v>
      </c>
      <c r="S162" s="6" t="str">
        <f t="shared" si="47"/>
        <v>",HTeam= "</v>
      </c>
      <c r="T162" t="str">
        <f>Matchs!J163</f>
        <v>Czechoslovakia</v>
      </c>
      <c r="U162" s="6" t="str">
        <f t="shared" si="48"/>
        <v>",HGoal=</v>
      </c>
      <c r="V162">
        <f>Matchs!K163</f>
        <v>1</v>
      </c>
      <c r="W162" s="6" t="str">
        <f t="shared" si="49"/>
        <v>,GGoal=</v>
      </c>
      <c r="X162">
        <f>Matchs!L163</f>
        <v>0</v>
      </c>
      <c r="Y162" s="6" t="str">
        <f t="shared" si="50"/>
        <v>,GTeam= "</v>
      </c>
      <c r="Z162" t="str">
        <f>Matchs!M163</f>
        <v>Hungary</v>
      </c>
      <c r="AA162" s="6" t="str">
        <f t="shared" si="51"/>
        <v>",WinNote="</v>
      </c>
      <c r="AB162" t="str">
        <f>IF(Matchs!N163="","",Matchs!N163)</f>
        <v/>
      </c>
      <c r="AC162" s="6" t="str">
        <f t="shared" si="52"/>
        <v xml:space="preserve">",Stadium=" </v>
      </c>
      <c r="AD162" s="11" t="str">
        <f>Matchs!O163</f>
        <v xml:space="preserve">Estadio El Teniente </v>
      </c>
      <c r="AE162" s="6" t="str">
        <f t="shared" si="53"/>
        <v>",Referee= "</v>
      </c>
      <c r="AF162" s="11" t="str">
        <f>Matchs!P163</f>
        <v xml:space="preserve">Nikolay Latyshev </v>
      </c>
      <c r="AG162" s="6" t="str">
        <f t="shared" si="54"/>
        <v xml:space="preserve">",Visistors= </v>
      </c>
      <c r="AH162" s="11">
        <f>Matchs!Q163</f>
        <v>11690</v>
      </c>
      <c r="AI162" s="11" t="str">
        <f t="shared" si="55"/>
        <v>,Status= "</v>
      </c>
      <c r="AJ162" s="11" t="str">
        <f>Matchs!R163</f>
        <v>Finished</v>
      </c>
      <c r="AK162" t="str">
        <f t="shared" si="56"/>
        <v>" },</v>
      </c>
    </row>
    <row r="163" spans="1:37" x14ac:dyDescent="0.25">
      <c r="A163" t="str">
        <f t="shared" si="38"/>
        <v>new Match { MatchId= "</v>
      </c>
      <c r="B163" t="str">
        <f>Matchs!A164</f>
        <v>FIFAWC1962-27</v>
      </c>
      <c r="C163" t="str">
        <f t="shared" si="39"/>
        <v>",MatchNumer=</v>
      </c>
      <c r="D163">
        <f>Matchs!B164</f>
        <v>27</v>
      </c>
      <c r="E163" t="str">
        <f t="shared" si="40"/>
        <v>,DateMatch=DateTime.Parse("</v>
      </c>
      <c r="F163" s="3">
        <f>Matchs!C164</f>
        <v>22807</v>
      </c>
      <c r="G163" s="10" t="str">
        <f t="shared" si="41"/>
        <v>"),TimeMatch=TimeSpan.Parse("</v>
      </c>
      <c r="H163" s="9">
        <f>Matchs!D164</f>
        <v>0.125</v>
      </c>
      <c r="I163" t="str">
        <f t="shared" si="42"/>
        <v>"),MatchYear=</v>
      </c>
      <c r="J163">
        <f>Matchs!E164</f>
        <v>1962</v>
      </c>
      <c r="K163" t="str">
        <f t="shared" si="43"/>
        <v>, SeasonId= "</v>
      </c>
      <c r="L163" t="str">
        <f>Matchs!F164</f>
        <v>FIFAWC1962</v>
      </c>
      <c r="M163" t="str">
        <f t="shared" si="44"/>
        <v>",Round= "</v>
      </c>
      <c r="N163" t="str">
        <f>Matchs!G164</f>
        <v>Final Round</v>
      </c>
      <c r="O163" s="6" t="str">
        <f t="shared" si="45"/>
        <v>",Stage= "</v>
      </c>
      <c r="P163" t="str">
        <f>Matchs!H164</f>
        <v>Knockouts</v>
      </c>
      <c r="Q163" s="6" t="str">
        <f t="shared" si="46"/>
        <v>",SubStage= "</v>
      </c>
      <c r="R163" t="str">
        <f>Matchs!I164</f>
        <v>Quaterfinal</v>
      </c>
      <c r="S163" s="6" t="str">
        <f t="shared" si="47"/>
        <v>",HTeam= "</v>
      </c>
      <c r="T163" t="str">
        <f>Matchs!J164</f>
        <v>Brazil</v>
      </c>
      <c r="U163" s="6" t="str">
        <f t="shared" si="48"/>
        <v>",HGoal=</v>
      </c>
      <c r="V163">
        <f>Matchs!K164</f>
        <v>3</v>
      </c>
      <c r="W163" s="6" t="str">
        <f t="shared" si="49"/>
        <v>,GGoal=</v>
      </c>
      <c r="X163">
        <f>Matchs!L164</f>
        <v>1</v>
      </c>
      <c r="Y163" s="6" t="str">
        <f t="shared" si="50"/>
        <v>,GTeam= "</v>
      </c>
      <c r="Z163" t="str">
        <f>Matchs!M164</f>
        <v>England</v>
      </c>
      <c r="AA163" s="6" t="str">
        <f t="shared" si="51"/>
        <v>",WinNote="</v>
      </c>
      <c r="AB163" t="str">
        <f>IF(Matchs!N164="","",Matchs!N164)</f>
        <v/>
      </c>
      <c r="AC163" s="6" t="str">
        <f t="shared" si="52"/>
        <v xml:space="preserve">",Stadium=" </v>
      </c>
      <c r="AD163" s="11" t="str">
        <f>Matchs!O164</f>
        <v xml:space="preserve">Estadio Sausalito </v>
      </c>
      <c r="AE163" s="6" t="str">
        <f t="shared" si="53"/>
        <v>",Referee= "</v>
      </c>
      <c r="AF163" s="11" t="str">
        <f>Matchs!P164</f>
        <v xml:space="preserve">Pierre Schwinte </v>
      </c>
      <c r="AG163" s="6" t="str">
        <f t="shared" si="54"/>
        <v xml:space="preserve">",Visistors= </v>
      </c>
      <c r="AH163" s="11">
        <f>Matchs!Q164</f>
        <v>17736</v>
      </c>
      <c r="AI163" s="11" t="str">
        <f t="shared" si="55"/>
        <v>,Status= "</v>
      </c>
      <c r="AJ163" s="11" t="str">
        <f>Matchs!R164</f>
        <v>Finished</v>
      </c>
      <c r="AK163" t="str">
        <f t="shared" si="56"/>
        <v>" },</v>
      </c>
    </row>
    <row r="164" spans="1:37" x14ac:dyDescent="0.25">
      <c r="A164" t="str">
        <f t="shared" si="38"/>
        <v>new Match { MatchId= "</v>
      </c>
      <c r="B164" t="str">
        <f>Matchs!A165</f>
        <v>FIFAWC1962-28</v>
      </c>
      <c r="C164" t="str">
        <f t="shared" si="39"/>
        <v>",MatchNumer=</v>
      </c>
      <c r="D164">
        <f>Matchs!B165</f>
        <v>28</v>
      </c>
      <c r="E164" t="str">
        <f t="shared" si="40"/>
        <v>,DateMatch=DateTime.Parse("</v>
      </c>
      <c r="F164" s="3">
        <f>Matchs!C165</f>
        <v>22807</v>
      </c>
      <c r="G164" s="10" t="str">
        <f t="shared" si="41"/>
        <v>"),TimeMatch=TimeSpan.Parse("</v>
      </c>
      <c r="H164" s="9">
        <f>Matchs!D165</f>
        <v>0.125</v>
      </c>
      <c r="I164" t="str">
        <f t="shared" si="42"/>
        <v>"),MatchYear=</v>
      </c>
      <c r="J164">
        <f>Matchs!E165</f>
        <v>1962</v>
      </c>
      <c r="K164" t="str">
        <f t="shared" si="43"/>
        <v>, SeasonId= "</v>
      </c>
      <c r="L164" t="str">
        <f>Matchs!F165</f>
        <v>FIFAWC1962</v>
      </c>
      <c r="M164" t="str">
        <f t="shared" si="44"/>
        <v>",Round= "</v>
      </c>
      <c r="N164" t="str">
        <f>Matchs!G165</f>
        <v>Final Round</v>
      </c>
      <c r="O164" s="6" t="str">
        <f t="shared" si="45"/>
        <v>",Stage= "</v>
      </c>
      <c r="P164" t="str">
        <f>Matchs!H165</f>
        <v>Knockouts</v>
      </c>
      <c r="Q164" s="6" t="str">
        <f t="shared" si="46"/>
        <v>",SubStage= "</v>
      </c>
      <c r="R164" t="str">
        <f>Matchs!I165</f>
        <v>Quaterfinal</v>
      </c>
      <c r="S164" s="6" t="str">
        <f t="shared" si="47"/>
        <v>",HTeam= "</v>
      </c>
      <c r="T164" t="str">
        <f>Matchs!J165</f>
        <v>Yugoslavia</v>
      </c>
      <c r="U164" s="6" t="str">
        <f t="shared" si="48"/>
        <v>",HGoal=</v>
      </c>
      <c r="V164">
        <f>Matchs!K165</f>
        <v>1</v>
      </c>
      <c r="W164" s="6" t="str">
        <f t="shared" si="49"/>
        <v>,GGoal=</v>
      </c>
      <c r="X164">
        <f>Matchs!L165</f>
        <v>0</v>
      </c>
      <c r="Y164" s="6" t="str">
        <f t="shared" si="50"/>
        <v>,GTeam= "</v>
      </c>
      <c r="Z164" t="str">
        <f>Matchs!M165</f>
        <v>Germany</v>
      </c>
      <c r="AA164" s="6" t="str">
        <f t="shared" si="51"/>
        <v>",WinNote="</v>
      </c>
      <c r="AB164" t="str">
        <f>IF(Matchs!N165="","",Matchs!N165)</f>
        <v/>
      </c>
      <c r="AC164" s="6" t="str">
        <f t="shared" si="52"/>
        <v xml:space="preserve">",Stadium=" </v>
      </c>
      <c r="AD164" s="11" t="str">
        <f>Matchs!O165</f>
        <v xml:space="preserve">Estadio Nacional Julio Mart... </v>
      </c>
      <c r="AE164" s="6" t="str">
        <f t="shared" si="53"/>
        <v>",Referee= "</v>
      </c>
      <c r="AF164" s="11" t="str">
        <f>Matchs!P165</f>
        <v xml:space="preserve">Arturo Yamasaki Maldonado </v>
      </c>
      <c r="AG164" s="6" t="str">
        <f t="shared" si="54"/>
        <v xml:space="preserve">",Visistors= </v>
      </c>
      <c r="AH164" s="11">
        <f>Matchs!Q165</f>
        <v>63324</v>
      </c>
      <c r="AI164" s="11" t="str">
        <f t="shared" si="55"/>
        <v>,Status= "</v>
      </c>
      <c r="AJ164" s="11" t="str">
        <f>Matchs!R165</f>
        <v>Finished</v>
      </c>
      <c r="AK164" t="str">
        <f t="shared" si="56"/>
        <v>" },</v>
      </c>
    </row>
    <row r="165" spans="1:37" x14ac:dyDescent="0.25">
      <c r="A165" t="str">
        <f t="shared" si="38"/>
        <v>new Match { MatchId= "</v>
      </c>
      <c r="B165" t="str">
        <f>Matchs!A166</f>
        <v>FIFAWC1962-29</v>
      </c>
      <c r="C165" t="str">
        <f t="shared" si="39"/>
        <v>",MatchNumer=</v>
      </c>
      <c r="D165">
        <f>Matchs!B166</f>
        <v>29</v>
      </c>
      <c r="E165" t="str">
        <f t="shared" si="40"/>
        <v>,DateMatch=DateTime.Parse("</v>
      </c>
      <c r="F165" s="3">
        <f>Matchs!C166</f>
        <v>22811</v>
      </c>
      <c r="G165" s="10" t="str">
        <f t="shared" si="41"/>
        <v>"),TimeMatch=TimeSpan.Parse("</v>
      </c>
      <c r="H165" s="9">
        <f>Matchs!D166</f>
        <v>0.10416666666666667</v>
      </c>
      <c r="I165" t="str">
        <f t="shared" si="42"/>
        <v>"),MatchYear=</v>
      </c>
      <c r="J165">
        <f>Matchs!E166</f>
        <v>1962</v>
      </c>
      <c r="K165" t="str">
        <f t="shared" si="43"/>
        <v>, SeasonId= "</v>
      </c>
      <c r="L165" t="str">
        <f>Matchs!F166</f>
        <v>FIFAWC1962</v>
      </c>
      <c r="M165" t="str">
        <f t="shared" si="44"/>
        <v>",Round= "</v>
      </c>
      <c r="N165" t="str">
        <f>Matchs!G166</f>
        <v>Final Round</v>
      </c>
      <c r="O165" s="6" t="str">
        <f t="shared" si="45"/>
        <v>",Stage= "</v>
      </c>
      <c r="P165" t="str">
        <f>Matchs!H166</f>
        <v>Knockouts</v>
      </c>
      <c r="Q165" s="6" t="str">
        <f t="shared" si="46"/>
        <v>",SubStage= "</v>
      </c>
      <c r="R165" t="str">
        <f>Matchs!I166</f>
        <v>Semifinal</v>
      </c>
      <c r="S165" s="6" t="str">
        <f t="shared" si="47"/>
        <v>",HTeam= "</v>
      </c>
      <c r="T165" t="str">
        <f>Matchs!J166</f>
        <v>Brazil</v>
      </c>
      <c r="U165" s="6" t="str">
        <f t="shared" si="48"/>
        <v>",HGoal=</v>
      </c>
      <c r="V165">
        <f>Matchs!K166</f>
        <v>4</v>
      </c>
      <c r="W165" s="6" t="str">
        <f t="shared" si="49"/>
        <v>,GGoal=</v>
      </c>
      <c r="X165">
        <f>Matchs!L166</f>
        <v>2</v>
      </c>
      <c r="Y165" s="6" t="str">
        <f t="shared" si="50"/>
        <v>,GTeam= "</v>
      </c>
      <c r="Z165" t="str">
        <f>Matchs!M166</f>
        <v>Chile</v>
      </c>
      <c r="AA165" s="6" t="str">
        <f t="shared" si="51"/>
        <v>",WinNote="</v>
      </c>
      <c r="AB165" t="str">
        <f>IF(Matchs!N166="","",Matchs!N166)</f>
        <v/>
      </c>
      <c r="AC165" s="6" t="str">
        <f t="shared" si="52"/>
        <v xml:space="preserve">",Stadium=" </v>
      </c>
      <c r="AD165" s="11" t="str">
        <f>Matchs!O166</f>
        <v xml:space="preserve">Estadio Nacional Julio Mart... </v>
      </c>
      <c r="AE165" s="6" t="str">
        <f t="shared" si="53"/>
        <v>",Referee= "</v>
      </c>
      <c r="AF165" s="11" t="str">
        <f>Matchs!P166</f>
        <v xml:space="preserve">Juan Gardeazabal Garay </v>
      </c>
      <c r="AG165" s="6" t="str">
        <f t="shared" si="54"/>
        <v xml:space="preserve">",Visistors= </v>
      </c>
      <c r="AH165" s="11">
        <f>Matchs!Q166</f>
        <v>76500</v>
      </c>
      <c r="AI165" s="11" t="str">
        <f t="shared" si="55"/>
        <v>,Status= "</v>
      </c>
      <c r="AJ165" s="11" t="str">
        <f>Matchs!R166</f>
        <v>Finished</v>
      </c>
      <c r="AK165" t="str">
        <f t="shared" si="56"/>
        <v>" },</v>
      </c>
    </row>
    <row r="166" spans="1:37" x14ac:dyDescent="0.25">
      <c r="A166" t="str">
        <f t="shared" si="38"/>
        <v>new Match { MatchId= "</v>
      </c>
      <c r="B166" t="str">
        <f>Matchs!A167</f>
        <v>FIFAWC1962-30</v>
      </c>
      <c r="C166" t="str">
        <f t="shared" si="39"/>
        <v>",MatchNumer=</v>
      </c>
      <c r="D166">
        <f>Matchs!B167</f>
        <v>30</v>
      </c>
      <c r="E166" t="str">
        <f t="shared" si="40"/>
        <v>,DateMatch=DateTime.Parse("</v>
      </c>
      <c r="F166" s="3">
        <f>Matchs!C167</f>
        <v>22811</v>
      </c>
      <c r="G166" s="10" t="str">
        <f t="shared" si="41"/>
        <v>"),TimeMatch=TimeSpan.Parse("</v>
      </c>
      <c r="H166" s="9">
        <f>Matchs!D167</f>
        <v>0.10416666666666667</v>
      </c>
      <c r="I166" t="str">
        <f t="shared" si="42"/>
        <v>"),MatchYear=</v>
      </c>
      <c r="J166">
        <f>Matchs!E167</f>
        <v>1962</v>
      </c>
      <c r="K166" t="str">
        <f t="shared" si="43"/>
        <v>, SeasonId= "</v>
      </c>
      <c r="L166" t="str">
        <f>Matchs!F167</f>
        <v>FIFAWC1962</v>
      </c>
      <c r="M166" t="str">
        <f t="shared" si="44"/>
        <v>",Round= "</v>
      </c>
      <c r="N166" t="str">
        <f>Matchs!G167</f>
        <v>Final Round</v>
      </c>
      <c r="O166" s="6" t="str">
        <f t="shared" si="45"/>
        <v>",Stage= "</v>
      </c>
      <c r="P166" t="str">
        <f>Matchs!H167</f>
        <v>Knockouts</v>
      </c>
      <c r="Q166" s="6" t="str">
        <f t="shared" si="46"/>
        <v>",SubStage= "</v>
      </c>
      <c r="R166" t="str">
        <f>Matchs!I167</f>
        <v>Semifinal</v>
      </c>
      <c r="S166" s="6" t="str">
        <f t="shared" si="47"/>
        <v>",HTeam= "</v>
      </c>
      <c r="T166" t="str">
        <f>Matchs!J167</f>
        <v>Czechoslovakia</v>
      </c>
      <c r="U166" s="6" t="str">
        <f t="shared" si="48"/>
        <v>",HGoal=</v>
      </c>
      <c r="V166">
        <f>Matchs!K167</f>
        <v>3</v>
      </c>
      <c r="W166" s="6" t="str">
        <f t="shared" si="49"/>
        <v>,GGoal=</v>
      </c>
      <c r="X166">
        <f>Matchs!L167</f>
        <v>1</v>
      </c>
      <c r="Y166" s="6" t="str">
        <f t="shared" si="50"/>
        <v>,GTeam= "</v>
      </c>
      <c r="Z166" t="str">
        <f>Matchs!M167</f>
        <v>Yugoslavia</v>
      </c>
      <c r="AA166" s="6" t="str">
        <f t="shared" si="51"/>
        <v>",WinNote="</v>
      </c>
      <c r="AB166" t="str">
        <f>IF(Matchs!N167="","",Matchs!N167)</f>
        <v/>
      </c>
      <c r="AC166" s="6" t="str">
        <f t="shared" si="52"/>
        <v xml:space="preserve">",Stadium=" </v>
      </c>
      <c r="AD166" s="11" t="str">
        <f>Matchs!O167</f>
        <v xml:space="preserve">Estadio Sausalito </v>
      </c>
      <c r="AE166" s="6" t="str">
        <f t="shared" si="53"/>
        <v>",Referee= "</v>
      </c>
      <c r="AF166" s="11" t="str">
        <f>Matchs!P167</f>
        <v xml:space="preserve">Gottfried Dienst </v>
      </c>
      <c r="AG166" s="6" t="str">
        <f t="shared" si="54"/>
        <v xml:space="preserve">",Visistors= </v>
      </c>
      <c r="AH166" s="11">
        <f>Matchs!Q167</f>
        <v>5890</v>
      </c>
      <c r="AI166" s="11" t="str">
        <f t="shared" si="55"/>
        <v>,Status= "</v>
      </c>
      <c r="AJ166" s="11" t="str">
        <f>Matchs!R167</f>
        <v>Finished</v>
      </c>
      <c r="AK166" t="str">
        <f t="shared" si="56"/>
        <v>" },</v>
      </c>
    </row>
    <row r="167" spans="1:37" x14ac:dyDescent="0.25">
      <c r="A167" t="str">
        <f t="shared" si="38"/>
        <v>new Match { MatchId= "</v>
      </c>
      <c r="B167" t="str">
        <f>Matchs!A168</f>
        <v>FIFAWC1962-31</v>
      </c>
      <c r="C167" t="str">
        <f t="shared" si="39"/>
        <v>",MatchNumer=</v>
      </c>
      <c r="D167">
        <f>Matchs!B168</f>
        <v>31</v>
      </c>
      <c r="E167" t="str">
        <f t="shared" si="40"/>
        <v>,DateMatch=DateTime.Parse("</v>
      </c>
      <c r="F167" s="3">
        <f>Matchs!C168</f>
        <v>22814</v>
      </c>
      <c r="G167" s="10" t="str">
        <f t="shared" si="41"/>
        <v>"),TimeMatch=TimeSpan.Parse("</v>
      </c>
      <c r="H167" s="9">
        <f>Matchs!D168</f>
        <v>0.10416666666666667</v>
      </c>
      <c r="I167" t="str">
        <f t="shared" si="42"/>
        <v>"),MatchYear=</v>
      </c>
      <c r="J167">
        <f>Matchs!E168</f>
        <v>1962</v>
      </c>
      <c r="K167" t="str">
        <f t="shared" si="43"/>
        <v>, SeasonId= "</v>
      </c>
      <c r="L167" t="str">
        <f>Matchs!F168</f>
        <v>FIFAWC1962</v>
      </c>
      <c r="M167" t="str">
        <f t="shared" si="44"/>
        <v>",Round= "</v>
      </c>
      <c r="N167" t="str">
        <f>Matchs!G168</f>
        <v>Final Round</v>
      </c>
      <c r="O167" s="6" t="str">
        <f t="shared" si="45"/>
        <v>",Stage= "</v>
      </c>
      <c r="P167" t="str">
        <f>Matchs!H168</f>
        <v>Knockouts</v>
      </c>
      <c r="Q167" s="6" t="str">
        <f t="shared" si="46"/>
        <v>",SubStage= "</v>
      </c>
      <c r="R167" t="str">
        <f>Matchs!I168</f>
        <v>3rd place</v>
      </c>
      <c r="S167" s="6" t="str">
        <f t="shared" si="47"/>
        <v>",HTeam= "</v>
      </c>
      <c r="T167" t="str">
        <f>Matchs!J168</f>
        <v>Chile</v>
      </c>
      <c r="U167" s="6" t="str">
        <f t="shared" si="48"/>
        <v>",HGoal=</v>
      </c>
      <c r="V167">
        <f>Matchs!K168</f>
        <v>1</v>
      </c>
      <c r="W167" s="6" t="str">
        <f t="shared" si="49"/>
        <v>,GGoal=</v>
      </c>
      <c r="X167">
        <f>Matchs!L168</f>
        <v>0</v>
      </c>
      <c r="Y167" s="6" t="str">
        <f t="shared" si="50"/>
        <v>,GTeam= "</v>
      </c>
      <c r="Z167" t="str">
        <f>Matchs!M168</f>
        <v>Yugoslavia</v>
      </c>
      <c r="AA167" s="6" t="str">
        <f t="shared" si="51"/>
        <v>",WinNote="</v>
      </c>
      <c r="AB167" t="str">
        <f>IF(Matchs!N168="","",Matchs!N168)</f>
        <v/>
      </c>
      <c r="AC167" s="6" t="str">
        <f t="shared" si="52"/>
        <v xml:space="preserve">",Stadium=" </v>
      </c>
      <c r="AD167" s="11" t="str">
        <f>Matchs!O168</f>
        <v xml:space="preserve">Estadio Nacional Julio Mart... </v>
      </c>
      <c r="AE167" s="6" t="str">
        <f t="shared" si="53"/>
        <v>",Referee= "</v>
      </c>
      <c r="AF167" s="11">
        <f>Matchs!P168</f>
        <v>0</v>
      </c>
      <c r="AG167" s="6" t="str">
        <f t="shared" si="54"/>
        <v xml:space="preserve">",Visistors= </v>
      </c>
      <c r="AH167" s="11">
        <f>Matchs!Q168</f>
        <v>67000</v>
      </c>
      <c r="AI167" s="11" t="str">
        <f t="shared" si="55"/>
        <v>,Status= "</v>
      </c>
      <c r="AJ167" s="11" t="str">
        <f>Matchs!R168</f>
        <v>Finished</v>
      </c>
      <c r="AK167" t="str">
        <f t="shared" si="56"/>
        <v>" },</v>
      </c>
    </row>
    <row r="168" spans="1:37" x14ac:dyDescent="0.25">
      <c r="A168" t="str">
        <f t="shared" si="38"/>
        <v>new Match { MatchId= "</v>
      </c>
      <c r="B168" t="str">
        <f>Matchs!A169</f>
        <v>FIFAWC1962-32</v>
      </c>
      <c r="C168" t="str">
        <f t="shared" si="39"/>
        <v>",MatchNumer=</v>
      </c>
      <c r="D168">
        <f>Matchs!B169</f>
        <v>32</v>
      </c>
      <c r="E168" t="str">
        <f t="shared" si="40"/>
        <v>,DateMatch=DateTime.Parse("</v>
      </c>
      <c r="F168" s="3">
        <f>Matchs!C169</f>
        <v>22815</v>
      </c>
      <c r="G168" s="10" t="str">
        <f t="shared" si="41"/>
        <v>"),TimeMatch=TimeSpan.Parse("</v>
      </c>
      <c r="H168" s="9">
        <f>Matchs!D169</f>
        <v>0.10416666666666667</v>
      </c>
      <c r="I168" t="str">
        <f t="shared" si="42"/>
        <v>"),MatchYear=</v>
      </c>
      <c r="J168">
        <f>Matchs!E169</f>
        <v>1962</v>
      </c>
      <c r="K168" t="str">
        <f t="shared" si="43"/>
        <v>, SeasonId= "</v>
      </c>
      <c r="L168" t="str">
        <f>Matchs!F169</f>
        <v>FIFAWC1962</v>
      </c>
      <c r="M168" t="str">
        <f t="shared" si="44"/>
        <v>",Round= "</v>
      </c>
      <c r="N168" t="str">
        <f>Matchs!G169</f>
        <v>Final Round</v>
      </c>
      <c r="O168" s="6" t="str">
        <f t="shared" si="45"/>
        <v>",Stage= "</v>
      </c>
      <c r="P168" t="str">
        <f>Matchs!H169</f>
        <v>Knockouts</v>
      </c>
      <c r="Q168" s="6" t="str">
        <f t="shared" si="46"/>
        <v>",SubStage= "</v>
      </c>
      <c r="R168" t="str">
        <f>Matchs!I169</f>
        <v>Final</v>
      </c>
      <c r="S168" s="6" t="str">
        <f t="shared" si="47"/>
        <v>",HTeam= "</v>
      </c>
      <c r="T168" t="str">
        <f>Matchs!J169</f>
        <v>Brazil</v>
      </c>
      <c r="U168" s="6" t="str">
        <f t="shared" si="48"/>
        <v>",HGoal=</v>
      </c>
      <c r="V168">
        <f>Matchs!K169</f>
        <v>3</v>
      </c>
      <c r="W168" s="6" t="str">
        <f t="shared" si="49"/>
        <v>,GGoal=</v>
      </c>
      <c r="X168">
        <f>Matchs!L169</f>
        <v>1</v>
      </c>
      <c r="Y168" s="6" t="str">
        <f t="shared" si="50"/>
        <v>,GTeam= "</v>
      </c>
      <c r="Z168" t="str">
        <f>Matchs!M169</f>
        <v>Czechoslovakia</v>
      </c>
      <c r="AA168" s="6" t="str">
        <f t="shared" si="51"/>
        <v>",WinNote="</v>
      </c>
      <c r="AB168" t="str">
        <f>IF(Matchs!N169="","",Matchs!N169)</f>
        <v/>
      </c>
      <c r="AC168" s="6" t="str">
        <f t="shared" si="52"/>
        <v xml:space="preserve">",Stadium=" </v>
      </c>
      <c r="AD168" s="11" t="str">
        <f>Matchs!O169</f>
        <v xml:space="preserve">Estadio Nacional Julio Mart... </v>
      </c>
      <c r="AE168" s="6" t="str">
        <f t="shared" si="53"/>
        <v>",Referee= "</v>
      </c>
      <c r="AF168" s="11" t="str">
        <f>Matchs!P169</f>
        <v xml:space="preserve">Nikolay Latyshev </v>
      </c>
      <c r="AG168" s="6" t="str">
        <f t="shared" si="54"/>
        <v xml:space="preserve">",Visistors= </v>
      </c>
      <c r="AH168" s="11">
        <f>Matchs!Q169</f>
        <v>68679</v>
      </c>
      <c r="AI168" s="11" t="str">
        <f t="shared" si="55"/>
        <v>,Status= "</v>
      </c>
      <c r="AJ168" s="11" t="str">
        <f>Matchs!R169</f>
        <v>Finished</v>
      </c>
      <c r="AK168" t="str">
        <f t="shared" si="56"/>
        <v>" },</v>
      </c>
    </row>
    <row r="169" spans="1:37" x14ac:dyDescent="0.25">
      <c r="A169" t="str">
        <f t="shared" si="38"/>
        <v>new Match { MatchId= "</v>
      </c>
      <c r="B169" t="str">
        <f>Matchs!A170</f>
        <v>FIFAWC1966-1</v>
      </c>
      <c r="C169" t="str">
        <f t="shared" si="39"/>
        <v>",MatchNumer=</v>
      </c>
      <c r="D169">
        <f>Matchs!B170</f>
        <v>1</v>
      </c>
      <c r="E169" t="str">
        <f t="shared" si="40"/>
        <v>,DateMatch=DateTime.Parse("</v>
      </c>
      <c r="F169" s="3">
        <f>Matchs!C170</f>
        <v>24300</v>
      </c>
      <c r="G169" s="10" t="str">
        <f t="shared" si="41"/>
        <v>"),TimeMatch=TimeSpan.Parse("</v>
      </c>
      <c r="H169" s="9">
        <f>Matchs!D170</f>
        <v>0.10416666666666667</v>
      </c>
      <c r="I169" t="str">
        <f t="shared" si="42"/>
        <v>"),MatchYear=</v>
      </c>
      <c r="J169">
        <f>Matchs!E170</f>
        <v>1966</v>
      </c>
      <c r="K169" t="str">
        <f t="shared" si="43"/>
        <v>, SeasonId= "</v>
      </c>
      <c r="L169" t="str">
        <f>Matchs!F170</f>
        <v>FIFAWC1966</v>
      </c>
      <c r="M169" t="str">
        <f t="shared" si="44"/>
        <v>",Round= "</v>
      </c>
      <c r="N169" t="str">
        <f>Matchs!G170</f>
        <v>Final Round</v>
      </c>
      <c r="O169" s="6" t="str">
        <f t="shared" si="45"/>
        <v>",Stage= "</v>
      </c>
      <c r="P169" t="str">
        <f>Matchs!H170</f>
        <v>Group</v>
      </c>
      <c r="Q169" s="6" t="str">
        <f t="shared" si="46"/>
        <v>",SubStage= "</v>
      </c>
      <c r="R169" t="str">
        <f>Matchs!I170</f>
        <v>Group 1</v>
      </c>
      <c r="S169" s="6" t="str">
        <f t="shared" si="47"/>
        <v>",HTeam= "</v>
      </c>
      <c r="T169" t="str">
        <f>Matchs!J170</f>
        <v>England</v>
      </c>
      <c r="U169" s="6" t="str">
        <f t="shared" si="48"/>
        <v>",HGoal=</v>
      </c>
      <c r="V169">
        <f>Matchs!K170</f>
        <v>0</v>
      </c>
      <c r="W169" s="6" t="str">
        <f t="shared" si="49"/>
        <v>,GGoal=</v>
      </c>
      <c r="X169">
        <f>Matchs!L170</f>
        <v>0</v>
      </c>
      <c r="Y169" s="6" t="str">
        <f t="shared" si="50"/>
        <v>,GTeam= "</v>
      </c>
      <c r="Z169" t="str">
        <f>Matchs!M170</f>
        <v>Uruguay</v>
      </c>
      <c r="AA169" s="6" t="str">
        <f t="shared" si="51"/>
        <v>",WinNote="</v>
      </c>
      <c r="AB169" t="str">
        <f>IF(Matchs!N170="","",Matchs!N170)</f>
        <v/>
      </c>
      <c r="AC169" s="6" t="str">
        <f t="shared" si="52"/>
        <v xml:space="preserve">",Stadium=" </v>
      </c>
      <c r="AD169" s="11" t="str">
        <f>Matchs!O170</f>
        <v xml:space="preserve">Wembley Stadium </v>
      </c>
      <c r="AE169" s="6" t="str">
        <f t="shared" si="53"/>
        <v>",Referee= "</v>
      </c>
      <c r="AF169" s="11" t="str">
        <f>Matchs!P170</f>
        <v xml:space="preserve">Istvan Zsolt </v>
      </c>
      <c r="AG169" s="6" t="str">
        <f t="shared" si="54"/>
        <v xml:space="preserve">",Visistors= </v>
      </c>
      <c r="AH169" s="11">
        <f>Matchs!Q170</f>
        <v>87148</v>
      </c>
      <c r="AI169" s="11" t="str">
        <f t="shared" si="55"/>
        <v>,Status= "</v>
      </c>
      <c r="AJ169" s="11" t="str">
        <f>Matchs!R170</f>
        <v>Finished</v>
      </c>
      <c r="AK169" t="str">
        <f t="shared" si="56"/>
        <v>" },</v>
      </c>
    </row>
    <row r="170" spans="1:37" x14ac:dyDescent="0.25">
      <c r="A170" t="str">
        <f t="shared" si="38"/>
        <v>new Match { MatchId= "</v>
      </c>
      <c r="B170" t="str">
        <f>Matchs!A171</f>
        <v>FIFAWC1966-2</v>
      </c>
      <c r="C170" t="str">
        <f t="shared" si="39"/>
        <v>",MatchNumer=</v>
      </c>
      <c r="D170">
        <f>Matchs!B171</f>
        <v>2</v>
      </c>
      <c r="E170" t="str">
        <f t="shared" si="40"/>
        <v>,DateMatch=DateTime.Parse("</v>
      </c>
      <c r="F170" s="3">
        <f>Matchs!C171</f>
        <v>24301</v>
      </c>
      <c r="G170" s="10" t="str">
        <f t="shared" si="41"/>
        <v>"),TimeMatch=TimeSpan.Parse("</v>
      </c>
      <c r="H170" s="9">
        <f>Matchs!D171</f>
        <v>0.10416666666666667</v>
      </c>
      <c r="I170" t="str">
        <f t="shared" si="42"/>
        <v>"),MatchYear=</v>
      </c>
      <c r="J170">
        <f>Matchs!E171</f>
        <v>1966</v>
      </c>
      <c r="K170" t="str">
        <f t="shared" si="43"/>
        <v>, SeasonId= "</v>
      </c>
      <c r="L170" t="str">
        <f>Matchs!F171</f>
        <v>FIFAWC1966</v>
      </c>
      <c r="M170" t="str">
        <f t="shared" si="44"/>
        <v>",Round= "</v>
      </c>
      <c r="N170" t="str">
        <f>Matchs!G171</f>
        <v>Final Round</v>
      </c>
      <c r="O170" s="6" t="str">
        <f t="shared" si="45"/>
        <v>",Stage= "</v>
      </c>
      <c r="P170" t="str">
        <f>Matchs!H171</f>
        <v>Group</v>
      </c>
      <c r="Q170" s="6" t="str">
        <f t="shared" si="46"/>
        <v>",SubStage= "</v>
      </c>
      <c r="R170" t="str">
        <f>Matchs!I171</f>
        <v>Group 2</v>
      </c>
      <c r="S170" s="6" t="str">
        <f t="shared" si="47"/>
        <v>",HTeam= "</v>
      </c>
      <c r="T170" t="str">
        <f>Matchs!J171</f>
        <v>Germany</v>
      </c>
      <c r="U170" s="6" t="str">
        <f t="shared" si="48"/>
        <v>",HGoal=</v>
      </c>
      <c r="V170">
        <f>Matchs!K171</f>
        <v>5</v>
      </c>
      <c r="W170" s="6" t="str">
        <f t="shared" si="49"/>
        <v>,GGoal=</v>
      </c>
      <c r="X170">
        <f>Matchs!L171</f>
        <v>0</v>
      </c>
      <c r="Y170" s="6" t="str">
        <f t="shared" si="50"/>
        <v>,GTeam= "</v>
      </c>
      <c r="Z170" t="str">
        <f>Matchs!M171</f>
        <v>Switzerland</v>
      </c>
      <c r="AA170" s="6" t="str">
        <f t="shared" si="51"/>
        <v>",WinNote="</v>
      </c>
      <c r="AB170" t="str">
        <f>IF(Matchs!N171="","",Matchs!N171)</f>
        <v/>
      </c>
      <c r="AC170" s="6" t="str">
        <f t="shared" si="52"/>
        <v xml:space="preserve">",Stadium=" </v>
      </c>
      <c r="AD170" s="11" t="str">
        <f>Matchs!O171</f>
        <v xml:space="preserve">Hillsborough Stadium </v>
      </c>
      <c r="AE170" s="6" t="str">
        <f t="shared" si="53"/>
        <v>",Referee= "</v>
      </c>
      <c r="AF170" s="11" t="str">
        <f>Matchs!P171</f>
        <v xml:space="preserve">Hugh Phillips </v>
      </c>
      <c r="AG170" s="6" t="str">
        <f t="shared" si="54"/>
        <v xml:space="preserve">",Visistors= </v>
      </c>
      <c r="AH170" s="11">
        <f>Matchs!Q171</f>
        <v>36000</v>
      </c>
      <c r="AI170" s="11" t="str">
        <f t="shared" si="55"/>
        <v>,Status= "</v>
      </c>
      <c r="AJ170" s="11" t="str">
        <f>Matchs!R171</f>
        <v>Finished</v>
      </c>
      <c r="AK170" t="str">
        <f t="shared" si="56"/>
        <v>" },</v>
      </c>
    </row>
    <row r="171" spans="1:37" x14ac:dyDescent="0.25">
      <c r="A171" t="str">
        <f t="shared" si="38"/>
        <v>new Match { MatchId= "</v>
      </c>
      <c r="B171" t="str">
        <f>Matchs!A172</f>
        <v>FIFAWC1966-3</v>
      </c>
      <c r="C171" t="str">
        <f t="shared" si="39"/>
        <v>",MatchNumer=</v>
      </c>
      <c r="D171">
        <f>Matchs!B172</f>
        <v>3</v>
      </c>
      <c r="E171" t="str">
        <f t="shared" si="40"/>
        <v>,DateMatch=DateTime.Parse("</v>
      </c>
      <c r="F171" s="3">
        <f>Matchs!C172</f>
        <v>24301</v>
      </c>
      <c r="G171" s="10" t="str">
        <f t="shared" si="41"/>
        <v>"),TimeMatch=TimeSpan.Parse("</v>
      </c>
      <c r="H171" s="9">
        <f>Matchs!D172</f>
        <v>0.10416666666666667</v>
      </c>
      <c r="I171" t="str">
        <f t="shared" si="42"/>
        <v>"),MatchYear=</v>
      </c>
      <c r="J171">
        <f>Matchs!E172</f>
        <v>1966</v>
      </c>
      <c r="K171" t="str">
        <f t="shared" si="43"/>
        <v>, SeasonId= "</v>
      </c>
      <c r="L171" t="str">
        <f>Matchs!F172</f>
        <v>FIFAWC1966</v>
      </c>
      <c r="M171" t="str">
        <f t="shared" si="44"/>
        <v>",Round= "</v>
      </c>
      <c r="N171" t="str">
        <f>Matchs!G172</f>
        <v>Final Round</v>
      </c>
      <c r="O171" s="6" t="str">
        <f t="shared" si="45"/>
        <v>",Stage= "</v>
      </c>
      <c r="P171" t="str">
        <f>Matchs!H172</f>
        <v>Group</v>
      </c>
      <c r="Q171" s="6" t="str">
        <f t="shared" si="46"/>
        <v>",SubStage= "</v>
      </c>
      <c r="R171" t="str">
        <f>Matchs!I172</f>
        <v>Group 3</v>
      </c>
      <c r="S171" s="6" t="str">
        <f t="shared" si="47"/>
        <v>",HTeam= "</v>
      </c>
      <c r="T171" t="str">
        <f>Matchs!J172</f>
        <v>Brazil</v>
      </c>
      <c r="U171" s="6" t="str">
        <f t="shared" si="48"/>
        <v>",HGoal=</v>
      </c>
      <c r="V171">
        <f>Matchs!K172</f>
        <v>2</v>
      </c>
      <c r="W171" s="6" t="str">
        <f t="shared" si="49"/>
        <v>,GGoal=</v>
      </c>
      <c r="X171">
        <f>Matchs!L172</f>
        <v>0</v>
      </c>
      <c r="Y171" s="6" t="str">
        <f t="shared" si="50"/>
        <v>,GTeam= "</v>
      </c>
      <c r="Z171" t="str">
        <f>Matchs!M172</f>
        <v>Bulgaria</v>
      </c>
      <c r="AA171" s="6" t="str">
        <f t="shared" si="51"/>
        <v>",WinNote="</v>
      </c>
      <c r="AB171" t="str">
        <f>IF(Matchs!N172="","",Matchs!N172)</f>
        <v/>
      </c>
      <c r="AC171" s="6" t="str">
        <f t="shared" si="52"/>
        <v xml:space="preserve">",Stadium=" </v>
      </c>
      <c r="AD171" s="11" t="str">
        <f>Matchs!O172</f>
        <v xml:space="preserve">Goodison Park </v>
      </c>
      <c r="AE171" s="6" t="str">
        <f t="shared" si="53"/>
        <v>",Referee= "</v>
      </c>
      <c r="AF171" s="11" t="str">
        <f>Matchs!P172</f>
        <v xml:space="preserve">Kurt Tschenscher </v>
      </c>
      <c r="AG171" s="6" t="str">
        <f t="shared" si="54"/>
        <v xml:space="preserve">",Visistors= </v>
      </c>
      <c r="AH171" s="11">
        <f>Matchs!Q172</f>
        <v>48000</v>
      </c>
      <c r="AI171" s="11" t="str">
        <f t="shared" si="55"/>
        <v>,Status= "</v>
      </c>
      <c r="AJ171" s="11" t="str">
        <f>Matchs!R172</f>
        <v>Finished</v>
      </c>
      <c r="AK171" t="str">
        <f t="shared" si="56"/>
        <v>" },</v>
      </c>
    </row>
    <row r="172" spans="1:37" x14ac:dyDescent="0.25">
      <c r="A172" t="str">
        <f t="shared" si="38"/>
        <v>new Match { MatchId= "</v>
      </c>
      <c r="B172" t="str">
        <f>Matchs!A173</f>
        <v>FIFAWC1966-4</v>
      </c>
      <c r="C172" t="str">
        <f t="shared" si="39"/>
        <v>",MatchNumer=</v>
      </c>
      <c r="D172">
        <f>Matchs!B173</f>
        <v>4</v>
      </c>
      <c r="E172" t="str">
        <f t="shared" si="40"/>
        <v>,DateMatch=DateTime.Parse("</v>
      </c>
      <c r="F172" s="3">
        <f>Matchs!C173</f>
        <v>24301</v>
      </c>
      <c r="G172" s="10" t="str">
        <f t="shared" si="41"/>
        <v>"),TimeMatch=TimeSpan.Parse("</v>
      </c>
      <c r="H172" s="9">
        <f>Matchs!D173</f>
        <v>0.10416666666666667</v>
      </c>
      <c r="I172" t="str">
        <f t="shared" si="42"/>
        <v>"),MatchYear=</v>
      </c>
      <c r="J172">
        <f>Matchs!E173</f>
        <v>1966</v>
      </c>
      <c r="K172" t="str">
        <f t="shared" si="43"/>
        <v>, SeasonId= "</v>
      </c>
      <c r="L172" t="str">
        <f>Matchs!F173</f>
        <v>FIFAWC1966</v>
      </c>
      <c r="M172" t="str">
        <f t="shared" si="44"/>
        <v>",Round= "</v>
      </c>
      <c r="N172" t="str">
        <f>Matchs!G173</f>
        <v>Final Round</v>
      </c>
      <c r="O172" s="6" t="str">
        <f t="shared" si="45"/>
        <v>",Stage= "</v>
      </c>
      <c r="P172" t="str">
        <f>Matchs!H173</f>
        <v>Group</v>
      </c>
      <c r="Q172" s="6" t="str">
        <f t="shared" si="46"/>
        <v>",SubStage= "</v>
      </c>
      <c r="R172" t="str">
        <f>Matchs!I173</f>
        <v>Group 4</v>
      </c>
      <c r="S172" s="6" t="str">
        <f t="shared" si="47"/>
        <v>",HTeam= "</v>
      </c>
      <c r="T172" t="str">
        <f>Matchs!J173</f>
        <v>Soviet Union</v>
      </c>
      <c r="U172" s="6" t="str">
        <f t="shared" si="48"/>
        <v>",HGoal=</v>
      </c>
      <c r="V172">
        <f>Matchs!K173</f>
        <v>3</v>
      </c>
      <c r="W172" s="6" t="str">
        <f t="shared" si="49"/>
        <v>,GGoal=</v>
      </c>
      <c r="X172">
        <f>Matchs!L173</f>
        <v>0</v>
      </c>
      <c r="Y172" s="6" t="str">
        <f t="shared" si="50"/>
        <v>,GTeam= "</v>
      </c>
      <c r="Z172" t="str">
        <f>Matchs!M173</f>
        <v>North Korea</v>
      </c>
      <c r="AA172" s="6" t="str">
        <f t="shared" si="51"/>
        <v>",WinNote="</v>
      </c>
      <c r="AB172" t="str">
        <f>IF(Matchs!N173="","",Matchs!N173)</f>
        <v/>
      </c>
      <c r="AC172" s="6" t="str">
        <f t="shared" si="52"/>
        <v xml:space="preserve">",Stadium=" </v>
      </c>
      <c r="AD172" s="11" t="str">
        <f>Matchs!O173</f>
        <v xml:space="preserve">Ayresome Park </v>
      </c>
      <c r="AE172" s="6" t="str">
        <f t="shared" si="53"/>
        <v>",Referee= "</v>
      </c>
      <c r="AF172" s="11" t="str">
        <f>Matchs!P173</f>
        <v xml:space="preserve">Juan Gardeazabal Garay </v>
      </c>
      <c r="AG172" s="6" t="str">
        <f t="shared" si="54"/>
        <v xml:space="preserve">",Visistors= </v>
      </c>
      <c r="AH172" s="11">
        <f>Matchs!Q173</f>
        <v>22000</v>
      </c>
      <c r="AI172" s="11" t="str">
        <f t="shared" si="55"/>
        <v>,Status= "</v>
      </c>
      <c r="AJ172" s="11" t="str">
        <f>Matchs!R173</f>
        <v>Finished</v>
      </c>
      <c r="AK172" t="str">
        <f t="shared" si="56"/>
        <v>" },</v>
      </c>
    </row>
    <row r="173" spans="1:37" x14ac:dyDescent="0.25">
      <c r="A173" t="str">
        <f t="shared" si="38"/>
        <v>new Match { MatchId= "</v>
      </c>
      <c r="B173" t="str">
        <f>Matchs!A174</f>
        <v>FIFAWC1966-5</v>
      </c>
      <c r="C173" t="str">
        <f t="shared" si="39"/>
        <v>",MatchNumer=</v>
      </c>
      <c r="D173">
        <f>Matchs!B174</f>
        <v>5</v>
      </c>
      <c r="E173" t="str">
        <f t="shared" si="40"/>
        <v>,DateMatch=DateTime.Parse("</v>
      </c>
      <c r="F173" s="3">
        <f>Matchs!C174</f>
        <v>24302</v>
      </c>
      <c r="G173" s="10" t="str">
        <f t="shared" si="41"/>
        <v>"),TimeMatch=TimeSpan.Parse("</v>
      </c>
      <c r="H173" s="9">
        <f>Matchs!D174</f>
        <v>0.10416666666666667</v>
      </c>
      <c r="I173" t="str">
        <f t="shared" si="42"/>
        <v>"),MatchYear=</v>
      </c>
      <c r="J173">
        <f>Matchs!E174</f>
        <v>1966</v>
      </c>
      <c r="K173" t="str">
        <f t="shared" si="43"/>
        <v>, SeasonId= "</v>
      </c>
      <c r="L173" t="str">
        <f>Matchs!F174</f>
        <v>FIFAWC1966</v>
      </c>
      <c r="M173" t="str">
        <f t="shared" si="44"/>
        <v>",Round= "</v>
      </c>
      <c r="N173" t="str">
        <f>Matchs!G174</f>
        <v>Final Round</v>
      </c>
      <c r="O173" s="6" t="str">
        <f t="shared" si="45"/>
        <v>",Stage= "</v>
      </c>
      <c r="P173" t="str">
        <f>Matchs!H174</f>
        <v>Group</v>
      </c>
      <c r="Q173" s="6" t="str">
        <f t="shared" si="46"/>
        <v>",SubStage= "</v>
      </c>
      <c r="R173" t="str">
        <f>Matchs!I174</f>
        <v>Group 1</v>
      </c>
      <c r="S173" s="6" t="str">
        <f t="shared" si="47"/>
        <v>",HTeam= "</v>
      </c>
      <c r="T173" t="str">
        <f>Matchs!J174</f>
        <v>France</v>
      </c>
      <c r="U173" s="6" t="str">
        <f t="shared" si="48"/>
        <v>",HGoal=</v>
      </c>
      <c r="V173">
        <f>Matchs!K174</f>
        <v>1</v>
      </c>
      <c r="W173" s="6" t="str">
        <f t="shared" si="49"/>
        <v>,GGoal=</v>
      </c>
      <c r="X173">
        <f>Matchs!L174</f>
        <v>1</v>
      </c>
      <c r="Y173" s="6" t="str">
        <f t="shared" si="50"/>
        <v>,GTeam= "</v>
      </c>
      <c r="Z173" t="str">
        <f>Matchs!M174</f>
        <v>Mexico</v>
      </c>
      <c r="AA173" s="6" t="str">
        <f t="shared" si="51"/>
        <v>",WinNote="</v>
      </c>
      <c r="AB173" t="str">
        <f>IF(Matchs!N174="","",Matchs!N174)</f>
        <v/>
      </c>
      <c r="AC173" s="6" t="str">
        <f t="shared" si="52"/>
        <v xml:space="preserve">",Stadium=" </v>
      </c>
      <c r="AD173" s="11" t="str">
        <f>Matchs!O174</f>
        <v xml:space="preserve">Wembley Stadium </v>
      </c>
      <c r="AE173" s="6" t="str">
        <f t="shared" si="53"/>
        <v>",Referee= "</v>
      </c>
      <c r="AF173" s="11" t="str">
        <f>Matchs!P174</f>
        <v xml:space="preserve">Menachem Ashkenazi </v>
      </c>
      <c r="AG173" s="6" t="str">
        <f t="shared" si="54"/>
        <v xml:space="preserve">",Visistors= </v>
      </c>
      <c r="AH173" s="11">
        <f>Matchs!Q174</f>
        <v>69237</v>
      </c>
      <c r="AI173" s="11" t="str">
        <f t="shared" si="55"/>
        <v>,Status= "</v>
      </c>
      <c r="AJ173" s="11" t="str">
        <f>Matchs!R174</f>
        <v>Finished</v>
      </c>
      <c r="AK173" t="str">
        <f t="shared" si="56"/>
        <v>" },</v>
      </c>
    </row>
    <row r="174" spans="1:37" x14ac:dyDescent="0.25">
      <c r="A174" t="str">
        <f t="shared" si="38"/>
        <v>new Match { MatchId= "</v>
      </c>
      <c r="B174" t="str">
        <f>Matchs!A175</f>
        <v>FIFAWC1966-6</v>
      </c>
      <c r="C174" t="str">
        <f t="shared" si="39"/>
        <v>",MatchNumer=</v>
      </c>
      <c r="D174">
        <f>Matchs!B175</f>
        <v>6</v>
      </c>
      <c r="E174" t="str">
        <f t="shared" si="40"/>
        <v>,DateMatch=DateTime.Parse("</v>
      </c>
      <c r="F174" s="3">
        <f>Matchs!C175</f>
        <v>24302</v>
      </c>
      <c r="G174" s="10" t="str">
        <f t="shared" si="41"/>
        <v>"),TimeMatch=TimeSpan.Parse("</v>
      </c>
      <c r="H174" s="9">
        <f>Matchs!D175</f>
        <v>0.10416666666666667</v>
      </c>
      <c r="I174" t="str">
        <f t="shared" si="42"/>
        <v>"),MatchYear=</v>
      </c>
      <c r="J174">
        <f>Matchs!E175</f>
        <v>1966</v>
      </c>
      <c r="K174" t="str">
        <f t="shared" si="43"/>
        <v>, SeasonId= "</v>
      </c>
      <c r="L174" t="str">
        <f>Matchs!F175</f>
        <v>FIFAWC1966</v>
      </c>
      <c r="M174" t="str">
        <f t="shared" si="44"/>
        <v>",Round= "</v>
      </c>
      <c r="N174" t="str">
        <f>Matchs!G175</f>
        <v>Final Round</v>
      </c>
      <c r="O174" s="6" t="str">
        <f t="shared" si="45"/>
        <v>",Stage= "</v>
      </c>
      <c r="P174" t="str">
        <f>Matchs!H175</f>
        <v>Group</v>
      </c>
      <c r="Q174" s="6" t="str">
        <f t="shared" si="46"/>
        <v>",SubStage= "</v>
      </c>
      <c r="R174" t="str">
        <f>Matchs!I175</f>
        <v>Group 3</v>
      </c>
      <c r="S174" s="6" t="str">
        <f t="shared" si="47"/>
        <v>",HTeam= "</v>
      </c>
      <c r="T174" t="str">
        <f>Matchs!J175</f>
        <v>Portugal</v>
      </c>
      <c r="U174" s="6" t="str">
        <f t="shared" si="48"/>
        <v>",HGoal=</v>
      </c>
      <c r="V174">
        <f>Matchs!K175</f>
        <v>3</v>
      </c>
      <c r="W174" s="6" t="str">
        <f t="shared" si="49"/>
        <v>,GGoal=</v>
      </c>
      <c r="X174">
        <f>Matchs!L175</f>
        <v>1</v>
      </c>
      <c r="Y174" s="6" t="str">
        <f t="shared" si="50"/>
        <v>,GTeam= "</v>
      </c>
      <c r="Z174" t="str">
        <f>Matchs!M175</f>
        <v>Hungary</v>
      </c>
      <c r="AA174" s="6" t="str">
        <f t="shared" si="51"/>
        <v>",WinNote="</v>
      </c>
      <c r="AB174" t="str">
        <f>IF(Matchs!N175="","",Matchs!N175)</f>
        <v/>
      </c>
      <c r="AC174" s="6" t="str">
        <f t="shared" si="52"/>
        <v xml:space="preserve">",Stadium=" </v>
      </c>
      <c r="AD174" s="11" t="str">
        <f>Matchs!O175</f>
        <v xml:space="preserve">Old Trafford </v>
      </c>
      <c r="AE174" s="6" t="str">
        <f t="shared" si="53"/>
        <v>",Referee= "</v>
      </c>
      <c r="AF174" s="11" t="str">
        <f>Matchs!P175</f>
        <v xml:space="preserve">Leo Callaghan </v>
      </c>
      <c r="AG174" s="6" t="str">
        <f t="shared" si="54"/>
        <v xml:space="preserve">",Visistors= </v>
      </c>
      <c r="AH174" s="11">
        <f>Matchs!Q175</f>
        <v>37000</v>
      </c>
      <c r="AI174" s="11" t="str">
        <f t="shared" si="55"/>
        <v>,Status= "</v>
      </c>
      <c r="AJ174" s="11" t="str">
        <f>Matchs!R175</f>
        <v>Finished</v>
      </c>
      <c r="AK174" t="str">
        <f t="shared" si="56"/>
        <v>" },</v>
      </c>
    </row>
    <row r="175" spans="1:37" x14ac:dyDescent="0.25">
      <c r="A175" t="str">
        <f t="shared" si="38"/>
        <v>new Match { MatchId= "</v>
      </c>
      <c r="B175" t="str">
        <f>Matchs!A176</f>
        <v>FIFAWC1966-7</v>
      </c>
      <c r="C175" t="str">
        <f t="shared" si="39"/>
        <v>",MatchNumer=</v>
      </c>
      <c r="D175">
        <f>Matchs!B176</f>
        <v>7</v>
      </c>
      <c r="E175" t="str">
        <f t="shared" si="40"/>
        <v>,DateMatch=DateTime.Parse("</v>
      </c>
      <c r="F175" s="3">
        <f>Matchs!C176</f>
        <v>24302</v>
      </c>
      <c r="G175" s="10" t="str">
        <f t="shared" si="41"/>
        <v>"),TimeMatch=TimeSpan.Parse("</v>
      </c>
      <c r="H175" s="9">
        <f>Matchs!D176</f>
        <v>0.10416666666666667</v>
      </c>
      <c r="I175" t="str">
        <f t="shared" si="42"/>
        <v>"),MatchYear=</v>
      </c>
      <c r="J175">
        <f>Matchs!E176</f>
        <v>1966</v>
      </c>
      <c r="K175" t="str">
        <f t="shared" si="43"/>
        <v>, SeasonId= "</v>
      </c>
      <c r="L175" t="str">
        <f>Matchs!F176</f>
        <v>FIFAWC1966</v>
      </c>
      <c r="M175" t="str">
        <f t="shared" si="44"/>
        <v>",Round= "</v>
      </c>
      <c r="N175" t="str">
        <f>Matchs!G176</f>
        <v>Final Round</v>
      </c>
      <c r="O175" s="6" t="str">
        <f t="shared" si="45"/>
        <v>",Stage= "</v>
      </c>
      <c r="P175" t="str">
        <f>Matchs!H176</f>
        <v>Group</v>
      </c>
      <c r="Q175" s="6" t="str">
        <f t="shared" si="46"/>
        <v>",SubStage= "</v>
      </c>
      <c r="R175" t="str">
        <f>Matchs!I176</f>
        <v>Group 2</v>
      </c>
      <c r="S175" s="6" t="str">
        <f t="shared" si="47"/>
        <v>",HTeam= "</v>
      </c>
      <c r="T175" t="str">
        <f>Matchs!J176</f>
        <v>Argentina</v>
      </c>
      <c r="U175" s="6" t="str">
        <f t="shared" si="48"/>
        <v>",HGoal=</v>
      </c>
      <c r="V175">
        <f>Matchs!K176</f>
        <v>2</v>
      </c>
      <c r="W175" s="6" t="str">
        <f t="shared" si="49"/>
        <v>,GGoal=</v>
      </c>
      <c r="X175">
        <f>Matchs!L176</f>
        <v>1</v>
      </c>
      <c r="Y175" s="6" t="str">
        <f t="shared" si="50"/>
        <v>,GTeam= "</v>
      </c>
      <c r="Z175" t="str">
        <f>Matchs!M176</f>
        <v>Spain</v>
      </c>
      <c r="AA175" s="6" t="str">
        <f t="shared" si="51"/>
        <v>",WinNote="</v>
      </c>
      <c r="AB175" t="str">
        <f>IF(Matchs!N176="","",Matchs!N176)</f>
        <v/>
      </c>
      <c r="AC175" s="6" t="str">
        <f t="shared" si="52"/>
        <v xml:space="preserve">",Stadium=" </v>
      </c>
      <c r="AD175" s="11" t="str">
        <f>Matchs!O176</f>
        <v xml:space="preserve">Villa Park </v>
      </c>
      <c r="AE175" s="6" t="str">
        <f t="shared" si="53"/>
        <v>",Referee= "</v>
      </c>
      <c r="AF175" s="11" t="str">
        <f>Matchs!P176</f>
        <v xml:space="preserve">Dimiter Rumentchev </v>
      </c>
      <c r="AG175" s="6" t="str">
        <f t="shared" si="54"/>
        <v xml:space="preserve">",Visistors= </v>
      </c>
      <c r="AH175" s="11">
        <f>Matchs!Q176</f>
        <v>48000</v>
      </c>
      <c r="AI175" s="11" t="str">
        <f t="shared" si="55"/>
        <v>,Status= "</v>
      </c>
      <c r="AJ175" s="11" t="str">
        <f>Matchs!R176</f>
        <v>Finished</v>
      </c>
      <c r="AK175" t="str">
        <f t="shared" si="56"/>
        <v>" },</v>
      </c>
    </row>
    <row r="176" spans="1:37" x14ac:dyDescent="0.25">
      <c r="A176" t="str">
        <f t="shared" si="38"/>
        <v>new Match { MatchId= "</v>
      </c>
      <c r="B176" t="str">
        <f>Matchs!A177</f>
        <v>FIFAWC1966-8</v>
      </c>
      <c r="C176" t="str">
        <f t="shared" si="39"/>
        <v>",MatchNumer=</v>
      </c>
      <c r="D176">
        <f>Matchs!B177</f>
        <v>8</v>
      </c>
      <c r="E176" t="str">
        <f t="shared" si="40"/>
        <v>,DateMatch=DateTime.Parse("</v>
      </c>
      <c r="F176" s="3">
        <f>Matchs!C177</f>
        <v>24302</v>
      </c>
      <c r="G176" s="10" t="str">
        <f t="shared" si="41"/>
        <v>"),TimeMatch=TimeSpan.Parse("</v>
      </c>
      <c r="H176" s="9">
        <f>Matchs!D177</f>
        <v>0.10416666666666667</v>
      </c>
      <c r="I176" t="str">
        <f t="shared" si="42"/>
        <v>"),MatchYear=</v>
      </c>
      <c r="J176">
        <f>Matchs!E177</f>
        <v>1966</v>
      </c>
      <c r="K176" t="str">
        <f t="shared" si="43"/>
        <v>, SeasonId= "</v>
      </c>
      <c r="L176" t="str">
        <f>Matchs!F177</f>
        <v>FIFAWC1966</v>
      </c>
      <c r="M176" t="str">
        <f t="shared" si="44"/>
        <v>",Round= "</v>
      </c>
      <c r="N176" t="str">
        <f>Matchs!G177</f>
        <v>Final Round</v>
      </c>
      <c r="O176" s="6" t="str">
        <f t="shared" si="45"/>
        <v>",Stage= "</v>
      </c>
      <c r="P176" t="str">
        <f>Matchs!H177</f>
        <v>Group</v>
      </c>
      <c r="Q176" s="6" t="str">
        <f t="shared" si="46"/>
        <v>",SubStage= "</v>
      </c>
      <c r="R176" t="str">
        <f>Matchs!I177</f>
        <v>Group 4</v>
      </c>
      <c r="S176" s="6" t="str">
        <f t="shared" si="47"/>
        <v>",HTeam= "</v>
      </c>
      <c r="T176" t="str">
        <f>Matchs!J177</f>
        <v>Italy</v>
      </c>
      <c r="U176" s="6" t="str">
        <f t="shared" si="48"/>
        <v>",HGoal=</v>
      </c>
      <c r="V176">
        <f>Matchs!K177</f>
        <v>2</v>
      </c>
      <c r="W176" s="6" t="str">
        <f t="shared" si="49"/>
        <v>,GGoal=</v>
      </c>
      <c r="X176">
        <f>Matchs!L177</f>
        <v>0</v>
      </c>
      <c r="Y176" s="6" t="str">
        <f t="shared" si="50"/>
        <v>,GTeam= "</v>
      </c>
      <c r="Z176" t="str">
        <f>Matchs!M177</f>
        <v>Chile</v>
      </c>
      <c r="AA176" s="6" t="str">
        <f t="shared" si="51"/>
        <v>",WinNote="</v>
      </c>
      <c r="AB176" t="str">
        <f>IF(Matchs!N177="","",Matchs!N177)</f>
        <v/>
      </c>
      <c r="AC176" s="6" t="str">
        <f t="shared" si="52"/>
        <v xml:space="preserve">",Stadium=" </v>
      </c>
      <c r="AD176" s="11" t="str">
        <f>Matchs!O177</f>
        <v xml:space="preserve">Roker Park </v>
      </c>
      <c r="AE176" s="6" t="str">
        <f t="shared" si="53"/>
        <v>",Referee= "</v>
      </c>
      <c r="AF176" s="11" t="str">
        <f>Matchs!P177</f>
        <v xml:space="preserve">Gottfried Dienst </v>
      </c>
      <c r="AG176" s="6" t="str">
        <f t="shared" si="54"/>
        <v xml:space="preserve">",Visistors= </v>
      </c>
      <c r="AH176" s="11">
        <f>Matchs!Q177</f>
        <v>30000</v>
      </c>
      <c r="AI176" s="11" t="str">
        <f t="shared" si="55"/>
        <v>,Status= "</v>
      </c>
      <c r="AJ176" s="11" t="str">
        <f>Matchs!R177</f>
        <v>Finished</v>
      </c>
      <c r="AK176" t="str">
        <f t="shared" si="56"/>
        <v>" },</v>
      </c>
    </row>
    <row r="177" spans="1:37" x14ac:dyDescent="0.25">
      <c r="A177" t="str">
        <f t="shared" si="38"/>
        <v>new Match { MatchId= "</v>
      </c>
      <c r="B177" t="str">
        <f>Matchs!A178</f>
        <v>FIFAWC1966-9</v>
      </c>
      <c r="C177" t="str">
        <f t="shared" si="39"/>
        <v>",MatchNumer=</v>
      </c>
      <c r="D177">
        <f>Matchs!B178</f>
        <v>9</v>
      </c>
      <c r="E177" t="str">
        <f t="shared" si="40"/>
        <v>,DateMatch=DateTime.Parse("</v>
      </c>
      <c r="F177" s="3">
        <f>Matchs!C178</f>
        <v>24304</v>
      </c>
      <c r="G177" s="10" t="str">
        <f t="shared" si="41"/>
        <v>"),TimeMatch=TimeSpan.Parse("</v>
      </c>
      <c r="H177" s="9">
        <f>Matchs!D178</f>
        <v>0.10416666666666667</v>
      </c>
      <c r="I177" t="str">
        <f t="shared" si="42"/>
        <v>"),MatchYear=</v>
      </c>
      <c r="J177">
        <f>Matchs!E178</f>
        <v>1966</v>
      </c>
      <c r="K177" t="str">
        <f t="shared" si="43"/>
        <v>, SeasonId= "</v>
      </c>
      <c r="L177" t="str">
        <f>Matchs!F178</f>
        <v>FIFAWC1966</v>
      </c>
      <c r="M177" t="str">
        <f t="shared" si="44"/>
        <v>",Round= "</v>
      </c>
      <c r="N177" t="str">
        <f>Matchs!G178</f>
        <v>Final Round</v>
      </c>
      <c r="O177" s="6" t="str">
        <f t="shared" si="45"/>
        <v>",Stage= "</v>
      </c>
      <c r="P177" t="str">
        <f>Matchs!H178</f>
        <v>Group</v>
      </c>
      <c r="Q177" s="6" t="str">
        <f t="shared" si="46"/>
        <v>",SubStage= "</v>
      </c>
      <c r="R177" t="str">
        <f>Matchs!I178</f>
        <v>Group 1</v>
      </c>
      <c r="S177" s="6" t="str">
        <f t="shared" si="47"/>
        <v>",HTeam= "</v>
      </c>
      <c r="T177" t="str">
        <f>Matchs!J178</f>
        <v>Uruguay</v>
      </c>
      <c r="U177" s="6" t="str">
        <f t="shared" si="48"/>
        <v>",HGoal=</v>
      </c>
      <c r="V177">
        <f>Matchs!K178</f>
        <v>2</v>
      </c>
      <c r="W177" s="6" t="str">
        <f t="shared" si="49"/>
        <v>,GGoal=</v>
      </c>
      <c r="X177">
        <f>Matchs!L178</f>
        <v>1</v>
      </c>
      <c r="Y177" s="6" t="str">
        <f t="shared" si="50"/>
        <v>,GTeam= "</v>
      </c>
      <c r="Z177" t="str">
        <f>Matchs!M178</f>
        <v>France</v>
      </c>
      <c r="AA177" s="6" t="str">
        <f t="shared" si="51"/>
        <v>",WinNote="</v>
      </c>
      <c r="AB177" t="str">
        <f>IF(Matchs!N178="","",Matchs!N178)</f>
        <v/>
      </c>
      <c r="AC177" s="6" t="str">
        <f t="shared" si="52"/>
        <v xml:space="preserve">",Stadium=" </v>
      </c>
      <c r="AD177" s="11" t="str">
        <f>Matchs!O178</f>
        <v xml:space="preserve">White City Stadium </v>
      </c>
      <c r="AE177" s="6" t="str">
        <f t="shared" si="53"/>
        <v>",Referee= "</v>
      </c>
      <c r="AF177" s="11" t="str">
        <f>Matchs!P178</f>
        <v xml:space="preserve">Karol Galba </v>
      </c>
      <c r="AG177" s="6" t="str">
        <f t="shared" si="54"/>
        <v xml:space="preserve">",Visistors= </v>
      </c>
      <c r="AH177" s="11">
        <f>Matchs!Q178</f>
        <v>45662</v>
      </c>
      <c r="AI177" s="11" t="str">
        <f t="shared" si="55"/>
        <v>,Status= "</v>
      </c>
      <c r="AJ177" s="11" t="str">
        <f>Matchs!R178</f>
        <v>Finished</v>
      </c>
      <c r="AK177" t="str">
        <f t="shared" si="56"/>
        <v>" },</v>
      </c>
    </row>
    <row r="178" spans="1:37" x14ac:dyDescent="0.25">
      <c r="A178" t="str">
        <f t="shared" si="38"/>
        <v>new Match { MatchId= "</v>
      </c>
      <c r="B178" t="str">
        <f>Matchs!A179</f>
        <v>FIFAWC1966-10</v>
      </c>
      <c r="C178" t="str">
        <f t="shared" si="39"/>
        <v>",MatchNumer=</v>
      </c>
      <c r="D178">
        <f>Matchs!B179</f>
        <v>10</v>
      </c>
      <c r="E178" t="str">
        <f t="shared" si="40"/>
        <v>,DateMatch=DateTime.Parse("</v>
      </c>
      <c r="F178" s="3">
        <f>Matchs!C179</f>
        <v>24304</v>
      </c>
      <c r="G178" s="10" t="str">
        <f t="shared" si="41"/>
        <v>"),TimeMatch=TimeSpan.Parse("</v>
      </c>
      <c r="H178" s="9">
        <f>Matchs!D179</f>
        <v>0.10416666666666667</v>
      </c>
      <c r="I178" t="str">
        <f t="shared" si="42"/>
        <v>"),MatchYear=</v>
      </c>
      <c r="J178">
        <f>Matchs!E179</f>
        <v>1966</v>
      </c>
      <c r="K178" t="str">
        <f t="shared" si="43"/>
        <v>, SeasonId= "</v>
      </c>
      <c r="L178" t="str">
        <f>Matchs!F179</f>
        <v>FIFAWC1966</v>
      </c>
      <c r="M178" t="str">
        <f t="shared" si="44"/>
        <v>",Round= "</v>
      </c>
      <c r="N178" t="str">
        <f>Matchs!G179</f>
        <v>Final Round</v>
      </c>
      <c r="O178" s="6" t="str">
        <f t="shared" si="45"/>
        <v>",Stage= "</v>
      </c>
      <c r="P178" t="str">
        <f>Matchs!H179</f>
        <v>Group</v>
      </c>
      <c r="Q178" s="6" t="str">
        <f t="shared" si="46"/>
        <v>",SubStage= "</v>
      </c>
      <c r="R178" t="str">
        <f>Matchs!I179</f>
        <v>Group 3</v>
      </c>
      <c r="S178" s="6" t="str">
        <f t="shared" si="47"/>
        <v>",HTeam= "</v>
      </c>
      <c r="T178" t="str">
        <f>Matchs!J179</f>
        <v>Hungary</v>
      </c>
      <c r="U178" s="6" t="str">
        <f t="shared" si="48"/>
        <v>",HGoal=</v>
      </c>
      <c r="V178">
        <f>Matchs!K179</f>
        <v>3</v>
      </c>
      <c r="W178" s="6" t="str">
        <f t="shared" si="49"/>
        <v>,GGoal=</v>
      </c>
      <c r="X178">
        <f>Matchs!L179</f>
        <v>1</v>
      </c>
      <c r="Y178" s="6" t="str">
        <f t="shared" si="50"/>
        <v>,GTeam= "</v>
      </c>
      <c r="Z178" t="str">
        <f>Matchs!M179</f>
        <v>Brazil</v>
      </c>
      <c r="AA178" s="6" t="str">
        <f t="shared" si="51"/>
        <v>",WinNote="</v>
      </c>
      <c r="AB178" t="str">
        <f>IF(Matchs!N179="","",Matchs!N179)</f>
        <v/>
      </c>
      <c r="AC178" s="6" t="str">
        <f t="shared" si="52"/>
        <v xml:space="preserve">",Stadium=" </v>
      </c>
      <c r="AD178" s="11" t="str">
        <f>Matchs!O179</f>
        <v xml:space="preserve">Goodison Park </v>
      </c>
      <c r="AE178" s="6" t="str">
        <f t="shared" si="53"/>
        <v>",Referee= "</v>
      </c>
      <c r="AF178" s="11" t="str">
        <f>Matchs!P179</f>
        <v xml:space="preserve">Ken Dagnall </v>
      </c>
      <c r="AG178" s="6" t="str">
        <f t="shared" si="54"/>
        <v xml:space="preserve">",Visistors= </v>
      </c>
      <c r="AH178" s="11">
        <f>Matchs!Q179</f>
        <v>52000</v>
      </c>
      <c r="AI178" s="11" t="str">
        <f t="shared" si="55"/>
        <v>,Status= "</v>
      </c>
      <c r="AJ178" s="11" t="str">
        <f>Matchs!R179</f>
        <v>Finished</v>
      </c>
      <c r="AK178" t="str">
        <f t="shared" si="56"/>
        <v>" },</v>
      </c>
    </row>
    <row r="179" spans="1:37" x14ac:dyDescent="0.25">
      <c r="A179" t="str">
        <f t="shared" si="38"/>
        <v>new Match { MatchId= "</v>
      </c>
      <c r="B179" t="str">
        <f>Matchs!A180</f>
        <v>FIFAWC1966-11</v>
      </c>
      <c r="C179" t="str">
        <f t="shared" si="39"/>
        <v>",MatchNumer=</v>
      </c>
      <c r="D179">
        <f>Matchs!B180</f>
        <v>11</v>
      </c>
      <c r="E179" t="str">
        <f t="shared" si="40"/>
        <v>,DateMatch=DateTime.Parse("</v>
      </c>
      <c r="F179" s="3">
        <f>Matchs!C180</f>
        <v>24304</v>
      </c>
      <c r="G179" s="10" t="str">
        <f t="shared" si="41"/>
        <v>"),TimeMatch=TimeSpan.Parse("</v>
      </c>
      <c r="H179" s="9">
        <f>Matchs!D180</f>
        <v>0.10416666666666667</v>
      </c>
      <c r="I179" t="str">
        <f t="shared" si="42"/>
        <v>"),MatchYear=</v>
      </c>
      <c r="J179">
        <f>Matchs!E180</f>
        <v>1966</v>
      </c>
      <c r="K179" t="str">
        <f t="shared" si="43"/>
        <v>, SeasonId= "</v>
      </c>
      <c r="L179" t="str">
        <f>Matchs!F180</f>
        <v>FIFAWC1966</v>
      </c>
      <c r="M179" t="str">
        <f t="shared" si="44"/>
        <v>",Round= "</v>
      </c>
      <c r="N179" t="str">
        <f>Matchs!G180</f>
        <v>Final Round</v>
      </c>
      <c r="O179" s="6" t="str">
        <f t="shared" si="45"/>
        <v>",Stage= "</v>
      </c>
      <c r="P179" t="str">
        <f>Matchs!H180</f>
        <v>Group</v>
      </c>
      <c r="Q179" s="6" t="str">
        <f t="shared" si="46"/>
        <v>",SubStage= "</v>
      </c>
      <c r="R179" t="str">
        <f>Matchs!I180</f>
        <v>Group 2</v>
      </c>
      <c r="S179" s="6" t="str">
        <f t="shared" si="47"/>
        <v>",HTeam= "</v>
      </c>
      <c r="T179" t="str">
        <f>Matchs!J180</f>
        <v>Spain</v>
      </c>
      <c r="U179" s="6" t="str">
        <f t="shared" si="48"/>
        <v>",HGoal=</v>
      </c>
      <c r="V179">
        <f>Matchs!K180</f>
        <v>2</v>
      </c>
      <c r="W179" s="6" t="str">
        <f t="shared" si="49"/>
        <v>,GGoal=</v>
      </c>
      <c r="X179">
        <f>Matchs!L180</f>
        <v>1</v>
      </c>
      <c r="Y179" s="6" t="str">
        <f t="shared" si="50"/>
        <v>,GTeam= "</v>
      </c>
      <c r="Z179" t="str">
        <f>Matchs!M180</f>
        <v>Switzerland</v>
      </c>
      <c r="AA179" s="6" t="str">
        <f t="shared" si="51"/>
        <v>",WinNote="</v>
      </c>
      <c r="AB179" t="str">
        <f>IF(Matchs!N180="","",Matchs!N180)</f>
        <v/>
      </c>
      <c r="AC179" s="6" t="str">
        <f t="shared" si="52"/>
        <v xml:space="preserve">",Stadium=" </v>
      </c>
      <c r="AD179" s="11" t="str">
        <f>Matchs!O180</f>
        <v xml:space="preserve">Hillsborough Stadium </v>
      </c>
      <c r="AE179" s="6" t="str">
        <f t="shared" si="53"/>
        <v>",Referee= "</v>
      </c>
      <c r="AF179" s="11" t="str">
        <f>Matchs!P180</f>
        <v xml:space="preserve">Tofik Bakhramov </v>
      </c>
      <c r="AG179" s="6" t="str">
        <f t="shared" si="54"/>
        <v xml:space="preserve">",Visistors= </v>
      </c>
      <c r="AH179" s="11">
        <f>Matchs!Q180</f>
        <v>32000</v>
      </c>
      <c r="AI179" s="11" t="str">
        <f t="shared" si="55"/>
        <v>,Status= "</v>
      </c>
      <c r="AJ179" s="11" t="str">
        <f>Matchs!R180</f>
        <v>Finished</v>
      </c>
      <c r="AK179" t="str">
        <f t="shared" si="56"/>
        <v>" },</v>
      </c>
    </row>
    <row r="180" spans="1:37" x14ac:dyDescent="0.25">
      <c r="A180" t="str">
        <f t="shared" si="38"/>
        <v>new Match { MatchId= "</v>
      </c>
      <c r="B180" t="str">
        <f>Matchs!A181</f>
        <v>FIFAWC1966-12</v>
      </c>
      <c r="C180" t="str">
        <f t="shared" si="39"/>
        <v>",MatchNumer=</v>
      </c>
      <c r="D180">
        <f>Matchs!B181</f>
        <v>12</v>
      </c>
      <c r="E180" t="str">
        <f t="shared" si="40"/>
        <v>,DateMatch=DateTime.Parse("</v>
      </c>
      <c r="F180" s="3">
        <f>Matchs!C181</f>
        <v>24304</v>
      </c>
      <c r="G180" s="10" t="str">
        <f t="shared" si="41"/>
        <v>"),TimeMatch=TimeSpan.Parse("</v>
      </c>
      <c r="H180" s="9">
        <f>Matchs!D181</f>
        <v>0.10416666666666667</v>
      </c>
      <c r="I180" t="str">
        <f t="shared" si="42"/>
        <v>"),MatchYear=</v>
      </c>
      <c r="J180">
        <f>Matchs!E181</f>
        <v>1966</v>
      </c>
      <c r="K180" t="str">
        <f t="shared" si="43"/>
        <v>, SeasonId= "</v>
      </c>
      <c r="L180" t="str">
        <f>Matchs!F181</f>
        <v>FIFAWC1966</v>
      </c>
      <c r="M180" t="str">
        <f t="shared" si="44"/>
        <v>",Round= "</v>
      </c>
      <c r="N180" t="str">
        <f>Matchs!G181</f>
        <v>Final Round</v>
      </c>
      <c r="O180" s="6" t="str">
        <f t="shared" si="45"/>
        <v>",Stage= "</v>
      </c>
      <c r="P180" t="str">
        <f>Matchs!H181</f>
        <v>Group</v>
      </c>
      <c r="Q180" s="6" t="str">
        <f t="shared" si="46"/>
        <v>",SubStage= "</v>
      </c>
      <c r="R180" t="str">
        <f>Matchs!I181</f>
        <v>Group 4</v>
      </c>
      <c r="S180" s="6" t="str">
        <f t="shared" si="47"/>
        <v>",HTeam= "</v>
      </c>
      <c r="T180" t="str">
        <f>Matchs!J181</f>
        <v>North Korea</v>
      </c>
      <c r="U180" s="6" t="str">
        <f t="shared" si="48"/>
        <v>",HGoal=</v>
      </c>
      <c r="V180">
        <f>Matchs!K181</f>
        <v>1</v>
      </c>
      <c r="W180" s="6" t="str">
        <f t="shared" si="49"/>
        <v>,GGoal=</v>
      </c>
      <c r="X180">
        <f>Matchs!L181</f>
        <v>1</v>
      </c>
      <c r="Y180" s="6" t="str">
        <f t="shared" si="50"/>
        <v>,GTeam= "</v>
      </c>
      <c r="Z180" t="str">
        <f>Matchs!M181</f>
        <v>Chile</v>
      </c>
      <c r="AA180" s="6" t="str">
        <f t="shared" si="51"/>
        <v>",WinNote="</v>
      </c>
      <c r="AB180" t="str">
        <f>IF(Matchs!N181="","",Matchs!N181)</f>
        <v/>
      </c>
      <c r="AC180" s="6" t="str">
        <f t="shared" si="52"/>
        <v xml:space="preserve">",Stadium=" </v>
      </c>
      <c r="AD180" s="11" t="str">
        <f>Matchs!O181</f>
        <v xml:space="preserve">Ayresome Park </v>
      </c>
      <c r="AE180" s="6" t="str">
        <f t="shared" si="53"/>
        <v>",Referee= "</v>
      </c>
      <c r="AF180" s="11" t="str">
        <f>Matchs!P181</f>
        <v xml:space="preserve">Ali Kandil </v>
      </c>
      <c r="AG180" s="6" t="str">
        <f t="shared" si="54"/>
        <v xml:space="preserve">",Visistors= </v>
      </c>
      <c r="AH180" s="11">
        <f>Matchs!Q181</f>
        <v>16000</v>
      </c>
      <c r="AI180" s="11" t="str">
        <f t="shared" si="55"/>
        <v>,Status= "</v>
      </c>
      <c r="AJ180" s="11" t="str">
        <f>Matchs!R181</f>
        <v>Finished</v>
      </c>
      <c r="AK180" t="str">
        <f t="shared" si="56"/>
        <v>" },</v>
      </c>
    </row>
    <row r="181" spans="1:37" x14ac:dyDescent="0.25">
      <c r="A181" t="str">
        <f t="shared" si="38"/>
        <v>new Match { MatchId= "</v>
      </c>
      <c r="B181" t="str">
        <f>Matchs!A182</f>
        <v>FIFAWC1966-13</v>
      </c>
      <c r="C181" t="str">
        <f t="shared" si="39"/>
        <v>",MatchNumer=</v>
      </c>
      <c r="D181">
        <f>Matchs!B182</f>
        <v>13</v>
      </c>
      <c r="E181" t="str">
        <f t="shared" si="40"/>
        <v>,DateMatch=DateTime.Parse("</v>
      </c>
      <c r="F181" s="3">
        <f>Matchs!C182</f>
        <v>24304</v>
      </c>
      <c r="G181" s="10" t="str">
        <f t="shared" si="41"/>
        <v>"),TimeMatch=TimeSpan.Parse("</v>
      </c>
      <c r="H181" s="9">
        <f>Matchs!D182</f>
        <v>0.10416666666666667</v>
      </c>
      <c r="I181" t="str">
        <f t="shared" si="42"/>
        <v>"),MatchYear=</v>
      </c>
      <c r="J181">
        <f>Matchs!E182</f>
        <v>1966</v>
      </c>
      <c r="K181" t="str">
        <f t="shared" si="43"/>
        <v>, SeasonId= "</v>
      </c>
      <c r="L181" t="str">
        <f>Matchs!F182</f>
        <v>FIFAWC1966</v>
      </c>
      <c r="M181" t="str">
        <f t="shared" si="44"/>
        <v>",Round= "</v>
      </c>
      <c r="N181" t="str">
        <f>Matchs!G182</f>
        <v>Final Round</v>
      </c>
      <c r="O181" s="6" t="str">
        <f t="shared" si="45"/>
        <v>",Stage= "</v>
      </c>
      <c r="P181" t="str">
        <f>Matchs!H182</f>
        <v>Group</v>
      </c>
      <c r="Q181" s="6" t="str">
        <f t="shared" si="46"/>
        <v>",SubStage= "</v>
      </c>
      <c r="R181" t="str">
        <f>Matchs!I182</f>
        <v>Group 2</v>
      </c>
      <c r="S181" s="6" t="str">
        <f t="shared" si="47"/>
        <v>",HTeam= "</v>
      </c>
      <c r="T181" t="str">
        <f>Matchs!J182</f>
        <v>Germany</v>
      </c>
      <c r="U181" s="6" t="str">
        <f t="shared" si="48"/>
        <v>",HGoal=</v>
      </c>
      <c r="V181">
        <f>Matchs!K182</f>
        <v>0</v>
      </c>
      <c r="W181" s="6" t="str">
        <f t="shared" si="49"/>
        <v>,GGoal=</v>
      </c>
      <c r="X181">
        <f>Matchs!L182</f>
        <v>0</v>
      </c>
      <c r="Y181" s="6" t="str">
        <f t="shared" si="50"/>
        <v>,GTeam= "</v>
      </c>
      <c r="Z181" t="str">
        <f>Matchs!M182</f>
        <v>Argentina</v>
      </c>
      <c r="AA181" s="6" t="str">
        <f t="shared" si="51"/>
        <v>",WinNote="</v>
      </c>
      <c r="AB181" t="str">
        <f>IF(Matchs!N182="","",Matchs!N182)</f>
        <v/>
      </c>
      <c r="AC181" s="6" t="str">
        <f t="shared" si="52"/>
        <v xml:space="preserve">",Stadium=" </v>
      </c>
      <c r="AD181" s="11" t="str">
        <f>Matchs!O182</f>
        <v xml:space="preserve">Villa Park </v>
      </c>
      <c r="AE181" s="6" t="str">
        <f t="shared" si="53"/>
        <v>",Referee= "</v>
      </c>
      <c r="AF181" s="11" t="str">
        <f>Matchs!P182</f>
        <v xml:space="preserve">Konstantin Zecevic </v>
      </c>
      <c r="AG181" s="6" t="str">
        <f t="shared" si="54"/>
        <v xml:space="preserve">",Visistors= </v>
      </c>
      <c r="AH181" s="11">
        <f>Matchs!Q182</f>
        <v>51000</v>
      </c>
      <c r="AI181" s="11" t="str">
        <f t="shared" si="55"/>
        <v>,Status= "</v>
      </c>
      <c r="AJ181" s="11" t="str">
        <f>Matchs!R182</f>
        <v>Finished</v>
      </c>
      <c r="AK181" t="str">
        <f t="shared" si="56"/>
        <v>" },</v>
      </c>
    </row>
    <row r="182" spans="1:37" x14ac:dyDescent="0.25">
      <c r="A182" t="str">
        <f t="shared" si="38"/>
        <v>new Match { MatchId= "</v>
      </c>
      <c r="B182" t="str">
        <f>Matchs!A183</f>
        <v>FIFAWC1966-14</v>
      </c>
      <c r="C182" t="str">
        <f t="shared" si="39"/>
        <v>",MatchNumer=</v>
      </c>
      <c r="D182">
        <f>Matchs!B183</f>
        <v>14</v>
      </c>
      <c r="E182" t="str">
        <f t="shared" si="40"/>
        <v>,DateMatch=DateTime.Parse("</v>
      </c>
      <c r="F182" s="3">
        <f>Matchs!C183</f>
        <v>24304</v>
      </c>
      <c r="G182" s="10" t="str">
        <f t="shared" si="41"/>
        <v>"),TimeMatch=TimeSpan.Parse("</v>
      </c>
      <c r="H182" s="9">
        <f>Matchs!D183</f>
        <v>0.10416666666666667</v>
      </c>
      <c r="I182" t="str">
        <f t="shared" si="42"/>
        <v>"),MatchYear=</v>
      </c>
      <c r="J182">
        <f>Matchs!E183</f>
        <v>1966</v>
      </c>
      <c r="K182" t="str">
        <f t="shared" si="43"/>
        <v>, SeasonId= "</v>
      </c>
      <c r="L182" t="str">
        <f>Matchs!F183</f>
        <v>FIFAWC1966</v>
      </c>
      <c r="M182" t="str">
        <f t="shared" si="44"/>
        <v>",Round= "</v>
      </c>
      <c r="N182" t="str">
        <f>Matchs!G183</f>
        <v>Final Round</v>
      </c>
      <c r="O182" s="6" t="str">
        <f t="shared" si="45"/>
        <v>",Stage= "</v>
      </c>
      <c r="P182" t="str">
        <f>Matchs!H183</f>
        <v>Group</v>
      </c>
      <c r="Q182" s="6" t="str">
        <f t="shared" si="46"/>
        <v>",SubStage= "</v>
      </c>
      <c r="R182" t="str">
        <f>Matchs!I183</f>
        <v>Group 3</v>
      </c>
      <c r="S182" s="6" t="str">
        <f t="shared" si="47"/>
        <v>",HTeam= "</v>
      </c>
      <c r="T182" t="str">
        <f>Matchs!J183</f>
        <v>Portugal</v>
      </c>
      <c r="U182" s="6" t="str">
        <f t="shared" si="48"/>
        <v>",HGoal=</v>
      </c>
      <c r="V182">
        <f>Matchs!K183</f>
        <v>3</v>
      </c>
      <c r="W182" s="6" t="str">
        <f t="shared" si="49"/>
        <v>,GGoal=</v>
      </c>
      <c r="X182">
        <f>Matchs!L183</f>
        <v>0</v>
      </c>
      <c r="Y182" s="6" t="str">
        <f t="shared" si="50"/>
        <v>,GTeam= "</v>
      </c>
      <c r="Z182" t="str">
        <f>Matchs!M183</f>
        <v>Bulgaria</v>
      </c>
      <c r="AA182" s="6" t="str">
        <f t="shared" si="51"/>
        <v>",WinNote="</v>
      </c>
      <c r="AB182" t="str">
        <f>IF(Matchs!N183="","",Matchs!N183)</f>
        <v/>
      </c>
      <c r="AC182" s="6" t="str">
        <f t="shared" si="52"/>
        <v xml:space="preserve">",Stadium=" </v>
      </c>
      <c r="AD182" s="11" t="str">
        <f>Matchs!O183</f>
        <v xml:space="preserve">Old Trafford </v>
      </c>
      <c r="AE182" s="6" t="str">
        <f t="shared" si="53"/>
        <v>",Referee= "</v>
      </c>
      <c r="AF182" s="11" t="str">
        <f>Matchs!P183</f>
        <v xml:space="preserve">Jose Maria Codesal </v>
      </c>
      <c r="AG182" s="6" t="str">
        <f t="shared" si="54"/>
        <v xml:space="preserve">",Visistors= </v>
      </c>
      <c r="AH182" s="11">
        <f>Matchs!Q183</f>
        <v>26000</v>
      </c>
      <c r="AI182" s="11" t="str">
        <f t="shared" si="55"/>
        <v>,Status= "</v>
      </c>
      <c r="AJ182" s="11" t="str">
        <f>Matchs!R183</f>
        <v>Finished</v>
      </c>
      <c r="AK182" t="str">
        <f t="shared" si="56"/>
        <v>" },</v>
      </c>
    </row>
    <row r="183" spans="1:37" x14ac:dyDescent="0.25">
      <c r="A183" t="str">
        <f t="shared" si="38"/>
        <v>new Match { MatchId= "</v>
      </c>
      <c r="B183" t="str">
        <f>Matchs!A184</f>
        <v>FIFAWC1966-15</v>
      </c>
      <c r="C183" t="str">
        <f t="shared" si="39"/>
        <v>",MatchNumer=</v>
      </c>
      <c r="D183">
        <f>Matchs!B184</f>
        <v>15</v>
      </c>
      <c r="E183" t="str">
        <f t="shared" si="40"/>
        <v>,DateMatch=DateTime.Parse("</v>
      </c>
      <c r="F183" s="3">
        <f>Matchs!C184</f>
        <v>24304</v>
      </c>
      <c r="G183" s="10" t="str">
        <f t="shared" si="41"/>
        <v>"),TimeMatch=TimeSpan.Parse("</v>
      </c>
      <c r="H183" s="9">
        <f>Matchs!D184</f>
        <v>0.10416666666666667</v>
      </c>
      <c r="I183" t="str">
        <f t="shared" si="42"/>
        <v>"),MatchYear=</v>
      </c>
      <c r="J183">
        <f>Matchs!E184</f>
        <v>1966</v>
      </c>
      <c r="K183" t="str">
        <f t="shared" si="43"/>
        <v>, SeasonId= "</v>
      </c>
      <c r="L183" t="str">
        <f>Matchs!F184</f>
        <v>FIFAWC1966</v>
      </c>
      <c r="M183" t="str">
        <f t="shared" si="44"/>
        <v>",Round= "</v>
      </c>
      <c r="N183" t="str">
        <f>Matchs!G184</f>
        <v>Final Round</v>
      </c>
      <c r="O183" s="6" t="str">
        <f t="shared" si="45"/>
        <v>",Stage= "</v>
      </c>
      <c r="P183" t="str">
        <f>Matchs!H184</f>
        <v>Group</v>
      </c>
      <c r="Q183" s="6" t="str">
        <f t="shared" si="46"/>
        <v>",SubStage= "</v>
      </c>
      <c r="R183" t="str">
        <f>Matchs!I184</f>
        <v>Group 4</v>
      </c>
      <c r="S183" s="6" t="str">
        <f t="shared" si="47"/>
        <v>",HTeam= "</v>
      </c>
      <c r="T183" t="str">
        <f>Matchs!J184</f>
        <v>Soviet Union</v>
      </c>
      <c r="U183" s="6" t="str">
        <f t="shared" si="48"/>
        <v>",HGoal=</v>
      </c>
      <c r="V183">
        <f>Matchs!K184</f>
        <v>1</v>
      </c>
      <c r="W183" s="6" t="str">
        <f t="shared" si="49"/>
        <v>,GGoal=</v>
      </c>
      <c r="X183">
        <f>Matchs!L184</f>
        <v>0</v>
      </c>
      <c r="Y183" s="6" t="str">
        <f t="shared" si="50"/>
        <v>,GTeam= "</v>
      </c>
      <c r="Z183" t="str">
        <f>Matchs!M184</f>
        <v>Italy</v>
      </c>
      <c r="AA183" s="6" t="str">
        <f t="shared" si="51"/>
        <v>",WinNote="</v>
      </c>
      <c r="AB183" t="str">
        <f>IF(Matchs!N184="","",Matchs!N184)</f>
        <v/>
      </c>
      <c r="AC183" s="6" t="str">
        <f t="shared" si="52"/>
        <v xml:space="preserve">",Stadium=" </v>
      </c>
      <c r="AD183" s="11" t="str">
        <f>Matchs!O184</f>
        <v xml:space="preserve">Roker Park </v>
      </c>
      <c r="AE183" s="6" t="str">
        <f t="shared" si="53"/>
        <v>",Referee= "</v>
      </c>
      <c r="AF183" s="11" t="str">
        <f>Matchs!P184</f>
        <v xml:space="preserve">Rudolf Kreitlein </v>
      </c>
      <c r="AG183" s="6" t="str">
        <f t="shared" si="54"/>
        <v xml:space="preserve">",Visistors= </v>
      </c>
      <c r="AH183" s="11">
        <f>Matchs!Q184</f>
        <v>27800</v>
      </c>
      <c r="AI183" s="11" t="str">
        <f t="shared" si="55"/>
        <v>,Status= "</v>
      </c>
      <c r="AJ183" s="11" t="str">
        <f>Matchs!R184</f>
        <v>Finished</v>
      </c>
      <c r="AK183" t="str">
        <f t="shared" si="56"/>
        <v>" },</v>
      </c>
    </row>
    <row r="184" spans="1:37" x14ac:dyDescent="0.25">
      <c r="A184" t="str">
        <f t="shared" si="38"/>
        <v>new Match { MatchId= "</v>
      </c>
      <c r="B184" t="str">
        <f>Matchs!A185</f>
        <v>FIFAWC1966-16</v>
      </c>
      <c r="C184" t="str">
        <f t="shared" si="39"/>
        <v>",MatchNumer=</v>
      </c>
      <c r="D184">
        <f>Matchs!B185</f>
        <v>16</v>
      </c>
      <c r="E184" t="str">
        <f t="shared" si="40"/>
        <v>,DateMatch=DateTime.Parse("</v>
      </c>
      <c r="F184" s="3">
        <f>Matchs!C185</f>
        <v>24305</v>
      </c>
      <c r="G184" s="10" t="str">
        <f t="shared" si="41"/>
        <v>"),TimeMatch=TimeSpan.Parse("</v>
      </c>
      <c r="H184" s="9">
        <f>Matchs!D185</f>
        <v>0.10416666666666667</v>
      </c>
      <c r="I184" t="str">
        <f t="shared" si="42"/>
        <v>"),MatchYear=</v>
      </c>
      <c r="J184">
        <f>Matchs!E185</f>
        <v>1966</v>
      </c>
      <c r="K184" t="str">
        <f t="shared" si="43"/>
        <v>, SeasonId= "</v>
      </c>
      <c r="L184" t="str">
        <f>Matchs!F185</f>
        <v>FIFAWC1966</v>
      </c>
      <c r="M184" t="str">
        <f t="shared" si="44"/>
        <v>",Round= "</v>
      </c>
      <c r="N184" t="str">
        <f>Matchs!G185</f>
        <v>Final Round</v>
      </c>
      <c r="O184" s="6" t="str">
        <f t="shared" si="45"/>
        <v>",Stage= "</v>
      </c>
      <c r="P184" t="str">
        <f>Matchs!H185</f>
        <v>Group</v>
      </c>
      <c r="Q184" s="6" t="str">
        <f t="shared" si="46"/>
        <v>",SubStage= "</v>
      </c>
      <c r="R184" t="str">
        <f>Matchs!I185</f>
        <v>Group 1</v>
      </c>
      <c r="S184" s="6" t="str">
        <f t="shared" si="47"/>
        <v>",HTeam= "</v>
      </c>
      <c r="T184" t="str">
        <f>Matchs!J185</f>
        <v>England</v>
      </c>
      <c r="U184" s="6" t="str">
        <f t="shared" si="48"/>
        <v>",HGoal=</v>
      </c>
      <c r="V184">
        <f>Matchs!K185</f>
        <v>2</v>
      </c>
      <c r="W184" s="6" t="str">
        <f t="shared" si="49"/>
        <v>,GGoal=</v>
      </c>
      <c r="X184">
        <f>Matchs!L185</f>
        <v>0</v>
      </c>
      <c r="Y184" s="6" t="str">
        <f t="shared" si="50"/>
        <v>,GTeam= "</v>
      </c>
      <c r="Z184" t="str">
        <f>Matchs!M185</f>
        <v>Mexico</v>
      </c>
      <c r="AA184" s="6" t="str">
        <f t="shared" si="51"/>
        <v>",WinNote="</v>
      </c>
      <c r="AB184" t="str">
        <f>IF(Matchs!N185="","",Matchs!N185)</f>
        <v/>
      </c>
      <c r="AC184" s="6" t="str">
        <f t="shared" si="52"/>
        <v xml:space="preserve">",Stadium=" </v>
      </c>
      <c r="AD184" s="11" t="str">
        <f>Matchs!O185</f>
        <v xml:space="preserve">Wembley Stadium </v>
      </c>
      <c r="AE184" s="6" t="str">
        <f t="shared" si="53"/>
        <v>",Referee= "</v>
      </c>
      <c r="AF184" s="11" t="str">
        <f>Matchs!P185</f>
        <v xml:space="preserve">Concetto Lo Bello </v>
      </c>
      <c r="AG184" s="6" t="str">
        <f t="shared" si="54"/>
        <v xml:space="preserve">",Visistors= </v>
      </c>
      <c r="AH184" s="11">
        <f>Matchs!Q185</f>
        <v>92570</v>
      </c>
      <c r="AI184" s="11" t="str">
        <f t="shared" si="55"/>
        <v>,Status= "</v>
      </c>
      <c r="AJ184" s="11" t="str">
        <f>Matchs!R185</f>
        <v>Finished</v>
      </c>
      <c r="AK184" t="str">
        <f t="shared" si="56"/>
        <v>" },</v>
      </c>
    </row>
    <row r="185" spans="1:37" x14ac:dyDescent="0.25">
      <c r="A185" t="str">
        <f t="shared" si="38"/>
        <v>new Match { MatchId= "</v>
      </c>
      <c r="B185" t="str">
        <f>Matchs!A186</f>
        <v>FIFAWC1966-17</v>
      </c>
      <c r="C185" t="str">
        <f t="shared" si="39"/>
        <v>",MatchNumer=</v>
      </c>
      <c r="D185">
        <f>Matchs!B186</f>
        <v>17</v>
      </c>
      <c r="E185" t="str">
        <f t="shared" si="40"/>
        <v>,DateMatch=DateTime.Parse("</v>
      </c>
      <c r="F185" s="3">
        <f>Matchs!C186</f>
        <v>24307</v>
      </c>
      <c r="G185" s="10" t="str">
        <f t="shared" si="41"/>
        <v>"),TimeMatch=TimeSpan.Parse("</v>
      </c>
      <c r="H185" s="9">
        <f>Matchs!D186</f>
        <v>0.97916666666666663</v>
      </c>
      <c r="I185" t="str">
        <f t="shared" si="42"/>
        <v>"),MatchYear=</v>
      </c>
      <c r="J185">
        <f>Matchs!E186</f>
        <v>1966</v>
      </c>
      <c r="K185" t="str">
        <f t="shared" si="43"/>
        <v>, SeasonId= "</v>
      </c>
      <c r="L185" t="str">
        <f>Matchs!F186</f>
        <v>FIFAWC1966</v>
      </c>
      <c r="M185" t="str">
        <f t="shared" si="44"/>
        <v>",Round= "</v>
      </c>
      <c r="N185" t="str">
        <f>Matchs!G186</f>
        <v>Final Round</v>
      </c>
      <c r="O185" s="6" t="str">
        <f t="shared" si="45"/>
        <v>",Stage= "</v>
      </c>
      <c r="P185" t="str">
        <f>Matchs!H186</f>
        <v>Group</v>
      </c>
      <c r="Q185" s="6" t="str">
        <f t="shared" si="46"/>
        <v>",SubStage= "</v>
      </c>
      <c r="R185" t="str">
        <f>Matchs!I186</f>
        <v>Group 1</v>
      </c>
      <c r="S185" s="6" t="str">
        <f t="shared" si="47"/>
        <v>",HTeam= "</v>
      </c>
      <c r="T185" t="str">
        <f>Matchs!J186</f>
        <v>Uruguay</v>
      </c>
      <c r="U185" s="6" t="str">
        <f t="shared" si="48"/>
        <v>",HGoal=</v>
      </c>
      <c r="V185">
        <f>Matchs!K186</f>
        <v>0</v>
      </c>
      <c r="W185" s="6" t="str">
        <f t="shared" si="49"/>
        <v>,GGoal=</v>
      </c>
      <c r="X185">
        <f>Matchs!L186</f>
        <v>0</v>
      </c>
      <c r="Y185" s="6" t="str">
        <f t="shared" si="50"/>
        <v>,GTeam= "</v>
      </c>
      <c r="Z185" t="str">
        <f>Matchs!M186</f>
        <v>Mexico</v>
      </c>
      <c r="AA185" s="6" t="str">
        <f t="shared" si="51"/>
        <v>",WinNote="</v>
      </c>
      <c r="AB185" t="str">
        <f>IF(Matchs!N186="","",Matchs!N186)</f>
        <v/>
      </c>
      <c r="AC185" s="6" t="str">
        <f t="shared" si="52"/>
        <v xml:space="preserve">",Stadium=" </v>
      </c>
      <c r="AD185" s="11" t="str">
        <f>Matchs!O186</f>
        <v xml:space="preserve">Wembley Stadium </v>
      </c>
      <c r="AE185" s="6" t="str">
        <f t="shared" si="53"/>
        <v>",Referee= "</v>
      </c>
      <c r="AF185" s="11" t="str">
        <f>Matchs!P186</f>
        <v xml:space="preserve">Bertil Loow </v>
      </c>
      <c r="AG185" s="6" t="str">
        <f t="shared" si="54"/>
        <v xml:space="preserve">",Visistors= </v>
      </c>
      <c r="AH185" s="11">
        <f>Matchs!Q186</f>
        <v>61112</v>
      </c>
      <c r="AI185" s="11" t="str">
        <f t="shared" si="55"/>
        <v>,Status= "</v>
      </c>
      <c r="AJ185" s="11" t="str">
        <f>Matchs!R186</f>
        <v>Finished</v>
      </c>
      <c r="AK185" t="str">
        <f t="shared" si="56"/>
        <v>" },</v>
      </c>
    </row>
    <row r="186" spans="1:37" x14ac:dyDescent="0.25">
      <c r="A186" t="str">
        <f t="shared" si="38"/>
        <v>new Match { MatchId= "</v>
      </c>
      <c r="B186" t="str">
        <f>Matchs!A187</f>
        <v>FIFAWC1966-18</v>
      </c>
      <c r="C186" t="str">
        <f t="shared" si="39"/>
        <v>",MatchNumer=</v>
      </c>
      <c r="D186">
        <f>Matchs!B187</f>
        <v>18</v>
      </c>
      <c r="E186" t="str">
        <f t="shared" si="40"/>
        <v>,DateMatch=DateTime.Parse("</v>
      </c>
      <c r="F186" s="3">
        <f>Matchs!C187</f>
        <v>24308</v>
      </c>
      <c r="G186" s="10" t="str">
        <f t="shared" si="41"/>
        <v>"),TimeMatch=TimeSpan.Parse("</v>
      </c>
      <c r="H186" s="9">
        <f>Matchs!D187</f>
        <v>0.10416666666666667</v>
      </c>
      <c r="I186" t="str">
        <f t="shared" si="42"/>
        <v>"),MatchYear=</v>
      </c>
      <c r="J186">
        <f>Matchs!E187</f>
        <v>1966</v>
      </c>
      <c r="K186" t="str">
        <f t="shared" si="43"/>
        <v>, SeasonId= "</v>
      </c>
      <c r="L186" t="str">
        <f>Matchs!F187</f>
        <v>FIFAWC1966</v>
      </c>
      <c r="M186" t="str">
        <f t="shared" si="44"/>
        <v>",Round= "</v>
      </c>
      <c r="N186" t="str">
        <f>Matchs!G187</f>
        <v>Final Round</v>
      </c>
      <c r="O186" s="6" t="str">
        <f t="shared" si="45"/>
        <v>",Stage= "</v>
      </c>
      <c r="P186" t="str">
        <f>Matchs!H187</f>
        <v>Group</v>
      </c>
      <c r="Q186" s="6" t="str">
        <f t="shared" si="46"/>
        <v>",SubStage= "</v>
      </c>
      <c r="R186" t="str">
        <f>Matchs!I187</f>
        <v>Group 2</v>
      </c>
      <c r="S186" s="6" t="str">
        <f t="shared" si="47"/>
        <v>",HTeam= "</v>
      </c>
      <c r="T186" t="str">
        <f>Matchs!J187</f>
        <v>Argentina</v>
      </c>
      <c r="U186" s="6" t="str">
        <f t="shared" si="48"/>
        <v>",HGoal=</v>
      </c>
      <c r="V186">
        <f>Matchs!K187</f>
        <v>2</v>
      </c>
      <c r="W186" s="6" t="str">
        <f t="shared" si="49"/>
        <v>,GGoal=</v>
      </c>
      <c r="X186">
        <f>Matchs!L187</f>
        <v>0</v>
      </c>
      <c r="Y186" s="6" t="str">
        <f t="shared" si="50"/>
        <v>,GTeam= "</v>
      </c>
      <c r="Z186" t="str">
        <f>Matchs!M187</f>
        <v>Switzerland</v>
      </c>
      <c r="AA186" s="6" t="str">
        <f t="shared" si="51"/>
        <v>",WinNote="</v>
      </c>
      <c r="AB186" t="str">
        <f>IF(Matchs!N187="","",Matchs!N187)</f>
        <v/>
      </c>
      <c r="AC186" s="6" t="str">
        <f t="shared" si="52"/>
        <v xml:space="preserve">",Stadium=" </v>
      </c>
      <c r="AD186" s="11" t="str">
        <f>Matchs!O187</f>
        <v xml:space="preserve">Hillsborough Stadium </v>
      </c>
      <c r="AE186" s="6" t="str">
        <f t="shared" si="53"/>
        <v>",Referee= "</v>
      </c>
      <c r="AF186" s="11" t="str">
        <f>Matchs!P187</f>
        <v xml:space="preserve">Joaquim Campos </v>
      </c>
      <c r="AG186" s="6" t="str">
        <f t="shared" si="54"/>
        <v xml:space="preserve">",Visistors= </v>
      </c>
      <c r="AH186" s="11">
        <f>Matchs!Q187</f>
        <v>32000</v>
      </c>
      <c r="AI186" s="11" t="str">
        <f t="shared" si="55"/>
        <v>,Status= "</v>
      </c>
      <c r="AJ186" s="11" t="str">
        <f>Matchs!R187</f>
        <v>Finished</v>
      </c>
      <c r="AK186" t="str">
        <f t="shared" si="56"/>
        <v>" },</v>
      </c>
    </row>
    <row r="187" spans="1:37" x14ac:dyDescent="0.25">
      <c r="A187" t="str">
        <f t="shared" si="38"/>
        <v>new Match { MatchId= "</v>
      </c>
      <c r="B187" t="str">
        <f>Matchs!A188</f>
        <v>FIFAWC1966-19</v>
      </c>
      <c r="C187" t="str">
        <f t="shared" si="39"/>
        <v>",MatchNumer=</v>
      </c>
      <c r="D187">
        <f>Matchs!B188</f>
        <v>19</v>
      </c>
      <c r="E187" t="str">
        <f t="shared" si="40"/>
        <v>,DateMatch=DateTime.Parse("</v>
      </c>
      <c r="F187" s="3">
        <f>Matchs!C188</f>
        <v>24308</v>
      </c>
      <c r="G187" s="10" t="str">
        <f t="shared" si="41"/>
        <v>"),TimeMatch=TimeSpan.Parse("</v>
      </c>
      <c r="H187" s="9">
        <f>Matchs!D188</f>
        <v>0.10416666666666667</v>
      </c>
      <c r="I187" t="str">
        <f t="shared" si="42"/>
        <v>"),MatchYear=</v>
      </c>
      <c r="J187">
        <f>Matchs!E188</f>
        <v>1966</v>
      </c>
      <c r="K187" t="str">
        <f t="shared" si="43"/>
        <v>, SeasonId= "</v>
      </c>
      <c r="L187" t="str">
        <f>Matchs!F188</f>
        <v>FIFAWC1966</v>
      </c>
      <c r="M187" t="str">
        <f t="shared" si="44"/>
        <v>",Round= "</v>
      </c>
      <c r="N187" t="str">
        <f>Matchs!G188</f>
        <v>Final Round</v>
      </c>
      <c r="O187" s="6" t="str">
        <f t="shared" si="45"/>
        <v>",Stage= "</v>
      </c>
      <c r="P187" t="str">
        <f>Matchs!H188</f>
        <v>Group</v>
      </c>
      <c r="Q187" s="6" t="str">
        <f t="shared" si="46"/>
        <v>",SubStage= "</v>
      </c>
      <c r="R187" t="str">
        <f>Matchs!I188</f>
        <v>Group 3</v>
      </c>
      <c r="S187" s="6" t="str">
        <f t="shared" si="47"/>
        <v>",HTeam= "</v>
      </c>
      <c r="T187" t="str">
        <f>Matchs!J188</f>
        <v>Portugal</v>
      </c>
      <c r="U187" s="6" t="str">
        <f t="shared" si="48"/>
        <v>",HGoal=</v>
      </c>
      <c r="V187">
        <f>Matchs!K188</f>
        <v>3</v>
      </c>
      <c r="W187" s="6" t="str">
        <f t="shared" si="49"/>
        <v>,GGoal=</v>
      </c>
      <c r="X187">
        <f>Matchs!L188</f>
        <v>1</v>
      </c>
      <c r="Y187" s="6" t="str">
        <f t="shared" si="50"/>
        <v>,GTeam= "</v>
      </c>
      <c r="Z187" t="str">
        <f>Matchs!M188</f>
        <v>Brazil</v>
      </c>
      <c r="AA187" s="6" t="str">
        <f t="shared" si="51"/>
        <v>",WinNote="</v>
      </c>
      <c r="AB187" t="str">
        <f>IF(Matchs!N188="","",Matchs!N188)</f>
        <v/>
      </c>
      <c r="AC187" s="6" t="str">
        <f t="shared" si="52"/>
        <v xml:space="preserve">",Stadium=" </v>
      </c>
      <c r="AD187" s="11" t="str">
        <f>Matchs!O188</f>
        <v xml:space="preserve">Goodison Park </v>
      </c>
      <c r="AE187" s="6" t="str">
        <f t="shared" si="53"/>
        <v>",Referee= "</v>
      </c>
      <c r="AF187" s="11" t="str">
        <f>Matchs!P188</f>
        <v xml:space="preserve">George McCabe </v>
      </c>
      <c r="AG187" s="6" t="str">
        <f t="shared" si="54"/>
        <v xml:space="preserve">",Visistors= </v>
      </c>
      <c r="AH187" s="11">
        <f>Matchs!Q188</f>
        <v>62000</v>
      </c>
      <c r="AI187" s="11" t="str">
        <f t="shared" si="55"/>
        <v>,Status= "</v>
      </c>
      <c r="AJ187" s="11" t="str">
        <f>Matchs!R188</f>
        <v>Finished</v>
      </c>
      <c r="AK187" t="str">
        <f t="shared" si="56"/>
        <v>" },</v>
      </c>
    </row>
    <row r="188" spans="1:37" x14ac:dyDescent="0.25">
      <c r="A188" t="str">
        <f t="shared" si="38"/>
        <v>new Match { MatchId= "</v>
      </c>
      <c r="B188" t="str">
        <f>Matchs!A189</f>
        <v>FIFAWC1966-20</v>
      </c>
      <c r="C188" t="str">
        <f t="shared" si="39"/>
        <v>",MatchNumer=</v>
      </c>
      <c r="D188">
        <f>Matchs!B189</f>
        <v>20</v>
      </c>
      <c r="E188" t="str">
        <f t="shared" si="40"/>
        <v>,DateMatch=DateTime.Parse("</v>
      </c>
      <c r="F188" s="3">
        <f>Matchs!C189</f>
        <v>24308</v>
      </c>
      <c r="G188" s="10" t="str">
        <f t="shared" si="41"/>
        <v>"),TimeMatch=TimeSpan.Parse("</v>
      </c>
      <c r="H188" s="9">
        <f>Matchs!D189</f>
        <v>0.10416666666666667</v>
      </c>
      <c r="I188" t="str">
        <f t="shared" si="42"/>
        <v>"),MatchYear=</v>
      </c>
      <c r="J188">
        <f>Matchs!E189</f>
        <v>1966</v>
      </c>
      <c r="K188" t="str">
        <f t="shared" si="43"/>
        <v>, SeasonId= "</v>
      </c>
      <c r="L188" t="str">
        <f>Matchs!F189</f>
        <v>FIFAWC1966</v>
      </c>
      <c r="M188" t="str">
        <f t="shared" si="44"/>
        <v>",Round= "</v>
      </c>
      <c r="N188" t="str">
        <f>Matchs!G189</f>
        <v>Final Round</v>
      </c>
      <c r="O188" s="6" t="str">
        <f t="shared" si="45"/>
        <v>",Stage= "</v>
      </c>
      <c r="P188" t="str">
        <f>Matchs!H189</f>
        <v>Group</v>
      </c>
      <c r="Q188" s="6" t="str">
        <f t="shared" si="46"/>
        <v>",SubStage= "</v>
      </c>
      <c r="R188" t="str">
        <f>Matchs!I189</f>
        <v>Group 4</v>
      </c>
      <c r="S188" s="6" t="str">
        <f t="shared" si="47"/>
        <v>",HTeam= "</v>
      </c>
      <c r="T188" t="str">
        <f>Matchs!J189</f>
        <v>North Korea</v>
      </c>
      <c r="U188" s="6" t="str">
        <f t="shared" si="48"/>
        <v>",HGoal=</v>
      </c>
      <c r="V188">
        <f>Matchs!K189</f>
        <v>1</v>
      </c>
      <c r="W188" s="6" t="str">
        <f t="shared" si="49"/>
        <v>,GGoal=</v>
      </c>
      <c r="X188">
        <f>Matchs!L189</f>
        <v>0</v>
      </c>
      <c r="Y188" s="6" t="str">
        <f t="shared" si="50"/>
        <v>,GTeam= "</v>
      </c>
      <c r="Z188" t="str">
        <f>Matchs!M189</f>
        <v>Italy</v>
      </c>
      <c r="AA188" s="6" t="str">
        <f t="shared" si="51"/>
        <v>",WinNote="</v>
      </c>
      <c r="AB188" t="str">
        <f>IF(Matchs!N189="","",Matchs!N189)</f>
        <v/>
      </c>
      <c r="AC188" s="6" t="str">
        <f t="shared" si="52"/>
        <v xml:space="preserve">",Stadium=" </v>
      </c>
      <c r="AD188" s="11" t="str">
        <f>Matchs!O189</f>
        <v xml:space="preserve">Ayresome Park </v>
      </c>
      <c r="AE188" s="6" t="str">
        <f t="shared" si="53"/>
        <v>",Referee= "</v>
      </c>
      <c r="AF188" s="11" t="str">
        <f>Matchs!P189</f>
        <v xml:space="preserve">Pierre Schwinte </v>
      </c>
      <c r="AG188" s="6" t="str">
        <f t="shared" si="54"/>
        <v xml:space="preserve">",Visistors= </v>
      </c>
      <c r="AH188" s="11">
        <f>Matchs!Q189</f>
        <v>18000</v>
      </c>
      <c r="AI188" s="11" t="str">
        <f t="shared" si="55"/>
        <v>,Status= "</v>
      </c>
      <c r="AJ188" s="11" t="str">
        <f>Matchs!R189</f>
        <v>Finished</v>
      </c>
      <c r="AK188" t="str">
        <f t="shared" si="56"/>
        <v>" },</v>
      </c>
    </row>
    <row r="189" spans="1:37" x14ac:dyDescent="0.25">
      <c r="A189" t="str">
        <f t="shared" si="38"/>
        <v>new Match { MatchId= "</v>
      </c>
      <c r="B189" t="str">
        <f>Matchs!A190</f>
        <v>FIFAWC1966-21</v>
      </c>
      <c r="C189" t="str">
        <f t="shared" si="39"/>
        <v>",MatchNumer=</v>
      </c>
      <c r="D189">
        <f>Matchs!B190</f>
        <v>21</v>
      </c>
      <c r="E189" t="str">
        <f t="shared" si="40"/>
        <v>,DateMatch=DateTime.Parse("</v>
      </c>
      <c r="F189" s="3">
        <f>Matchs!C190</f>
        <v>24309</v>
      </c>
      <c r="G189" s="10" t="str">
        <f t="shared" si="41"/>
        <v>"),TimeMatch=TimeSpan.Parse("</v>
      </c>
      <c r="H189" s="9">
        <f>Matchs!D190</f>
        <v>0.10416666666666667</v>
      </c>
      <c r="I189" t="str">
        <f t="shared" si="42"/>
        <v>"),MatchYear=</v>
      </c>
      <c r="J189">
        <f>Matchs!E190</f>
        <v>1966</v>
      </c>
      <c r="K189" t="str">
        <f t="shared" si="43"/>
        <v>, SeasonId= "</v>
      </c>
      <c r="L189" t="str">
        <f>Matchs!F190</f>
        <v>FIFAWC1966</v>
      </c>
      <c r="M189" t="str">
        <f t="shared" si="44"/>
        <v>",Round= "</v>
      </c>
      <c r="N189" t="str">
        <f>Matchs!G190</f>
        <v>Final Round</v>
      </c>
      <c r="O189" s="6" t="str">
        <f t="shared" si="45"/>
        <v>",Stage= "</v>
      </c>
      <c r="P189" t="str">
        <f>Matchs!H190</f>
        <v>Group</v>
      </c>
      <c r="Q189" s="6" t="str">
        <f t="shared" si="46"/>
        <v>",SubStage= "</v>
      </c>
      <c r="R189" t="str">
        <f>Matchs!I190</f>
        <v>Group 2</v>
      </c>
      <c r="S189" s="6" t="str">
        <f t="shared" si="47"/>
        <v>",HTeam= "</v>
      </c>
      <c r="T189" t="str">
        <f>Matchs!J190</f>
        <v>Germany</v>
      </c>
      <c r="U189" s="6" t="str">
        <f t="shared" si="48"/>
        <v>",HGoal=</v>
      </c>
      <c r="V189">
        <f>Matchs!K190</f>
        <v>2</v>
      </c>
      <c r="W189" s="6" t="str">
        <f t="shared" si="49"/>
        <v>,GGoal=</v>
      </c>
      <c r="X189">
        <f>Matchs!L190</f>
        <v>1</v>
      </c>
      <c r="Y189" s="6" t="str">
        <f t="shared" si="50"/>
        <v>,GTeam= "</v>
      </c>
      <c r="Z189" t="str">
        <f>Matchs!M190</f>
        <v>Spain</v>
      </c>
      <c r="AA189" s="6" t="str">
        <f t="shared" si="51"/>
        <v>",WinNote="</v>
      </c>
      <c r="AB189" t="str">
        <f>IF(Matchs!N190="","",Matchs!N190)</f>
        <v/>
      </c>
      <c r="AC189" s="6" t="str">
        <f t="shared" si="52"/>
        <v xml:space="preserve">",Stadium=" </v>
      </c>
      <c r="AD189" s="11" t="str">
        <f>Matchs!O190</f>
        <v xml:space="preserve">Villa Park </v>
      </c>
      <c r="AE189" s="6" t="str">
        <f t="shared" si="53"/>
        <v>",Referee= "</v>
      </c>
      <c r="AF189" s="11" t="str">
        <f>Matchs!P190</f>
        <v xml:space="preserve">Armando Marques </v>
      </c>
      <c r="AG189" s="6" t="str">
        <f t="shared" si="54"/>
        <v xml:space="preserve">",Visistors= </v>
      </c>
      <c r="AH189" s="11">
        <f>Matchs!Q190</f>
        <v>51000</v>
      </c>
      <c r="AI189" s="11" t="str">
        <f t="shared" si="55"/>
        <v>,Status= "</v>
      </c>
      <c r="AJ189" s="11" t="str">
        <f>Matchs!R190</f>
        <v>Finished</v>
      </c>
      <c r="AK189" t="str">
        <f t="shared" si="56"/>
        <v>" },</v>
      </c>
    </row>
    <row r="190" spans="1:37" x14ac:dyDescent="0.25">
      <c r="A190" t="str">
        <f t="shared" si="38"/>
        <v>new Match { MatchId= "</v>
      </c>
      <c r="B190" t="str">
        <f>Matchs!A191</f>
        <v>FIFAWC1966-22</v>
      </c>
      <c r="C190" t="str">
        <f t="shared" si="39"/>
        <v>",MatchNumer=</v>
      </c>
      <c r="D190">
        <f>Matchs!B191</f>
        <v>22</v>
      </c>
      <c r="E190" t="str">
        <f t="shared" si="40"/>
        <v>,DateMatch=DateTime.Parse("</v>
      </c>
      <c r="F190" s="3">
        <f>Matchs!C191</f>
        <v>24309</v>
      </c>
      <c r="G190" s="10" t="str">
        <f t="shared" si="41"/>
        <v>"),TimeMatch=TimeSpan.Parse("</v>
      </c>
      <c r="H190" s="9">
        <f>Matchs!D191</f>
        <v>0.10416666666666667</v>
      </c>
      <c r="I190" t="str">
        <f t="shared" si="42"/>
        <v>"),MatchYear=</v>
      </c>
      <c r="J190">
        <f>Matchs!E191</f>
        <v>1966</v>
      </c>
      <c r="K190" t="str">
        <f t="shared" si="43"/>
        <v>, SeasonId= "</v>
      </c>
      <c r="L190" t="str">
        <f>Matchs!F191</f>
        <v>FIFAWC1966</v>
      </c>
      <c r="M190" t="str">
        <f t="shared" si="44"/>
        <v>",Round= "</v>
      </c>
      <c r="N190" t="str">
        <f>Matchs!G191</f>
        <v>Final Round</v>
      </c>
      <c r="O190" s="6" t="str">
        <f t="shared" si="45"/>
        <v>",Stage= "</v>
      </c>
      <c r="P190" t="str">
        <f>Matchs!H191</f>
        <v>Group</v>
      </c>
      <c r="Q190" s="6" t="str">
        <f t="shared" si="46"/>
        <v>",SubStage= "</v>
      </c>
      <c r="R190" t="str">
        <f>Matchs!I191</f>
        <v>Group 1</v>
      </c>
      <c r="S190" s="6" t="str">
        <f t="shared" si="47"/>
        <v>",HTeam= "</v>
      </c>
      <c r="T190" t="str">
        <f>Matchs!J191</f>
        <v>England</v>
      </c>
      <c r="U190" s="6" t="str">
        <f t="shared" si="48"/>
        <v>",HGoal=</v>
      </c>
      <c r="V190">
        <f>Matchs!K191</f>
        <v>2</v>
      </c>
      <c r="W190" s="6" t="str">
        <f t="shared" si="49"/>
        <v>,GGoal=</v>
      </c>
      <c r="X190">
        <f>Matchs!L191</f>
        <v>0</v>
      </c>
      <c r="Y190" s="6" t="str">
        <f t="shared" si="50"/>
        <v>,GTeam= "</v>
      </c>
      <c r="Z190" t="str">
        <f>Matchs!M191</f>
        <v>France</v>
      </c>
      <c r="AA190" s="6" t="str">
        <f t="shared" si="51"/>
        <v>",WinNote="</v>
      </c>
      <c r="AB190" t="str">
        <f>IF(Matchs!N191="","",Matchs!N191)</f>
        <v/>
      </c>
      <c r="AC190" s="6" t="str">
        <f t="shared" si="52"/>
        <v xml:space="preserve">",Stadium=" </v>
      </c>
      <c r="AD190" s="11" t="str">
        <f>Matchs!O191</f>
        <v xml:space="preserve">Wembley Stadium </v>
      </c>
      <c r="AE190" s="6" t="str">
        <f t="shared" si="53"/>
        <v>",Referee= "</v>
      </c>
      <c r="AF190" s="11" t="str">
        <f>Matchs!P191</f>
        <v xml:space="preserve">Arturo Yamasaki </v>
      </c>
      <c r="AG190" s="6" t="str">
        <f t="shared" si="54"/>
        <v xml:space="preserve">",Visistors= </v>
      </c>
      <c r="AH190" s="11">
        <f>Matchs!Q191</f>
        <v>98270</v>
      </c>
      <c r="AI190" s="11" t="str">
        <f t="shared" si="55"/>
        <v>,Status= "</v>
      </c>
      <c r="AJ190" s="11" t="str">
        <f>Matchs!R191</f>
        <v>Finished</v>
      </c>
      <c r="AK190" t="str">
        <f t="shared" si="56"/>
        <v>" },</v>
      </c>
    </row>
    <row r="191" spans="1:37" x14ac:dyDescent="0.25">
      <c r="A191" t="str">
        <f t="shared" si="38"/>
        <v>new Match { MatchId= "</v>
      </c>
      <c r="B191" t="str">
        <f>Matchs!A192</f>
        <v>FIFAWC1966-23</v>
      </c>
      <c r="C191" t="str">
        <f t="shared" si="39"/>
        <v>",MatchNumer=</v>
      </c>
      <c r="D191">
        <f>Matchs!B192</f>
        <v>23</v>
      </c>
      <c r="E191" t="str">
        <f t="shared" si="40"/>
        <v>,DateMatch=DateTime.Parse("</v>
      </c>
      <c r="F191" s="3">
        <f>Matchs!C192</f>
        <v>24309</v>
      </c>
      <c r="G191" s="10" t="str">
        <f t="shared" si="41"/>
        <v>"),TimeMatch=TimeSpan.Parse("</v>
      </c>
      <c r="H191" s="9">
        <f>Matchs!D192</f>
        <v>0.10416666666666667</v>
      </c>
      <c r="I191" t="str">
        <f t="shared" si="42"/>
        <v>"),MatchYear=</v>
      </c>
      <c r="J191">
        <f>Matchs!E192</f>
        <v>1966</v>
      </c>
      <c r="K191" t="str">
        <f t="shared" si="43"/>
        <v>, SeasonId= "</v>
      </c>
      <c r="L191" t="str">
        <f>Matchs!F192</f>
        <v>FIFAWC1966</v>
      </c>
      <c r="M191" t="str">
        <f t="shared" si="44"/>
        <v>",Round= "</v>
      </c>
      <c r="N191" t="str">
        <f>Matchs!G192</f>
        <v>Final Round</v>
      </c>
      <c r="O191" s="6" t="str">
        <f t="shared" si="45"/>
        <v>",Stage= "</v>
      </c>
      <c r="P191" t="str">
        <f>Matchs!H192</f>
        <v>Group</v>
      </c>
      <c r="Q191" s="6" t="str">
        <f t="shared" si="46"/>
        <v>",SubStage= "</v>
      </c>
      <c r="R191" t="str">
        <f>Matchs!I192</f>
        <v>Group 4</v>
      </c>
      <c r="S191" s="6" t="str">
        <f t="shared" si="47"/>
        <v>",HTeam= "</v>
      </c>
      <c r="T191" t="str">
        <f>Matchs!J192</f>
        <v>Soviet Union</v>
      </c>
      <c r="U191" s="6" t="str">
        <f t="shared" si="48"/>
        <v>",HGoal=</v>
      </c>
      <c r="V191">
        <f>Matchs!K192</f>
        <v>2</v>
      </c>
      <c r="W191" s="6" t="str">
        <f t="shared" si="49"/>
        <v>,GGoal=</v>
      </c>
      <c r="X191">
        <f>Matchs!L192</f>
        <v>1</v>
      </c>
      <c r="Y191" s="6" t="str">
        <f t="shared" si="50"/>
        <v>,GTeam= "</v>
      </c>
      <c r="Z191" t="str">
        <f>Matchs!M192</f>
        <v>Chile</v>
      </c>
      <c r="AA191" s="6" t="str">
        <f t="shared" si="51"/>
        <v>",WinNote="</v>
      </c>
      <c r="AB191" t="str">
        <f>IF(Matchs!N192="","",Matchs!N192)</f>
        <v/>
      </c>
      <c r="AC191" s="6" t="str">
        <f t="shared" si="52"/>
        <v xml:space="preserve">",Stadium=" </v>
      </c>
      <c r="AD191" s="11" t="str">
        <f>Matchs!O192</f>
        <v xml:space="preserve">Roker Park </v>
      </c>
      <c r="AE191" s="6" t="str">
        <f t="shared" si="53"/>
        <v>",Referee= "</v>
      </c>
      <c r="AF191" s="11" t="str">
        <f>Matchs!P192</f>
        <v xml:space="preserve">John Adair </v>
      </c>
      <c r="AG191" s="6" t="str">
        <f t="shared" si="54"/>
        <v xml:space="preserve">",Visistors= </v>
      </c>
      <c r="AH191" s="11">
        <f>Matchs!Q192</f>
        <v>22000</v>
      </c>
      <c r="AI191" s="11" t="str">
        <f t="shared" si="55"/>
        <v>,Status= "</v>
      </c>
      <c r="AJ191" s="11" t="str">
        <f>Matchs!R192</f>
        <v>Finished</v>
      </c>
      <c r="AK191" t="str">
        <f t="shared" si="56"/>
        <v>" },</v>
      </c>
    </row>
    <row r="192" spans="1:37" x14ac:dyDescent="0.25">
      <c r="A192" t="str">
        <f t="shared" si="38"/>
        <v>new Match { MatchId= "</v>
      </c>
      <c r="B192" t="str">
        <f>Matchs!A193</f>
        <v>FIFAWC1966-24</v>
      </c>
      <c r="C192" t="str">
        <f t="shared" si="39"/>
        <v>",MatchNumer=</v>
      </c>
      <c r="D192">
        <f>Matchs!B193</f>
        <v>24</v>
      </c>
      <c r="E192" t="str">
        <f t="shared" si="40"/>
        <v>,DateMatch=DateTime.Parse("</v>
      </c>
      <c r="F192" s="3">
        <f>Matchs!C193</f>
        <v>24309</v>
      </c>
      <c r="G192" s="10" t="str">
        <f t="shared" si="41"/>
        <v>"),TimeMatch=TimeSpan.Parse("</v>
      </c>
      <c r="H192" s="9">
        <f>Matchs!D193</f>
        <v>0.10416666666666667</v>
      </c>
      <c r="I192" t="str">
        <f t="shared" si="42"/>
        <v>"),MatchYear=</v>
      </c>
      <c r="J192">
        <f>Matchs!E193</f>
        <v>1966</v>
      </c>
      <c r="K192" t="str">
        <f t="shared" si="43"/>
        <v>, SeasonId= "</v>
      </c>
      <c r="L192" t="str">
        <f>Matchs!F193</f>
        <v>FIFAWC1966</v>
      </c>
      <c r="M192" t="str">
        <f t="shared" si="44"/>
        <v>",Round= "</v>
      </c>
      <c r="N192" t="str">
        <f>Matchs!G193</f>
        <v>Final Round</v>
      </c>
      <c r="O192" s="6" t="str">
        <f t="shared" si="45"/>
        <v>",Stage= "</v>
      </c>
      <c r="P192" t="str">
        <f>Matchs!H193</f>
        <v>Group</v>
      </c>
      <c r="Q192" s="6" t="str">
        <f t="shared" si="46"/>
        <v>",SubStage= "</v>
      </c>
      <c r="R192" t="str">
        <f>Matchs!I193</f>
        <v>Group 3</v>
      </c>
      <c r="S192" s="6" t="str">
        <f t="shared" si="47"/>
        <v>",HTeam= "</v>
      </c>
      <c r="T192" t="str">
        <f>Matchs!J193</f>
        <v>Hungary</v>
      </c>
      <c r="U192" s="6" t="str">
        <f t="shared" si="48"/>
        <v>",HGoal=</v>
      </c>
      <c r="V192">
        <f>Matchs!K193</f>
        <v>3</v>
      </c>
      <c r="W192" s="6" t="str">
        <f t="shared" si="49"/>
        <v>,GGoal=</v>
      </c>
      <c r="X192">
        <f>Matchs!L193</f>
        <v>1</v>
      </c>
      <c r="Y192" s="6" t="str">
        <f t="shared" si="50"/>
        <v>,GTeam= "</v>
      </c>
      <c r="Z192" t="str">
        <f>Matchs!M193</f>
        <v>Bulgaria</v>
      </c>
      <c r="AA192" s="6" t="str">
        <f t="shared" si="51"/>
        <v>",WinNote="</v>
      </c>
      <c r="AB192" t="str">
        <f>IF(Matchs!N193="","",Matchs!N193)</f>
        <v/>
      </c>
      <c r="AC192" s="6" t="str">
        <f t="shared" si="52"/>
        <v xml:space="preserve">",Stadium=" </v>
      </c>
      <c r="AD192" s="11" t="str">
        <f>Matchs!O193</f>
        <v xml:space="preserve">Old Trafford </v>
      </c>
      <c r="AE192" s="6" t="str">
        <f t="shared" si="53"/>
        <v>",Referee= "</v>
      </c>
      <c r="AF192" s="11" t="str">
        <f>Matchs!P193</f>
        <v xml:space="preserve">Roberto Goicoechea </v>
      </c>
      <c r="AG192" s="6" t="str">
        <f t="shared" si="54"/>
        <v xml:space="preserve">",Visistors= </v>
      </c>
      <c r="AH192" s="11">
        <f>Matchs!Q193</f>
        <v>22000</v>
      </c>
      <c r="AI192" s="11" t="str">
        <f t="shared" si="55"/>
        <v>,Status= "</v>
      </c>
      <c r="AJ192" s="11" t="str">
        <f>Matchs!R193</f>
        <v>Finished</v>
      </c>
      <c r="AK192" t="str">
        <f t="shared" si="56"/>
        <v>" },</v>
      </c>
    </row>
    <row r="193" spans="1:37" x14ac:dyDescent="0.25">
      <c r="A193" t="str">
        <f t="shared" si="38"/>
        <v>new Match { MatchId= "</v>
      </c>
      <c r="B193" t="str">
        <f>Matchs!A194</f>
        <v>FIFAWC1966-25</v>
      </c>
      <c r="C193" t="str">
        <f t="shared" si="39"/>
        <v>",MatchNumer=</v>
      </c>
      <c r="D193">
        <f>Matchs!B194</f>
        <v>25</v>
      </c>
      <c r="E193" t="str">
        <f t="shared" si="40"/>
        <v>,DateMatch=DateTime.Parse("</v>
      </c>
      <c r="F193" s="3">
        <f>Matchs!C194</f>
        <v>24311</v>
      </c>
      <c r="G193" s="10" t="str">
        <f t="shared" si="41"/>
        <v>"),TimeMatch=TimeSpan.Parse("</v>
      </c>
      <c r="H193" s="9">
        <f>Matchs!D194</f>
        <v>0.9375</v>
      </c>
      <c r="I193" t="str">
        <f t="shared" si="42"/>
        <v>"),MatchYear=</v>
      </c>
      <c r="J193">
        <f>Matchs!E194</f>
        <v>1966</v>
      </c>
      <c r="K193" t="str">
        <f t="shared" si="43"/>
        <v>, SeasonId= "</v>
      </c>
      <c r="L193" t="str">
        <f>Matchs!F194</f>
        <v>FIFAWC1966</v>
      </c>
      <c r="M193" t="str">
        <f t="shared" si="44"/>
        <v>",Round= "</v>
      </c>
      <c r="N193" t="str">
        <f>Matchs!G194</f>
        <v>Final Round</v>
      </c>
      <c r="O193" s="6" t="str">
        <f t="shared" si="45"/>
        <v>",Stage= "</v>
      </c>
      <c r="P193" t="str">
        <f>Matchs!H194</f>
        <v>Knockouts</v>
      </c>
      <c r="Q193" s="6" t="str">
        <f t="shared" si="46"/>
        <v>",SubStage= "</v>
      </c>
      <c r="R193" t="str">
        <f>Matchs!I194</f>
        <v>Quaterfinal</v>
      </c>
      <c r="S193" s="6" t="str">
        <f t="shared" si="47"/>
        <v>",HTeam= "</v>
      </c>
      <c r="T193" t="str">
        <f>Matchs!J194</f>
        <v>Germany</v>
      </c>
      <c r="U193" s="6" t="str">
        <f t="shared" si="48"/>
        <v>",HGoal=</v>
      </c>
      <c r="V193">
        <f>Matchs!K194</f>
        <v>4</v>
      </c>
      <c r="W193" s="6" t="str">
        <f t="shared" si="49"/>
        <v>,GGoal=</v>
      </c>
      <c r="X193">
        <f>Matchs!L194</f>
        <v>0</v>
      </c>
      <c r="Y193" s="6" t="str">
        <f t="shared" si="50"/>
        <v>,GTeam= "</v>
      </c>
      <c r="Z193" t="str">
        <f>Matchs!M194</f>
        <v>Uruguay</v>
      </c>
      <c r="AA193" s="6" t="str">
        <f t="shared" si="51"/>
        <v>",WinNote="</v>
      </c>
      <c r="AB193" t="str">
        <f>IF(Matchs!N194="","",Matchs!N194)</f>
        <v/>
      </c>
      <c r="AC193" s="6" t="str">
        <f t="shared" si="52"/>
        <v xml:space="preserve">",Stadium=" </v>
      </c>
      <c r="AD193" s="11" t="str">
        <f>Matchs!O194</f>
        <v xml:space="preserve">Hillsborough Stadium </v>
      </c>
      <c r="AE193" s="6" t="str">
        <f t="shared" si="53"/>
        <v>",Referee= "</v>
      </c>
      <c r="AF193" s="11" t="str">
        <f>Matchs!P194</f>
        <v xml:space="preserve">Jim Finney </v>
      </c>
      <c r="AG193" s="6" t="str">
        <f t="shared" si="54"/>
        <v xml:space="preserve">",Visistors= </v>
      </c>
      <c r="AH193" s="11">
        <f>Matchs!Q194</f>
        <v>34000</v>
      </c>
      <c r="AI193" s="11" t="str">
        <f t="shared" si="55"/>
        <v>,Status= "</v>
      </c>
      <c r="AJ193" s="11" t="str">
        <f>Matchs!R194</f>
        <v>Finished</v>
      </c>
      <c r="AK193" t="str">
        <f t="shared" si="56"/>
        <v>" },</v>
      </c>
    </row>
    <row r="194" spans="1:37" x14ac:dyDescent="0.25">
      <c r="A194" t="str">
        <f t="shared" si="38"/>
        <v>new Match { MatchId= "</v>
      </c>
      <c r="B194" t="str">
        <f>Matchs!A195</f>
        <v>FIFAWC1966-26</v>
      </c>
      <c r="C194" t="str">
        <f t="shared" si="39"/>
        <v>",MatchNumer=</v>
      </c>
      <c r="D194">
        <f>Matchs!B195</f>
        <v>26</v>
      </c>
      <c r="E194" t="str">
        <f t="shared" si="40"/>
        <v>,DateMatch=DateTime.Parse("</v>
      </c>
      <c r="F194" s="3">
        <f>Matchs!C195</f>
        <v>24311</v>
      </c>
      <c r="G194" s="10" t="str">
        <f t="shared" si="41"/>
        <v>"),TimeMatch=TimeSpan.Parse("</v>
      </c>
      <c r="H194" s="9">
        <f>Matchs!D195</f>
        <v>0.9375</v>
      </c>
      <c r="I194" t="str">
        <f t="shared" si="42"/>
        <v>"),MatchYear=</v>
      </c>
      <c r="J194">
        <f>Matchs!E195</f>
        <v>1966</v>
      </c>
      <c r="K194" t="str">
        <f t="shared" si="43"/>
        <v>, SeasonId= "</v>
      </c>
      <c r="L194" t="str">
        <f>Matchs!F195</f>
        <v>FIFAWC1966</v>
      </c>
      <c r="M194" t="str">
        <f t="shared" si="44"/>
        <v>",Round= "</v>
      </c>
      <c r="N194" t="str">
        <f>Matchs!G195</f>
        <v>Final Round</v>
      </c>
      <c r="O194" s="6" t="str">
        <f t="shared" si="45"/>
        <v>",Stage= "</v>
      </c>
      <c r="P194" t="str">
        <f>Matchs!H195</f>
        <v>Knockouts</v>
      </c>
      <c r="Q194" s="6" t="str">
        <f t="shared" si="46"/>
        <v>",SubStage= "</v>
      </c>
      <c r="R194" t="str">
        <f>Matchs!I195</f>
        <v>Quaterfinal</v>
      </c>
      <c r="S194" s="6" t="str">
        <f t="shared" si="47"/>
        <v>",HTeam= "</v>
      </c>
      <c r="T194" t="str">
        <f>Matchs!J195</f>
        <v>England</v>
      </c>
      <c r="U194" s="6" t="str">
        <f t="shared" si="48"/>
        <v>",HGoal=</v>
      </c>
      <c r="V194">
        <f>Matchs!K195</f>
        <v>1</v>
      </c>
      <c r="W194" s="6" t="str">
        <f t="shared" si="49"/>
        <v>,GGoal=</v>
      </c>
      <c r="X194">
        <f>Matchs!L195</f>
        <v>0</v>
      </c>
      <c r="Y194" s="6" t="str">
        <f t="shared" si="50"/>
        <v>,GTeam= "</v>
      </c>
      <c r="Z194" t="str">
        <f>Matchs!M195</f>
        <v>Argentina</v>
      </c>
      <c r="AA194" s="6" t="str">
        <f t="shared" si="51"/>
        <v>",WinNote="</v>
      </c>
      <c r="AB194" t="str">
        <f>IF(Matchs!N195="","",Matchs!N195)</f>
        <v/>
      </c>
      <c r="AC194" s="6" t="str">
        <f t="shared" si="52"/>
        <v xml:space="preserve">",Stadium=" </v>
      </c>
      <c r="AD194" s="11" t="str">
        <f>Matchs!O195</f>
        <v xml:space="preserve">Wembley Stadium </v>
      </c>
      <c r="AE194" s="6" t="str">
        <f t="shared" si="53"/>
        <v>",Referee= "</v>
      </c>
      <c r="AF194" s="11" t="str">
        <f>Matchs!P195</f>
        <v xml:space="preserve">Rudolf Kreitlein </v>
      </c>
      <c r="AG194" s="6" t="str">
        <f t="shared" si="54"/>
        <v xml:space="preserve">",Visistors= </v>
      </c>
      <c r="AH194" s="11">
        <f>Matchs!Q195</f>
        <v>90000</v>
      </c>
      <c r="AI194" s="11" t="str">
        <f t="shared" si="55"/>
        <v>,Status= "</v>
      </c>
      <c r="AJ194" s="11" t="str">
        <f>Matchs!R195</f>
        <v>Finished</v>
      </c>
      <c r="AK194" t="str">
        <f t="shared" si="56"/>
        <v>" },</v>
      </c>
    </row>
    <row r="195" spans="1:37" x14ac:dyDescent="0.25">
      <c r="A195" t="str">
        <f t="shared" ref="A195:A258" si="57">A194</f>
        <v>new Match { MatchId= "</v>
      </c>
      <c r="B195" t="str">
        <f>Matchs!A196</f>
        <v>FIFAWC1966-27</v>
      </c>
      <c r="C195" t="str">
        <f t="shared" ref="C195:C258" si="58">C194</f>
        <v>",MatchNumer=</v>
      </c>
      <c r="D195">
        <f>Matchs!B196</f>
        <v>27</v>
      </c>
      <c r="E195" t="str">
        <f t="shared" ref="E195:E258" si="59">E194</f>
        <v>,DateMatch=DateTime.Parse("</v>
      </c>
      <c r="F195" s="3">
        <f>Matchs!C196</f>
        <v>24311</v>
      </c>
      <c r="G195" s="10" t="str">
        <f t="shared" ref="G195:G258" si="60">G194</f>
        <v>"),TimeMatch=TimeSpan.Parse("</v>
      </c>
      <c r="H195" s="9">
        <f>Matchs!D196</f>
        <v>0.9375</v>
      </c>
      <c r="I195" t="str">
        <f t="shared" ref="I195:I258" si="61">I194</f>
        <v>"),MatchYear=</v>
      </c>
      <c r="J195">
        <f>Matchs!E196</f>
        <v>1966</v>
      </c>
      <c r="K195" t="str">
        <f t="shared" ref="K195:K258" si="62">K194</f>
        <v>, SeasonId= "</v>
      </c>
      <c r="L195" t="str">
        <f>Matchs!F196</f>
        <v>FIFAWC1966</v>
      </c>
      <c r="M195" t="str">
        <f t="shared" ref="M195:M258" si="63">M194</f>
        <v>",Round= "</v>
      </c>
      <c r="N195" t="str">
        <f>Matchs!G196</f>
        <v>Final Round</v>
      </c>
      <c r="O195" s="6" t="str">
        <f t="shared" ref="O195:O258" si="64">O194</f>
        <v>",Stage= "</v>
      </c>
      <c r="P195" t="str">
        <f>Matchs!H196</f>
        <v>Knockouts</v>
      </c>
      <c r="Q195" s="6" t="str">
        <f t="shared" ref="Q195:Q258" si="65">Q194</f>
        <v>",SubStage= "</v>
      </c>
      <c r="R195" t="str">
        <f>Matchs!I196</f>
        <v>Quaterfinal</v>
      </c>
      <c r="S195" s="6" t="str">
        <f t="shared" ref="S195:S258" si="66">S194</f>
        <v>",HTeam= "</v>
      </c>
      <c r="T195" t="str">
        <f>Matchs!J196</f>
        <v>Soviet Union</v>
      </c>
      <c r="U195" s="6" t="str">
        <f t="shared" ref="U195:U258" si="67">U194</f>
        <v>",HGoal=</v>
      </c>
      <c r="V195">
        <f>Matchs!K196</f>
        <v>2</v>
      </c>
      <c r="W195" s="6" t="str">
        <f t="shared" ref="W195:W258" si="68">W194</f>
        <v>,GGoal=</v>
      </c>
      <c r="X195">
        <f>Matchs!L196</f>
        <v>1</v>
      </c>
      <c r="Y195" s="6" t="str">
        <f t="shared" ref="Y195:Y258" si="69">Y194</f>
        <v>,GTeam= "</v>
      </c>
      <c r="Z195" t="str">
        <f>Matchs!M196</f>
        <v>Hungary</v>
      </c>
      <c r="AA195" s="6" t="str">
        <f t="shared" ref="AA195:AA258" si="70">AA194</f>
        <v>",WinNote="</v>
      </c>
      <c r="AB195" t="str">
        <f>IF(Matchs!N196="","",Matchs!N196)</f>
        <v/>
      </c>
      <c r="AC195" s="6" t="str">
        <f t="shared" ref="AC195:AC258" si="71">AC194</f>
        <v xml:space="preserve">",Stadium=" </v>
      </c>
      <c r="AD195" s="11" t="str">
        <f>Matchs!O196</f>
        <v xml:space="preserve">Roker Park </v>
      </c>
      <c r="AE195" s="6" t="str">
        <f t="shared" ref="AE195:AE258" si="72">AE194</f>
        <v>",Referee= "</v>
      </c>
      <c r="AF195" s="11" t="str">
        <f>Matchs!P196</f>
        <v xml:space="preserve">Juan Gardeazabal Garay </v>
      </c>
      <c r="AG195" s="6" t="str">
        <f t="shared" ref="AG195:AG258" si="73">AG194</f>
        <v xml:space="preserve">",Visistors= </v>
      </c>
      <c r="AH195" s="11">
        <f>Matchs!Q196</f>
        <v>26844</v>
      </c>
      <c r="AI195" s="11" t="str">
        <f t="shared" ref="AI195:AI258" si="74">AI194</f>
        <v>,Status= "</v>
      </c>
      <c r="AJ195" s="11" t="str">
        <f>Matchs!R196</f>
        <v>Finished</v>
      </c>
      <c r="AK195" t="str">
        <f t="shared" ref="AK195:AK258" si="75">AK194</f>
        <v>" },</v>
      </c>
    </row>
    <row r="196" spans="1:37" x14ac:dyDescent="0.25">
      <c r="A196" t="str">
        <f t="shared" si="57"/>
        <v>new Match { MatchId= "</v>
      </c>
      <c r="B196" t="str">
        <f>Matchs!A197</f>
        <v>FIFAWC1966-28</v>
      </c>
      <c r="C196" t="str">
        <f t="shared" si="58"/>
        <v>",MatchNumer=</v>
      </c>
      <c r="D196">
        <f>Matchs!B197</f>
        <v>28</v>
      </c>
      <c r="E196" t="str">
        <f t="shared" si="59"/>
        <v>,DateMatch=DateTime.Parse("</v>
      </c>
      <c r="F196" s="3">
        <f>Matchs!C197</f>
        <v>24311</v>
      </c>
      <c r="G196" s="10" t="str">
        <f t="shared" si="60"/>
        <v>"),TimeMatch=TimeSpan.Parse("</v>
      </c>
      <c r="H196" s="9">
        <f>Matchs!D197</f>
        <v>0.9375</v>
      </c>
      <c r="I196" t="str">
        <f t="shared" si="61"/>
        <v>"),MatchYear=</v>
      </c>
      <c r="J196">
        <f>Matchs!E197</f>
        <v>1966</v>
      </c>
      <c r="K196" t="str">
        <f t="shared" si="62"/>
        <v>, SeasonId= "</v>
      </c>
      <c r="L196" t="str">
        <f>Matchs!F197</f>
        <v>FIFAWC1966</v>
      </c>
      <c r="M196" t="str">
        <f t="shared" si="63"/>
        <v>",Round= "</v>
      </c>
      <c r="N196" t="str">
        <f>Matchs!G197</f>
        <v>Final Round</v>
      </c>
      <c r="O196" s="6" t="str">
        <f t="shared" si="64"/>
        <v>",Stage= "</v>
      </c>
      <c r="P196" t="str">
        <f>Matchs!H197</f>
        <v>Knockouts</v>
      </c>
      <c r="Q196" s="6" t="str">
        <f t="shared" si="65"/>
        <v>",SubStage= "</v>
      </c>
      <c r="R196" t="str">
        <f>Matchs!I197</f>
        <v>Quaterfinal</v>
      </c>
      <c r="S196" s="6" t="str">
        <f t="shared" si="66"/>
        <v>",HTeam= "</v>
      </c>
      <c r="T196" t="str">
        <f>Matchs!J197</f>
        <v>Portugal</v>
      </c>
      <c r="U196" s="6" t="str">
        <f t="shared" si="67"/>
        <v>",HGoal=</v>
      </c>
      <c r="V196">
        <f>Matchs!K197</f>
        <v>5</v>
      </c>
      <c r="W196" s="6" t="str">
        <f t="shared" si="68"/>
        <v>,GGoal=</v>
      </c>
      <c r="X196">
        <f>Matchs!L197</f>
        <v>3</v>
      </c>
      <c r="Y196" s="6" t="str">
        <f t="shared" si="69"/>
        <v>,GTeam= "</v>
      </c>
      <c r="Z196" t="str">
        <f>Matchs!M197</f>
        <v>North Korea</v>
      </c>
      <c r="AA196" s="6" t="str">
        <f t="shared" si="70"/>
        <v>",WinNote="</v>
      </c>
      <c r="AB196" t="str">
        <f>IF(Matchs!N197="","",Matchs!N197)</f>
        <v/>
      </c>
      <c r="AC196" s="6" t="str">
        <f t="shared" si="71"/>
        <v xml:space="preserve">",Stadium=" </v>
      </c>
      <c r="AD196" s="11" t="str">
        <f>Matchs!O197</f>
        <v xml:space="preserve">Goodison Park </v>
      </c>
      <c r="AE196" s="6" t="str">
        <f t="shared" si="72"/>
        <v>",Referee= "</v>
      </c>
      <c r="AF196" s="11" t="str">
        <f>Matchs!P197</f>
        <v xml:space="preserve">Menachem Ashkenazi </v>
      </c>
      <c r="AG196" s="6" t="str">
        <f t="shared" si="73"/>
        <v xml:space="preserve">",Visistors= </v>
      </c>
      <c r="AH196" s="11">
        <f>Matchs!Q197</f>
        <v>51780</v>
      </c>
      <c r="AI196" s="11" t="str">
        <f t="shared" si="74"/>
        <v>,Status= "</v>
      </c>
      <c r="AJ196" s="11" t="str">
        <f>Matchs!R197</f>
        <v>Finished</v>
      </c>
      <c r="AK196" t="str">
        <f t="shared" si="75"/>
        <v>" },</v>
      </c>
    </row>
    <row r="197" spans="1:37" x14ac:dyDescent="0.25">
      <c r="A197" t="str">
        <f t="shared" si="57"/>
        <v>new Match { MatchId= "</v>
      </c>
      <c r="B197" t="str">
        <f>Matchs!A198</f>
        <v>FIFAWC1966-29</v>
      </c>
      <c r="C197" t="str">
        <f t="shared" si="58"/>
        <v>",MatchNumer=</v>
      </c>
      <c r="D197">
        <f>Matchs!B198</f>
        <v>29</v>
      </c>
      <c r="E197" t="str">
        <f t="shared" si="59"/>
        <v>,DateMatch=DateTime.Parse("</v>
      </c>
      <c r="F197" s="3">
        <f>Matchs!C198</f>
        <v>24314</v>
      </c>
      <c r="G197" s="10" t="str">
        <f t="shared" si="60"/>
        <v>"),TimeMatch=TimeSpan.Parse("</v>
      </c>
      <c r="H197" s="9">
        <f>Matchs!D198</f>
        <v>0.10416666666666667</v>
      </c>
      <c r="I197" t="str">
        <f t="shared" si="61"/>
        <v>"),MatchYear=</v>
      </c>
      <c r="J197">
        <f>Matchs!E198</f>
        <v>1966</v>
      </c>
      <c r="K197" t="str">
        <f t="shared" si="62"/>
        <v>, SeasonId= "</v>
      </c>
      <c r="L197" t="str">
        <f>Matchs!F198</f>
        <v>FIFAWC1966</v>
      </c>
      <c r="M197" t="str">
        <f t="shared" si="63"/>
        <v>",Round= "</v>
      </c>
      <c r="N197" t="str">
        <f>Matchs!G198</f>
        <v>Final Round</v>
      </c>
      <c r="O197" s="6" t="str">
        <f t="shared" si="64"/>
        <v>",Stage= "</v>
      </c>
      <c r="P197" t="str">
        <f>Matchs!H198</f>
        <v>Knockouts</v>
      </c>
      <c r="Q197" s="6" t="str">
        <f t="shared" si="65"/>
        <v>",SubStage= "</v>
      </c>
      <c r="R197" t="str">
        <f>Matchs!I198</f>
        <v>Semifinal</v>
      </c>
      <c r="S197" s="6" t="str">
        <f t="shared" si="66"/>
        <v>",HTeam= "</v>
      </c>
      <c r="T197" t="str">
        <f>Matchs!J198</f>
        <v>Germany</v>
      </c>
      <c r="U197" s="6" t="str">
        <f t="shared" si="67"/>
        <v>",HGoal=</v>
      </c>
      <c r="V197">
        <f>Matchs!K198</f>
        <v>2</v>
      </c>
      <c r="W197" s="6" t="str">
        <f t="shared" si="68"/>
        <v>,GGoal=</v>
      </c>
      <c r="X197">
        <f>Matchs!L198</f>
        <v>1</v>
      </c>
      <c r="Y197" s="6" t="str">
        <f t="shared" si="69"/>
        <v>,GTeam= "</v>
      </c>
      <c r="Z197" t="str">
        <f>Matchs!M198</f>
        <v>Soviet Union</v>
      </c>
      <c r="AA197" s="6" t="str">
        <f t="shared" si="70"/>
        <v>",WinNote="</v>
      </c>
      <c r="AB197" t="str">
        <f>IF(Matchs!N198="","",Matchs!N198)</f>
        <v/>
      </c>
      <c r="AC197" s="6" t="str">
        <f t="shared" si="71"/>
        <v xml:space="preserve">",Stadium=" </v>
      </c>
      <c r="AD197" s="11" t="str">
        <f>Matchs!O198</f>
        <v xml:space="preserve">Goodison Park </v>
      </c>
      <c r="AE197" s="6" t="str">
        <f t="shared" si="72"/>
        <v>",Referee= "</v>
      </c>
      <c r="AF197" s="11" t="str">
        <f>Matchs!P198</f>
        <v xml:space="preserve">Concetto Lo Bello </v>
      </c>
      <c r="AG197" s="6" t="str">
        <f t="shared" si="73"/>
        <v xml:space="preserve">",Visistors= </v>
      </c>
      <c r="AH197" s="11">
        <f>Matchs!Q198</f>
        <v>38300</v>
      </c>
      <c r="AI197" s="11" t="str">
        <f t="shared" si="74"/>
        <v>,Status= "</v>
      </c>
      <c r="AJ197" s="11" t="str">
        <f>Matchs!R198</f>
        <v>Finished</v>
      </c>
      <c r="AK197" t="str">
        <f t="shared" si="75"/>
        <v>" },</v>
      </c>
    </row>
    <row r="198" spans="1:37" x14ac:dyDescent="0.25">
      <c r="A198" t="str">
        <f t="shared" si="57"/>
        <v>new Match { MatchId= "</v>
      </c>
      <c r="B198" t="str">
        <f>Matchs!A199</f>
        <v>FIFAWC1966-30</v>
      </c>
      <c r="C198" t="str">
        <f t="shared" si="58"/>
        <v>",MatchNumer=</v>
      </c>
      <c r="D198">
        <f>Matchs!B199</f>
        <v>30</v>
      </c>
      <c r="E198" t="str">
        <f t="shared" si="59"/>
        <v>,DateMatch=DateTime.Parse("</v>
      </c>
      <c r="F198" s="3">
        <f>Matchs!C199</f>
        <v>24315</v>
      </c>
      <c r="G198" s="10" t="str">
        <f t="shared" si="60"/>
        <v>"),TimeMatch=TimeSpan.Parse("</v>
      </c>
      <c r="H198" s="9">
        <f>Matchs!D199</f>
        <v>0.10416666666666667</v>
      </c>
      <c r="I198" t="str">
        <f t="shared" si="61"/>
        <v>"),MatchYear=</v>
      </c>
      <c r="J198">
        <f>Matchs!E199</f>
        <v>1966</v>
      </c>
      <c r="K198" t="str">
        <f t="shared" si="62"/>
        <v>, SeasonId= "</v>
      </c>
      <c r="L198" t="str">
        <f>Matchs!F199</f>
        <v>FIFAWC1966</v>
      </c>
      <c r="M198" t="str">
        <f t="shared" si="63"/>
        <v>",Round= "</v>
      </c>
      <c r="N198" t="str">
        <f>Matchs!G199</f>
        <v>Final Round</v>
      </c>
      <c r="O198" s="6" t="str">
        <f t="shared" si="64"/>
        <v>",Stage= "</v>
      </c>
      <c r="P198" t="str">
        <f>Matchs!H199</f>
        <v>Knockouts</v>
      </c>
      <c r="Q198" s="6" t="str">
        <f t="shared" si="65"/>
        <v>",SubStage= "</v>
      </c>
      <c r="R198" t="str">
        <f>Matchs!I199</f>
        <v>Semifinal</v>
      </c>
      <c r="S198" s="6" t="str">
        <f t="shared" si="66"/>
        <v>",HTeam= "</v>
      </c>
      <c r="T198" t="str">
        <f>Matchs!J199</f>
        <v>England</v>
      </c>
      <c r="U198" s="6" t="str">
        <f t="shared" si="67"/>
        <v>",HGoal=</v>
      </c>
      <c r="V198">
        <f>Matchs!K199</f>
        <v>2</v>
      </c>
      <c r="W198" s="6" t="str">
        <f t="shared" si="68"/>
        <v>,GGoal=</v>
      </c>
      <c r="X198">
        <f>Matchs!L199</f>
        <v>1</v>
      </c>
      <c r="Y198" s="6" t="str">
        <f t="shared" si="69"/>
        <v>,GTeam= "</v>
      </c>
      <c r="Z198" t="str">
        <f>Matchs!M199</f>
        <v>Portugal</v>
      </c>
      <c r="AA198" s="6" t="str">
        <f t="shared" si="70"/>
        <v>",WinNote="</v>
      </c>
      <c r="AB198" t="str">
        <f>IF(Matchs!N199="","",Matchs!N199)</f>
        <v/>
      </c>
      <c r="AC198" s="6" t="str">
        <f t="shared" si="71"/>
        <v xml:space="preserve">",Stadium=" </v>
      </c>
      <c r="AD198" s="11" t="str">
        <f>Matchs!O199</f>
        <v xml:space="preserve">Wembley Stadium </v>
      </c>
      <c r="AE198" s="6" t="str">
        <f t="shared" si="72"/>
        <v>",Referee= "</v>
      </c>
      <c r="AF198" s="11" t="str">
        <f>Matchs!P199</f>
        <v xml:space="preserve">Pierre Schwinte </v>
      </c>
      <c r="AG198" s="6" t="str">
        <f t="shared" si="73"/>
        <v xml:space="preserve">",Visistors= </v>
      </c>
      <c r="AH198" s="11">
        <f>Matchs!Q199</f>
        <v>95000</v>
      </c>
      <c r="AI198" s="11" t="str">
        <f t="shared" si="74"/>
        <v>,Status= "</v>
      </c>
      <c r="AJ198" s="11" t="str">
        <f>Matchs!R199</f>
        <v>Finished</v>
      </c>
      <c r="AK198" t="str">
        <f t="shared" si="75"/>
        <v>" },</v>
      </c>
    </row>
    <row r="199" spans="1:37" x14ac:dyDescent="0.25">
      <c r="A199" t="str">
        <f t="shared" si="57"/>
        <v>new Match { MatchId= "</v>
      </c>
      <c r="B199" t="str">
        <f>Matchs!A200</f>
        <v>FIFAWC1966-31</v>
      </c>
      <c r="C199" t="str">
        <f t="shared" si="58"/>
        <v>",MatchNumer=</v>
      </c>
      <c r="D199">
        <f>Matchs!B200</f>
        <v>31</v>
      </c>
      <c r="E199" t="str">
        <f t="shared" si="59"/>
        <v>,DateMatch=DateTime.Parse("</v>
      </c>
      <c r="F199" s="3">
        <f>Matchs!C200</f>
        <v>24316</v>
      </c>
      <c r="G199" s="10" t="str">
        <f t="shared" si="60"/>
        <v>"),TimeMatch=TimeSpan.Parse("</v>
      </c>
      <c r="H199" s="9">
        <f>Matchs!D200</f>
        <v>0.10416666666666667</v>
      </c>
      <c r="I199" t="str">
        <f t="shared" si="61"/>
        <v>"),MatchYear=</v>
      </c>
      <c r="J199">
        <f>Matchs!E200</f>
        <v>1966</v>
      </c>
      <c r="K199" t="str">
        <f t="shared" si="62"/>
        <v>, SeasonId= "</v>
      </c>
      <c r="L199" t="str">
        <f>Matchs!F200</f>
        <v>FIFAWC1966</v>
      </c>
      <c r="M199" t="str">
        <f t="shared" si="63"/>
        <v>",Round= "</v>
      </c>
      <c r="N199" t="str">
        <f>Matchs!G200</f>
        <v>Final Round</v>
      </c>
      <c r="O199" s="6" t="str">
        <f t="shared" si="64"/>
        <v>",Stage= "</v>
      </c>
      <c r="P199" t="str">
        <f>Matchs!H200</f>
        <v>Knockouts</v>
      </c>
      <c r="Q199" s="6" t="str">
        <f t="shared" si="65"/>
        <v>",SubStage= "</v>
      </c>
      <c r="R199" t="str">
        <f>Matchs!I200</f>
        <v>3rd place</v>
      </c>
      <c r="S199" s="6" t="str">
        <f t="shared" si="66"/>
        <v>",HTeam= "</v>
      </c>
      <c r="T199" t="str">
        <f>Matchs!J200</f>
        <v>Portugal</v>
      </c>
      <c r="U199" s="6" t="str">
        <f t="shared" si="67"/>
        <v>",HGoal=</v>
      </c>
      <c r="V199">
        <f>Matchs!K200</f>
        <v>2</v>
      </c>
      <c r="W199" s="6" t="str">
        <f t="shared" si="68"/>
        <v>,GGoal=</v>
      </c>
      <c r="X199">
        <f>Matchs!L200</f>
        <v>1</v>
      </c>
      <c r="Y199" s="6" t="str">
        <f t="shared" si="69"/>
        <v>,GTeam= "</v>
      </c>
      <c r="Z199" t="str">
        <f>Matchs!M200</f>
        <v>Soviet Union</v>
      </c>
      <c r="AA199" s="6" t="str">
        <f t="shared" si="70"/>
        <v>",WinNote="</v>
      </c>
      <c r="AB199" t="str">
        <f>IF(Matchs!N200="","",Matchs!N200)</f>
        <v/>
      </c>
      <c r="AC199" s="6" t="str">
        <f t="shared" si="71"/>
        <v xml:space="preserve">",Stadium=" </v>
      </c>
      <c r="AD199" s="11" t="str">
        <f>Matchs!O200</f>
        <v xml:space="preserve">Wembley Stadium </v>
      </c>
      <c r="AE199" s="6" t="str">
        <f t="shared" si="72"/>
        <v>",Referee= "</v>
      </c>
      <c r="AF199" s="11">
        <f>Matchs!P200</f>
        <v>0</v>
      </c>
      <c r="AG199" s="6" t="str">
        <f t="shared" si="73"/>
        <v xml:space="preserve">",Visistors= </v>
      </c>
      <c r="AH199" s="11">
        <f>Matchs!Q200</f>
        <v>87696</v>
      </c>
      <c r="AI199" s="11" t="str">
        <f t="shared" si="74"/>
        <v>,Status= "</v>
      </c>
      <c r="AJ199" s="11" t="str">
        <f>Matchs!R200</f>
        <v>Finished</v>
      </c>
      <c r="AK199" t="str">
        <f t="shared" si="75"/>
        <v>" },</v>
      </c>
    </row>
    <row r="200" spans="1:37" x14ac:dyDescent="0.25">
      <c r="A200" t="str">
        <f t="shared" si="57"/>
        <v>new Match { MatchId= "</v>
      </c>
      <c r="B200" t="str">
        <f>Matchs!A201</f>
        <v>FIFAWC1966-32</v>
      </c>
      <c r="C200" t="str">
        <f t="shared" si="58"/>
        <v>",MatchNumer=</v>
      </c>
      <c r="D200">
        <f>Matchs!B201</f>
        <v>32</v>
      </c>
      <c r="E200" t="str">
        <f t="shared" si="59"/>
        <v>,DateMatch=DateTime.Parse("</v>
      </c>
      <c r="F200" s="3">
        <f>Matchs!C201</f>
        <v>24318</v>
      </c>
      <c r="G200" s="10" t="str">
        <f t="shared" si="60"/>
        <v>"),TimeMatch=TimeSpan.Parse("</v>
      </c>
      <c r="H200" s="9">
        <f>Matchs!D201</f>
        <v>0.91666666666666663</v>
      </c>
      <c r="I200" t="str">
        <f t="shared" si="61"/>
        <v>"),MatchYear=</v>
      </c>
      <c r="J200">
        <f>Matchs!E201</f>
        <v>1966</v>
      </c>
      <c r="K200" t="str">
        <f t="shared" si="62"/>
        <v>, SeasonId= "</v>
      </c>
      <c r="L200" t="str">
        <f>Matchs!F201</f>
        <v>FIFAWC1966</v>
      </c>
      <c r="M200" t="str">
        <f t="shared" si="63"/>
        <v>",Round= "</v>
      </c>
      <c r="N200" t="str">
        <f>Matchs!G201</f>
        <v>Final Round</v>
      </c>
      <c r="O200" s="6" t="str">
        <f t="shared" si="64"/>
        <v>",Stage= "</v>
      </c>
      <c r="P200" t="str">
        <f>Matchs!H201</f>
        <v>Knockouts</v>
      </c>
      <c r="Q200" s="6" t="str">
        <f t="shared" si="65"/>
        <v>",SubStage= "</v>
      </c>
      <c r="R200" t="str">
        <f>Matchs!I201</f>
        <v>Final</v>
      </c>
      <c r="S200" s="6" t="str">
        <f t="shared" si="66"/>
        <v>",HTeam= "</v>
      </c>
      <c r="T200" t="str">
        <f>Matchs!J201</f>
        <v>England</v>
      </c>
      <c r="U200" s="6" t="str">
        <f t="shared" si="67"/>
        <v>",HGoal=</v>
      </c>
      <c r="V200">
        <f>Matchs!K201</f>
        <v>4</v>
      </c>
      <c r="W200" s="6" t="str">
        <f t="shared" si="68"/>
        <v>,GGoal=</v>
      </c>
      <c r="X200">
        <f>Matchs!L201</f>
        <v>2</v>
      </c>
      <c r="Y200" s="6" t="str">
        <f t="shared" si="69"/>
        <v>,GTeam= "</v>
      </c>
      <c r="Z200" t="str">
        <f>Matchs!M201</f>
        <v>Germany</v>
      </c>
      <c r="AA200" s="6" t="str">
        <f t="shared" si="70"/>
        <v>",WinNote="</v>
      </c>
      <c r="AB200" t="str">
        <f>IF(Matchs!N201="","",Matchs!N201)</f>
        <v/>
      </c>
      <c r="AC200" s="6" t="str">
        <f t="shared" si="71"/>
        <v xml:space="preserve">",Stadium=" </v>
      </c>
      <c r="AD200" s="11" t="str">
        <f>Matchs!O201</f>
        <v xml:space="preserve">Wembley Stadium </v>
      </c>
      <c r="AE200" s="6" t="str">
        <f t="shared" si="72"/>
        <v>",Referee= "</v>
      </c>
      <c r="AF200" s="11" t="str">
        <f>Matchs!P201</f>
        <v xml:space="preserve">Gottfried Dienst </v>
      </c>
      <c r="AG200" s="6" t="str">
        <f t="shared" si="73"/>
        <v xml:space="preserve">",Visistors= </v>
      </c>
      <c r="AH200" s="11">
        <f>Matchs!Q201</f>
        <v>98000</v>
      </c>
      <c r="AI200" s="11" t="str">
        <f t="shared" si="74"/>
        <v>,Status= "</v>
      </c>
      <c r="AJ200" s="11" t="str">
        <f>Matchs!R201</f>
        <v>Finished</v>
      </c>
      <c r="AK200" t="str">
        <f t="shared" si="75"/>
        <v>" },</v>
      </c>
    </row>
    <row r="201" spans="1:37" x14ac:dyDescent="0.25">
      <c r="A201" t="str">
        <f t="shared" si="57"/>
        <v>new Match { MatchId= "</v>
      </c>
      <c r="B201" t="str">
        <f>Matchs!A202</f>
        <v>FIFAWC1970-1</v>
      </c>
      <c r="C201" t="str">
        <f t="shared" si="58"/>
        <v>",MatchNumer=</v>
      </c>
      <c r="D201">
        <f>Matchs!B202</f>
        <v>1</v>
      </c>
      <c r="E201" t="str">
        <f t="shared" si="59"/>
        <v>,DateMatch=DateTime.Parse("</v>
      </c>
      <c r="F201" s="3">
        <f>Matchs!C202</f>
        <v>25720</v>
      </c>
      <c r="G201" s="10" t="str">
        <f t="shared" si="60"/>
        <v>"),TimeMatch=TimeSpan.Parse("</v>
      </c>
      <c r="H201" s="9">
        <f>Matchs!D202</f>
        <v>4.1666666666666664E-2</v>
      </c>
      <c r="I201" t="str">
        <f t="shared" si="61"/>
        <v>"),MatchYear=</v>
      </c>
      <c r="J201">
        <f>Matchs!E202</f>
        <v>1970</v>
      </c>
      <c r="K201" t="str">
        <f t="shared" si="62"/>
        <v>, SeasonId= "</v>
      </c>
      <c r="L201" t="str">
        <f>Matchs!F202</f>
        <v>FIFAWC1970</v>
      </c>
      <c r="M201" t="str">
        <f t="shared" si="63"/>
        <v>",Round= "</v>
      </c>
      <c r="N201" t="str">
        <f>Matchs!G202</f>
        <v>Final Round</v>
      </c>
      <c r="O201" s="6" t="str">
        <f t="shared" si="64"/>
        <v>",Stage= "</v>
      </c>
      <c r="P201" t="str">
        <f>Matchs!H202</f>
        <v>Group</v>
      </c>
      <c r="Q201" s="6" t="str">
        <f t="shared" si="65"/>
        <v>",SubStage= "</v>
      </c>
      <c r="R201" t="str">
        <f>Matchs!I202</f>
        <v>Group 1</v>
      </c>
      <c r="S201" s="6" t="str">
        <f t="shared" si="66"/>
        <v>",HTeam= "</v>
      </c>
      <c r="T201" t="str">
        <f>Matchs!J202</f>
        <v>Mexico</v>
      </c>
      <c r="U201" s="6" t="str">
        <f t="shared" si="67"/>
        <v>",HGoal=</v>
      </c>
      <c r="V201">
        <f>Matchs!K202</f>
        <v>0</v>
      </c>
      <c r="W201" s="6" t="str">
        <f t="shared" si="68"/>
        <v>,GGoal=</v>
      </c>
      <c r="X201">
        <f>Matchs!L202</f>
        <v>0</v>
      </c>
      <c r="Y201" s="6" t="str">
        <f t="shared" si="69"/>
        <v>,GTeam= "</v>
      </c>
      <c r="Z201" t="str">
        <f>Matchs!M202</f>
        <v>Soviet Union</v>
      </c>
      <c r="AA201" s="6" t="str">
        <f t="shared" si="70"/>
        <v>",WinNote="</v>
      </c>
      <c r="AB201" t="str">
        <f>IF(Matchs!N202="","",Matchs!N202)</f>
        <v/>
      </c>
      <c r="AC201" s="6" t="str">
        <f t="shared" si="71"/>
        <v xml:space="preserve">",Stadium=" </v>
      </c>
      <c r="AD201" s="11" t="str">
        <f>Matchs!O202</f>
        <v xml:space="preserve">Estadio Azteca </v>
      </c>
      <c r="AE201" s="6" t="str">
        <f t="shared" si="72"/>
        <v>",Referee= "</v>
      </c>
      <c r="AF201" s="11" t="str">
        <f>Matchs!P202</f>
        <v xml:space="preserve">Kurt Tschenscher </v>
      </c>
      <c r="AG201" s="6" t="str">
        <f t="shared" si="73"/>
        <v xml:space="preserve">",Visistors= </v>
      </c>
      <c r="AH201" s="11">
        <f>Matchs!Q202</f>
        <v>107000</v>
      </c>
      <c r="AI201" s="11" t="str">
        <f t="shared" si="74"/>
        <v>,Status= "</v>
      </c>
      <c r="AJ201" s="11" t="str">
        <f>Matchs!R202</f>
        <v>Finished</v>
      </c>
      <c r="AK201" t="str">
        <f t="shared" si="75"/>
        <v>" },</v>
      </c>
    </row>
    <row r="202" spans="1:37" x14ac:dyDescent="0.25">
      <c r="A202" t="str">
        <f t="shared" si="57"/>
        <v>new Match { MatchId= "</v>
      </c>
      <c r="B202" t="str">
        <f>Matchs!A203</f>
        <v>FIFAWC1970-2</v>
      </c>
      <c r="C202" t="str">
        <f t="shared" si="58"/>
        <v>",MatchNumer=</v>
      </c>
      <c r="D202">
        <f>Matchs!B203</f>
        <v>2</v>
      </c>
      <c r="E202" t="str">
        <f t="shared" si="59"/>
        <v>,DateMatch=DateTime.Parse("</v>
      </c>
      <c r="F202" s="3">
        <f>Matchs!C203</f>
        <v>25722</v>
      </c>
      <c r="G202" s="10" t="str">
        <f t="shared" si="60"/>
        <v>"),TimeMatch=TimeSpan.Parse("</v>
      </c>
      <c r="H202" s="9">
        <f>Matchs!D203</f>
        <v>0.20833333333333334</v>
      </c>
      <c r="I202" t="str">
        <f t="shared" si="61"/>
        <v>"),MatchYear=</v>
      </c>
      <c r="J202">
        <f>Matchs!E203</f>
        <v>1970</v>
      </c>
      <c r="K202" t="str">
        <f t="shared" si="62"/>
        <v>, SeasonId= "</v>
      </c>
      <c r="L202" t="str">
        <f>Matchs!F203</f>
        <v>FIFAWC1970</v>
      </c>
      <c r="M202" t="str">
        <f t="shared" si="63"/>
        <v>",Round= "</v>
      </c>
      <c r="N202" t="str">
        <f>Matchs!G203</f>
        <v>Final Round</v>
      </c>
      <c r="O202" s="6" t="str">
        <f t="shared" si="64"/>
        <v>",Stage= "</v>
      </c>
      <c r="P202" t="str">
        <f>Matchs!H203</f>
        <v>Group</v>
      </c>
      <c r="Q202" s="6" t="str">
        <f t="shared" si="65"/>
        <v>",SubStage= "</v>
      </c>
      <c r="R202" t="str">
        <f>Matchs!I203</f>
        <v>Group 2</v>
      </c>
      <c r="S202" s="6" t="str">
        <f t="shared" si="66"/>
        <v>",HTeam= "</v>
      </c>
      <c r="T202" t="str">
        <f>Matchs!J203</f>
        <v>Uruguay</v>
      </c>
      <c r="U202" s="6" t="str">
        <f t="shared" si="67"/>
        <v>",HGoal=</v>
      </c>
      <c r="V202">
        <f>Matchs!K203</f>
        <v>2</v>
      </c>
      <c r="W202" s="6" t="str">
        <f t="shared" si="68"/>
        <v>,GGoal=</v>
      </c>
      <c r="X202">
        <f>Matchs!L203</f>
        <v>0</v>
      </c>
      <c r="Y202" s="6" t="str">
        <f t="shared" si="69"/>
        <v>,GTeam= "</v>
      </c>
      <c r="Z202" t="str">
        <f>Matchs!M203</f>
        <v>Israel</v>
      </c>
      <c r="AA202" s="6" t="str">
        <f t="shared" si="70"/>
        <v>",WinNote="</v>
      </c>
      <c r="AB202" t="str">
        <f>IF(Matchs!N203="","",Matchs!N203)</f>
        <v/>
      </c>
      <c r="AC202" s="6" t="str">
        <f t="shared" si="71"/>
        <v xml:space="preserve">",Stadium=" </v>
      </c>
      <c r="AD202" s="11" t="str">
        <f>Matchs!O203</f>
        <v xml:space="preserve">Estadio Cuauhtémoc </v>
      </c>
      <c r="AE202" s="6" t="str">
        <f t="shared" si="72"/>
        <v>",Referee= "</v>
      </c>
      <c r="AF202" s="11" t="str">
        <f>Matchs!P203</f>
        <v xml:space="preserve">Bob Davidson </v>
      </c>
      <c r="AG202" s="6" t="str">
        <f t="shared" si="73"/>
        <v xml:space="preserve">",Visistors= </v>
      </c>
      <c r="AH202" s="11">
        <f>Matchs!Q203</f>
        <v>20000</v>
      </c>
      <c r="AI202" s="11" t="str">
        <f t="shared" si="74"/>
        <v>,Status= "</v>
      </c>
      <c r="AJ202" s="11" t="str">
        <f>Matchs!R203</f>
        <v>Finished</v>
      </c>
      <c r="AK202" t="str">
        <f t="shared" si="75"/>
        <v>" },</v>
      </c>
    </row>
    <row r="203" spans="1:37" x14ac:dyDescent="0.25">
      <c r="A203" t="str">
        <f t="shared" si="57"/>
        <v>new Match { MatchId= "</v>
      </c>
      <c r="B203" t="str">
        <f>Matchs!A204</f>
        <v>FIFAWC1970-3</v>
      </c>
      <c r="C203" t="str">
        <f t="shared" si="58"/>
        <v>",MatchNumer=</v>
      </c>
      <c r="D203">
        <f>Matchs!B204</f>
        <v>3</v>
      </c>
      <c r="E203" t="str">
        <f t="shared" si="59"/>
        <v>,DateMatch=DateTime.Parse("</v>
      </c>
      <c r="F203" s="3">
        <f>Matchs!C204</f>
        <v>25722</v>
      </c>
      <c r="G203" s="10" t="str">
        <f t="shared" si="60"/>
        <v>"),TimeMatch=TimeSpan.Parse("</v>
      </c>
      <c r="H203" s="9">
        <f>Matchs!D204</f>
        <v>0.20833333333333334</v>
      </c>
      <c r="I203" t="str">
        <f t="shared" si="61"/>
        <v>"),MatchYear=</v>
      </c>
      <c r="J203">
        <f>Matchs!E204</f>
        <v>1970</v>
      </c>
      <c r="K203" t="str">
        <f t="shared" si="62"/>
        <v>, SeasonId= "</v>
      </c>
      <c r="L203" t="str">
        <f>Matchs!F204</f>
        <v>FIFAWC1970</v>
      </c>
      <c r="M203" t="str">
        <f t="shared" si="63"/>
        <v>",Round= "</v>
      </c>
      <c r="N203" t="str">
        <f>Matchs!G204</f>
        <v>Final Round</v>
      </c>
      <c r="O203" s="6" t="str">
        <f t="shared" si="64"/>
        <v>",Stage= "</v>
      </c>
      <c r="P203" t="str">
        <f>Matchs!H204</f>
        <v>Group</v>
      </c>
      <c r="Q203" s="6" t="str">
        <f t="shared" si="65"/>
        <v>",SubStage= "</v>
      </c>
      <c r="R203" t="str">
        <f>Matchs!I204</f>
        <v>Group 3</v>
      </c>
      <c r="S203" s="6" t="str">
        <f t="shared" si="66"/>
        <v>",HTeam= "</v>
      </c>
      <c r="T203" t="str">
        <f>Matchs!J204</f>
        <v>England</v>
      </c>
      <c r="U203" s="6" t="str">
        <f t="shared" si="67"/>
        <v>",HGoal=</v>
      </c>
      <c r="V203">
        <f>Matchs!K204</f>
        <v>1</v>
      </c>
      <c r="W203" s="6" t="str">
        <f t="shared" si="68"/>
        <v>,GGoal=</v>
      </c>
      <c r="X203">
        <f>Matchs!L204</f>
        <v>0</v>
      </c>
      <c r="Y203" s="6" t="str">
        <f t="shared" si="69"/>
        <v>,GTeam= "</v>
      </c>
      <c r="Z203" t="str">
        <f>Matchs!M204</f>
        <v>Romania</v>
      </c>
      <c r="AA203" s="6" t="str">
        <f t="shared" si="70"/>
        <v>",WinNote="</v>
      </c>
      <c r="AB203" t="str">
        <f>IF(Matchs!N204="","",Matchs!N204)</f>
        <v/>
      </c>
      <c r="AC203" s="6" t="str">
        <f t="shared" si="71"/>
        <v xml:space="preserve">",Stadium=" </v>
      </c>
      <c r="AD203" s="11" t="str">
        <f>Matchs!O204</f>
        <v xml:space="preserve">Estadio Jalisco </v>
      </c>
      <c r="AE203" s="6" t="str">
        <f t="shared" si="72"/>
        <v>",Referee= "</v>
      </c>
      <c r="AF203" s="11" t="str">
        <f>Matchs!P204</f>
        <v xml:space="preserve">Vital Lourax </v>
      </c>
      <c r="AG203" s="6" t="str">
        <f t="shared" si="73"/>
        <v xml:space="preserve">",Visistors= </v>
      </c>
      <c r="AH203" s="11">
        <f>Matchs!Q204</f>
        <v>50560</v>
      </c>
      <c r="AI203" s="11" t="str">
        <f t="shared" si="74"/>
        <v>,Status= "</v>
      </c>
      <c r="AJ203" s="11" t="str">
        <f>Matchs!R204</f>
        <v>Finished</v>
      </c>
      <c r="AK203" t="str">
        <f t="shared" si="75"/>
        <v>" },</v>
      </c>
    </row>
    <row r="204" spans="1:37" x14ac:dyDescent="0.25">
      <c r="A204" t="str">
        <f t="shared" si="57"/>
        <v>new Match { MatchId= "</v>
      </c>
      <c r="B204" t="str">
        <f>Matchs!A205</f>
        <v>FIFAWC1970-4</v>
      </c>
      <c r="C204" t="str">
        <f t="shared" si="58"/>
        <v>",MatchNumer=</v>
      </c>
      <c r="D204">
        <f>Matchs!B205</f>
        <v>4</v>
      </c>
      <c r="E204" t="str">
        <f t="shared" si="59"/>
        <v>,DateMatch=DateTime.Parse("</v>
      </c>
      <c r="F204" s="3">
        <f>Matchs!C205</f>
        <v>25722</v>
      </c>
      <c r="G204" s="10" t="str">
        <f t="shared" si="60"/>
        <v>"),TimeMatch=TimeSpan.Parse("</v>
      </c>
      <c r="H204" s="9">
        <f>Matchs!D205</f>
        <v>0.20833333333333334</v>
      </c>
      <c r="I204" t="str">
        <f t="shared" si="61"/>
        <v>"),MatchYear=</v>
      </c>
      <c r="J204">
        <f>Matchs!E205</f>
        <v>1970</v>
      </c>
      <c r="K204" t="str">
        <f t="shared" si="62"/>
        <v>, SeasonId= "</v>
      </c>
      <c r="L204" t="str">
        <f>Matchs!F205</f>
        <v>FIFAWC1970</v>
      </c>
      <c r="M204" t="str">
        <f t="shared" si="63"/>
        <v>",Round= "</v>
      </c>
      <c r="N204" t="str">
        <f>Matchs!G205</f>
        <v>Final Round</v>
      </c>
      <c r="O204" s="6" t="str">
        <f t="shared" si="64"/>
        <v>",Stage= "</v>
      </c>
      <c r="P204" t="str">
        <f>Matchs!H205</f>
        <v>Group</v>
      </c>
      <c r="Q204" s="6" t="str">
        <f t="shared" si="65"/>
        <v>",SubStage= "</v>
      </c>
      <c r="R204" t="str">
        <f>Matchs!I205</f>
        <v>Group 4</v>
      </c>
      <c r="S204" s="6" t="str">
        <f t="shared" si="66"/>
        <v>",HTeam= "</v>
      </c>
      <c r="T204" t="str">
        <f>Matchs!J205</f>
        <v>Peru</v>
      </c>
      <c r="U204" s="6" t="str">
        <f t="shared" si="67"/>
        <v>",HGoal=</v>
      </c>
      <c r="V204">
        <f>Matchs!K205</f>
        <v>3</v>
      </c>
      <c r="W204" s="6" t="str">
        <f t="shared" si="68"/>
        <v>,GGoal=</v>
      </c>
      <c r="X204">
        <f>Matchs!L205</f>
        <v>2</v>
      </c>
      <c r="Y204" s="6" t="str">
        <f t="shared" si="69"/>
        <v>,GTeam= "</v>
      </c>
      <c r="Z204" t="str">
        <f>Matchs!M205</f>
        <v>Bulgaria</v>
      </c>
      <c r="AA204" s="6" t="str">
        <f t="shared" si="70"/>
        <v>",WinNote="</v>
      </c>
      <c r="AB204" t="str">
        <f>IF(Matchs!N205="","",Matchs!N205)</f>
        <v/>
      </c>
      <c r="AC204" s="6" t="str">
        <f t="shared" si="71"/>
        <v xml:space="preserve">",Stadium=" </v>
      </c>
      <c r="AD204" s="11" t="str">
        <f>Matchs!O205</f>
        <v xml:space="preserve">Estadio León </v>
      </c>
      <c r="AE204" s="6" t="str">
        <f t="shared" si="72"/>
        <v>",Referee= "</v>
      </c>
      <c r="AF204" s="11" t="str">
        <f>Matchs!P205</f>
        <v xml:space="preserve">Antonio Sbardella </v>
      </c>
      <c r="AG204" s="6" t="str">
        <f t="shared" si="73"/>
        <v xml:space="preserve">",Visistors= </v>
      </c>
      <c r="AH204" s="11">
        <f>Matchs!Q205</f>
        <v>13765</v>
      </c>
      <c r="AI204" s="11" t="str">
        <f t="shared" si="74"/>
        <v>,Status= "</v>
      </c>
      <c r="AJ204" s="11" t="str">
        <f>Matchs!R205</f>
        <v>Finished</v>
      </c>
      <c r="AK204" t="str">
        <f t="shared" si="75"/>
        <v>" },</v>
      </c>
    </row>
    <row r="205" spans="1:37" x14ac:dyDescent="0.25">
      <c r="A205" t="str">
        <f t="shared" si="57"/>
        <v>new Match { MatchId= "</v>
      </c>
      <c r="B205" t="str">
        <f>Matchs!A206</f>
        <v>FIFAWC1970-5</v>
      </c>
      <c r="C205" t="str">
        <f t="shared" si="58"/>
        <v>",MatchNumer=</v>
      </c>
      <c r="D205">
        <f>Matchs!B206</f>
        <v>5</v>
      </c>
      <c r="E205" t="str">
        <f t="shared" si="59"/>
        <v>,DateMatch=DateTime.Parse("</v>
      </c>
      <c r="F205" s="3">
        <f>Matchs!C206</f>
        <v>25723</v>
      </c>
      <c r="G205" s="10" t="str">
        <f t="shared" si="60"/>
        <v>"),TimeMatch=TimeSpan.Parse("</v>
      </c>
      <c r="H205" s="9">
        <f>Matchs!D206</f>
        <v>0.20833333333333334</v>
      </c>
      <c r="I205" t="str">
        <f t="shared" si="61"/>
        <v>"),MatchYear=</v>
      </c>
      <c r="J205">
        <f>Matchs!E206</f>
        <v>1970</v>
      </c>
      <c r="K205" t="str">
        <f t="shared" si="62"/>
        <v>, SeasonId= "</v>
      </c>
      <c r="L205" t="str">
        <f>Matchs!F206</f>
        <v>FIFAWC1970</v>
      </c>
      <c r="M205" t="str">
        <f t="shared" si="63"/>
        <v>",Round= "</v>
      </c>
      <c r="N205" t="str">
        <f>Matchs!G206</f>
        <v>Final Round</v>
      </c>
      <c r="O205" s="6" t="str">
        <f t="shared" si="64"/>
        <v>",Stage= "</v>
      </c>
      <c r="P205" t="str">
        <f>Matchs!H206</f>
        <v>Group</v>
      </c>
      <c r="Q205" s="6" t="str">
        <f t="shared" si="65"/>
        <v>",SubStage= "</v>
      </c>
      <c r="R205" t="str">
        <f>Matchs!I206</f>
        <v>Group 1</v>
      </c>
      <c r="S205" s="6" t="str">
        <f t="shared" si="66"/>
        <v>",HTeam= "</v>
      </c>
      <c r="T205" t="str">
        <f>Matchs!J206</f>
        <v>Belgium</v>
      </c>
      <c r="U205" s="6" t="str">
        <f t="shared" si="67"/>
        <v>",HGoal=</v>
      </c>
      <c r="V205">
        <f>Matchs!K206</f>
        <v>3</v>
      </c>
      <c r="W205" s="6" t="str">
        <f t="shared" si="68"/>
        <v>,GGoal=</v>
      </c>
      <c r="X205">
        <f>Matchs!L206</f>
        <v>0</v>
      </c>
      <c r="Y205" s="6" t="str">
        <f t="shared" si="69"/>
        <v>,GTeam= "</v>
      </c>
      <c r="Z205" t="str">
        <f>Matchs!M206</f>
        <v>El Salvador</v>
      </c>
      <c r="AA205" s="6" t="str">
        <f t="shared" si="70"/>
        <v>",WinNote="</v>
      </c>
      <c r="AB205" t="str">
        <f>IF(Matchs!N206="","",Matchs!N206)</f>
        <v/>
      </c>
      <c r="AC205" s="6" t="str">
        <f t="shared" si="71"/>
        <v xml:space="preserve">",Stadium=" </v>
      </c>
      <c r="AD205" s="11" t="str">
        <f>Matchs!O206</f>
        <v xml:space="preserve">Estadio Azteca </v>
      </c>
      <c r="AE205" s="6" t="str">
        <f t="shared" si="72"/>
        <v>",Referee= "</v>
      </c>
      <c r="AF205" s="11" t="str">
        <f>Matchs!P206</f>
        <v xml:space="preserve">Andrei Radulescu </v>
      </c>
      <c r="AG205" s="6" t="str">
        <f t="shared" si="73"/>
        <v xml:space="preserve">",Visistors= </v>
      </c>
      <c r="AH205" s="11">
        <f>Matchs!Q206</f>
        <v>92000</v>
      </c>
      <c r="AI205" s="11" t="str">
        <f t="shared" si="74"/>
        <v>,Status= "</v>
      </c>
      <c r="AJ205" s="11" t="str">
        <f>Matchs!R206</f>
        <v>Finished</v>
      </c>
      <c r="AK205" t="str">
        <f t="shared" si="75"/>
        <v>" },</v>
      </c>
    </row>
    <row r="206" spans="1:37" x14ac:dyDescent="0.25">
      <c r="A206" t="str">
        <f t="shared" si="57"/>
        <v>new Match { MatchId= "</v>
      </c>
      <c r="B206" t="str">
        <f>Matchs!A207</f>
        <v>FIFAWC1970-6</v>
      </c>
      <c r="C206" t="str">
        <f t="shared" si="58"/>
        <v>",MatchNumer=</v>
      </c>
      <c r="D206">
        <f>Matchs!B207</f>
        <v>6</v>
      </c>
      <c r="E206" t="str">
        <f t="shared" si="59"/>
        <v>,DateMatch=DateTime.Parse("</v>
      </c>
      <c r="F206" s="3">
        <f>Matchs!C207</f>
        <v>25723</v>
      </c>
      <c r="G206" s="10" t="str">
        <f t="shared" si="60"/>
        <v>"),TimeMatch=TimeSpan.Parse("</v>
      </c>
      <c r="H206" s="9">
        <f>Matchs!D207</f>
        <v>0.20833333333333334</v>
      </c>
      <c r="I206" t="str">
        <f t="shared" si="61"/>
        <v>"),MatchYear=</v>
      </c>
      <c r="J206">
        <f>Matchs!E207</f>
        <v>1970</v>
      </c>
      <c r="K206" t="str">
        <f t="shared" si="62"/>
        <v>, SeasonId= "</v>
      </c>
      <c r="L206" t="str">
        <f>Matchs!F207</f>
        <v>FIFAWC1970</v>
      </c>
      <c r="M206" t="str">
        <f t="shared" si="63"/>
        <v>",Round= "</v>
      </c>
      <c r="N206" t="str">
        <f>Matchs!G207</f>
        <v>Final Round</v>
      </c>
      <c r="O206" s="6" t="str">
        <f t="shared" si="64"/>
        <v>",Stage= "</v>
      </c>
      <c r="P206" t="str">
        <f>Matchs!H207</f>
        <v>Group</v>
      </c>
      <c r="Q206" s="6" t="str">
        <f t="shared" si="65"/>
        <v>",SubStage= "</v>
      </c>
      <c r="R206" t="str">
        <f>Matchs!I207</f>
        <v>Group 2</v>
      </c>
      <c r="S206" s="6" t="str">
        <f t="shared" si="66"/>
        <v>",HTeam= "</v>
      </c>
      <c r="T206" t="str">
        <f>Matchs!J207</f>
        <v>Italy</v>
      </c>
      <c r="U206" s="6" t="str">
        <f t="shared" si="67"/>
        <v>",HGoal=</v>
      </c>
      <c r="V206">
        <f>Matchs!K207</f>
        <v>1</v>
      </c>
      <c r="W206" s="6" t="str">
        <f t="shared" si="68"/>
        <v>,GGoal=</v>
      </c>
      <c r="X206">
        <f>Matchs!L207</f>
        <v>0</v>
      </c>
      <c r="Y206" s="6" t="str">
        <f t="shared" si="69"/>
        <v>,GTeam= "</v>
      </c>
      <c r="Z206" t="str">
        <f>Matchs!M207</f>
        <v>Sweden</v>
      </c>
      <c r="AA206" s="6" t="str">
        <f t="shared" si="70"/>
        <v>",WinNote="</v>
      </c>
      <c r="AB206" t="str">
        <f>IF(Matchs!N207="","",Matchs!N207)</f>
        <v/>
      </c>
      <c r="AC206" s="6" t="str">
        <f t="shared" si="71"/>
        <v xml:space="preserve">",Stadium=" </v>
      </c>
      <c r="AD206" s="11" t="str">
        <f>Matchs!O207</f>
        <v xml:space="preserve">Estadio Nemesio Díez </v>
      </c>
      <c r="AE206" s="6" t="str">
        <f t="shared" si="72"/>
        <v>",Referee= "</v>
      </c>
      <c r="AF206" s="11" t="str">
        <f>Matchs!P207</f>
        <v xml:space="preserve">Jack Taylor </v>
      </c>
      <c r="AG206" s="6" t="str">
        <f t="shared" si="73"/>
        <v xml:space="preserve">",Visistors= </v>
      </c>
      <c r="AH206" s="11">
        <f>Matchs!Q207</f>
        <v>14000</v>
      </c>
      <c r="AI206" s="11" t="str">
        <f t="shared" si="74"/>
        <v>,Status= "</v>
      </c>
      <c r="AJ206" s="11" t="str">
        <f>Matchs!R207</f>
        <v>Finished</v>
      </c>
      <c r="AK206" t="str">
        <f t="shared" si="75"/>
        <v>" },</v>
      </c>
    </row>
    <row r="207" spans="1:37" x14ac:dyDescent="0.25">
      <c r="A207" t="str">
        <f t="shared" si="57"/>
        <v>new Match { MatchId= "</v>
      </c>
      <c r="B207" t="str">
        <f>Matchs!A208</f>
        <v>FIFAWC1970-7</v>
      </c>
      <c r="C207" t="str">
        <f t="shared" si="58"/>
        <v>",MatchNumer=</v>
      </c>
      <c r="D207">
        <f>Matchs!B208</f>
        <v>7</v>
      </c>
      <c r="E207" t="str">
        <f t="shared" si="59"/>
        <v>,DateMatch=DateTime.Parse("</v>
      </c>
      <c r="F207" s="3">
        <f>Matchs!C208</f>
        <v>25723</v>
      </c>
      <c r="G207" s="10" t="str">
        <f t="shared" si="60"/>
        <v>"),TimeMatch=TimeSpan.Parse("</v>
      </c>
      <c r="H207" s="9">
        <f>Matchs!D208</f>
        <v>0.20833333333333334</v>
      </c>
      <c r="I207" t="str">
        <f t="shared" si="61"/>
        <v>"),MatchYear=</v>
      </c>
      <c r="J207">
        <f>Matchs!E208</f>
        <v>1970</v>
      </c>
      <c r="K207" t="str">
        <f t="shared" si="62"/>
        <v>, SeasonId= "</v>
      </c>
      <c r="L207" t="str">
        <f>Matchs!F208</f>
        <v>FIFAWC1970</v>
      </c>
      <c r="M207" t="str">
        <f t="shared" si="63"/>
        <v>",Round= "</v>
      </c>
      <c r="N207" t="str">
        <f>Matchs!G208</f>
        <v>Final Round</v>
      </c>
      <c r="O207" s="6" t="str">
        <f t="shared" si="64"/>
        <v>",Stage= "</v>
      </c>
      <c r="P207" t="str">
        <f>Matchs!H208</f>
        <v>Group</v>
      </c>
      <c r="Q207" s="6" t="str">
        <f t="shared" si="65"/>
        <v>",SubStage= "</v>
      </c>
      <c r="R207" t="str">
        <f>Matchs!I208</f>
        <v>Group 3</v>
      </c>
      <c r="S207" s="6" t="str">
        <f t="shared" si="66"/>
        <v>",HTeam= "</v>
      </c>
      <c r="T207" t="str">
        <f>Matchs!J208</f>
        <v>Brazil</v>
      </c>
      <c r="U207" s="6" t="str">
        <f t="shared" si="67"/>
        <v>",HGoal=</v>
      </c>
      <c r="V207">
        <f>Matchs!K208</f>
        <v>4</v>
      </c>
      <c r="W207" s="6" t="str">
        <f t="shared" si="68"/>
        <v>,GGoal=</v>
      </c>
      <c r="X207">
        <f>Matchs!L208</f>
        <v>1</v>
      </c>
      <c r="Y207" s="6" t="str">
        <f t="shared" si="69"/>
        <v>,GTeam= "</v>
      </c>
      <c r="Z207" t="str">
        <f>Matchs!M208</f>
        <v>Czechoslovakia</v>
      </c>
      <c r="AA207" s="6" t="str">
        <f t="shared" si="70"/>
        <v>",WinNote="</v>
      </c>
      <c r="AB207" t="str">
        <f>IF(Matchs!N208="","",Matchs!N208)</f>
        <v/>
      </c>
      <c r="AC207" s="6" t="str">
        <f t="shared" si="71"/>
        <v xml:space="preserve">",Stadium=" </v>
      </c>
      <c r="AD207" s="11" t="str">
        <f>Matchs!O208</f>
        <v xml:space="preserve">Estadio Jalisco </v>
      </c>
      <c r="AE207" s="6" t="str">
        <f t="shared" si="72"/>
        <v>",Referee= "</v>
      </c>
      <c r="AF207" s="11" t="str">
        <f>Matchs!P208</f>
        <v xml:space="preserve">Ramón Barreto </v>
      </c>
      <c r="AG207" s="6" t="str">
        <f t="shared" si="73"/>
        <v xml:space="preserve">",Visistors= </v>
      </c>
      <c r="AH207" s="11">
        <f>Matchs!Q208</f>
        <v>52897</v>
      </c>
      <c r="AI207" s="11" t="str">
        <f t="shared" si="74"/>
        <v>,Status= "</v>
      </c>
      <c r="AJ207" s="11" t="str">
        <f>Matchs!R208</f>
        <v>Finished</v>
      </c>
      <c r="AK207" t="str">
        <f t="shared" si="75"/>
        <v>" },</v>
      </c>
    </row>
    <row r="208" spans="1:37" x14ac:dyDescent="0.25">
      <c r="A208" t="str">
        <f t="shared" si="57"/>
        <v>new Match { MatchId= "</v>
      </c>
      <c r="B208" t="str">
        <f>Matchs!A209</f>
        <v>FIFAWC1970-8</v>
      </c>
      <c r="C208" t="str">
        <f t="shared" si="58"/>
        <v>",MatchNumer=</v>
      </c>
      <c r="D208">
        <f>Matchs!B209</f>
        <v>8</v>
      </c>
      <c r="E208" t="str">
        <f t="shared" si="59"/>
        <v>,DateMatch=DateTime.Parse("</v>
      </c>
      <c r="F208" s="3">
        <f>Matchs!C209</f>
        <v>25723</v>
      </c>
      <c r="G208" s="10" t="str">
        <f t="shared" si="60"/>
        <v>"),TimeMatch=TimeSpan.Parse("</v>
      </c>
      <c r="H208" s="9">
        <f>Matchs!D209</f>
        <v>0.20833333333333334</v>
      </c>
      <c r="I208" t="str">
        <f t="shared" si="61"/>
        <v>"),MatchYear=</v>
      </c>
      <c r="J208">
        <f>Matchs!E209</f>
        <v>1970</v>
      </c>
      <c r="K208" t="str">
        <f t="shared" si="62"/>
        <v>, SeasonId= "</v>
      </c>
      <c r="L208" t="str">
        <f>Matchs!F209</f>
        <v>FIFAWC1970</v>
      </c>
      <c r="M208" t="str">
        <f t="shared" si="63"/>
        <v>",Round= "</v>
      </c>
      <c r="N208" t="str">
        <f>Matchs!G209</f>
        <v>Final Round</v>
      </c>
      <c r="O208" s="6" t="str">
        <f t="shared" si="64"/>
        <v>",Stage= "</v>
      </c>
      <c r="P208" t="str">
        <f>Matchs!H209</f>
        <v>Group</v>
      </c>
      <c r="Q208" s="6" t="str">
        <f t="shared" si="65"/>
        <v>",SubStage= "</v>
      </c>
      <c r="R208" t="str">
        <f>Matchs!I209</f>
        <v>Group 4</v>
      </c>
      <c r="S208" s="6" t="str">
        <f t="shared" si="66"/>
        <v>",HTeam= "</v>
      </c>
      <c r="T208" t="str">
        <f>Matchs!J209</f>
        <v>Germany</v>
      </c>
      <c r="U208" s="6" t="str">
        <f t="shared" si="67"/>
        <v>",HGoal=</v>
      </c>
      <c r="V208">
        <f>Matchs!K209</f>
        <v>2</v>
      </c>
      <c r="W208" s="6" t="str">
        <f t="shared" si="68"/>
        <v>,GGoal=</v>
      </c>
      <c r="X208">
        <f>Matchs!L209</f>
        <v>1</v>
      </c>
      <c r="Y208" s="6" t="str">
        <f t="shared" si="69"/>
        <v>,GTeam= "</v>
      </c>
      <c r="Z208" t="str">
        <f>Matchs!M209</f>
        <v>Morocco</v>
      </c>
      <c r="AA208" s="6" t="str">
        <f t="shared" si="70"/>
        <v>",WinNote="</v>
      </c>
      <c r="AB208" t="str">
        <f>IF(Matchs!N209="","",Matchs!N209)</f>
        <v/>
      </c>
      <c r="AC208" s="6" t="str">
        <f t="shared" si="71"/>
        <v xml:space="preserve">",Stadium=" </v>
      </c>
      <c r="AD208" s="11" t="str">
        <f>Matchs!O209</f>
        <v xml:space="preserve">Estadio León </v>
      </c>
      <c r="AE208" s="6" t="str">
        <f t="shared" si="72"/>
        <v>",Referee= "</v>
      </c>
      <c r="AF208" s="11" t="str">
        <f>Matchs!P209</f>
        <v xml:space="preserve">Laurens van Ravens </v>
      </c>
      <c r="AG208" s="6" t="str">
        <f t="shared" si="73"/>
        <v xml:space="preserve">",Visistors= </v>
      </c>
      <c r="AH208" s="11">
        <f>Matchs!Q209</f>
        <v>12942</v>
      </c>
      <c r="AI208" s="11" t="str">
        <f t="shared" si="74"/>
        <v>,Status= "</v>
      </c>
      <c r="AJ208" s="11" t="str">
        <f>Matchs!R209</f>
        <v>Finished</v>
      </c>
      <c r="AK208" t="str">
        <f t="shared" si="75"/>
        <v>" },</v>
      </c>
    </row>
    <row r="209" spans="1:37" x14ac:dyDescent="0.25">
      <c r="A209" t="str">
        <f t="shared" si="57"/>
        <v>new Match { MatchId= "</v>
      </c>
      <c r="B209" t="str">
        <f>Matchs!A210</f>
        <v>FIFAWC1970-9</v>
      </c>
      <c r="C209" t="str">
        <f t="shared" si="58"/>
        <v>",MatchNumer=</v>
      </c>
      <c r="D209">
        <f>Matchs!B210</f>
        <v>9</v>
      </c>
      <c r="E209" t="str">
        <f t="shared" si="59"/>
        <v>,DateMatch=DateTime.Parse("</v>
      </c>
      <c r="F209" s="3">
        <f>Matchs!C210</f>
        <v>25726</v>
      </c>
      <c r="G209" s="10" t="str">
        <f t="shared" si="60"/>
        <v>"),TimeMatch=TimeSpan.Parse("</v>
      </c>
      <c r="H209" s="9">
        <f>Matchs!D210</f>
        <v>0.20833333333333334</v>
      </c>
      <c r="I209" t="str">
        <f t="shared" si="61"/>
        <v>"),MatchYear=</v>
      </c>
      <c r="J209">
        <f>Matchs!E210</f>
        <v>1970</v>
      </c>
      <c r="K209" t="str">
        <f t="shared" si="62"/>
        <v>, SeasonId= "</v>
      </c>
      <c r="L209" t="str">
        <f>Matchs!F210</f>
        <v>FIFAWC1970</v>
      </c>
      <c r="M209" t="str">
        <f t="shared" si="63"/>
        <v>",Round= "</v>
      </c>
      <c r="N209" t="str">
        <f>Matchs!G210</f>
        <v>Final Round</v>
      </c>
      <c r="O209" s="6" t="str">
        <f t="shared" si="64"/>
        <v>",Stage= "</v>
      </c>
      <c r="P209" t="str">
        <f>Matchs!H210</f>
        <v>Group</v>
      </c>
      <c r="Q209" s="6" t="str">
        <f t="shared" si="65"/>
        <v>",SubStage= "</v>
      </c>
      <c r="R209" t="str">
        <f>Matchs!I210</f>
        <v>Group 1</v>
      </c>
      <c r="S209" s="6" t="str">
        <f t="shared" si="66"/>
        <v>",HTeam= "</v>
      </c>
      <c r="T209" t="str">
        <f>Matchs!J210</f>
        <v>Soviet Union</v>
      </c>
      <c r="U209" s="6" t="str">
        <f t="shared" si="67"/>
        <v>",HGoal=</v>
      </c>
      <c r="V209">
        <f>Matchs!K210</f>
        <v>4</v>
      </c>
      <c r="W209" s="6" t="str">
        <f t="shared" si="68"/>
        <v>,GGoal=</v>
      </c>
      <c r="X209">
        <f>Matchs!L210</f>
        <v>1</v>
      </c>
      <c r="Y209" s="6" t="str">
        <f t="shared" si="69"/>
        <v>,GTeam= "</v>
      </c>
      <c r="Z209" t="str">
        <f>Matchs!M210</f>
        <v>Belgium</v>
      </c>
      <c r="AA209" s="6" t="str">
        <f t="shared" si="70"/>
        <v>",WinNote="</v>
      </c>
      <c r="AB209" t="str">
        <f>IF(Matchs!N210="","",Matchs!N210)</f>
        <v/>
      </c>
      <c r="AC209" s="6" t="str">
        <f t="shared" si="71"/>
        <v xml:space="preserve">",Stadium=" </v>
      </c>
      <c r="AD209" s="11" t="str">
        <f>Matchs!O210</f>
        <v xml:space="preserve">Estadio Azteca </v>
      </c>
      <c r="AE209" s="6" t="str">
        <f t="shared" si="72"/>
        <v>",Referee= "</v>
      </c>
      <c r="AF209" s="11" t="str">
        <f>Matchs!P210</f>
        <v xml:space="preserve">Rudolf Scheurer </v>
      </c>
      <c r="AG209" s="6" t="str">
        <f t="shared" si="73"/>
        <v xml:space="preserve">",Visistors= </v>
      </c>
      <c r="AH209" s="11">
        <f>Matchs!Q210</f>
        <v>59000</v>
      </c>
      <c r="AI209" s="11" t="str">
        <f t="shared" si="74"/>
        <v>,Status= "</v>
      </c>
      <c r="AJ209" s="11" t="str">
        <f>Matchs!R210</f>
        <v>Finished</v>
      </c>
      <c r="AK209" t="str">
        <f t="shared" si="75"/>
        <v>" },</v>
      </c>
    </row>
    <row r="210" spans="1:37" x14ac:dyDescent="0.25">
      <c r="A210" t="str">
        <f t="shared" si="57"/>
        <v>new Match { MatchId= "</v>
      </c>
      <c r="B210" t="str">
        <f>Matchs!A211</f>
        <v>FIFAWC1970-10</v>
      </c>
      <c r="C210" t="str">
        <f t="shared" si="58"/>
        <v>",MatchNumer=</v>
      </c>
      <c r="D210">
        <f>Matchs!B211</f>
        <v>10</v>
      </c>
      <c r="E210" t="str">
        <f t="shared" si="59"/>
        <v>,DateMatch=DateTime.Parse("</v>
      </c>
      <c r="F210" s="3">
        <f>Matchs!C211</f>
        <v>25726</v>
      </c>
      <c r="G210" s="10" t="str">
        <f t="shared" si="60"/>
        <v>"),TimeMatch=TimeSpan.Parse("</v>
      </c>
      <c r="H210" s="9">
        <f>Matchs!D211</f>
        <v>0.20833333333333334</v>
      </c>
      <c r="I210" t="str">
        <f t="shared" si="61"/>
        <v>"),MatchYear=</v>
      </c>
      <c r="J210">
        <f>Matchs!E211</f>
        <v>1970</v>
      </c>
      <c r="K210" t="str">
        <f t="shared" si="62"/>
        <v>, SeasonId= "</v>
      </c>
      <c r="L210" t="str">
        <f>Matchs!F211</f>
        <v>FIFAWC1970</v>
      </c>
      <c r="M210" t="str">
        <f t="shared" si="63"/>
        <v>",Round= "</v>
      </c>
      <c r="N210" t="str">
        <f>Matchs!G211</f>
        <v>Final Round</v>
      </c>
      <c r="O210" s="6" t="str">
        <f t="shared" si="64"/>
        <v>",Stage= "</v>
      </c>
      <c r="P210" t="str">
        <f>Matchs!H211</f>
        <v>Group</v>
      </c>
      <c r="Q210" s="6" t="str">
        <f t="shared" si="65"/>
        <v>",SubStage= "</v>
      </c>
      <c r="R210" t="str">
        <f>Matchs!I211</f>
        <v>Group 2</v>
      </c>
      <c r="S210" s="6" t="str">
        <f t="shared" si="66"/>
        <v>",HTeam= "</v>
      </c>
      <c r="T210" t="str">
        <f>Matchs!J211</f>
        <v>Uruguay</v>
      </c>
      <c r="U210" s="6" t="str">
        <f t="shared" si="67"/>
        <v>",HGoal=</v>
      </c>
      <c r="V210">
        <f>Matchs!K211</f>
        <v>0</v>
      </c>
      <c r="W210" s="6" t="str">
        <f t="shared" si="68"/>
        <v>,GGoal=</v>
      </c>
      <c r="X210">
        <f>Matchs!L211</f>
        <v>0</v>
      </c>
      <c r="Y210" s="6" t="str">
        <f t="shared" si="69"/>
        <v>,GTeam= "</v>
      </c>
      <c r="Z210" t="str">
        <f>Matchs!M211</f>
        <v>Italy</v>
      </c>
      <c r="AA210" s="6" t="str">
        <f t="shared" si="70"/>
        <v>",WinNote="</v>
      </c>
      <c r="AB210" t="str">
        <f>IF(Matchs!N211="","",Matchs!N211)</f>
        <v/>
      </c>
      <c r="AC210" s="6" t="str">
        <f t="shared" si="71"/>
        <v xml:space="preserve">",Stadium=" </v>
      </c>
      <c r="AD210" s="11" t="str">
        <f>Matchs!O211</f>
        <v xml:space="preserve">Estadio Cuauhtémoc </v>
      </c>
      <c r="AE210" s="6" t="str">
        <f t="shared" si="72"/>
        <v>",Referee= "</v>
      </c>
      <c r="AF210" s="11" t="str">
        <f>Matchs!P211</f>
        <v xml:space="preserve">Rudi Glockner </v>
      </c>
      <c r="AG210" s="6" t="str">
        <f t="shared" si="73"/>
        <v xml:space="preserve">",Visistors= </v>
      </c>
      <c r="AH210" s="11">
        <f>Matchs!Q211</f>
        <v>30000</v>
      </c>
      <c r="AI210" s="11" t="str">
        <f t="shared" si="74"/>
        <v>,Status= "</v>
      </c>
      <c r="AJ210" s="11" t="str">
        <f>Matchs!R211</f>
        <v>Finished</v>
      </c>
      <c r="AK210" t="str">
        <f t="shared" si="75"/>
        <v>" },</v>
      </c>
    </row>
    <row r="211" spans="1:37" x14ac:dyDescent="0.25">
      <c r="A211" t="str">
        <f t="shared" si="57"/>
        <v>new Match { MatchId= "</v>
      </c>
      <c r="B211" t="str">
        <f>Matchs!A212</f>
        <v>FIFAWC1970-11</v>
      </c>
      <c r="C211" t="str">
        <f t="shared" si="58"/>
        <v>",MatchNumer=</v>
      </c>
      <c r="D211">
        <f>Matchs!B212</f>
        <v>11</v>
      </c>
      <c r="E211" t="str">
        <f t="shared" si="59"/>
        <v>,DateMatch=DateTime.Parse("</v>
      </c>
      <c r="F211" s="3">
        <f>Matchs!C212</f>
        <v>25726</v>
      </c>
      <c r="G211" s="10" t="str">
        <f t="shared" si="60"/>
        <v>"),TimeMatch=TimeSpan.Parse("</v>
      </c>
      <c r="H211" s="9">
        <f>Matchs!D212</f>
        <v>0.20833333333333334</v>
      </c>
      <c r="I211" t="str">
        <f t="shared" si="61"/>
        <v>"),MatchYear=</v>
      </c>
      <c r="J211">
        <f>Matchs!E212</f>
        <v>1970</v>
      </c>
      <c r="K211" t="str">
        <f t="shared" si="62"/>
        <v>, SeasonId= "</v>
      </c>
      <c r="L211" t="str">
        <f>Matchs!F212</f>
        <v>FIFAWC1970</v>
      </c>
      <c r="M211" t="str">
        <f t="shared" si="63"/>
        <v>",Round= "</v>
      </c>
      <c r="N211" t="str">
        <f>Matchs!G212</f>
        <v>Final Round</v>
      </c>
      <c r="O211" s="6" t="str">
        <f t="shared" si="64"/>
        <v>",Stage= "</v>
      </c>
      <c r="P211" t="str">
        <f>Matchs!H212</f>
        <v>Group</v>
      </c>
      <c r="Q211" s="6" t="str">
        <f t="shared" si="65"/>
        <v>",SubStage= "</v>
      </c>
      <c r="R211" t="str">
        <f>Matchs!I212</f>
        <v>Group 4</v>
      </c>
      <c r="S211" s="6" t="str">
        <f t="shared" si="66"/>
        <v>",HTeam= "</v>
      </c>
      <c r="T211" t="str">
        <f>Matchs!J212</f>
        <v>Peru</v>
      </c>
      <c r="U211" s="6" t="str">
        <f t="shared" si="67"/>
        <v>",HGoal=</v>
      </c>
      <c r="V211">
        <f>Matchs!K212</f>
        <v>3</v>
      </c>
      <c r="W211" s="6" t="str">
        <f t="shared" si="68"/>
        <v>,GGoal=</v>
      </c>
      <c r="X211">
        <f>Matchs!L212</f>
        <v>0</v>
      </c>
      <c r="Y211" s="6" t="str">
        <f t="shared" si="69"/>
        <v>,GTeam= "</v>
      </c>
      <c r="Z211" t="str">
        <f>Matchs!M212</f>
        <v>Morocco</v>
      </c>
      <c r="AA211" s="6" t="str">
        <f t="shared" si="70"/>
        <v>",WinNote="</v>
      </c>
      <c r="AB211" t="str">
        <f>IF(Matchs!N212="","",Matchs!N212)</f>
        <v/>
      </c>
      <c r="AC211" s="6" t="str">
        <f t="shared" si="71"/>
        <v xml:space="preserve">",Stadium=" </v>
      </c>
      <c r="AD211" s="11" t="str">
        <f>Matchs!O212</f>
        <v xml:space="preserve">Estadio León </v>
      </c>
      <c r="AE211" s="6" t="str">
        <f t="shared" si="72"/>
        <v>",Referee= "</v>
      </c>
      <c r="AF211" s="11" t="str">
        <f>Matchs!P212</f>
        <v xml:space="preserve">Tofik Bakhramov </v>
      </c>
      <c r="AG211" s="6" t="str">
        <f t="shared" si="73"/>
        <v xml:space="preserve">",Visistors= </v>
      </c>
      <c r="AH211" s="11">
        <f>Matchs!Q212</f>
        <v>13537</v>
      </c>
      <c r="AI211" s="11" t="str">
        <f t="shared" si="74"/>
        <v>,Status= "</v>
      </c>
      <c r="AJ211" s="11" t="str">
        <f>Matchs!R212</f>
        <v>Finished</v>
      </c>
      <c r="AK211" t="str">
        <f t="shared" si="75"/>
        <v>" },</v>
      </c>
    </row>
    <row r="212" spans="1:37" x14ac:dyDescent="0.25">
      <c r="A212" t="str">
        <f t="shared" si="57"/>
        <v>new Match { MatchId= "</v>
      </c>
      <c r="B212" t="str">
        <f>Matchs!A213</f>
        <v>FIFAWC1970-12</v>
      </c>
      <c r="C212" t="str">
        <f t="shared" si="58"/>
        <v>",MatchNumer=</v>
      </c>
      <c r="D212">
        <f>Matchs!B213</f>
        <v>12</v>
      </c>
      <c r="E212" t="str">
        <f t="shared" si="59"/>
        <v>,DateMatch=DateTime.Parse("</v>
      </c>
      <c r="F212" s="3">
        <f>Matchs!C213</f>
        <v>25726</v>
      </c>
      <c r="G212" s="10" t="str">
        <f t="shared" si="60"/>
        <v>"),TimeMatch=TimeSpan.Parse("</v>
      </c>
      <c r="H212" s="9">
        <f>Matchs!D213</f>
        <v>0.20833333333333334</v>
      </c>
      <c r="I212" t="str">
        <f t="shared" si="61"/>
        <v>"),MatchYear=</v>
      </c>
      <c r="J212">
        <f>Matchs!E213</f>
        <v>1970</v>
      </c>
      <c r="K212" t="str">
        <f t="shared" si="62"/>
        <v>, SeasonId= "</v>
      </c>
      <c r="L212" t="str">
        <f>Matchs!F213</f>
        <v>FIFAWC1970</v>
      </c>
      <c r="M212" t="str">
        <f t="shared" si="63"/>
        <v>",Round= "</v>
      </c>
      <c r="N212" t="str">
        <f>Matchs!G213</f>
        <v>Final Round</v>
      </c>
      <c r="O212" s="6" t="str">
        <f t="shared" si="64"/>
        <v>",Stage= "</v>
      </c>
      <c r="P212" t="str">
        <f>Matchs!H213</f>
        <v>Group</v>
      </c>
      <c r="Q212" s="6" t="str">
        <f t="shared" si="65"/>
        <v>",SubStage= "</v>
      </c>
      <c r="R212" t="str">
        <f>Matchs!I213</f>
        <v>Group 3</v>
      </c>
      <c r="S212" s="6" t="str">
        <f t="shared" si="66"/>
        <v>",HTeam= "</v>
      </c>
      <c r="T212" t="str">
        <f>Matchs!J213</f>
        <v>Romania</v>
      </c>
      <c r="U212" s="6" t="str">
        <f t="shared" si="67"/>
        <v>",HGoal=</v>
      </c>
      <c r="V212">
        <f>Matchs!K213</f>
        <v>2</v>
      </c>
      <c r="W212" s="6" t="str">
        <f t="shared" si="68"/>
        <v>,GGoal=</v>
      </c>
      <c r="X212">
        <f>Matchs!L213</f>
        <v>1</v>
      </c>
      <c r="Y212" s="6" t="str">
        <f t="shared" si="69"/>
        <v>,GTeam= "</v>
      </c>
      <c r="Z212" t="str">
        <f>Matchs!M213</f>
        <v>Czechoslovakia</v>
      </c>
      <c r="AA212" s="6" t="str">
        <f t="shared" si="70"/>
        <v>",WinNote="</v>
      </c>
      <c r="AB212" t="str">
        <f>IF(Matchs!N213="","",Matchs!N213)</f>
        <v/>
      </c>
      <c r="AC212" s="6" t="str">
        <f t="shared" si="71"/>
        <v xml:space="preserve">",Stadium=" </v>
      </c>
      <c r="AD212" s="11" t="str">
        <f>Matchs!O213</f>
        <v xml:space="preserve">Estadio Jalisco </v>
      </c>
      <c r="AE212" s="6" t="str">
        <f t="shared" si="72"/>
        <v>",Referee= "</v>
      </c>
      <c r="AF212" s="11" t="str">
        <f>Matchs!P213</f>
        <v xml:space="preserve">Diego de Leo </v>
      </c>
      <c r="AG212" s="6" t="str">
        <f t="shared" si="73"/>
        <v xml:space="preserve">",Visistors= </v>
      </c>
      <c r="AH212" s="11">
        <f>Matchs!Q213</f>
        <v>56818</v>
      </c>
      <c r="AI212" s="11" t="str">
        <f t="shared" si="74"/>
        <v>,Status= "</v>
      </c>
      <c r="AJ212" s="11" t="str">
        <f>Matchs!R213</f>
        <v>Finished</v>
      </c>
      <c r="AK212" t="str">
        <f t="shared" si="75"/>
        <v>" },</v>
      </c>
    </row>
    <row r="213" spans="1:37" x14ac:dyDescent="0.25">
      <c r="A213" t="str">
        <f t="shared" si="57"/>
        <v>new Match { MatchId= "</v>
      </c>
      <c r="B213" t="str">
        <f>Matchs!A214</f>
        <v>FIFAWC1970-13</v>
      </c>
      <c r="C213" t="str">
        <f t="shared" si="58"/>
        <v>",MatchNumer=</v>
      </c>
      <c r="D213">
        <f>Matchs!B214</f>
        <v>13</v>
      </c>
      <c r="E213" t="str">
        <f t="shared" si="59"/>
        <v>,DateMatch=DateTime.Parse("</v>
      </c>
      <c r="F213" s="3">
        <f>Matchs!C214</f>
        <v>25727</v>
      </c>
      <c r="G213" s="10" t="str">
        <f t="shared" si="60"/>
        <v>"),TimeMatch=TimeSpan.Parse("</v>
      </c>
      <c r="H213" s="9">
        <f>Matchs!D214</f>
        <v>0.20833333333333334</v>
      </c>
      <c r="I213" t="str">
        <f t="shared" si="61"/>
        <v>"),MatchYear=</v>
      </c>
      <c r="J213">
        <f>Matchs!E214</f>
        <v>1970</v>
      </c>
      <c r="K213" t="str">
        <f t="shared" si="62"/>
        <v>, SeasonId= "</v>
      </c>
      <c r="L213" t="str">
        <f>Matchs!F214</f>
        <v>FIFAWC1970</v>
      </c>
      <c r="M213" t="str">
        <f t="shared" si="63"/>
        <v>",Round= "</v>
      </c>
      <c r="N213" t="str">
        <f>Matchs!G214</f>
        <v>Final Round</v>
      </c>
      <c r="O213" s="6" t="str">
        <f t="shared" si="64"/>
        <v>",Stage= "</v>
      </c>
      <c r="P213" t="str">
        <f>Matchs!H214</f>
        <v>Group</v>
      </c>
      <c r="Q213" s="6" t="str">
        <f t="shared" si="65"/>
        <v>",SubStage= "</v>
      </c>
      <c r="R213" t="str">
        <f>Matchs!I214</f>
        <v>Group 1</v>
      </c>
      <c r="S213" s="6" t="str">
        <f t="shared" si="66"/>
        <v>",HTeam= "</v>
      </c>
      <c r="T213" t="str">
        <f>Matchs!J214</f>
        <v>Mexico</v>
      </c>
      <c r="U213" s="6" t="str">
        <f t="shared" si="67"/>
        <v>",HGoal=</v>
      </c>
      <c r="V213">
        <f>Matchs!K214</f>
        <v>4</v>
      </c>
      <c r="W213" s="6" t="str">
        <f t="shared" si="68"/>
        <v>,GGoal=</v>
      </c>
      <c r="X213">
        <f>Matchs!L214</f>
        <v>0</v>
      </c>
      <c r="Y213" s="6" t="str">
        <f t="shared" si="69"/>
        <v>,GTeam= "</v>
      </c>
      <c r="Z213" t="str">
        <f>Matchs!M214</f>
        <v>El Salvador</v>
      </c>
      <c r="AA213" s="6" t="str">
        <f t="shared" si="70"/>
        <v>",WinNote="</v>
      </c>
      <c r="AB213" t="str">
        <f>IF(Matchs!N214="","",Matchs!N214)</f>
        <v/>
      </c>
      <c r="AC213" s="6" t="str">
        <f t="shared" si="71"/>
        <v xml:space="preserve">",Stadium=" </v>
      </c>
      <c r="AD213" s="11" t="str">
        <f>Matchs!O214</f>
        <v xml:space="preserve">Estadio Azteca </v>
      </c>
      <c r="AE213" s="6" t="str">
        <f t="shared" si="72"/>
        <v>",Referee= "</v>
      </c>
      <c r="AF213" s="11" t="str">
        <f>Matchs!P214</f>
        <v xml:space="preserve">Ali Kandil </v>
      </c>
      <c r="AG213" s="6" t="str">
        <f t="shared" si="73"/>
        <v xml:space="preserve">",Visistors= </v>
      </c>
      <c r="AH213" s="11">
        <f>Matchs!Q214</f>
        <v>103000</v>
      </c>
      <c r="AI213" s="11" t="str">
        <f t="shared" si="74"/>
        <v>,Status= "</v>
      </c>
      <c r="AJ213" s="11" t="str">
        <f>Matchs!R214</f>
        <v>Finished</v>
      </c>
      <c r="AK213" t="str">
        <f t="shared" si="75"/>
        <v>" },</v>
      </c>
    </row>
    <row r="214" spans="1:37" x14ac:dyDescent="0.25">
      <c r="A214" t="str">
        <f t="shared" si="57"/>
        <v>new Match { MatchId= "</v>
      </c>
      <c r="B214" t="str">
        <f>Matchs!A215</f>
        <v>FIFAWC1970-14</v>
      </c>
      <c r="C214" t="str">
        <f t="shared" si="58"/>
        <v>",MatchNumer=</v>
      </c>
      <c r="D214">
        <f>Matchs!B215</f>
        <v>14</v>
      </c>
      <c r="E214" t="str">
        <f t="shared" si="59"/>
        <v>,DateMatch=DateTime.Parse("</v>
      </c>
      <c r="F214" s="3">
        <f>Matchs!C215</f>
        <v>25727</v>
      </c>
      <c r="G214" s="10" t="str">
        <f t="shared" si="60"/>
        <v>"),TimeMatch=TimeSpan.Parse("</v>
      </c>
      <c r="H214" s="9">
        <f>Matchs!D215</f>
        <v>0.20833333333333334</v>
      </c>
      <c r="I214" t="str">
        <f t="shared" si="61"/>
        <v>"),MatchYear=</v>
      </c>
      <c r="J214">
        <f>Matchs!E215</f>
        <v>1970</v>
      </c>
      <c r="K214" t="str">
        <f t="shared" si="62"/>
        <v>, SeasonId= "</v>
      </c>
      <c r="L214" t="str">
        <f>Matchs!F215</f>
        <v>FIFAWC1970</v>
      </c>
      <c r="M214" t="str">
        <f t="shared" si="63"/>
        <v>",Round= "</v>
      </c>
      <c r="N214" t="str">
        <f>Matchs!G215</f>
        <v>Final Round</v>
      </c>
      <c r="O214" s="6" t="str">
        <f t="shared" si="64"/>
        <v>",Stage= "</v>
      </c>
      <c r="P214" t="str">
        <f>Matchs!H215</f>
        <v>Group</v>
      </c>
      <c r="Q214" s="6" t="str">
        <f t="shared" si="65"/>
        <v>",SubStage= "</v>
      </c>
      <c r="R214" t="str">
        <f>Matchs!I215</f>
        <v>Group 2</v>
      </c>
      <c r="S214" s="6" t="str">
        <f t="shared" si="66"/>
        <v>",HTeam= "</v>
      </c>
      <c r="T214" t="str">
        <f>Matchs!J215</f>
        <v>Sweden</v>
      </c>
      <c r="U214" s="6" t="str">
        <f t="shared" si="67"/>
        <v>",HGoal=</v>
      </c>
      <c r="V214">
        <f>Matchs!K215</f>
        <v>1</v>
      </c>
      <c r="W214" s="6" t="str">
        <f t="shared" si="68"/>
        <v>,GGoal=</v>
      </c>
      <c r="X214">
        <f>Matchs!L215</f>
        <v>1</v>
      </c>
      <c r="Y214" s="6" t="str">
        <f t="shared" si="69"/>
        <v>,GTeam= "</v>
      </c>
      <c r="Z214" t="str">
        <f>Matchs!M215</f>
        <v>Israel</v>
      </c>
      <c r="AA214" s="6" t="str">
        <f t="shared" si="70"/>
        <v>",WinNote="</v>
      </c>
      <c r="AB214" t="str">
        <f>IF(Matchs!N215="","",Matchs!N215)</f>
        <v/>
      </c>
      <c r="AC214" s="6" t="str">
        <f t="shared" si="71"/>
        <v xml:space="preserve">",Stadium=" </v>
      </c>
      <c r="AD214" s="11" t="str">
        <f>Matchs!O215</f>
        <v xml:space="preserve">Estadio Nemesio Díez </v>
      </c>
      <c r="AE214" s="6" t="str">
        <f t="shared" si="72"/>
        <v>",Referee= "</v>
      </c>
      <c r="AF214" s="11" t="str">
        <f>Matchs!P215</f>
        <v xml:space="preserve">Seyoum Tarekegn </v>
      </c>
      <c r="AG214" s="6" t="str">
        <f t="shared" si="73"/>
        <v xml:space="preserve">",Visistors= </v>
      </c>
      <c r="AH214" s="11">
        <f>Matchs!Q215</f>
        <v>10000</v>
      </c>
      <c r="AI214" s="11" t="str">
        <f t="shared" si="74"/>
        <v>,Status= "</v>
      </c>
      <c r="AJ214" s="11" t="str">
        <f>Matchs!R215</f>
        <v>Finished</v>
      </c>
      <c r="AK214" t="str">
        <f t="shared" si="75"/>
        <v>" },</v>
      </c>
    </row>
    <row r="215" spans="1:37" x14ac:dyDescent="0.25">
      <c r="A215" t="str">
        <f t="shared" si="57"/>
        <v>new Match { MatchId= "</v>
      </c>
      <c r="B215" t="str">
        <f>Matchs!A216</f>
        <v>FIFAWC1970-15</v>
      </c>
      <c r="C215" t="str">
        <f t="shared" si="58"/>
        <v>",MatchNumer=</v>
      </c>
      <c r="D215">
        <f>Matchs!B216</f>
        <v>15</v>
      </c>
      <c r="E215" t="str">
        <f t="shared" si="59"/>
        <v>,DateMatch=DateTime.Parse("</v>
      </c>
      <c r="F215" s="3">
        <f>Matchs!C216</f>
        <v>25727</v>
      </c>
      <c r="G215" s="10" t="str">
        <f t="shared" si="60"/>
        <v>"),TimeMatch=TimeSpan.Parse("</v>
      </c>
      <c r="H215" s="9">
        <f>Matchs!D216</f>
        <v>0.20833333333333334</v>
      </c>
      <c r="I215" t="str">
        <f t="shared" si="61"/>
        <v>"),MatchYear=</v>
      </c>
      <c r="J215">
        <f>Matchs!E216</f>
        <v>1970</v>
      </c>
      <c r="K215" t="str">
        <f t="shared" si="62"/>
        <v>, SeasonId= "</v>
      </c>
      <c r="L215" t="str">
        <f>Matchs!F216</f>
        <v>FIFAWC1970</v>
      </c>
      <c r="M215" t="str">
        <f t="shared" si="63"/>
        <v>",Round= "</v>
      </c>
      <c r="N215" t="str">
        <f>Matchs!G216</f>
        <v>Final Round</v>
      </c>
      <c r="O215" s="6" t="str">
        <f t="shared" si="64"/>
        <v>",Stage= "</v>
      </c>
      <c r="P215" t="str">
        <f>Matchs!H216</f>
        <v>Group</v>
      </c>
      <c r="Q215" s="6" t="str">
        <f t="shared" si="65"/>
        <v>",SubStage= "</v>
      </c>
      <c r="R215" t="str">
        <f>Matchs!I216</f>
        <v>Group 4</v>
      </c>
      <c r="S215" s="6" t="str">
        <f t="shared" si="66"/>
        <v>",HTeam= "</v>
      </c>
      <c r="T215" t="str">
        <f>Matchs!J216</f>
        <v>Germany</v>
      </c>
      <c r="U215" s="6" t="str">
        <f t="shared" si="67"/>
        <v>",HGoal=</v>
      </c>
      <c r="V215">
        <f>Matchs!K216</f>
        <v>5</v>
      </c>
      <c r="W215" s="6" t="str">
        <f t="shared" si="68"/>
        <v>,GGoal=</v>
      </c>
      <c r="X215">
        <f>Matchs!L216</f>
        <v>2</v>
      </c>
      <c r="Y215" s="6" t="str">
        <f t="shared" si="69"/>
        <v>,GTeam= "</v>
      </c>
      <c r="Z215" t="str">
        <f>Matchs!M216</f>
        <v>Bulgaria</v>
      </c>
      <c r="AA215" s="6" t="str">
        <f t="shared" si="70"/>
        <v>",WinNote="</v>
      </c>
      <c r="AB215" t="str">
        <f>IF(Matchs!N216="","",Matchs!N216)</f>
        <v/>
      </c>
      <c r="AC215" s="6" t="str">
        <f t="shared" si="71"/>
        <v xml:space="preserve">",Stadium=" </v>
      </c>
      <c r="AD215" s="11" t="str">
        <f>Matchs!O216</f>
        <v xml:space="preserve">Estadio León </v>
      </c>
      <c r="AE215" s="6" t="str">
        <f t="shared" si="72"/>
        <v>",Referee= "</v>
      </c>
      <c r="AF215" s="11" t="str">
        <f>Matchs!P216</f>
        <v xml:space="preserve">José Maria Ortiz de Mendibil </v>
      </c>
      <c r="AG215" s="6" t="str">
        <f t="shared" si="73"/>
        <v xml:space="preserve">",Visistors= </v>
      </c>
      <c r="AH215" s="11">
        <f>Matchs!Q216</f>
        <v>12710</v>
      </c>
      <c r="AI215" s="11" t="str">
        <f t="shared" si="74"/>
        <v>,Status= "</v>
      </c>
      <c r="AJ215" s="11" t="str">
        <f>Matchs!R216</f>
        <v>Finished</v>
      </c>
      <c r="AK215" t="str">
        <f t="shared" si="75"/>
        <v>" },</v>
      </c>
    </row>
    <row r="216" spans="1:37" x14ac:dyDescent="0.25">
      <c r="A216" t="str">
        <f t="shared" si="57"/>
        <v>new Match { MatchId= "</v>
      </c>
      <c r="B216" t="str">
        <f>Matchs!A217</f>
        <v>FIFAWC1970-16</v>
      </c>
      <c r="C216" t="str">
        <f t="shared" si="58"/>
        <v>",MatchNumer=</v>
      </c>
      <c r="D216">
        <f>Matchs!B217</f>
        <v>16</v>
      </c>
      <c r="E216" t="str">
        <f t="shared" si="59"/>
        <v>,DateMatch=DateTime.Parse("</v>
      </c>
      <c r="F216" s="3">
        <f>Matchs!C217</f>
        <v>25727</v>
      </c>
      <c r="G216" s="10" t="str">
        <f t="shared" si="60"/>
        <v>"),TimeMatch=TimeSpan.Parse("</v>
      </c>
      <c r="H216" s="9">
        <f>Matchs!D217</f>
        <v>0.20833333333333334</v>
      </c>
      <c r="I216" t="str">
        <f t="shared" si="61"/>
        <v>"),MatchYear=</v>
      </c>
      <c r="J216">
        <f>Matchs!E217</f>
        <v>1970</v>
      </c>
      <c r="K216" t="str">
        <f t="shared" si="62"/>
        <v>, SeasonId= "</v>
      </c>
      <c r="L216" t="str">
        <f>Matchs!F217</f>
        <v>FIFAWC1970</v>
      </c>
      <c r="M216" t="str">
        <f t="shared" si="63"/>
        <v>",Round= "</v>
      </c>
      <c r="N216" t="str">
        <f>Matchs!G217</f>
        <v>Final Round</v>
      </c>
      <c r="O216" s="6" t="str">
        <f t="shared" si="64"/>
        <v>",Stage= "</v>
      </c>
      <c r="P216" t="str">
        <f>Matchs!H217</f>
        <v>Group</v>
      </c>
      <c r="Q216" s="6" t="str">
        <f t="shared" si="65"/>
        <v>",SubStage= "</v>
      </c>
      <c r="R216" t="str">
        <f>Matchs!I217</f>
        <v>Group 3</v>
      </c>
      <c r="S216" s="6" t="str">
        <f t="shared" si="66"/>
        <v>",HTeam= "</v>
      </c>
      <c r="T216" t="str">
        <f>Matchs!J217</f>
        <v>Brazil</v>
      </c>
      <c r="U216" s="6" t="str">
        <f t="shared" si="67"/>
        <v>",HGoal=</v>
      </c>
      <c r="V216">
        <f>Matchs!K217</f>
        <v>1</v>
      </c>
      <c r="W216" s="6" t="str">
        <f t="shared" si="68"/>
        <v>,GGoal=</v>
      </c>
      <c r="X216">
        <f>Matchs!L217</f>
        <v>0</v>
      </c>
      <c r="Y216" s="6" t="str">
        <f t="shared" si="69"/>
        <v>,GTeam= "</v>
      </c>
      <c r="Z216" t="str">
        <f>Matchs!M217</f>
        <v>England</v>
      </c>
      <c r="AA216" s="6" t="str">
        <f t="shared" si="70"/>
        <v>",WinNote="</v>
      </c>
      <c r="AB216" t="str">
        <f>IF(Matchs!N217="","",Matchs!N217)</f>
        <v/>
      </c>
      <c r="AC216" s="6" t="str">
        <f t="shared" si="71"/>
        <v xml:space="preserve">",Stadium=" </v>
      </c>
      <c r="AD216" s="11" t="str">
        <f>Matchs!O217</f>
        <v xml:space="preserve">Estadio Jalisco </v>
      </c>
      <c r="AE216" s="6" t="str">
        <f t="shared" si="72"/>
        <v>",Referee= "</v>
      </c>
      <c r="AF216" s="11" t="str">
        <f>Matchs!P217</f>
        <v xml:space="preserve">Abraham Klein </v>
      </c>
      <c r="AG216" s="6" t="str">
        <f t="shared" si="73"/>
        <v xml:space="preserve">",Visistors= </v>
      </c>
      <c r="AH216" s="11">
        <f>Matchs!Q217</f>
        <v>66834</v>
      </c>
      <c r="AI216" s="11" t="str">
        <f t="shared" si="74"/>
        <v>,Status= "</v>
      </c>
      <c r="AJ216" s="11" t="str">
        <f>Matchs!R217</f>
        <v>Finished</v>
      </c>
      <c r="AK216" t="str">
        <f t="shared" si="75"/>
        <v>" },</v>
      </c>
    </row>
    <row r="217" spans="1:37" x14ac:dyDescent="0.25">
      <c r="A217" t="str">
        <f t="shared" si="57"/>
        <v>new Match { MatchId= "</v>
      </c>
      <c r="B217" t="str">
        <f>Matchs!A218</f>
        <v>FIFAWC1970-17</v>
      </c>
      <c r="C217" t="str">
        <f t="shared" si="58"/>
        <v>",MatchNumer=</v>
      </c>
      <c r="D217">
        <f>Matchs!B218</f>
        <v>17</v>
      </c>
      <c r="E217" t="str">
        <f t="shared" si="59"/>
        <v>,DateMatch=DateTime.Parse("</v>
      </c>
      <c r="F217" s="3">
        <f>Matchs!C218</f>
        <v>25730</v>
      </c>
      <c r="G217" s="10" t="str">
        <f t="shared" si="60"/>
        <v>"),TimeMatch=TimeSpan.Parse("</v>
      </c>
      <c r="H217" s="9">
        <f>Matchs!D218</f>
        <v>0.20833333333333334</v>
      </c>
      <c r="I217" t="str">
        <f t="shared" si="61"/>
        <v>"),MatchYear=</v>
      </c>
      <c r="J217">
        <f>Matchs!E218</f>
        <v>1970</v>
      </c>
      <c r="K217" t="str">
        <f t="shared" si="62"/>
        <v>, SeasonId= "</v>
      </c>
      <c r="L217" t="str">
        <f>Matchs!F218</f>
        <v>FIFAWC1970</v>
      </c>
      <c r="M217" t="str">
        <f t="shared" si="63"/>
        <v>",Round= "</v>
      </c>
      <c r="N217" t="str">
        <f>Matchs!G218</f>
        <v>Final Round</v>
      </c>
      <c r="O217" s="6" t="str">
        <f t="shared" si="64"/>
        <v>",Stage= "</v>
      </c>
      <c r="P217" t="str">
        <f>Matchs!H218</f>
        <v>Group</v>
      </c>
      <c r="Q217" s="6" t="str">
        <f t="shared" si="65"/>
        <v>",SubStage= "</v>
      </c>
      <c r="R217" t="str">
        <f>Matchs!I218</f>
        <v>Group 1</v>
      </c>
      <c r="S217" s="6" t="str">
        <f t="shared" si="66"/>
        <v>",HTeam= "</v>
      </c>
      <c r="T217" t="str">
        <f>Matchs!J218</f>
        <v>Soviet Union</v>
      </c>
      <c r="U217" s="6" t="str">
        <f t="shared" si="67"/>
        <v>",HGoal=</v>
      </c>
      <c r="V217">
        <f>Matchs!K218</f>
        <v>2</v>
      </c>
      <c r="W217" s="6" t="str">
        <f t="shared" si="68"/>
        <v>,GGoal=</v>
      </c>
      <c r="X217">
        <f>Matchs!L218</f>
        <v>0</v>
      </c>
      <c r="Y217" s="6" t="str">
        <f t="shared" si="69"/>
        <v>,GTeam= "</v>
      </c>
      <c r="Z217" t="str">
        <f>Matchs!M218</f>
        <v>El Salvador</v>
      </c>
      <c r="AA217" s="6" t="str">
        <f t="shared" si="70"/>
        <v>",WinNote="</v>
      </c>
      <c r="AB217" t="str">
        <f>IF(Matchs!N218="","",Matchs!N218)</f>
        <v/>
      </c>
      <c r="AC217" s="6" t="str">
        <f t="shared" si="71"/>
        <v xml:space="preserve">",Stadium=" </v>
      </c>
      <c r="AD217" s="11" t="str">
        <f>Matchs!O218</f>
        <v xml:space="preserve">Estadio Azteca </v>
      </c>
      <c r="AE217" s="6" t="str">
        <f t="shared" si="72"/>
        <v>",Referee= "</v>
      </c>
      <c r="AF217" s="11" t="str">
        <f>Matchs!P218</f>
        <v xml:space="preserve">Rafael Hormazabal Diaz </v>
      </c>
      <c r="AG217" s="6" t="str">
        <f t="shared" si="73"/>
        <v xml:space="preserve">",Visistors= </v>
      </c>
      <c r="AH217" s="11">
        <f>Matchs!Q218</f>
        <v>89000</v>
      </c>
      <c r="AI217" s="11" t="str">
        <f t="shared" si="74"/>
        <v>,Status= "</v>
      </c>
      <c r="AJ217" s="11" t="str">
        <f>Matchs!R218</f>
        <v>Finished</v>
      </c>
      <c r="AK217" t="str">
        <f t="shared" si="75"/>
        <v>" },</v>
      </c>
    </row>
    <row r="218" spans="1:37" x14ac:dyDescent="0.25">
      <c r="A218" t="str">
        <f t="shared" si="57"/>
        <v>new Match { MatchId= "</v>
      </c>
      <c r="B218" t="str">
        <f>Matchs!A219</f>
        <v>FIFAWC1970-18</v>
      </c>
      <c r="C218" t="str">
        <f t="shared" si="58"/>
        <v>",MatchNumer=</v>
      </c>
      <c r="D218">
        <f>Matchs!B219</f>
        <v>18</v>
      </c>
      <c r="E218" t="str">
        <f t="shared" si="59"/>
        <v>,DateMatch=DateTime.Parse("</v>
      </c>
      <c r="F218" s="3">
        <f>Matchs!C219</f>
        <v>25730</v>
      </c>
      <c r="G218" s="10" t="str">
        <f t="shared" si="60"/>
        <v>"),TimeMatch=TimeSpan.Parse("</v>
      </c>
      <c r="H218" s="9">
        <f>Matchs!D219</f>
        <v>0.20833333333333334</v>
      </c>
      <c r="I218" t="str">
        <f t="shared" si="61"/>
        <v>"),MatchYear=</v>
      </c>
      <c r="J218">
        <f>Matchs!E219</f>
        <v>1970</v>
      </c>
      <c r="K218" t="str">
        <f t="shared" si="62"/>
        <v>, SeasonId= "</v>
      </c>
      <c r="L218" t="str">
        <f>Matchs!F219</f>
        <v>FIFAWC1970</v>
      </c>
      <c r="M218" t="str">
        <f t="shared" si="63"/>
        <v>",Round= "</v>
      </c>
      <c r="N218" t="str">
        <f>Matchs!G219</f>
        <v>Final Round</v>
      </c>
      <c r="O218" s="6" t="str">
        <f t="shared" si="64"/>
        <v>",Stage= "</v>
      </c>
      <c r="P218" t="str">
        <f>Matchs!H219</f>
        <v>Group</v>
      </c>
      <c r="Q218" s="6" t="str">
        <f t="shared" si="65"/>
        <v>",SubStage= "</v>
      </c>
      <c r="R218" t="str">
        <f>Matchs!I219</f>
        <v>Group 4</v>
      </c>
      <c r="S218" s="6" t="str">
        <f t="shared" si="66"/>
        <v>",HTeam= "</v>
      </c>
      <c r="T218" t="str">
        <f>Matchs!J219</f>
        <v>Germany</v>
      </c>
      <c r="U218" s="6" t="str">
        <f t="shared" si="67"/>
        <v>",HGoal=</v>
      </c>
      <c r="V218">
        <f>Matchs!K219</f>
        <v>3</v>
      </c>
      <c r="W218" s="6" t="str">
        <f t="shared" si="68"/>
        <v>,GGoal=</v>
      </c>
      <c r="X218">
        <f>Matchs!L219</f>
        <v>1</v>
      </c>
      <c r="Y218" s="6" t="str">
        <f t="shared" si="69"/>
        <v>,GTeam= "</v>
      </c>
      <c r="Z218" t="str">
        <f>Matchs!M219</f>
        <v>Peru</v>
      </c>
      <c r="AA218" s="6" t="str">
        <f t="shared" si="70"/>
        <v>",WinNote="</v>
      </c>
      <c r="AB218" t="str">
        <f>IF(Matchs!N219="","",Matchs!N219)</f>
        <v/>
      </c>
      <c r="AC218" s="6" t="str">
        <f t="shared" si="71"/>
        <v xml:space="preserve">",Stadium=" </v>
      </c>
      <c r="AD218" s="11" t="str">
        <f>Matchs!O219</f>
        <v xml:space="preserve">Estadio León </v>
      </c>
      <c r="AE218" s="6" t="str">
        <f t="shared" si="72"/>
        <v>",Referee= "</v>
      </c>
      <c r="AF218" s="11" t="str">
        <f>Matchs!P219</f>
        <v xml:space="preserve">Abel Aguilar Elizalde </v>
      </c>
      <c r="AG218" s="6" t="str">
        <f t="shared" si="73"/>
        <v xml:space="preserve">",Visistors= </v>
      </c>
      <c r="AH218" s="11">
        <f>Matchs!Q219</f>
        <v>17875</v>
      </c>
      <c r="AI218" s="11" t="str">
        <f t="shared" si="74"/>
        <v>,Status= "</v>
      </c>
      <c r="AJ218" s="11" t="str">
        <f>Matchs!R219</f>
        <v>Finished</v>
      </c>
      <c r="AK218" t="str">
        <f t="shared" si="75"/>
        <v>" },</v>
      </c>
    </row>
    <row r="219" spans="1:37" x14ac:dyDescent="0.25">
      <c r="A219" t="str">
        <f t="shared" si="57"/>
        <v>new Match { MatchId= "</v>
      </c>
      <c r="B219" t="str">
        <f>Matchs!A220</f>
        <v>FIFAWC1970-19</v>
      </c>
      <c r="C219" t="str">
        <f t="shared" si="58"/>
        <v>",MatchNumer=</v>
      </c>
      <c r="D219">
        <f>Matchs!B220</f>
        <v>19</v>
      </c>
      <c r="E219" t="str">
        <f t="shared" si="59"/>
        <v>,DateMatch=DateTime.Parse("</v>
      </c>
      <c r="F219" s="3">
        <f>Matchs!C220</f>
        <v>25730</v>
      </c>
      <c r="G219" s="10" t="str">
        <f t="shared" si="60"/>
        <v>"),TimeMatch=TimeSpan.Parse("</v>
      </c>
      <c r="H219" s="9">
        <f>Matchs!D220</f>
        <v>0.20833333333333334</v>
      </c>
      <c r="I219" t="str">
        <f t="shared" si="61"/>
        <v>"),MatchYear=</v>
      </c>
      <c r="J219">
        <f>Matchs!E220</f>
        <v>1970</v>
      </c>
      <c r="K219" t="str">
        <f t="shared" si="62"/>
        <v>, SeasonId= "</v>
      </c>
      <c r="L219" t="str">
        <f>Matchs!F220</f>
        <v>FIFAWC1970</v>
      </c>
      <c r="M219" t="str">
        <f t="shared" si="63"/>
        <v>",Round= "</v>
      </c>
      <c r="N219" t="str">
        <f>Matchs!G220</f>
        <v>Final Round</v>
      </c>
      <c r="O219" s="6" t="str">
        <f t="shared" si="64"/>
        <v>",Stage= "</v>
      </c>
      <c r="P219" t="str">
        <f>Matchs!H220</f>
        <v>Group</v>
      </c>
      <c r="Q219" s="6" t="str">
        <f t="shared" si="65"/>
        <v>",SubStage= "</v>
      </c>
      <c r="R219" t="str">
        <f>Matchs!I220</f>
        <v>Group 3</v>
      </c>
      <c r="S219" s="6" t="str">
        <f t="shared" si="66"/>
        <v>",HTeam= "</v>
      </c>
      <c r="T219" t="str">
        <f>Matchs!J220</f>
        <v>Brazil</v>
      </c>
      <c r="U219" s="6" t="str">
        <f t="shared" si="67"/>
        <v>",HGoal=</v>
      </c>
      <c r="V219">
        <f>Matchs!K220</f>
        <v>3</v>
      </c>
      <c r="W219" s="6" t="str">
        <f t="shared" si="68"/>
        <v>,GGoal=</v>
      </c>
      <c r="X219">
        <f>Matchs!L220</f>
        <v>2</v>
      </c>
      <c r="Y219" s="6" t="str">
        <f t="shared" si="69"/>
        <v>,GTeam= "</v>
      </c>
      <c r="Z219" t="str">
        <f>Matchs!M220</f>
        <v>Romania</v>
      </c>
      <c r="AA219" s="6" t="str">
        <f t="shared" si="70"/>
        <v>",WinNote="</v>
      </c>
      <c r="AB219" t="str">
        <f>IF(Matchs!N220="","",Matchs!N220)</f>
        <v/>
      </c>
      <c r="AC219" s="6" t="str">
        <f t="shared" si="71"/>
        <v xml:space="preserve">",Stadium=" </v>
      </c>
      <c r="AD219" s="11" t="str">
        <f>Matchs!O220</f>
        <v xml:space="preserve">Estadio Jalisco </v>
      </c>
      <c r="AE219" s="6" t="str">
        <f t="shared" si="72"/>
        <v>",Referee= "</v>
      </c>
      <c r="AF219" s="11" t="str">
        <f>Matchs!P220</f>
        <v xml:space="preserve">Ferdinand Marschall </v>
      </c>
      <c r="AG219" s="6" t="str">
        <f t="shared" si="73"/>
        <v xml:space="preserve">",Visistors= </v>
      </c>
      <c r="AH219" s="11">
        <f>Matchs!Q220</f>
        <v>50804</v>
      </c>
      <c r="AI219" s="11" t="str">
        <f t="shared" si="74"/>
        <v>,Status= "</v>
      </c>
      <c r="AJ219" s="11" t="str">
        <f>Matchs!R220</f>
        <v>Finished</v>
      </c>
      <c r="AK219" t="str">
        <f t="shared" si="75"/>
        <v>" },</v>
      </c>
    </row>
    <row r="220" spans="1:37" x14ac:dyDescent="0.25">
      <c r="A220" t="str">
        <f t="shared" si="57"/>
        <v>new Match { MatchId= "</v>
      </c>
      <c r="B220" t="str">
        <f>Matchs!A221</f>
        <v>FIFAWC1970-20</v>
      </c>
      <c r="C220" t="str">
        <f t="shared" si="58"/>
        <v>",MatchNumer=</v>
      </c>
      <c r="D220">
        <f>Matchs!B221</f>
        <v>20</v>
      </c>
      <c r="E220" t="str">
        <f t="shared" si="59"/>
        <v>,DateMatch=DateTime.Parse("</v>
      </c>
      <c r="F220" s="3">
        <f>Matchs!C221</f>
        <v>25730</v>
      </c>
      <c r="G220" s="10" t="str">
        <f t="shared" si="60"/>
        <v>"),TimeMatch=TimeSpan.Parse("</v>
      </c>
      <c r="H220" s="9">
        <f>Matchs!D221</f>
        <v>0.20833333333333334</v>
      </c>
      <c r="I220" t="str">
        <f t="shared" si="61"/>
        <v>"),MatchYear=</v>
      </c>
      <c r="J220">
        <f>Matchs!E221</f>
        <v>1970</v>
      </c>
      <c r="K220" t="str">
        <f t="shared" si="62"/>
        <v>, SeasonId= "</v>
      </c>
      <c r="L220" t="str">
        <f>Matchs!F221</f>
        <v>FIFAWC1970</v>
      </c>
      <c r="M220" t="str">
        <f t="shared" si="63"/>
        <v>",Round= "</v>
      </c>
      <c r="N220" t="str">
        <f>Matchs!G221</f>
        <v>Final Round</v>
      </c>
      <c r="O220" s="6" t="str">
        <f t="shared" si="64"/>
        <v>",Stage= "</v>
      </c>
      <c r="P220" t="str">
        <f>Matchs!H221</f>
        <v>Group</v>
      </c>
      <c r="Q220" s="6" t="str">
        <f t="shared" si="65"/>
        <v>",SubStage= "</v>
      </c>
      <c r="R220" t="str">
        <f>Matchs!I221</f>
        <v>Group 2</v>
      </c>
      <c r="S220" s="6" t="str">
        <f t="shared" si="66"/>
        <v>",HTeam= "</v>
      </c>
      <c r="T220" t="str">
        <f>Matchs!J221</f>
        <v>Sweden</v>
      </c>
      <c r="U220" s="6" t="str">
        <f t="shared" si="67"/>
        <v>",HGoal=</v>
      </c>
      <c r="V220">
        <f>Matchs!K221</f>
        <v>1</v>
      </c>
      <c r="W220" s="6" t="str">
        <f t="shared" si="68"/>
        <v>,GGoal=</v>
      </c>
      <c r="X220">
        <f>Matchs!L221</f>
        <v>0</v>
      </c>
      <c r="Y220" s="6" t="str">
        <f t="shared" si="69"/>
        <v>,GTeam= "</v>
      </c>
      <c r="Z220" t="str">
        <f>Matchs!M221</f>
        <v>Uruguay</v>
      </c>
      <c r="AA220" s="6" t="str">
        <f t="shared" si="70"/>
        <v>",WinNote="</v>
      </c>
      <c r="AB220" t="str">
        <f>IF(Matchs!N221="","",Matchs!N221)</f>
        <v/>
      </c>
      <c r="AC220" s="6" t="str">
        <f t="shared" si="71"/>
        <v xml:space="preserve">",Stadium=" </v>
      </c>
      <c r="AD220" s="11" t="str">
        <f>Matchs!O221</f>
        <v xml:space="preserve">Estadio Cuauhtémoc </v>
      </c>
      <c r="AE220" s="6" t="str">
        <f t="shared" si="72"/>
        <v>",Referee= "</v>
      </c>
      <c r="AF220" s="11" t="str">
        <f>Matchs!P221</f>
        <v xml:space="preserve">Henry Landauer </v>
      </c>
      <c r="AG220" s="6" t="str">
        <f t="shared" si="73"/>
        <v xml:space="preserve">",Visistors= </v>
      </c>
      <c r="AH220" s="11">
        <f>Matchs!Q221</f>
        <v>18000</v>
      </c>
      <c r="AI220" s="11" t="str">
        <f t="shared" si="74"/>
        <v>,Status= "</v>
      </c>
      <c r="AJ220" s="11" t="str">
        <f>Matchs!R221</f>
        <v>Finished</v>
      </c>
      <c r="AK220" t="str">
        <f t="shared" si="75"/>
        <v>" },</v>
      </c>
    </row>
    <row r="221" spans="1:37" x14ac:dyDescent="0.25">
      <c r="A221" t="str">
        <f t="shared" si="57"/>
        <v>new Match { MatchId= "</v>
      </c>
      <c r="B221" t="str">
        <f>Matchs!A222</f>
        <v>FIFAWC1970-21</v>
      </c>
      <c r="C221" t="str">
        <f t="shared" si="58"/>
        <v>",MatchNumer=</v>
      </c>
      <c r="D221">
        <f>Matchs!B222</f>
        <v>21</v>
      </c>
      <c r="E221" t="str">
        <f t="shared" si="59"/>
        <v>,DateMatch=DateTime.Parse("</v>
      </c>
      <c r="F221" s="3">
        <f>Matchs!C222</f>
        <v>25731</v>
      </c>
      <c r="G221" s="10" t="str">
        <f t="shared" si="60"/>
        <v>"),TimeMatch=TimeSpan.Parse("</v>
      </c>
      <c r="H221" s="9">
        <f>Matchs!D222</f>
        <v>0.20833333333333334</v>
      </c>
      <c r="I221" t="str">
        <f t="shared" si="61"/>
        <v>"),MatchYear=</v>
      </c>
      <c r="J221">
        <f>Matchs!E222</f>
        <v>1970</v>
      </c>
      <c r="K221" t="str">
        <f t="shared" si="62"/>
        <v>, SeasonId= "</v>
      </c>
      <c r="L221" t="str">
        <f>Matchs!F222</f>
        <v>FIFAWC1970</v>
      </c>
      <c r="M221" t="str">
        <f t="shared" si="63"/>
        <v>",Round= "</v>
      </c>
      <c r="N221" t="str">
        <f>Matchs!G222</f>
        <v>Final Round</v>
      </c>
      <c r="O221" s="6" t="str">
        <f t="shared" si="64"/>
        <v>",Stage= "</v>
      </c>
      <c r="P221" t="str">
        <f>Matchs!H222</f>
        <v>Group</v>
      </c>
      <c r="Q221" s="6" t="str">
        <f t="shared" si="65"/>
        <v>",SubStage= "</v>
      </c>
      <c r="R221" t="str">
        <f>Matchs!I222</f>
        <v>Group 1</v>
      </c>
      <c r="S221" s="6" t="str">
        <f t="shared" si="66"/>
        <v>",HTeam= "</v>
      </c>
      <c r="T221" t="str">
        <f>Matchs!J222</f>
        <v>Mexico</v>
      </c>
      <c r="U221" s="6" t="str">
        <f t="shared" si="67"/>
        <v>",HGoal=</v>
      </c>
      <c r="V221">
        <f>Matchs!K222</f>
        <v>1</v>
      </c>
      <c r="W221" s="6" t="str">
        <f t="shared" si="68"/>
        <v>,GGoal=</v>
      </c>
      <c r="X221">
        <f>Matchs!L222</f>
        <v>0</v>
      </c>
      <c r="Y221" s="6" t="str">
        <f t="shared" si="69"/>
        <v>,GTeam= "</v>
      </c>
      <c r="Z221" t="str">
        <f>Matchs!M222</f>
        <v>Belgium</v>
      </c>
      <c r="AA221" s="6" t="str">
        <f t="shared" si="70"/>
        <v>",WinNote="</v>
      </c>
      <c r="AB221" t="str">
        <f>IF(Matchs!N222="","",Matchs!N222)</f>
        <v/>
      </c>
      <c r="AC221" s="6" t="str">
        <f t="shared" si="71"/>
        <v xml:space="preserve">",Stadium=" </v>
      </c>
      <c r="AD221" s="11" t="str">
        <f>Matchs!O222</f>
        <v xml:space="preserve">Estadio Azteca </v>
      </c>
      <c r="AE221" s="6" t="str">
        <f t="shared" si="72"/>
        <v>",Referee= "</v>
      </c>
      <c r="AF221" s="11" t="str">
        <f>Matchs!P222</f>
        <v xml:space="preserve">Ángel Norberto Coerezza </v>
      </c>
      <c r="AG221" s="6" t="str">
        <f t="shared" si="73"/>
        <v xml:space="preserve">",Visistors= </v>
      </c>
      <c r="AH221" s="11">
        <f>Matchs!Q222</f>
        <v>105000</v>
      </c>
      <c r="AI221" s="11" t="str">
        <f t="shared" si="74"/>
        <v>,Status= "</v>
      </c>
      <c r="AJ221" s="11" t="str">
        <f>Matchs!R222</f>
        <v>Finished</v>
      </c>
      <c r="AK221" t="str">
        <f t="shared" si="75"/>
        <v>" },</v>
      </c>
    </row>
    <row r="222" spans="1:37" x14ac:dyDescent="0.25">
      <c r="A222" t="str">
        <f t="shared" si="57"/>
        <v>new Match { MatchId= "</v>
      </c>
      <c r="B222" t="str">
        <f>Matchs!A223</f>
        <v>FIFAWC1970-22</v>
      </c>
      <c r="C222" t="str">
        <f t="shared" si="58"/>
        <v>",MatchNumer=</v>
      </c>
      <c r="D222">
        <f>Matchs!B223</f>
        <v>22</v>
      </c>
      <c r="E222" t="str">
        <f t="shared" si="59"/>
        <v>,DateMatch=DateTime.Parse("</v>
      </c>
      <c r="F222" s="3">
        <f>Matchs!C223</f>
        <v>25731</v>
      </c>
      <c r="G222" s="10" t="str">
        <f t="shared" si="60"/>
        <v>"),TimeMatch=TimeSpan.Parse("</v>
      </c>
      <c r="H222" s="9">
        <f>Matchs!D223</f>
        <v>0.20833333333333334</v>
      </c>
      <c r="I222" t="str">
        <f t="shared" si="61"/>
        <v>"),MatchYear=</v>
      </c>
      <c r="J222">
        <f>Matchs!E223</f>
        <v>1970</v>
      </c>
      <c r="K222" t="str">
        <f t="shared" si="62"/>
        <v>, SeasonId= "</v>
      </c>
      <c r="L222" t="str">
        <f>Matchs!F223</f>
        <v>FIFAWC1970</v>
      </c>
      <c r="M222" t="str">
        <f t="shared" si="63"/>
        <v>",Round= "</v>
      </c>
      <c r="N222" t="str">
        <f>Matchs!G223</f>
        <v>Final Round</v>
      </c>
      <c r="O222" s="6" t="str">
        <f t="shared" si="64"/>
        <v>",Stage= "</v>
      </c>
      <c r="P222" t="str">
        <f>Matchs!H223</f>
        <v>Group</v>
      </c>
      <c r="Q222" s="6" t="str">
        <f t="shared" si="65"/>
        <v>",SubStage= "</v>
      </c>
      <c r="R222" t="str">
        <f>Matchs!I223</f>
        <v>Group 2</v>
      </c>
      <c r="S222" s="6" t="str">
        <f t="shared" si="66"/>
        <v>",HTeam= "</v>
      </c>
      <c r="T222" t="str">
        <f>Matchs!J223</f>
        <v>Italy</v>
      </c>
      <c r="U222" s="6" t="str">
        <f t="shared" si="67"/>
        <v>",HGoal=</v>
      </c>
      <c r="V222">
        <f>Matchs!K223</f>
        <v>0</v>
      </c>
      <c r="W222" s="6" t="str">
        <f t="shared" si="68"/>
        <v>,GGoal=</v>
      </c>
      <c r="X222">
        <f>Matchs!L223</f>
        <v>0</v>
      </c>
      <c r="Y222" s="6" t="str">
        <f t="shared" si="69"/>
        <v>,GTeam= "</v>
      </c>
      <c r="Z222" t="str">
        <f>Matchs!M223</f>
        <v>Israel</v>
      </c>
      <c r="AA222" s="6" t="str">
        <f t="shared" si="70"/>
        <v>",WinNote="</v>
      </c>
      <c r="AB222" t="str">
        <f>IF(Matchs!N223="","",Matchs!N223)</f>
        <v/>
      </c>
      <c r="AC222" s="6" t="str">
        <f t="shared" si="71"/>
        <v xml:space="preserve">",Stadium=" </v>
      </c>
      <c r="AD222" s="11" t="str">
        <f>Matchs!O223</f>
        <v xml:space="preserve">Estadio Nemesio Díez </v>
      </c>
      <c r="AE222" s="6" t="str">
        <f t="shared" si="72"/>
        <v>",Referee= "</v>
      </c>
      <c r="AF222" s="11" t="str">
        <f>Matchs!P223</f>
        <v xml:space="preserve">Antonio De Moraes </v>
      </c>
      <c r="AG222" s="6" t="str">
        <f t="shared" si="73"/>
        <v xml:space="preserve">",Visistors= </v>
      </c>
      <c r="AH222" s="11">
        <f>Matchs!Q223</f>
        <v>10000</v>
      </c>
      <c r="AI222" s="11" t="str">
        <f t="shared" si="74"/>
        <v>,Status= "</v>
      </c>
      <c r="AJ222" s="11" t="str">
        <f>Matchs!R223</f>
        <v>Finished</v>
      </c>
      <c r="AK222" t="str">
        <f t="shared" si="75"/>
        <v>" },</v>
      </c>
    </row>
    <row r="223" spans="1:37" x14ac:dyDescent="0.25">
      <c r="A223" t="str">
        <f t="shared" si="57"/>
        <v>new Match { MatchId= "</v>
      </c>
      <c r="B223" t="str">
        <f>Matchs!A224</f>
        <v>FIFAWC1970-23</v>
      </c>
      <c r="C223" t="str">
        <f t="shared" si="58"/>
        <v>",MatchNumer=</v>
      </c>
      <c r="D223">
        <f>Matchs!B224</f>
        <v>23</v>
      </c>
      <c r="E223" t="str">
        <f t="shared" si="59"/>
        <v>,DateMatch=DateTime.Parse("</v>
      </c>
      <c r="F223" s="3">
        <f>Matchs!C224</f>
        <v>25731</v>
      </c>
      <c r="G223" s="10" t="str">
        <f t="shared" si="60"/>
        <v>"),TimeMatch=TimeSpan.Parse("</v>
      </c>
      <c r="H223" s="9">
        <f>Matchs!D224</f>
        <v>0.20833333333333334</v>
      </c>
      <c r="I223" t="str">
        <f t="shared" si="61"/>
        <v>"),MatchYear=</v>
      </c>
      <c r="J223">
        <f>Matchs!E224</f>
        <v>1970</v>
      </c>
      <c r="K223" t="str">
        <f t="shared" si="62"/>
        <v>, SeasonId= "</v>
      </c>
      <c r="L223" t="str">
        <f>Matchs!F224</f>
        <v>FIFAWC1970</v>
      </c>
      <c r="M223" t="str">
        <f t="shared" si="63"/>
        <v>",Round= "</v>
      </c>
      <c r="N223" t="str">
        <f>Matchs!G224</f>
        <v>Final Round</v>
      </c>
      <c r="O223" s="6" t="str">
        <f t="shared" si="64"/>
        <v>",Stage= "</v>
      </c>
      <c r="P223" t="str">
        <f>Matchs!H224</f>
        <v>Group</v>
      </c>
      <c r="Q223" s="6" t="str">
        <f t="shared" si="65"/>
        <v>",SubStage= "</v>
      </c>
      <c r="R223" t="str">
        <f>Matchs!I224</f>
        <v>Group 4</v>
      </c>
      <c r="S223" s="6" t="str">
        <f t="shared" si="66"/>
        <v>",HTeam= "</v>
      </c>
      <c r="T223" t="str">
        <f>Matchs!J224</f>
        <v>Bulgaria</v>
      </c>
      <c r="U223" s="6" t="str">
        <f t="shared" si="67"/>
        <v>",HGoal=</v>
      </c>
      <c r="V223">
        <f>Matchs!K224</f>
        <v>1</v>
      </c>
      <c r="W223" s="6" t="str">
        <f t="shared" si="68"/>
        <v>,GGoal=</v>
      </c>
      <c r="X223">
        <f>Matchs!L224</f>
        <v>1</v>
      </c>
      <c r="Y223" s="6" t="str">
        <f t="shared" si="69"/>
        <v>,GTeam= "</v>
      </c>
      <c r="Z223" t="str">
        <f>Matchs!M224</f>
        <v>Morocco</v>
      </c>
      <c r="AA223" s="6" t="str">
        <f t="shared" si="70"/>
        <v>",WinNote="</v>
      </c>
      <c r="AB223" t="str">
        <f>IF(Matchs!N224="","",Matchs!N224)</f>
        <v/>
      </c>
      <c r="AC223" s="6" t="str">
        <f t="shared" si="71"/>
        <v xml:space="preserve">",Stadium=" </v>
      </c>
      <c r="AD223" s="11" t="str">
        <f>Matchs!O224</f>
        <v xml:space="preserve">Estadio León </v>
      </c>
      <c r="AE223" s="6" t="str">
        <f t="shared" si="72"/>
        <v>",Referee= "</v>
      </c>
      <c r="AF223" s="11" t="str">
        <f>Matchs!P224</f>
        <v xml:space="preserve">Antonio Ribeiro Saldanha </v>
      </c>
      <c r="AG223" s="6" t="str">
        <f t="shared" si="73"/>
        <v xml:space="preserve">",Visistors= </v>
      </c>
      <c r="AH223" s="11">
        <f>Matchs!Q224</f>
        <v>12299</v>
      </c>
      <c r="AI223" s="11" t="str">
        <f t="shared" si="74"/>
        <v>,Status= "</v>
      </c>
      <c r="AJ223" s="11" t="str">
        <f>Matchs!R224</f>
        <v>Finished</v>
      </c>
      <c r="AK223" t="str">
        <f t="shared" si="75"/>
        <v>" },</v>
      </c>
    </row>
    <row r="224" spans="1:37" x14ac:dyDescent="0.25">
      <c r="A224" t="str">
        <f t="shared" si="57"/>
        <v>new Match { MatchId= "</v>
      </c>
      <c r="B224" t="str">
        <f>Matchs!A225</f>
        <v>FIFAWC1970-24</v>
      </c>
      <c r="C224" t="str">
        <f t="shared" si="58"/>
        <v>",MatchNumer=</v>
      </c>
      <c r="D224">
        <f>Matchs!B225</f>
        <v>24</v>
      </c>
      <c r="E224" t="str">
        <f t="shared" si="59"/>
        <v>,DateMatch=DateTime.Parse("</v>
      </c>
      <c r="F224" s="3">
        <f>Matchs!C225</f>
        <v>25731</v>
      </c>
      <c r="G224" s="10" t="str">
        <f t="shared" si="60"/>
        <v>"),TimeMatch=TimeSpan.Parse("</v>
      </c>
      <c r="H224" s="9">
        <f>Matchs!D225</f>
        <v>0.20833333333333334</v>
      </c>
      <c r="I224" t="str">
        <f t="shared" si="61"/>
        <v>"),MatchYear=</v>
      </c>
      <c r="J224">
        <f>Matchs!E225</f>
        <v>1970</v>
      </c>
      <c r="K224" t="str">
        <f t="shared" si="62"/>
        <v>, SeasonId= "</v>
      </c>
      <c r="L224" t="str">
        <f>Matchs!F225</f>
        <v>FIFAWC1970</v>
      </c>
      <c r="M224" t="str">
        <f t="shared" si="63"/>
        <v>",Round= "</v>
      </c>
      <c r="N224" t="str">
        <f>Matchs!G225</f>
        <v>Final Round</v>
      </c>
      <c r="O224" s="6" t="str">
        <f t="shared" si="64"/>
        <v>",Stage= "</v>
      </c>
      <c r="P224" t="str">
        <f>Matchs!H225</f>
        <v>Group</v>
      </c>
      <c r="Q224" s="6" t="str">
        <f t="shared" si="65"/>
        <v>",SubStage= "</v>
      </c>
      <c r="R224" t="str">
        <f>Matchs!I225</f>
        <v>Group 3</v>
      </c>
      <c r="S224" s="6" t="str">
        <f t="shared" si="66"/>
        <v>",HTeam= "</v>
      </c>
      <c r="T224" t="str">
        <f>Matchs!J225</f>
        <v>England</v>
      </c>
      <c r="U224" s="6" t="str">
        <f t="shared" si="67"/>
        <v>",HGoal=</v>
      </c>
      <c r="V224">
        <f>Matchs!K225</f>
        <v>1</v>
      </c>
      <c r="W224" s="6" t="str">
        <f t="shared" si="68"/>
        <v>,GGoal=</v>
      </c>
      <c r="X224">
        <f>Matchs!L225</f>
        <v>0</v>
      </c>
      <c r="Y224" s="6" t="str">
        <f t="shared" si="69"/>
        <v>,GTeam= "</v>
      </c>
      <c r="Z224" t="str">
        <f>Matchs!M225</f>
        <v>Czechoslovakia</v>
      </c>
      <c r="AA224" s="6" t="str">
        <f t="shared" si="70"/>
        <v>",WinNote="</v>
      </c>
      <c r="AB224" t="str">
        <f>IF(Matchs!N225="","",Matchs!N225)</f>
        <v/>
      </c>
      <c r="AC224" s="6" t="str">
        <f t="shared" si="71"/>
        <v xml:space="preserve">",Stadium=" </v>
      </c>
      <c r="AD224" s="11" t="str">
        <f>Matchs!O225</f>
        <v xml:space="preserve">Estadio Jalisco </v>
      </c>
      <c r="AE224" s="6" t="str">
        <f t="shared" si="72"/>
        <v>",Referee= "</v>
      </c>
      <c r="AF224" s="11" t="str">
        <f>Matchs!P225</f>
        <v xml:space="preserve">Roger Machin </v>
      </c>
      <c r="AG224" s="6" t="str">
        <f t="shared" si="73"/>
        <v xml:space="preserve">",Visistors= </v>
      </c>
      <c r="AH224" s="11">
        <f>Matchs!Q225</f>
        <v>49262</v>
      </c>
      <c r="AI224" s="11" t="str">
        <f t="shared" si="74"/>
        <v>,Status= "</v>
      </c>
      <c r="AJ224" s="11" t="str">
        <f>Matchs!R225</f>
        <v>Finished</v>
      </c>
      <c r="AK224" t="str">
        <f t="shared" si="75"/>
        <v>" },</v>
      </c>
    </row>
    <row r="225" spans="1:37" x14ac:dyDescent="0.25">
      <c r="A225" t="str">
        <f t="shared" si="57"/>
        <v>new Match { MatchId= "</v>
      </c>
      <c r="B225" t="str">
        <f>Matchs!A226</f>
        <v>FIFAWC1970-25</v>
      </c>
      <c r="C225" t="str">
        <f t="shared" si="58"/>
        <v>",MatchNumer=</v>
      </c>
      <c r="D225">
        <f>Matchs!B226</f>
        <v>25</v>
      </c>
      <c r="E225" t="str">
        <f t="shared" si="59"/>
        <v>,DateMatch=DateTime.Parse("</v>
      </c>
      <c r="F225" s="3">
        <f>Matchs!C226</f>
        <v>25734</v>
      </c>
      <c r="G225" s="10" t="str">
        <f t="shared" si="60"/>
        <v>"),TimeMatch=TimeSpan.Parse("</v>
      </c>
      <c r="H225" s="9">
        <f>Matchs!D226</f>
        <v>0.20833333333333334</v>
      </c>
      <c r="I225" t="str">
        <f t="shared" si="61"/>
        <v>"),MatchYear=</v>
      </c>
      <c r="J225">
        <f>Matchs!E226</f>
        <v>1970</v>
      </c>
      <c r="K225" t="str">
        <f t="shared" si="62"/>
        <v>, SeasonId= "</v>
      </c>
      <c r="L225" t="str">
        <f>Matchs!F226</f>
        <v>FIFAWC1970</v>
      </c>
      <c r="M225" t="str">
        <f t="shared" si="63"/>
        <v>",Round= "</v>
      </c>
      <c r="N225" t="str">
        <f>Matchs!G226</f>
        <v>Final Round</v>
      </c>
      <c r="O225" s="6" t="str">
        <f t="shared" si="64"/>
        <v>",Stage= "</v>
      </c>
      <c r="P225" t="str">
        <f>Matchs!H226</f>
        <v>Knockouts</v>
      </c>
      <c r="Q225" s="6" t="str">
        <f t="shared" si="65"/>
        <v>",SubStage= "</v>
      </c>
      <c r="R225" t="str">
        <f>Matchs!I226</f>
        <v>Quaterfinal</v>
      </c>
      <c r="S225" s="6" t="str">
        <f t="shared" si="66"/>
        <v>",HTeam= "</v>
      </c>
      <c r="T225" t="str">
        <f>Matchs!J226</f>
        <v>Germany</v>
      </c>
      <c r="U225" s="6" t="str">
        <f t="shared" si="67"/>
        <v>",HGoal=</v>
      </c>
      <c r="V225">
        <f>Matchs!K226</f>
        <v>3</v>
      </c>
      <c r="W225" s="6" t="str">
        <f t="shared" si="68"/>
        <v>,GGoal=</v>
      </c>
      <c r="X225">
        <f>Matchs!L226</f>
        <v>2</v>
      </c>
      <c r="Y225" s="6" t="str">
        <f t="shared" si="69"/>
        <v>,GTeam= "</v>
      </c>
      <c r="Z225" t="str">
        <f>Matchs!M226</f>
        <v>England</v>
      </c>
      <c r="AA225" s="6" t="str">
        <f t="shared" si="70"/>
        <v>",WinNote="</v>
      </c>
      <c r="AB225" t="str">
        <f>IF(Matchs!N226="","",Matchs!N226)</f>
        <v/>
      </c>
      <c r="AC225" s="6" t="str">
        <f t="shared" si="71"/>
        <v xml:space="preserve">",Stadium=" </v>
      </c>
      <c r="AD225" s="11" t="str">
        <f>Matchs!O226</f>
        <v xml:space="preserve">Estadio León </v>
      </c>
      <c r="AE225" s="6" t="str">
        <f t="shared" si="72"/>
        <v>",Referee= "</v>
      </c>
      <c r="AF225" s="11" t="str">
        <f>Matchs!P226</f>
        <v xml:space="preserve">Ángel Norberto Coerezza </v>
      </c>
      <c r="AG225" s="6" t="str">
        <f t="shared" si="73"/>
        <v xml:space="preserve">",Visistors= </v>
      </c>
      <c r="AH225" s="11">
        <f>Matchs!Q226</f>
        <v>23357</v>
      </c>
      <c r="AI225" s="11" t="str">
        <f t="shared" si="74"/>
        <v>,Status= "</v>
      </c>
      <c r="AJ225" s="11" t="str">
        <f>Matchs!R226</f>
        <v>Finished</v>
      </c>
      <c r="AK225" t="str">
        <f t="shared" si="75"/>
        <v>" },</v>
      </c>
    </row>
    <row r="226" spans="1:37" x14ac:dyDescent="0.25">
      <c r="A226" t="str">
        <f t="shared" si="57"/>
        <v>new Match { MatchId= "</v>
      </c>
      <c r="B226" t="str">
        <f>Matchs!A227</f>
        <v>FIFAWC1970-26</v>
      </c>
      <c r="C226" t="str">
        <f t="shared" si="58"/>
        <v>",MatchNumer=</v>
      </c>
      <c r="D226">
        <f>Matchs!B227</f>
        <v>26</v>
      </c>
      <c r="E226" t="str">
        <f t="shared" si="59"/>
        <v>,DateMatch=DateTime.Parse("</v>
      </c>
      <c r="F226" s="3">
        <f>Matchs!C227</f>
        <v>25734</v>
      </c>
      <c r="G226" s="10" t="str">
        <f t="shared" si="60"/>
        <v>"),TimeMatch=TimeSpan.Parse("</v>
      </c>
      <c r="H226" s="9">
        <f>Matchs!D227</f>
        <v>0.20833333333333334</v>
      </c>
      <c r="I226" t="str">
        <f t="shared" si="61"/>
        <v>"),MatchYear=</v>
      </c>
      <c r="J226">
        <f>Matchs!E227</f>
        <v>1970</v>
      </c>
      <c r="K226" t="str">
        <f t="shared" si="62"/>
        <v>, SeasonId= "</v>
      </c>
      <c r="L226" t="str">
        <f>Matchs!F227</f>
        <v>FIFAWC1970</v>
      </c>
      <c r="M226" t="str">
        <f t="shared" si="63"/>
        <v>",Round= "</v>
      </c>
      <c r="N226" t="str">
        <f>Matchs!G227</f>
        <v>Final Round</v>
      </c>
      <c r="O226" s="6" t="str">
        <f t="shared" si="64"/>
        <v>",Stage= "</v>
      </c>
      <c r="P226" t="str">
        <f>Matchs!H227</f>
        <v>Knockouts</v>
      </c>
      <c r="Q226" s="6" t="str">
        <f t="shared" si="65"/>
        <v>",SubStage= "</v>
      </c>
      <c r="R226" t="str">
        <f>Matchs!I227</f>
        <v>Quaterfinal</v>
      </c>
      <c r="S226" s="6" t="str">
        <f t="shared" si="66"/>
        <v>",HTeam= "</v>
      </c>
      <c r="T226" t="str">
        <f>Matchs!J227</f>
        <v>Uruguay</v>
      </c>
      <c r="U226" s="6" t="str">
        <f t="shared" si="67"/>
        <v>",HGoal=</v>
      </c>
      <c r="V226">
        <f>Matchs!K227</f>
        <v>1</v>
      </c>
      <c r="W226" s="6" t="str">
        <f t="shared" si="68"/>
        <v>,GGoal=</v>
      </c>
      <c r="X226">
        <f>Matchs!L227</f>
        <v>0</v>
      </c>
      <c r="Y226" s="6" t="str">
        <f t="shared" si="69"/>
        <v>,GTeam= "</v>
      </c>
      <c r="Z226" t="str">
        <f>Matchs!M227</f>
        <v>Soviet Union</v>
      </c>
      <c r="AA226" s="6" t="str">
        <f t="shared" si="70"/>
        <v>",WinNote="</v>
      </c>
      <c r="AB226" t="str">
        <f>IF(Matchs!N227="","",Matchs!N227)</f>
        <v/>
      </c>
      <c r="AC226" s="6" t="str">
        <f t="shared" si="71"/>
        <v xml:space="preserve">",Stadium=" </v>
      </c>
      <c r="AD226" s="11" t="str">
        <f>Matchs!O227</f>
        <v xml:space="preserve">Estadio Azteca </v>
      </c>
      <c r="AE226" s="6" t="str">
        <f t="shared" si="72"/>
        <v>",Referee= "</v>
      </c>
      <c r="AF226" s="11" t="str">
        <f>Matchs!P227</f>
        <v xml:space="preserve">Laurens van Ravens </v>
      </c>
      <c r="AG226" s="6" t="str">
        <f t="shared" si="73"/>
        <v xml:space="preserve">",Visistors= </v>
      </c>
      <c r="AH226" s="11">
        <f>Matchs!Q227</f>
        <v>24550</v>
      </c>
      <c r="AI226" s="11" t="str">
        <f t="shared" si="74"/>
        <v>,Status= "</v>
      </c>
      <c r="AJ226" s="11" t="str">
        <f>Matchs!R227</f>
        <v>Finished</v>
      </c>
      <c r="AK226" t="str">
        <f t="shared" si="75"/>
        <v>" },</v>
      </c>
    </row>
    <row r="227" spans="1:37" x14ac:dyDescent="0.25">
      <c r="A227" t="str">
        <f t="shared" si="57"/>
        <v>new Match { MatchId= "</v>
      </c>
      <c r="B227" t="str">
        <f>Matchs!A228</f>
        <v>FIFAWC1970-27</v>
      </c>
      <c r="C227" t="str">
        <f t="shared" si="58"/>
        <v>",MatchNumer=</v>
      </c>
      <c r="D227">
        <f>Matchs!B228</f>
        <v>27</v>
      </c>
      <c r="E227" t="str">
        <f t="shared" si="59"/>
        <v>,DateMatch=DateTime.Parse("</v>
      </c>
      <c r="F227" s="3">
        <f>Matchs!C228</f>
        <v>25734</v>
      </c>
      <c r="G227" s="10" t="str">
        <f t="shared" si="60"/>
        <v>"),TimeMatch=TimeSpan.Parse("</v>
      </c>
      <c r="H227" s="9">
        <f>Matchs!D228</f>
        <v>0.20833333333333334</v>
      </c>
      <c r="I227" t="str">
        <f t="shared" si="61"/>
        <v>"),MatchYear=</v>
      </c>
      <c r="J227">
        <f>Matchs!E228</f>
        <v>1970</v>
      </c>
      <c r="K227" t="str">
        <f t="shared" si="62"/>
        <v>, SeasonId= "</v>
      </c>
      <c r="L227" t="str">
        <f>Matchs!F228</f>
        <v>FIFAWC1970</v>
      </c>
      <c r="M227" t="str">
        <f t="shared" si="63"/>
        <v>",Round= "</v>
      </c>
      <c r="N227" t="str">
        <f>Matchs!G228</f>
        <v>Final Round</v>
      </c>
      <c r="O227" s="6" t="str">
        <f t="shared" si="64"/>
        <v>",Stage= "</v>
      </c>
      <c r="P227" t="str">
        <f>Matchs!H228</f>
        <v>Knockouts</v>
      </c>
      <c r="Q227" s="6" t="str">
        <f t="shared" si="65"/>
        <v>",SubStage= "</v>
      </c>
      <c r="R227" t="str">
        <f>Matchs!I228</f>
        <v>Quaterfinal</v>
      </c>
      <c r="S227" s="6" t="str">
        <f t="shared" si="66"/>
        <v>",HTeam= "</v>
      </c>
      <c r="T227" t="str">
        <f>Matchs!J228</f>
        <v>Italy</v>
      </c>
      <c r="U227" s="6" t="str">
        <f t="shared" si="67"/>
        <v>",HGoal=</v>
      </c>
      <c r="V227">
        <f>Matchs!K228</f>
        <v>4</v>
      </c>
      <c r="W227" s="6" t="str">
        <f t="shared" si="68"/>
        <v>,GGoal=</v>
      </c>
      <c r="X227">
        <f>Matchs!L228</f>
        <v>1</v>
      </c>
      <c r="Y227" s="6" t="str">
        <f t="shared" si="69"/>
        <v>,GTeam= "</v>
      </c>
      <c r="Z227" t="str">
        <f>Matchs!M228</f>
        <v>Mexico</v>
      </c>
      <c r="AA227" s="6" t="str">
        <f t="shared" si="70"/>
        <v>",WinNote="</v>
      </c>
      <c r="AB227" t="str">
        <f>IF(Matchs!N228="","",Matchs!N228)</f>
        <v/>
      </c>
      <c r="AC227" s="6" t="str">
        <f t="shared" si="71"/>
        <v xml:space="preserve">",Stadium=" </v>
      </c>
      <c r="AD227" s="11" t="str">
        <f>Matchs!O228</f>
        <v xml:space="preserve">Estadio Nemesio Díez </v>
      </c>
      <c r="AE227" s="6" t="str">
        <f t="shared" si="72"/>
        <v>",Referee= "</v>
      </c>
      <c r="AF227" s="11" t="str">
        <f>Matchs!P228</f>
        <v xml:space="preserve">Rudolf Scheurer </v>
      </c>
      <c r="AG227" s="6" t="str">
        <f t="shared" si="73"/>
        <v xml:space="preserve">",Visistors= </v>
      </c>
      <c r="AH227" s="11">
        <f>Matchs!Q228</f>
        <v>26851</v>
      </c>
      <c r="AI227" s="11" t="str">
        <f t="shared" si="74"/>
        <v>,Status= "</v>
      </c>
      <c r="AJ227" s="11" t="str">
        <f>Matchs!R228</f>
        <v>Finished</v>
      </c>
      <c r="AK227" t="str">
        <f t="shared" si="75"/>
        <v>" },</v>
      </c>
    </row>
    <row r="228" spans="1:37" x14ac:dyDescent="0.25">
      <c r="A228" t="str">
        <f t="shared" si="57"/>
        <v>new Match { MatchId= "</v>
      </c>
      <c r="B228" t="str">
        <f>Matchs!A229</f>
        <v>FIFAWC1970-28</v>
      </c>
      <c r="C228" t="str">
        <f t="shared" si="58"/>
        <v>",MatchNumer=</v>
      </c>
      <c r="D228">
        <f>Matchs!B229</f>
        <v>28</v>
      </c>
      <c r="E228" t="str">
        <f t="shared" si="59"/>
        <v>,DateMatch=DateTime.Parse("</v>
      </c>
      <c r="F228" s="3">
        <f>Matchs!C229</f>
        <v>25734</v>
      </c>
      <c r="G228" s="10" t="str">
        <f t="shared" si="60"/>
        <v>"),TimeMatch=TimeSpan.Parse("</v>
      </c>
      <c r="H228" s="9">
        <f>Matchs!D229</f>
        <v>0.20833333333333334</v>
      </c>
      <c r="I228" t="str">
        <f t="shared" si="61"/>
        <v>"),MatchYear=</v>
      </c>
      <c r="J228">
        <f>Matchs!E229</f>
        <v>1970</v>
      </c>
      <c r="K228" t="str">
        <f t="shared" si="62"/>
        <v>, SeasonId= "</v>
      </c>
      <c r="L228" t="str">
        <f>Matchs!F229</f>
        <v>FIFAWC1970</v>
      </c>
      <c r="M228" t="str">
        <f t="shared" si="63"/>
        <v>",Round= "</v>
      </c>
      <c r="N228" t="str">
        <f>Matchs!G229</f>
        <v>Final Round</v>
      </c>
      <c r="O228" s="6" t="str">
        <f t="shared" si="64"/>
        <v>",Stage= "</v>
      </c>
      <c r="P228" t="str">
        <f>Matchs!H229</f>
        <v>Knockouts</v>
      </c>
      <c r="Q228" s="6" t="str">
        <f t="shared" si="65"/>
        <v>",SubStage= "</v>
      </c>
      <c r="R228" t="str">
        <f>Matchs!I229</f>
        <v>Quaterfinal</v>
      </c>
      <c r="S228" s="6" t="str">
        <f t="shared" si="66"/>
        <v>",HTeam= "</v>
      </c>
      <c r="T228" t="str">
        <f>Matchs!J229</f>
        <v>Brazil</v>
      </c>
      <c r="U228" s="6" t="str">
        <f t="shared" si="67"/>
        <v>",HGoal=</v>
      </c>
      <c r="V228">
        <f>Matchs!K229</f>
        <v>4</v>
      </c>
      <c r="W228" s="6" t="str">
        <f t="shared" si="68"/>
        <v>,GGoal=</v>
      </c>
      <c r="X228">
        <f>Matchs!L229</f>
        <v>2</v>
      </c>
      <c r="Y228" s="6" t="str">
        <f t="shared" si="69"/>
        <v>,GTeam= "</v>
      </c>
      <c r="Z228" t="str">
        <f>Matchs!M229</f>
        <v>Peru</v>
      </c>
      <c r="AA228" s="6" t="str">
        <f t="shared" si="70"/>
        <v>",WinNote="</v>
      </c>
      <c r="AB228" t="str">
        <f>IF(Matchs!N229="","",Matchs!N229)</f>
        <v/>
      </c>
      <c r="AC228" s="6" t="str">
        <f t="shared" si="71"/>
        <v xml:space="preserve">",Stadium=" </v>
      </c>
      <c r="AD228" s="11" t="str">
        <f>Matchs!O229</f>
        <v xml:space="preserve">Estadio Jalisco </v>
      </c>
      <c r="AE228" s="6" t="str">
        <f t="shared" si="72"/>
        <v>",Referee= "</v>
      </c>
      <c r="AF228" s="11" t="str">
        <f>Matchs!P229</f>
        <v xml:space="preserve">Vital Loraux </v>
      </c>
      <c r="AG228" s="6" t="str">
        <f t="shared" si="73"/>
        <v xml:space="preserve">",Visistors= </v>
      </c>
      <c r="AH228" s="11">
        <f>Matchs!Q229</f>
        <v>54233</v>
      </c>
      <c r="AI228" s="11" t="str">
        <f t="shared" si="74"/>
        <v>,Status= "</v>
      </c>
      <c r="AJ228" s="11" t="str">
        <f>Matchs!R229</f>
        <v>Finished</v>
      </c>
      <c r="AK228" t="str">
        <f t="shared" si="75"/>
        <v>" },</v>
      </c>
    </row>
    <row r="229" spans="1:37" x14ac:dyDescent="0.25">
      <c r="A229" t="str">
        <f t="shared" si="57"/>
        <v>new Match { MatchId= "</v>
      </c>
      <c r="B229" t="str">
        <f>Matchs!A230</f>
        <v>FIFAWC1970-29</v>
      </c>
      <c r="C229" t="str">
        <f t="shared" si="58"/>
        <v>",MatchNumer=</v>
      </c>
      <c r="D229">
        <f>Matchs!B230</f>
        <v>29</v>
      </c>
      <c r="E229" t="str">
        <f t="shared" si="59"/>
        <v>,DateMatch=DateTime.Parse("</v>
      </c>
      <c r="F229" s="3">
        <f>Matchs!C230</f>
        <v>25737</v>
      </c>
      <c r="G229" s="10" t="str">
        <f t="shared" si="60"/>
        <v>"),TimeMatch=TimeSpan.Parse("</v>
      </c>
      <c r="H229" s="9">
        <f>Matchs!D230</f>
        <v>0.20833333333333334</v>
      </c>
      <c r="I229" t="str">
        <f t="shared" si="61"/>
        <v>"),MatchYear=</v>
      </c>
      <c r="J229">
        <f>Matchs!E230</f>
        <v>1970</v>
      </c>
      <c r="K229" t="str">
        <f t="shared" si="62"/>
        <v>, SeasonId= "</v>
      </c>
      <c r="L229" t="str">
        <f>Matchs!F230</f>
        <v>FIFAWC1970</v>
      </c>
      <c r="M229" t="str">
        <f t="shared" si="63"/>
        <v>",Round= "</v>
      </c>
      <c r="N229" t="str">
        <f>Matchs!G230</f>
        <v>Final Round</v>
      </c>
      <c r="O229" s="6" t="str">
        <f t="shared" si="64"/>
        <v>",Stage= "</v>
      </c>
      <c r="P229" t="str">
        <f>Matchs!H230</f>
        <v>Knockouts</v>
      </c>
      <c r="Q229" s="6" t="str">
        <f t="shared" si="65"/>
        <v>",SubStage= "</v>
      </c>
      <c r="R229" t="str">
        <f>Matchs!I230</f>
        <v>Semifinal</v>
      </c>
      <c r="S229" s="6" t="str">
        <f t="shared" si="66"/>
        <v>",HTeam= "</v>
      </c>
      <c r="T229" t="str">
        <f>Matchs!J230</f>
        <v>Brazil</v>
      </c>
      <c r="U229" s="6" t="str">
        <f t="shared" si="67"/>
        <v>",HGoal=</v>
      </c>
      <c r="V229">
        <f>Matchs!K230</f>
        <v>3</v>
      </c>
      <c r="W229" s="6" t="str">
        <f t="shared" si="68"/>
        <v>,GGoal=</v>
      </c>
      <c r="X229">
        <f>Matchs!L230</f>
        <v>1</v>
      </c>
      <c r="Y229" s="6" t="str">
        <f t="shared" si="69"/>
        <v>,GTeam= "</v>
      </c>
      <c r="Z229" t="str">
        <f>Matchs!M230</f>
        <v>Uruguay</v>
      </c>
      <c r="AA229" s="6" t="str">
        <f t="shared" si="70"/>
        <v>",WinNote="</v>
      </c>
      <c r="AB229" t="str">
        <f>IF(Matchs!N230="","",Matchs!N230)</f>
        <v/>
      </c>
      <c r="AC229" s="6" t="str">
        <f t="shared" si="71"/>
        <v xml:space="preserve">",Stadium=" </v>
      </c>
      <c r="AD229" s="11" t="str">
        <f>Matchs!O230</f>
        <v xml:space="preserve">Estadio Jalisco </v>
      </c>
      <c r="AE229" s="6" t="str">
        <f t="shared" si="72"/>
        <v>",Referee= "</v>
      </c>
      <c r="AF229" s="11" t="str">
        <f>Matchs!P230</f>
        <v xml:space="preserve">José Maria Ortiz de Mendibil </v>
      </c>
      <c r="AG229" s="6" t="str">
        <f t="shared" si="73"/>
        <v xml:space="preserve">",Visistors= </v>
      </c>
      <c r="AH229" s="11">
        <f>Matchs!Q230</f>
        <v>51261</v>
      </c>
      <c r="AI229" s="11" t="str">
        <f t="shared" si="74"/>
        <v>,Status= "</v>
      </c>
      <c r="AJ229" s="11" t="str">
        <f>Matchs!R230</f>
        <v>Finished</v>
      </c>
      <c r="AK229" t="str">
        <f t="shared" si="75"/>
        <v>" },</v>
      </c>
    </row>
    <row r="230" spans="1:37" x14ac:dyDescent="0.25">
      <c r="A230" t="str">
        <f t="shared" si="57"/>
        <v>new Match { MatchId= "</v>
      </c>
      <c r="B230" t="str">
        <f>Matchs!A231</f>
        <v>FIFAWC1970-30</v>
      </c>
      <c r="C230" t="str">
        <f t="shared" si="58"/>
        <v>",MatchNumer=</v>
      </c>
      <c r="D230">
        <f>Matchs!B231</f>
        <v>30</v>
      </c>
      <c r="E230" t="str">
        <f t="shared" si="59"/>
        <v>,DateMatch=DateTime.Parse("</v>
      </c>
      <c r="F230" s="3">
        <f>Matchs!C231</f>
        <v>25737</v>
      </c>
      <c r="G230" s="10" t="str">
        <f t="shared" si="60"/>
        <v>"),TimeMatch=TimeSpan.Parse("</v>
      </c>
      <c r="H230" s="9">
        <f>Matchs!D231</f>
        <v>0.20833333333333334</v>
      </c>
      <c r="I230" t="str">
        <f t="shared" si="61"/>
        <v>"),MatchYear=</v>
      </c>
      <c r="J230">
        <f>Matchs!E231</f>
        <v>1970</v>
      </c>
      <c r="K230" t="str">
        <f t="shared" si="62"/>
        <v>, SeasonId= "</v>
      </c>
      <c r="L230" t="str">
        <f>Matchs!F231</f>
        <v>FIFAWC1970</v>
      </c>
      <c r="M230" t="str">
        <f t="shared" si="63"/>
        <v>",Round= "</v>
      </c>
      <c r="N230" t="str">
        <f>Matchs!G231</f>
        <v>Final Round</v>
      </c>
      <c r="O230" s="6" t="str">
        <f t="shared" si="64"/>
        <v>",Stage= "</v>
      </c>
      <c r="P230" t="str">
        <f>Matchs!H231</f>
        <v>Knockouts</v>
      </c>
      <c r="Q230" s="6" t="str">
        <f t="shared" si="65"/>
        <v>",SubStage= "</v>
      </c>
      <c r="R230" t="str">
        <f>Matchs!I231</f>
        <v>Semifinal</v>
      </c>
      <c r="S230" s="6" t="str">
        <f t="shared" si="66"/>
        <v>",HTeam= "</v>
      </c>
      <c r="T230" t="str">
        <f>Matchs!J231</f>
        <v>Italy</v>
      </c>
      <c r="U230" s="6" t="str">
        <f t="shared" si="67"/>
        <v>",HGoal=</v>
      </c>
      <c r="V230">
        <f>Matchs!K231</f>
        <v>4</v>
      </c>
      <c r="W230" s="6" t="str">
        <f t="shared" si="68"/>
        <v>,GGoal=</v>
      </c>
      <c r="X230">
        <f>Matchs!L231</f>
        <v>3</v>
      </c>
      <c r="Y230" s="6" t="str">
        <f t="shared" si="69"/>
        <v>,GTeam= "</v>
      </c>
      <c r="Z230" t="str">
        <f>Matchs!M231</f>
        <v>Germany</v>
      </c>
      <c r="AA230" s="6" t="str">
        <f t="shared" si="70"/>
        <v>",WinNote="</v>
      </c>
      <c r="AB230" t="str">
        <f>IF(Matchs!N231="","",Matchs!N231)</f>
        <v/>
      </c>
      <c r="AC230" s="6" t="str">
        <f t="shared" si="71"/>
        <v xml:space="preserve">",Stadium=" </v>
      </c>
      <c r="AD230" s="11" t="str">
        <f>Matchs!O231</f>
        <v xml:space="preserve">Estadio Azteca </v>
      </c>
      <c r="AE230" s="6" t="str">
        <f t="shared" si="72"/>
        <v>",Referee= "</v>
      </c>
      <c r="AF230" s="11" t="str">
        <f>Matchs!P231</f>
        <v xml:space="preserve">Arturo Yamasaki Maldonado </v>
      </c>
      <c r="AG230" s="6" t="str">
        <f t="shared" si="73"/>
        <v xml:space="preserve">",Visistors= </v>
      </c>
      <c r="AH230" s="11">
        <f>Matchs!Q231</f>
        <v>102444</v>
      </c>
      <c r="AI230" s="11" t="str">
        <f t="shared" si="74"/>
        <v>,Status= "</v>
      </c>
      <c r="AJ230" s="11" t="str">
        <f>Matchs!R231</f>
        <v>Finished</v>
      </c>
      <c r="AK230" t="str">
        <f t="shared" si="75"/>
        <v>" },</v>
      </c>
    </row>
    <row r="231" spans="1:37" x14ac:dyDescent="0.25">
      <c r="A231" t="str">
        <f t="shared" si="57"/>
        <v>new Match { MatchId= "</v>
      </c>
      <c r="B231" t="str">
        <f>Matchs!A232</f>
        <v>FIFAWC1970-31</v>
      </c>
      <c r="C231" t="str">
        <f t="shared" si="58"/>
        <v>",MatchNumer=</v>
      </c>
      <c r="D231">
        <f>Matchs!B232</f>
        <v>31</v>
      </c>
      <c r="E231" t="str">
        <f t="shared" si="59"/>
        <v>,DateMatch=DateTime.Parse("</v>
      </c>
      <c r="F231" s="3">
        <f>Matchs!C232</f>
        <v>25740</v>
      </c>
      <c r="G231" s="10" t="str">
        <f t="shared" si="60"/>
        <v>"),TimeMatch=TimeSpan.Parse("</v>
      </c>
      <c r="H231" s="9">
        <f>Matchs!D232</f>
        <v>0.20833333333333334</v>
      </c>
      <c r="I231" t="str">
        <f t="shared" si="61"/>
        <v>"),MatchYear=</v>
      </c>
      <c r="J231">
        <f>Matchs!E232</f>
        <v>1970</v>
      </c>
      <c r="K231" t="str">
        <f t="shared" si="62"/>
        <v>, SeasonId= "</v>
      </c>
      <c r="L231" t="str">
        <f>Matchs!F232</f>
        <v>FIFAWC1970</v>
      </c>
      <c r="M231" t="str">
        <f t="shared" si="63"/>
        <v>",Round= "</v>
      </c>
      <c r="N231" t="str">
        <f>Matchs!G232</f>
        <v>Final Round</v>
      </c>
      <c r="O231" s="6" t="str">
        <f t="shared" si="64"/>
        <v>",Stage= "</v>
      </c>
      <c r="P231" t="str">
        <f>Matchs!H232</f>
        <v>Knockouts</v>
      </c>
      <c r="Q231" s="6" t="str">
        <f t="shared" si="65"/>
        <v>",SubStage= "</v>
      </c>
      <c r="R231" t="str">
        <f>Matchs!I232</f>
        <v>3rd place</v>
      </c>
      <c r="S231" s="6" t="str">
        <f t="shared" si="66"/>
        <v>",HTeam= "</v>
      </c>
      <c r="T231" t="str">
        <f>Matchs!J232</f>
        <v>Germany</v>
      </c>
      <c r="U231" s="6" t="str">
        <f t="shared" si="67"/>
        <v>",HGoal=</v>
      </c>
      <c r="V231">
        <f>Matchs!K232</f>
        <v>1</v>
      </c>
      <c r="W231" s="6" t="str">
        <f t="shared" si="68"/>
        <v>,GGoal=</v>
      </c>
      <c r="X231">
        <f>Matchs!L232</f>
        <v>0</v>
      </c>
      <c r="Y231" s="6" t="str">
        <f t="shared" si="69"/>
        <v>,GTeam= "</v>
      </c>
      <c r="Z231" t="str">
        <f>Matchs!M232</f>
        <v>Uruguay</v>
      </c>
      <c r="AA231" s="6" t="str">
        <f t="shared" si="70"/>
        <v>",WinNote="</v>
      </c>
      <c r="AB231" t="str">
        <f>IF(Matchs!N232="","",Matchs!N232)</f>
        <v/>
      </c>
      <c r="AC231" s="6" t="str">
        <f t="shared" si="71"/>
        <v xml:space="preserve">",Stadium=" </v>
      </c>
      <c r="AD231" s="11" t="str">
        <f>Matchs!O232</f>
        <v xml:space="preserve">Estadio Azteca </v>
      </c>
      <c r="AE231" s="6" t="str">
        <f t="shared" si="72"/>
        <v>",Referee= "</v>
      </c>
      <c r="AF231" s="11" t="str">
        <f>Matchs!P232</f>
        <v xml:space="preserve">Antonio Sbardella </v>
      </c>
      <c r="AG231" s="6" t="str">
        <f t="shared" si="73"/>
        <v xml:space="preserve">",Visistors= </v>
      </c>
      <c r="AH231" s="11">
        <f>Matchs!Q232</f>
        <v>104403</v>
      </c>
      <c r="AI231" s="11" t="str">
        <f t="shared" si="74"/>
        <v>,Status= "</v>
      </c>
      <c r="AJ231" s="11" t="str">
        <f>Matchs!R232</f>
        <v>Finished</v>
      </c>
      <c r="AK231" t="str">
        <f t="shared" si="75"/>
        <v>" },</v>
      </c>
    </row>
    <row r="232" spans="1:37" x14ac:dyDescent="0.25">
      <c r="A232" t="str">
        <f t="shared" si="57"/>
        <v>new Match { MatchId= "</v>
      </c>
      <c r="B232" t="str">
        <f>Matchs!A233</f>
        <v>FIFAWC1970-32</v>
      </c>
      <c r="C232" t="str">
        <f t="shared" si="58"/>
        <v>",MatchNumer=</v>
      </c>
      <c r="D232">
        <f>Matchs!B233</f>
        <v>32</v>
      </c>
      <c r="E232" t="str">
        <f t="shared" si="59"/>
        <v>,DateMatch=DateTime.Parse("</v>
      </c>
      <c r="F232" s="3">
        <f>Matchs!C233</f>
        <v>25741</v>
      </c>
      <c r="G232" s="10" t="str">
        <f t="shared" si="60"/>
        <v>"),TimeMatch=TimeSpan.Parse("</v>
      </c>
      <c r="H232" s="9">
        <f>Matchs!D233</f>
        <v>0.20833333333333334</v>
      </c>
      <c r="I232" t="str">
        <f t="shared" si="61"/>
        <v>"),MatchYear=</v>
      </c>
      <c r="J232">
        <f>Matchs!E233</f>
        <v>1970</v>
      </c>
      <c r="K232" t="str">
        <f t="shared" si="62"/>
        <v>, SeasonId= "</v>
      </c>
      <c r="L232" t="str">
        <f>Matchs!F233</f>
        <v>FIFAWC1970</v>
      </c>
      <c r="M232" t="str">
        <f t="shared" si="63"/>
        <v>",Round= "</v>
      </c>
      <c r="N232" t="str">
        <f>Matchs!G233</f>
        <v>Final Round</v>
      </c>
      <c r="O232" s="6" t="str">
        <f t="shared" si="64"/>
        <v>",Stage= "</v>
      </c>
      <c r="P232" t="str">
        <f>Matchs!H233</f>
        <v>Knockouts</v>
      </c>
      <c r="Q232" s="6" t="str">
        <f t="shared" si="65"/>
        <v>",SubStage= "</v>
      </c>
      <c r="R232" t="str">
        <f>Matchs!I233</f>
        <v>Final</v>
      </c>
      <c r="S232" s="6" t="str">
        <f t="shared" si="66"/>
        <v>",HTeam= "</v>
      </c>
      <c r="T232" t="str">
        <f>Matchs!J233</f>
        <v>Brazil</v>
      </c>
      <c r="U232" s="6" t="str">
        <f t="shared" si="67"/>
        <v>",HGoal=</v>
      </c>
      <c r="V232">
        <f>Matchs!K233</f>
        <v>4</v>
      </c>
      <c r="W232" s="6" t="str">
        <f t="shared" si="68"/>
        <v>,GGoal=</v>
      </c>
      <c r="X232">
        <f>Matchs!L233</f>
        <v>1</v>
      </c>
      <c r="Y232" s="6" t="str">
        <f t="shared" si="69"/>
        <v>,GTeam= "</v>
      </c>
      <c r="Z232" t="str">
        <f>Matchs!M233</f>
        <v>Italy</v>
      </c>
      <c r="AA232" s="6" t="str">
        <f t="shared" si="70"/>
        <v>",WinNote="</v>
      </c>
      <c r="AB232" t="str">
        <f>IF(Matchs!N233="","",Matchs!N233)</f>
        <v/>
      </c>
      <c r="AC232" s="6" t="str">
        <f t="shared" si="71"/>
        <v xml:space="preserve">",Stadium=" </v>
      </c>
      <c r="AD232" s="11" t="str">
        <f>Matchs!O233</f>
        <v xml:space="preserve">Estadio Azteca </v>
      </c>
      <c r="AE232" s="6" t="str">
        <f t="shared" si="72"/>
        <v>",Referee= "</v>
      </c>
      <c r="AF232" s="11" t="str">
        <f>Matchs!P233</f>
        <v xml:space="preserve">Rudi Glockner </v>
      </c>
      <c r="AG232" s="6" t="str">
        <f t="shared" si="73"/>
        <v xml:space="preserve">",Visistors= </v>
      </c>
      <c r="AH232" s="11">
        <f>Matchs!Q233</f>
        <v>107412</v>
      </c>
      <c r="AI232" s="11" t="str">
        <f t="shared" si="74"/>
        <v>,Status= "</v>
      </c>
      <c r="AJ232" s="11" t="str">
        <f>Matchs!R233</f>
        <v>Finished</v>
      </c>
      <c r="AK232" t="str">
        <f t="shared" si="75"/>
        <v>" },</v>
      </c>
    </row>
    <row r="233" spans="1:37" x14ac:dyDescent="0.25">
      <c r="A233" t="str">
        <f t="shared" si="57"/>
        <v>new Match { MatchId= "</v>
      </c>
      <c r="B233" t="str">
        <f>Matchs!A234</f>
        <v>FIFAWC1974-1</v>
      </c>
      <c r="C233" t="str">
        <f t="shared" si="58"/>
        <v>",MatchNumer=</v>
      </c>
      <c r="D233">
        <f>Matchs!B234</f>
        <v>1</v>
      </c>
      <c r="E233" t="str">
        <f t="shared" si="59"/>
        <v>,DateMatch=DateTime.Parse("</v>
      </c>
      <c r="F233" s="3">
        <f>Matchs!C234</f>
        <v>27193</v>
      </c>
      <c r="G233" s="10" t="str">
        <f t="shared" si="60"/>
        <v>"),TimeMatch=TimeSpan.Parse("</v>
      </c>
      <c r="H233" s="9">
        <f>Matchs!D234</f>
        <v>0.95833333333333337</v>
      </c>
      <c r="I233" t="str">
        <f t="shared" si="61"/>
        <v>"),MatchYear=</v>
      </c>
      <c r="J233">
        <f>Matchs!E234</f>
        <v>1974</v>
      </c>
      <c r="K233" t="str">
        <f t="shared" si="62"/>
        <v>, SeasonId= "</v>
      </c>
      <c r="L233" t="str">
        <f>Matchs!F234</f>
        <v>FIFAWC1974</v>
      </c>
      <c r="M233" t="str">
        <f t="shared" si="63"/>
        <v>",Round= "</v>
      </c>
      <c r="N233" t="str">
        <f>Matchs!G234</f>
        <v>Final Round</v>
      </c>
      <c r="O233" s="6" t="str">
        <f t="shared" si="64"/>
        <v>",Stage= "</v>
      </c>
      <c r="P233" t="str">
        <f>Matchs!H234</f>
        <v>Group</v>
      </c>
      <c r="Q233" s="6" t="str">
        <f t="shared" si="65"/>
        <v>",SubStage= "</v>
      </c>
      <c r="R233" t="str">
        <f>Matchs!I234</f>
        <v>Group 2</v>
      </c>
      <c r="S233" s="6" t="str">
        <f t="shared" si="66"/>
        <v>",HTeam= "</v>
      </c>
      <c r="T233" t="str">
        <f>Matchs!J234</f>
        <v>Brazil</v>
      </c>
      <c r="U233" s="6" t="str">
        <f t="shared" si="67"/>
        <v>",HGoal=</v>
      </c>
      <c r="V233">
        <f>Matchs!K234</f>
        <v>0</v>
      </c>
      <c r="W233" s="6" t="str">
        <f t="shared" si="68"/>
        <v>,GGoal=</v>
      </c>
      <c r="X233">
        <f>Matchs!L234</f>
        <v>0</v>
      </c>
      <c r="Y233" s="6" t="str">
        <f t="shared" si="69"/>
        <v>,GTeam= "</v>
      </c>
      <c r="Z233" t="str">
        <f>Matchs!M234</f>
        <v>Yugoslavia</v>
      </c>
      <c r="AA233" s="6" t="str">
        <f t="shared" si="70"/>
        <v>",WinNote="</v>
      </c>
      <c r="AB233" t="str">
        <f>IF(Matchs!N234="","",Matchs!N234)</f>
        <v/>
      </c>
      <c r="AC233" s="6" t="str">
        <f t="shared" si="71"/>
        <v xml:space="preserve">",Stadium=" </v>
      </c>
      <c r="AD233" s="11" t="str">
        <f>Matchs!O234</f>
        <v xml:space="preserve">Waldstadion, Frankfurt/Main </v>
      </c>
      <c r="AE233" s="6" t="str">
        <f t="shared" si="72"/>
        <v>",Referee= "</v>
      </c>
      <c r="AF233" s="11">
        <f>Matchs!P234</f>
        <v>0</v>
      </c>
      <c r="AG233" s="6" t="str">
        <f t="shared" si="73"/>
        <v xml:space="preserve">",Visistors= </v>
      </c>
      <c r="AH233" s="11">
        <f>Matchs!Q234</f>
        <v>62000</v>
      </c>
      <c r="AI233" s="11" t="str">
        <f t="shared" si="74"/>
        <v>,Status= "</v>
      </c>
      <c r="AJ233" s="11" t="str">
        <f>Matchs!R234</f>
        <v>Finished</v>
      </c>
      <c r="AK233" t="str">
        <f t="shared" si="75"/>
        <v>" },</v>
      </c>
    </row>
    <row r="234" spans="1:37" x14ac:dyDescent="0.25">
      <c r="A234" t="str">
        <f t="shared" si="57"/>
        <v>new Match { MatchId= "</v>
      </c>
      <c r="B234" t="str">
        <f>Matchs!A235</f>
        <v>FIFAWC1974-2</v>
      </c>
      <c r="C234" t="str">
        <f t="shared" si="58"/>
        <v>",MatchNumer=</v>
      </c>
      <c r="D234">
        <f>Matchs!B235</f>
        <v>2</v>
      </c>
      <c r="E234" t="str">
        <f t="shared" si="59"/>
        <v>,DateMatch=DateTime.Parse("</v>
      </c>
      <c r="F234" s="3">
        <f>Matchs!C235</f>
        <v>27194</v>
      </c>
      <c r="G234" s="10" t="str">
        <f t="shared" si="60"/>
        <v>"),TimeMatch=TimeSpan.Parse("</v>
      </c>
      <c r="H234" s="9">
        <f>Matchs!D235</f>
        <v>0.91666666666666663</v>
      </c>
      <c r="I234" t="str">
        <f t="shared" si="61"/>
        <v>"),MatchYear=</v>
      </c>
      <c r="J234">
        <f>Matchs!E235</f>
        <v>1974</v>
      </c>
      <c r="K234" t="str">
        <f t="shared" si="62"/>
        <v>, SeasonId= "</v>
      </c>
      <c r="L234" t="str">
        <f>Matchs!F235</f>
        <v>FIFAWC1974</v>
      </c>
      <c r="M234" t="str">
        <f t="shared" si="63"/>
        <v>",Round= "</v>
      </c>
      <c r="N234" t="str">
        <f>Matchs!G235</f>
        <v>Final Round</v>
      </c>
      <c r="O234" s="6" t="str">
        <f t="shared" si="64"/>
        <v>",Stage= "</v>
      </c>
      <c r="P234" t="str">
        <f>Matchs!H235</f>
        <v>Group</v>
      </c>
      <c r="Q234" s="6" t="str">
        <f t="shared" si="65"/>
        <v>",SubStage= "</v>
      </c>
      <c r="R234" t="str">
        <f>Matchs!I235</f>
        <v>Group 1</v>
      </c>
      <c r="S234" s="6" t="str">
        <f t="shared" si="66"/>
        <v>",HTeam= "</v>
      </c>
      <c r="T234" t="str">
        <f>Matchs!J235</f>
        <v>West Germany</v>
      </c>
      <c r="U234" s="6" t="str">
        <f t="shared" si="67"/>
        <v>",HGoal=</v>
      </c>
      <c r="V234">
        <f>Matchs!K235</f>
        <v>1</v>
      </c>
      <c r="W234" s="6" t="str">
        <f t="shared" si="68"/>
        <v>,GGoal=</v>
      </c>
      <c r="X234">
        <f>Matchs!L235</f>
        <v>0</v>
      </c>
      <c r="Y234" s="6" t="str">
        <f t="shared" si="69"/>
        <v>,GTeam= "</v>
      </c>
      <c r="Z234" t="str">
        <f>Matchs!M235</f>
        <v>Chile</v>
      </c>
      <c r="AA234" s="6" t="str">
        <f t="shared" si="70"/>
        <v>",WinNote="</v>
      </c>
      <c r="AB234" t="str">
        <f>IF(Matchs!N235="","",Matchs!N235)</f>
        <v/>
      </c>
      <c r="AC234" s="6" t="str">
        <f t="shared" si="71"/>
        <v xml:space="preserve">",Stadium=" </v>
      </c>
      <c r="AD234" s="11" t="str">
        <f>Matchs!O235</f>
        <v xml:space="preserve">Olympiastadion </v>
      </c>
      <c r="AE234" s="6" t="str">
        <f t="shared" si="72"/>
        <v>",Referee= "</v>
      </c>
      <c r="AF234" s="11">
        <f>Matchs!P235</f>
        <v>0</v>
      </c>
      <c r="AG234" s="6" t="str">
        <f t="shared" si="73"/>
        <v xml:space="preserve">",Visistors= </v>
      </c>
      <c r="AH234" s="11">
        <f>Matchs!Q235</f>
        <v>81100</v>
      </c>
      <c r="AI234" s="11" t="str">
        <f t="shared" si="74"/>
        <v>,Status= "</v>
      </c>
      <c r="AJ234" s="11" t="str">
        <f>Matchs!R235</f>
        <v>Finished</v>
      </c>
      <c r="AK234" t="str">
        <f t="shared" si="75"/>
        <v>" },</v>
      </c>
    </row>
    <row r="235" spans="1:37" x14ac:dyDescent="0.25">
      <c r="A235" t="str">
        <f t="shared" si="57"/>
        <v>new Match { MatchId= "</v>
      </c>
      <c r="B235" t="str">
        <f>Matchs!A236</f>
        <v>FIFAWC1974-3</v>
      </c>
      <c r="C235" t="str">
        <f t="shared" si="58"/>
        <v>",MatchNumer=</v>
      </c>
      <c r="D235">
        <f>Matchs!B236</f>
        <v>3</v>
      </c>
      <c r="E235" t="str">
        <f t="shared" si="59"/>
        <v>,DateMatch=DateTime.Parse("</v>
      </c>
      <c r="F235" s="3">
        <f>Matchs!C236</f>
        <v>27195</v>
      </c>
      <c r="G235" s="10" t="str">
        <f t="shared" si="60"/>
        <v>"),TimeMatch=TimeSpan.Parse("</v>
      </c>
      <c r="H235" s="9">
        <f>Matchs!D236</f>
        <v>6.25E-2</v>
      </c>
      <c r="I235" t="str">
        <f t="shared" si="61"/>
        <v>"),MatchYear=</v>
      </c>
      <c r="J235">
        <f>Matchs!E236</f>
        <v>1974</v>
      </c>
      <c r="K235" t="str">
        <f t="shared" si="62"/>
        <v>, SeasonId= "</v>
      </c>
      <c r="L235" t="str">
        <f>Matchs!F236</f>
        <v>FIFAWC1974</v>
      </c>
      <c r="M235" t="str">
        <f t="shared" si="63"/>
        <v>",Round= "</v>
      </c>
      <c r="N235" t="str">
        <f>Matchs!G236</f>
        <v>Final Round</v>
      </c>
      <c r="O235" s="6" t="str">
        <f t="shared" si="64"/>
        <v>",Stage= "</v>
      </c>
      <c r="P235" t="str">
        <f>Matchs!H236</f>
        <v>Group</v>
      </c>
      <c r="Q235" s="6" t="str">
        <f t="shared" si="65"/>
        <v>",SubStage= "</v>
      </c>
      <c r="R235" t="str">
        <f>Matchs!I236</f>
        <v>Group 2</v>
      </c>
      <c r="S235" s="6" t="str">
        <f t="shared" si="66"/>
        <v>",HTeam= "</v>
      </c>
      <c r="T235" t="str">
        <f>Matchs!J236</f>
        <v>East Germany</v>
      </c>
      <c r="U235" s="6" t="str">
        <f t="shared" si="67"/>
        <v>",HGoal=</v>
      </c>
      <c r="V235">
        <f>Matchs!K236</f>
        <v>2</v>
      </c>
      <c r="W235" s="6" t="str">
        <f t="shared" si="68"/>
        <v>,GGoal=</v>
      </c>
      <c r="X235">
        <f>Matchs!L236</f>
        <v>0</v>
      </c>
      <c r="Y235" s="6" t="str">
        <f t="shared" si="69"/>
        <v>,GTeam= "</v>
      </c>
      <c r="Z235" t="str">
        <f>Matchs!M236</f>
        <v>Australia</v>
      </c>
      <c r="AA235" s="6" t="str">
        <f t="shared" si="70"/>
        <v>",WinNote="</v>
      </c>
      <c r="AB235" t="str">
        <f>IF(Matchs!N236="","",Matchs!N236)</f>
        <v/>
      </c>
      <c r="AC235" s="6" t="str">
        <f t="shared" si="71"/>
        <v xml:space="preserve">",Stadium=" </v>
      </c>
      <c r="AD235" s="11" t="str">
        <f>Matchs!O236</f>
        <v xml:space="preserve">Volksparkstadion </v>
      </c>
      <c r="AE235" s="6" t="str">
        <f t="shared" si="72"/>
        <v>",Referee= "</v>
      </c>
      <c r="AF235" s="11">
        <f>Matchs!P236</f>
        <v>0</v>
      </c>
      <c r="AG235" s="6" t="str">
        <f t="shared" si="73"/>
        <v xml:space="preserve">",Visistors= </v>
      </c>
      <c r="AH235" s="11">
        <f>Matchs!Q236</f>
        <v>17000</v>
      </c>
      <c r="AI235" s="11" t="str">
        <f t="shared" si="74"/>
        <v>,Status= "</v>
      </c>
      <c r="AJ235" s="11" t="str">
        <f>Matchs!R236</f>
        <v>Finished</v>
      </c>
      <c r="AK235" t="str">
        <f t="shared" si="75"/>
        <v>" },</v>
      </c>
    </row>
    <row r="236" spans="1:37" x14ac:dyDescent="0.25">
      <c r="A236" t="str">
        <f t="shared" si="57"/>
        <v>new Match { MatchId= "</v>
      </c>
      <c r="B236" t="str">
        <f>Matchs!A237</f>
        <v>FIFAWC1974-4</v>
      </c>
      <c r="C236" t="str">
        <f t="shared" si="58"/>
        <v>",MatchNumer=</v>
      </c>
      <c r="D236">
        <f>Matchs!B237</f>
        <v>4</v>
      </c>
      <c r="E236" t="str">
        <f t="shared" si="59"/>
        <v>,DateMatch=DateTime.Parse("</v>
      </c>
      <c r="F236" s="3">
        <f>Matchs!C237</f>
        <v>27195</v>
      </c>
      <c r="G236" s="10" t="str">
        <f t="shared" si="60"/>
        <v>"),TimeMatch=TimeSpan.Parse("</v>
      </c>
      <c r="H236" s="9">
        <f>Matchs!D237</f>
        <v>6.25E-2</v>
      </c>
      <c r="I236" t="str">
        <f t="shared" si="61"/>
        <v>"),MatchYear=</v>
      </c>
      <c r="J236">
        <f>Matchs!E237</f>
        <v>1974</v>
      </c>
      <c r="K236" t="str">
        <f t="shared" si="62"/>
        <v>, SeasonId= "</v>
      </c>
      <c r="L236" t="str">
        <f>Matchs!F237</f>
        <v>FIFAWC1974</v>
      </c>
      <c r="M236" t="str">
        <f t="shared" si="63"/>
        <v>",Round= "</v>
      </c>
      <c r="N236" t="str">
        <f>Matchs!G237</f>
        <v>Final Round</v>
      </c>
      <c r="O236" s="6" t="str">
        <f t="shared" si="64"/>
        <v>",Stage= "</v>
      </c>
      <c r="P236" t="str">
        <f>Matchs!H237</f>
        <v>Group</v>
      </c>
      <c r="Q236" s="6" t="str">
        <f t="shared" si="65"/>
        <v>",SubStage= "</v>
      </c>
      <c r="R236" t="str">
        <f>Matchs!I237</f>
        <v>Group 2</v>
      </c>
      <c r="S236" s="6" t="str">
        <f t="shared" si="66"/>
        <v>",HTeam= "</v>
      </c>
      <c r="T236" t="str">
        <f>Matchs!J237</f>
        <v>Zaire</v>
      </c>
      <c r="U236" s="6" t="str">
        <f t="shared" si="67"/>
        <v>",HGoal=</v>
      </c>
      <c r="V236">
        <f>Matchs!K237</f>
        <v>0</v>
      </c>
      <c r="W236" s="6" t="str">
        <f t="shared" si="68"/>
        <v>,GGoal=</v>
      </c>
      <c r="X236">
        <f>Matchs!L237</f>
        <v>2</v>
      </c>
      <c r="Y236" s="6" t="str">
        <f t="shared" si="69"/>
        <v>,GTeam= "</v>
      </c>
      <c r="Z236" t="str">
        <f>Matchs!M237</f>
        <v>Scotland</v>
      </c>
      <c r="AA236" s="6" t="str">
        <f t="shared" si="70"/>
        <v>",WinNote="</v>
      </c>
      <c r="AB236" t="str">
        <f>IF(Matchs!N237="","",Matchs!N237)</f>
        <v/>
      </c>
      <c r="AC236" s="6" t="str">
        <f t="shared" si="71"/>
        <v xml:space="preserve">",Stadium=" </v>
      </c>
      <c r="AD236" s="11" t="str">
        <f>Matchs!O237</f>
        <v xml:space="preserve">Westfalenstadion </v>
      </c>
      <c r="AE236" s="6" t="str">
        <f t="shared" si="72"/>
        <v>",Referee= "</v>
      </c>
      <c r="AF236" s="11">
        <f>Matchs!P237</f>
        <v>0</v>
      </c>
      <c r="AG236" s="6" t="str">
        <f t="shared" si="73"/>
        <v xml:space="preserve">",Visistors= </v>
      </c>
      <c r="AH236" s="11">
        <f>Matchs!Q237</f>
        <v>27000</v>
      </c>
      <c r="AI236" s="11" t="str">
        <f t="shared" si="74"/>
        <v>,Status= "</v>
      </c>
      <c r="AJ236" s="11" t="str">
        <f>Matchs!R237</f>
        <v>Finished</v>
      </c>
      <c r="AK236" t="str">
        <f t="shared" si="75"/>
        <v>" },</v>
      </c>
    </row>
    <row r="237" spans="1:37" x14ac:dyDescent="0.25">
      <c r="A237" t="str">
        <f t="shared" si="57"/>
        <v>new Match { MatchId= "</v>
      </c>
      <c r="B237" t="str">
        <f>Matchs!A238</f>
        <v>FIFAWC1974-5</v>
      </c>
      <c r="C237" t="str">
        <f t="shared" si="58"/>
        <v>",MatchNumer=</v>
      </c>
      <c r="D237">
        <f>Matchs!B238</f>
        <v>5</v>
      </c>
      <c r="E237" t="str">
        <f t="shared" si="59"/>
        <v>,DateMatch=DateTime.Parse("</v>
      </c>
      <c r="F237" s="3">
        <f>Matchs!C238</f>
        <v>27195</v>
      </c>
      <c r="G237" s="10" t="str">
        <f t="shared" si="60"/>
        <v>"),TimeMatch=TimeSpan.Parse("</v>
      </c>
      <c r="H237" s="9">
        <f>Matchs!D238</f>
        <v>0.9375</v>
      </c>
      <c r="I237" t="str">
        <f t="shared" si="61"/>
        <v>"),MatchYear=</v>
      </c>
      <c r="J237">
        <f>Matchs!E238</f>
        <v>1974</v>
      </c>
      <c r="K237" t="str">
        <f t="shared" si="62"/>
        <v>, SeasonId= "</v>
      </c>
      <c r="L237" t="str">
        <f>Matchs!F238</f>
        <v>FIFAWC1974</v>
      </c>
      <c r="M237" t="str">
        <f t="shared" si="63"/>
        <v>",Round= "</v>
      </c>
      <c r="N237" t="str">
        <f>Matchs!G238</f>
        <v>Final Round</v>
      </c>
      <c r="O237" s="6" t="str">
        <f t="shared" si="64"/>
        <v>",Stage= "</v>
      </c>
      <c r="P237" t="str">
        <f>Matchs!H238</f>
        <v>Group</v>
      </c>
      <c r="Q237" s="6" t="str">
        <f t="shared" si="65"/>
        <v>",SubStage= "</v>
      </c>
      <c r="R237" t="str">
        <f>Matchs!I238</f>
        <v>Group 3</v>
      </c>
      <c r="S237" s="6" t="str">
        <f t="shared" si="66"/>
        <v>",HTeam= "</v>
      </c>
      <c r="T237" t="str">
        <f>Matchs!J238</f>
        <v>Uruguay</v>
      </c>
      <c r="U237" s="6" t="str">
        <f t="shared" si="67"/>
        <v>",HGoal=</v>
      </c>
      <c r="V237">
        <f>Matchs!K238</f>
        <v>0</v>
      </c>
      <c r="W237" s="6" t="str">
        <f t="shared" si="68"/>
        <v>,GGoal=</v>
      </c>
      <c r="X237">
        <f>Matchs!L238</f>
        <v>2</v>
      </c>
      <c r="Y237" s="6" t="str">
        <f t="shared" si="69"/>
        <v>,GTeam= "</v>
      </c>
      <c r="Z237" t="str">
        <f>Matchs!M238</f>
        <v>Netherlands</v>
      </c>
      <c r="AA237" s="6" t="str">
        <f t="shared" si="70"/>
        <v>",WinNote="</v>
      </c>
      <c r="AB237" t="str">
        <f>IF(Matchs!N238="","",Matchs!N238)</f>
        <v/>
      </c>
      <c r="AC237" s="6" t="str">
        <f t="shared" si="71"/>
        <v xml:space="preserve">",Stadium=" </v>
      </c>
      <c r="AD237" s="11" t="str">
        <f>Matchs!O238</f>
        <v xml:space="preserve">AWD-Arena </v>
      </c>
      <c r="AE237" s="6" t="str">
        <f t="shared" si="72"/>
        <v>",Referee= "</v>
      </c>
      <c r="AF237" s="11">
        <f>Matchs!P238</f>
        <v>0</v>
      </c>
      <c r="AG237" s="6" t="str">
        <f t="shared" si="73"/>
        <v xml:space="preserve">",Visistors= </v>
      </c>
      <c r="AH237" s="11">
        <f>Matchs!Q238</f>
        <v>55100</v>
      </c>
      <c r="AI237" s="11" t="str">
        <f t="shared" si="74"/>
        <v>,Status= "</v>
      </c>
      <c r="AJ237" s="11" t="str">
        <f>Matchs!R238</f>
        <v>Finished</v>
      </c>
      <c r="AK237" t="str">
        <f t="shared" si="75"/>
        <v>" },</v>
      </c>
    </row>
    <row r="238" spans="1:37" x14ac:dyDescent="0.25">
      <c r="A238" t="str">
        <f t="shared" si="57"/>
        <v>new Match { MatchId= "</v>
      </c>
      <c r="B238" t="str">
        <f>Matchs!A239</f>
        <v>FIFAWC1974-6</v>
      </c>
      <c r="C238" t="str">
        <f t="shared" si="58"/>
        <v>",MatchNumer=</v>
      </c>
      <c r="D238">
        <f>Matchs!B239</f>
        <v>6</v>
      </c>
      <c r="E238" t="str">
        <f t="shared" si="59"/>
        <v>,DateMatch=DateTime.Parse("</v>
      </c>
      <c r="F238" s="3">
        <f>Matchs!C239</f>
        <v>27195</v>
      </c>
      <c r="G238" s="10" t="str">
        <f t="shared" si="60"/>
        <v>"),TimeMatch=TimeSpan.Parse("</v>
      </c>
      <c r="H238" s="9">
        <f>Matchs!D239</f>
        <v>0.9375</v>
      </c>
      <c r="I238" t="str">
        <f t="shared" si="61"/>
        <v>"),MatchYear=</v>
      </c>
      <c r="J238">
        <f>Matchs!E239</f>
        <v>1974</v>
      </c>
      <c r="K238" t="str">
        <f t="shared" si="62"/>
        <v>, SeasonId= "</v>
      </c>
      <c r="L238" t="str">
        <f>Matchs!F239</f>
        <v>FIFAWC1974</v>
      </c>
      <c r="M238" t="str">
        <f t="shared" si="63"/>
        <v>",Round= "</v>
      </c>
      <c r="N238" t="str">
        <f>Matchs!G239</f>
        <v>Final Round</v>
      </c>
      <c r="O238" s="6" t="str">
        <f t="shared" si="64"/>
        <v>",Stage= "</v>
      </c>
      <c r="P238" t="str">
        <f>Matchs!H239</f>
        <v>Group</v>
      </c>
      <c r="Q238" s="6" t="str">
        <f t="shared" si="65"/>
        <v>",SubStage= "</v>
      </c>
      <c r="R238" t="str">
        <f>Matchs!I239</f>
        <v>Group 3</v>
      </c>
      <c r="S238" s="6" t="str">
        <f t="shared" si="66"/>
        <v>",HTeam= "</v>
      </c>
      <c r="T238" t="str">
        <f>Matchs!J239</f>
        <v>Sweden</v>
      </c>
      <c r="U238" s="6" t="str">
        <f t="shared" si="67"/>
        <v>",HGoal=</v>
      </c>
      <c r="V238">
        <f>Matchs!K239</f>
        <v>0</v>
      </c>
      <c r="W238" s="6" t="str">
        <f t="shared" si="68"/>
        <v>,GGoal=</v>
      </c>
      <c r="X238">
        <f>Matchs!L239</f>
        <v>0</v>
      </c>
      <c r="Y238" s="6" t="str">
        <f t="shared" si="69"/>
        <v>,GTeam= "</v>
      </c>
      <c r="Z238" t="str">
        <f>Matchs!M239</f>
        <v>Bulgaria</v>
      </c>
      <c r="AA238" s="6" t="str">
        <f t="shared" si="70"/>
        <v>",WinNote="</v>
      </c>
      <c r="AB238" t="str">
        <f>IF(Matchs!N239="","",Matchs!N239)</f>
        <v/>
      </c>
      <c r="AC238" s="6" t="str">
        <f t="shared" si="71"/>
        <v xml:space="preserve">",Stadium=" </v>
      </c>
      <c r="AD238" s="11" t="str">
        <f>Matchs!O239</f>
        <v xml:space="preserve">Rheinstadion </v>
      </c>
      <c r="AE238" s="6" t="str">
        <f t="shared" si="72"/>
        <v>",Referee= "</v>
      </c>
      <c r="AF238" s="11">
        <f>Matchs!P239</f>
        <v>0</v>
      </c>
      <c r="AG238" s="6" t="str">
        <f t="shared" si="73"/>
        <v xml:space="preserve">",Visistors= </v>
      </c>
      <c r="AH238" s="11">
        <f>Matchs!Q239</f>
        <v>23800</v>
      </c>
      <c r="AI238" s="11" t="str">
        <f t="shared" si="74"/>
        <v>,Status= "</v>
      </c>
      <c r="AJ238" s="11" t="str">
        <f>Matchs!R239</f>
        <v>Finished</v>
      </c>
      <c r="AK238" t="str">
        <f t="shared" si="75"/>
        <v>" },</v>
      </c>
    </row>
    <row r="239" spans="1:37" x14ac:dyDescent="0.25">
      <c r="A239" t="str">
        <f t="shared" si="57"/>
        <v>new Match { MatchId= "</v>
      </c>
      <c r="B239" t="str">
        <f>Matchs!A240</f>
        <v>FIFAWC1974-7</v>
      </c>
      <c r="C239" t="str">
        <f t="shared" si="58"/>
        <v>",MatchNumer=</v>
      </c>
      <c r="D239">
        <f>Matchs!B240</f>
        <v>7</v>
      </c>
      <c r="E239" t="str">
        <f t="shared" si="59"/>
        <v>,DateMatch=DateTime.Parse("</v>
      </c>
      <c r="F239" s="3">
        <f>Matchs!C240</f>
        <v>27196</v>
      </c>
      <c r="G239" s="10" t="str">
        <f t="shared" si="60"/>
        <v>"),TimeMatch=TimeSpan.Parse("</v>
      </c>
      <c r="H239" s="9">
        <f>Matchs!D240</f>
        <v>1</v>
      </c>
      <c r="I239" t="str">
        <f t="shared" si="61"/>
        <v>"),MatchYear=</v>
      </c>
      <c r="J239">
        <f>Matchs!E240</f>
        <v>1974</v>
      </c>
      <c r="K239" t="str">
        <f t="shared" si="62"/>
        <v>, SeasonId= "</v>
      </c>
      <c r="L239" t="str">
        <f>Matchs!F240</f>
        <v>FIFAWC1974</v>
      </c>
      <c r="M239" t="str">
        <f t="shared" si="63"/>
        <v>",Round= "</v>
      </c>
      <c r="N239" t="str">
        <f>Matchs!G240</f>
        <v>Final Round</v>
      </c>
      <c r="O239" s="6" t="str">
        <f t="shared" si="64"/>
        <v>",Stage= "</v>
      </c>
      <c r="P239" t="str">
        <f>Matchs!H240</f>
        <v>Group</v>
      </c>
      <c r="Q239" s="6" t="str">
        <f t="shared" si="65"/>
        <v>",SubStage= "</v>
      </c>
      <c r="R239" t="str">
        <f>Matchs!I240</f>
        <v>Group 4</v>
      </c>
      <c r="S239" s="6" t="str">
        <f t="shared" si="66"/>
        <v>",HTeam= "</v>
      </c>
      <c r="T239" t="str">
        <f>Matchs!J240</f>
        <v>Poland</v>
      </c>
      <c r="U239" s="6" t="str">
        <f t="shared" si="67"/>
        <v>",HGoal=</v>
      </c>
      <c r="V239">
        <f>Matchs!K240</f>
        <v>3</v>
      </c>
      <c r="W239" s="6" t="str">
        <f t="shared" si="68"/>
        <v>,GGoal=</v>
      </c>
      <c r="X239">
        <f>Matchs!L240</f>
        <v>2</v>
      </c>
      <c r="Y239" s="6" t="str">
        <f t="shared" si="69"/>
        <v>,GTeam= "</v>
      </c>
      <c r="Z239" t="str">
        <f>Matchs!M240</f>
        <v>Argentina</v>
      </c>
      <c r="AA239" s="6" t="str">
        <f t="shared" si="70"/>
        <v>",WinNote="</v>
      </c>
      <c r="AB239" t="str">
        <f>IF(Matchs!N240="","",Matchs!N240)</f>
        <v/>
      </c>
      <c r="AC239" s="6" t="str">
        <f t="shared" si="71"/>
        <v xml:space="preserve">",Stadium=" </v>
      </c>
      <c r="AD239" s="11" t="str">
        <f>Matchs!O240</f>
        <v xml:space="preserve">Mercedes-Benz Arena </v>
      </c>
      <c r="AE239" s="6" t="str">
        <f t="shared" si="72"/>
        <v>",Referee= "</v>
      </c>
      <c r="AF239" s="11">
        <f>Matchs!P240</f>
        <v>0</v>
      </c>
      <c r="AG239" s="6" t="str">
        <f t="shared" si="73"/>
        <v xml:space="preserve">",Visistors= </v>
      </c>
      <c r="AH239" s="11">
        <f>Matchs!Q240</f>
        <v>32700</v>
      </c>
      <c r="AI239" s="11" t="str">
        <f t="shared" si="74"/>
        <v>,Status= "</v>
      </c>
      <c r="AJ239" s="11" t="str">
        <f>Matchs!R240</f>
        <v>Finished</v>
      </c>
      <c r="AK239" t="str">
        <f t="shared" si="75"/>
        <v>" },</v>
      </c>
    </row>
    <row r="240" spans="1:37" x14ac:dyDescent="0.25">
      <c r="A240" t="str">
        <f t="shared" si="57"/>
        <v>new Match { MatchId= "</v>
      </c>
      <c r="B240" t="str">
        <f>Matchs!A241</f>
        <v>FIFAWC1974-8</v>
      </c>
      <c r="C240" t="str">
        <f t="shared" si="58"/>
        <v>",MatchNumer=</v>
      </c>
      <c r="D240">
        <f>Matchs!B241</f>
        <v>8</v>
      </c>
      <c r="E240" t="str">
        <f t="shared" si="59"/>
        <v>,DateMatch=DateTime.Parse("</v>
      </c>
      <c r="F240" s="3">
        <f>Matchs!C241</f>
        <v>27196</v>
      </c>
      <c r="G240" s="10" t="str">
        <f t="shared" si="60"/>
        <v>"),TimeMatch=TimeSpan.Parse("</v>
      </c>
      <c r="H240" s="9">
        <f>Matchs!D241</f>
        <v>1</v>
      </c>
      <c r="I240" t="str">
        <f t="shared" si="61"/>
        <v>"),MatchYear=</v>
      </c>
      <c r="J240">
        <f>Matchs!E241</f>
        <v>1974</v>
      </c>
      <c r="K240" t="str">
        <f t="shared" si="62"/>
        <v>, SeasonId= "</v>
      </c>
      <c r="L240" t="str">
        <f>Matchs!F241</f>
        <v>FIFAWC1974</v>
      </c>
      <c r="M240" t="str">
        <f t="shared" si="63"/>
        <v>",Round= "</v>
      </c>
      <c r="N240" t="str">
        <f>Matchs!G241</f>
        <v>Final Round</v>
      </c>
      <c r="O240" s="6" t="str">
        <f t="shared" si="64"/>
        <v>",Stage= "</v>
      </c>
      <c r="P240" t="str">
        <f>Matchs!H241</f>
        <v>Group</v>
      </c>
      <c r="Q240" s="6" t="str">
        <f t="shared" si="65"/>
        <v>",SubStage= "</v>
      </c>
      <c r="R240" t="str">
        <f>Matchs!I241</f>
        <v>Group 4</v>
      </c>
      <c r="S240" s="6" t="str">
        <f t="shared" si="66"/>
        <v>",HTeam= "</v>
      </c>
      <c r="T240" t="str">
        <f>Matchs!J241</f>
        <v>Italy</v>
      </c>
      <c r="U240" s="6" t="str">
        <f t="shared" si="67"/>
        <v>",HGoal=</v>
      </c>
      <c r="V240">
        <f>Matchs!K241</f>
        <v>3</v>
      </c>
      <c r="W240" s="6" t="str">
        <f t="shared" si="68"/>
        <v>,GGoal=</v>
      </c>
      <c r="X240">
        <f>Matchs!L241</f>
        <v>1</v>
      </c>
      <c r="Y240" s="6" t="str">
        <f t="shared" si="69"/>
        <v>,GTeam= "</v>
      </c>
      <c r="Z240" t="str">
        <f>Matchs!M241</f>
        <v>Haiti</v>
      </c>
      <c r="AA240" s="6" t="str">
        <f t="shared" si="70"/>
        <v>",WinNote="</v>
      </c>
      <c r="AB240" t="str">
        <f>IF(Matchs!N241="","",Matchs!N241)</f>
        <v/>
      </c>
      <c r="AC240" s="6" t="str">
        <f t="shared" si="71"/>
        <v xml:space="preserve">",Stadium=" </v>
      </c>
      <c r="AD240" s="11" t="str">
        <f>Matchs!O241</f>
        <v xml:space="preserve">Olympiastadion </v>
      </c>
      <c r="AE240" s="6" t="str">
        <f t="shared" si="72"/>
        <v>",Referee= "</v>
      </c>
      <c r="AF240" s="11">
        <f>Matchs!P241</f>
        <v>0</v>
      </c>
      <c r="AG240" s="6" t="str">
        <f t="shared" si="73"/>
        <v xml:space="preserve">",Visistors= </v>
      </c>
      <c r="AH240" s="11">
        <f>Matchs!Q241</f>
        <v>53000</v>
      </c>
      <c r="AI240" s="11" t="str">
        <f t="shared" si="74"/>
        <v>,Status= "</v>
      </c>
      <c r="AJ240" s="11" t="str">
        <f>Matchs!R241</f>
        <v>Finished</v>
      </c>
      <c r="AK240" t="str">
        <f t="shared" si="75"/>
        <v>" },</v>
      </c>
    </row>
    <row r="241" spans="1:37" x14ac:dyDescent="0.25">
      <c r="A241" t="str">
        <f t="shared" si="57"/>
        <v>new Match { MatchId= "</v>
      </c>
      <c r="B241" t="str">
        <f>Matchs!A242</f>
        <v>FIFAWC1974-9</v>
      </c>
      <c r="C241" t="str">
        <f t="shared" si="58"/>
        <v>",MatchNumer=</v>
      </c>
      <c r="D241">
        <f>Matchs!B242</f>
        <v>9</v>
      </c>
      <c r="E241" t="str">
        <f t="shared" si="59"/>
        <v>,DateMatch=DateTime.Parse("</v>
      </c>
      <c r="F241" s="3">
        <f>Matchs!C242</f>
        <v>27198</v>
      </c>
      <c r="G241" s="10" t="str">
        <f t="shared" si="60"/>
        <v>"),TimeMatch=TimeSpan.Parse("</v>
      </c>
      <c r="H241" s="9">
        <f>Matchs!D242</f>
        <v>0.91666666666666663</v>
      </c>
      <c r="I241" t="str">
        <f t="shared" si="61"/>
        <v>"),MatchYear=</v>
      </c>
      <c r="J241">
        <f>Matchs!E242</f>
        <v>1974</v>
      </c>
      <c r="K241" t="str">
        <f t="shared" si="62"/>
        <v>, SeasonId= "</v>
      </c>
      <c r="L241" t="str">
        <f>Matchs!F242</f>
        <v>FIFAWC1974</v>
      </c>
      <c r="M241" t="str">
        <f t="shared" si="63"/>
        <v>",Round= "</v>
      </c>
      <c r="N241" t="str">
        <f>Matchs!G242</f>
        <v>Final Round</v>
      </c>
      <c r="O241" s="6" t="str">
        <f t="shared" si="64"/>
        <v>",Stage= "</v>
      </c>
      <c r="P241" t="str">
        <f>Matchs!H242</f>
        <v>Group</v>
      </c>
      <c r="Q241" s="6" t="str">
        <f t="shared" si="65"/>
        <v>",SubStage= "</v>
      </c>
      <c r="R241" t="str">
        <f>Matchs!I242</f>
        <v>Group 1</v>
      </c>
      <c r="S241" s="6" t="str">
        <f t="shared" si="66"/>
        <v>",HTeam= "</v>
      </c>
      <c r="T241" t="str">
        <f>Matchs!J242</f>
        <v>Australia</v>
      </c>
      <c r="U241" s="6" t="str">
        <f t="shared" si="67"/>
        <v>",HGoal=</v>
      </c>
      <c r="V241">
        <f>Matchs!K242</f>
        <v>0</v>
      </c>
      <c r="W241" s="6" t="str">
        <f t="shared" si="68"/>
        <v>,GGoal=</v>
      </c>
      <c r="X241">
        <f>Matchs!L242</f>
        <v>3</v>
      </c>
      <c r="Y241" s="6" t="str">
        <f t="shared" si="69"/>
        <v>,GTeam= "</v>
      </c>
      <c r="Z241" t="str">
        <f>Matchs!M242</f>
        <v>Germany</v>
      </c>
      <c r="AA241" s="6" t="str">
        <f t="shared" si="70"/>
        <v>",WinNote="</v>
      </c>
      <c r="AB241" t="str">
        <f>IF(Matchs!N242="","",Matchs!N242)</f>
        <v/>
      </c>
      <c r="AC241" s="6" t="str">
        <f t="shared" si="71"/>
        <v xml:space="preserve">",Stadium=" </v>
      </c>
      <c r="AD241" s="11" t="str">
        <f>Matchs!O242</f>
        <v xml:space="preserve">Volksparkstadion </v>
      </c>
      <c r="AE241" s="6" t="str">
        <f t="shared" si="72"/>
        <v>",Referee= "</v>
      </c>
      <c r="AF241" s="11">
        <f>Matchs!P242</f>
        <v>0</v>
      </c>
      <c r="AG241" s="6" t="str">
        <f t="shared" si="73"/>
        <v xml:space="preserve">",Visistors= </v>
      </c>
      <c r="AH241" s="11">
        <f>Matchs!Q242</f>
        <v>53300</v>
      </c>
      <c r="AI241" s="11" t="str">
        <f t="shared" si="74"/>
        <v>,Status= "</v>
      </c>
      <c r="AJ241" s="11" t="str">
        <f>Matchs!R242</f>
        <v>Finished</v>
      </c>
      <c r="AK241" t="str">
        <f t="shared" si="75"/>
        <v>" },</v>
      </c>
    </row>
    <row r="242" spans="1:37" x14ac:dyDescent="0.25">
      <c r="A242" t="str">
        <f t="shared" si="57"/>
        <v>new Match { MatchId= "</v>
      </c>
      <c r="B242" t="str">
        <f>Matchs!A243</f>
        <v>FIFAWC1974-10</v>
      </c>
      <c r="C242" t="str">
        <f t="shared" si="58"/>
        <v>",MatchNumer=</v>
      </c>
      <c r="D242">
        <f>Matchs!B243</f>
        <v>10</v>
      </c>
      <c r="E242" t="str">
        <f t="shared" si="59"/>
        <v>,DateMatch=DateTime.Parse("</v>
      </c>
      <c r="F242" s="3">
        <f>Matchs!C243</f>
        <v>27199</v>
      </c>
      <c r="G242" s="10" t="str">
        <f t="shared" si="60"/>
        <v>"),TimeMatch=TimeSpan.Parse("</v>
      </c>
      <c r="H242" s="9">
        <f>Matchs!D243</f>
        <v>6.25E-2</v>
      </c>
      <c r="I242" t="str">
        <f t="shared" si="61"/>
        <v>"),MatchYear=</v>
      </c>
      <c r="J242">
        <f>Matchs!E243</f>
        <v>1974</v>
      </c>
      <c r="K242" t="str">
        <f t="shared" si="62"/>
        <v>, SeasonId= "</v>
      </c>
      <c r="L242" t="str">
        <f>Matchs!F243</f>
        <v>FIFAWC1974</v>
      </c>
      <c r="M242" t="str">
        <f t="shared" si="63"/>
        <v>",Round= "</v>
      </c>
      <c r="N242" t="str">
        <f>Matchs!G243</f>
        <v>Final Round</v>
      </c>
      <c r="O242" s="6" t="str">
        <f t="shared" si="64"/>
        <v>",Stage= "</v>
      </c>
      <c r="P242" t="str">
        <f>Matchs!H243</f>
        <v>Group</v>
      </c>
      <c r="Q242" s="6" t="str">
        <f t="shared" si="65"/>
        <v>",SubStage= "</v>
      </c>
      <c r="R242" t="str">
        <f>Matchs!I243</f>
        <v>Group 2</v>
      </c>
      <c r="S242" s="6" t="str">
        <f t="shared" si="66"/>
        <v>",HTeam= "</v>
      </c>
      <c r="T242" t="str">
        <f>Matchs!J243</f>
        <v>Scotland</v>
      </c>
      <c r="U242" s="6" t="str">
        <f t="shared" si="67"/>
        <v>",HGoal=</v>
      </c>
      <c r="V242">
        <f>Matchs!K243</f>
        <v>0</v>
      </c>
      <c r="W242" s="6" t="str">
        <f t="shared" si="68"/>
        <v>,GGoal=</v>
      </c>
      <c r="X242">
        <f>Matchs!L243</f>
        <v>0</v>
      </c>
      <c r="Y242" s="6" t="str">
        <f t="shared" si="69"/>
        <v>,GTeam= "</v>
      </c>
      <c r="Z242" t="str">
        <f>Matchs!M243</f>
        <v>Brazil</v>
      </c>
      <c r="AA242" s="6" t="str">
        <f t="shared" si="70"/>
        <v>",WinNote="</v>
      </c>
      <c r="AB242" t="str">
        <f>IF(Matchs!N243="","",Matchs!N243)</f>
        <v/>
      </c>
      <c r="AC242" s="6" t="str">
        <f t="shared" si="71"/>
        <v xml:space="preserve">",Stadium=" </v>
      </c>
      <c r="AD242" s="11" t="str">
        <f>Matchs!O243</f>
        <v xml:space="preserve">Waldstadion, Frankfurt/Main </v>
      </c>
      <c r="AE242" s="6" t="str">
        <f t="shared" si="72"/>
        <v>",Referee= "</v>
      </c>
      <c r="AF242" s="11">
        <f>Matchs!P243</f>
        <v>0</v>
      </c>
      <c r="AG242" s="6" t="str">
        <f t="shared" si="73"/>
        <v xml:space="preserve">",Visistors= </v>
      </c>
      <c r="AH242" s="11">
        <f>Matchs!Q243</f>
        <v>62000</v>
      </c>
      <c r="AI242" s="11" t="str">
        <f t="shared" si="74"/>
        <v>,Status= "</v>
      </c>
      <c r="AJ242" s="11" t="str">
        <f>Matchs!R243</f>
        <v>Finished</v>
      </c>
      <c r="AK242" t="str">
        <f t="shared" si="75"/>
        <v>" },</v>
      </c>
    </row>
    <row r="243" spans="1:37" x14ac:dyDescent="0.25">
      <c r="A243" t="str">
        <f t="shared" si="57"/>
        <v>new Match { MatchId= "</v>
      </c>
      <c r="B243" t="str">
        <f>Matchs!A244</f>
        <v>FIFAWC1974-11</v>
      </c>
      <c r="C243" t="str">
        <f t="shared" si="58"/>
        <v>",MatchNumer=</v>
      </c>
      <c r="D243">
        <f>Matchs!B244</f>
        <v>11</v>
      </c>
      <c r="E243" t="str">
        <f t="shared" si="59"/>
        <v>,DateMatch=DateTime.Parse("</v>
      </c>
      <c r="F243" s="3">
        <f>Matchs!C244</f>
        <v>27199</v>
      </c>
      <c r="G243" s="10" t="str">
        <f t="shared" si="60"/>
        <v>"),TimeMatch=TimeSpan.Parse("</v>
      </c>
      <c r="H243" s="9">
        <f>Matchs!D244</f>
        <v>6.25E-2</v>
      </c>
      <c r="I243" t="str">
        <f t="shared" si="61"/>
        <v>"),MatchYear=</v>
      </c>
      <c r="J243">
        <f>Matchs!E244</f>
        <v>1974</v>
      </c>
      <c r="K243" t="str">
        <f t="shared" si="62"/>
        <v>, SeasonId= "</v>
      </c>
      <c r="L243" t="str">
        <f>Matchs!F244</f>
        <v>FIFAWC1974</v>
      </c>
      <c r="M243" t="str">
        <f t="shared" si="63"/>
        <v>",Round= "</v>
      </c>
      <c r="N243" t="str">
        <f>Matchs!G244</f>
        <v>Final Round</v>
      </c>
      <c r="O243" s="6" t="str">
        <f t="shared" si="64"/>
        <v>",Stage= "</v>
      </c>
      <c r="P243" t="str">
        <f>Matchs!H244</f>
        <v>Group</v>
      </c>
      <c r="Q243" s="6" t="str">
        <f t="shared" si="65"/>
        <v>",SubStage= "</v>
      </c>
      <c r="R243" t="str">
        <f>Matchs!I244</f>
        <v>Group 1</v>
      </c>
      <c r="S243" s="6" t="str">
        <f t="shared" si="66"/>
        <v>",HTeam= "</v>
      </c>
      <c r="T243" t="str">
        <f>Matchs!J244</f>
        <v>Chile</v>
      </c>
      <c r="U243" s="6" t="str">
        <f t="shared" si="67"/>
        <v>",HGoal=</v>
      </c>
      <c r="V243">
        <f>Matchs!K244</f>
        <v>1</v>
      </c>
      <c r="W243" s="6" t="str">
        <f t="shared" si="68"/>
        <v>,GGoal=</v>
      </c>
      <c r="X243">
        <f>Matchs!L244</f>
        <v>1</v>
      </c>
      <c r="Y243" s="6" t="str">
        <f t="shared" si="69"/>
        <v>,GTeam= "</v>
      </c>
      <c r="Z243" t="str">
        <f>Matchs!M244</f>
        <v>East Germany</v>
      </c>
      <c r="AA243" s="6" t="str">
        <f t="shared" si="70"/>
        <v>",WinNote="</v>
      </c>
      <c r="AB243" t="str">
        <f>IF(Matchs!N244="","",Matchs!N244)</f>
        <v/>
      </c>
      <c r="AC243" s="6" t="str">
        <f t="shared" si="71"/>
        <v xml:space="preserve">",Stadium=" </v>
      </c>
      <c r="AD243" s="11" t="str">
        <f>Matchs!O244</f>
        <v xml:space="preserve">Olympiastadion </v>
      </c>
      <c r="AE243" s="6" t="str">
        <f t="shared" si="72"/>
        <v>",Referee= "</v>
      </c>
      <c r="AF243" s="11">
        <f>Matchs!P244</f>
        <v>0</v>
      </c>
      <c r="AG243" s="6" t="str">
        <f t="shared" si="73"/>
        <v xml:space="preserve">",Visistors= </v>
      </c>
      <c r="AH243" s="11">
        <f>Matchs!Q244</f>
        <v>28300</v>
      </c>
      <c r="AI243" s="11" t="str">
        <f t="shared" si="74"/>
        <v>,Status= "</v>
      </c>
      <c r="AJ243" s="11" t="str">
        <f>Matchs!R244</f>
        <v>Finished</v>
      </c>
      <c r="AK243" t="str">
        <f t="shared" si="75"/>
        <v>" },</v>
      </c>
    </row>
    <row r="244" spans="1:37" x14ac:dyDescent="0.25">
      <c r="A244" t="str">
        <f t="shared" si="57"/>
        <v>new Match { MatchId= "</v>
      </c>
      <c r="B244" t="str">
        <f>Matchs!A245</f>
        <v>FIFAWC1974-12</v>
      </c>
      <c r="C244" t="str">
        <f t="shared" si="58"/>
        <v>",MatchNumer=</v>
      </c>
      <c r="D244">
        <f>Matchs!B245</f>
        <v>12</v>
      </c>
      <c r="E244" t="str">
        <f t="shared" si="59"/>
        <v>,DateMatch=DateTime.Parse("</v>
      </c>
      <c r="F244" s="3">
        <f>Matchs!C245</f>
        <v>27199</v>
      </c>
      <c r="G244" s="10" t="str">
        <f t="shared" si="60"/>
        <v>"),TimeMatch=TimeSpan.Parse("</v>
      </c>
      <c r="H244" s="9">
        <f>Matchs!D245</f>
        <v>6.25E-2</v>
      </c>
      <c r="I244" t="str">
        <f t="shared" si="61"/>
        <v>"),MatchYear=</v>
      </c>
      <c r="J244">
        <f>Matchs!E245</f>
        <v>1974</v>
      </c>
      <c r="K244" t="str">
        <f t="shared" si="62"/>
        <v>, SeasonId= "</v>
      </c>
      <c r="L244" t="str">
        <f>Matchs!F245</f>
        <v>FIFAWC1974</v>
      </c>
      <c r="M244" t="str">
        <f t="shared" si="63"/>
        <v>",Round= "</v>
      </c>
      <c r="N244" t="str">
        <f>Matchs!G245</f>
        <v>Final Round</v>
      </c>
      <c r="O244" s="6" t="str">
        <f t="shared" si="64"/>
        <v>",Stage= "</v>
      </c>
      <c r="P244" t="str">
        <f>Matchs!H245</f>
        <v>Group</v>
      </c>
      <c r="Q244" s="6" t="str">
        <f t="shared" si="65"/>
        <v>",SubStage= "</v>
      </c>
      <c r="R244" t="str">
        <f>Matchs!I245</f>
        <v>Group 2</v>
      </c>
      <c r="S244" s="6" t="str">
        <f t="shared" si="66"/>
        <v>",HTeam= "</v>
      </c>
      <c r="T244" t="str">
        <f>Matchs!J245</f>
        <v>Yugoslavia</v>
      </c>
      <c r="U244" s="6" t="str">
        <f t="shared" si="67"/>
        <v>",HGoal=</v>
      </c>
      <c r="V244">
        <f>Matchs!K245</f>
        <v>9</v>
      </c>
      <c r="W244" s="6" t="str">
        <f t="shared" si="68"/>
        <v>,GGoal=</v>
      </c>
      <c r="X244">
        <f>Matchs!L245</f>
        <v>0</v>
      </c>
      <c r="Y244" s="6" t="str">
        <f t="shared" si="69"/>
        <v>,GTeam= "</v>
      </c>
      <c r="Z244" t="str">
        <f>Matchs!M245</f>
        <v>Zaire</v>
      </c>
      <c r="AA244" s="6" t="str">
        <f t="shared" si="70"/>
        <v>",WinNote="</v>
      </c>
      <c r="AB244" t="str">
        <f>IF(Matchs!N245="","",Matchs!N245)</f>
        <v/>
      </c>
      <c r="AC244" s="6" t="str">
        <f t="shared" si="71"/>
        <v xml:space="preserve">",Stadium=" </v>
      </c>
      <c r="AD244" s="11" t="str">
        <f>Matchs!O245</f>
        <v xml:space="preserve">Parkstadion </v>
      </c>
      <c r="AE244" s="6" t="str">
        <f t="shared" si="72"/>
        <v>",Referee= "</v>
      </c>
      <c r="AF244" s="11">
        <f>Matchs!P245</f>
        <v>0</v>
      </c>
      <c r="AG244" s="6" t="str">
        <f t="shared" si="73"/>
        <v xml:space="preserve">",Visistors= </v>
      </c>
      <c r="AH244" s="11">
        <f>Matchs!Q245</f>
        <v>31700</v>
      </c>
      <c r="AI244" s="11" t="str">
        <f t="shared" si="74"/>
        <v>,Status= "</v>
      </c>
      <c r="AJ244" s="11" t="str">
        <f>Matchs!R245</f>
        <v>Finished</v>
      </c>
      <c r="AK244" t="str">
        <f t="shared" si="75"/>
        <v>" },</v>
      </c>
    </row>
    <row r="245" spans="1:37" x14ac:dyDescent="0.25">
      <c r="A245" t="str">
        <f t="shared" si="57"/>
        <v>new Match { MatchId= "</v>
      </c>
      <c r="B245" t="str">
        <f>Matchs!A246</f>
        <v>FIFAWC1974-13</v>
      </c>
      <c r="C245" t="str">
        <f t="shared" si="58"/>
        <v>",MatchNumer=</v>
      </c>
      <c r="D245">
        <f>Matchs!B246</f>
        <v>13</v>
      </c>
      <c r="E245" t="str">
        <f t="shared" si="59"/>
        <v>,DateMatch=DateTime.Parse("</v>
      </c>
      <c r="F245" s="3">
        <f>Matchs!C246</f>
        <v>27200</v>
      </c>
      <c r="G245" s="10" t="str">
        <f t="shared" si="60"/>
        <v>"),TimeMatch=TimeSpan.Parse("</v>
      </c>
      <c r="H245" s="9">
        <f>Matchs!D246</f>
        <v>6.25E-2</v>
      </c>
      <c r="I245" t="str">
        <f t="shared" si="61"/>
        <v>"),MatchYear=</v>
      </c>
      <c r="J245">
        <f>Matchs!E246</f>
        <v>1974</v>
      </c>
      <c r="K245" t="str">
        <f t="shared" si="62"/>
        <v>, SeasonId= "</v>
      </c>
      <c r="L245" t="str">
        <f>Matchs!F246</f>
        <v>FIFAWC1974</v>
      </c>
      <c r="M245" t="str">
        <f t="shared" si="63"/>
        <v>",Round= "</v>
      </c>
      <c r="N245" t="str">
        <f>Matchs!G246</f>
        <v>Final Round</v>
      </c>
      <c r="O245" s="6" t="str">
        <f t="shared" si="64"/>
        <v>",Stage= "</v>
      </c>
      <c r="P245" t="str">
        <f>Matchs!H246</f>
        <v>Group</v>
      </c>
      <c r="Q245" s="6" t="str">
        <f t="shared" si="65"/>
        <v>",SubStage= "</v>
      </c>
      <c r="R245" t="str">
        <f>Matchs!I246</f>
        <v>Group 3</v>
      </c>
      <c r="S245" s="6" t="str">
        <f t="shared" si="66"/>
        <v>",HTeam= "</v>
      </c>
      <c r="T245" t="str">
        <f>Matchs!J246</f>
        <v>Netherlands</v>
      </c>
      <c r="U245" s="6" t="str">
        <f t="shared" si="67"/>
        <v>",HGoal=</v>
      </c>
      <c r="V245">
        <f>Matchs!K246</f>
        <v>0</v>
      </c>
      <c r="W245" s="6" t="str">
        <f t="shared" si="68"/>
        <v>,GGoal=</v>
      </c>
      <c r="X245">
        <f>Matchs!L246</f>
        <v>0</v>
      </c>
      <c r="Y245" s="6" t="str">
        <f t="shared" si="69"/>
        <v>,GTeam= "</v>
      </c>
      <c r="Z245" t="str">
        <f>Matchs!M246</f>
        <v>Sweden</v>
      </c>
      <c r="AA245" s="6" t="str">
        <f t="shared" si="70"/>
        <v>",WinNote="</v>
      </c>
      <c r="AB245" t="str">
        <f>IF(Matchs!N246="","",Matchs!N246)</f>
        <v/>
      </c>
      <c r="AC245" s="6" t="str">
        <f t="shared" si="71"/>
        <v xml:space="preserve">",Stadium=" </v>
      </c>
      <c r="AD245" s="11" t="str">
        <f>Matchs!O246</f>
        <v xml:space="preserve">Westfalenstadion </v>
      </c>
      <c r="AE245" s="6" t="str">
        <f t="shared" si="72"/>
        <v>",Referee= "</v>
      </c>
      <c r="AF245" s="11">
        <f>Matchs!P246</f>
        <v>0</v>
      </c>
      <c r="AG245" s="6" t="str">
        <f t="shared" si="73"/>
        <v xml:space="preserve">",Visistors= </v>
      </c>
      <c r="AH245" s="11">
        <f>Matchs!Q246</f>
        <v>53700</v>
      </c>
      <c r="AI245" s="11" t="str">
        <f t="shared" si="74"/>
        <v>,Status= "</v>
      </c>
      <c r="AJ245" s="11" t="str">
        <f>Matchs!R246</f>
        <v>Finished</v>
      </c>
      <c r="AK245" t="str">
        <f t="shared" si="75"/>
        <v>" },</v>
      </c>
    </row>
    <row r="246" spans="1:37" x14ac:dyDescent="0.25">
      <c r="A246" t="str">
        <f t="shared" si="57"/>
        <v>new Match { MatchId= "</v>
      </c>
      <c r="B246" t="str">
        <f>Matchs!A247</f>
        <v>FIFAWC1974-14</v>
      </c>
      <c r="C246" t="str">
        <f t="shared" si="58"/>
        <v>",MatchNumer=</v>
      </c>
      <c r="D246">
        <f>Matchs!B247</f>
        <v>14</v>
      </c>
      <c r="E246" t="str">
        <f t="shared" si="59"/>
        <v>,DateMatch=DateTime.Parse("</v>
      </c>
      <c r="F246" s="3">
        <f>Matchs!C247</f>
        <v>27200</v>
      </c>
      <c r="G246" s="10" t="str">
        <f t="shared" si="60"/>
        <v>"),TimeMatch=TimeSpan.Parse("</v>
      </c>
      <c r="H246" s="9">
        <f>Matchs!D247</f>
        <v>6.25E-2</v>
      </c>
      <c r="I246" t="str">
        <f t="shared" si="61"/>
        <v>"),MatchYear=</v>
      </c>
      <c r="J246">
        <f>Matchs!E247</f>
        <v>1974</v>
      </c>
      <c r="K246" t="str">
        <f t="shared" si="62"/>
        <v>, SeasonId= "</v>
      </c>
      <c r="L246" t="str">
        <f>Matchs!F247</f>
        <v>FIFAWC1974</v>
      </c>
      <c r="M246" t="str">
        <f t="shared" si="63"/>
        <v>",Round= "</v>
      </c>
      <c r="N246" t="str">
        <f>Matchs!G247</f>
        <v>Final Round</v>
      </c>
      <c r="O246" s="6" t="str">
        <f t="shared" si="64"/>
        <v>",Stage= "</v>
      </c>
      <c r="P246" t="str">
        <f>Matchs!H247</f>
        <v>Group</v>
      </c>
      <c r="Q246" s="6" t="str">
        <f t="shared" si="65"/>
        <v>",SubStage= "</v>
      </c>
      <c r="R246" t="str">
        <f>Matchs!I247</f>
        <v>Group 3</v>
      </c>
      <c r="S246" s="6" t="str">
        <f t="shared" si="66"/>
        <v>",HTeam= "</v>
      </c>
      <c r="T246" t="str">
        <f>Matchs!J247</f>
        <v>Bulgaria</v>
      </c>
      <c r="U246" s="6" t="str">
        <f t="shared" si="67"/>
        <v>",HGoal=</v>
      </c>
      <c r="V246">
        <f>Matchs!K247</f>
        <v>1</v>
      </c>
      <c r="W246" s="6" t="str">
        <f t="shared" si="68"/>
        <v>,GGoal=</v>
      </c>
      <c r="X246">
        <f>Matchs!L247</f>
        <v>1</v>
      </c>
      <c r="Y246" s="6" t="str">
        <f t="shared" si="69"/>
        <v>,GTeam= "</v>
      </c>
      <c r="Z246" t="str">
        <f>Matchs!M247</f>
        <v>Uruguay</v>
      </c>
      <c r="AA246" s="6" t="str">
        <f t="shared" si="70"/>
        <v>",WinNote="</v>
      </c>
      <c r="AB246" t="str">
        <f>IF(Matchs!N247="","",Matchs!N247)</f>
        <v/>
      </c>
      <c r="AC246" s="6" t="str">
        <f t="shared" si="71"/>
        <v xml:space="preserve">",Stadium=" </v>
      </c>
      <c r="AD246" s="11" t="str">
        <f>Matchs!O247</f>
        <v xml:space="preserve">AWD-Arena </v>
      </c>
      <c r="AE246" s="6" t="str">
        <f t="shared" si="72"/>
        <v>",Referee= "</v>
      </c>
      <c r="AF246" s="11">
        <f>Matchs!P247</f>
        <v>0</v>
      </c>
      <c r="AG246" s="6" t="str">
        <f t="shared" si="73"/>
        <v xml:space="preserve">",Visistors= </v>
      </c>
      <c r="AH246" s="11">
        <f>Matchs!Q247</f>
        <v>13400</v>
      </c>
      <c r="AI246" s="11" t="str">
        <f t="shared" si="74"/>
        <v>,Status= "</v>
      </c>
      <c r="AJ246" s="11" t="str">
        <f>Matchs!R247</f>
        <v>Finished</v>
      </c>
      <c r="AK246" t="str">
        <f t="shared" si="75"/>
        <v>" },</v>
      </c>
    </row>
    <row r="247" spans="1:37" x14ac:dyDescent="0.25">
      <c r="A247" t="str">
        <f t="shared" si="57"/>
        <v>new Match { MatchId= "</v>
      </c>
      <c r="B247" t="str">
        <f>Matchs!A248</f>
        <v>FIFAWC1974-15</v>
      </c>
      <c r="C247" t="str">
        <f t="shared" si="58"/>
        <v>",MatchNumer=</v>
      </c>
      <c r="D247">
        <f>Matchs!B248</f>
        <v>15</v>
      </c>
      <c r="E247" t="str">
        <f t="shared" si="59"/>
        <v>,DateMatch=DateTime.Parse("</v>
      </c>
      <c r="F247" s="3">
        <f>Matchs!C248</f>
        <v>27200</v>
      </c>
      <c r="G247" s="10" t="str">
        <f t="shared" si="60"/>
        <v>"),TimeMatch=TimeSpan.Parse("</v>
      </c>
      <c r="H247" s="9">
        <f>Matchs!D248</f>
        <v>6.25E-2</v>
      </c>
      <c r="I247" t="str">
        <f t="shared" si="61"/>
        <v>"),MatchYear=</v>
      </c>
      <c r="J247">
        <f>Matchs!E248</f>
        <v>1974</v>
      </c>
      <c r="K247" t="str">
        <f t="shared" si="62"/>
        <v>, SeasonId= "</v>
      </c>
      <c r="L247" t="str">
        <f>Matchs!F248</f>
        <v>FIFAWC1974</v>
      </c>
      <c r="M247" t="str">
        <f t="shared" si="63"/>
        <v>",Round= "</v>
      </c>
      <c r="N247" t="str">
        <f>Matchs!G248</f>
        <v>Final Round</v>
      </c>
      <c r="O247" s="6" t="str">
        <f t="shared" si="64"/>
        <v>",Stage= "</v>
      </c>
      <c r="P247" t="str">
        <f>Matchs!H248</f>
        <v>Group</v>
      </c>
      <c r="Q247" s="6" t="str">
        <f t="shared" si="65"/>
        <v>",SubStage= "</v>
      </c>
      <c r="R247" t="str">
        <f>Matchs!I248</f>
        <v>Group 4</v>
      </c>
      <c r="S247" s="6" t="str">
        <f t="shared" si="66"/>
        <v>",HTeam= "</v>
      </c>
      <c r="T247" t="str">
        <f>Matchs!J248</f>
        <v>Haiti</v>
      </c>
      <c r="U247" s="6" t="str">
        <f t="shared" si="67"/>
        <v>",HGoal=</v>
      </c>
      <c r="V247">
        <f>Matchs!K248</f>
        <v>0</v>
      </c>
      <c r="W247" s="6" t="str">
        <f t="shared" si="68"/>
        <v>,GGoal=</v>
      </c>
      <c r="X247">
        <f>Matchs!L248</f>
        <v>7</v>
      </c>
      <c r="Y247" s="6" t="str">
        <f t="shared" si="69"/>
        <v>,GTeam= "</v>
      </c>
      <c r="Z247" t="str">
        <f>Matchs!M248</f>
        <v>Poland</v>
      </c>
      <c r="AA247" s="6" t="str">
        <f t="shared" si="70"/>
        <v>",WinNote="</v>
      </c>
      <c r="AB247" t="str">
        <f>IF(Matchs!N248="","",Matchs!N248)</f>
        <v/>
      </c>
      <c r="AC247" s="6" t="str">
        <f t="shared" si="71"/>
        <v xml:space="preserve">",Stadium=" </v>
      </c>
      <c r="AD247" s="11" t="str">
        <f>Matchs!O248</f>
        <v xml:space="preserve">Olympiastadion </v>
      </c>
      <c r="AE247" s="6" t="str">
        <f t="shared" si="72"/>
        <v>",Referee= "</v>
      </c>
      <c r="AF247" s="11">
        <f>Matchs!P248</f>
        <v>0</v>
      </c>
      <c r="AG247" s="6" t="str">
        <f t="shared" si="73"/>
        <v xml:space="preserve">",Visistors= </v>
      </c>
      <c r="AH247" s="11">
        <f>Matchs!Q248</f>
        <v>25300</v>
      </c>
      <c r="AI247" s="11" t="str">
        <f t="shared" si="74"/>
        <v>,Status= "</v>
      </c>
      <c r="AJ247" s="11" t="str">
        <f>Matchs!R248</f>
        <v>Finished</v>
      </c>
      <c r="AK247" t="str">
        <f t="shared" si="75"/>
        <v>" },</v>
      </c>
    </row>
    <row r="248" spans="1:37" x14ac:dyDescent="0.25">
      <c r="A248" t="str">
        <f t="shared" si="57"/>
        <v>new Match { MatchId= "</v>
      </c>
      <c r="B248" t="str">
        <f>Matchs!A249</f>
        <v>FIFAWC1974-16</v>
      </c>
      <c r="C248" t="str">
        <f t="shared" si="58"/>
        <v>",MatchNumer=</v>
      </c>
      <c r="D248">
        <f>Matchs!B249</f>
        <v>16</v>
      </c>
      <c r="E248" t="str">
        <f t="shared" si="59"/>
        <v>,DateMatch=DateTime.Parse("</v>
      </c>
      <c r="F248" s="3">
        <f>Matchs!C249</f>
        <v>27200</v>
      </c>
      <c r="G248" s="10" t="str">
        <f t="shared" si="60"/>
        <v>"),TimeMatch=TimeSpan.Parse("</v>
      </c>
      <c r="H248" s="9">
        <f>Matchs!D249</f>
        <v>6.25E-2</v>
      </c>
      <c r="I248" t="str">
        <f t="shared" si="61"/>
        <v>"),MatchYear=</v>
      </c>
      <c r="J248">
        <f>Matchs!E249</f>
        <v>1974</v>
      </c>
      <c r="K248" t="str">
        <f t="shared" si="62"/>
        <v>, SeasonId= "</v>
      </c>
      <c r="L248" t="str">
        <f>Matchs!F249</f>
        <v>FIFAWC1974</v>
      </c>
      <c r="M248" t="str">
        <f t="shared" si="63"/>
        <v>",Round= "</v>
      </c>
      <c r="N248" t="str">
        <f>Matchs!G249</f>
        <v>Final Round</v>
      </c>
      <c r="O248" s="6" t="str">
        <f t="shared" si="64"/>
        <v>",Stage= "</v>
      </c>
      <c r="P248" t="str">
        <f>Matchs!H249</f>
        <v>Group</v>
      </c>
      <c r="Q248" s="6" t="str">
        <f t="shared" si="65"/>
        <v>",SubStage= "</v>
      </c>
      <c r="R248" t="str">
        <f>Matchs!I249</f>
        <v>Group 4</v>
      </c>
      <c r="S248" s="6" t="str">
        <f t="shared" si="66"/>
        <v>",HTeam= "</v>
      </c>
      <c r="T248" t="str">
        <f>Matchs!J249</f>
        <v>Argentina</v>
      </c>
      <c r="U248" s="6" t="str">
        <f t="shared" si="67"/>
        <v>",HGoal=</v>
      </c>
      <c r="V248">
        <f>Matchs!K249</f>
        <v>1</v>
      </c>
      <c r="W248" s="6" t="str">
        <f t="shared" si="68"/>
        <v>,GGoal=</v>
      </c>
      <c r="X248">
        <f>Matchs!L249</f>
        <v>1</v>
      </c>
      <c r="Y248" s="6" t="str">
        <f t="shared" si="69"/>
        <v>,GTeam= "</v>
      </c>
      <c r="Z248" t="str">
        <f>Matchs!M249</f>
        <v>Italy</v>
      </c>
      <c r="AA248" s="6" t="str">
        <f t="shared" si="70"/>
        <v>",WinNote="</v>
      </c>
      <c r="AB248" t="str">
        <f>IF(Matchs!N249="","",Matchs!N249)</f>
        <v/>
      </c>
      <c r="AC248" s="6" t="str">
        <f t="shared" si="71"/>
        <v xml:space="preserve">",Stadium=" </v>
      </c>
      <c r="AD248" s="11" t="str">
        <f>Matchs!O249</f>
        <v xml:space="preserve">Mercedes-Benz Arena </v>
      </c>
      <c r="AE248" s="6" t="str">
        <f t="shared" si="72"/>
        <v>",Referee= "</v>
      </c>
      <c r="AF248" s="11">
        <f>Matchs!P249</f>
        <v>0</v>
      </c>
      <c r="AG248" s="6" t="str">
        <f t="shared" si="73"/>
        <v xml:space="preserve">",Visistors= </v>
      </c>
      <c r="AH248" s="11">
        <f>Matchs!Q249</f>
        <v>70100</v>
      </c>
      <c r="AI248" s="11" t="str">
        <f t="shared" si="74"/>
        <v>,Status= "</v>
      </c>
      <c r="AJ248" s="11" t="str">
        <f>Matchs!R249</f>
        <v>Finished</v>
      </c>
      <c r="AK248" t="str">
        <f t="shared" si="75"/>
        <v>" },</v>
      </c>
    </row>
    <row r="249" spans="1:37" x14ac:dyDescent="0.25">
      <c r="A249" t="str">
        <f t="shared" si="57"/>
        <v>new Match { MatchId= "</v>
      </c>
      <c r="B249" t="str">
        <f>Matchs!A250</f>
        <v>FIFAWC1974-17</v>
      </c>
      <c r="C249" t="str">
        <f t="shared" si="58"/>
        <v>",MatchNumer=</v>
      </c>
      <c r="D249">
        <f>Matchs!B250</f>
        <v>17</v>
      </c>
      <c r="E249" t="str">
        <f t="shared" si="59"/>
        <v>,DateMatch=DateTime.Parse("</v>
      </c>
      <c r="F249" s="3">
        <f>Matchs!C250</f>
        <v>27202</v>
      </c>
      <c r="G249" s="10" t="str">
        <f t="shared" si="60"/>
        <v>"),TimeMatch=TimeSpan.Parse("</v>
      </c>
      <c r="H249" s="9">
        <f>Matchs!D250</f>
        <v>0.91666666666666663</v>
      </c>
      <c r="I249" t="str">
        <f t="shared" si="61"/>
        <v>"),MatchYear=</v>
      </c>
      <c r="J249">
        <f>Matchs!E250</f>
        <v>1974</v>
      </c>
      <c r="K249" t="str">
        <f t="shared" si="62"/>
        <v>, SeasonId= "</v>
      </c>
      <c r="L249" t="str">
        <f>Matchs!F250</f>
        <v>FIFAWC1974</v>
      </c>
      <c r="M249" t="str">
        <f t="shared" si="63"/>
        <v>",Round= "</v>
      </c>
      <c r="N249" t="str">
        <f>Matchs!G250</f>
        <v>Final Round</v>
      </c>
      <c r="O249" s="6" t="str">
        <f t="shared" si="64"/>
        <v>",Stage= "</v>
      </c>
      <c r="P249" t="str">
        <f>Matchs!H250</f>
        <v>Group</v>
      </c>
      <c r="Q249" s="6" t="str">
        <f t="shared" si="65"/>
        <v>",SubStage= "</v>
      </c>
      <c r="R249" t="str">
        <f>Matchs!I250</f>
        <v>Group 1</v>
      </c>
      <c r="S249" s="6" t="str">
        <f t="shared" si="66"/>
        <v>",HTeam= "</v>
      </c>
      <c r="T249" t="str">
        <f>Matchs!J250</f>
        <v>Australia</v>
      </c>
      <c r="U249" s="6" t="str">
        <f t="shared" si="67"/>
        <v>",HGoal=</v>
      </c>
      <c r="V249">
        <f>Matchs!K250</f>
        <v>0</v>
      </c>
      <c r="W249" s="6" t="str">
        <f t="shared" si="68"/>
        <v>,GGoal=</v>
      </c>
      <c r="X249">
        <f>Matchs!L250</f>
        <v>0</v>
      </c>
      <c r="Y249" s="6" t="str">
        <f t="shared" si="69"/>
        <v>,GTeam= "</v>
      </c>
      <c r="Z249" t="str">
        <f>Matchs!M250</f>
        <v>Chile</v>
      </c>
      <c r="AA249" s="6" t="str">
        <f t="shared" si="70"/>
        <v>",WinNote="</v>
      </c>
      <c r="AB249" t="str">
        <f>IF(Matchs!N250="","",Matchs!N250)</f>
        <v/>
      </c>
      <c r="AC249" s="6" t="str">
        <f t="shared" si="71"/>
        <v xml:space="preserve">",Stadium=" </v>
      </c>
      <c r="AD249" s="11" t="str">
        <f>Matchs!O250</f>
        <v xml:space="preserve">Olympiastadion </v>
      </c>
      <c r="AE249" s="6" t="str">
        <f t="shared" si="72"/>
        <v>",Referee= "</v>
      </c>
      <c r="AF249" s="11">
        <f>Matchs!P250</f>
        <v>0</v>
      </c>
      <c r="AG249" s="6" t="str">
        <f t="shared" si="73"/>
        <v xml:space="preserve">",Visistors= </v>
      </c>
      <c r="AH249" s="11">
        <f>Matchs!Q250</f>
        <v>17400</v>
      </c>
      <c r="AI249" s="11" t="str">
        <f t="shared" si="74"/>
        <v>,Status= "</v>
      </c>
      <c r="AJ249" s="11" t="str">
        <f>Matchs!R250</f>
        <v>Finished</v>
      </c>
      <c r="AK249" t="str">
        <f t="shared" si="75"/>
        <v>" },</v>
      </c>
    </row>
    <row r="250" spans="1:37" x14ac:dyDescent="0.25">
      <c r="A250" t="str">
        <f t="shared" si="57"/>
        <v>new Match { MatchId= "</v>
      </c>
      <c r="B250" t="str">
        <f>Matchs!A251</f>
        <v>FIFAWC1974-18</v>
      </c>
      <c r="C250" t="str">
        <f t="shared" si="58"/>
        <v>",MatchNumer=</v>
      </c>
      <c r="D250">
        <f>Matchs!B251</f>
        <v>18</v>
      </c>
      <c r="E250" t="str">
        <f t="shared" si="59"/>
        <v>,DateMatch=DateTime.Parse("</v>
      </c>
      <c r="F250" s="3">
        <f>Matchs!C251</f>
        <v>27202</v>
      </c>
      <c r="G250" s="10" t="str">
        <f t="shared" si="60"/>
        <v>"),TimeMatch=TimeSpan.Parse("</v>
      </c>
      <c r="H250" s="9">
        <f>Matchs!D251</f>
        <v>0.91666666666666663</v>
      </c>
      <c r="I250" t="str">
        <f t="shared" si="61"/>
        <v>"),MatchYear=</v>
      </c>
      <c r="J250">
        <f>Matchs!E251</f>
        <v>1974</v>
      </c>
      <c r="K250" t="str">
        <f t="shared" si="62"/>
        <v>, SeasonId= "</v>
      </c>
      <c r="L250" t="str">
        <f>Matchs!F251</f>
        <v>FIFAWC1974</v>
      </c>
      <c r="M250" t="str">
        <f t="shared" si="63"/>
        <v>",Round= "</v>
      </c>
      <c r="N250" t="str">
        <f>Matchs!G251</f>
        <v>Final Round</v>
      </c>
      <c r="O250" s="6" t="str">
        <f t="shared" si="64"/>
        <v>",Stage= "</v>
      </c>
      <c r="P250" t="str">
        <f>Matchs!H251</f>
        <v>Group</v>
      </c>
      <c r="Q250" s="6" t="str">
        <f t="shared" si="65"/>
        <v>",SubStage= "</v>
      </c>
      <c r="R250" t="str">
        <f>Matchs!I251</f>
        <v>Group 2</v>
      </c>
      <c r="S250" s="6" t="str">
        <f t="shared" si="66"/>
        <v>",HTeam= "</v>
      </c>
      <c r="T250" t="str">
        <f>Matchs!J251</f>
        <v>Scotland</v>
      </c>
      <c r="U250" s="6" t="str">
        <f t="shared" si="67"/>
        <v>",HGoal=</v>
      </c>
      <c r="V250">
        <f>Matchs!K251</f>
        <v>1</v>
      </c>
      <c r="W250" s="6" t="str">
        <f t="shared" si="68"/>
        <v>,GGoal=</v>
      </c>
      <c r="X250">
        <f>Matchs!L251</f>
        <v>1</v>
      </c>
      <c r="Y250" s="6" t="str">
        <f t="shared" si="69"/>
        <v>,GTeam= "</v>
      </c>
      <c r="Z250" t="str">
        <f>Matchs!M251</f>
        <v>Yugoslavia</v>
      </c>
      <c r="AA250" s="6" t="str">
        <f t="shared" si="70"/>
        <v>",WinNote="</v>
      </c>
      <c r="AB250" t="str">
        <f>IF(Matchs!N251="","",Matchs!N251)</f>
        <v/>
      </c>
      <c r="AC250" s="6" t="str">
        <f t="shared" si="71"/>
        <v xml:space="preserve">",Stadium=" </v>
      </c>
      <c r="AD250" s="11" t="str">
        <f>Matchs!O251</f>
        <v xml:space="preserve">Waldstadion, Frankfurt/Main </v>
      </c>
      <c r="AE250" s="6" t="str">
        <f t="shared" si="72"/>
        <v>",Referee= "</v>
      </c>
      <c r="AF250" s="11">
        <f>Matchs!P251</f>
        <v>0</v>
      </c>
      <c r="AG250" s="6" t="str">
        <f t="shared" si="73"/>
        <v xml:space="preserve">",Visistors= </v>
      </c>
      <c r="AH250" s="11">
        <f>Matchs!Q251</f>
        <v>56000</v>
      </c>
      <c r="AI250" s="11" t="str">
        <f t="shared" si="74"/>
        <v>,Status= "</v>
      </c>
      <c r="AJ250" s="11" t="str">
        <f>Matchs!R251</f>
        <v>Finished</v>
      </c>
      <c r="AK250" t="str">
        <f t="shared" si="75"/>
        <v>" },</v>
      </c>
    </row>
    <row r="251" spans="1:37" x14ac:dyDescent="0.25">
      <c r="A251" t="str">
        <f t="shared" si="57"/>
        <v>new Match { MatchId= "</v>
      </c>
      <c r="B251" t="str">
        <f>Matchs!A252</f>
        <v>FIFAWC1974-19</v>
      </c>
      <c r="C251" t="str">
        <f t="shared" si="58"/>
        <v>",MatchNumer=</v>
      </c>
      <c r="D251">
        <f>Matchs!B252</f>
        <v>19</v>
      </c>
      <c r="E251" t="str">
        <f t="shared" si="59"/>
        <v>,DateMatch=DateTime.Parse("</v>
      </c>
      <c r="F251" s="3">
        <f>Matchs!C252</f>
        <v>27202</v>
      </c>
      <c r="G251" s="10" t="str">
        <f t="shared" si="60"/>
        <v>"),TimeMatch=TimeSpan.Parse("</v>
      </c>
      <c r="H251" s="9">
        <f>Matchs!D252</f>
        <v>0.91666666666666663</v>
      </c>
      <c r="I251" t="str">
        <f t="shared" si="61"/>
        <v>"),MatchYear=</v>
      </c>
      <c r="J251">
        <f>Matchs!E252</f>
        <v>1974</v>
      </c>
      <c r="K251" t="str">
        <f t="shared" si="62"/>
        <v>, SeasonId= "</v>
      </c>
      <c r="L251" t="str">
        <f>Matchs!F252</f>
        <v>FIFAWC1974</v>
      </c>
      <c r="M251" t="str">
        <f t="shared" si="63"/>
        <v>",Round= "</v>
      </c>
      <c r="N251" t="str">
        <f>Matchs!G252</f>
        <v>Final Round</v>
      </c>
      <c r="O251" s="6" t="str">
        <f t="shared" si="64"/>
        <v>",Stage= "</v>
      </c>
      <c r="P251" t="str">
        <f>Matchs!H252</f>
        <v>Group</v>
      </c>
      <c r="Q251" s="6" t="str">
        <f t="shared" si="65"/>
        <v>",SubStage= "</v>
      </c>
      <c r="R251" t="str">
        <f>Matchs!I252</f>
        <v>Group 2</v>
      </c>
      <c r="S251" s="6" t="str">
        <f t="shared" si="66"/>
        <v>",HTeam= "</v>
      </c>
      <c r="T251" t="str">
        <f>Matchs!J252</f>
        <v>Zaire</v>
      </c>
      <c r="U251" s="6" t="str">
        <f t="shared" si="67"/>
        <v>",HGoal=</v>
      </c>
      <c r="V251">
        <f>Matchs!K252</f>
        <v>0</v>
      </c>
      <c r="W251" s="6" t="str">
        <f t="shared" si="68"/>
        <v>,GGoal=</v>
      </c>
      <c r="X251">
        <f>Matchs!L252</f>
        <v>3</v>
      </c>
      <c r="Y251" s="6" t="str">
        <f t="shared" si="69"/>
        <v>,GTeam= "</v>
      </c>
      <c r="Z251" t="str">
        <f>Matchs!M252</f>
        <v>Brazil</v>
      </c>
      <c r="AA251" s="6" t="str">
        <f t="shared" si="70"/>
        <v>",WinNote="</v>
      </c>
      <c r="AB251" t="str">
        <f>IF(Matchs!N252="","",Matchs!N252)</f>
        <v/>
      </c>
      <c r="AC251" s="6" t="str">
        <f t="shared" si="71"/>
        <v xml:space="preserve">",Stadium=" </v>
      </c>
      <c r="AD251" s="11" t="str">
        <f>Matchs!O252</f>
        <v xml:space="preserve">Parkstadion </v>
      </c>
      <c r="AE251" s="6" t="str">
        <f t="shared" si="72"/>
        <v>",Referee= "</v>
      </c>
      <c r="AF251" s="11">
        <f>Matchs!P252</f>
        <v>0</v>
      </c>
      <c r="AG251" s="6" t="str">
        <f t="shared" si="73"/>
        <v xml:space="preserve">",Visistors= </v>
      </c>
      <c r="AH251" s="11">
        <f>Matchs!Q252</f>
        <v>36200</v>
      </c>
      <c r="AI251" s="11" t="str">
        <f t="shared" si="74"/>
        <v>,Status= "</v>
      </c>
      <c r="AJ251" s="11" t="str">
        <f>Matchs!R252</f>
        <v>Finished</v>
      </c>
      <c r="AK251" t="str">
        <f t="shared" si="75"/>
        <v>" },</v>
      </c>
    </row>
    <row r="252" spans="1:37" x14ac:dyDescent="0.25">
      <c r="A252" t="str">
        <f t="shared" si="57"/>
        <v>new Match { MatchId= "</v>
      </c>
      <c r="B252" t="str">
        <f>Matchs!A253</f>
        <v>FIFAWC1974-20</v>
      </c>
      <c r="C252" t="str">
        <f t="shared" si="58"/>
        <v>",MatchNumer=</v>
      </c>
      <c r="D252">
        <f>Matchs!B253</f>
        <v>20</v>
      </c>
      <c r="E252" t="str">
        <f t="shared" si="59"/>
        <v>,DateMatch=DateTime.Parse("</v>
      </c>
      <c r="F252" s="3">
        <f>Matchs!C253</f>
        <v>27202</v>
      </c>
      <c r="G252" s="10" t="str">
        <f t="shared" si="60"/>
        <v>"),TimeMatch=TimeSpan.Parse("</v>
      </c>
      <c r="H252" s="9">
        <f>Matchs!D253</f>
        <v>6.25E-2</v>
      </c>
      <c r="I252" t="str">
        <f t="shared" si="61"/>
        <v>"),MatchYear=</v>
      </c>
      <c r="J252">
        <f>Matchs!E253</f>
        <v>1974</v>
      </c>
      <c r="K252" t="str">
        <f t="shared" si="62"/>
        <v>, SeasonId= "</v>
      </c>
      <c r="L252" t="str">
        <f>Matchs!F253</f>
        <v>FIFAWC1974</v>
      </c>
      <c r="M252" t="str">
        <f t="shared" si="63"/>
        <v>",Round= "</v>
      </c>
      <c r="N252" t="str">
        <f>Matchs!G253</f>
        <v>Final Round</v>
      </c>
      <c r="O252" s="6" t="str">
        <f t="shared" si="64"/>
        <v>",Stage= "</v>
      </c>
      <c r="P252" t="str">
        <f>Matchs!H253</f>
        <v>Group</v>
      </c>
      <c r="Q252" s="6" t="str">
        <f t="shared" si="65"/>
        <v>",SubStage= "</v>
      </c>
      <c r="R252" t="str">
        <f>Matchs!I253</f>
        <v>Group 1</v>
      </c>
      <c r="S252" s="6" t="str">
        <f t="shared" si="66"/>
        <v>",HTeam= "</v>
      </c>
      <c r="T252" t="str">
        <f>Matchs!J253</f>
        <v>East Germany</v>
      </c>
      <c r="U252" s="6" t="str">
        <f t="shared" si="67"/>
        <v>",HGoal=</v>
      </c>
      <c r="V252">
        <f>Matchs!K253</f>
        <v>1</v>
      </c>
      <c r="W252" s="6" t="str">
        <f t="shared" si="68"/>
        <v>,GGoal=</v>
      </c>
      <c r="X252">
        <f>Matchs!L253</f>
        <v>0</v>
      </c>
      <c r="Y252" s="6" t="str">
        <f t="shared" si="69"/>
        <v>,GTeam= "</v>
      </c>
      <c r="Z252" t="str">
        <f>Matchs!M253</f>
        <v>Germany</v>
      </c>
      <c r="AA252" s="6" t="str">
        <f t="shared" si="70"/>
        <v>",WinNote="</v>
      </c>
      <c r="AB252" t="str">
        <f>IF(Matchs!N253="","",Matchs!N253)</f>
        <v/>
      </c>
      <c r="AC252" s="6" t="str">
        <f t="shared" si="71"/>
        <v xml:space="preserve">",Stadium=" </v>
      </c>
      <c r="AD252" s="11" t="str">
        <f>Matchs!O253</f>
        <v xml:space="preserve">Volksparkstadion </v>
      </c>
      <c r="AE252" s="6" t="str">
        <f t="shared" si="72"/>
        <v>",Referee= "</v>
      </c>
      <c r="AF252" s="11">
        <f>Matchs!P253</f>
        <v>0</v>
      </c>
      <c r="AG252" s="6" t="str">
        <f t="shared" si="73"/>
        <v xml:space="preserve">",Visistors= </v>
      </c>
      <c r="AH252" s="11">
        <f>Matchs!Q253</f>
        <v>60200</v>
      </c>
      <c r="AI252" s="11" t="str">
        <f t="shared" si="74"/>
        <v>,Status= "</v>
      </c>
      <c r="AJ252" s="11" t="str">
        <f>Matchs!R253</f>
        <v>Finished</v>
      </c>
      <c r="AK252" t="str">
        <f t="shared" si="75"/>
        <v>" },</v>
      </c>
    </row>
    <row r="253" spans="1:37" x14ac:dyDescent="0.25">
      <c r="A253" t="str">
        <f t="shared" si="57"/>
        <v>new Match { MatchId= "</v>
      </c>
      <c r="B253" t="str">
        <f>Matchs!A254</f>
        <v>FIFAWC1974-21</v>
      </c>
      <c r="C253" t="str">
        <f t="shared" si="58"/>
        <v>",MatchNumer=</v>
      </c>
      <c r="D253">
        <f>Matchs!B254</f>
        <v>21</v>
      </c>
      <c r="E253" t="str">
        <f t="shared" si="59"/>
        <v>,DateMatch=DateTime.Parse("</v>
      </c>
      <c r="F253" s="3">
        <f>Matchs!C254</f>
        <v>27203</v>
      </c>
      <c r="G253" s="10" t="str">
        <f t="shared" si="60"/>
        <v>"),TimeMatch=TimeSpan.Parse("</v>
      </c>
      <c r="H253" s="9">
        <f>Matchs!D254</f>
        <v>0.91666666666666663</v>
      </c>
      <c r="I253" t="str">
        <f t="shared" si="61"/>
        <v>"),MatchYear=</v>
      </c>
      <c r="J253">
        <f>Matchs!E254</f>
        <v>1974</v>
      </c>
      <c r="K253" t="str">
        <f t="shared" si="62"/>
        <v>, SeasonId= "</v>
      </c>
      <c r="L253" t="str">
        <f>Matchs!F254</f>
        <v>FIFAWC1974</v>
      </c>
      <c r="M253" t="str">
        <f t="shared" si="63"/>
        <v>",Round= "</v>
      </c>
      <c r="N253" t="str">
        <f>Matchs!G254</f>
        <v>Final Round</v>
      </c>
      <c r="O253" s="6" t="str">
        <f t="shared" si="64"/>
        <v>",Stage= "</v>
      </c>
      <c r="P253" t="str">
        <f>Matchs!H254</f>
        <v>Group</v>
      </c>
      <c r="Q253" s="6" t="str">
        <f t="shared" si="65"/>
        <v>",SubStage= "</v>
      </c>
      <c r="R253" t="str">
        <f>Matchs!I254</f>
        <v>Group 1</v>
      </c>
      <c r="S253" s="6" t="str">
        <f t="shared" si="66"/>
        <v>",HTeam= "</v>
      </c>
      <c r="T253" t="str">
        <f>Matchs!J254</f>
        <v>Sweden</v>
      </c>
      <c r="U253" s="6" t="str">
        <f t="shared" si="67"/>
        <v>",HGoal=</v>
      </c>
      <c r="V253">
        <f>Matchs!K254</f>
        <v>3</v>
      </c>
      <c r="W253" s="6" t="str">
        <f t="shared" si="68"/>
        <v>,GGoal=</v>
      </c>
      <c r="X253">
        <f>Matchs!L254</f>
        <v>0</v>
      </c>
      <c r="Y253" s="6" t="str">
        <f t="shared" si="69"/>
        <v>,GTeam= "</v>
      </c>
      <c r="Z253" t="str">
        <f>Matchs!M254</f>
        <v>Uruguay</v>
      </c>
      <c r="AA253" s="6" t="str">
        <f t="shared" si="70"/>
        <v>",WinNote="</v>
      </c>
      <c r="AB253" t="str">
        <f>IF(Matchs!N254="","",Matchs!N254)</f>
        <v/>
      </c>
      <c r="AC253" s="6" t="str">
        <f t="shared" si="71"/>
        <v xml:space="preserve">",Stadium=" </v>
      </c>
      <c r="AD253" s="11" t="str">
        <f>Matchs!O254</f>
        <v xml:space="preserve">Rheinstadion </v>
      </c>
      <c r="AE253" s="6" t="str">
        <f t="shared" si="72"/>
        <v>",Referee= "</v>
      </c>
      <c r="AF253" s="11">
        <f>Matchs!P254</f>
        <v>0</v>
      </c>
      <c r="AG253" s="6" t="str">
        <f t="shared" si="73"/>
        <v xml:space="preserve">",Visistors= </v>
      </c>
      <c r="AH253" s="11">
        <f>Matchs!Q254</f>
        <v>28300</v>
      </c>
      <c r="AI253" s="11" t="str">
        <f t="shared" si="74"/>
        <v>,Status= "</v>
      </c>
      <c r="AJ253" s="11" t="str">
        <f>Matchs!R254</f>
        <v>Finished</v>
      </c>
      <c r="AK253" t="str">
        <f t="shared" si="75"/>
        <v>" },</v>
      </c>
    </row>
    <row r="254" spans="1:37" x14ac:dyDescent="0.25">
      <c r="A254" t="str">
        <f t="shared" si="57"/>
        <v>new Match { MatchId= "</v>
      </c>
      <c r="B254" t="str">
        <f>Matchs!A255</f>
        <v>FIFAWC1974-22</v>
      </c>
      <c r="C254" t="str">
        <f t="shared" si="58"/>
        <v>",MatchNumer=</v>
      </c>
      <c r="D254">
        <f>Matchs!B255</f>
        <v>22</v>
      </c>
      <c r="E254" t="str">
        <f t="shared" si="59"/>
        <v>,DateMatch=DateTime.Parse("</v>
      </c>
      <c r="F254" s="3">
        <f>Matchs!C255</f>
        <v>27203</v>
      </c>
      <c r="G254" s="10" t="str">
        <f t="shared" si="60"/>
        <v>"),TimeMatch=TimeSpan.Parse("</v>
      </c>
      <c r="H254" s="9">
        <f>Matchs!D255</f>
        <v>0.91666666666666663</v>
      </c>
      <c r="I254" t="str">
        <f t="shared" si="61"/>
        <v>"),MatchYear=</v>
      </c>
      <c r="J254">
        <f>Matchs!E255</f>
        <v>1974</v>
      </c>
      <c r="K254" t="str">
        <f t="shared" si="62"/>
        <v>, SeasonId= "</v>
      </c>
      <c r="L254" t="str">
        <f>Matchs!F255</f>
        <v>FIFAWC1974</v>
      </c>
      <c r="M254" t="str">
        <f t="shared" si="63"/>
        <v>",Round= "</v>
      </c>
      <c r="N254" t="str">
        <f>Matchs!G255</f>
        <v>Final Round</v>
      </c>
      <c r="O254" s="6" t="str">
        <f t="shared" si="64"/>
        <v>",Stage= "</v>
      </c>
      <c r="P254" t="str">
        <f>Matchs!H255</f>
        <v>Group</v>
      </c>
      <c r="Q254" s="6" t="str">
        <f t="shared" si="65"/>
        <v>",SubStage= "</v>
      </c>
      <c r="R254" t="str">
        <f>Matchs!I255</f>
        <v>Group 4</v>
      </c>
      <c r="S254" s="6" t="str">
        <f t="shared" si="66"/>
        <v>",HTeam= "</v>
      </c>
      <c r="T254" t="str">
        <f>Matchs!J255</f>
        <v>Poland</v>
      </c>
      <c r="U254" s="6" t="str">
        <f t="shared" si="67"/>
        <v>",HGoal=</v>
      </c>
      <c r="V254">
        <f>Matchs!K255</f>
        <v>2</v>
      </c>
      <c r="W254" s="6" t="str">
        <f t="shared" si="68"/>
        <v>,GGoal=</v>
      </c>
      <c r="X254">
        <f>Matchs!L255</f>
        <v>1</v>
      </c>
      <c r="Y254" s="6" t="str">
        <f t="shared" si="69"/>
        <v>,GTeam= "</v>
      </c>
      <c r="Z254" t="str">
        <f>Matchs!M255</f>
        <v>Italy</v>
      </c>
      <c r="AA254" s="6" t="str">
        <f t="shared" si="70"/>
        <v>",WinNote="</v>
      </c>
      <c r="AB254" t="str">
        <f>IF(Matchs!N255="","",Matchs!N255)</f>
        <v/>
      </c>
      <c r="AC254" s="6" t="str">
        <f t="shared" si="71"/>
        <v xml:space="preserve">",Stadium=" </v>
      </c>
      <c r="AD254" s="11" t="str">
        <f>Matchs!O255</f>
        <v xml:space="preserve">Mercedes-Benz Arena </v>
      </c>
      <c r="AE254" s="6" t="str">
        <f t="shared" si="72"/>
        <v>",Referee= "</v>
      </c>
      <c r="AF254" s="11">
        <f>Matchs!P255</f>
        <v>0</v>
      </c>
      <c r="AG254" s="6" t="str">
        <f t="shared" si="73"/>
        <v xml:space="preserve">",Visistors= </v>
      </c>
      <c r="AH254" s="11">
        <f>Matchs!Q255</f>
        <v>70100</v>
      </c>
      <c r="AI254" s="11" t="str">
        <f t="shared" si="74"/>
        <v>,Status= "</v>
      </c>
      <c r="AJ254" s="11" t="str">
        <f>Matchs!R255</f>
        <v>Finished</v>
      </c>
      <c r="AK254" t="str">
        <f t="shared" si="75"/>
        <v>" },</v>
      </c>
    </row>
    <row r="255" spans="1:37" x14ac:dyDescent="0.25">
      <c r="A255" t="str">
        <f t="shared" si="57"/>
        <v>new Match { MatchId= "</v>
      </c>
      <c r="B255" t="str">
        <f>Matchs!A256</f>
        <v>FIFAWC1974-23</v>
      </c>
      <c r="C255" t="str">
        <f t="shared" si="58"/>
        <v>",MatchNumer=</v>
      </c>
      <c r="D255">
        <f>Matchs!B256</f>
        <v>23</v>
      </c>
      <c r="E255" t="str">
        <f t="shared" si="59"/>
        <v>,DateMatch=DateTime.Parse("</v>
      </c>
      <c r="F255" s="3">
        <f>Matchs!C256</f>
        <v>27203</v>
      </c>
      <c r="G255" s="10" t="str">
        <f t="shared" si="60"/>
        <v>"),TimeMatch=TimeSpan.Parse("</v>
      </c>
      <c r="H255" s="9">
        <f>Matchs!D256</f>
        <v>0.91666666666666663</v>
      </c>
      <c r="I255" t="str">
        <f t="shared" si="61"/>
        <v>"),MatchYear=</v>
      </c>
      <c r="J255">
        <f>Matchs!E256</f>
        <v>1974</v>
      </c>
      <c r="K255" t="str">
        <f t="shared" si="62"/>
        <v>, SeasonId= "</v>
      </c>
      <c r="L255" t="str">
        <f>Matchs!F256</f>
        <v>FIFAWC1974</v>
      </c>
      <c r="M255" t="str">
        <f t="shared" si="63"/>
        <v>",Round= "</v>
      </c>
      <c r="N255" t="str">
        <f>Matchs!G256</f>
        <v>Final Round</v>
      </c>
      <c r="O255" s="6" t="str">
        <f t="shared" si="64"/>
        <v>",Stage= "</v>
      </c>
      <c r="P255" t="str">
        <f>Matchs!H256</f>
        <v>Group</v>
      </c>
      <c r="Q255" s="6" t="str">
        <f t="shared" si="65"/>
        <v>",SubStage= "</v>
      </c>
      <c r="R255" t="str">
        <f>Matchs!I256</f>
        <v>Group 4</v>
      </c>
      <c r="S255" s="6" t="str">
        <f t="shared" si="66"/>
        <v>",HTeam= "</v>
      </c>
      <c r="T255" t="str">
        <f>Matchs!J256</f>
        <v>Argentina</v>
      </c>
      <c r="U255" s="6" t="str">
        <f t="shared" si="67"/>
        <v>",HGoal=</v>
      </c>
      <c r="V255">
        <f>Matchs!K256</f>
        <v>4</v>
      </c>
      <c r="W255" s="6" t="str">
        <f t="shared" si="68"/>
        <v>,GGoal=</v>
      </c>
      <c r="X255">
        <f>Matchs!L256</f>
        <v>1</v>
      </c>
      <c r="Y255" s="6" t="str">
        <f t="shared" si="69"/>
        <v>,GTeam= "</v>
      </c>
      <c r="Z255" t="str">
        <f>Matchs!M256</f>
        <v>Haiti</v>
      </c>
      <c r="AA255" s="6" t="str">
        <f t="shared" si="70"/>
        <v>",WinNote="</v>
      </c>
      <c r="AB255" t="str">
        <f>IF(Matchs!N256="","",Matchs!N256)</f>
        <v/>
      </c>
      <c r="AC255" s="6" t="str">
        <f t="shared" si="71"/>
        <v xml:space="preserve">",Stadium=" </v>
      </c>
      <c r="AD255" s="11" t="str">
        <f>Matchs!O256</f>
        <v xml:space="preserve">Olympiastadion </v>
      </c>
      <c r="AE255" s="6" t="str">
        <f t="shared" si="72"/>
        <v>",Referee= "</v>
      </c>
      <c r="AF255" s="11">
        <f>Matchs!P256</f>
        <v>0</v>
      </c>
      <c r="AG255" s="6" t="str">
        <f t="shared" si="73"/>
        <v xml:space="preserve">",Visistors= </v>
      </c>
      <c r="AH255" s="11">
        <f>Matchs!Q256</f>
        <v>25900</v>
      </c>
      <c r="AI255" s="11" t="str">
        <f t="shared" si="74"/>
        <v>,Status= "</v>
      </c>
      <c r="AJ255" s="11" t="str">
        <f>Matchs!R256</f>
        <v>Finished</v>
      </c>
      <c r="AK255" t="str">
        <f t="shared" si="75"/>
        <v>" },</v>
      </c>
    </row>
    <row r="256" spans="1:37" x14ac:dyDescent="0.25">
      <c r="A256" t="str">
        <f t="shared" si="57"/>
        <v>new Match { MatchId= "</v>
      </c>
      <c r="B256" t="str">
        <f>Matchs!A257</f>
        <v>FIFAWC1974-24</v>
      </c>
      <c r="C256" t="str">
        <f t="shared" si="58"/>
        <v>",MatchNumer=</v>
      </c>
      <c r="D256">
        <f>Matchs!B257</f>
        <v>24</v>
      </c>
      <c r="E256" t="str">
        <f t="shared" si="59"/>
        <v>,DateMatch=DateTime.Parse("</v>
      </c>
      <c r="F256" s="3">
        <f>Matchs!C257</f>
        <v>27203</v>
      </c>
      <c r="G256" s="10" t="str">
        <f t="shared" si="60"/>
        <v>"),TimeMatch=TimeSpan.Parse("</v>
      </c>
      <c r="H256" s="9">
        <f>Matchs!D257</f>
        <v>0.91666666666666663</v>
      </c>
      <c r="I256" t="str">
        <f t="shared" si="61"/>
        <v>"),MatchYear=</v>
      </c>
      <c r="J256">
        <f>Matchs!E257</f>
        <v>1974</v>
      </c>
      <c r="K256" t="str">
        <f t="shared" si="62"/>
        <v>, SeasonId= "</v>
      </c>
      <c r="L256" t="str">
        <f>Matchs!F257</f>
        <v>FIFAWC1974</v>
      </c>
      <c r="M256" t="str">
        <f t="shared" si="63"/>
        <v>",Round= "</v>
      </c>
      <c r="N256" t="str">
        <f>Matchs!G257</f>
        <v>Final Round</v>
      </c>
      <c r="O256" s="6" t="str">
        <f t="shared" si="64"/>
        <v>",Stage= "</v>
      </c>
      <c r="P256" t="str">
        <f>Matchs!H257</f>
        <v>Group</v>
      </c>
      <c r="Q256" s="6" t="str">
        <f t="shared" si="65"/>
        <v>",SubStage= "</v>
      </c>
      <c r="R256" t="str">
        <f>Matchs!I257</f>
        <v>Group 3</v>
      </c>
      <c r="S256" s="6" t="str">
        <f t="shared" si="66"/>
        <v>",HTeam= "</v>
      </c>
      <c r="T256" t="str">
        <f>Matchs!J257</f>
        <v>Bulgaria</v>
      </c>
      <c r="U256" s="6" t="str">
        <f t="shared" si="67"/>
        <v>",HGoal=</v>
      </c>
      <c r="V256">
        <f>Matchs!K257</f>
        <v>1</v>
      </c>
      <c r="W256" s="6" t="str">
        <f t="shared" si="68"/>
        <v>,GGoal=</v>
      </c>
      <c r="X256">
        <f>Matchs!L257</f>
        <v>4</v>
      </c>
      <c r="Y256" s="6" t="str">
        <f t="shared" si="69"/>
        <v>,GTeam= "</v>
      </c>
      <c r="Z256" t="str">
        <f>Matchs!M257</f>
        <v>Netherlands</v>
      </c>
      <c r="AA256" s="6" t="str">
        <f t="shared" si="70"/>
        <v>",WinNote="</v>
      </c>
      <c r="AB256" t="str">
        <f>IF(Matchs!N257="","",Matchs!N257)</f>
        <v/>
      </c>
      <c r="AC256" s="6" t="str">
        <f t="shared" si="71"/>
        <v xml:space="preserve">",Stadium=" </v>
      </c>
      <c r="AD256" s="11" t="str">
        <f>Matchs!O257</f>
        <v xml:space="preserve">Westfalenstadion </v>
      </c>
      <c r="AE256" s="6" t="str">
        <f t="shared" si="72"/>
        <v>",Referee= "</v>
      </c>
      <c r="AF256" s="11">
        <f>Matchs!P257</f>
        <v>0</v>
      </c>
      <c r="AG256" s="6" t="str">
        <f t="shared" si="73"/>
        <v xml:space="preserve">",Visistors= </v>
      </c>
      <c r="AH256" s="11">
        <f>Matchs!Q257</f>
        <v>53300</v>
      </c>
      <c r="AI256" s="11" t="str">
        <f t="shared" si="74"/>
        <v>,Status= "</v>
      </c>
      <c r="AJ256" s="11" t="str">
        <f>Matchs!R257</f>
        <v>Finished</v>
      </c>
      <c r="AK256" t="str">
        <f t="shared" si="75"/>
        <v>" },</v>
      </c>
    </row>
    <row r="257" spans="1:37" x14ac:dyDescent="0.25">
      <c r="A257" t="str">
        <f t="shared" si="57"/>
        <v>new Match { MatchId= "</v>
      </c>
      <c r="B257" t="str">
        <f>Matchs!A258</f>
        <v>FIFAWC1974-25</v>
      </c>
      <c r="C257" t="str">
        <f t="shared" si="58"/>
        <v>",MatchNumer=</v>
      </c>
      <c r="D257">
        <f>Matchs!B258</f>
        <v>25</v>
      </c>
      <c r="E257" t="str">
        <f t="shared" si="59"/>
        <v>,DateMatch=DateTime.Parse("</v>
      </c>
      <c r="F257" s="3">
        <f>Matchs!C258</f>
        <v>27206</v>
      </c>
      <c r="G257" s="10" t="str">
        <f t="shared" si="60"/>
        <v>"),TimeMatch=TimeSpan.Parse("</v>
      </c>
      <c r="H257" s="9">
        <f>Matchs!D258</f>
        <v>0.91666666666666663</v>
      </c>
      <c r="I257" t="str">
        <f t="shared" si="61"/>
        <v>"),MatchYear=</v>
      </c>
      <c r="J257">
        <f>Matchs!E258</f>
        <v>1974</v>
      </c>
      <c r="K257" t="str">
        <f t="shared" si="62"/>
        <v>, SeasonId= "</v>
      </c>
      <c r="L257" t="str">
        <f>Matchs!F258</f>
        <v>FIFAWC1974</v>
      </c>
      <c r="M257" t="str">
        <f t="shared" si="63"/>
        <v>",Round= "</v>
      </c>
      <c r="N257" t="str">
        <f>Matchs!G258</f>
        <v>Final Round</v>
      </c>
      <c r="O257" s="6" t="str">
        <f t="shared" si="64"/>
        <v>",Stage= "</v>
      </c>
      <c r="P257" t="str">
        <f>Matchs!H258</f>
        <v>Group</v>
      </c>
      <c r="Q257" s="6" t="str">
        <f t="shared" si="65"/>
        <v>",SubStage= "</v>
      </c>
      <c r="R257" t="str">
        <f>Matchs!I258</f>
        <v xml:space="preserve">Group B </v>
      </c>
      <c r="S257" s="6" t="str">
        <f t="shared" si="66"/>
        <v>",HTeam= "</v>
      </c>
      <c r="T257" t="str">
        <f>Matchs!J258</f>
        <v>Yugoslavia</v>
      </c>
      <c r="U257" s="6" t="str">
        <f t="shared" si="67"/>
        <v>",HGoal=</v>
      </c>
      <c r="V257">
        <f>Matchs!K258</f>
        <v>0</v>
      </c>
      <c r="W257" s="6" t="str">
        <f t="shared" si="68"/>
        <v>,GGoal=</v>
      </c>
      <c r="X257">
        <f>Matchs!L258</f>
        <v>2</v>
      </c>
      <c r="Y257" s="6" t="str">
        <f t="shared" si="69"/>
        <v>,GTeam= "</v>
      </c>
      <c r="Z257" t="str">
        <f>Matchs!M258</f>
        <v>Germany</v>
      </c>
      <c r="AA257" s="6" t="str">
        <f t="shared" si="70"/>
        <v>",WinNote="</v>
      </c>
      <c r="AB257" t="str">
        <f>IF(Matchs!N258="","",Matchs!N258)</f>
        <v/>
      </c>
      <c r="AC257" s="6" t="str">
        <f t="shared" si="71"/>
        <v xml:space="preserve">",Stadium=" </v>
      </c>
      <c r="AD257" s="11" t="str">
        <f>Matchs!O258</f>
        <v xml:space="preserve">Rheinstadion </v>
      </c>
      <c r="AE257" s="6" t="str">
        <f t="shared" si="72"/>
        <v>",Referee= "</v>
      </c>
      <c r="AF257" s="11" t="str">
        <f>Matchs!P258</f>
        <v xml:space="preserve">Armando Marques </v>
      </c>
      <c r="AG257" s="6" t="str">
        <f t="shared" si="73"/>
        <v xml:space="preserve">",Visistors= </v>
      </c>
      <c r="AH257" s="11">
        <f>Matchs!Q258</f>
        <v>66085</v>
      </c>
      <c r="AI257" s="11" t="str">
        <f t="shared" si="74"/>
        <v>,Status= "</v>
      </c>
      <c r="AJ257" s="11" t="str">
        <f>Matchs!R258</f>
        <v>Finished</v>
      </c>
      <c r="AK257" t="str">
        <f t="shared" si="75"/>
        <v>" },</v>
      </c>
    </row>
    <row r="258" spans="1:37" x14ac:dyDescent="0.25">
      <c r="A258" t="str">
        <f t="shared" si="57"/>
        <v>new Match { MatchId= "</v>
      </c>
      <c r="B258" t="str">
        <f>Matchs!A259</f>
        <v>FIFAWC1974-26</v>
      </c>
      <c r="C258" t="str">
        <f t="shared" si="58"/>
        <v>",MatchNumer=</v>
      </c>
      <c r="D258">
        <f>Matchs!B259</f>
        <v>26</v>
      </c>
      <c r="E258" t="str">
        <f t="shared" si="59"/>
        <v>,DateMatch=DateTime.Parse("</v>
      </c>
      <c r="F258" s="3">
        <f>Matchs!C259</f>
        <v>27207</v>
      </c>
      <c r="G258" s="10" t="str">
        <f t="shared" si="60"/>
        <v>"),TimeMatch=TimeSpan.Parse("</v>
      </c>
      <c r="H258" s="9">
        <f>Matchs!D259</f>
        <v>6.25E-2</v>
      </c>
      <c r="I258" t="str">
        <f t="shared" si="61"/>
        <v>"),MatchYear=</v>
      </c>
      <c r="J258">
        <f>Matchs!E259</f>
        <v>1974</v>
      </c>
      <c r="K258" t="str">
        <f t="shared" si="62"/>
        <v>, SeasonId= "</v>
      </c>
      <c r="L258" t="str">
        <f>Matchs!F259</f>
        <v>FIFAWC1974</v>
      </c>
      <c r="M258" t="str">
        <f t="shared" si="63"/>
        <v>",Round= "</v>
      </c>
      <c r="N258" t="str">
        <f>Matchs!G259</f>
        <v>Final Round</v>
      </c>
      <c r="O258" s="6" t="str">
        <f t="shared" si="64"/>
        <v>",Stage= "</v>
      </c>
      <c r="P258" t="str">
        <f>Matchs!H259</f>
        <v>Group</v>
      </c>
      <c r="Q258" s="6" t="str">
        <f t="shared" si="65"/>
        <v>",SubStage= "</v>
      </c>
      <c r="R258" t="str">
        <f>Matchs!I259</f>
        <v xml:space="preserve">Group B </v>
      </c>
      <c r="S258" s="6" t="str">
        <f t="shared" si="66"/>
        <v>",HTeam= "</v>
      </c>
      <c r="T258" t="str">
        <f>Matchs!J259</f>
        <v>Sweden</v>
      </c>
      <c r="U258" s="6" t="str">
        <f t="shared" si="67"/>
        <v>",HGoal=</v>
      </c>
      <c r="V258">
        <f>Matchs!K259</f>
        <v>0</v>
      </c>
      <c r="W258" s="6" t="str">
        <f t="shared" si="68"/>
        <v>,GGoal=</v>
      </c>
      <c r="X258">
        <f>Matchs!L259</f>
        <v>1</v>
      </c>
      <c r="Y258" s="6" t="str">
        <f t="shared" si="69"/>
        <v>,GTeam= "</v>
      </c>
      <c r="Z258" t="str">
        <f>Matchs!M259</f>
        <v>Poland</v>
      </c>
      <c r="AA258" s="6" t="str">
        <f t="shared" si="70"/>
        <v>",WinNote="</v>
      </c>
      <c r="AB258" t="str">
        <f>IF(Matchs!N259="","",Matchs!N259)</f>
        <v/>
      </c>
      <c r="AC258" s="6" t="str">
        <f t="shared" si="71"/>
        <v xml:space="preserve">",Stadium=" </v>
      </c>
      <c r="AD258" s="11" t="str">
        <f>Matchs!O259</f>
        <v xml:space="preserve">Mercedes-Benz Arena </v>
      </c>
      <c r="AE258" s="6" t="str">
        <f t="shared" si="72"/>
        <v>",Referee= "</v>
      </c>
      <c r="AF258" s="11" t="str">
        <f>Matchs!P259</f>
        <v xml:space="preserve">Ramón Barreto </v>
      </c>
      <c r="AG258" s="6" t="str">
        <f t="shared" si="73"/>
        <v xml:space="preserve">",Visistors= </v>
      </c>
      <c r="AH258" s="11">
        <f>Matchs!Q259</f>
        <v>43755</v>
      </c>
      <c r="AI258" s="11" t="str">
        <f t="shared" si="74"/>
        <v>,Status= "</v>
      </c>
      <c r="AJ258" s="11" t="str">
        <f>Matchs!R259</f>
        <v>Finished</v>
      </c>
      <c r="AK258" t="str">
        <f t="shared" si="75"/>
        <v>" },</v>
      </c>
    </row>
    <row r="259" spans="1:37" x14ac:dyDescent="0.25">
      <c r="A259" t="str">
        <f t="shared" ref="A259:A322" si="76">A258</f>
        <v>new Match { MatchId= "</v>
      </c>
      <c r="B259" t="str">
        <f>Matchs!A260</f>
        <v>FIFAWC1974-27</v>
      </c>
      <c r="C259" t="str">
        <f t="shared" ref="C259:C322" si="77">C258</f>
        <v>",MatchNumer=</v>
      </c>
      <c r="D259">
        <f>Matchs!B260</f>
        <v>27</v>
      </c>
      <c r="E259" t="str">
        <f t="shared" ref="E259:E322" si="78">E258</f>
        <v>,DateMatch=DateTime.Parse("</v>
      </c>
      <c r="F259" s="3">
        <f>Matchs!C260</f>
        <v>27207</v>
      </c>
      <c r="G259" s="10" t="str">
        <f t="shared" ref="G259:G322" si="79">G258</f>
        <v>"),TimeMatch=TimeSpan.Parse("</v>
      </c>
      <c r="H259" s="9">
        <f>Matchs!D260</f>
        <v>6.25E-2</v>
      </c>
      <c r="I259" t="str">
        <f t="shared" ref="I259:I322" si="80">I258</f>
        <v>"),MatchYear=</v>
      </c>
      <c r="J259">
        <f>Matchs!E260</f>
        <v>1974</v>
      </c>
      <c r="K259" t="str">
        <f t="shared" ref="K259:K322" si="81">K258</f>
        <v>, SeasonId= "</v>
      </c>
      <c r="L259" t="str">
        <f>Matchs!F260</f>
        <v>FIFAWC1974</v>
      </c>
      <c r="M259" t="str">
        <f t="shared" ref="M259:M322" si="82">M258</f>
        <v>",Round= "</v>
      </c>
      <c r="N259" t="str">
        <f>Matchs!G260</f>
        <v>Final Round</v>
      </c>
      <c r="O259" s="6" t="str">
        <f t="shared" ref="O259:O322" si="83">O258</f>
        <v>",Stage= "</v>
      </c>
      <c r="P259" t="str">
        <f>Matchs!H260</f>
        <v>Group</v>
      </c>
      <c r="Q259" s="6" t="str">
        <f t="shared" ref="Q259:Q322" si="84">Q258</f>
        <v>",SubStage= "</v>
      </c>
      <c r="R259" t="str">
        <f>Matchs!I260</f>
        <v xml:space="preserve">Group A </v>
      </c>
      <c r="S259" s="6" t="str">
        <f t="shared" ref="S259:S322" si="85">S258</f>
        <v>",HTeam= "</v>
      </c>
      <c r="T259" t="str">
        <f>Matchs!J260</f>
        <v>Brazil</v>
      </c>
      <c r="U259" s="6" t="str">
        <f t="shared" ref="U259:U322" si="86">U258</f>
        <v>",HGoal=</v>
      </c>
      <c r="V259">
        <f>Matchs!K260</f>
        <v>1</v>
      </c>
      <c r="W259" s="6" t="str">
        <f t="shared" ref="W259:W322" si="87">W258</f>
        <v>,GGoal=</v>
      </c>
      <c r="X259">
        <f>Matchs!L260</f>
        <v>0</v>
      </c>
      <c r="Y259" s="6" t="str">
        <f t="shared" ref="Y259:Y322" si="88">Y258</f>
        <v>,GTeam= "</v>
      </c>
      <c r="Z259" t="str">
        <f>Matchs!M260</f>
        <v>East Germany</v>
      </c>
      <c r="AA259" s="6" t="str">
        <f t="shared" ref="AA259:AA322" si="89">AA258</f>
        <v>",WinNote="</v>
      </c>
      <c r="AB259" t="str">
        <f>IF(Matchs!N260="","",Matchs!N260)</f>
        <v/>
      </c>
      <c r="AC259" s="6" t="str">
        <f t="shared" ref="AC259:AC322" si="90">AC258</f>
        <v xml:space="preserve">",Stadium=" </v>
      </c>
      <c r="AD259" s="11" t="str">
        <f>Matchs!O260</f>
        <v xml:space="preserve">AWD-Arena </v>
      </c>
      <c r="AE259" s="6" t="str">
        <f t="shared" ref="AE259:AE322" si="91">AE258</f>
        <v>",Referee= "</v>
      </c>
      <c r="AF259" s="11" t="str">
        <f>Matchs!P260</f>
        <v xml:space="preserve">Clive Thomas </v>
      </c>
      <c r="AG259" s="6" t="str">
        <f t="shared" ref="AG259:AG322" si="92">AG258</f>
        <v xml:space="preserve">",Visistors= </v>
      </c>
      <c r="AH259" s="11">
        <f>Matchs!Q260</f>
        <v>58463</v>
      </c>
      <c r="AI259" s="11" t="str">
        <f t="shared" ref="AI259:AI322" si="93">AI258</f>
        <v>,Status= "</v>
      </c>
      <c r="AJ259" s="11" t="str">
        <f>Matchs!R260</f>
        <v>Finished</v>
      </c>
      <c r="AK259" t="str">
        <f t="shared" ref="AK259:AK322" si="94">AK258</f>
        <v>" },</v>
      </c>
    </row>
    <row r="260" spans="1:37" x14ac:dyDescent="0.25">
      <c r="A260" t="str">
        <f t="shared" si="76"/>
        <v>new Match { MatchId= "</v>
      </c>
      <c r="B260" t="str">
        <f>Matchs!A261</f>
        <v>FIFAWC1974-28</v>
      </c>
      <c r="C260" t="str">
        <f t="shared" si="77"/>
        <v>",MatchNumer=</v>
      </c>
      <c r="D260">
        <f>Matchs!B261</f>
        <v>28</v>
      </c>
      <c r="E260" t="str">
        <f t="shared" si="78"/>
        <v>,DateMatch=DateTime.Parse("</v>
      </c>
      <c r="F260" s="3">
        <f>Matchs!C261</f>
        <v>27207</v>
      </c>
      <c r="G260" s="10" t="str">
        <f t="shared" si="79"/>
        <v>"),TimeMatch=TimeSpan.Parse("</v>
      </c>
      <c r="H260" s="9">
        <f>Matchs!D261</f>
        <v>6.25E-2</v>
      </c>
      <c r="I260" t="str">
        <f t="shared" si="80"/>
        <v>"),MatchYear=</v>
      </c>
      <c r="J260">
        <f>Matchs!E261</f>
        <v>1974</v>
      </c>
      <c r="K260" t="str">
        <f t="shared" si="81"/>
        <v>, SeasonId= "</v>
      </c>
      <c r="L260" t="str">
        <f>Matchs!F261</f>
        <v>FIFAWC1974</v>
      </c>
      <c r="M260" t="str">
        <f t="shared" si="82"/>
        <v>",Round= "</v>
      </c>
      <c r="N260" t="str">
        <f>Matchs!G261</f>
        <v>Final Round</v>
      </c>
      <c r="O260" s="6" t="str">
        <f t="shared" si="83"/>
        <v>",Stage= "</v>
      </c>
      <c r="P260" t="str">
        <f>Matchs!H261</f>
        <v>Group</v>
      </c>
      <c r="Q260" s="6" t="str">
        <f t="shared" si="84"/>
        <v>",SubStage= "</v>
      </c>
      <c r="R260" t="str">
        <f>Matchs!I261</f>
        <v xml:space="preserve">Group A </v>
      </c>
      <c r="S260" s="6" t="str">
        <f t="shared" si="85"/>
        <v>",HTeam= "</v>
      </c>
      <c r="T260" t="str">
        <f>Matchs!J261</f>
        <v>Netherlands</v>
      </c>
      <c r="U260" s="6" t="str">
        <f t="shared" si="86"/>
        <v>",HGoal=</v>
      </c>
      <c r="V260">
        <f>Matchs!K261</f>
        <v>4</v>
      </c>
      <c r="W260" s="6" t="str">
        <f t="shared" si="87"/>
        <v>,GGoal=</v>
      </c>
      <c r="X260">
        <f>Matchs!L261</f>
        <v>0</v>
      </c>
      <c r="Y260" s="6" t="str">
        <f t="shared" si="88"/>
        <v>,GTeam= "</v>
      </c>
      <c r="Z260" t="str">
        <f>Matchs!M261</f>
        <v>Argentina</v>
      </c>
      <c r="AA260" s="6" t="str">
        <f t="shared" si="89"/>
        <v>",WinNote="</v>
      </c>
      <c r="AB260" t="str">
        <f>IF(Matchs!N261="","",Matchs!N261)</f>
        <v/>
      </c>
      <c r="AC260" s="6" t="str">
        <f t="shared" si="90"/>
        <v xml:space="preserve">",Stadium=" </v>
      </c>
      <c r="AD260" s="11" t="str">
        <f>Matchs!O261</f>
        <v xml:space="preserve">Parkstadion </v>
      </c>
      <c r="AE260" s="6" t="str">
        <f t="shared" si="91"/>
        <v>",Referee= "</v>
      </c>
      <c r="AF260" s="11" t="str">
        <f>Matchs!P261</f>
        <v xml:space="preserve">Bob Davidson </v>
      </c>
      <c r="AG260" s="6" t="str">
        <f t="shared" si="92"/>
        <v xml:space="preserve">",Visistors= </v>
      </c>
      <c r="AH260" s="11">
        <f>Matchs!Q261</f>
        <v>55348</v>
      </c>
      <c r="AI260" s="11" t="str">
        <f t="shared" si="93"/>
        <v>,Status= "</v>
      </c>
      <c r="AJ260" s="11" t="str">
        <f>Matchs!R261</f>
        <v>Finished</v>
      </c>
      <c r="AK260" t="str">
        <f t="shared" si="94"/>
        <v>" },</v>
      </c>
    </row>
    <row r="261" spans="1:37" x14ac:dyDescent="0.25">
      <c r="A261" t="str">
        <f t="shared" si="76"/>
        <v>new Match { MatchId= "</v>
      </c>
      <c r="B261" t="str">
        <f>Matchs!A262</f>
        <v>FIFAWC1974-29</v>
      </c>
      <c r="C261" t="str">
        <f t="shared" si="77"/>
        <v>",MatchNumer=</v>
      </c>
      <c r="D261">
        <f>Matchs!B262</f>
        <v>29</v>
      </c>
      <c r="E261" t="str">
        <f t="shared" si="78"/>
        <v>,DateMatch=DateTime.Parse("</v>
      </c>
      <c r="F261" s="3">
        <f>Matchs!C262</f>
        <v>27210</v>
      </c>
      <c r="G261" s="10" t="str">
        <f t="shared" si="79"/>
        <v>"),TimeMatch=TimeSpan.Parse("</v>
      </c>
      <c r="H261" s="9">
        <f>Matchs!D262</f>
        <v>0.91666666666666663</v>
      </c>
      <c r="I261" t="str">
        <f t="shared" si="80"/>
        <v>"),MatchYear=</v>
      </c>
      <c r="J261">
        <f>Matchs!E262</f>
        <v>1974</v>
      </c>
      <c r="K261" t="str">
        <f t="shared" si="81"/>
        <v>, SeasonId= "</v>
      </c>
      <c r="L261" t="str">
        <f>Matchs!F262</f>
        <v>FIFAWC1974</v>
      </c>
      <c r="M261" t="str">
        <f t="shared" si="82"/>
        <v>",Round= "</v>
      </c>
      <c r="N261" t="str">
        <f>Matchs!G262</f>
        <v>Final Round</v>
      </c>
      <c r="O261" s="6" t="str">
        <f t="shared" si="83"/>
        <v>",Stage= "</v>
      </c>
      <c r="P261" t="str">
        <f>Matchs!H262</f>
        <v>Group</v>
      </c>
      <c r="Q261" s="6" t="str">
        <f t="shared" si="84"/>
        <v>",SubStage= "</v>
      </c>
      <c r="R261" t="str">
        <f>Matchs!I262</f>
        <v xml:space="preserve">Group B </v>
      </c>
      <c r="S261" s="6" t="str">
        <f t="shared" si="85"/>
        <v>",HTeam= "</v>
      </c>
      <c r="T261" t="str">
        <f>Matchs!J262</f>
        <v>Poland</v>
      </c>
      <c r="U261" s="6" t="str">
        <f t="shared" si="86"/>
        <v>",HGoal=</v>
      </c>
      <c r="V261">
        <f>Matchs!K262</f>
        <v>2</v>
      </c>
      <c r="W261" s="6" t="str">
        <f t="shared" si="87"/>
        <v>,GGoal=</v>
      </c>
      <c r="X261">
        <f>Matchs!L262</f>
        <v>1</v>
      </c>
      <c r="Y261" s="6" t="str">
        <f t="shared" si="88"/>
        <v>,GTeam= "</v>
      </c>
      <c r="Z261" t="str">
        <f>Matchs!M262</f>
        <v>Yugoslavia</v>
      </c>
      <c r="AA261" s="6" t="str">
        <f t="shared" si="89"/>
        <v>",WinNote="</v>
      </c>
      <c r="AB261" t="str">
        <f>IF(Matchs!N262="","",Matchs!N262)</f>
        <v/>
      </c>
      <c r="AC261" s="6" t="str">
        <f t="shared" si="90"/>
        <v xml:space="preserve">",Stadium=" </v>
      </c>
      <c r="AD261" s="11" t="str">
        <f>Matchs!O262</f>
        <v xml:space="preserve">Commerzbank-Arena </v>
      </c>
      <c r="AE261" s="6" t="str">
        <f t="shared" si="91"/>
        <v>",Referee= "</v>
      </c>
      <c r="AF261" s="11" t="str">
        <f>Matchs!P262</f>
        <v xml:space="preserve">Rudi Glockner </v>
      </c>
      <c r="AG261" s="6" t="str">
        <f t="shared" si="92"/>
        <v xml:space="preserve">",Visistors= </v>
      </c>
      <c r="AH261" s="11">
        <f>Matchs!Q262</f>
        <v>55000</v>
      </c>
      <c r="AI261" s="11" t="str">
        <f t="shared" si="93"/>
        <v>,Status= "</v>
      </c>
      <c r="AJ261" s="11" t="str">
        <f>Matchs!R262</f>
        <v>Finished</v>
      </c>
      <c r="AK261" t="str">
        <f t="shared" si="94"/>
        <v>" },</v>
      </c>
    </row>
    <row r="262" spans="1:37" x14ac:dyDescent="0.25">
      <c r="A262" t="str">
        <f t="shared" si="76"/>
        <v>new Match { MatchId= "</v>
      </c>
      <c r="B262" t="str">
        <f>Matchs!A263</f>
        <v>FIFAWC1974-30</v>
      </c>
      <c r="C262" t="str">
        <f t="shared" si="77"/>
        <v>",MatchNumer=</v>
      </c>
      <c r="D262">
        <f>Matchs!B263</f>
        <v>30</v>
      </c>
      <c r="E262" t="str">
        <f t="shared" si="78"/>
        <v>,DateMatch=DateTime.Parse("</v>
      </c>
      <c r="F262" s="3">
        <f>Matchs!C263</f>
        <v>27210</v>
      </c>
      <c r="G262" s="10" t="str">
        <f t="shared" si="79"/>
        <v>"),TimeMatch=TimeSpan.Parse("</v>
      </c>
      <c r="H262" s="9">
        <f>Matchs!D263</f>
        <v>0.91666666666666663</v>
      </c>
      <c r="I262" t="str">
        <f t="shared" si="80"/>
        <v>"),MatchYear=</v>
      </c>
      <c r="J262">
        <f>Matchs!E263</f>
        <v>1974</v>
      </c>
      <c r="K262" t="str">
        <f t="shared" si="81"/>
        <v>, SeasonId= "</v>
      </c>
      <c r="L262" t="str">
        <f>Matchs!F263</f>
        <v>FIFAWC1974</v>
      </c>
      <c r="M262" t="str">
        <f t="shared" si="82"/>
        <v>",Round= "</v>
      </c>
      <c r="N262" t="str">
        <f>Matchs!G263</f>
        <v>Final Round</v>
      </c>
      <c r="O262" s="6" t="str">
        <f t="shared" si="83"/>
        <v>",Stage= "</v>
      </c>
      <c r="P262" t="str">
        <f>Matchs!H263</f>
        <v>Group</v>
      </c>
      <c r="Q262" s="6" t="str">
        <f t="shared" si="84"/>
        <v>",SubStage= "</v>
      </c>
      <c r="R262" t="str">
        <f>Matchs!I263</f>
        <v xml:space="preserve">Group A </v>
      </c>
      <c r="S262" s="6" t="str">
        <f t="shared" si="85"/>
        <v>",HTeam= "</v>
      </c>
      <c r="T262" t="str">
        <f>Matchs!J263</f>
        <v>Argentina</v>
      </c>
      <c r="U262" s="6" t="str">
        <f t="shared" si="86"/>
        <v>",HGoal=</v>
      </c>
      <c r="V262">
        <f>Matchs!K263</f>
        <v>1</v>
      </c>
      <c r="W262" s="6" t="str">
        <f t="shared" si="87"/>
        <v>,GGoal=</v>
      </c>
      <c r="X262">
        <f>Matchs!L263</f>
        <v>2</v>
      </c>
      <c r="Y262" s="6" t="str">
        <f t="shared" si="88"/>
        <v>,GTeam= "</v>
      </c>
      <c r="Z262" t="str">
        <f>Matchs!M263</f>
        <v>Brazil</v>
      </c>
      <c r="AA262" s="6" t="str">
        <f t="shared" si="89"/>
        <v>",WinNote="</v>
      </c>
      <c r="AB262" t="str">
        <f>IF(Matchs!N263="","",Matchs!N263)</f>
        <v/>
      </c>
      <c r="AC262" s="6" t="str">
        <f t="shared" si="90"/>
        <v xml:space="preserve">",Stadium=" </v>
      </c>
      <c r="AD262" s="11" t="str">
        <f>Matchs!O263</f>
        <v xml:space="preserve">AWD-Arena </v>
      </c>
      <c r="AE262" s="6" t="str">
        <f t="shared" si="91"/>
        <v>",Referee= "</v>
      </c>
      <c r="AF262" s="11" t="str">
        <f>Matchs!P263</f>
        <v xml:space="preserve">Vital Loraux </v>
      </c>
      <c r="AG262" s="6" t="str">
        <f t="shared" si="92"/>
        <v xml:space="preserve">",Visistors= </v>
      </c>
      <c r="AH262" s="11">
        <f>Matchs!Q263</f>
        <v>38000</v>
      </c>
      <c r="AI262" s="11" t="str">
        <f t="shared" si="93"/>
        <v>,Status= "</v>
      </c>
      <c r="AJ262" s="11" t="str">
        <f>Matchs!R263</f>
        <v>Finished</v>
      </c>
      <c r="AK262" t="str">
        <f t="shared" si="94"/>
        <v>" },</v>
      </c>
    </row>
    <row r="263" spans="1:37" x14ac:dyDescent="0.25">
      <c r="A263" t="str">
        <f t="shared" si="76"/>
        <v>new Match { MatchId= "</v>
      </c>
      <c r="B263" t="str">
        <f>Matchs!A264</f>
        <v>FIFAWC1974-31</v>
      </c>
      <c r="C263" t="str">
        <f t="shared" si="77"/>
        <v>",MatchNumer=</v>
      </c>
      <c r="D263">
        <f>Matchs!B264</f>
        <v>31</v>
      </c>
      <c r="E263" t="str">
        <f t="shared" si="78"/>
        <v>,DateMatch=DateTime.Parse("</v>
      </c>
      <c r="F263" s="3">
        <f>Matchs!C264</f>
        <v>27210</v>
      </c>
      <c r="G263" s="10" t="str">
        <f t="shared" si="79"/>
        <v>"),TimeMatch=TimeSpan.Parse("</v>
      </c>
      <c r="H263" s="9">
        <f>Matchs!D264</f>
        <v>0.91666666666666663</v>
      </c>
      <c r="I263" t="str">
        <f t="shared" si="80"/>
        <v>"),MatchYear=</v>
      </c>
      <c r="J263">
        <f>Matchs!E264</f>
        <v>1974</v>
      </c>
      <c r="K263" t="str">
        <f t="shared" si="81"/>
        <v>, SeasonId= "</v>
      </c>
      <c r="L263" t="str">
        <f>Matchs!F264</f>
        <v>FIFAWC1974</v>
      </c>
      <c r="M263" t="str">
        <f t="shared" si="82"/>
        <v>",Round= "</v>
      </c>
      <c r="N263" t="str">
        <f>Matchs!G264</f>
        <v>Final Round</v>
      </c>
      <c r="O263" s="6" t="str">
        <f t="shared" si="83"/>
        <v>",Stage= "</v>
      </c>
      <c r="P263" t="str">
        <f>Matchs!H264</f>
        <v>Group</v>
      </c>
      <c r="Q263" s="6" t="str">
        <f t="shared" si="84"/>
        <v>",SubStage= "</v>
      </c>
      <c r="R263" t="str">
        <f>Matchs!I264</f>
        <v xml:space="preserve">Group A </v>
      </c>
      <c r="S263" s="6" t="str">
        <f t="shared" si="85"/>
        <v>",HTeam= "</v>
      </c>
      <c r="T263" t="str">
        <f>Matchs!J264</f>
        <v>East Germany</v>
      </c>
      <c r="U263" s="6" t="str">
        <f t="shared" si="86"/>
        <v>",HGoal=</v>
      </c>
      <c r="V263">
        <f>Matchs!K264</f>
        <v>0</v>
      </c>
      <c r="W263" s="6" t="str">
        <f t="shared" si="87"/>
        <v>,GGoal=</v>
      </c>
      <c r="X263">
        <f>Matchs!L264</f>
        <v>2</v>
      </c>
      <c r="Y263" s="6" t="str">
        <f t="shared" si="88"/>
        <v>,GTeam= "</v>
      </c>
      <c r="Z263" t="str">
        <f>Matchs!M264</f>
        <v>Netherlands</v>
      </c>
      <c r="AA263" s="6" t="str">
        <f t="shared" si="89"/>
        <v>",WinNote="</v>
      </c>
      <c r="AB263" t="str">
        <f>IF(Matchs!N264="","",Matchs!N264)</f>
        <v/>
      </c>
      <c r="AC263" s="6" t="str">
        <f t="shared" si="90"/>
        <v xml:space="preserve">",Stadium=" </v>
      </c>
      <c r="AD263" s="11" t="str">
        <f>Matchs!O264</f>
        <v xml:space="preserve">Parkstadion </v>
      </c>
      <c r="AE263" s="6" t="str">
        <f t="shared" si="91"/>
        <v>",Referee= "</v>
      </c>
      <c r="AF263" s="11" t="str">
        <f>Matchs!P264</f>
        <v xml:space="preserve">Rudolf Scheurer </v>
      </c>
      <c r="AG263" s="6" t="str">
        <f t="shared" si="92"/>
        <v xml:space="preserve">",Visistors= </v>
      </c>
      <c r="AH263" s="11">
        <f>Matchs!Q264</f>
        <v>67148</v>
      </c>
      <c r="AI263" s="11" t="str">
        <f t="shared" si="93"/>
        <v>,Status= "</v>
      </c>
      <c r="AJ263" s="11" t="str">
        <f>Matchs!R264</f>
        <v>Finished</v>
      </c>
      <c r="AK263" t="str">
        <f t="shared" si="94"/>
        <v>" },</v>
      </c>
    </row>
    <row r="264" spans="1:37" x14ac:dyDescent="0.25">
      <c r="A264" t="str">
        <f t="shared" si="76"/>
        <v>new Match { MatchId= "</v>
      </c>
      <c r="B264" t="str">
        <f>Matchs!A265</f>
        <v>FIFAWC1974-32</v>
      </c>
      <c r="C264" t="str">
        <f t="shared" si="77"/>
        <v>",MatchNumer=</v>
      </c>
      <c r="D264">
        <f>Matchs!B265</f>
        <v>32</v>
      </c>
      <c r="E264" t="str">
        <f t="shared" si="78"/>
        <v>,DateMatch=DateTime.Parse("</v>
      </c>
      <c r="F264" s="3">
        <f>Matchs!C265</f>
        <v>27211</v>
      </c>
      <c r="G264" s="10" t="str">
        <f t="shared" si="79"/>
        <v>"),TimeMatch=TimeSpan.Parse("</v>
      </c>
      <c r="H264" s="9">
        <f>Matchs!D265</f>
        <v>6.25E-2</v>
      </c>
      <c r="I264" t="str">
        <f t="shared" si="80"/>
        <v>"),MatchYear=</v>
      </c>
      <c r="J264">
        <f>Matchs!E265</f>
        <v>1974</v>
      </c>
      <c r="K264" t="str">
        <f t="shared" si="81"/>
        <v>, SeasonId= "</v>
      </c>
      <c r="L264" t="str">
        <f>Matchs!F265</f>
        <v>FIFAWC1974</v>
      </c>
      <c r="M264" t="str">
        <f t="shared" si="82"/>
        <v>",Round= "</v>
      </c>
      <c r="N264" t="str">
        <f>Matchs!G265</f>
        <v>Final Round</v>
      </c>
      <c r="O264" s="6" t="str">
        <f t="shared" si="83"/>
        <v>",Stage= "</v>
      </c>
      <c r="P264" t="str">
        <f>Matchs!H265</f>
        <v>Group</v>
      </c>
      <c r="Q264" s="6" t="str">
        <f t="shared" si="84"/>
        <v>",SubStage= "</v>
      </c>
      <c r="R264" t="str">
        <f>Matchs!I265</f>
        <v xml:space="preserve">Group B </v>
      </c>
      <c r="S264" s="6" t="str">
        <f t="shared" si="85"/>
        <v>",HTeam= "</v>
      </c>
      <c r="T264" t="str">
        <f>Matchs!J265</f>
        <v>Germany</v>
      </c>
      <c r="U264" s="6" t="str">
        <f t="shared" si="86"/>
        <v>",HGoal=</v>
      </c>
      <c r="V264">
        <f>Matchs!K265</f>
        <v>4</v>
      </c>
      <c r="W264" s="6" t="str">
        <f t="shared" si="87"/>
        <v>,GGoal=</v>
      </c>
      <c r="X264">
        <f>Matchs!L265</f>
        <v>2</v>
      </c>
      <c r="Y264" s="6" t="str">
        <f t="shared" si="88"/>
        <v>,GTeam= "</v>
      </c>
      <c r="Z264" t="str">
        <f>Matchs!M265</f>
        <v>Sweden</v>
      </c>
      <c r="AA264" s="6" t="str">
        <f t="shared" si="89"/>
        <v>",WinNote="</v>
      </c>
      <c r="AB264" t="str">
        <f>IF(Matchs!N265="","",Matchs!N265)</f>
        <v/>
      </c>
      <c r="AC264" s="6" t="str">
        <f t="shared" si="90"/>
        <v xml:space="preserve">",Stadium=" </v>
      </c>
      <c r="AD264" s="11" t="str">
        <f>Matchs!O265</f>
        <v xml:space="preserve">Rheinstadion </v>
      </c>
      <c r="AE264" s="6" t="str">
        <f t="shared" si="91"/>
        <v>",Referee= "</v>
      </c>
      <c r="AF264" s="11" t="str">
        <f>Matchs!P265</f>
        <v xml:space="preserve">Pavel Kazakov </v>
      </c>
      <c r="AG264" s="6" t="str">
        <f t="shared" si="92"/>
        <v xml:space="preserve">",Visistors= </v>
      </c>
      <c r="AH264" s="11">
        <f>Matchs!Q265</f>
        <v>66500</v>
      </c>
      <c r="AI264" s="11" t="str">
        <f t="shared" si="93"/>
        <v>,Status= "</v>
      </c>
      <c r="AJ264" s="11" t="str">
        <f>Matchs!R265</f>
        <v>Finished</v>
      </c>
      <c r="AK264" t="str">
        <f t="shared" si="94"/>
        <v>" },</v>
      </c>
    </row>
    <row r="265" spans="1:37" x14ac:dyDescent="0.25">
      <c r="A265" t="str">
        <f t="shared" si="76"/>
        <v>new Match { MatchId= "</v>
      </c>
      <c r="B265" t="str">
        <f>Matchs!A266</f>
        <v>FIFAWC1974-33</v>
      </c>
      <c r="C265" t="str">
        <f t="shared" si="77"/>
        <v>",MatchNumer=</v>
      </c>
      <c r="D265">
        <f>Matchs!B266</f>
        <v>33</v>
      </c>
      <c r="E265" t="str">
        <f t="shared" si="78"/>
        <v>,DateMatch=DateTime.Parse("</v>
      </c>
      <c r="F265" s="3">
        <f>Matchs!C266</f>
        <v>27213</v>
      </c>
      <c r="G265" s="10" t="str">
        <f t="shared" si="79"/>
        <v>"),TimeMatch=TimeSpan.Parse("</v>
      </c>
      <c r="H265" s="9">
        <f>Matchs!D266</f>
        <v>0.95833333333333337</v>
      </c>
      <c r="I265" t="str">
        <f t="shared" si="80"/>
        <v>"),MatchYear=</v>
      </c>
      <c r="J265">
        <f>Matchs!E266</f>
        <v>1974</v>
      </c>
      <c r="K265" t="str">
        <f t="shared" si="81"/>
        <v>, SeasonId= "</v>
      </c>
      <c r="L265" t="str">
        <f>Matchs!F266</f>
        <v>FIFAWC1974</v>
      </c>
      <c r="M265" t="str">
        <f t="shared" si="82"/>
        <v>",Round= "</v>
      </c>
      <c r="N265" t="str">
        <f>Matchs!G266</f>
        <v>Final Round</v>
      </c>
      <c r="O265" s="6" t="str">
        <f t="shared" si="83"/>
        <v>",Stage= "</v>
      </c>
      <c r="P265" t="str">
        <f>Matchs!H266</f>
        <v>Group</v>
      </c>
      <c r="Q265" s="6" t="str">
        <f t="shared" si="84"/>
        <v>",SubStage= "</v>
      </c>
      <c r="R265" t="str">
        <f>Matchs!I266</f>
        <v xml:space="preserve">Group B </v>
      </c>
      <c r="S265" s="6" t="str">
        <f t="shared" si="85"/>
        <v>",HTeam= "</v>
      </c>
      <c r="T265" t="str">
        <f>Matchs!J266</f>
        <v>Poland</v>
      </c>
      <c r="U265" s="6" t="str">
        <f t="shared" si="86"/>
        <v>",HGoal=</v>
      </c>
      <c r="V265">
        <f>Matchs!K266</f>
        <v>0</v>
      </c>
      <c r="W265" s="6" t="str">
        <f t="shared" si="87"/>
        <v>,GGoal=</v>
      </c>
      <c r="X265">
        <f>Matchs!L266</f>
        <v>1</v>
      </c>
      <c r="Y265" s="6" t="str">
        <f t="shared" si="88"/>
        <v>,GTeam= "</v>
      </c>
      <c r="Z265" t="str">
        <f>Matchs!M266</f>
        <v>Germany</v>
      </c>
      <c r="AA265" s="6" t="str">
        <f t="shared" si="89"/>
        <v>",WinNote="</v>
      </c>
      <c r="AB265" t="str">
        <f>IF(Matchs!N266="","",Matchs!N266)</f>
        <v/>
      </c>
      <c r="AC265" s="6" t="str">
        <f t="shared" si="90"/>
        <v xml:space="preserve">",Stadium=" </v>
      </c>
      <c r="AD265" s="11" t="str">
        <f>Matchs!O266</f>
        <v xml:space="preserve">Commerzbank-Arena </v>
      </c>
      <c r="AE265" s="6" t="str">
        <f t="shared" si="91"/>
        <v>",Referee= "</v>
      </c>
      <c r="AF265" s="11" t="str">
        <f>Matchs!P266</f>
        <v xml:space="preserve">Erich Linemayr </v>
      </c>
      <c r="AG265" s="6" t="str">
        <f t="shared" si="92"/>
        <v xml:space="preserve">",Visistors= </v>
      </c>
      <c r="AH265" s="11">
        <f>Matchs!Q266</f>
        <v>59000</v>
      </c>
      <c r="AI265" s="11" t="str">
        <f t="shared" si="93"/>
        <v>,Status= "</v>
      </c>
      <c r="AJ265" s="11" t="str">
        <f>Matchs!R266</f>
        <v>Finished</v>
      </c>
      <c r="AK265" t="str">
        <f t="shared" si="94"/>
        <v>" },</v>
      </c>
    </row>
    <row r="266" spans="1:37" x14ac:dyDescent="0.25">
      <c r="A266" t="str">
        <f t="shared" si="76"/>
        <v>new Match { MatchId= "</v>
      </c>
      <c r="B266" t="str">
        <f>Matchs!A267</f>
        <v>FIFAWC1974-34</v>
      </c>
      <c r="C266" t="str">
        <f t="shared" si="77"/>
        <v>",MatchNumer=</v>
      </c>
      <c r="D266">
        <f>Matchs!B267</f>
        <v>34</v>
      </c>
      <c r="E266" t="str">
        <f t="shared" si="78"/>
        <v>,DateMatch=DateTime.Parse("</v>
      </c>
      <c r="F266" s="3">
        <f>Matchs!C267</f>
        <v>27214</v>
      </c>
      <c r="G266" s="10" t="str">
        <f t="shared" si="79"/>
        <v>"),TimeMatch=TimeSpan.Parse("</v>
      </c>
      <c r="H266" s="9">
        <f>Matchs!D267</f>
        <v>6.25E-2</v>
      </c>
      <c r="I266" t="str">
        <f t="shared" si="80"/>
        <v>"),MatchYear=</v>
      </c>
      <c r="J266">
        <f>Matchs!E267</f>
        <v>1974</v>
      </c>
      <c r="K266" t="str">
        <f t="shared" si="81"/>
        <v>, SeasonId= "</v>
      </c>
      <c r="L266" t="str">
        <f>Matchs!F267</f>
        <v>FIFAWC1974</v>
      </c>
      <c r="M266" t="str">
        <f t="shared" si="82"/>
        <v>",Round= "</v>
      </c>
      <c r="N266" t="str">
        <f>Matchs!G267</f>
        <v>Final Round</v>
      </c>
      <c r="O266" s="6" t="str">
        <f t="shared" si="83"/>
        <v>",Stage= "</v>
      </c>
      <c r="P266" t="str">
        <f>Matchs!H267</f>
        <v>Group</v>
      </c>
      <c r="Q266" s="6" t="str">
        <f t="shared" si="84"/>
        <v>",SubStage= "</v>
      </c>
      <c r="R266" t="str">
        <f>Matchs!I267</f>
        <v xml:space="preserve">Group A </v>
      </c>
      <c r="S266" s="6" t="str">
        <f t="shared" si="85"/>
        <v>",HTeam= "</v>
      </c>
      <c r="T266" t="str">
        <f>Matchs!J267</f>
        <v>Netherlands</v>
      </c>
      <c r="U266" s="6" t="str">
        <f t="shared" si="86"/>
        <v>",HGoal=</v>
      </c>
      <c r="V266">
        <f>Matchs!K267</f>
        <v>2</v>
      </c>
      <c r="W266" s="6" t="str">
        <f t="shared" si="87"/>
        <v>,GGoal=</v>
      </c>
      <c r="X266">
        <f>Matchs!L267</f>
        <v>0</v>
      </c>
      <c r="Y266" s="6" t="str">
        <f t="shared" si="88"/>
        <v>,GTeam= "</v>
      </c>
      <c r="Z266" t="str">
        <f>Matchs!M267</f>
        <v>Brazil</v>
      </c>
      <c r="AA266" s="6" t="str">
        <f t="shared" si="89"/>
        <v>",WinNote="</v>
      </c>
      <c r="AB266" t="str">
        <f>IF(Matchs!N267="","",Matchs!N267)</f>
        <v/>
      </c>
      <c r="AC266" s="6" t="str">
        <f t="shared" si="90"/>
        <v xml:space="preserve">",Stadium=" </v>
      </c>
      <c r="AD266" s="11" t="str">
        <f>Matchs!O267</f>
        <v xml:space="preserve">Westfalenstadion </v>
      </c>
      <c r="AE266" s="6" t="str">
        <f t="shared" si="91"/>
        <v>",Referee= "</v>
      </c>
      <c r="AF266" s="11" t="str">
        <f>Matchs!P267</f>
        <v xml:space="preserve">Kurt Tschenscher </v>
      </c>
      <c r="AG266" s="6" t="str">
        <f t="shared" si="92"/>
        <v xml:space="preserve">",Visistors= </v>
      </c>
      <c r="AH266" s="11">
        <f>Matchs!Q267</f>
        <v>52500</v>
      </c>
      <c r="AI266" s="11" t="str">
        <f t="shared" si="93"/>
        <v>,Status= "</v>
      </c>
      <c r="AJ266" s="11" t="str">
        <f>Matchs!R267</f>
        <v>Finished</v>
      </c>
      <c r="AK266" t="str">
        <f t="shared" si="94"/>
        <v>" },</v>
      </c>
    </row>
    <row r="267" spans="1:37" x14ac:dyDescent="0.25">
      <c r="A267" t="str">
        <f t="shared" si="76"/>
        <v>new Match { MatchId= "</v>
      </c>
      <c r="B267" t="str">
        <f>Matchs!A268</f>
        <v>FIFAWC1974-35</v>
      </c>
      <c r="C267" t="str">
        <f t="shared" si="77"/>
        <v>",MatchNumer=</v>
      </c>
      <c r="D267">
        <f>Matchs!B268</f>
        <v>35</v>
      </c>
      <c r="E267" t="str">
        <f t="shared" si="78"/>
        <v>,DateMatch=DateTime.Parse("</v>
      </c>
      <c r="F267" s="3">
        <f>Matchs!C268</f>
        <v>27214</v>
      </c>
      <c r="G267" s="10" t="str">
        <f t="shared" si="79"/>
        <v>"),TimeMatch=TimeSpan.Parse("</v>
      </c>
      <c r="H267" s="9">
        <f>Matchs!D268</f>
        <v>6.25E-2</v>
      </c>
      <c r="I267" t="str">
        <f t="shared" si="80"/>
        <v>"),MatchYear=</v>
      </c>
      <c r="J267">
        <f>Matchs!E268</f>
        <v>1974</v>
      </c>
      <c r="K267" t="str">
        <f t="shared" si="81"/>
        <v>, SeasonId= "</v>
      </c>
      <c r="L267" t="str">
        <f>Matchs!F268</f>
        <v>FIFAWC1974</v>
      </c>
      <c r="M267" t="str">
        <f t="shared" si="82"/>
        <v>",Round= "</v>
      </c>
      <c r="N267" t="str">
        <f>Matchs!G268</f>
        <v>Final Round</v>
      </c>
      <c r="O267" s="6" t="str">
        <f t="shared" si="83"/>
        <v>",Stage= "</v>
      </c>
      <c r="P267" t="str">
        <f>Matchs!H268</f>
        <v>Group</v>
      </c>
      <c r="Q267" s="6" t="str">
        <f t="shared" si="84"/>
        <v>",SubStage= "</v>
      </c>
      <c r="R267" t="str">
        <f>Matchs!I268</f>
        <v xml:space="preserve">Group A </v>
      </c>
      <c r="S267" s="6" t="str">
        <f t="shared" si="85"/>
        <v>",HTeam= "</v>
      </c>
      <c r="T267" t="str">
        <f>Matchs!J268</f>
        <v>Argentina</v>
      </c>
      <c r="U267" s="6" t="str">
        <f t="shared" si="86"/>
        <v>",HGoal=</v>
      </c>
      <c r="V267">
        <f>Matchs!K268</f>
        <v>1</v>
      </c>
      <c r="W267" s="6" t="str">
        <f t="shared" si="87"/>
        <v>,GGoal=</v>
      </c>
      <c r="X267">
        <f>Matchs!L268</f>
        <v>1</v>
      </c>
      <c r="Y267" s="6" t="str">
        <f t="shared" si="88"/>
        <v>,GTeam= "</v>
      </c>
      <c r="Z267" t="str">
        <f>Matchs!M268</f>
        <v>East Germany</v>
      </c>
      <c r="AA267" s="6" t="str">
        <f t="shared" si="89"/>
        <v>",WinNote="</v>
      </c>
      <c r="AB267" t="str">
        <f>IF(Matchs!N268="","",Matchs!N268)</f>
        <v/>
      </c>
      <c r="AC267" s="6" t="str">
        <f t="shared" si="90"/>
        <v xml:space="preserve">",Stadium=" </v>
      </c>
      <c r="AD267" s="11" t="str">
        <f>Matchs!O268</f>
        <v xml:space="preserve">Parkstadion </v>
      </c>
      <c r="AE267" s="6" t="str">
        <f t="shared" si="91"/>
        <v>",Referee= "</v>
      </c>
      <c r="AF267" s="11" t="str">
        <f>Matchs!P268</f>
        <v xml:space="preserve">Jack Taylor </v>
      </c>
      <c r="AG267" s="6" t="str">
        <f t="shared" si="92"/>
        <v xml:space="preserve">",Visistors= </v>
      </c>
      <c r="AH267" s="11">
        <f>Matchs!Q268</f>
        <v>53054</v>
      </c>
      <c r="AI267" s="11" t="str">
        <f t="shared" si="93"/>
        <v>,Status= "</v>
      </c>
      <c r="AJ267" s="11" t="str">
        <f>Matchs!R268</f>
        <v>Finished</v>
      </c>
      <c r="AK267" t="str">
        <f t="shared" si="94"/>
        <v>" },</v>
      </c>
    </row>
    <row r="268" spans="1:37" x14ac:dyDescent="0.25">
      <c r="A268" t="str">
        <f t="shared" si="76"/>
        <v>new Match { MatchId= "</v>
      </c>
      <c r="B268" t="str">
        <f>Matchs!A269</f>
        <v>FIFAWC1974-36</v>
      </c>
      <c r="C268" t="str">
        <f t="shared" si="77"/>
        <v>",MatchNumer=</v>
      </c>
      <c r="D268">
        <f>Matchs!B269</f>
        <v>36</v>
      </c>
      <c r="E268" t="str">
        <f t="shared" si="78"/>
        <v>,DateMatch=DateTime.Parse("</v>
      </c>
      <c r="F268" s="3">
        <f>Matchs!C269</f>
        <v>27214</v>
      </c>
      <c r="G268" s="10" t="str">
        <f t="shared" si="79"/>
        <v>"),TimeMatch=TimeSpan.Parse("</v>
      </c>
      <c r="H268" s="9">
        <f>Matchs!D269</f>
        <v>6.25E-2</v>
      </c>
      <c r="I268" t="str">
        <f t="shared" si="80"/>
        <v>"),MatchYear=</v>
      </c>
      <c r="J268">
        <f>Matchs!E269</f>
        <v>1974</v>
      </c>
      <c r="K268" t="str">
        <f t="shared" si="81"/>
        <v>, SeasonId= "</v>
      </c>
      <c r="L268" t="str">
        <f>Matchs!F269</f>
        <v>FIFAWC1974</v>
      </c>
      <c r="M268" t="str">
        <f t="shared" si="82"/>
        <v>",Round= "</v>
      </c>
      <c r="N268" t="str">
        <f>Matchs!G269</f>
        <v>Final Round</v>
      </c>
      <c r="O268" s="6" t="str">
        <f t="shared" si="83"/>
        <v>",Stage= "</v>
      </c>
      <c r="P268" t="str">
        <f>Matchs!H269</f>
        <v>Group</v>
      </c>
      <c r="Q268" s="6" t="str">
        <f t="shared" si="84"/>
        <v>",SubStage= "</v>
      </c>
      <c r="R268" t="str">
        <f>Matchs!I269</f>
        <v xml:space="preserve">Group B </v>
      </c>
      <c r="S268" s="6" t="str">
        <f t="shared" si="85"/>
        <v>",HTeam= "</v>
      </c>
      <c r="T268" t="str">
        <f>Matchs!J269</f>
        <v>Sweden</v>
      </c>
      <c r="U268" s="6" t="str">
        <f t="shared" si="86"/>
        <v>",HGoal=</v>
      </c>
      <c r="V268">
        <f>Matchs!K269</f>
        <v>2</v>
      </c>
      <c r="W268" s="6" t="str">
        <f t="shared" si="87"/>
        <v>,GGoal=</v>
      </c>
      <c r="X268">
        <f>Matchs!L269</f>
        <v>1</v>
      </c>
      <c r="Y268" s="6" t="str">
        <f t="shared" si="88"/>
        <v>,GTeam= "</v>
      </c>
      <c r="Z268" t="str">
        <f>Matchs!M269</f>
        <v>Yugoslavia</v>
      </c>
      <c r="AA268" s="6" t="str">
        <f t="shared" si="89"/>
        <v>",WinNote="</v>
      </c>
      <c r="AB268" t="str">
        <f>IF(Matchs!N269="","",Matchs!N269)</f>
        <v/>
      </c>
      <c r="AC268" s="6" t="str">
        <f t="shared" si="90"/>
        <v xml:space="preserve">",Stadium=" </v>
      </c>
      <c r="AD268" s="11" t="str">
        <f>Matchs!O269</f>
        <v xml:space="preserve">Rheinstadion </v>
      </c>
      <c r="AE268" s="6" t="str">
        <f t="shared" si="91"/>
        <v>",Referee= "</v>
      </c>
      <c r="AF268" s="11" t="str">
        <f>Matchs!P269</f>
        <v xml:space="preserve">Luis Pestarino </v>
      </c>
      <c r="AG268" s="6" t="str">
        <f t="shared" si="92"/>
        <v xml:space="preserve">",Visistors= </v>
      </c>
      <c r="AH268" s="11">
        <f>Matchs!Q269</f>
        <v>4000</v>
      </c>
      <c r="AI268" s="11" t="str">
        <f t="shared" si="93"/>
        <v>,Status= "</v>
      </c>
      <c r="AJ268" s="11" t="str">
        <f>Matchs!R269</f>
        <v>Finished</v>
      </c>
      <c r="AK268" t="str">
        <f t="shared" si="94"/>
        <v>" },</v>
      </c>
    </row>
    <row r="269" spans="1:37" x14ac:dyDescent="0.25">
      <c r="A269" t="str">
        <f t="shared" si="76"/>
        <v>new Match { MatchId= "</v>
      </c>
      <c r="B269" t="str">
        <f>Matchs!A270</f>
        <v>FIFAWC1974-37</v>
      </c>
      <c r="C269" t="str">
        <f t="shared" si="77"/>
        <v>",MatchNumer=</v>
      </c>
      <c r="D269">
        <f>Matchs!B270</f>
        <v>37</v>
      </c>
      <c r="E269" t="str">
        <f t="shared" si="78"/>
        <v>,DateMatch=DateTime.Parse("</v>
      </c>
      <c r="F269" s="3">
        <f>Matchs!C270</f>
        <v>27216</v>
      </c>
      <c r="G269" s="10" t="str">
        <f t="shared" si="79"/>
        <v>"),TimeMatch=TimeSpan.Parse("</v>
      </c>
      <c r="H269" s="9">
        <f>Matchs!D270</f>
        <v>0.91666666666666663</v>
      </c>
      <c r="I269" t="str">
        <f t="shared" si="80"/>
        <v>"),MatchYear=</v>
      </c>
      <c r="J269">
        <f>Matchs!E270</f>
        <v>1974</v>
      </c>
      <c r="K269" t="str">
        <f t="shared" si="81"/>
        <v>, SeasonId= "</v>
      </c>
      <c r="L269" t="str">
        <f>Matchs!F270</f>
        <v>FIFAWC1974</v>
      </c>
      <c r="M269" t="str">
        <f t="shared" si="82"/>
        <v>",Round= "</v>
      </c>
      <c r="N269" t="str">
        <f>Matchs!G270</f>
        <v>Final Round</v>
      </c>
      <c r="O269" s="6" t="str">
        <f t="shared" si="83"/>
        <v>",Stage= "</v>
      </c>
      <c r="P269" t="str">
        <f>Matchs!H270</f>
        <v>Knockouts</v>
      </c>
      <c r="Q269" s="6" t="str">
        <f t="shared" si="84"/>
        <v>",SubStage= "</v>
      </c>
      <c r="R269" t="str">
        <f>Matchs!I270</f>
        <v>3rd place</v>
      </c>
      <c r="S269" s="6" t="str">
        <f t="shared" si="85"/>
        <v>",HTeam= "</v>
      </c>
      <c r="T269" t="str">
        <f>Matchs!J270</f>
        <v>Brazil</v>
      </c>
      <c r="U269" s="6" t="str">
        <f t="shared" si="86"/>
        <v>",HGoal=</v>
      </c>
      <c r="V269">
        <f>Matchs!K270</f>
        <v>0</v>
      </c>
      <c r="W269" s="6" t="str">
        <f t="shared" si="87"/>
        <v>,GGoal=</v>
      </c>
      <c r="X269">
        <f>Matchs!L270</f>
        <v>1</v>
      </c>
      <c r="Y269" s="6" t="str">
        <f t="shared" si="88"/>
        <v>,GTeam= "</v>
      </c>
      <c r="Z269" t="str">
        <f>Matchs!M270</f>
        <v>Poland</v>
      </c>
      <c r="AA269" s="6" t="str">
        <f t="shared" si="89"/>
        <v>",WinNote="</v>
      </c>
      <c r="AB269" t="str">
        <f>IF(Matchs!N270="","",Matchs!N270)</f>
        <v/>
      </c>
      <c r="AC269" s="6" t="str">
        <f t="shared" si="90"/>
        <v xml:space="preserve">",Stadium=" </v>
      </c>
      <c r="AD269" s="11" t="str">
        <f>Matchs!O270</f>
        <v xml:space="preserve">Olympiastadion </v>
      </c>
      <c r="AE269" s="6" t="str">
        <f t="shared" si="91"/>
        <v>",Referee= "</v>
      </c>
      <c r="AF269" s="11" t="str">
        <f>Matchs!P270</f>
        <v xml:space="preserve">Aurelio Angonese </v>
      </c>
      <c r="AG269" s="6" t="str">
        <f t="shared" si="92"/>
        <v xml:space="preserve">",Visistors= </v>
      </c>
      <c r="AH269" s="11">
        <f>Matchs!Q270</f>
        <v>74100</v>
      </c>
      <c r="AI269" s="11" t="str">
        <f t="shared" si="93"/>
        <v>,Status= "</v>
      </c>
      <c r="AJ269" s="11" t="str">
        <f>Matchs!R270</f>
        <v>Finished</v>
      </c>
      <c r="AK269" t="str">
        <f t="shared" si="94"/>
        <v>" },</v>
      </c>
    </row>
    <row r="270" spans="1:37" x14ac:dyDescent="0.25">
      <c r="A270" t="str">
        <f t="shared" si="76"/>
        <v>new Match { MatchId= "</v>
      </c>
      <c r="B270" t="str">
        <f>Matchs!A271</f>
        <v>FIFAWC1974-38</v>
      </c>
      <c r="C270" t="str">
        <f t="shared" si="77"/>
        <v>",MatchNumer=</v>
      </c>
      <c r="D270">
        <f>Matchs!B271</f>
        <v>38</v>
      </c>
      <c r="E270" t="str">
        <f t="shared" si="78"/>
        <v>,DateMatch=DateTime.Parse("</v>
      </c>
      <c r="F270" s="3">
        <f>Matchs!C271</f>
        <v>27217</v>
      </c>
      <c r="G270" s="10" t="str">
        <f t="shared" si="79"/>
        <v>"),TimeMatch=TimeSpan.Parse("</v>
      </c>
      <c r="H270" s="9">
        <f>Matchs!D271</f>
        <v>0.91666666666666663</v>
      </c>
      <c r="I270" t="str">
        <f t="shared" si="80"/>
        <v>"),MatchYear=</v>
      </c>
      <c r="J270">
        <f>Matchs!E271</f>
        <v>1974</v>
      </c>
      <c r="K270" t="str">
        <f t="shared" si="81"/>
        <v>, SeasonId= "</v>
      </c>
      <c r="L270" t="str">
        <f>Matchs!F271</f>
        <v>FIFAWC1974</v>
      </c>
      <c r="M270" t="str">
        <f t="shared" si="82"/>
        <v>",Round= "</v>
      </c>
      <c r="N270" t="str">
        <f>Matchs!G271</f>
        <v>Final Round</v>
      </c>
      <c r="O270" s="6" t="str">
        <f t="shared" si="83"/>
        <v>",Stage= "</v>
      </c>
      <c r="P270" t="str">
        <f>Matchs!H271</f>
        <v>Knockouts</v>
      </c>
      <c r="Q270" s="6" t="str">
        <f t="shared" si="84"/>
        <v>",SubStage= "</v>
      </c>
      <c r="R270" t="str">
        <f>Matchs!I271</f>
        <v>Final</v>
      </c>
      <c r="S270" s="6" t="str">
        <f t="shared" si="85"/>
        <v>",HTeam= "</v>
      </c>
      <c r="T270" t="str">
        <f>Matchs!J271</f>
        <v>Netherlands</v>
      </c>
      <c r="U270" s="6" t="str">
        <f t="shared" si="86"/>
        <v>",HGoal=</v>
      </c>
      <c r="V270">
        <f>Matchs!K271</f>
        <v>1</v>
      </c>
      <c r="W270" s="6" t="str">
        <f t="shared" si="87"/>
        <v>,GGoal=</v>
      </c>
      <c r="X270">
        <f>Matchs!L271</f>
        <v>2</v>
      </c>
      <c r="Y270" s="6" t="str">
        <f t="shared" si="88"/>
        <v>,GTeam= "</v>
      </c>
      <c r="Z270" t="str">
        <f>Matchs!M271</f>
        <v>Germany</v>
      </c>
      <c r="AA270" s="6" t="str">
        <f t="shared" si="89"/>
        <v>",WinNote="</v>
      </c>
      <c r="AB270" t="str">
        <f>IF(Matchs!N271="","",Matchs!N271)</f>
        <v/>
      </c>
      <c r="AC270" s="6" t="str">
        <f t="shared" si="90"/>
        <v xml:space="preserve">",Stadium=" </v>
      </c>
      <c r="AD270" s="11" t="str">
        <f>Matchs!O271</f>
        <v xml:space="preserve">Olympiastadion </v>
      </c>
      <c r="AE270" s="6" t="str">
        <f t="shared" si="91"/>
        <v>",Referee= "</v>
      </c>
      <c r="AF270" s="11" t="str">
        <f>Matchs!P271</f>
        <v xml:space="preserve">Jack Taylor </v>
      </c>
      <c r="AG270" s="6" t="str">
        <f t="shared" si="92"/>
        <v xml:space="preserve">",Visistors= </v>
      </c>
      <c r="AH270" s="11">
        <f>Matchs!Q271</f>
        <v>75200</v>
      </c>
      <c r="AI270" s="11" t="str">
        <f t="shared" si="93"/>
        <v>,Status= "</v>
      </c>
      <c r="AJ270" s="11" t="str">
        <f>Matchs!R271</f>
        <v>Finished</v>
      </c>
      <c r="AK270" t="str">
        <f t="shared" si="94"/>
        <v>" },</v>
      </c>
    </row>
    <row r="271" spans="1:37" x14ac:dyDescent="0.25">
      <c r="A271" t="str">
        <f t="shared" si="76"/>
        <v>new Match { MatchId= "</v>
      </c>
      <c r="B271" t="str">
        <f>Matchs!A272</f>
        <v>FIFAWC1978-1</v>
      </c>
      <c r="C271" t="str">
        <f t="shared" si="77"/>
        <v>",MatchNumer=</v>
      </c>
      <c r="D271">
        <f>Matchs!B272</f>
        <v>1</v>
      </c>
      <c r="E271" t="str">
        <f t="shared" si="78"/>
        <v>,DateMatch=DateTime.Parse("</v>
      </c>
      <c r="F271" s="3">
        <f>Matchs!C272</f>
        <v>28643</v>
      </c>
      <c r="G271" s="10" t="str">
        <f t="shared" si="79"/>
        <v>"),TimeMatch=TimeSpan.Parse("</v>
      </c>
      <c r="H271" s="9">
        <f>Matchs!D272</f>
        <v>4.1666666666666664E-2</v>
      </c>
      <c r="I271" t="str">
        <f t="shared" si="80"/>
        <v>"),MatchYear=</v>
      </c>
      <c r="J271">
        <f>Matchs!E272</f>
        <v>1978</v>
      </c>
      <c r="K271" t="str">
        <f t="shared" si="81"/>
        <v>, SeasonId= "</v>
      </c>
      <c r="L271" t="str">
        <f>Matchs!F272</f>
        <v>FIFAWC1978</v>
      </c>
      <c r="M271" t="str">
        <f t="shared" si="82"/>
        <v>",Round= "</v>
      </c>
      <c r="N271" t="str">
        <f>Matchs!G272</f>
        <v>Final Round</v>
      </c>
      <c r="O271" s="6" t="str">
        <f t="shared" si="83"/>
        <v>",Stage= "</v>
      </c>
      <c r="P271" t="str">
        <f>Matchs!H272</f>
        <v>Group</v>
      </c>
      <c r="Q271" s="6" t="str">
        <f t="shared" si="84"/>
        <v>",SubStage= "</v>
      </c>
      <c r="R271" t="str">
        <f>Matchs!I272</f>
        <v>Group 2</v>
      </c>
      <c r="S271" s="6" t="str">
        <f t="shared" si="85"/>
        <v>",HTeam= "</v>
      </c>
      <c r="T271" t="str">
        <f>Matchs!J272</f>
        <v>Germany</v>
      </c>
      <c r="U271" s="6" t="str">
        <f t="shared" si="86"/>
        <v>",HGoal=</v>
      </c>
      <c r="V271">
        <f>Matchs!K272</f>
        <v>0</v>
      </c>
      <c r="W271" s="6" t="str">
        <f t="shared" si="87"/>
        <v>,GGoal=</v>
      </c>
      <c r="X271">
        <f>Matchs!L272</f>
        <v>0</v>
      </c>
      <c r="Y271" s="6" t="str">
        <f t="shared" si="88"/>
        <v>,GTeam= "</v>
      </c>
      <c r="Z271" t="str">
        <f>Matchs!M272</f>
        <v>Poland</v>
      </c>
      <c r="AA271" s="6" t="str">
        <f t="shared" si="89"/>
        <v>",WinNote="</v>
      </c>
      <c r="AB271" t="str">
        <f>IF(Matchs!N272="","",Matchs!N272)</f>
        <v/>
      </c>
      <c r="AC271" s="6" t="str">
        <f t="shared" si="90"/>
        <v xml:space="preserve">",Stadium=" </v>
      </c>
      <c r="AD271" s="11" t="str">
        <f>Matchs!O272</f>
        <v xml:space="preserve">Estadio Monumental Antonio ... </v>
      </c>
      <c r="AE271" s="6" t="str">
        <f t="shared" si="91"/>
        <v>",Referee= "</v>
      </c>
      <c r="AF271" s="11" t="str">
        <f>Matchs!P272</f>
        <v xml:space="preserve">Ángel Norberto Coerezza </v>
      </c>
      <c r="AG271" s="6" t="str">
        <f t="shared" si="92"/>
        <v xml:space="preserve">",Visistors= </v>
      </c>
      <c r="AH271" s="11">
        <f>Matchs!Q272</f>
        <v>67579</v>
      </c>
      <c r="AI271" s="11" t="str">
        <f t="shared" si="93"/>
        <v>,Status= "</v>
      </c>
      <c r="AJ271" s="11" t="str">
        <f>Matchs!R272</f>
        <v>Finished</v>
      </c>
      <c r="AK271" t="str">
        <f t="shared" si="94"/>
        <v>" },</v>
      </c>
    </row>
    <row r="272" spans="1:37" x14ac:dyDescent="0.25">
      <c r="A272" t="str">
        <f t="shared" si="76"/>
        <v>new Match { MatchId= "</v>
      </c>
      <c r="B272" t="str">
        <f>Matchs!A273</f>
        <v>FIFAWC1978-2</v>
      </c>
      <c r="C272" t="str">
        <f t="shared" si="77"/>
        <v>",MatchNumer=</v>
      </c>
      <c r="D272">
        <f>Matchs!B273</f>
        <v>2</v>
      </c>
      <c r="E272" t="str">
        <f t="shared" si="78"/>
        <v>,DateMatch=DateTime.Parse("</v>
      </c>
      <c r="F272" s="3">
        <f>Matchs!C273</f>
        <v>28643</v>
      </c>
      <c r="G272" s="10" t="str">
        <f t="shared" si="79"/>
        <v>"),TimeMatch=TimeSpan.Parse("</v>
      </c>
      <c r="H272" s="9">
        <f>Matchs!D273</f>
        <v>0.98958333333333337</v>
      </c>
      <c r="I272" t="str">
        <f t="shared" si="80"/>
        <v>"),MatchYear=</v>
      </c>
      <c r="J272">
        <f>Matchs!E273</f>
        <v>1978</v>
      </c>
      <c r="K272" t="str">
        <f t="shared" si="81"/>
        <v>, SeasonId= "</v>
      </c>
      <c r="L272" t="str">
        <f>Matchs!F273</f>
        <v>FIFAWC1978</v>
      </c>
      <c r="M272" t="str">
        <f t="shared" si="82"/>
        <v>",Round= "</v>
      </c>
      <c r="N272" t="str">
        <f>Matchs!G273</f>
        <v>Final Round</v>
      </c>
      <c r="O272" s="6" t="str">
        <f t="shared" si="83"/>
        <v>",Stage= "</v>
      </c>
      <c r="P272" t="str">
        <f>Matchs!H273</f>
        <v>Group</v>
      </c>
      <c r="Q272" s="6" t="str">
        <f t="shared" si="84"/>
        <v>",SubStage= "</v>
      </c>
      <c r="R272" t="str">
        <f>Matchs!I273</f>
        <v>Group 1</v>
      </c>
      <c r="S272" s="6" t="str">
        <f t="shared" si="85"/>
        <v>",HTeam= "</v>
      </c>
      <c r="T272" t="str">
        <f>Matchs!J273</f>
        <v>Italy</v>
      </c>
      <c r="U272" s="6" t="str">
        <f t="shared" si="86"/>
        <v>",HGoal=</v>
      </c>
      <c r="V272">
        <f>Matchs!K273</f>
        <v>2</v>
      </c>
      <c r="W272" s="6" t="str">
        <f t="shared" si="87"/>
        <v>,GGoal=</v>
      </c>
      <c r="X272">
        <f>Matchs!L273</f>
        <v>1</v>
      </c>
      <c r="Y272" s="6" t="str">
        <f t="shared" si="88"/>
        <v>,GTeam= "</v>
      </c>
      <c r="Z272" t="str">
        <f>Matchs!M273</f>
        <v>France</v>
      </c>
      <c r="AA272" s="6" t="str">
        <f t="shared" si="89"/>
        <v>",WinNote="</v>
      </c>
      <c r="AB272" t="str">
        <f>IF(Matchs!N273="","",Matchs!N273)</f>
        <v/>
      </c>
      <c r="AC272" s="6" t="str">
        <f t="shared" si="90"/>
        <v xml:space="preserve">",Stadium=" </v>
      </c>
      <c r="AD272" s="11" t="str">
        <f>Matchs!O273</f>
        <v xml:space="preserve">Estadio José María Minella </v>
      </c>
      <c r="AE272" s="6" t="str">
        <f t="shared" si="91"/>
        <v>",Referee= "</v>
      </c>
      <c r="AF272" s="11" t="str">
        <f>Matchs!P273</f>
        <v xml:space="preserve">Nicolae Rainea </v>
      </c>
      <c r="AG272" s="6" t="str">
        <f t="shared" si="92"/>
        <v xml:space="preserve">",Visistors= </v>
      </c>
      <c r="AH272" s="11">
        <f>Matchs!Q273</f>
        <v>38100</v>
      </c>
      <c r="AI272" s="11" t="str">
        <f t="shared" si="93"/>
        <v>,Status= "</v>
      </c>
      <c r="AJ272" s="11" t="str">
        <f>Matchs!R273</f>
        <v>Finished</v>
      </c>
      <c r="AK272" t="str">
        <f t="shared" si="94"/>
        <v>" },</v>
      </c>
    </row>
    <row r="273" spans="1:37" x14ac:dyDescent="0.25">
      <c r="A273" t="str">
        <f t="shared" si="76"/>
        <v>new Match { MatchId= "</v>
      </c>
      <c r="B273" t="str">
        <f>Matchs!A274</f>
        <v>FIFAWC1978-3</v>
      </c>
      <c r="C273" t="str">
        <f t="shared" si="77"/>
        <v>",MatchNumer=</v>
      </c>
      <c r="D273">
        <f>Matchs!B274</f>
        <v>3</v>
      </c>
      <c r="E273" t="str">
        <f t="shared" si="78"/>
        <v>,DateMatch=DateTime.Parse("</v>
      </c>
      <c r="F273" s="3">
        <f>Matchs!C274</f>
        <v>28644</v>
      </c>
      <c r="G273" s="10" t="str">
        <f t="shared" si="79"/>
        <v>"),TimeMatch=TimeSpan.Parse("</v>
      </c>
      <c r="H273" s="9">
        <f>Matchs!D274</f>
        <v>0.11458333333333333</v>
      </c>
      <c r="I273" t="str">
        <f t="shared" si="80"/>
        <v>"),MatchYear=</v>
      </c>
      <c r="J273">
        <f>Matchs!E274</f>
        <v>1978</v>
      </c>
      <c r="K273" t="str">
        <f t="shared" si="81"/>
        <v>, SeasonId= "</v>
      </c>
      <c r="L273" t="str">
        <f>Matchs!F274</f>
        <v>FIFAWC1978</v>
      </c>
      <c r="M273" t="str">
        <f t="shared" si="82"/>
        <v>",Round= "</v>
      </c>
      <c r="N273" t="str">
        <f>Matchs!G274</f>
        <v>Final Round</v>
      </c>
      <c r="O273" s="6" t="str">
        <f t="shared" si="83"/>
        <v>",Stage= "</v>
      </c>
      <c r="P273" t="str">
        <f>Matchs!H274</f>
        <v>Group</v>
      </c>
      <c r="Q273" s="6" t="str">
        <f t="shared" si="84"/>
        <v>",SubStage= "</v>
      </c>
      <c r="R273" t="str">
        <f>Matchs!I274</f>
        <v>Group 2</v>
      </c>
      <c r="S273" s="6" t="str">
        <f t="shared" si="85"/>
        <v>",HTeam= "</v>
      </c>
      <c r="T273" t="str">
        <f>Matchs!J274</f>
        <v>Tunisia</v>
      </c>
      <c r="U273" s="6" t="str">
        <f t="shared" si="86"/>
        <v>",HGoal=</v>
      </c>
      <c r="V273">
        <f>Matchs!K274</f>
        <v>3</v>
      </c>
      <c r="W273" s="6" t="str">
        <f t="shared" si="87"/>
        <v>,GGoal=</v>
      </c>
      <c r="X273">
        <f>Matchs!L274</f>
        <v>1</v>
      </c>
      <c r="Y273" s="6" t="str">
        <f t="shared" si="88"/>
        <v>,GTeam= "</v>
      </c>
      <c r="Z273" t="str">
        <f>Matchs!M274</f>
        <v>Mexico</v>
      </c>
      <c r="AA273" s="6" t="str">
        <f t="shared" si="89"/>
        <v>",WinNote="</v>
      </c>
      <c r="AB273" t="str">
        <f>IF(Matchs!N274="","",Matchs!N274)</f>
        <v/>
      </c>
      <c r="AC273" s="6" t="str">
        <f t="shared" si="90"/>
        <v xml:space="preserve">",Stadium=" </v>
      </c>
      <c r="AD273" s="11" t="str">
        <f>Matchs!O274</f>
        <v xml:space="preserve">Estadio Gigante de Arroyito </v>
      </c>
      <c r="AE273" s="6" t="str">
        <f t="shared" si="91"/>
        <v>",Referee= "</v>
      </c>
      <c r="AF273" s="11" t="str">
        <f>Matchs!P274</f>
        <v xml:space="preserve">John Gordon </v>
      </c>
      <c r="AG273" s="6" t="str">
        <f t="shared" si="92"/>
        <v xml:space="preserve">",Visistors= </v>
      </c>
      <c r="AH273" s="11">
        <f>Matchs!Q274</f>
        <v>17396</v>
      </c>
      <c r="AI273" s="11" t="str">
        <f t="shared" si="93"/>
        <v>,Status= "</v>
      </c>
      <c r="AJ273" s="11" t="str">
        <f>Matchs!R274</f>
        <v>Finished</v>
      </c>
      <c r="AK273" t="str">
        <f t="shared" si="94"/>
        <v>" },</v>
      </c>
    </row>
    <row r="274" spans="1:37" x14ac:dyDescent="0.25">
      <c r="A274" t="str">
        <f t="shared" si="76"/>
        <v>new Match { MatchId= "</v>
      </c>
      <c r="B274" t="str">
        <f>Matchs!A275</f>
        <v>FIFAWC1978-4</v>
      </c>
      <c r="C274" t="str">
        <f t="shared" si="77"/>
        <v>",MatchNumer=</v>
      </c>
      <c r="D274">
        <f>Matchs!B275</f>
        <v>4</v>
      </c>
      <c r="E274" t="str">
        <f t="shared" si="78"/>
        <v>,DateMatch=DateTime.Parse("</v>
      </c>
      <c r="F274" s="3">
        <f>Matchs!C275</f>
        <v>28644</v>
      </c>
      <c r="G274" s="10" t="str">
        <f t="shared" si="79"/>
        <v>"),TimeMatch=TimeSpan.Parse("</v>
      </c>
      <c r="H274" s="9">
        <f>Matchs!D275</f>
        <v>0.21875</v>
      </c>
      <c r="I274" t="str">
        <f t="shared" si="80"/>
        <v>"),MatchYear=</v>
      </c>
      <c r="J274">
        <f>Matchs!E275</f>
        <v>1978</v>
      </c>
      <c r="K274" t="str">
        <f t="shared" si="81"/>
        <v>, SeasonId= "</v>
      </c>
      <c r="L274" t="str">
        <f>Matchs!F275</f>
        <v>FIFAWC1978</v>
      </c>
      <c r="M274" t="str">
        <f t="shared" si="82"/>
        <v>",Round= "</v>
      </c>
      <c r="N274" t="str">
        <f>Matchs!G275</f>
        <v>Final Round</v>
      </c>
      <c r="O274" s="6" t="str">
        <f t="shared" si="83"/>
        <v>",Stage= "</v>
      </c>
      <c r="P274" t="str">
        <f>Matchs!H275</f>
        <v>Group</v>
      </c>
      <c r="Q274" s="6" t="str">
        <f t="shared" si="84"/>
        <v>",SubStage= "</v>
      </c>
      <c r="R274" t="str">
        <f>Matchs!I275</f>
        <v>Group 1</v>
      </c>
      <c r="S274" s="6" t="str">
        <f t="shared" si="85"/>
        <v>",HTeam= "</v>
      </c>
      <c r="T274" t="str">
        <f>Matchs!J275</f>
        <v>Argentina</v>
      </c>
      <c r="U274" s="6" t="str">
        <f t="shared" si="86"/>
        <v>",HGoal=</v>
      </c>
      <c r="V274">
        <f>Matchs!K275</f>
        <v>2</v>
      </c>
      <c r="W274" s="6" t="str">
        <f t="shared" si="87"/>
        <v>,GGoal=</v>
      </c>
      <c r="X274">
        <f>Matchs!L275</f>
        <v>1</v>
      </c>
      <c r="Y274" s="6" t="str">
        <f t="shared" si="88"/>
        <v>,GTeam= "</v>
      </c>
      <c r="Z274" t="str">
        <f>Matchs!M275</f>
        <v>Hungary</v>
      </c>
      <c r="AA274" s="6" t="str">
        <f t="shared" si="89"/>
        <v>",WinNote="</v>
      </c>
      <c r="AB274" t="str">
        <f>IF(Matchs!N275="","",Matchs!N275)</f>
        <v/>
      </c>
      <c r="AC274" s="6" t="str">
        <f t="shared" si="90"/>
        <v xml:space="preserve">",Stadium=" </v>
      </c>
      <c r="AD274" s="11" t="str">
        <f>Matchs!O275</f>
        <v xml:space="preserve">Estadio Monumental Antonio ... </v>
      </c>
      <c r="AE274" s="6" t="str">
        <f t="shared" si="91"/>
        <v>",Referee= "</v>
      </c>
      <c r="AF274" s="11" t="str">
        <f>Matchs!P275</f>
        <v xml:space="preserve">Antonio Garrido </v>
      </c>
      <c r="AG274" s="6" t="str">
        <f t="shared" si="92"/>
        <v xml:space="preserve">",Visistors= </v>
      </c>
      <c r="AH274" s="11">
        <f>Matchs!Q275</f>
        <v>71615</v>
      </c>
      <c r="AI274" s="11" t="str">
        <f t="shared" si="93"/>
        <v>,Status= "</v>
      </c>
      <c r="AJ274" s="11" t="str">
        <f>Matchs!R275</f>
        <v>Finished</v>
      </c>
      <c r="AK274" t="str">
        <f t="shared" si="94"/>
        <v>" },</v>
      </c>
    </row>
    <row r="275" spans="1:37" x14ac:dyDescent="0.25">
      <c r="A275" t="str">
        <f t="shared" si="76"/>
        <v>new Match { MatchId= "</v>
      </c>
      <c r="B275" t="str">
        <f>Matchs!A276</f>
        <v>FIFAWC1978-5</v>
      </c>
      <c r="C275" t="str">
        <f t="shared" si="77"/>
        <v>",MatchNumer=</v>
      </c>
      <c r="D275">
        <f>Matchs!B276</f>
        <v>5</v>
      </c>
      <c r="E275" t="str">
        <f t="shared" si="78"/>
        <v>,DateMatch=DateTime.Parse("</v>
      </c>
      <c r="F275" s="3">
        <f>Matchs!C276</f>
        <v>28644</v>
      </c>
      <c r="G275" s="10" t="str">
        <f t="shared" si="79"/>
        <v>"),TimeMatch=TimeSpan.Parse("</v>
      </c>
      <c r="H275" s="9">
        <f>Matchs!D276</f>
        <v>0.98958333333333337</v>
      </c>
      <c r="I275" t="str">
        <f t="shared" si="80"/>
        <v>"),MatchYear=</v>
      </c>
      <c r="J275">
        <f>Matchs!E276</f>
        <v>1978</v>
      </c>
      <c r="K275" t="str">
        <f t="shared" si="81"/>
        <v>, SeasonId= "</v>
      </c>
      <c r="L275" t="str">
        <f>Matchs!F276</f>
        <v>FIFAWC1978</v>
      </c>
      <c r="M275" t="str">
        <f t="shared" si="82"/>
        <v>",Round= "</v>
      </c>
      <c r="N275" t="str">
        <f>Matchs!G276</f>
        <v>Final Round</v>
      </c>
      <c r="O275" s="6" t="str">
        <f t="shared" si="83"/>
        <v>",Stage= "</v>
      </c>
      <c r="P275" t="str">
        <f>Matchs!H276</f>
        <v>Group</v>
      </c>
      <c r="Q275" s="6" t="str">
        <f t="shared" si="84"/>
        <v>",SubStage= "</v>
      </c>
      <c r="R275" t="str">
        <f>Matchs!I276</f>
        <v>Group 3</v>
      </c>
      <c r="S275" s="6" t="str">
        <f t="shared" si="85"/>
        <v>",HTeam= "</v>
      </c>
      <c r="T275" t="str">
        <f>Matchs!J276</f>
        <v>Austria</v>
      </c>
      <c r="U275" s="6" t="str">
        <f t="shared" si="86"/>
        <v>",HGoal=</v>
      </c>
      <c r="V275">
        <f>Matchs!K276</f>
        <v>2</v>
      </c>
      <c r="W275" s="6" t="str">
        <f t="shared" si="87"/>
        <v>,GGoal=</v>
      </c>
      <c r="X275">
        <f>Matchs!L276</f>
        <v>1</v>
      </c>
      <c r="Y275" s="6" t="str">
        <f t="shared" si="88"/>
        <v>,GTeam= "</v>
      </c>
      <c r="Z275" t="str">
        <f>Matchs!M276</f>
        <v>Spain</v>
      </c>
      <c r="AA275" s="6" t="str">
        <f t="shared" si="89"/>
        <v>",WinNote="</v>
      </c>
      <c r="AB275" t="str">
        <f>IF(Matchs!N276="","",Matchs!N276)</f>
        <v/>
      </c>
      <c r="AC275" s="6" t="str">
        <f t="shared" si="90"/>
        <v xml:space="preserve">",Stadium=" </v>
      </c>
      <c r="AD275" s="11" t="str">
        <f>Matchs!O276</f>
        <v xml:space="preserve">Estadio Jose Amalfitani </v>
      </c>
      <c r="AE275" s="6" t="str">
        <f t="shared" si="91"/>
        <v>",Referee= "</v>
      </c>
      <c r="AF275" s="11" t="str">
        <f>Matchs!P276</f>
        <v xml:space="preserve">Károly Palotai </v>
      </c>
      <c r="AG275" s="6" t="str">
        <f t="shared" si="92"/>
        <v xml:space="preserve">",Visistors= </v>
      </c>
      <c r="AH275" s="11">
        <f>Matchs!Q276</f>
        <v>40841</v>
      </c>
      <c r="AI275" s="11" t="str">
        <f t="shared" si="93"/>
        <v>,Status= "</v>
      </c>
      <c r="AJ275" s="11" t="str">
        <f>Matchs!R276</f>
        <v>Finished</v>
      </c>
      <c r="AK275" t="str">
        <f t="shared" si="94"/>
        <v>" },</v>
      </c>
    </row>
    <row r="276" spans="1:37" x14ac:dyDescent="0.25">
      <c r="A276" t="str">
        <f t="shared" si="76"/>
        <v>new Match { MatchId= "</v>
      </c>
      <c r="B276" t="str">
        <f>Matchs!A277</f>
        <v>FIFAWC1978-6</v>
      </c>
      <c r="C276" t="str">
        <f t="shared" si="77"/>
        <v>",MatchNumer=</v>
      </c>
      <c r="D276">
        <f>Matchs!B277</f>
        <v>6</v>
      </c>
      <c r="E276" t="str">
        <f t="shared" si="78"/>
        <v>,DateMatch=DateTime.Parse("</v>
      </c>
      <c r="F276" s="3">
        <f>Matchs!C277</f>
        <v>28644</v>
      </c>
      <c r="G276" s="10" t="str">
        <f t="shared" si="79"/>
        <v>"),TimeMatch=TimeSpan.Parse("</v>
      </c>
      <c r="H276" s="9">
        <f>Matchs!D277</f>
        <v>0.98958333333333337</v>
      </c>
      <c r="I276" t="str">
        <f t="shared" si="80"/>
        <v>"),MatchYear=</v>
      </c>
      <c r="J276">
        <f>Matchs!E277</f>
        <v>1978</v>
      </c>
      <c r="K276" t="str">
        <f t="shared" si="81"/>
        <v>, SeasonId= "</v>
      </c>
      <c r="L276" t="str">
        <f>Matchs!F277</f>
        <v>FIFAWC1978</v>
      </c>
      <c r="M276" t="str">
        <f t="shared" si="82"/>
        <v>",Round= "</v>
      </c>
      <c r="N276" t="str">
        <f>Matchs!G277</f>
        <v>Final Round</v>
      </c>
      <c r="O276" s="6" t="str">
        <f t="shared" si="83"/>
        <v>",Stage= "</v>
      </c>
      <c r="P276" t="str">
        <f>Matchs!H277</f>
        <v>Group</v>
      </c>
      <c r="Q276" s="6" t="str">
        <f t="shared" si="84"/>
        <v>",SubStage= "</v>
      </c>
      <c r="R276" t="str">
        <f>Matchs!I277</f>
        <v>Group 3</v>
      </c>
      <c r="S276" s="6" t="str">
        <f t="shared" si="85"/>
        <v>",HTeam= "</v>
      </c>
      <c r="T276" t="str">
        <f>Matchs!J277</f>
        <v>Sweden</v>
      </c>
      <c r="U276" s="6" t="str">
        <f t="shared" si="86"/>
        <v>",HGoal=</v>
      </c>
      <c r="V276">
        <f>Matchs!K277</f>
        <v>1</v>
      </c>
      <c r="W276" s="6" t="str">
        <f t="shared" si="87"/>
        <v>,GGoal=</v>
      </c>
      <c r="X276">
        <f>Matchs!L277</f>
        <v>1</v>
      </c>
      <c r="Y276" s="6" t="str">
        <f t="shared" si="88"/>
        <v>,GTeam= "</v>
      </c>
      <c r="Z276" t="str">
        <f>Matchs!M277</f>
        <v>Brazil</v>
      </c>
      <c r="AA276" s="6" t="str">
        <f t="shared" si="89"/>
        <v>",WinNote="</v>
      </c>
      <c r="AB276" t="str">
        <f>IF(Matchs!N277="","",Matchs!N277)</f>
        <v/>
      </c>
      <c r="AC276" s="6" t="str">
        <f t="shared" si="90"/>
        <v xml:space="preserve">",Stadium=" </v>
      </c>
      <c r="AD276" s="11" t="str">
        <f>Matchs!O277</f>
        <v xml:space="preserve">Estadio José María Minella </v>
      </c>
      <c r="AE276" s="6" t="str">
        <f t="shared" si="91"/>
        <v>",Referee= "</v>
      </c>
      <c r="AF276" s="11" t="str">
        <f>Matchs!P277</f>
        <v xml:space="preserve">Clive Thomas </v>
      </c>
      <c r="AG276" s="6" t="str">
        <f t="shared" si="92"/>
        <v xml:space="preserve">",Visistors= </v>
      </c>
      <c r="AH276" s="11">
        <f>Matchs!Q277</f>
        <v>32569</v>
      </c>
      <c r="AI276" s="11" t="str">
        <f t="shared" si="93"/>
        <v>,Status= "</v>
      </c>
      <c r="AJ276" s="11" t="str">
        <f>Matchs!R277</f>
        <v>Finished</v>
      </c>
      <c r="AK276" t="str">
        <f t="shared" si="94"/>
        <v>" },</v>
      </c>
    </row>
    <row r="277" spans="1:37" x14ac:dyDescent="0.25">
      <c r="A277" t="str">
        <f t="shared" si="76"/>
        <v>new Match { MatchId= "</v>
      </c>
      <c r="B277" t="str">
        <f>Matchs!A278</f>
        <v>FIFAWC1978-7</v>
      </c>
      <c r="C277" t="str">
        <f t="shared" si="77"/>
        <v>",MatchNumer=</v>
      </c>
      <c r="D277">
        <f>Matchs!B278</f>
        <v>7</v>
      </c>
      <c r="E277" t="str">
        <f t="shared" si="78"/>
        <v>,DateMatch=DateTime.Parse("</v>
      </c>
      <c r="F277" s="3">
        <f>Matchs!C278</f>
        <v>28645</v>
      </c>
      <c r="G277" s="10" t="str">
        <f t="shared" si="79"/>
        <v>"),TimeMatch=TimeSpan.Parse("</v>
      </c>
      <c r="H277" s="9">
        <f>Matchs!D278</f>
        <v>0.11458333333333333</v>
      </c>
      <c r="I277" t="str">
        <f t="shared" si="80"/>
        <v>"),MatchYear=</v>
      </c>
      <c r="J277">
        <f>Matchs!E278</f>
        <v>1978</v>
      </c>
      <c r="K277" t="str">
        <f t="shared" si="81"/>
        <v>, SeasonId= "</v>
      </c>
      <c r="L277" t="str">
        <f>Matchs!F278</f>
        <v>FIFAWC1978</v>
      </c>
      <c r="M277" t="str">
        <f t="shared" si="82"/>
        <v>",Round= "</v>
      </c>
      <c r="N277" t="str">
        <f>Matchs!G278</f>
        <v>Final Round</v>
      </c>
      <c r="O277" s="6" t="str">
        <f t="shared" si="83"/>
        <v>",Stage= "</v>
      </c>
      <c r="P277" t="str">
        <f>Matchs!H278</f>
        <v>Group</v>
      </c>
      <c r="Q277" s="6" t="str">
        <f t="shared" si="84"/>
        <v>",SubStage= "</v>
      </c>
      <c r="R277" t="str">
        <f>Matchs!I278</f>
        <v>Group 4</v>
      </c>
      <c r="S277" s="6" t="str">
        <f t="shared" si="85"/>
        <v>",HTeam= "</v>
      </c>
      <c r="T277" t="str">
        <f>Matchs!J278</f>
        <v>Netherlands</v>
      </c>
      <c r="U277" s="6" t="str">
        <f t="shared" si="86"/>
        <v>",HGoal=</v>
      </c>
      <c r="V277">
        <f>Matchs!K278</f>
        <v>3</v>
      </c>
      <c r="W277" s="6" t="str">
        <f t="shared" si="87"/>
        <v>,GGoal=</v>
      </c>
      <c r="X277">
        <f>Matchs!L278</f>
        <v>0</v>
      </c>
      <c r="Y277" s="6" t="str">
        <f t="shared" si="88"/>
        <v>,GTeam= "</v>
      </c>
      <c r="Z277" t="str">
        <f>Matchs!M278</f>
        <v>Iran</v>
      </c>
      <c r="AA277" s="6" t="str">
        <f t="shared" si="89"/>
        <v>",WinNote="</v>
      </c>
      <c r="AB277" t="str">
        <f>IF(Matchs!N278="","",Matchs!N278)</f>
        <v/>
      </c>
      <c r="AC277" s="6" t="str">
        <f t="shared" si="90"/>
        <v xml:space="preserve">",Stadium=" </v>
      </c>
      <c r="AD277" s="11" t="str">
        <f>Matchs!O278</f>
        <v xml:space="preserve">Estadio Malvinas Argentinas </v>
      </c>
      <c r="AE277" s="6" t="str">
        <f t="shared" si="91"/>
        <v>",Referee= "</v>
      </c>
      <c r="AF277" s="11" t="str">
        <f>Matchs!P278</f>
        <v xml:space="preserve">Alfonso Gonzalez Archundia </v>
      </c>
      <c r="AG277" s="6" t="str">
        <f t="shared" si="92"/>
        <v xml:space="preserve">",Visistors= </v>
      </c>
      <c r="AH277" s="11">
        <f>Matchs!Q278</f>
        <v>33431</v>
      </c>
      <c r="AI277" s="11" t="str">
        <f t="shared" si="93"/>
        <v>,Status= "</v>
      </c>
      <c r="AJ277" s="11" t="str">
        <f>Matchs!R278</f>
        <v>Finished</v>
      </c>
      <c r="AK277" t="str">
        <f t="shared" si="94"/>
        <v>" },</v>
      </c>
    </row>
    <row r="278" spans="1:37" x14ac:dyDescent="0.25">
      <c r="A278" t="str">
        <f t="shared" si="76"/>
        <v>new Match { MatchId= "</v>
      </c>
      <c r="B278" t="str">
        <f>Matchs!A279</f>
        <v>FIFAWC1978-8</v>
      </c>
      <c r="C278" t="str">
        <f t="shared" si="77"/>
        <v>",MatchNumer=</v>
      </c>
      <c r="D278">
        <f>Matchs!B279</f>
        <v>8</v>
      </c>
      <c r="E278" t="str">
        <f t="shared" si="78"/>
        <v>,DateMatch=DateTime.Parse("</v>
      </c>
      <c r="F278" s="3">
        <f>Matchs!C279</f>
        <v>28645</v>
      </c>
      <c r="G278" s="10" t="str">
        <f t="shared" si="79"/>
        <v>"),TimeMatch=TimeSpan.Parse("</v>
      </c>
      <c r="H278" s="9">
        <f>Matchs!D279</f>
        <v>0.11458333333333333</v>
      </c>
      <c r="I278" t="str">
        <f t="shared" si="80"/>
        <v>"),MatchYear=</v>
      </c>
      <c r="J278">
        <f>Matchs!E279</f>
        <v>1978</v>
      </c>
      <c r="K278" t="str">
        <f t="shared" si="81"/>
        <v>, SeasonId= "</v>
      </c>
      <c r="L278" t="str">
        <f>Matchs!F279</f>
        <v>FIFAWC1978</v>
      </c>
      <c r="M278" t="str">
        <f t="shared" si="82"/>
        <v>",Round= "</v>
      </c>
      <c r="N278" t="str">
        <f>Matchs!G279</f>
        <v>Final Round</v>
      </c>
      <c r="O278" s="6" t="str">
        <f t="shared" si="83"/>
        <v>",Stage= "</v>
      </c>
      <c r="P278" t="str">
        <f>Matchs!H279</f>
        <v>Group</v>
      </c>
      <c r="Q278" s="6" t="str">
        <f t="shared" si="84"/>
        <v>",SubStage= "</v>
      </c>
      <c r="R278" t="str">
        <f>Matchs!I279</f>
        <v>Group 4</v>
      </c>
      <c r="S278" s="6" t="str">
        <f t="shared" si="85"/>
        <v>",HTeam= "</v>
      </c>
      <c r="T278" t="str">
        <f>Matchs!J279</f>
        <v>Peru</v>
      </c>
      <c r="U278" s="6" t="str">
        <f t="shared" si="86"/>
        <v>",HGoal=</v>
      </c>
      <c r="V278">
        <f>Matchs!K279</f>
        <v>3</v>
      </c>
      <c r="W278" s="6" t="str">
        <f t="shared" si="87"/>
        <v>,GGoal=</v>
      </c>
      <c r="X278">
        <f>Matchs!L279</f>
        <v>1</v>
      </c>
      <c r="Y278" s="6" t="str">
        <f t="shared" si="88"/>
        <v>,GTeam= "</v>
      </c>
      <c r="Z278" t="str">
        <f>Matchs!M279</f>
        <v>Scotland</v>
      </c>
      <c r="AA278" s="6" t="str">
        <f t="shared" si="89"/>
        <v>",WinNote="</v>
      </c>
      <c r="AB278" t="str">
        <f>IF(Matchs!N279="","",Matchs!N279)</f>
        <v/>
      </c>
      <c r="AC278" s="6" t="str">
        <f t="shared" si="90"/>
        <v xml:space="preserve">",Stadium=" </v>
      </c>
      <c r="AD278" s="11" t="str">
        <f>Matchs!O279</f>
        <v xml:space="preserve">Estadio Mario Alberto Kempes </v>
      </c>
      <c r="AE278" s="6" t="str">
        <f t="shared" si="91"/>
        <v>",Referee= "</v>
      </c>
      <c r="AF278" s="11" t="str">
        <f>Matchs!P279</f>
        <v xml:space="preserve">Ulf Eriksson </v>
      </c>
      <c r="AG278" s="6" t="str">
        <f t="shared" si="92"/>
        <v xml:space="preserve">",Visistors= </v>
      </c>
      <c r="AH278" s="11">
        <f>Matchs!Q279</f>
        <v>37927</v>
      </c>
      <c r="AI278" s="11" t="str">
        <f t="shared" si="93"/>
        <v>,Status= "</v>
      </c>
      <c r="AJ278" s="11" t="str">
        <f>Matchs!R279</f>
        <v>Finished</v>
      </c>
      <c r="AK278" t="str">
        <f t="shared" si="94"/>
        <v>" },</v>
      </c>
    </row>
    <row r="279" spans="1:37" x14ac:dyDescent="0.25">
      <c r="A279" t="str">
        <f t="shared" si="76"/>
        <v>new Match { MatchId= "</v>
      </c>
      <c r="B279" t="str">
        <f>Matchs!A280</f>
        <v>FIFAWC1978-9</v>
      </c>
      <c r="C279" t="str">
        <f t="shared" si="77"/>
        <v>",MatchNumer=</v>
      </c>
      <c r="D279">
        <f>Matchs!B280</f>
        <v>9</v>
      </c>
      <c r="E279" t="str">
        <f t="shared" si="78"/>
        <v>,DateMatch=DateTime.Parse("</v>
      </c>
      <c r="F279" s="3">
        <f>Matchs!C280</f>
        <v>28647</v>
      </c>
      <c r="G279" s="10" t="str">
        <f t="shared" si="79"/>
        <v>"),TimeMatch=TimeSpan.Parse("</v>
      </c>
      <c r="H279" s="9">
        <f>Matchs!D280</f>
        <v>0.98958333333333337</v>
      </c>
      <c r="I279" t="str">
        <f t="shared" si="80"/>
        <v>"),MatchYear=</v>
      </c>
      <c r="J279">
        <f>Matchs!E280</f>
        <v>1978</v>
      </c>
      <c r="K279" t="str">
        <f t="shared" si="81"/>
        <v>, SeasonId= "</v>
      </c>
      <c r="L279" t="str">
        <f>Matchs!F280</f>
        <v>FIFAWC1978</v>
      </c>
      <c r="M279" t="str">
        <f t="shared" si="82"/>
        <v>",Round= "</v>
      </c>
      <c r="N279" t="str">
        <f>Matchs!G280</f>
        <v>Final Round</v>
      </c>
      <c r="O279" s="6" t="str">
        <f t="shared" si="83"/>
        <v>",Stage= "</v>
      </c>
      <c r="P279" t="str">
        <f>Matchs!H280</f>
        <v>Group</v>
      </c>
      <c r="Q279" s="6" t="str">
        <f t="shared" si="84"/>
        <v>",SubStage= "</v>
      </c>
      <c r="R279" t="str">
        <f>Matchs!I280</f>
        <v>Group 1</v>
      </c>
      <c r="S279" s="6" t="str">
        <f t="shared" si="85"/>
        <v>",HTeam= "</v>
      </c>
      <c r="T279" t="str">
        <f>Matchs!J280</f>
        <v>Italy</v>
      </c>
      <c r="U279" s="6" t="str">
        <f t="shared" si="86"/>
        <v>",HGoal=</v>
      </c>
      <c r="V279">
        <f>Matchs!K280</f>
        <v>3</v>
      </c>
      <c r="W279" s="6" t="str">
        <f t="shared" si="87"/>
        <v>,GGoal=</v>
      </c>
      <c r="X279">
        <f>Matchs!L280</f>
        <v>1</v>
      </c>
      <c r="Y279" s="6" t="str">
        <f t="shared" si="88"/>
        <v>,GTeam= "</v>
      </c>
      <c r="Z279" t="str">
        <f>Matchs!M280</f>
        <v>Hungary</v>
      </c>
      <c r="AA279" s="6" t="str">
        <f t="shared" si="89"/>
        <v>",WinNote="</v>
      </c>
      <c r="AB279" t="str">
        <f>IF(Matchs!N280="","",Matchs!N280)</f>
        <v/>
      </c>
      <c r="AC279" s="6" t="str">
        <f t="shared" si="90"/>
        <v xml:space="preserve">",Stadium=" </v>
      </c>
      <c r="AD279" s="11" t="str">
        <f>Matchs!O280</f>
        <v xml:space="preserve">Estadio José María Minella </v>
      </c>
      <c r="AE279" s="6" t="str">
        <f t="shared" si="91"/>
        <v>",Referee= "</v>
      </c>
      <c r="AF279" s="11" t="str">
        <f>Matchs!P280</f>
        <v xml:space="preserve">Ramón Barreto </v>
      </c>
      <c r="AG279" s="6" t="str">
        <f t="shared" si="92"/>
        <v xml:space="preserve">",Visistors= </v>
      </c>
      <c r="AH279" s="11">
        <f>Matchs!Q280</f>
        <v>26533</v>
      </c>
      <c r="AI279" s="11" t="str">
        <f t="shared" si="93"/>
        <v>,Status= "</v>
      </c>
      <c r="AJ279" s="11" t="str">
        <f>Matchs!R280</f>
        <v>Finished</v>
      </c>
      <c r="AK279" t="str">
        <f t="shared" si="94"/>
        <v>" },</v>
      </c>
    </row>
    <row r="280" spans="1:37" x14ac:dyDescent="0.25">
      <c r="A280" t="str">
        <f t="shared" si="76"/>
        <v>new Match { MatchId= "</v>
      </c>
      <c r="B280" t="str">
        <f>Matchs!A281</f>
        <v>FIFAWC1978-10</v>
      </c>
      <c r="C280" t="str">
        <f t="shared" si="77"/>
        <v>",MatchNumer=</v>
      </c>
      <c r="D280">
        <f>Matchs!B281</f>
        <v>10</v>
      </c>
      <c r="E280" t="str">
        <f t="shared" si="78"/>
        <v>,DateMatch=DateTime.Parse("</v>
      </c>
      <c r="F280" s="3">
        <f>Matchs!C281</f>
        <v>28648</v>
      </c>
      <c r="G280" s="10" t="str">
        <f t="shared" si="79"/>
        <v>"),TimeMatch=TimeSpan.Parse("</v>
      </c>
      <c r="H280" s="9">
        <f>Matchs!D281</f>
        <v>0.11458333333333333</v>
      </c>
      <c r="I280" t="str">
        <f t="shared" si="80"/>
        <v>"),MatchYear=</v>
      </c>
      <c r="J280">
        <f>Matchs!E281</f>
        <v>1978</v>
      </c>
      <c r="K280" t="str">
        <f t="shared" si="81"/>
        <v>, SeasonId= "</v>
      </c>
      <c r="L280" t="str">
        <f>Matchs!F281</f>
        <v>FIFAWC1978</v>
      </c>
      <c r="M280" t="str">
        <f t="shared" si="82"/>
        <v>",Round= "</v>
      </c>
      <c r="N280" t="str">
        <f>Matchs!G281</f>
        <v>Final Round</v>
      </c>
      <c r="O280" s="6" t="str">
        <f t="shared" si="83"/>
        <v>",Stage= "</v>
      </c>
      <c r="P280" t="str">
        <f>Matchs!H281</f>
        <v>Group</v>
      </c>
      <c r="Q280" s="6" t="str">
        <f t="shared" si="84"/>
        <v>",SubStage= "</v>
      </c>
      <c r="R280" t="str">
        <f>Matchs!I281</f>
        <v>Group 2</v>
      </c>
      <c r="S280" s="6" t="str">
        <f t="shared" si="85"/>
        <v>",HTeam= "</v>
      </c>
      <c r="T280" t="str">
        <f>Matchs!J281</f>
        <v>Germany</v>
      </c>
      <c r="U280" s="6" t="str">
        <f t="shared" si="86"/>
        <v>",HGoal=</v>
      </c>
      <c r="V280">
        <f>Matchs!K281</f>
        <v>6</v>
      </c>
      <c r="W280" s="6" t="str">
        <f t="shared" si="87"/>
        <v>,GGoal=</v>
      </c>
      <c r="X280">
        <f>Matchs!L281</f>
        <v>0</v>
      </c>
      <c r="Y280" s="6" t="str">
        <f t="shared" si="88"/>
        <v>,GTeam= "</v>
      </c>
      <c r="Z280" t="str">
        <f>Matchs!M281</f>
        <v>Mexico</v>
      </c>
      <c r="AA280" s="6" t="str">
        <f t="shared" si="89"/>
        <v>",WinNote="</v>
      </c>
      <c r="AB280" t="str">
        <f>IF(Matchs!N281="","",Matchs!N281)</f>
        <v/>
      </c>
      <c r="AC280" s="6" t="str">
        <f t="shared" si="90"/>
        <v xml:space="preserve">",Stadium=" </v>
      </c>
      <c r="AD280" s="11" t="str">
        <f>Matchs!O281</f>
        <v xml:space="preserve">Estadio Gigante de Arroyito </v>
      </c>
      <c r="AE280" s="6" t="str">
        <f t="shared" si="91"/>
        <v>",Referee= "</v>
      </c>
      <c r="AF280" s="11" t="str">
        <f>Matchs!P281</f>
        <v xml:space="preserve">Farouk Bouzo </v>
      </c>
      <c r="AG280" s="6" t="str">
        <f t="shared" si="92"/>
        <v xml:space="preserve">",Visistors= </v>
      </c>
      <c r="AH280" s="11">
        <f>Matchs!Q281</f>
        <v>35258</v>
      </c>
      <c r="AI280" s="11" t="str">
        <f t="shared" si="93"/>
        <v>,Status= "</v>
      </c>
      <c r="AJ280" s="11" t="str">
        <f>Matchs!R281</f>
        <v>Finished</v>
      </c>
      <c r="AK280" t="str">
        <f t="shared" si="94"/>
        <v>" },</v>
      </c>
    </row>
    <row r="281" spans="1:37" x14ac:dyDescent="0.25">
      <c r="A281" t="str">
        <f t="shared" si="76"/>
        <v>new Match { MatchId= "</v>
      </c>
      <c r="B281" t="str">
        <f>Matchs!A282</f>
        <v>FIFAWC1978-11</v>
      </c>
      <c r="C281" t="str">
        <f t="shared" si="77"/>
        <v>",MatchNumer=</v>
      </c>
      <c r="D281">
        <f>Matchs!B282</f>
        <v>11</v>
      </c>
      <c r="E281" t="str">
        <f t="shared" si="78"/>
        <v>,DateMatch=DateTime.Parse("</v>
      </c>
      <c r="F281" s="3">
        <f>Matchs!C282</f>
        <v>28648</v>
      </c>
      <c r="G281" s="10" t="str">
        <f t="shared" si="79"/>
        <v>"),TimeMatch=TimeSpan.Parse("</v>
      </c>
      <c r="H281" s="9">
        <f>Matchs!D282</f>
        <v>0.11458333333333333</v>
      </c>
      <c r="I281" t="str">
        <f t="shared" si="80"/>
        <v>"),MatchYear=</v>
      </c>
      <c r="J281">
        <f>Matchs!E282</f>
        <v>1978</v>
      </c>
      <c r="K281" t="str">
        <f t="shared" si="81"/>
        <v>, SeasonId= "</v>
      </c>
      <c r="L281" t="str">
        <f>Matchs!F282</f>
        <v>FIFAWC1978</v>
      </c>
      <c r="M281" t="str">
        <f t="shared" si="82"/>
        <v>",Round= "</v>
      </c>
      <c r="N281" t="str">
        <f>Matchs!G282</f>
        <v>Final Round</v>
      </c>
      <c r="O281" s="6" t="str">
        <f t="shared" si="83"/>
        <v>",Stage= "</v>
      </c>
      <c r="P281" t="str">
        <f>Matchs!H282</f>
        <v>Group</v>
      </c>
      <c r="Q281" s="6" t="str">
        <f t="shared" si="84"/>
        <v>",SubStage= "</v>
      </c>
      <c r="R281" t="str">
        <f>Matchs!I282</f>
        <v>Group 2</v>
      </c>
      <c r="S281" s="6" t="str">
        <f t="shared" si="85"/>
        <v>",HTeam= "</v>
      </c>
      <c r="T281" t="str">
        <f>Matchs!J282</f>
        <v>Poland</v>
      </c>
      <c r="U281" s="6" t="str">
        <f t="shared" si="86"/>
        <v>",HGoal=</v>
      </c>
      <c r="V281">
        <f>Matchs!K282</f>
        <v>1</v>
      </c>
      <c r="W281" s="6" t="str">
        <f t="shared" si="87"/>
        <v>,GGoal=</v>
      </c>
      <c r="X281">
        <f>Matchs!L282</f>
        <v>0</v>
      </c>
      <c r="Y281" s="6" t="str">
        <f t="shared" si="88"/>
        <v>,GTeam= "</v>
      </c>
      <c r="Z281" t="str">
        <f>Matchs!M282</f>
        <v>Tunisia</v>
      </c>
      <c r="AA281" s="6" t="str">
        <f t="shared" si="89"/>
        <v>",WinNote="</v>
      </c>
      <c r="AB281" t="str">
        <f>IF(Matchs!N282="","",Matchs!N282)</f>
        <v/>
      </c>
      <c r="AC281" s="6" t="str">
        <f t="shared" si="90"/>
        <v xml:space="preserve">",Stadium=" </v>
      </c>
      <c r="AD281" s="11" t="str">
        <f>Matchs!O282</f>
        <v xml:space="preserve">Estadio Gigante de Arroyito </v>
      </c>
      <c r="AE281" s="6" t="str">
        <f t="shared" si="91"/>
        <v>",Referee= "</v>
      </c>
      <c r="AF281" s="11" t="str">
        <f>Matchs!P282</f>
        <v xml:space="preserve">Angel Franco Martinez </v>
      </c>
      <c r="AG281" s="6" t="str">
        <f t="shared" si="92"/>
        <v xml:space="preserve">",Visistors= </v>
      </c>
      <c r="AH281" s="11">
        <f>Matchs!Q282</f>
        <v>9624</v>
      </c>
      <c r="AI281" s="11" t="str">
        <f t="shared" si="93"/>
        <v>,Status= "</v>
      </c>
      <c r="AJ281" s="11" t="str">
        <f>Matchs!R282</f>
        <v>Finished</v>
      </c>
      <c r="AK281" t="str">
        <f t="shared" si="94"/>
        <v>" },</v>
      </c>
    </row>
    <row r="282" spans="1:37" x14ac:dyDescent="0.25">
      <c r="A282" t="str">
        <f t="shared" si="76"/>
        <v>new Match { MatchId= "</v>
      </c>
      <c r="B282" t="str">
        <f>Matchs!A283</f>
        <v>FIFAWC1978-12</v>
      </c>
      <c r="C282" t="str">
        <f t="shared" si="77"/>
        <v>",MatchNumer=</v>
      </c>
      <c r="D282">
        <f>Matchs!B283</f>
        <v>12</v>
      </c>
      <c r="E282" t="str">
        <f t="shared" si="78"/>
        <v>,DateMatch=DateTime.Parse("</v>
      </c>
      <c r="F282" s="3">
        <f>Matchs!C283</f>
        <v>28648</v>
      </c>
      <c r="G282" s="10" t="str">
        <f t="shared" si="79"/>
        <v>"),TimeMatch=TimeSpan.Parse("</v>
      </c>
      <c r="H282" s="9">
        <f>Matchs!D283</f>
        <v>0.21875</v>
      </c>
      <c r="I282" t="str">
        <f t="shared" si="80"/>
        <v>"),MatchYear=</v>
      </c>
      <c r="J282">
        <f>Matchs!E283</f>
        <v>1978</v>
      </c>
      <c r="K282" t="str">
        <f t="shared" si="81"/>
        <v>, SeasonId= "</v>
      </c>
      <c r="L282" t="str">
        <f>Matchs!F283</f>
        <v>FIFAWC1978</v>
      </c>
      <c r="M282" t="str">
        <f t="shared" si="82"/>
        <v>",Round= "</v>
      </c>
      <c r="N282" t="str">
        <f>Matchs!G283</f>
        <v>Final Round</v>
      </c>
      <c r="O282" s="6" t="str">
        <f t="shared" si="83"/>
        <v>",Stage= "</v>
      </c>
      <c r="P282" t="str">
        <f>Matchs!H283</f>
        <v>Group</v>
      </c>
      <c r="Q282" s="6" t="str">
        <f t="shared" si="84"/>
        <v>",SubStage= "</v>
      </c>
      <c r="R282" t="str">
        <f>Matchs!I283</f>
        <v>Group 1</v>
      </c>
      <c r="S282" s="6" t="str">
        <f t="shared" si="85"/>
        <v>",HTeam= "</v>
      </c>
      <c r="T282" t="str">
        <f>Matchs!J283</f>
        <v>Argentina</v>
      </c>
      <c r="U282" s="6" t="str">
        <f t="shared" si="86"/>
        <v>",HGoal=</v>
      </c>
      <c r="V282">
        <f>Matchs!K283</f>
        <v>2</v>
      </c>
      <c r="W282" s="6" t="str">
        <f t="shared" si="87"/>
        <v>,GGoal=</v>
      </c>
      <c r="X282">
        <f>Matchs!L283</f>
        <v>1</v>
      </c>
      <c r="Y282" s="6" t="str">
        <f t="shared" si="88"/>
        <v>,GTeam= "</v>
      </c>
      <c r="Z282" t="str">
        <f>Matchs!M283</f>
        <v>France</v>
      </c>
      <c r="AA282" s="6" t="str">
        <f t="shared" si="89"/>
        <v>",WinNote="</v>
      </c>
      <c r="AB282" t="str">
        <f>IF(Matchs!N283="","",Matchs!N283)</f>
        <v/>
      </c>
      <c r="AC282" s="6" t="str">
        <f t="shared" si="90"/>
        <v xml:space="preserve">",Stadium=" </v>
      </c>
      <c r="AD282" s="11" t="str">
        <f>Matchs!O283</f>
        <v xml:space="preserve">Estadio Monumental Antonio ... </v>
      </c>
      <c r="AE282" s="6" t="str">
        <f t="shared" si="91"/>
        <v>",Referee= "</v>
      </c>
      <c r="AF282" s="11" t="str">
        <f>Matchs!P283</f>
        <v xml:space="preserve">Jean Dubach </v>
      </c>
      <c r="AG282" s="6" t="str">
        <f t="shared" si="92"/>
        <v xml:space="preserve">",Visistors= </v>
      </c>
      <c r="AH282" s="11">
        <f>Matchs!Q283</f>
        <v>71666</v>
      </c>
      <c r="AI282" s="11" t="str">
        <f t="shared" si="93"/>
        <v>,Status= "</v>
      </c>
      <c r="AJ282" s="11" t="str">
        <f>Matchs!R283</f>
        <v>Finished</v>
      </c>
      <c r="AK282" t="str">
        <f t="shared" si="94"/>
        <v>" },</v>
      </c>
    </row>
    <row r="283" spans="1:37" x14ac:dyDescent="0.25">
      <c r="A283" t="str">
        <f t="shared" si="76"/>
        <v>new Match { MatchId= "</v>
      </c>
      <c r="B283" t="str">
        <f>Matchs!A284</f>
        <v>FIFAWC1978-13</v>
      </c>
      <c r="C283" t="str">
        <f t="shared" si="77"/>
        <v>",MatchNumer=</v>
      </c>
      <c r="D283">
        <f>Matchs!B284</f>
        <v>13</v>
      </c>
      <c r="E283" t="str">
        <f t="shared" si="78"/>
        <v>,DateMatch=DateTime.Parse("</v>
      </c>
      <c r="F283" s="3">
        <f>Matchs!C284</f>
        <v>28648</v>
      </c>
      <c r="G283" s="10" t="str">
        <f t="shared" si="79"/>
        <v>"),TimeMatch=TimeSpan.Parse("</v>
      </c>
      <c r="H283" s="9">
        <f>Matchs!D284</f>
        <v>0.98958333333333337</v>
      </c>
      <c r="I283" t="str">
        <f t="shared" si="80"/>
        <v>"),MatchYear=</v>
      </c>
      <c r="J283">
        <f>Matchs!E284</f>
        <v>1978</v>
      </c>
      <c r="K283" t="str">
        <f t="shared" si="81"/>
        <v>, SeasonId= "</v>
      </c>
      <c r="L283" t="str">
        <f>Matchs!F284</f>
        <v>FIFAWC1978</v>
      </c>
      <c r="M283" t="str">
        <f t="shared" si="82"/>
        <v>",Round= "</v>
      </c>
      <c r="N283" t="str">
        <f>Matchs!G284</f>
        <v>Final Round</v>
      </c>
      <c r="O283" s="6" t="str">
        <f t="shared" si="83"/>
        <v>",Stage= "</v>
      </c>
      <c r="P283" t="str">
        <f>Matchs!H284</f>
        <v>Group</v>
      </c>
      <c r="Q283" s="6" t="str">
        <f t="shared" si="84"/>
        <v>",SubStage= "</v>
      </c>
      <c r="R283" t="str">
        <f>Matchs!I284</f>
        <v>Group 3</v>
      </c>
      <c r="S283" s="6" t="str">
        <f t="shared" si="85"/>
        <v>",HTeam= "</v>
      </c>
      <c r="T283" t="str">
        <f>Matchs!J284</f>
        <v>Brazil</v>
      </c>
      <c r="U283" s="6" t="str">
        <f t="shared" si="86"/>
        <v>",HGoal=</v>
      </c>
      <c r="V283">
        <f>Matchs!K284</f>
        <v>0</v>
      </c>
      <c r="W283" s="6" t="str">
        <f t="shared" si="87"/>
        <v>,GGoal=</v>
      </c>
      <c r="X283">
        <f>Matchs!L284</f>
        <v>0</v>
      </c>
      <c r="Y283" s="6" t="str">
        <f t="shared" si="88"/>
        <v>,GTeam= "</v>
      </c>
      <c r="Z283" t="str">
        <f>Matchs!M284</f>
        <v>Spain</v>
      </c>
      <c r="AA283" s="6" t="str">
        <f t="shared" si="89"/>
        <v>",WinNote="</v>
      </c>
      <c r="AB283" t="str">
        <f>IF(Matchs!N284="","",Matchs!N284)</f>
        <v/>
      </c>
      <c r="AC283" s="6" t="str">
        <f t="shared" si="90"/>
        <v xml:space="preserve">",Stadium=" </v>
      </c>
      <c r="AD283" s="11" t="str">
        <f>Matchs!O284</f>
        <v xml:space="preserve">Estadio José María Minella </v>
      </c>
      <c r="AE283" s="6" t="str">
        <f t="shared" si="91"/>
        <v>",Referee= "</v>
      </c>
      <c r="AF283" s="11" t="str">
        <f>Matchs!P284</f>
        <v xml:space="preserve">Sergio Gonella </v>
      </c>
      <c r="AG283" s="6" t="str">
        <f t="shared" si="92"/>
        <v xml:space="preserve">",Visistors= </v>
      </c>
      <c r="AH283" s="11">
        <f>Matchs!Q284</f>
        <v>34771</v>
      </c>
      <c r="AI283" s="11" t="str">
        <f t="shared" si="93"/>
        <v>,Status= "</v>
      </c>
      <c r="AJ283" s="11" t="str">
        <f>Matchs!R284</f>
        <v>Finished</v>
      </c>
      <c r="AK283" t="str">
        <f t="shared" si="94"/>
        <v>" },</v>
      </c>
    </row>
    <row r="284" spans="1:37" x14ac:dyDescent="0.25">
      <c r="A284" t="str">
        <f t="shared" si="76"/>
        <v>new Match { MatchId= "</v>
      </c>
      <c r="B284" t="str">
        <f>Matchs!A285</f>
        <v>FIFAWC1978-14</v>
      </c>
      <c r="C284" t="str">
        <f t="shared" si="77"/>
        <v>",MatchNumer=</v>
      </c>
      <c r="D284">
        <f>Matchs!B285</f>
        <v>14</v>
      </c>
      <c r="E284" t="str">
        <f t="shared" si="78"/>
        <v>,DateMatch=DateTime.Parse("</v>
      </c>
      <c r="F284" s="3">
        <f>Matchs!C285</f>
        <v>28648</v>
      </c>
      <c r="G284" s="10" t="str">
        <f t="shared" si="79"/>
        <v>"),TimeMatch=TimeSpan.Parse("</v>
      </c>
      <c r="H284" s="9">
        <f>Matchs!D285</f>
        <v>0.98958333333333337</v>
      </c>
      <c r="I284" t="str">
        <f t="shared" si="80"/>
        <v>"),MatchYear=</v>
      </c>
      <c r="J284">
        <f>Matchs!E285</f>
        <v>1978</v>
      </c>
      <c r="K284" t="str">
        <f t="shared" si="81"/>
        <v>, SeasonId= "</v>
      </c>
      <c r="L284" t="str">
        <f>Matchs!F285</f>
        <v>FIFAWC1978</v>
      </c>
      <c r="M284" t="str">
        <f t="shared" si="82"/>
        <v>",Round= "</v>
      </c>
      <c r="N284" t="str">
        <f>Matchs!G285</f>
        <v>Final Round</v>
      </c>
      <c r="O284" s="6" t="str">
        <f t="shared" si="83"/>
        <v>",Stage= "</v>
      </c>
      <c r="P284" t="str">
        <f>Matchs!H285</f>
        <v>Group</v>
      </c>
      <c r="Q284" s="6" t="str">
        <f t="shared" si="84"/>
        <v>",SubStage= "</v>
      </c>
      <c r="R284" t="str">
        <f>Matchs!I285</f>
        <v>Group 3</v>
      </c>
      <c r="S284" s="6" t="str">
        <f t="shared" si="85"/>
        <v>",HTeam= "</v>
      </c>
      <c r="T284" t="str">
        <f>Matchs!J285</f>
        <v>Austria</v>
      </c>
      <c r="U284" s="6" t="str">
        <f t="shared" si="86"/>
        <v>",HGoal=</v>
      </c>
      <c r="V284">
        <f>Matchs!K285</f>
        <v>1</v>
      </c>
      <c r="W284" s="6" t="str">
        <f t="shared" si="87"/>
        <v>,GGoal=</v>
      </c>
      <c r="X284">
        <f>Matchs!L285</f>
        <v>0</v>
      </c>
      <c r="Y284" s="6" t="str">
        <f t="shared" si="88"/>
        <v>,GTeam= "</v>
      </c>
      <c r="Z284" t="str">
        <f>Matchs!M285</f>
        <v>Sweden</v>
      </c>
      <c r="AA284" s="6" t="str">
        <f t="shared" si="89"/>
        <v>",WinNote="</v>
      </c>
      <c r="AB284" t="str">
        <f>IF(Matchs!N285="","",Matchs!N285)</f>
        <v/>
      </c>
      <c r="AC284" s="6" t="str">
        <f t="shared" si="90"/>
        <v xml:space="preserve">",Stadium=" </v>
      </c>
      <c r="AD284" s="11" t="str">
        <f>Matchs!O285</f>
        <v xml:space="preserve">Estadio Jose Amalfitani </v>
      </c>
      <c r="AE284" s="6" t="str">
        <f t="shared" si="91"/>
        <v>",Referee= "</v>
      </c>
      <c r="AF284" s="11" t="str">
        <f>Matchs!P285</f>
        <v xml:space="preserve">Charles Corver </v>
      </c>
      <c r="AG284" s="6" t="str">
        <f t="shared" si="92"/>
        <v xml:space="preserve">",Visistors= </v>
      </c>
      <c r="AH284" s="11">
        <f>Matchs!Q285</f>
        <v>41424</v>
      </c>
      <c r="AI284" s="11" t="str">
        <f t="shared" si="93"/>
        <v>,Status= "</v>
      </c>
      <c r="AJ284" s="11" t="str">
        <f>Matchs!R285</f>
        <v>Finished</v>
      </c>
      <c r="AK284" t="str">
        <f t="shared" si="94"/>
        <v>" },</v>
      </c>
    </row>
    <row r="285" spans="1:37" x14ac:dyDescent="0.25">
      <c r="A285" t="str">
        <f t="shared" si="76"/>
        <v>new Match { MatchId= "</v>
      </c>
      <c r="B285" t="str">
        <f>Matchs!A286</f>
        <v>FIFAWC1978-15</v>
      </c>
      <c r="C285" t="str">
        <f t="shared" si="77"/>
        <v>",MatchNumer=</v>
      </c>
      <c r="D285">
        <f>Matchs!B286</f>
        <v>15</v>
      </c>
      <c r="E285" t="str">
        <f t="shared" si="78"/>
        <v>,DateMatch=DateTime.Parse("</v>
      </c>
      <c r="F285" s="3">
        <f>Matchs!C286</f>
        <v>28649</v>
      </c>
      <c r="G285" s="10" t="str">
        <f t="shared" si="79"/>
        <v>"),TimeMatch=TimeSpan.Parse("</v>
      </c>
      <c r="H285" s="9">
        <f>Matchs!D286</f>
        <v>0.11458333333333333</v>
      </c>
      <c r="I285" t="str">
        <f t="shared" si="80"/>
        <v>"),MatchYear=</v>
      </c>
      <c r="J285">
        <f>Matchs!E286</f>
        <v>1978</v>
      </c>
      <c r="K285" t="str">
        <f t="shared" si="81"/>
        <v>, SeasonId= "</v>
      </c>
      <c r="L285" t="str">
        <f>Matchs!F286</f>
        <v>FIFAWC1978</v>
      </c>
      <c r="M285" t="str">
        <f t="shared" si="82"/>
        <v>",Round= "</v>
      </c>
      <c r="N285" t="str">
        <f>Matchs!G286</f>
        <v>Final Round</v>
      </c>
      <c r="O285" s="6" t="str">
        <f t="shared" si="83"/>
        <v>",Stage= "</v>
      </c>
      <c r="P285" t="str">
        <f>Matchs!H286</f>
        <v>Group</v>
      </c>
      <c r="Q285" s="6" t="str">
        <f t="shared" si="84"/>
        <v>",SubStage= "</v>
      </c>
      <c r="R285" t="str">
        <f>Matchs!I286</f>
        <v>Group 4</v>
      </c>
      <c r="S285" s="6" t="str">
        <f t="shared" si="85"/>
        <v>",HTeam= "</v>
      </c>
      <c r="T285" t="str">
        <f>Matchs!J286</f>
        <v>Netherlands</v>
      </c>
      <c r="U285" s="6" t="str">
        <f t="shared" si="86"/>
        <v>",HGoal=</v>
      </c>
      <c r="V285">
        <f>Matchs!K286</f>
        <v>0</v>
      </c>
      <c r="W285" s="6" t="str">
        <f t="shared" si="87"/>
        <v>,GGoal=</v>
      </c>
      <c r="X285">
        <f>Matchs!L286</f>
        <v>0</v>
      </c>
      <c r="Y285" s="6" t="str">
        <f t="shared" si="88"/>
        <v>,GTeam= "</v>
      </c>
      <c r="Z285" t="str">
        <f>Matchs!M286</f>
        <v>Peru</v>
      </c>
      <c r="AA285" s="6" t="str">
        <f t="shared" si="89"/>
        <v>",WinNote="</v>
      </c>
      <c r="AB285" t="str">
        <f>IF(Matchs!N286="","",Matchs!N286)</f>
        <v/>
      </c>
      <c r="AC285" s="6" t="str">
        <f t="shared" si="90"/>
        <v xml:space="preserve">",Stadium=" </v>
      </c>
      <c r="AD285" s="11" t="str">
        <f>Matchs!O286</f>
        <v xml:space="preserve">Estadio Malvinas Argentinas </v>
      </c>
      <c r="AE285" s="6" t="str">
        <f t="shared" si="91"/>
        <v>",Referee= "</v>
      </c>
      <c r="AF285" s="11" t="str">
        <f>Matchs!P286</f>
        <v xml:space="preserve">Adolf Prokop </v>
      </c>
      <c r="AG285" s="6" t="str">
        <f t="shared" si="92"/>
        <v xml:space="preserve">",Visistors= </v>
      </c>
      <c r="AH285" s="11">
        <f>Matchs!Q286</f>
        <v>28125</v>
      </c>
      <c r="AI285" s="11" t="str">
        <f t="shared" si="93"/>
        <v>,Status= "</v>
      </c>
      <c r="AJ285" s="11" t="str">
        <f>Matchs!R286</f>
        <v>Finished</v>
      </c>
      <c r="AK285" t="str">
        <f t="shared" si="94"/>
        <v>" },</v>
      </c>
    </row>
    <row r="286" spans="1:37" x14ac:dyDescent="0.25">
      <c r="A286" t="str">
        <f t="shared" si="76"/>
        <v>new Match { MatchId= "</v>
      </c>
      <c r="B286" t="str">
        <f>Matchs!A287</f>
        <v>FIFAWC1978-16</v>
      </c>
      <c r="C286" t="str">
        <f t="shared" si="77"/>
        <v>",MatchNumer=</v>
      </c>
      <c r="D286">
        <f>Matchs!B287</f>
        <v>16</v>
      </c>
      <c r="E286" t="str">
        <f t="shared" si="78"/>
        <v>,DateMatch=DateTime.Parse("</v>
      </c>
      <c r="F286" s="3">
        <f>Matchs!C287</f>
        <v>28649</v>
      </c>
      <c r="G286" s="10" t="str">
        <f t="shared" si="79"/>
        <v>"),TimeMatch=TimeSpan.Parse("</v>
      </c>
      <c r="H286" s="9">
        <f>Matchs!D287</f>
        <v>0.11458333333333333</v>
      </c>
      <c r="I286" t="str">
        <f t="shared" si="80"/>
        <v>"),MatchYear=</v>
      </c>
      <c r="J286">
        <f>Matchs!E287</f>
        <v>1978</v>
      </c>
      <c r="K286" t="str">
        <f t="shared" si="81"/>
        <v>, SeasonId= "</v>
      </c>
      <c r="L286" t="str">
        <f>Matchs!F287</f>
        <v>FIFAWC1978</v>
      </c>
      <c r="M286" t="str">
        <f t="shared" si="82"/>
        <v>",Round= "</v>
      </c>
      <c r="N286" t="str">
        <f>Matchs!G287</f>
        <v>Final Round</v>
      </c>
      <c r="O286" s="6" t="str">
        <f t="shared" si="83"/>
        <v>",Stage= "</v>
      </c>
      <c r="P286" t="str">
        <f>Matchs!H287</f>
        <v>Group</v>
      </c>
      <c r="Q286" s="6" t="str">
        <f t="shared" si="84"/>
        <v>",SubStage= "</v>
      </c>
      <c r="R286" t="str">
        <f>Matchs!I287</f>
        <v>Group 4</v>
      </c>
      <c r="S286" s="6" t="str">
        <f t="shared" si="85"/>
        <v>",HTeam= "</v>
      </c>
      <c r="T286" t="str">
        <f>Matchs!J287</f>
        <v>Scotland</v>
      </c>
      <c r="U286" s="6" t="str">
        <f t="shared" si="86"/>
        <v>",HGoal=</v>
      </c>
      <c r="V286">
        <f>Matchs!K287</f>
        <v>1</v>
      </c>
      <c r="W286" s="6" t="str">
        <f t="shared" si="87"/>
        <v>,GGoal=</v>
      </c>
      <c r="X286">
        <f>Matchs!L287</f>
        <v>1</v>
      </c>
      <c r="Y286" s="6" t="str">
        <f t="shared" si="88"/>
        <v>,GTeam= "</v>
      </c>
      <c r="Z286" t="str">
        <f>Matchs!M287</f>
        <v>Iran</v>
      </c>
      <c r="AA286" s="6" t="str">
        <f t="shared" si="89"/>
        <v>",WinNote="</v>
      </c>
      <c r="AB286" t="str">
        <f>IF(Matchs!N287="","",Matchs!N287)</f>
        <v/>
      </c>
      <c r="AC286" s="6" t="str">
        <f t="shared" si="90"/>
        <v xml:space="preserve">",Stadium=" </v>
      </c>
      <c r="AD286" s="11" t="str">
        <f>Matchs!O287</f>
        <v xml:space="preserve">Estadio Mario Alberto Kempes </v>
      </c>
      <c r="AE286" s="6" t="str">
        <f t="shared" si="91"/>
        <v>",Referee= "</v>
      </c>
      <c r="AF286" s="11" t="str">
        <f>Matchs!P287</f>
        <v xml:space="preserve">Youssou N'Diaye </v>
      </c>
      <c r="AG286" s="6" t="str">
        <f t="shared" si="92"/>
        <v xml:space="preserve">",Visistors= </v>
      </c>
      <c r="AH286" s="11">
        <f>Matchs!Q287</f>
        <v>7938</v>
      </c>
      <c r="AI286" s="11" t="str">
        <f t="shared" si="93"/>
        <v>,Status= "</v>
      </c>
      <c r="AJ286" s="11" t="str">
        <f>Matchs!R287</f>
        <v>Finished</v>
      </c>
      <c r="AK286" t="str">
        <f t="shared" si="94"/>
        <v>" },</v>
      </c>
    </row>
    <row r="287" spans="1:37" x14ac:dyDescent="0.25">
      <c r="A287" t="str">
        <f t="shared" si="76"/>
        <v>new Match { MatchId= "</v>
      </c>
      <c r="B287" t="str">
        <f>Matchs!A288</f>
        <v>FIFAWC1978-17</v>
      </c>
      <c r="C287" t="str">
        <f t="shared" si="77"/>
        <v>",MatchNumer=</v>
      </c>
      <c r="D287">
        <f>Matchs!B288</f>
        <v>17</v>
      </c>
      <c r="E287" t="str">
        <f t="shared" si="78"/>
        <v>,DateMatch=DateTime.Parse("</v>
      </c>
      <c r="F287" s="3">
        <f>Matchs!C288</f>
        <v>28652</v>
      </c>
      <c r="G287" s="10" t="str">
        <f t="shared" si="79"/>
        <v>"),TimeMatch=TimeSpan.Parse("</v>
      </c>
      <c r="H287" s="9">
        <f>Matchs!D288</f>
        <v>4.8611111111111112E-2</v>
      </c>
      <c r="I287" t="str">
        <f t="shared" si="80"/>
        <v>"),MatchYear=</v>
      </c>
      <c r="J287">
        <f>Matchs!E288</f>
        <v>1978</v>
      </c>
      <c r="K287" t="str">
        <f t="shared" si="81"/>
        <v>, SeasonId= "</v>
      </c>
      <c r="L287" t="str">
        <f>Matchs!F288</f>
        <v>FIFAWC1978</v>
      </c>
      <c r="M287" t="str">
        <f t="shared" si="82"/>
        <v>",Round= "</v>
      </c>
      <c r="N287" t="str">
        <f>Matchs!G288</f>
        <v>Final Round</v>
      </c>
      <c r="O287" s="6" t="str">
        <f t="shared" si="83"/>
        <v>",Stage= "</v>
      </c>
      <c r="P287" t="str">
        <f>Matchs!H288</f>
        <v>Group</v>
      </c>
      <c r="Q287" s="6" t="str">
        <f t="shared" si="84"/>
        <v>",SubStage= "</v>
      </c>
      <c r="R287" t="str">
        <f>Matchs!I288</f>
        <v>Group 1</v>
      </c>
      <c r="S287" s="6" t="str">
        <f t="shared" si="85"/>
        <v>",HTeam= "</v>
      </c>
      <c r="T287" t="str">
        <f>Matchs!J288</f>
        <v>France</v>
      </c>
      <c r="U287" s="6" t="str">
        <f t="shared" si="86"/>
        <v>",HGoal=</v>
      </c>
      <c r="V287">
        <f>Matchs!K288</f>
        <v>3</v>
      </c>
      <c r="W287" s="6" t="str">
        <f t="shared" si="87"/>
        <v>,GGoal=</v>
      </c>
      <c r="X287">
        <f>Matchs!L288</f>
        <v>1</v>
      </c>
      <c r="Y287" s="6" t="str">
        <f t="shared" si="88"/>
        <v>,GTeam= "</v>
      </c>
      <c r="Z287" t="str">
        <f>Matchs!M288</f>
        <v>Hungary</v>
      </c>
      <c r="AA287" s="6" t="str">
        <f t="shared" si="89"/>
        <v>",WinNote="</v>
      </c>
      <c r="AB287" t="str">
        <f>IF(Matchs!N288="","",Matchs!N288)</f>
        <v/>
      </c>
      <c r="AC287" s="6" t="str">
        <f t="shared" si="90"/>
        <v xml:space="preserve">",Stadium=" </v>
      </c>
      <c r="AD287" s="11" t="str">
        <f>Matchs!O288</f>
        <v xml:space="preserve">Estadio José María Minella </v>
      </c>
      <c r="AE287" s="6" t="str">
        <f t="shared" si="91"/>
        <v>",Referee= "</v>
      </c>
      <c r="AF287" s="11" t="str">
        <f>Matchs!P288</f>
        <v xml:space="preserve">Arnaldo César Coelho </v>
      </c>
      <c r="AG287" s="6" t="str">
        <f t="shared" si="92"/>
        <v xml:space="preserve">",Visistors= </v>
      </c>
      <c r="AH287" s="11">
        <f>Matchs!Q288</f>
        <v>23127</v>
      </c>
      <c r="AI287" s="11" t="str">
        <f t="shared" si="93"/>
        <v>,Status= "</v>
      </c>
      <c r="AJ287" s="11" t="str">
        <f>Matchs!R288</f>
        <v>Finished</v>
      </c>
      <c r="AK287" t="str">
        <f t="shared" si="94"/>
        <v>" },</v>
      </c>
    </row>
    <row r="288" spans="1:37" x14ac:dyDescent="0.25">
      <c r="A288" t="str">
        <f t="shared" si="76"/>
        <v>new Match { MatchId= "</v>
      </c>
      <c r="B288" t="str">
        <f>Matchs!A289</f>
        <v>FIFAWC1978-18</v>
      </c>
      <c r="C288" t="str">
        <f t="shared" si="77"/>
        <v>",MatchNumer=</v>
      </c>
      <c r="D288">
        <f>Matchs!B289</f>
        <v>18</v>
      </c>
      <c r="E288" t="str">
        <f t="shared" si="78"/>
        <v>,DateMatch=DateTime.Parse("</v>
      </c>
      <c r="F288" s="3">
        <f>Matchs!C289</f>
        <v>28652</v>
      </c>
      <c r="G288" s="10" t="str">
        <f t="shared" si="79"/>
        <v>"),TimeMatch=TimeSpan.Parse("</v>
      </c>
      <c r="H288" s="9">
        <f>Matchs!D289</f>
        <v>0.11458333333333333</v>
      </c>
      <c r="I288" t="str">
        <f t="shared" si="80"/>
        <v>"),MatchYear=</v>
      </c>
      <c r="J288">
        <f>Matchs!E289</f>
        <v>1978</v>
      </c>
      <c r="K288" t="str">
        <f t="shared" si="81"/>
        <v>, SeasonId= "</v>
      </c>
      <c r="L288" t="str">
        <f>Matchs!F289</f>
        <v>FIFAWC1978</v>
      </c>
      <c r="M288" t="str">
        <f t="shared" si="82"/>
        <v>",Round= "</v>
      </c>
      <c r="N288" t="str">
        <f>Matchs!G289</f>
        <v>Final Round</v>
      </c>
      <c r="O288" s="6" t="str">
        <f t="shared" si="83"/>
        <v>",Stage= "</v>
      </c>
      <c r="P288" t="str">
        <f>Matchs!H289</f>
        <v>Group</v>
      </c>
      <c r="Q288" s="6" t="str">
        <f t="shared" si="84"/>
        <v>",SubStage= "</v>
      </c>
      <c r="R288" t="str">
        <f>Matchs!I289</f>
        <v>Group 2</v>
      </c>
      <c r="S288" s="6" t="str">
        <f t="shared" si="85"/>
        <v>",HTeam= "</v>
      </c>
      <c r="T288" t="str">
        <f>Matchs!J289</f>
        <v>Poland</v>
      </c>
      <c r="U288" s="6" t="str">
        <f t="shared" si="86"/>
        <v>",HGoal=</v>
      </c>
      <c r="V288">
        <f>Matchs!K289</f>
        <v>3</v>
      </c>
      <c r="W288" s="6" t="str">
        <f t="shared" si="87"/>
        <v>,GGoal=</v>
      </c>
      <c r="X288">
        <f>Matchs!L289</f>
        <v>1</v>
      </c>
      <c r="Y288" s="6" t="str">
        <f t="shared" si="88"/>
        <v>,GTeam= "</v>
      </c>
      <c r="Z288" t="str">
        <f>Matchs!M289</f>
        <v>Mexico</v>
      </c>
      <c r="AA288" s="6" t="str">
        <f t="shared" si="89"/>
        <v>",WinNote="</v>
      </c>
      <c r="AB288" t="str">
        <f>IF(Matchs!N289="","",Matchs!N289)</f>
        <v/>
      </c>
      <c r="AC288" s="6" t="str">
        <f t="shared" si="90"/>
        <v xml:space="preserve">",Stadium=" </v>
      </c>
      <c r="AD288" s="11" t="str">
        <f>Matchs!O289</f>
        <v xml:space="preserve">Estadio Gigante de Arroyito </v>
      </c>
      <c r="AE288" s="6" t="str">
        <f t="shared" si="91"/>
        <v>",Referee= "</v>
      </c>
      <c r="AF288" s="11" t="str">
        <f>Matchs!P289</f>
        <v xml:space="preserve">Jafar Namdar </v>
      </c>
      <c r="AG288" s="6" t="str">
        <f t="shared" si="92"/>
        <v xml:space="preserve">",Visistors= </v>
      </c>
      <c r="AH288" s="11">
        <f>Matchs!Q289</f>
        <v>22651</v>
      </c>
      <c r="AI288" s="11" t="str">
        <f t="shared" si="93"/>
        <v>,Status= "</v>
      </c>
      <c r="AJ288" s="11" t="str">
        <f>Matchs!R289</f>
        <v>Finished</v>
      </c>
      <c r="AK288" t="str">
        <f t="shared" si="94"/>
        <v>" },</v>
      </c>
    </row>
    <row r="289" spans="1:37" x14ac:dyDescent="0.25">
      <c r="A289" t="str">
        <f t="shared" si="76"/>
        <v>new Match { MatchId= "</v>
      </c>
      <c r="B289" t="str">
        <f>Matchs!A290</f>
        <v>FIFAWC1978-19</v>
      </c>
      <c r="C289" t="str">
        <f t="shared" si="77"/>
        <v>",MatchNumer=</v>
      </c>
      <c r="D289">
        <f>Matchs!B290</f>
        <v>19</v>
      </c>
      <c r="E289" t="str">
        <f t="shared" si="78"/>
        <v>,DateMatch=DateTime.Parse("</v>
      </c>
      <c r="F289" s="3">
        <f>Matchs!C290</f>
        <v>28652</v>
      </c>
      <c r="G289" s="10" t="str">
        <f t="shared" si="79"/>
        <v>"),TimeMatch=TimeSpan.Parse("</v>
      </c>
      <c r="H289" s="9">
        <f>Matchs!D290</f>
        <v>0.11458333333333333</v>
      </c>
      <c r="I289" t="str">
        <f t="shared" si="80"/>
        <v>"),MatchYear=</v>
      </c>
      <c r="J289">
        <f>Matchs!E290</f>
        <v>1978</v>
      </c>
      <c r="K289" t="str">
        <f t="shared" si="81"/>
        <v>, SeasonId= "</v>
      </c>
      <c r="L289" t="str">
        <f>Matchs!F290</f>
        <v>FIFAWC1978</v>
      </c>
      <c r="M289" t="str">
        <f t="shared" si="82"/>
        <v>",Round= "</v>
      </c>
      <c r="N289" t="str">
        <f>Matchs!G290</f>
        <v>Final Round</v>
      </c>
      <c r="O289" s="6" t="str">
        <f t="shared" si="83"/>
        <v>",Stage= "</v>
      </c>
      <c r="P289" t="str">
        <f>Matchs!H290</f>
        <v>Group</v>
      </c>
      <c r="Q289" s="6" t="str">
        <f t="shared" si="84"/>
        <v>",SubStage= "</v>
      </c>
      <c r="R289" t="str">
        <f>Matchs!I290</f>
        <v>Group 2</v>
      </c>
      <c r="S289" s="6" t="str">
        <f t="shared" si="85"/>
        <v>",HTeam= "</v>
      </c>
      <c r="T289" t="str">
        <f>Matchs!J290</f>
        <v>Germany</v>
      </c>
      <c r="U289" s="6" t="str">
        <f t="shared" si="86"/>
        <v>",HGoal=</v>
      </c>
      <c r="V289">
        <f>Matchs!K290</f>
        <v>0</v>
      </c>
      <c r="W289" s="6" t="str">
        <f t="shared" si="87"/>
        <v>,GGoal=</v>
      </c>
      <c r="X289">
        <f>Matchs!L290</f>
        <v>0</v>
      </c>
      <c r="Y289" s="6" t="str">
        <f t="shared" si="88"/>
        <v>,GTeam= "</v>
      </c>
      <c r="Z289" t="str">
        <f>Matchs!M290</f>
        <v>Tunisia</v>
      </c>
      <c r="AA289" s="6" t="str">
        <f t="shared" si="89"/>
        <v>",WinNote="</v>
      </c>
      <c r="AB289" t="str">
        <f>IF(Matchs!N290="","",Matchs!N290)</f>
        <v/>
      </c>
      <c r="AC289" s="6" t="str">
        <f t="shared" si="90"/>
        <v xml:space="preserve">",Stadium=" </v>
      </c>
      <c r="AD289" s="11" t="str">
        <f>Matchs!O290</f>
        <v xml:space="preserve">Estadio Mario Alberto Kempes </v>
      </c>
      <c r="AE289" s="6" t="str">
        <f t="shared" si="91"/>
        <v>",Referee= "</v>
      </c>
      <c r="AF289" s="11" t="str">
        <f>Matchs!P290</f>
        <v xml:space="preserve">Cesar Guerrero Orosco </v>
      </c>
      <c r="AG289" s="6" t="str">
        <f t="shared" si="92"/>
        <v xml:space="preserve">",Visistors= </v>
      </c>
      <c r="AH289" s="11">
        <f>Matchs!Q290</f>
        <v>30667</v>
      </c>
      <c r="AI289" s="11" t="str">
        <f t="shared" si="93"/>
        <v>,Status= "</v>
      </c>
      <c r="AJ289" s="11" t="str">
        <f>Matchs!R290</f>
        <v>Finished</v>
      </c>
      <c r="AK289" t="str">
        <f t="shared" si="94"/>
        <v>" },</v>
      </c>
    </row>
    <row r="290" spans="1:37" x14ac:dyDescent="0.25">
      <c r="A290" t="str">
        <f t="shared" si="76"/>
        <v>new Match { MatchId= "</v>
      </c>
      <c r="B290" t="str">
        <f>Matchs!A291</f>
        <v>FIFAWC1978-20</v>
      </c>
      <c r="C290" t="str">
        <f t="shared" si="77"/>
        <v>",MatchNumer=</v>
      </c>
      <c r="D290">
        <f>Matchs!B291</f>
        <v>20</v>
      </c>
      <c r="E290" t="str">
        <f t="shared" si="78"/>
        <v>,DateMatch=DateTime.Parse("</v>
      </c>
      <c r="F290" s="3">
        <f>Matchs!C291</f>
        <v>28652</v>
      </c>
      <c r="G290" s="10" t="str">
        <f t="shared" si="79"/>
        <v>"),TimeMatch=TimeSpan.Parse("</v>
      </c>
      <c r="H290" s="9">
        <f>Matchs!D291</f>
        <v>0.21875</v>
      </c>
      <c r="I290" t="str">
        <f t="shared" si="80"/>
        <v>"),MatchYear=</v>
      </c>
      <c r="J290">
        <f>Matchs!E291</f>
        <v>1978</v>
      </c>
      <c r="K290" t="str">
        <f t="shared" si="81"/>
        <v>, SeasonId= "</v>
      </c>
      <c r="L290" t="str">
        <f>Matchs!F291</f>
        <v>FIFAWC1978</v>
      </c>
      <c r="M290" t="str">
        <f t="shared" si="82"/>
        <v>",Round= "</v>
      </c>
      <c r="N290" t="str">
        <f>Matchs!G291</f>
        <v>Final Round</v>
      </c>
      <c r="O290" s="6" t="str">
        <f t="shared" si="83"/>
        <v>",Stage= "</v>
      </c>
      <c r="P290" t="str">
        <f>Matchs!H291</f>
        <v>Group</v>
      </c>
      <c r="Q290" s="6" t="str">
        <f t="shared" si="84"/>
        <v>",SubStage= "</v>
      </c>
      <c r="R290" t="str">
        <f>Matchs!I291</f>
        <v>Group 1</v>
      </c>
      <c r="S290" s="6" t="str">
        <f t="shared" si="85"/>
        <v>",HTeam= "</v>
      </c>
      <c r="T290" t="str">
        <f>Matchs!J291</f>
        <v>Italy</v>
      </c>
      <c r="U290" s="6" t="str">
        <f t="shared" si="86"/>
        <v>",HGoal=</v>
      </c>
      <c r="V290">
        <f>Matchs!K291</f>
        <v>1</v>
      </c>
      <c r="W290" s="6" t="str">
        <f t="shared" si="87"/>
        <v>,GGoal=</v>
      </c>
      <c r="X290">
        <f>Matchs!L291</f>
        <v>0</v>
      </c>
      <c r="Y290" s="6" t="str">
        <f t="shared" si="88"/>
        <v>,GTeam= "</v>
      </c>
      <c r="Z290" t="str">
        <f>Matchs!M291</f>
        <v>Argentina</v>
      </c>
      <c r="AA290" s="6" t="str">
        <f t="shared" si="89"/>
        <v>",WinNote="</v>
      </c>
      <c r="AB290" t="str">
        <f>IF(Matchs!N291="","",Matchs!N291)</f>
        <v/>
      </c>
      <c r="AC290" s="6" t="str">
        <f t="shared" si="90"/>
        <v xml:space="preserve">",Stadium=" </v>
      </c>
      <c r="AD290" s="11" t="str">
        <f>Matchs!O291</f>
        <v xml:space="preserve">Estadio Monumental Antonio ... </v>
      </c>
      <c r="AE290" s="6" t="str">
        <f t="shared" si="91"/>
        <v>",Referee= "</v>
      </c>
      <c r="AF290" s="11" t="str">
        <f>Matchs!P291</f>
        <v xml:space="preserve">Abraham Klein </v>
      </c>
      <c r="AG290" s="6" t="str">
        <f t="shared" si="92"/>
        <v xml:space="preserve">",Visistors= </v>
      </c>
      <c r="AH290" s="11">
        <f>Matchs!Q291</f>
        <v>71712</v>
      </c>
      <c r="AI290" s="11" t="str">
        <f t="shared" si="93"/>
        <v>,Status= "</v>
      </c>
      <c r="AJ290" s="11" t="str">
        <f>Matchs!R291</f>
        <v>Finished</v>
      </c>
      <c r="AK290" t="str">
        <f t="shared" si="94"/>
        <v>" },</v>
      </c>
    </row>
    <row r="291" spans="1:37" x14ac:dyDescent="0.25">
      <c r="A291" t="str">
        <f t="shared" si="76"/>
        <v>new Match { MatchId= "</v>
      </c>
      <c r="B291" t="str">
        <f>Matchs!A292</f>
        <v>FIFAWC1978-21</v>
      </c>
      <c r="C291" t="str">
        <f t="shared" si="77"/>
        <v>",MatchNumer=</v>
      </c>
      <c r="D291">
        <f>Matchs!B292</f>
        <v>21</v>
      </c>
      <c r="E291" t="str">
        <f t="shared" si="78"/>
        <v>,DateMatch=DateTime.Parse("</v>
      </c>
      <c r="F291" s="3">
        <f>Matchs!C292</f>
        <v>28652</v>
      </c>
      <c r="G291" s="10" t="str">
        <f t="shared" si="79"/>
        <v>"),TimeMatch=TimeSpan.Parse("</v>
      </c>
      <c r="H291" s="9">
        <f>Matchs!D292</f>
        <v>0.98958333333333337</v>
      </c>
      <c r="I291" t="str">
        <f t="shared" si="80"/>
        <v>"),MatchYear=</v>
      </c>
      <c r="J291">
        <f>Matchs!E292</f>
        <v>1978</v>
      </c>
      <c r="K291" t="str">
        <f t="shared" si="81"/>
        <v>, SeasonId= "</v>
      </c>
      <c r="L291" t="str">
        <f>Matchs!F292</f>
        <v>FIFAWC1978</v>
      </c>
      <c r="M291" t="str">
        <f t="shared" si="82"/>
        <v>",Round= "</v>
      </c>
      <c r="N291" t="str">
        <f>Matchs!G292</f>
        <v>Final Round</v>
      </c>
      <c r="O291" s="6" t="str">
        <f t="shared" si="83"/>
        <v>",Stage= "</v>
      </c>
      <c r="P291" t="str">
        <f>Matchs!H292</f>
        <v>Group</v>
      </c>
      <c r="Q291" s="6" t="str">
        <f t="shared" si="84"/>
        <v>",SubStage= "</v>
      </c>
      <c r="R291" t="str">
        <f>Matchs!I292</f>
        <v>Group 3</v>
      </c>
      <c r="S291" s="6" t="str">
        <f t="shared" si="85"/>
        <v>",HTeam= "</v>
      </c>
      <c r="T291" t="str">
        <f>Matchs!J292</f>
        <v>Brazil</v>
      </c>
      <c r="U291" s="6" t="str">
        <f t="shared" si="86"/>
        <v>",HGoal=</v>
      </c>
      <c r="V291">
        <f>Matchs!K292</f>
        <v>1</v>
      </c>
      <c r="W291" s="6" t="str">
        <f t="shared" si="87"/>
        <v>,GGoal=</v>
      </c>
      <c r="X291">
        <f>Matchs!L292</f>
        <v>0</v>
      </c>
      <c r="Y291" s="6" t="str">
        <f t="shared" si="88"/>
        <v>,GTeam= "</v>
      </c>
      <c r="Z291" t="str">
        <f>Matchs!M292</f>
        <v>Austria</v>
      </c>
      <c r="AA291" s="6" t="str">
        <f t="shared" si="89"/>
        <v>",WinNote="</v>
      </c>
      <c r="AB291" t="str">
        <f>IF(Matchs!N292="","",Matchs!N292)</f>
        <v/>
      </c>
      <c r="AC291" s="6" t="str">
        <f t="shared" si="90"/>
        <v xml:space="preserve">",Stadium=" </v>
      </c>
      <c r="AD291" s="11" t="str">
        <f>Matchs!O292</f>
        <v xml:space="preserve">Estadio José María Minella </v>
      </c>
      <c r="AE291" s="6" t="str">
        <f t="shared" si="91"/>
        <v>",Referee= "</v>
      </c>
      <c r="AF291" s="11" t="str">
        <f>Matchs!P292</f>
        <v xml:space="preserve">Robert Wurtz </v>
      </c>
      <c r="AG291" s="6" t="str">
        <f t="shared" si="92"/>
        <v xml:space="preserve">",Visistors= </v>
      </c>
      <c r="AH291" s="11">
        <f>Matchs!Q292</f>
        <v>35221</v>
      </c>
      <c r="AI291" s="11" t="str">
        <f t="shared" si="93"/>
        <v>,Status= "</v>
      </c>
      <c r="AJ291" s="11" t="str">
        <f>Matchs!R292</f>
        <v>Finished</v>
      </c>
      <c r="AK291" t="str">
        <f t="shared" si="94"/>
        <v>" },</v>
      </c>
    </row>
    <row r="292" spans="1:37" x14ac:dyDescent="0.25">
      <c r="A292" t="str">
        <f t="shared" si="76"/>
        <v>new Match { MatchId= "</v>
      </c>
      <c r="B292" t="str">
        <f>Matchs!A293</f>
        <v>FIFAWC1978-22</v>
      </c>
      <c r="C292" t="str">
        <f t="shared" si="77"/>
        <v>",MatchNumer=</v>
      </c>
      <c r="D292">
        <f>Matchs!B293</f>
        <v>22</v>
      </c>
      <c r="E292" t="str">
        <f t="shared" si="78"/>
        <v>,DateMatch=DateTime.Parse("</v>
      </c>
      <c r="F292" s="3">
        <f>Matchs!C293</f>
        <v>28652</v>
      </c>
      <c r="G292" s="10" t="str">
        <f t="shared" si="79"/>
        <v>"),TimeMatch=TimeSpan.Parse("</v>
      </c>
      <c r="H292" s="9">
        <f>Matchs!D293</f>
        <v>0.98958333333333337</v>
      </c>
      <c r="I292" t="str">
        <f t="shared" si="80"/>
        <v>"),MatchYear=</v>
      </c>
      <c r="J292">
        <f>Matchs!E293</f>
        <v>1978</v>
      </c>
      <c r="K292" t="str">
        <f t="shared" si="81"/>
        <v>, SeasonId= "</v>
      </c>
      <c r="L292" t="str">
        <f>Matchs!F293</f>
        <v>FIFAWC1978</v>
      </c>
      <c r="M292" t="str">
        <f t="shared" si="82"/>
        <v>",Round= "</v>
      </c>
      <c r="N292" t="str">
        <f>Matchs!G293</f>
        <v>Final Round</v>
      </c>
      <c r="O292" s="6" t="str">
        <f t="shared" si="83"/>
        <v>",Stage= "</v>
      </c>
      <c r="P292" t="str">
        <f>Matchs!H293</f>
        <v>Group</v>
      </c>
      <c r="Q292" s="6" t="str">
        <f t="shared" si="84"/>
        <v>",SubStage= "</v>
      </c>
      <c r="R292" t="str">
        <f>Matchs!I293</f>
        <v>Group 3</v>
      </c>
      <c r="S292" s="6" t="str">
        <f t="shared" si="85"/>
        <v>",HTeam= "</v>
      </c>
      <c r="T292" t="str">
        <f>Matchs!J293</f>
        <v>Spain</v>
      </c>
      <c r="U292" s="6" t="str">
        <f t="shared" si="86"/>
        <v>",HGoal=</v>
      </c>
      <c r="V292">
        <f>Matchs!K293</f>
        <v>1</v>
      </c>
      <c r="W292" s="6" t="str">
        <f t="shared" si="87"/>
        <v>,GGoal=</v>
      </c>
      <c r="X292">
        <f>Matchs!L293</f>
        <v>0</v>
      </c>
      <c r="Y292" s="6" t="str">
        <f t="shared" si="88"/>
        <v>,GTeam= "</v>
      </c>
      <c r="Z292" t="str">
        <f>Matchs!M293</f>
        <v>Sweden</v>
      </c>
      <c r="AA292" s="6" t="str">
        <f t="shared" si="89"/>
        <v>",WinNote="</v>
      </c>
      <c r="AB292" t="str">
        <f>IF(Matchs!N293="","",Matchs!N293)</f>
        <v/>
      </c>
      <c r="AC292" s="6" t="str">
        <f t="shared" si="90"/>
        <v xml:space="preserve">",Stadium=" </v>
      </c>
      <c r="AD292" s="11" t="str">
        <f>Matchs!O293</f>
        <v xml:space="preserve">Estadio Jose Amalfitani </v>
      </c>
      <c r="AE292" s="6" t="str">
        <f t="shared" si="91"/>
        <v>",Referee= "</v>
      </c>
      <c r="AF292" s="11" t="str">
        <f>Matchs!P293</f>
        <v xml:space="preserve">Ferdinand Biwersi </v>
      </c>
      <c r="AG292" s="6" t="str">
        <f t="shared" si="92"/>
        <v xml:space="preserve">",Visistors= </v>
      </c>
      <c r="AH292" s="11">
        <f>Matchs!Q293</f>
        <v>46765</v>
      </c>
      <c r="AI292" s="11" t="str">
        <f t="shared" si="93"/>
        <v>,Status= "</v>
      </c>
      <c r="AJ292" s="11" t="str">
        <f>Matchs!R293</f>
        <v>Finished</v>
      </c>
      <c r="AK292" t="str">
        <f t="shared" si="94"/>
        <v>" },</v>
      </c>
    </row>
    <row r="293" spans="1:37" x14ac:dyDescent="0.25">
      <c r="A293" t="str">
        <f t="shared" si="76"/>
        <v>new Match { MatchId= "</v>
      </c>
      <c r="B293" t="str">
        <f>Matchs!A294</f>
        <v>FIFAWC1978-23</v>
      </c>
      <c r="C293" t="str">
        <f t="shared" si="77"/>
        <v>",MatchNumer=</v>
      </c>
      <c r="D293">
        <f>Matchs!B294</f>
        <v>23</v>
      </c>
      <c r="E293" t="str">
        <f t="shared" si="78"/>
        <v>,DateMatch=DateTime.Parse("</v>
      </c>
      <c r="F293" s="3">
        <f>Matchs!C294</f>
        <v>28653</v>
      </c>
      <c r="G293" s="10" t="str">
        <f t="shared" si="79"/>
        <v>"),TimeMatch=TimeSpan.Parse("</v>
      </c>
      <c r="H293" s="9">
        <f>Matchs!D294</f>
        <v>0.11458333333333333</v>
      </c>
      <c r="I293" t="str">
        <f t="shared" si="80"/>
        <v>"),MatchYear=</v>
      </c>
      <c r="J293">
        <f>Matchs!E294</f>
        <v>1978</v>
      </c>
      <c r="K293" t="str">
        <f t="shared" si="81"/>
        <v>, SeasonId= "</v>
      </c>
      <c r="L293" t="str">
        <f>Matchs!F294</f>
        <v>FIFAWC1978</v>
      </c>
      <c r="M293" t="str">
        <f t="shared" si="82"/>
        <v>",Round= "</v>
      </c>
      <c r="N293" t="str">
        <f>Matchs!G294</f>
        <v>Final Round</v>
      </c>
      <c r="O293" s="6" t="str">
        <f t="shared" si="83"/>
        <v>",Stage= "</v>
      </c>
      <c r="P293" t="str">
        <f>Matchs!H294</f>
        <v>Group</v>
      </c>
      <c r="Q293" s="6" t="str">
        <f t="shared" si="84"/>
        <v>",SubStage= "</v>
      </c>
      <c r="R293" t="str">
        <f>Matchs!I294</f>
        <v>Group 4</v>
      </c>
      <c r="S293" s="6" t="str">
        <f t="shared" si="85"/>
        <v>",HTeam= "</v>
      </c>
      <c r="T293" t="str">
        <f>Matchs!J294</f>
        <v>Peru</v>
      </c>
      <c r="U293" s="6" t="str">
        <f t="shared" si="86"/>
        <v>",HGoal=</v>
      </c>
      <c r="V293">
        <f>Matchs!K294</f>
        <v>4</v>
      </c>
      <c r="W293" s="6" t="str">
        <f t="shared" si="87"/>
        <v>,GGoal=</v>
      </c>
      <c r="X293">
        <f>Matchs!L294</f>
        <v>1</v>
      </c>
      <c r="Y293" s="6" t="str">
        <f t="shared" si="88"/>
        <v>,GTeam= "</v>
      </c>
      <c r="Z293" t="str">
        <f>Matchs!M294</f>
        <v>Iran</v>
      </c>
      <c r="AA293" s="6" t="str">
        <f t="shared" si="89"/>
        <v>",WinNote="</v>
      </c>
      <c r="AB293" t="str">
        <f>IF(Matchs!N294="","",Matchs!N294)</f>
        <v/>
      </c>
      <c r="AC293" s="6" t="str">
        <f t="shared" si="90"/>
        <v xml:space="preserve">",Stadium=" </v>
      </c>
      <c r="AD293" s="11" t="str">
        <f>Matchs!O294</f>
        <v xml:space="preserve">Estadio Mario Alberto Kempes </v>
      </c>
      <c r="AE293" s="6" t="str">
        <f t="shared" si="91"/>
        <v>",Referee= "</v>
      </c>
      <c r="AF293" s="11" t="str">
        <f>Matchs!P294</f>
        <v xml:space="preserve">Alojzy Jarguz </v>
      </c>
      <c r="AG293" s="6" t="str">
        <f t="shared" si="92"/>
        <v xml:space="preserve">",Visistors= </v>
      </c>
      <c r="AH293" s="11">
        <f>Matchs!Q294</f>
        <v>21262</v>
      </c>
      <c r="AI293" s="11" t="str">
        <f t="shared" si="93"/>
        <v>,Status= "</v>
      </c>
      <c r="AJ293" s="11" t="str">
        <f>Matchs!R294</f>
        <v>Finished</v>
      </c>
      <c r="AK293" t="str">
        <f t="shared" si="94"/>
        <v>" },</v>
      </c>
    </row>
    <row r="294" spans="1:37" x14ac:dyDescent="0.25">
      <c r="A294" t="str">
        <f t="shared" si="76"/>
        <v>new Match { MatchId= "</v>
      </c>
      <c r="B294" t="str">
        <f>Matchs!A295</f>
        <v>FIFAWC1978-24</v>
      </c>
      <c r="C294" t="str">
        <f t="shared" si="77"/>
        <v>",MatchNumer=</v>
      </c>
      <c r="D294">
        <f>Matchs!B295</f>
        <v>24</v>
      </c>
      <c r="E294" t="str">
        <f t="shared" si="78"/>
        <v>,DateMatch=DateTime.Parse("</v>
      </c>
      <c r="F294" s="3">
        <f>Matchs!C295</f>
        <v>28653</v>
      </c>
      <c r="G294" s="10" t="str">
        <f t="shared" si="79"/>
        <v>"),TimeMatch=TimeSpan.Parse("</v>
      </c>
      <c r="H294" s="9">
        <f>Matchs!D295</f>
        <v>0.11458333333333333</v>
      </c>
      <c r="I294" t="str">
        <f t="shared" si="80"/>
        <v>"),MatchYear=</v>
      </c>
      <c r="J294">
        <f>Matchs!E295</f>
        <v>1978</v>
      </c>
      <c r="K294" t="str">
        <f t="shared" si="81"/>
        <v>, SeasonId= "</v>
      </c>
      <c r="L294" t="str">
        <f>Matchs!F295</f>
        <v>FIFAWC1978</v>
      </c>
      <c r="M294" t="str">
        <f t="shared" si="82"/>
        <v>",Round= "</v>
      </c>
      <c r="N294" t="str">
        <f>Matchs!G295</f>
        <v>Final Round</v>
      </c>
      <c r="O294" s="6" t="str">
        <f t="shared" si="83"/>
        <v>",Stage= "</v>
      </c>
      <c r="P294" t="str">
        <f>Matchs!H295</f>
        <v>Group</v>
      </c>
      <c r="Q294" s="6" t="str">
        <f t="shared" si="84"/>
        <v>",SubStage= "</v>
      </c>
      <c r="R294" t="str">
        <f>Matchs!I295</f>
        <v>Group 4</v>
      </c>
      <c r="S294" s="6" t="str">
        <f t="shared" si="85"/>
        <v>",HTeam= "</v>
      </c>
      <c r="T294" t="str">
        <f>Matchs!J295</f>
        <v>Scotland</v>
      </c>
      <c r="U294" s="6" t="str">
        <f t="shared" si="86"/>
        <v>",HGoal=</v>
      </c>
      <c r="V294">
        <f>Matchs!K295</f>
        <v>3</v>
      </c>
      <c r="W294" s="6" t="str">
        <f t="shared" si="87"/>
        <v>,GGoal=</v>
      </c>
      <c r="X294">
        <f>Matchs!L295</f>
        <v>2</v>
      </c>
      <c r="Y294" s="6" t="str">
        <f t="shared" si="88"/>
        <v>,GTeam= "</v>
      </c>
      <c r="Z294" t="str">
        <f>Matchs!M295</f>
        <v>Netherlands</v>
      </c>
      <c r="AA294" s="6" t="str">
        <f t="shared" si="89"/>
        <v>",WinNote="</v>
      </c>
      <c r="AB294" t="str">
        <f>IF(Matchs!N295="","",Matchs!N295)</f>
        <v/>
      </c>
      <c r="AC294" s="6" t="str">
        <f t="shared" si="90"/>
        <v xml:space="preserve">",Stadium=" </v>
      </c>
      <c r="AD294" s="11" t="str">
        <f>Matchs!O295</f>
        <v xml:space="preserve">Estadio Malvinas Argentinas </v>
      </c>
      <c r="AE294" s="6" t="str">
        <f t="shared" si="91"/>
        <v>",Referee= "</v>
      </c>
      <c r="AF294" s="11" t="str">
        <f>Matchs!P295</f>
        <v xml:space="preserve">Erich Linemayr </v>
      </c>
      <c r="AG294" s="6" t="str">
        <f t="shared" si="92"/>
        <v xml:space="preserve">",Visistors= </v>
      </c>
      <c r="AH294" s="11">
        <f>Matchs!Q295</f>
        <v>35130</v>
      </c>
      <c r="AI294" s="11" t="str">
        <f t="shared" si="93"/>
        <v>,Status= "</v>
      </c>
      <c r="AJ294" s="11" t="str">
        <f>Matchs!R295</f>
        <v>Finished</v>
      </c>
      <c r="AK294" t="str">
        <f t="shared" si="94"/>
        <v>" },</v>
      </c>
    </row>
    <row r="295" spans="1:37" x14ac:dyDescent="0.25">
      <c r="A295" t="str">
        <f t="shared" si="76"/>
        <v>new Match { MatchId= "</v>
      </c>
      <c r="B295" t="str">
        <f>Matchs!A296</f>
        <v>FIFAWC1978-25</v>
      </c>
      <c r="C295" t="str">
        <f t="shared" si="77"/>
        <v>",MatchNumer=</v>
      </c>
      <c r="D295">
        <f>Matchs!B296</f>
        <v>25</v>
      </c>
      <c r="E295" t="str">
        <f t="shared" si="78"/>
        <v>,DateMatch=DateTime.Parse("</v>
      </c>
      <c r="F295" s="3">
        <f>Matchs!C296</f>
        <v>28655</v>
      </c>
      <c r="G295" s="10" t="str">
        <f t="shared" si="79"/>
        <v>"),TimeMatch=TimeSpan.Parse("</v>
      </c>
      <c r="H295" s="9">
        <f>Matchs!D296</f>
        <v>0.98958333333333337</v>
      </c>
      <c r="I295" t="str">
        <f t="shared" si="80"/>
        <v>"),MatchYear=</v>
      </c>
      <c r="J295">
        <f>Matchs!E296</f>
        <v>1978</v>
      </c>
      <c r="K295" t="str">
        <f t="shared" si="81"/>
        <v>, SeasonId= "</v>
      </c>
      <c r="L295" t="str">
        <f>Matchs!F296</f>
        <v>FIFAWC1978</v>
      </c>
      <c r="M295" t="str">
        <f t="shared" si="82"/>
        <v>",Round= "</v>
      </c>
      <c r="N295" t="str">
        <f>Matchs!G296</f>
        <v>Final Round</v>
      </c>
      <c r="O295" s="6" t="str">
        <f t="shared" si="83"/>
        <v>",Stage= "</v>
      </c>
      <c r="P295" t="str">
        <f>Matchs!H296</f>
        <v>Group</v>
      </c>
      <c r="Q295" s="6" t="str">
        <f t="shared" si="84"/>
        <v>",SubStage= "</v>
      </c>
      <c r="R295" t="str">
        <f>Matchs!I296</f>
        <v xml:space="preserve">Group A </v>
      </c>
      <c r="S295" s="6" t="str">
        <f t="shared" si="85"/>
        <v>",HTeam= "</v>
      </c>
      <c r="T295" t="str">
        <f>Matchs!J296</f>
        <v>Netherlands</v>
      </c>
      <c r="U295" s="6" t="str">
        <f t="shared" si="86"/>
        <v>",HGoal=</v>
      </c>
      <c r="V295">
        <f>Matchs!K296</f>
        <v>5</v>
      </c>
      <c r="W295" s="6" t="str">
        <f t="shared" si="87"/>
        <v>,GGoal=</v>
      </c>
      <c r="X295">
        <f>Matchs!L296</f>
        <v>1</v>
      </c>
      <c r="Y295" s="6" t="str">
        <f t="shared" si="88"/>
        <v>,GTeam= "</v>
      </c>
      <c r="Z295" t="str">
        <f>Matchs!M296</f>
        <v>Austria</v>
      </c>
      <c r="AA295" s="6" t="str">
        <f t="shared" si="89"/>
        <v>",WinNote="</v>
      </c>
      <c r="AB295" t="str">
        <f>IF(Matchs!N296="","",Matchs!N296)</f>
        <v/>
      </c>
      <c r="AC295" s="6" t="str">
        <f t="shared" si="90"/>
        <v xml:space="preserve">",Stadium=" </v>
      </c>
      <c r="AD295" s="11" t="str">
        <f>Matchs!O296</f>
        <v xml:space="preserve">Estadio Mario Alberto Kempes </v>
      </c>
      <c r="AE295" s="6" t="str">
        <f t="shared" si="91"/>
        <v>",Referee= "</v>
      </c>
      <c r="AF295" s="11" t="str">
        <f>Matchs!P296</f>
        <v xml:space="preserve">John Gordon </v>
      </c>
      <c r="AG295" s="6" t="str">
        <f t="shared" si="92"/>
        <v xml:space="preserve">",Visistors= </v>
      </c>
      <c r="AH295" s="11">
        <f>Matchs!Q296</f>
        <v>25050</v>
      </c>
      <c r="AI295" s="11" t="str">
        <f t="shared" si="93"/>
        <v>,Status= "</v>
      </c>
      <c r="AJ295" s="11" t="str">
        <f>Matchs!R296</f>
        <v>Finished</v>
      </c>
      <c r="AK295" t="str">
        <f t="shared" si="94"/>
        <v>" },</v>
      </c>
    </row>
    <row r="296" spans="1:37" x14ac:dyDescent="0.25">
      <c r="A296" t="str">
        <f t="shared" si="76"/>
        <v>new Match { MatchId= "</v>
      </c>
      <c r="B296" t="str">
        <f>Matchs!A297</f>
        <v>FIFAWC1978-26</v>
      </c>
      <c r="C296" t="str">
        <f t="shared" si="77"/>
        <v>",MatchNumer=</v>
      </c>
      <c r="D296">
        <f>Matchs!B297</f>
        <v>26</v>
      </c>
      <c r="E296" t="str">
        <f t="shared" si="78"/>
        <v>,DateMatch=DateTime.Parse("</v>
      </c>
      <c r="F296" s="3">
        <f>Matchs!C297</f>
        <v>28655</v>
      </c>
      <c r="G296" s="10" t="str">
        <f t="shared" si="79"/>
        <v>"),TimeMatch=TimeSpan.Parse("</v>
      </c>
      <c r="H296" s="9">
        <f>Matchs!D297</f>
        <v>0.98958333333333337</v>
      </c>
      <c r="I296" t="str">
        <f t="shared" si="80"/>
        <v>"),MatchYear=</v>
      </c>
      <c r="J296">
        <f>Matchs!E297</f>
        <v>1978</v>
      </c>
      <c r="K296" t="str">
        <f t="shared" si="81"/>
        <v>, SeasonId= "</v>
      </c>
      <c r="L296" t="str">
        <f>Matchs!F297</f>
        <v>FIFAWC1978</v>
      </c>
      <c r="M296" t="str">
        <f t="shared" si="82"/>
        <v>",Round= "</v>
      </c>
      <c r="N296" t="str">
        <f>Matchs!G297</f>
        <v>Final Round</v>
      </c>
      <c r="O296" s="6" t="str">
        <f t="shared" si="83"/>
        <v>",Stage= "</v>
      </c>
      <c r="P296" t="str">
        <f>Matchs!H297</f>
        <v>Group</v>
      </c>
      <c r="Q296" s="6" t="str">
        <f t="shared" si="84"/>
        <v>",SubStage= "</v>
      </c>
      <c r="R296" t="str">
        <f>Matchs!I297</f>
        <v xml:space="preserve">Group A </v>
      </c>
      <c r="S296" s="6" t="str">
        <f t="shared" si="85"/>
        <v>",HTeam= "</v>
      </c>
      <c r="T296" t="str">
        <f>Matchs!J297</f>
        <v>Germany</v>
      </c>
      <c r="U296" s="6" t="str">
        <f t="shared" si="86"/>
        <v>",HGoal=</v>
      </c>
      <c r="V296">
        <f>Matchs!K297</f>
        <v>0</v>
      </c>
      <c r="W296" s="6" t="str">
        <f t="shared" si="87"/>
        <v>,GGoal=</v>
      </c>
      <c r="X296">
        <f>Matchs!L297</f>
        <v>0</v>
      </c>
      <c r="Y296" s="6" t="str">
        <f t="shared" si="88"/>
        <v>,GTeam= "</v>
      </c>
      <c r="Z296" t="str">
        <f>Matchs!M297</f>
        <v>Italy</v>
      </c>
      <c r="AA296" s="6" t="str">
        <f t="shared" si="89"/>
        <v>",WinNote="</v>
      </c>
      <c r="AB296" t="str">
        <f>IF(Matchs!N297="","",Matchs!N297)</f>
        <v/>
      </c>
      <c r="AC296" s="6" t="str">
        <f t="shared" si="90"/>
        <v xml:space="preserve">",Stadium=" </v>
      </c>
      <c r="AD296" s="11" t="str">
        <f>Matchs!O297</f>
        <v xml:space="preserve">Estadio Monumental Antonio ... </v>
      </c>
      <c r="AE296" s="6" t="str">
        <f t="shared" si="91"/>
        <v>",Referee= "</v>
      </c>
      <c r="AF296" s="11" t="str">
        <f>Matchs!P297</f>
        <v xml:space="preserve">Dusan Maksimovic </v>
      </c>
      <c r="AG296" s="6" t="str">
        <f t="shared" si="92"/>
        <v xml:space="preserve">",Visistors= </v>
      </c>
      <c r="AH296" s="11">
        <f>Matchs!Q297</f>
        <v>67547</v>
      </c>
      <c r="AI296" s="11" t="str">
        <f t="shared" si="93"/>
        <v>,Status= "</v>
      </c>
      <c r="AJ296" s="11" t="str">
        <f>Matchs!R297</f>
        <v>Finished</v>
      </c>
      <c r="AK296" t="str">
        <f t="shared" si="94"/>
        <v>" },</v>
      </c>
    </row>
    <row r="297" spans="1:37" x14ac:dyDescent="0.25">
      <c r="A297" t="str">
        <f t="shared" si="76"/>
        <v>new Match { MatchId= "</v>
      </c>
      <c r="B297" t="str">
        <f>Matchs!A298</f>
        <v>FIFAWC1978-27</v>
      </c>
      <c r="C297" t="str">
        <f t="shared" si="77"/>
        <v>",MatchNumer=</v>
      </c>
      <c r="D297">
        <f>Matchs!B298</f>
        <v>27</v>
      </c>
      <c r="E297" t="str">
        <f t="shared" si="78"/>
        <v>,DateMatch=DateTime.Parse("</v>
      </c>
      <c r="F297" s="3">
        <f>Matchs!C298</f>
        <v>28656</v>
      </c>
      <c r="G297" s="10" t="str">
        <f t="shared" si="79"/>
        <v>"),TimeMatch=TimeSpan.Parse("</v>
      </c>
      <c r="H297" s="9">
        <f>Matchs!D298</f>
        <v>0.11458333333333333</v>
      </c>
      <c r="I297" t="str">
        <f t="shared" si="80"/>
        <v>"),MatchYear=</v>
      </c>
      <c r="J297">
        <f>Matchs!E298</f>
        <v>1978</v>
      </c>
      <c r="K297" t="str">
        <f t="shared" si="81"/>
        <v>, SeasonId= "</v>
      </c>
      <c r="L297" t="str">
        <f>Matchs!F298</f>
        <v>FIFAWC1978</v>
      </c>
      <c r="M297" t="str">
        <f t="shared" si="82"/>
        <v>",Round= "</v>
      </c>
      <c r="N297" t="str">
        <f>Matchs!G298</f>
        <v>Final Round</v>
      </c>
      <c r="O297" s="6" t="str">
        <f t="shared" si="83"/>
        <v>",Stage= "</v>
      </c>
      <c r="P297" t="str">
        <f>Matchs!H298</f>
        <v>Group</v>
      </c>
      <c r="Q297" s="6" t="str">
        <f t="shared" si="84"/>
        <v>",SubStage= "</v>
      </c>
      <c r="R297" t="str">
        <f>Matchs!I298</f>
        <v xml:space="preserve">Group B </v>
      </c>
      <c r="S297" s="6" t="str">
        <f t="shared" si="85"/>
        <v>",HTeam= "</v>
      </c>
      <c r="T297" t="str">
        <f>Matchs!J298</f>
        <v>Brazil</v>
      </c>
      <c r="U297" s="6" t="str">
        <f t="shared" si="86"/>
        <v>",HGoal=</v>
      </c>
      <c r="V297">
        <f>Matchs!K298</f>
        <v>3</v>
      </c>
      <c r="W297" s="6" t="str">
        <f t="shared" si="87"/>
        <v>,GGoal=</v>
      </c>
      <c r="X297">
        <f>Matchs!L298</f>
        <v>0</v>
      </c>
      <c r="Y297" s="6" t="str">
        <f t="shared" si="88"/>
        <v>,GTeam= "</v>
      </c>
      <c r="Z297" t="str">
        <f>Matchs!M298</f>
        <v>Peru</v>
      </c>
      <c r="AA297" s="6" t="str">
        <f t="shared" si="89"/>
        <v>",WinNote="</v>
      </c>
      <c r="AB297" t="str">
        <f>IF(Matchs!N298="","",Matchs!N298)</f>
        <v/>
      </c>
      <c r="AC297" s="6" t="str">
        <f t="shared" si="90"/>
        <v xml:space="preserve">",Stadium=" </v>
      </c>
      <c r="AD297" s="11" t="str">
        <f>Matchs!O298</f>
        <v xml:space="preserve">Estadio Malvinas Argentinas </v>
      </c>
      <c r="AE297" s="6" t="str">
        <f t="shared" si="91"/>
        <v>",Referee= "</v>
      </c>
      <c r="AF297" s="11" t="str">
        <f>Matchs!P298</f>
        <v xml:space="preserve">Nicolae Rainea </v>
      </c>
      <c r="AG297" s="6" t="str">
        <f t="shared" si="92"/>
        <v xml:space="preserve">",Visistors= </v>
      </c>
      <c r="AH297" s="11">
        <f>Matchs!Q298</f>
        <v>31278</v>
      </c>
      <c r="AI297" s="11" t="str">
        <f t="shared" si="93"/>
        <v>,Status= "</v>
      </c>
      <c r="AJ297" s="11" t="str">
        <f>Matchs!R298</f>
        <v>Finished</v>
      </c>
      <c r="AK297" t="str">
        <f t="shared" si="94"/>
        <v>" },</v>
      </c>
    </row>
    <row r="298" spans="1:37" x14ac:dyDescent="0.25">
      <c r="A298" t="str">
        <f t="shared" si="76"/>
        <v>new Match { MatchId= "</v>
      </c>
      <c r="B298" t="str">
        <f>Matchs!A299</f>
        <v>FIFAWC1978-28</v>
      </c>
      <c r="C298" t="str">
        <f t="shared" si="77"/>
        <v>",MatchNumer=</v>
      </c>
      <c r="D298">
        <f>Matchs!B299</f>
        <v>28</v>
      </c>
      <c r="E298" t="str">
        <f t="shared" si="78"/>
        <v>,DateMatch=DateTime.Parse("</v>
      </c>
      <c r="F298" s="3">
        <f>Matchs!C299</f>
        <v>28656</v>
      </c>
      <c r="G298" s="10" t="str">
        <f t="shared" si="79"/>
        <v>"),TimeMatch=TimeSpan.Parse("</v>
      </c>
      <c r="H298" s="9">
        <f>Matchs!D299</f>
        <v>0.23958333333333334</v>
      </c>
      <c r="I298" t="str">
        <f t="shared" si="80"/>
        <v>"),MatchYear=</v>
      </c>
      <c r="J298">
        <f>Matchs!E299</f>
        <v>1978</v>
      </c>
      <c r="K298" t="str">
        <f t="shared" si="81"/>
        <v>, SeasonId= "</v>
      </c>
      <c r="L298" t="str">
        <f>Matchs!F299</f>
        <v>FIFAWC1978</v>
      </c>
      <c r="M298" t="str">
        <f t="shared" si="82"/>
        <v>",Round= "</v>
      </c>
      <c r="N298" t="str">
        <f>Matchs!G299</f>
        <v>Final Round</v>
      </c>
      <c r="O298" s="6" t="str">
        <f t="shared" si="83"/>
        <v>",Stage= "</v>
      </c>
      <c r="P298" t="str">
        <f>Matchs!H299</f>
        <v>Group</v>
      </c>
      <c r="Q298" s="6" t="str">
        <f t="shared" si="84"/>
        <v>",SubStage= "</v>
      </c>
      <c r="R298" t="str">
        <f>Matchs!I299</f>
        <v xml:space="preserve">Group B </v>
      </c>
      <c r="S298" s="6" t="str">
        <f t="shared" si="85"/>
        <v>",HTeam= "</v>
      </c>
      <c r="T298" t="str">
        <f>Matchs!J299</f>
        <v>Argentina</v>
      </c>
      <c r="U298" s="6" t="str">
        <f t="shared" si="86"/>
        <v>",HGoal=</v>
      </c>
      <c r="V298">
        <f>Matchs!K299</f>
        <v>2</v>
      </c>
      <c r="W298" s="6" t="str">
        <f t="shared" si="87"/>
        <v>,GGoal=</v>
      </c>
      <c r="X298">
        <f>Matchs!L299</f>
        <v>0</v>
      </c>
      <c r="Y298" s="6" t="str">
        <f t="shared" si="88"/>
        <v>,GTeam= "</v>
      </c>
      <c r="Z298" t="str">
        <f>Matchs!M299</f>
        <v>Poland</v>
      </c>
      <c r="AA298" s="6" t="str">
        <f t="shared" si="89"/>
        <v>",WinNote="</v>
      </c>
      <c r="AB298" t="str">
        <f>IF(Matchs!N299="","",Matchs!N299)</f>
        <v/>
      </c>
      <c r="AC298" s="6" t="str">
        <f t="shared" si="90"/>
        <v xml:space="preserve">",Stadium=" </v>
      </c>
      <c r="AD298" s="11" t="str">
        <f>Matchs!O299</f>
        <v xml:space="preserve">Estadio Gigante de Arroyito </v>
      </c>
      <c r="AE298" s="6" t="str">
        <f t="shared" si="91"/>
        <v>",Referee= "</v>
      </c>
      <c r="AF298" s="11" t="str">
        <f>Matchs!P299</f>
        <v xml:space="preserve">Ulf Eriksson </v>
      </c>
      <c r="AG298" s="6" t="str">
        <f t="shared" si="92"/>
        <v xml:space="preserve">",Visistors= </v>
      </c>
      <c r="AH298" s="11">
        <f>Matchs!Q299</f>
        <v>37091</v>
      </c>
      <c r="AI298" s="11" t="str">
        <f t="shared" si="93"/>
        <v>,Status= "</v>
      </c>
      <c r="AJ298" s="11" t="str">
        <f>Matchs!R299</f>
        <v>Finished</v>
      </c>
      <c r="AK298" t="str">
        <f t="shared" si="94"/>
        <v>" },</v>
      </c>
    </row>
    <row r="299" spans="1:37" x14ac:dyDescent="0.25">
      <c r="A299" t="str">
        <f t="shared" si="76"/>
        <v>new Match { MatchId= "</v>
      </c>
      <c r="B299" t="str">
        <f>Matchs!A300</f>
        <v>FIFAWC1978-29</v>
      </c>
      <c r="C299" t="str">
        <f t="shared" si="77"/>
        <v>",MatchNumer=</v>
      </c>
      <c r="D299">
        <f>Matchs!B300</f>
        <v>29</v>
      </c>
      <c r="E299" t="str">
        <f t="shared" si="78"/>
        <v>,DateMatch=DateTime.Parse("</v>
      </c>
      <c r="F299" s="3">
        <f>Matchs!C300</f>
        <v>28659</v>
      </c>
      <c r="G299" s="10" t="str">
        <f t="shared" si="79"/>
        <v>"),TimeMatch=TimeSpan.Parse("</v>
      </c>
      <c r="H299" s="9">
        <f>Matchs!D300</f>
        <v>0.98958333333333337</v>
      </c>
      <c r="I299" t="str">
        <f t="shared" si="80"/>
        <v>"),MatchYear=</v>
      </c>
      <c r="J299">
        <f>Matchs!E300</f>
        <v>1978</v>
      </c>
      <c r="K299" t="str">
        <f t="shared" si="81"/>
        <v>, SeasonId= "</v>
      </c>
      <c r="L299" t="str">
        <f>Matchs!F300</f>
        <v>FIFAWC1978</v>
      </c>
      <c r="M299" t="str">
        <f t="shared" si="82"/>
        <v>",Round= "</v>
      </c>
      <c r="N299" t="str">
        <f>Matchs!G300</f>
        <v>Final Round</v>
      </c>
      <c r="O299" s="6" t="str">
        <f t="shared" si="83"/>
        <v>",Stage= "</v>
      </c>
      <c r="P299" t="str">
        <f>Matchs!H300</f>
        <v>Group</v>
      </c>
      <c r="Q299" s="6" t="str">
        <f t="shared" si="84"/>
        <v>",SubStage= "</v>
      </c>
      <c r="R299" t="str">
        <f>Matchs!I300</f>
        <v xml:space="preserve">Group B </v>
      </c>
      <c r="S299" s="6" t="str">
        <f t="shared" si="85"/>
        <v>",HTeam= "</v>
      </c>
      <c r="T299" t="str">
        <f>Matchs!J300</f>
        <v>Poland</v>
      </c>
      <c r="U299" s="6" t="str">
        <f t="shared" si="86"/>
        <v>",HGoal=</v>
      </c>
      <c r="V299">
        <f>Matchs!K300</f>
        <v>1</v>
      </c>
      <c r="W299" s="6" t="str">
        <f t="shared" si="87"/>
        <v>,GGoal=</v>
      </c>
      <c r="X299">
        <f>Matchs!L300</f>
        <v>0</v>
      </c>
      <c r="Y299" s="6" t="str">
        <f t="shared" si="88"/>
        <v>,GTeam= "</v>
      </c>
      <c r="Z299" t="str">
        <f>Matchs!M300</f>
        <v>Peru</v>
      </c>
      <c r="AA299" s="6" t="str">
        <f t="shared" si="89"/>
        <v>",WinNote="</v>
      </c>
      <c r="AB299" t="str">
        <f>IF(Matchs!N300="","",Matchs!N300)</f>
        <v/>
      </c>
      <c r="AC299" s="6" t="str">
        <f t="shared" si="90"/>
        <v xml:space="preserve">",Stadium=" </v>
      </c>
      <c r="AD299" s="11" t="str">
        <f>Matchs!O300</f>
        <v xml:space="preserve">Estadio Malvinas Argentinas </v>
      </c>
      <c r="AE299" s="6" t="str">
        <f t="shared" si="91"/>
        <v>",Referee= "</v>
      </c>
      <c r="AF299" s="11" t="str">
        <f>Matchs!P300</f>
        <v xml:space="preserve">Pat Partridge </v>
      </c>
      <c r="AG299" s="6" t="str">
        <f t="shared" si="92"/>
        <v xml:space="preserve">",Visistors= </v>
      </c>
      <c r="AH299" s="11">
        <f>Matchs!Q300</f>
        <v>35288</v>
      </c>
      <c r="AI299" s="11" t="str">
        <f t="shared" si="93"/>
        <v>,Status= "</v>
      </c>
      <c r="AJ299" s="11" t="str">
        <f>Matchs!R300</f>
        <v>Finished</v>
      </c>
      <c r="AK299" t="str">
        <f t="shared" si="94"/>
        <v>" },</v>
      </c>
    </row>
    <row r="300" spans="1:37" x14ac:dyDescent="0.25">
      <c r="A300" t="str">
        <f t="shared" si="76"/>
        <v>new Match { MatchId= "</v>
      </c>
      <c r="B300" t="str">
        <f>Matchs!A301</f>
        <v>FIFAWC1978-30</v>
      </c>
      <c r="C300" t="str">
        <f t="shared" si="77"/>
        <v>",MatchNumer=</v>
      </c>
      <c r="D300">
        <f>Matchs!B301</f>
        <v>30</v>
      </c>
      <c r="E300" t="str">
        <f t="shared" si="78"/>
        <v>,DateMatch=DateTime.Parse("</v>
      </c>
      <c r="F300" s="3">
        <f>Matchs!C301</f>
        <v>28660</v>
      </c>
      <c r="G300" s="10" t="str">
        <f t="shared" si="79"/>
        <v>"),TimeMatch=TimeSpan.Parse("</v>
      </c>
      <c r="H300" s="9">
        <f>Matchs!D301</f>
        <v>0.11458333333333333</v>
      </c>
      <c r="I300" t="str">
        <f t="shared" si="80"/>
        <v>"),MatchYear=</v>
      </c>
      <c r="J300">
        <f>Matchs!E301</f>
        <v>1978</v>
      </c>
      <c r="K300" t="str">
        <f t="shared" si="81"/>
        <v>, SeasonId= "</v>
      </c>
      <c r="L300" t="str">
        <f>Matchs!F301</f>
        <v>FIFAWC1978</v>
      </c>
      <c r="M300" t="str">
        <f t="shared" si="82"/>
        <v>",Round= "</v>
      </c>
      <c r="N300" t="str">
        <f>Matchs!G301</f>
        <v>Final Round</v>
      </c>
      <c r="O300" s="6" t="str">
        <f t="shared" si="83"/>
        <v>",Stage= "</v>
      </c>
      <c r="P300" t="str">
        <f>Matchs!H301</f>
        <v>Group</v>
      </c>
      <c r="Q300" s="6" t="str">
        <f t="shared" si="84"/>
        <v>",SubStage= "</v>
      </c>
      <c r="R300" t="str">
        <f>Matchs!I301</f>
        <v xml:space="preserve">Group A </v>
      </c>
      <c r="S300" s="6" t="str">
        <f t="shared" si="85"/>
        <v>",HTeam= "</v>
      </c>
      <c r="T300" t="str">
        <f>Matchs!J301</f>
        <v>Germany</v>
      </c>
      <c r="U300" s="6" t="str">
        <f t="shared" si="86"/>
        <v>",HGoal=</v>
      </c>
      <c r="V300">
        <f>Matchs!K301</f>
        <v>2</v>
      </c>
      <c r="W300" s="6" t="str">
        <f t="shared" si="87"/>
        <v>,GGoal=</v>
      </c>
      <c r="X300">
        <f>Matchs!L301</f>
        <v>2</v>
      </c>
      <c r="Y300" s="6" t="str">
        <f t="shared" si="88"/>
        <v>,GTeam= "</v>
      </c>
      <c r="Z300" t="str">
        <f>Matchs!M301</f>
        <v>Netherlands</v>
      </c>
      <c r="AA300" s="6" t="str">
        <f t="shared" si="89"/>
        <v>",WinNote="</v>
      </c>
      <c r="AB300" t="str">
        <f>IF(Matchs!N301="","",Matchs!N301)</f>
        <v/>
      </c>
      <c r="AC300" s="6" t="str">
        <f t="shared" si="90"/>
        <v xml:space="preserve">",Stadium=" </v>
      </c>
      <c r="AD300" s="11" t="str">
        <f>Matchs!O301</f>
        <v xml:space="preserve">Estadio Mario Alberto Kempes </v>
      </c>
      <c r="AE300" s="6" t="str">
        <f t="shared" si="91"/>
        <v>",Referee= "</v>
      </c>
      <c r="AF300" s="11" t="str">
        <f>Matchs!P301</f>
        <v xml:space="preserve">Ramón Barreto </v>
      </c>
      <c r="AG300" s="6" t="str">
        <f t="shared" si="92"/>
        <v xml:space="preserve">",Visistors= </v>
      </c>
      <c r="AH300" s="11">
        <f>Matchs!Q301</f>
        <v>40750</v>
      </c>
      <c r="AI300" s="11" t="str">
        <f t="shared" si="93"/>
        <v>,Status= "</v>
      </c>
      <c r="AJ300" s="11" t="str">
        <f>Matchs!R301</f>
        <v>Finished</v>
      </c>
      <c r="AK300" t="str">
        <f t="shared" si="94"/>
        <v>" },</v>
      </c>
    </row>
    <row r="301" spans="1:37" x14ac:dyDescent="0.25">
      <c r="A301" t="str">
        <f t="shared" si="76"/>
        <v>new Match { MatchId= "</v>
      </c>
      <c r="B301" t="str">
        <f>Matchs!A302</f>
        <v>FIFAWC1978-31</v>
      </c>
      <c r="C301" t="str">
        <f t="shared" si="77"/>
        <v>",MatchNumer=</v>
      </c>
      <c r="D301">
        <f>Matchs!B302</f>
        <v>31</v>
      </c>
      <c r="E301" t="str">
        <f t="shared" si="78"/>
        <v>,DateMatch=DateTime.Parse("</v>
      </c>
      <c r="F301" s="3">
        <f>Matchs!C302</f>
        <v>28660</v>
      </c>
      <c r="G301" s="10" t="str">
        <f t="shared" si="79"/>
        <v>"),TimeMatch=TimeSpan.Parse("</v>
      </c>
      <c r="H301" s="9">
        <f>Matchs!D302</f>
        <v>0.11458333333333333</v>
      </c>
      <c r="I301" t="str">
        <f t="shared" si="80"/>
        <v>"),MatchYear=</v>
      </c>
      <c r="J301">
        <f>Matchs!E302</f>
        <v>1978</v>
      </c>
      <c r="K301" t="str">
        <f t="shared" si="81"/>
        <v>, SeasonId= "</v>
      </c>
      <c r="L301" t="str">
        <f>Matchs!F302</f>
        <v>FIFAWC1978</v>
      </c>
      <c r="M301" t="str">
        <f t="shared" si="82"/>
        <v>",Round= "</v>
      </c>
      <c r="N301" t="str">
        <f>Matchs!G302</f>
        <v>Final Round</v>
      </c>
      <c r="O301" s="6" t="str">
        <f t="shared" si="83"/>
        <v>",Stage= "</v>
      </c>
      <c r="P301" t="str">
        <f>Matchs!H302</f>
        <v>Group</v>
      </c>
      <c r="Q301" s="6" t="str">
        <f t="shared" si="84"/>
        <v>",SubStage= "</v>
      </c>
      <c r="R301" t="str">
        <f>Matchs!I302</f>
        <v xml:space="preserve">Group A </v>
      </c>
      <c r="S301" s="6" t="str">
        <f t="shared" si="85"/>
        <v>",HTeam= "</v>
      </c>
      <c r="T301" t="str">
        <f>Matchs!J302</f>
        <v>Italy</v>
      </c>
      <c r="U301" s="6" t="str">
        <f t="shared" si="86"/>
        <v>",HGoal=</v>
      </c>
      <c r="V301">
        <f>Matchs!K302</f>
        <v>1</v>
      </c>
      <c r="W301" s="6" t="str">
        <f t="shared" si="87"/>
        <v>,GGoal=</v>
      </c>
      <c r="X301">
        <f>Matchs!L302</f>
        <v>0</v>
      </c>
      <c r="Y301" s="6" t="str">
        <f t="shared" si="88"/>
        <v>,GTeam= "</v>
      </c>
      <c r="Z301" t="str">
        <f>Matchs!M302</f>
        <v>Austria</v>
      </c>
      <c r="AA301" s="6" t="str">
        <f t="shared" si="89"/>
        <v>",WinNote="</v>
      </c>
      <c r="AB301" t="str">
        <f>IF(Matchs!N302="","",Matchs!N302)</f>
        <v/>
      </c>
      <c r="AC301" s="6" t="str">
        <f t="shared" si="90"/>
        <v xml:space="preserve">",Stadium=" </v>
      </c>
      <c r="AD301" s="11" t="str">
        <f>Matchs!O302</f>
        <v xml:space="preserve">Estadio Monumental Antonio ... </v>
      </c>
      <c r="AE301" s="6" t="str">
        <f t="shared" si="91"/>
        <v>",Referee= "</v>
      </c>
      <c r="AF301" s="11" t="str">
        <f>Matchs!P302</f>
        <v xml:space="preserve">Francis Rion </v>
      </c>
      <c r="AG301" s="6" t="str">
        <f t="shared" si="92"/>
        <v xml:space="preserve">",Visistors= </v>
      </c>
      <c r="AH301" s="11">
        <f>Matchs!Q302</f>
        <v>66695</v>
      </c>
      <c r="AI301" s="11" t="str">
        <f t="shared" si="93"/>
        <v>,Status= "</v>
      </c>
      <c r="AJ301" s="11" t="str">
        <f>Matchs!R302</f>
        <v>Finished</v>
      </c>
      <c r="AK301" t="str">
        <f t="shared" si="94"/>
        <v>" },</v>
      </c>
    </row>
    <row r="302" spans="1:37" x14ac:dyDescent="0.25">
      <c r="A302" t="str">
        <f t="shared" si="76"/>
        <v>new Match { MatchId= "</v>
      </c>
      <c r="B302" t="str">
        <f>Matchs!A303</f>
        <v>FIFAWC1978-32</v>
      </c>
      <c r="C302" t="str">
        <f t="shared" si="77"/>
        <v>",MatchNumer=</v>
      </c>
      <c r="D302">
        <f>Matchs!B303</f>
        <v>32</v>
      </c>
      <c r="E302" t="str">
        <f t="shared" si="78"/>
        <v>,DateMatch=DateTime.Parse("</v>
      </c>
      <c r="F302" s="3">
        <f>Matchs!C303</f>
        <v>28660</v>
      </c>
      <c r="G302" s="10" t="str">
        <f t="shared" si="79"/>
        <v>"),TimeMatch=TimeSpan.Parse("</v>
      </c>
      <c r="H302" s="9">
        <f>Matchs!D303</f>
        <v>0.21875</v>
      </c>
      <c r="I302" t="str">
        <f t="shared" si="80"/>
        <v>"),MatchYear=</v>
      </c>
      <c r="J302">
        <f>Matchs!E303</f>
        <v>1978</v>
      </c>
      <c r="K302" t="str">
        <f t="shared" si="81"/>
        <v>, SeasonId= "</v>
      </c>
      <c r="L302" t="str">
        <f>Matchs!F303</f>
        <v>FIFAWC1978</v>
      </c>
      <c r="M302" t="str">
        <f t="shared" si="82"/>
        <v>",Round= "</v>
      </c>
      <c r="N302" t="str">
        <f>Matchs!G303</f>
        <v>Final Round</v>
      </c>
      <c r="O302" s="6" t="str">
        <f t="shared" si="83"/>
        <v>",Stage= "</v>
      </c>
      <c r="P302" t="str">
        <f>Matchs!H303</f>
        <v>Group</v>
      </c>
      <c r="Q302" s="6" t="str">
        <f t="shared" si="84"/>
        <v>",SubStage= "</v>
      </c>
      <c r="R302" t="str">
        <f>Matchs!I303</f>
        <v xml:space="preserve">Group B </v>
      </c>
      <c r="S302" s="6" t="str">
        <f t="shared" si="85"/>
        <v>",HTeam= "</v>
      </c>
      <c r="T302" t="str">
        <f>Matchs!J303</f>
        <v>Argentina</v>
      </c>
      <c r="U302" s="6" t="str">
        <f t="shared" si="86"/>
        <v>",HGoal=</v>
      </c>
      <c r="V302">
        <f>Matchs!K303</f>
        <v>0</v>
      </c>
      <c r="W302" s="6" t="str">
        <f t="shared" si="87"/>
        <v>,GGoal=</v>
      </c>
      <c r="X302">
        <f>Matchs!L303</f>
        <v>0</v>
      </c>
      <c r="Y302" s="6" t="str">
        <f t="shared" si="88"/>
        <v>,GTeam= "</v>
      </c>
      <c r="Z302" t="str">
        <f>Matchs!M303</f>
        <v>Brazil</v>
      </c>
      <c r="AA302" s="6" t="str">
        <f t="shared" si="89"/>
        <v>",WinNote="</v>
      </c>
      <c r="AB302" t="str">
        <f>IF(Matchs!N303="","",Matchs!N303)</f>
        <v/>
      </c>
      <c r="AC302" s="6" t="str">
        <f t="shared" si="90"/>
        <v xml:space="preserve">",Stadium=" </v>
      </c>
      <c r="AD302" s="11" t="str">
        <f>Matchs!O303</f>
        <v xml:space="preserve">Estadio Gigante de Arroyito </v>
      </c>
      <c r="AE302" s="6" t="str">
        <f t="shared" si="91"/>
        <v>",Referee= "</v>
      </c>
      <c r="AF302" s="11" t="str">
        <f>Matchs!P303</f>
        <v xml:space="preserve">Károly Palotai </v>
      </c>
      <c r="AG302" s="6" t="str">
        <f t="shared" si="92"/>
        <v xml:space="preserve">",Visistors= </v>
      </c>
      <c r="AH302" s="11">
        <f>Matchs!Q303</f>
        <v>37326</v>
      </c>
      <c r="AI302" s="11" t="str">
        <f t="shared" si="93"/>
        <v>,Status= "</v>
      </c>
      <c r="AJ302" s="11" t="str">
        <f>Matchs!R303</f>
        <v>Finished</v>
      </c>
      <c r="AK302" t="str">
        <f t="shared" si="94"/>
        <v>" },</v>
      </c>
    </row>
    <row r="303" spans="1:37" x14ac:dyDescent="0.25">
      <c r="A303" t="str">
        <f t="shared" si="76"/>
        <v>new Match { MatchId= "</v>
      </c>
      <c r="B303" t="str">
        <f>Matchs!A304</f>
        <v>FIFAWC1978-33</v>
      </c>
      <c r="C303" t="str">
        <f t="shared" si="77"/>
        <v>",MatchNumer=</v>
      </c>
      <c r="D303">
        <f>Matchs!B304</f>
        <v>33</v>
      </c>
      <c r="E303" t="str">
        <f t="shared" si="78"/>
        <v>,DateMatch=DateTime.Parse("</v>
      </c>
      <c r="F303" s="3">
        <f>Matchs!C304</f>
        <v>28662</v>
      </c>
      <c r="G303" s="10" t="str">
        <f t="shared" si="79"/>
        <v>"),TimeMatch=TimeSpan.Parse("</v>
      </c>
      <c r="H303" s="9">
        <f>Matchs!D304</f>
        <v>0.98958333333333337</v>
      </c>
      <c r="I303" t="str">
        <f t="shared" si="80"/>
        <v>"),MatchYear=</v>
      </c>
      <c r="J303">
        <f>Matchs!E304</f>
        <v>1978</v>
      </c>
      <c r="K303" t="str">
        <f t="shared" si="81"/>
        <v>, SeasonId= "</v>
      </c>
      <c r="L303" t="str">
        <f>Matchs!F304</f>
        <v>FIFAWC1978</v>
      </c>
      <c r="M303" t="str">
        <f t="shared" si="82"/>
        <v>",Round= "</v>
      </c>
      <c r="N303" t="str">
        <f>Matchs!G304</f>
        <v>Final Round</v>
      </c>
      <c r="O303" s="6" t="str">
        <f t="shared" si="83"/>
        <v>",Stage= "</v>
      </c>
      <c r="P303" t="str">
        <f>Matchs!H304</f>
        <v>Group</v>
      </c>
      <c r="Q303" s="6" t="str">
        <f t="shared" si="84"/>
        <v>",SubStage= "</v>
      </c>
      <c r="R303" t="str">
        <f>Matchs!I304</f>
        <v xml:space="preserve">Group A </v>
      </c>
      <c r="S303" s="6" t="str">
        <f t="shared" si="85"/>
        <v>",HTeam= "</v>
      </c>
      <c r="T303" t="str">
        <f>Matchs!J304</f>
        <v>Austria</v>
      </c>
      <c r="U303" s="6" t="str">
        <f t="shared" si="86"/>
        <v>",HGoal=</v>
      </c>
      <c r="V303">
        <f>Matchs!K304</f>
        <v>3</v>
      </c>
      <c r="W303" s="6" t="str">
        <f t="shared" si="87"/>
        <v>,GGoal=</v>
      </c>
      <c r="X303">
        <f>Matchs!L304</f>
        <v>2</v>
      </c>
      <c r="Y303" s="6" t="str">
        <f t="shared" si="88"/>
        <v>,GTeam= "</v>
      </c>
      <c r="Z303" t="str">
        <f>Matchs!M304</f>
        <v>Germany</v>
      </c>
      <c r="AA303" s="6" t="str">
        <f t="shared" si="89"/>
        <v>",WinNote="</v>
      </c>
      <c r="AB303" t="str">
        <f>IF(Matchs!N304="","",Matchs!N304)</f>
        <v/>
      </c>
      <c r="AC303" s="6" t="str">
        <f t="shared" si="90"/>
        <v xml:space="preserve">",Stadium=" </v>
      </c>
      <c r="AD303" s="11" t="str">
        <f>Matchs!O304</f>
        <v xml:space="preserve">Estadio Mario Alberto Kempes </v>
      </c>
      <c r="AE303" s="6" t="str">
        <f t="shared" si="91"/>
        <v>",Referee= "</v>
      </c>
      <c r="AF303" s="11" t="str">
        <f>Matchs!P304</f>
        <v xml:space="preserve">Abraham Klein </v>
      </c>
      <c r="AG303" s="6" t="str">
        <f t="shared" si="92"/>
        <v xml:space="preserve">",Visistors= </v>
      </c>
      <c r="AH303" s="11">
        <f>Matchs!Q304</f>
        <v>38318</v>
      </c>
      <c r="AI303" s="11" t="str">
        <f t="shared" si="93"/>
        <v>,Status= "</v>
      </c>
      <c r="AJ303" s="11" t="str">
        <f>Matchs!R304</f>
        <v>Finished</v>
      </c>
      <c r="AK303" t="str">
        <f t="shared" si="94"/>
        <v>" },</v>
      </c>
    </row>
    <row r="304" spans="1:37" x14ac:dyDescent="0.25">
      <c r="A304" t="str">
        <f t="shared" si="76"/>
        <v>new Match { MatchId= "</v>
      </c>
      <c r="B304" t="str">
        <f>Matchs!A305</f>
        <v>FIFAWC1978-34</v>
      </c>
      <c r="C304" t="str">
        <f t="shared" si="77"/>
        <v>",MatchNumer=</v>
      </c>
      <c r="D304">
        <f>Matchs!B305</f>
        <v>34</v>
      </c>
      <c r="E304" t="str">
        <f t="shared" si="78"/>
        <v>,DateMatch=DateTime.Parse("</v>
      </c>
      <c r="F304" s="3">
        <f>Matchs!C305</f>
        <v>28662</v>
      </c>
      <c r="G304" s="10" t="str">
        <f t="shared" si="79"/>
        <v>"),TimeMatch=TimeSpan.Parse("</v>
      </c>
      <c r="H304" s="9">
        <f>Matchs!D305</f>
        <v>0.98958333333333337</v>
      </c>
      <c r="I304" t="str">
        <f t="shared" si="80"/>
        <v>"),MatchYear=</v>
      </c>
      <c r="J304">
        <f>Matchs!E305</f>
        <v>1978</v>
      </c>
      <c r="K304" t="str">
        <f t="shared" si="81"/>
        <v>, SeasonId= "</v>
      </c>
      <c r="L304" t="str">
        <f>Matchs!F305</f>
        <v>FIFAWC1978</v>
      </c>
      <c r="M304" t="str">
        <f t="shared" si="82"/>
        <v>",Round= "</v>
      </c>
      <c r="N304" t="str">
        <f>Matchs!G305</f>
        <v>Final Round</v>
      </c>
      <c r="O304" s="6" t="str">
        <f t="shared" si="83"/>
        <v>",Stage= "</v>
      </c>
      <c r="P304" t="str">
        <f>Matchs!H305</f>
        <v>Group</v>
      </c>
      <c r="Q304" s="6" t="str">
        <f t="shared" si="84"/>
        <v>",SubStage= "</v>
      </c>
      <c r="R304" t="str">
        <f>Matchs!I305</f>
        <v xml:space="preserve">Group A </v>
      </c>
      <c r="S304" s="6" t="str">
        <f t="shared" si="85"/>
        <v>",HTeam= "</v>
      </c>
      <c r="T304" t="str">
        <f>Matchs!J305</f>
        <v>Netherlands</v>
      </c>
      <c r="U304" s="6" t="str">
        <f t="shared" si="86"/>
        <v>",HGoal=</v>
      </c>
      <c r="V304">
        <f>Matchs!K305</f>
        <v>2</v>
      </c>
      <c r="W304" s="6" t="str">
        <f t="shared" si="87"/>
        <v>,GGoal=</v>
      </c>
      <c r="X304">
        <f>Matchs!L305</f>
        <v>1</v>
      </c>
      <c r="Y304" s="6" t="str">
        <f t="shared" si="88"/>
        <v>,GTeam= "</v>
      </c>
      <c r="Z304" t="str">
        <f>Matchs!M305</f>
        <v>Italy</v>
      </c>
      <c r="AA304" s="6" t="str">
        <f t="shared" si="89"/>
        <v>",WinNote="</v>
      </c>
      <c r="AB304" t="str">
        <f>IF(Matchs!N305="","",Matchs!N305)</f>
        <v/>
      </c>
      <c r="AC304" s="6" t="str">
        <f t="shared" si="90"/>
        <v xml:space="preserve">",Stadium=" </v>
      </c>
      <c r="AD304" s="11" t="str">
        <f>Matchs!O305</f>
        <v xml:space="preserve">Estadio Monumental Antonio ... </v>
      </c>
      <c r="AE304" s="6" t="str">
        <f t="shared" si="91"/>
        <v>",Referee= "</v>
      </c>
      <c r="AF304" s="11" t="str">
        <f>Matchs!P305</f>
        <v xml:space="preserve">Angel Franco Martinez </v>
      </c>
      <c r="AG304" s="6" t="str">
        <f t="shared" si="92"/>
        <v xml:space="preserve">",Visistors= </v>
      </c>
      <c r="AH304" s="11">
        <f>Matchs!Q305</f>
        <v>67433</v>
      </c>
      <c r="AI304" s="11" t="str">
        <f t="shared" si="93"/>
        <v>,Status= "</v>
      </c>
      <c r="AJ304" s="11" t="str">
        <f>Matchs!R305</f>
        <v>Finished</v>
      </c>
      <c r="AK304" t="str">
        <f t="shared" si="94"/>
        <v>" },</v>
      </c>
    </row>
    <row r="305" spans="1:37" x14ac:dyDescent="0.25">
      <c r="A305" t="str">
        <f t="shared" si="76"/>
        <v>new Match { MatchId= "</v>
      </c>
      <c r="B305" t="str">
        <f>Matchs!A306</f>
        <v>FIFAWC1978-35</v>
      </c>
      <c r="C305" t="str">
        <f t="shared" si="77"/>
        <v>",MatchNumer=</v>
      </c>
      <c r="D305">
        <f>Matchs!B306</f>
        <v>35</v>
      </c>
      <c r="E305" t="str">
        <f t="shared" si="78"/>
        <v>,DateMatch=DateTime.Parse("</v>
      </c>
      <c r="F305" s="3">
        <f>Matchs!C306</f>
        <v>28663</v>
      </c>
      <c r="G305" s="10" t="str">
        <f t="shared" si="79"/>
        <v>"),TimeMatch=TimeSpan.Parse("</v>
      </c>
      <c r="H305" s="9">
        <f>Matchs!D306</f>
        <v>0.11458333333333333</v>
      </c>
      <c r="I305" t="str">
        <f t="shared" si="80"/>
        <v>"),MatchYear=</v>
      </c>
      <c r="J305">
        <f>Matchs!E306</f>
        <v>1978</v>
      </c>
      <c r="K305" t="str">
        <f t="shared" si="81"/>
        <v>, SeasonId= "</v>
      </c>
      <c r="L305" t="str">
        <f>Matchs!F306</f>
        <v>FIFAWC1978</v>
      </c>
      <c r="M305" t="str">
        <f t="shared" si="82"/>
        <v>",Round= "</v>
      </c>
      <c r="N305" t="str">
        <f>Matchs!G306</f>
        <v>Final Round</v>
      </c>
      <c r="O305" s="6" t="str">
        <f t="shared" si="83"/>
        <v>",Stage= "</v>
      </c>
      <c r="P305" t="str">
        <f>Matchs!H306</f>
        <v>Group</v>
      </c>
      <c r="Q305" s="6" t="str">
        <f t="shared" si="84"/>
        <v>",SubStage= "</v>
      </c>
      <c r="R305" t="str">
        <f>Matchs!I306</f>
        <v xml:space="preserve">Group B </v>
      </c>
      <c r="S305" s="6" t="str">
        <f t="shared" si="85"/>
        <v>",HTeam= "</v>
      </c>
      <c r="T305" t="str">
        <f>Matchs!J306</f>
        <v>Brazil</v>
      </c>
      <c r="U305" s="6" t="str">
        <f t="shared" si="86"/>
        <v>",HGoal=</v>
      </c>
      <c r="V305">
        <f>Matchs!K306</f>
        <v>3</v>
      </c>
      <c r="W305" s="6" t="str">
        <f t="shared" si="87"/>
        <v>,GGoal=</v>
      </c>
      <c r="X305">
        <f>Matchs!L306</f>
        <v>1</v>
      </c>
      <c r="Y305" s="6" t="str">
        <f t="shared" si="88"/>
        <v>,GTeam= "</v>
      </c>
      <c r="Z305" t="str">
        <f>Matchs!M306</f>
        <v>Poland</v>
      </c>
      <c r="AA305" s="6" t="str">
        <f t="shared" si="89"/>
        <v>",WinNote="</v>
      </c>
      <c r="AB305" t="str">
        <f>IF(Matchs!N306="","",Matchs!N306)</f>
        <v/>
      </c>
      <c r="AC305" s="6" t="str">
        <f t="shared" si="90"/>
        <v xml:space="preserve">",Stadium=" </v>
      </c>
      <c r="AD305" s="11" t="str">
        <f>Matchs!O306</f>
        <v xml:space="preserve">Estadio Malvinas Argentinas </v>
      </c>
      <c r="AE305" s="6" t="str">
        <f t="shared" si="91"/>
        <v>",Referee= "</v>
      </c>
      <c r="AF305" s="11" t="str">
        <f>Matchs!P306</f>
        <v xml:space="preserve">Juan Silvagno Cavanna </v>
      </c>
      <c r="AG305" s="6" t="str">
        <f t="shared" si="92"/>
        <v xml:space="preserve">",Visistors= </v>
      </c>
      <c r="AH305" s="11">
        <f>Matchs!Q306</f>
        <v>39586</v>
      </c>
      <c r="AI305" s="11" t="str">
        <f t="shared" si="93"/>
        <v>,Status= "</v>
      </c>
      <c r="AJ305" s="11" t="str">
        <f>Matchs!R306</f>
        <v>Finished</v>
      </c>
      <c r="AK305" t="str">
        <f t="shared" si="94"/>
        <v>" },</v>
      </c>
    </row>
    <row r="306" spans="1:37" x14ac:dyDescent="0.25">
      <c r="A306" t="str">
        <f t="shared" si="76"/>
        <v>new Match { MatchId= "</v>
      </c>
      <c r="B306" t="str">
        <f>Matchs!A307</f>
        <v>FIFAWC1978-36</v>
      </c>
      <c r="C306" t="str">
        <f t="shared" si="77"/>
        <v>",MatchNumer=</v>
      </c>
      <c r="D306">
        <f>Matchs!B307</f>
        <v>36</v>
      </c>
      <c r="E306" t="str">
        <f t="shared" si="78"/>
        <v>,DateMatch=DateTime.Parse("</v>
      </c>
      <c r="F306" s="3">
        <f>Matchs!C307</f>
        <v>28663</v>
      </c>
      <c r="G306" s="10" t="str">
        <f t="shared" si="79"/>
        <v>"),TimeMatch=TimeSpan.Parse("</v>
      </c>
      <c r="H306" s="9">
        <f>Matchs!D307</f>
        <v>0.21875</v>
      </c>
      <c r="I306" t="str">
        <f t="shared" si="80"/>
        <v>"),MatchYear=</v>
      </c>
      <c r="J306">
        <f>Matchs!E307</f>
        <v>1978</v>
      </c>
      <c r="K306" t="str">
        <f t="shared" si="81"/>
        <v>, SeasonId= "</v>
      </c>
      <c r="L306" t="str">
        <f>Matchs!F307</f>
        <v>FIFAWC1978</v>
      </c>
      <c r="M306" t="str">
        <f t="shared" si="82"/>
        <v>",Round= "</v>
      </c>
      <c r="N306" t="str">
        <f>Matchs!G307</f>
        <v>Final Round</v>
      </c>
      <c r="O306" s="6" t="str">
        <f t="shared" si="83"/>
        <v>",Stage= "</v>
      </c>
      <c r="P306" t="str">
        <f>Matchs!H307</f>
        <v>Group</v>
      </c>
      <c r="Q306" s="6" t="str">
        <f t="shared" si="84"/>
        <v>",SubStage= "</v>
      </c>
      <c r="R306" t="str">
        <f>Matchs!I307</f>
        <v xml:space="preserve">Group B </v>
      </c>
      <c r="S306" s="6" t="str">
        <f t="shared" si="85"/>
        <v>",HTeam= "</v>
      </c>
      <c r="T306" t="str">
        <f>Matchs!J307</f>
        <v>Argentina</v>
      </c>
      <c r="U306" s="6" t="str">
        <f t="shared" si="86"/>
        <v>",HGoal=</v>
      </c>
      <c r="V306">
        <f>Matchs!K307</f>
        <v>6</v>
      </c>
      <c r="W306" s="6" t="str">
        <f t="shared" si="87"/>
        <v>,GGoal=</v>
      </c>
      <c r="X306">
        <f>Matchs!L307</f>
        <v>0</v>
      </c>
      <c r="Y306" s="6" t="str">
        <f t="shared" si="88"/>
        <v>,GTeam= "</v>
      </c>
      <c r="Z306" t="str">
        <f>Matchs!M307</f>
        <v>Peru</v>
      </c>
      <c r="AA306" s="6" t="str">
        <f t="shared" si="89"/>
        <v>",WinNote="</v>
      </c>
      <c r="AB306" t="str">
        <f>IF(Matchs!N307="","",Matchs!N307)</f>
        <v/>
      </c>
      <c r="AC306" s="6" t="str">
        <f t="shared" si="90"/>
        <v xml:space="preserve">",Stadium=" </v>
      </c>
      <c r="AD306" s="11" t="str">
        <f>Matchs!O307</f>
        <v xml:space="preserve">Estadio Gigante de Arroyito </v>
      </c>
      <c r="AE306" s="6" t="str">
        <f t="shared" si="91"/>
        <v>",Referee= "</v>
      </c>
      <c r="AF306" s="11" t="str">
        <f>Matchs!P307</f>
        <v xml:space="preserve">Robert Wurtz </v>
      </c>
      <c r="AG306" s="6" t="str">
        <f t="shared" si="92"/>
        <v xml:space="preserve">",Visistors= </v>
      </c>
      <c r="AH306" s="11">
        <f>Matchs!Q307</f>
        <v>37315</v>
      </c>
      <c r="AI306" s="11" t="str">
        <f t="shared" si="93"/>
        <v>,Status= "</v>
      </c>
      <c r="AJ306" s="11" t="str">
        <f>Matchs!R307</f>
        <v>Finished</v>
      </c>
      <c r="AK306" t="str">
        <f t="shared" si="94"/>
        <v>" },</v>
      </c>
    </row>
    <row r="307" spans="1:37" x14ac:dyDescent="0.25">
      <c r="A307" t="str">
        <f t="shared" si="76"/>
        <v>new Match { MatchId= "</v>
      </c>
      <c r="B307" t="str">
        <f>Matchs!A308</f>
        <v>FIFAWC1978-37</v>
      </c>
      <c r="C307" t="str">
        <f t="shared" si="77"/>
        <v>",MatchNumer=</v>
      </c>
      <c r="D307">
        <f>Matchs!B308</f>
        <v>37</v>
      </c>
      <c r="E307" t="str">
        <f t="shared" si="78"/>
        <v>,DateMatch=DateTime.Parse("</v>
      </c>
      <c r="F307" s="3">
        <f>Matchs!C308</f>
        <v>28666</v>
      </c>
      <c r="G307" s="10" t="str">
        <f t="shared" si="79"/>
        <v>"),TimeMatch=TimeSpan.Parse("</v>
      </c>
      <c r="H307" s="9">
        <f>Matchs!D308</f>
        <v>4.1666666666666664E-2</v>
      </c>
      <c r="I307" t="str">
        <f t="shared" si="80"/>
        <v>"),MatchYear=</v>
      </c>
      <c r="J307">
        <f>Matchs!E308</f>
        <v>1978</v>
      </c>
      <c r="K307" t="str">
        <f t="shared" si="81"/>
        <v>, SeasonId= "</v>
      </c>
      <c r="L307" t="str">
        <f>Matchs!F308</f>
        <v>FIFAWC1978</v>
      </c>
      <c r="M307" t="str">
        <f t="shared" si="82"/>
        <v>",Round= "</v>
      </c>
      <c r="N307" t="str">
        <f>Matchs!G308</f>
        <v>Final Round</v>
      </c>
      <c r="O307" s="6" t="str">
        <f t="shared" si="83"/>
        <v>",Stage= "</v>
      </c>
      <c r="P307" t="str">
        <f>Matchs!H308</f>
        <v>Knockouts</v>
      </c>
      <c r="Q307" s="6" t="str">
        <f t="shared" si="84"/>
        <v>",SubStage= "</v>
      </c>
      <c r="R307" t="str">
        <f>Matchs!I308</f>
        <v>3rd place</v>
      </c>
      <c r="S307" s="6" t="str">
        <f t="shared" si="85"/>
        <v>",HTeam= "</v>
      </c>
      <c r="T307" t="str">
        <f>Matchs!J308</f>
        <v>Brazil</v>
      </c>
      <c r="U307" s="6" t="str">
        <f t="shared" si="86"/>
        <v>",HGoal=</v>
      </c>
      <c r="V307">
        <f>Matchs!K308</f>
        <v>2</v>
      </c>
      <c r="W307" s="6" t="str">
        <f t="shared" si="87"/>
        <v>,GGoal=</v>
      </c>
      <c r="X307">
        <f>Matchs!L308</f>
        <v>1</v>
      </c>
      <c r="Y307" s="6" t="str">
        <f t="shared" si="88"/>
        <v>,GTeam= "</v>
      </c>
      <c r="Z307" t="str">
        <f>Matchs!M308</f>
        <v>Italy</v>
      </c>
      <c r="AA307" s="6" t="str">
        <f t="shared" si="89"/>
        <v>",WinNote="</v>
      </c>
      <c r="AB307" t="str">
        <f>IF(Matchs!N308="","",Matchs!N308)</f>
        <v/>
      </c>
      <c r="AC307" s="6" t="str">
        <f t="shared" si="90"/>
        <v xml:space="preserve">",Stadium=" </v>
      </c>
      <c r="AD307" s="11" t="str">
        <f>Matchs!O308</f>
        <v xml:space="preserve">Estadio Monumental Antonio ... </v>
      </c>
      <c r="AE307" s="6" t="str">
        <f t="shared" si="91"/>
        <v>",Referee= "</v>
      </c>
      <c r="AF307" s="11" t="str">
        <f>Matchs!P308</f>
        <v xml:space="preserve">Abraham Klein </v>
      </c>
      <c r="AG307" s="6" t="str">
        <f t="shared" si="92"/>
        <v xml:space="preserve">",Visistors= </v>
      </c>
      <c r="AH307" s="11">
        <f>Matchs!Q308</f>
        <v>69659</v>
      </c>
      <c r="AI307" s="11" t="str">
        <f t="shared" si="93"/>
        <v>,Status= "</v>
      </c>
      <c r="AJ307" s="11" t="str">
        <f>Matchs!R308</f>
        <v>Finished</v>
      </c>
      <c r="AK307" t="str">
        <f t="shared" si="94"/>
        <v>" },</v>
      </c>
    </row>
    <row r="308" spans="1:37" x14ac:dyDescent="0.25">
      <c r="A308" t="str">
        <f t="shared" si="76"/>
        <v>new Match { MatchId= "</v>
      </c>
      <c r="B308" t="str">
        <f>Matchs!A309</f>
        <v>FIFAWC1978-38</v>
      </c>
      <c r="C308" t="str">
        <f t="shared" si="77"/>
        <v>",MatchNumer=</v>
      </c>
      <c r="D308">
        <f>Matchs!B309</f>
        <v>38</v>
      </c>
      <c r="E308" t="str">
        <f t="shared" si="78"/>
        <v>,DateMatch=DateTime.Parse("</v>
      </c>
      <c r="F308" s="3">
        <f>Matchs!C309</f>
        <v>28667</v>
      </c>
      <c r="G308" s="10" t="str">
        <f t="shared" si="79"/>
        <v>"),TimeMatch=TimeSpan.Parse("</v>
      </c>
      <c r="H308" s="9">
        <f>Matchs!D309</f>
        <v>4.1666666666666664E-2</v>
      </c>
      <c r="I308" t="str">
        <f t="shared" si="80"/>
        <v>"),MatchYear=</v>
      </c>
      <c r="J308">
        <f>Matchs!E309</f>
        <v>1978</v>
      </c>
      <c r="K308" t="str">
        <f t="shared" si="81"/>
        <v>, SeasonId= "</v>
      </c>
      <c r="L308" t="str">
        <f>Matchs!F309</f>
        <v>FIFAWC1978</v>
      </c>
      <c r="M308" t="str">
        <f t="shared" si="82"/>
        <v>",Round= "</v>
      </c>
      <c r="N308" t="str">
        <f>Matchs!G309</f>
        <v>Final Round</v>
      </c>
      <c r="O308" s="6" t="str">
        <f t="shared" si="83"/>
        <v>",Stage= "</v>
      </c>
      <c r="P308" t="str">
        <f>Matchs!H309</f>
        <v>Knockouts</v>
      </c>
      <c r="Q308" s="6" t="str">
        <f t="shared" si="84"/>
        <v>",SubStage= "</v>
      </c>
      <c r="R308" t="str">
        <f>Matchs!I309</f>
        <v>Final</v>
      </c>
      <c r="S308" s="6" t="str">
        <f t="shared" si="85"/>
        <v>",HTeam= "</v>
      </c>
      <c r="T308" t="str">
        <f>Matchs!J309</f>
        <v>Argentina</v>
      </c>
      <c r="U308" s="6" t="str">
        <f t="shared" si="86"/>
        <v>",HGoal=</v>
      </c>
      <c r="V308">
        <f>Matchs!K309</f>
        <v>3</v>
      </c>
      <c r="W308" s="6" t="str">
        <f t="shared" si="87"/>
        <v>,GGoal=</v>
      </c>
      <c r="X308">
        <f>Matchs!L309</f>
        <v>1</v>
      </c>
      <c r="Y308" s="6" t="str">
        <f t="shared" si="88"/>
        <v>,GTeam= "</v>
      </c>
      <c r="Z308" t="str">
        <f>Matchs!M309</f>
        <v>Netherlands</v>
      </c>
      <c r="AA308" s="6" t="str">
        <f t="shared" si="89"/>
        <v>",WinNote="</v>
      </c>
      <c r="AB308" t="str">
        <f>IF(Matchs!N309="","",Matchs!N309)</f>
        <v/>
      </c>
      <c r="AC308" s="6" t="str">
        <f t="shared" si="90"/>
        <v xml:space="preserve">",Stadium=" </v>
      </c>
      <c r="AD308" s="11" t="str">
        <f>Matchs!O309</f>
        <v xml:space="preserve">Estadio Monumental Antonio ... </v>
      </c>
      <c r="AE308" s="6" t="str">
        <f t="shared" si="91"/>
        <v>",Referee= "</v>
      </c>
      <c r="AF308" s="11" t="str">
        <f>Matchs!P309</f>
        <v xml:space="preserve">Sergio Gonella </v>
      </c>
      <c r="AG308" s="6" t="str">
        <f t="shared" si="92"/>
        <v xml:space="preserve">",Visistors= </v>
      </c>
      <c r="AH308" s="11">
        <f>Matchs!Q309</f>
        <v>71483</v>
      </c>
      <c r="AI308" s="11" t="str">
        <f t="shared" si="93"/>
        <v>,Status= "</v>
      </c>
      <c r="AJ308" s="11" t="str">
        <f>Matchs!R309</f>
        <v>Finished</v>
      </c>
      <c r="AK308" t="str">
        <f t="shared" si="94"/>
        <v>" },</v>
      </c>
    </row>
    <row r="309" spans="1:37" x14ac:dyDescent="0.25">
      <c r="A309" t="str">
        <f t="shared" si="76"/>
        <v>new Match { MatchId= "</v>
      </c>
      <c r="B309" t="str">
        <f>Matchs!A310</f>
        <v>FIFAWC1982-1</v>
      </c>
      <c r="C309" t="str">
        <f t="shared" si="77"/>
        <v>",MatchNumer=</v>
      </c>
      <c r="D309">
        <f>Matchs!B310</f>
        <v>1</v>
      </c>
      <c r="E309" t="str">
        <f t="shared" si="78"/>
        <v>,DateMatch=DateTime.Parse("</v>
      </c>
      <c r="F309" s="3">
        <f>Matchs!C310</f>
        <v>30116</v>
      </c>
      <c r="G309" s="10" t="str">
        <f t="shared" si="79"/>
        <v>"),TimeMatch=TimeSpan.Parse("</v>
      </c>
      <c r="H309" s="9">
        <f>Matchs!D310</f>
        <v>4.1666666666666664E-2</v>
      </c>
      <c r="I309" t="str">
        <f t="shared" si="80"/>
        <v>"),MatchYear=</v>
      </c>
      <c r="J309">
        <f>Matchs!E310</f>
        <v>1982</v>
      </c>
      <c r="K309" t="str">
        <f t="shared" si="81"/>
        <v>, SeasonId= "</v>
      </c>
      <c r="L309" t="str">
        <f>Matchs!F310</f>
        <v>FIFAWC1982</v>
      </c>
      <c r="M309" t="str">
        <f t="shared" si="82"/>
        <v>",Round= "</v>
      </c>
      <c r="N309" t="str">
        <f>Matchs!G310</f>
        <v>Final Round</v>
      </c>
      <c r="O309" s="6" t="str">
        <f t="shared" si="83"/>
        <v>",Stage= "</v>
      </c>
      <c r="P309" t="str">
        <f>Matchs!H310</f>
        <v>Group</v>
      </c>
      <c r="Q309" s="6" t="str">
        <f t="shared" si="84"/>
        <v>",SubStage= "</v>
      </c>
      <c r="R309" t="str">
        <f>Matchs!I310</f>
        <v>Group 3</v>
      </c>
      <c r="S309" s="6" t="str">
        <f t="shared" si="85"/>
        <v>",HTeam= "</v>
      </c>
      <c r="T309" t="str">
        <f>Matchs!J310</f>
        <v>Argentina</v>
      </c>
      <c r="U309" s="6" t="str">
        <f t="shared" si="86"/>
        <v>",HGoal=</v>
      </c>
      <c r="V309">
        <f>Matchs!K310</f>
        <v>0</v>
      </c>
      <c r="W309" s="6" t="str">
        <f t="shared" si="87"/>
        <v>,GGoal=</v>
      </c>
      <c r="X309">
        <f>Matchs!L310</f>
        <v>1</v>
      </c>
      <c r="Y309" s="6" t="str">
        <f t="shared" si="88"/>
        <v>,GTeam= "</v>
      </c>
      <c r="Z309" t="str">
        <f>Matchs!M310</f>
        <v>Belgium</v>
      </c>
      <c r="AA309" s="6" t="str">
        <f t="shared" si="89"/>
        <v>",WinNote="</v>
      </c>
      <c r="AB309" t="str">
        <f>IF(Matchs!N310="","",Matchs!N310)</f>
        <v/>
      </c>
      <c r="AC309" s="6" t="str">
        <f t="shared" si="90"/>
        <v xml:space="preserve">",Stadium=" </v>
      </c>
      <c r="AD309" s="11" t="str">
        <f>Matchs!O310</f>
        <v xml:space="preserve">Camp Nou </v>
      </c>
      <c r="AE309" s="6" t="str">
        <f t="shared" si="91"/>
        <v>",Referee= "</v>
      </c>
      <c r="AF309" s="11" t="str">
        <f>Matchs!P310</f>
        <v xml:space="preserve">Vojtech Christov </v>
      </c>
      <c r="AG309" s="6" t="str">
        <f t="shared" si="92"/>
        <v xml:space="preserve">",Visistors= </v>
      </c>
      <c r="AH309" s="11">
        <f>Matchs!Q310</f>
        <v>95500</v>
      </c>
      <c r="AI309" s="11" t="str">
        <f t="shared" si="93"/>
        <v>,Status= "</v>
      </c>
      <c r="AJ309" s="11" t="str">
        <f>Matchs!R310</f>
        <v>Finished</v>
      </c>
      <c r="AK309" t="str">
        <f t="shared" si="94"/>
        <v>" },</v>
      </c>
    </row>
    <row r="310" spans="1:37" x14ac:dyDescent="0.25">
      <c r="A310" t="str">
        <f t="shared" si="76"/>
        <v>new Match { MatchId= "</v>
      </c>
      <c r="B310" t="str">
        <f>Matchs!A311</f>
        <v>FIFAWC1982-2</v>
      </c>
      <c r="C310" t="str">
        <f t="shared" si="77"/>
        <v>",MatchNumer=</v>
      </c>
      <c r="D310">
        <f>Matchs!B311</f>
        <v>2</v>
      </c>
      <c r="E310" t="str">
        <f t="shared" si="78"/>
        <v>,DateMatch=DateTime.Parse("</v>
      </c>
      <c r="F310" s="3">
        <f>Matchs!C311</f>
        <v>30116</v>
      </c>
      <c r="G310" s="10" t="str">
        <f t="shared" si="79"/>
        <v>"),TimeMatch=TimeSpan.Parse("</v>
      </c>
      <c r="H310" s="9">
        <f>Matchs!D311</f>
        <v>0.94791666666666663</v>
      </c>
      <c r="I310" t="str">
        <f t="shared" si="80"/>
        <v>"),MatchYear=</v>
      </c>
      <c r="J310">
        <f>Matchs!E311</f>
        <v>1982</v>
      </c>
      <c r="K310" t="str">
        <f t="shared" si="81"/>
        <v>, SeasonId= "</v>
      </c>
      <c r="L310" t="str">
        <f>Matchs!F311</f>
        <v>FIFAWC1982</v>
      </c>
      <c r="M310" t="str">
        <f t="shared" si="82"/>
        <v>",Round= "</v>
      </c>
      <c r="N310" t="str">
        <f>Matchs!G311</f>
        <v>Final Round</v>
      </c>
      <c r="O310" s="6" t="str">
        <f t="shared" si="83"/>
        <v>",Stage= "</v>
      </c>
      <c r="P310" t="str">
        <f>Matchs!H311</f>
        <v>Group</v>
      </c>
      <c r="Q310" s="6" t="str">
        <f t="shared" si="84"/>
        <v>",SubStage= "</v>
      </c>
      <c r="R310" t="str">
        <f>Matchs!I311</f>
        <v>Group 1</v>
      </c>
      <c r="S310" s="6" t="str">
        <f t="shared" si="85"/>
        <v>",HTeam= "</v>
      </c>
      <c r="T310" t="str">
        <f>Matchs!J311</f>
        <v>Italy</v>
      </c>
      <c r="U310" s="6" t="str">
        <f t="shared" si="86"/>
        <v>",HGoal=</v>
      </c>
      <c r="V310">
        <f>Matchs!K311</f>
        <v>0</v>
      </c>
      <c r="W310" s="6" t="str">
        <f t="shared" si="87"/>
        <v>,GGoal=</v>
      </c>
      <c r="X310">
        <f>Matchs!L311</f>
        <v>0</v>
      </c>
      <c r="Y310" s="6" t="str">
        <f t="shared" si="88"/>
        <v>,GTeam= "</v>
      </c>
      <c r="Z310" t="str">
        <f>Matchs!M311</f>
        <v>Poland</v>
      </c>
      <c r="AA310" s="6" t="str">
        <f t="shared" si="89"/>
        <v>",WinNote="</v>
      </c>
      <c r="AB310" t="str">
        <f>IF(Matchs!N311="","",Matchs!N311)</f>
        <v/>
      </c>
      <c r="AC310" s="6" t="str">
        <f t="shared" si="90"/>
        <v xml:space="preserve">",Stadium=" </v>
      </c>
      <c r="AD310" s="11" t="str">
        <f>Matchs!O311</f>
        <v xml:space="preserve">Balaídos </v>
      </c>
      <c r="AE310" s="6" t="str">
        <f t="shared" si="91"/>
        <v>",Referee= "</v>
      </c>
      <c r="AF310" s="11" t="str">
        <f>Matchs!P311</f>
        <v xml:space="preserve">Michel Vautrot </v>
      </c>
      <c r="AG310" s="6" t="str">
        <f t="shared" si="92"/>
        <v xml:space="preserve">",Visistors= </v>
      </c>
      <c r="AH310" s="11">
        <f>Matchs!Q311</f>
        <v>33000</v>
      </c>
      <c r="AI310" s="11" t="str">
        <f t="shared" si="93"/>
        <v>,Status= "</v>
      </c>
      <c r="AJ310" s="11" t="str">
        <f>Matchs!R311</f>
        <v>Finished</v>
      </c>
      <c r="AK310" t="str">
        <f t="shared" si="94"/>
        <v>" },</v>
      </c>
    </row>
    <row r="311" spans="1:37" x14ac:dyDescent="0.25">
      <c r="A311" t="str">
        <f t="shared" si="76"/>
        <v>new Match { MatchId= "</v>
      </c>
      <c r="B311" t="str">
        <f>Matchs!A312</f>
        <v>FIFAWC1982-3</v>
      </c>
      <c r="C311" t="str">
        <f t="shared" si="77"/>
        <v>",MatchNumer=</v>
      </c>
      <c r="D311">
        <f>Matchs!B312</f>
        <v>3</v>
      </c>
      <c r="E311" t="str">
        <f t="shared" si="78"/>
        <v>,DateMatch=DateTime.Parse("</v>
      </c>
      <c r="F311" s="3">
        <f>Matchs!C312</f>
        <v>30117</v>
      </c>
      <c r="G311" s="10" t="str">
        <f t="shared" si="79"/>
        <v>"),TimeMatch=TimeSpan.Parse("</v>
      </c>
      <c r="H311" s="9">
        <f>Matchs!D312</f>
        <v>0.11458333333333333</v>
      </c>
      <c r="I311" t="str">
        <f t="shared" si="80"/>
        <v>"),MatchYear=</v>
      </c>
      <c r="J311">
        <f>Matchs!E312</f>
        <v>1982</v>
      </c>
      <c r="K311" t="str">
        <f t="shared" si="81"/>
        <v>, SeasonId= "</v>
      </c>
      <c r="L311" t="str">
        <f>Matchs!F312</f>
        <v>FIFAWC1982</v>
      </c>
      <c r="M311" t="str">
        <f t="shared" si="82"/>
        <v>",Round= "</v>
      </c>
      <c r="N311" t="str">
        <f>Matchs!G312</f>
        <v>Final Round</v>
      </c>
      <c r="O311" s="6" t="str">
        <f t="shared" si="83"/>
        <v>",Stage= "</v>
      </c>
      <c r="P311" t="str">
        <f>Matchs!H312</f>
        <v>Group</v>
      </c>
      <c r="Q311" s="6" t="str">
        <f t="shared" si="84"/>
        <v>",SubStage= "</v>
      </c>
      <c r="R311" t="str">
        <f>Matchs!I312</f>
        <v>Group 6</v>
      </c>
      <c r="S311" s="6" t="str">
        <f t="shared" si="85"/>
        <v>",HTeam= "</v>
      </c>
      <c r="T311" t="str">
        <f>Matchs!J312</f>
        <v>Brazil</v>
      </c>
      <c r="U311" s="6" t="str">
        <f t="shared" si="86"/>
        <v>",HGoal=</v>
      </c>
      <c r="V311">
        <f>Matchs!K312</f>
        <v>2</v>
      </c>
      <c r="W311" s="6" t="str">
        <f t="shared" si="87"/>
        <v>,GGoal=</v>
      </c>
      <c r="X311">
        <f>Matchs!L312</f>
        <v>1</v>
      </c>
      <c r="Y311" s="6" t="str">
        <f t="shared" si="88"/>
        <v>,GTeam= "</v>
      </c>
      <c r="Z311" t="str">
        <f>Matchs!M312</f>
        <v>Soviet Union</v>
      </c>
      <c r="AA311" s="6" t="str">
        <f t="shared" si="89"/>
        <v>",WinNote="</v>
      </c>
      <c r="AB311" t="str">
        <f>IF(Matchs!N312="","",Matchs!N312)</f>
        <v/>
      </c>
      <c r="AC311" s="6" t="str">
        <f t="shared" si="90"/>
        <v xml:space="preserve">",Stadium=" </v>
      </c>
      <c r="AD311" s="11" t="str">
        <f>Matchs!O312</f>
        <v xml:space="preserve">Estadio Ramón Sánchez Pizjuán </v>
      </c>
      <c r="AE311" s="6" t="str">
        <f t="shared" si="91"/>
        <v>",Referee= "</v>
      </c>
      <c r="AF311" s="11" t="str">
        <f>Matchs!P312</f>
        <v xml:space="preserve">Augusto Lamo Castillo </v>
      </c>
      <c r="AG311" s="6" t="str">
        <f t="shared" si="92"/>
        <v xml:space="preserve">",Visistors= </v>
      </c>
      <c r="AH311" s="11">
        <f>Matchs!Q312</f>
        <v>68000</v>
      </c>
      <c r="AI311" s="11" t="str">
        <f t="shared" si="93"/>
        <v>,Status= "</v>
      </c>
      <c r="AJ311" s="11" t="str">
        <f>Matchs!R312</f>
        <v>Finished</v>
      </c>
      <c r="AK311" t="str">
        <f t="shared" si="94"/>
        <v>" },</v>
      </c>
    </row>
    <row r="312" spans="1:37" x14ac:dyDescent="0.25">
      <c r="A312" t="str">
        <f t="shared" si="76"/>
        <v>new Match { MatchId= "</v>
      </c>
      <c r="B312" t="str">
        <f>Matchs!A313</f>
        <v>FIFAWC1982-4</v>
      </c>
      <c r="C312" t="str">
        <f t="shared" si="77"/>
        <v>",MatchNumer=</v>
      </c>
      <c r="D312">
        <f>Matchs!B313</f>
        <v>4</v>
      </c>
      <c r="E312" t="str">
        <f t="shared" si="78"/>
        <v>,DateMatch=DateTime.Parse("</v>
      </c>
      <c r="F312" s="3">
        <f>Matchs!C313</f>
        <v>30117</v>
      </c>
      <c r="G312" s="10" t="str">
        <f t="shared" si="79"/>
        <v>"),TimeMatch=TimeSpan.Parse("</v>
      </c>
      <c r="H312" s="9">
        <f>Matchs!D313</f>
        <v>0.94791666666666663</v>
      </c>
      <c r="I312" t="str">
        <f t="shared" si="80"/>
        <v>"),MatchYear=</v>
      </c>
      <c r="J312">
        <f>Matchs!E313</f>
        <v>1982</v>
      </c>
      <c r="K312" t="str">
        <f t="shared" si="81"/>
        <v>, SeasonId= "</v>
      </c>
      <c r="L312" t="str">
        <f>Matchs!F313</f>
        <v>FIFAWC1982</v>
      </c>
      <c r="M312" t="str">
        <f t="shared" si="82"/>
        <v>",Round= "</v>
      </c>
      <c r="N312" t="str">
        <f>Matchs!G313</f>
        <v>Final Round</v>
      </c>
      <c r="O312" s="6" t="str">
        <f t="shared" si="83"/>
        <v>",Stage= "</v>
      </c>
      <c r="P312" t="str">
        <f>Matchs!H313</f>
        <v>Group</v>
      </c>
      <c r="Q312" s="6" t="str">
        <f t="shared" si="84"/>
        <v>",SubStage= "</v>
      </c>
      <c r="R312" t="str">
        <f>Matchs!I313</f>
        <v>Group 1</v>
      </c>
      <c r="S312" s="6" t="str">
        <f t="shared" si="85"/>
        <v>",HTeam= "</v>
      </c>
      <c r="T312" t="str">
        <f>Matchs!J313</f>
        <v>Peru</v>
      </c>
      <c r="U312" s="6" t="str">
        <f t="shared" si="86"/>
        <v>",HGoal=</v>
      </c>
      <c r="V312">
        <f>Matchs!K313</f>
        <v>0</v>
      </c>
      <c r="W312" s="6" t="str">
        <f t="shared" si="87"/>
        <v>,GGoal=</v>
      </c>
      <c r="X312">
        <f>Matchs!L313</f>
        <v>0</v>
      </c>
      <c r="Y312" s="6" t="str">
        <f t="shared" si="88"/>
        <v>,GTeam= "</v>
      </c>
      <c r="Z312" t="str">
        <f>Matchs!M313</f>
        <v>Cameroon</v>
      </c>
      <c r="AA312" s="6" t="str">
        <f t="shared" si="89"/>
        <v>",WinNote="</v>
      </c>
      <c r="AB312" t="str">
        <f>IF(Matchs!N313="","",Matchs!N313)</f>
        <v/>
      </c>
      <c r="AC312" s="6" t="str">
        <f t="shared" si="90"/>
        <v xml:space="preserve">",Stadium=" </v>
      </c>
      <c r="AD312" s="11" t="str">
        <f>Matchs!O313</f>
        <v xml:space="preserve">Estadio Riazor </v>
      </c>
      <c r="AE312" s="6" t="str">
        <f t="shared" si="91"/>
        <v>",Referee= "</v>
      </c>
      <c r="AF312" s="11" t="str">
        <f>Matchs!P313</f>
        <v xml:space="preserve">Franz Wohrer </v>
      </c>
      <c r="AG312" s="6" t="str">
        <f t="shared" si="92"/>
        <v xml:space="preserve">",Visistors= </v>
      </c>
      <c r="AH312" s="11">
        <f>Matchs!Q313</f>
        <v>11000</v>
      </c>
      <c r="AI312" s="11" t="str">
        <f t="shared" si="93"/>
        <v>,Status= "</v>
      </c>
      <c r="AJ312" s="11" t="str">
        <f>Matchs!R313</f>
        <v>Finished</v>
      </c>
      <c r="AK312" t="str">
        <f t="shared" si="94"/>
        <v>" },</v>
      </c>
    </row>
    <row r="313" spans="1:37" x14ac:dyDescent="0.25">
      <c r="A313" t="str">
        <f t="shared" si="76"/>
        <v>new Match { MatchId= "</v>
      </c>
      <c r="B313" t="str">
        <f>Matchs!A314</f>
        <v>FIFAWC1982-5</v>
      </c>
      <c r="C313" t="str">
        <f t="shared" si="77"/>
        <v>",MatchNumer=</v>
      </c>
      <c r="D313">
        <f>Matchs!B314</f>
        <v>5</v>
      </c>
      <c r="E313" t="str">
        <f t="shared" si="78"/>
        <v>,DateMatch=DateTime.Parse("</v>
      </c>
      <c r="F313" s="3">
        <f>Matchs!C314</f>
        <v>30118</v>
      </c>
      <c r="G313" s="10" t="str">
        <f t="shared" si="79"/>
        <v>"),TimeMatch=TimeSpan.Parse("</v>
      </c>
      <c r="H313" s="9">
        <f>Matchs!D314</f>
        <v>8.3333333333333329E-2</v>
      </c>
      <c r="I313" t="str">
        <f t="shared" si="80"/>
        <v>"),MatchYear=</v>
      </c>
      <c r="J313">
        <f>Matchs!E314</f>
        <v>1982</v>
      </c>
      <c r="K313" t="str">
        <f t="shared" si="81"/>
        <v>, SeasonId= "</v>
      </c>
      <c r="L313" t="str">
        <f>Matchs!F314</f>
        <v>FIFAWC1982</v>
      </c>
      <c r="M313" t="str">
        <f t="shared" si="82"/>
        <v>",Round= "</v>
      </c>
      <c r="N313" t="str">
        <f>Matchs!G314</f>
        <v>Final Round</v>
      </c>
      <c r="O313" s="6" t="str">
        <f t="shared" si="83"/>
        <v>",Stage= "</v>
      </c>
      <c r="P313" t="str">
        <f>Matchs!H314</f>
        <v>Group</v>
      </c>
      <c r="Q313" s="6" t="str">
        <f t="shared" si="84"/>
        <v>",SubStage= "</v>
      </c>
      <c r="R313" t="str">
        <f>Matchs!I314</f>
        <v>Group 6</v>
      </c>
      <c r="S313" s="6" t="str">
        <f t="shared" si="85"/>
        <v>",HTeam= "</v>
      </c>
      <c r="T313" t="str">
        <f>Matchs!J314</f>
        <v>Scotland</v>
      </c>
      <c r="U313" s="6" t="str">
        <f t="shared" si="86"/>
        <v>",HGoal=</v>
      </c>
      <c r="V313">
        <f>Matchs!K314</f>
        <v>5</v>
      </c>
      <c r="W313" s="6" t="str">
        <f t="shared" si="87"/>
        <v>,GGoal=</v>
      </c>
      <c r="X313">
        <f>Matchs!L314</f>
        <v>2</v>
      </c>
      <c r="Y313" s="6" t="str">
        <f t="shared" si="88"/>
        <v>,GTeam= "</v>
      </c>
      <c r="Z313" t="str">
        <f>Matchs!M314</f>
        <v>New Zealand</v>
      </c>
      <c r="AA313" s="6" t="str">
        <f t="shared" si="89"/>
        <v>",WinNote="</v>
      </c>
      <c r="AB313" t="str">
        <f>IF(Matchs!N314="","",Matchs!N314)</f>
        <v/>
      </c>
      <c r="AC313" s="6" t="str">
        <f t="shared" si="90"/>
        <v xml:space="preserve">",Stadium=" </v>
      </c>
      <c r="AD313" s="11" t="str">
        <f>Matchs!O314</f>
        <v xml:space="preserve">Estadio La Rosaleda </v>
      </c>
      <c r="AE313" s="6" t="str">
        <f t="shared" si="91"/>
        <v>",Referee= "</v>
      </c>
      <c r="AF313" s="11" t="str">
        <f>Matchs!P314</f>
        <v xml:space="preserve">David Socha </v>
      </c>
      <c r="AG313" s="6" t="str">
        <f t="shared" si="92"/>
        <v xml:space="preserve">",Visistors= </v>
      </c>
      <c r="AH313" s="11">
        <f>Matchs!Q314</f>
        <v>36000</v>
      </c>
      <c r="AI313" s="11" t="str">
        <f t="shared" si="93"/>
        <v>,Status= "</v>
      </c>
      <c r="AJ313" s="11" t="str">
        <f>Matchs!R314</f>
        <v>Finished</v>
      </c>
      <c r="AK313" t="str">
        <f t="shared" si="94"/>
        <v>" },</v>
      </c>
    </row>
    <row r="314" spans="1:37" x14ac:dyDescent="0.25">
      <c r="A314" t="str">
        <f t="shared" si="76"/>
        <v>new Match { MatchId= "</v>
      </c>
      <c r="B314" t="str">
        <f>Matchs!A315</f>
        <v>FIFAWC1982-6</v>
      </c>
      <c r="C314" t="str">
        <f t="shared" si="77"/>
        <v>",MatchNumer=</v>
      </c>
      <c r="D314">
        <f>Matchs!B315</f>
        <v>6</v>
      </c>
      <c r="E314" t="str">
        <f t="shared" si="78"/>
        <v>,DateMatch=DateTime.Parse("</v>
      </c>
      <c r="F314" s="3">
        <f>Matchs!C315</f>
        <v>30118</v>
      </c>
      <c r="G314" s="10" t="str">
        <f t="shared" si="79"/>
        <v>"),TimeMatch=TimeSpan.Parse("</v>
      </c>
      <c r="H314" s="9">
        <f>Matchs!D315</f>
        <v>8.3333333333333329E-2</v>
      </c>
      <c r="I314" t="str">
        <f t="shared" si="80"/>
        <v>"),MatchYear=</v>
      </c>
      <c r="J314">
        <f>Matchs!E315</f>
        <v>1982</v>
      </c>
      <c r="K314" t="str">
        <f t="shared" si="81"/>
        <v>, SeasonId= "</v>
      </c>
      <c r="L314" t="str">
        <f>Matchs!F315</f>
        <v>FIFAWC1982</v>
      </c>
      <c r="M314" t="str">
        <f t="shared" si="82"/>
        <v>",Round= "</v>
      </c>
      <c r="N314" t="str">
        <f>Matchs!G315</f>
        <v>Final Round</v>
      </c>
      <c r="O314" s="6" t="str">
        <f t="shared" si="83"/>
        <v>",Stage= "</v>
      </c>
      <c r="P314" t="str">
        <f>Matchs!H315</f>
        <v>Group</v>
      </c>
      <c r="Q314" s="6" t="str">
        <f t="shared" si="84"/>
        <v>",SubStage= "</v>
      </c>
      <c r="R314" t="str">
        <f>Matchs!I315</f>
        <v>Group 3</v>
      </c>
      <c r="S314" s="6" t="str">
        <f t="shared" si="85"/>
        <v>",HTeam= "</v>
      </c>
      <c r="T314" t="str">
        <f>Matchs!J315</f>
        <v>Hungary</v>
      </c>
      <c r="U314" s="6" t="str">
        <f t="shared" si="86"/>
        <v>",HGoal=</v>
      </c>
      <c r="V314">
        <f>Matchs!K315</f>
        <v>10</v>
      </c>
      <c r="W314" s="6" t="str">
        <f t="shared" si="87"/>
        <v>,GGoal=</v>
      </c>
      <c r="X314">
        <f>Matchs!L315</f>
        <v>1</v>
      </c>
      <c r="Y314" s="6" t="str">
        <f t="shared" si="88"/>
        <v>,GTeam= "</v>
      </c>
      <c r="Z314" t="str">
        <f>Matchs!M315</f>
        <v>El Salvador</v>
      </c>
      <c r="AA314" s="6" t="str">
        <f t="shared" si="89"/>
        <v>",WinNote="</v>
      </c>
      <c r="AB314" t="str">
        <f>IF(Matchs!N315="","",Matchs!N315)</f>
        <v/>
      </c>
      <c r="AC314" s="6" t="str">
        <f t="shared" si="90"/>
        <v xml:space="preserve">",Stadium=" </v>
      </c>
      <c r="AD314" s="11" t="str">
        <f>Matchs!O315</f>
        <v xml:space="preserve">Estadio Manuel Martínez Valero </v>
      </c>
      <c r="AE314" s="6" t="str">
        <f t="shared" si="91"/>
        <v>",Referee= "</v>
      </c>
      <c r="AF314" s="11" t="str">
        <f>Matchs!P315</f>
        <v xml:space="preserve">Ibrahim Youssef Al-Doy </v>
      </c>
      <c r="AG314" s="6" t="str">
        <f t="shared" si="92"/>
        <v xml:space="preserve">",Visistors= </v>
      </c>
      <c r="AH314" s="11">
        <f>Matchs!Q315</f>
        <v>23000</v>
      </c>
      <c r="AI314" s="11" t="str">
        <f t="shared" si="93"/>
        <v>,Status= "</v>
      </c>
      <c r="AJ314" s="11" t="str">
        <f>Matchs!R315</f>
        <v>Finished</v>
      </c>
      <c r="AK314" t="str">
        <f t="shared" si="94"/>
        <v>" },</v>
      </c>
    </row>
    <row r="315" spans="1:37" x14ac:dyDescent="0.25">
      <c r="A315" t="str">
        <f t="shared" si="76"/>
        <v>new Match { MatchId= "</v>
      </c>
      <c r="B315" t="str">
        <f>Matchs!A316</f>
        <v>FIFAWC1982-7</v>
      </c>
      <c r="C315" t="str">
        <f t="shared" si="77"/>
        <v>",MatchNumer=</v>
      </c>
      <c r="D315">
        <f>Matchs!B316</f>
        <v>7</v>
      </c>
      <c r="E315" t="str">
        <f t="shared" si="78"/>
        <v>,DateMatch=DateTime.Parse("</v>
      </c>
      <c r="F315" s="3">
        <f>Matchs!C316</f>
        <v>30118</v>
      </c>
      <c r="G315" s="10" t="str">
        <f t="shared" si="79"/>
        <v>"),TimeMatch=TimeSpan.Parse("</v>
      </c>
      <c r="H315" s="9">
        <f>Matchs!D316</f>
        <v>0.94791666666666663</v>
      </c>
      <c r="I315" t="str">
        <f t="shared" si="80"/>
        <v>"),MatchYear=</v>
      </c>
      <c r="J315">
        <f>Matchs!E316</f>
        <v>1982</v>
      </c>
      <c r="K315" t="str">
        <f t="shared" si="81"/>
        <v>, SeasonId= "</v>
      </c>
      <c r="L315" t="str">
        <f>Matchs!F316</f>
        <v>FIFAWC1982</v>
      </c>
      <c r="M315" t="str">
        <f t="shared" si="82"/>
        <v>",Round= "</v>
      </c>
      <c r="N315" t="str">
        <f>Matchs!G316</f>
        <v>Final Round</v>
      </c>
      <c r="O315" s="6" t="str">
        <f t="shared" si="83"/>
        <v>",Stage= "</v>
      </c>
      <c r="P315" t="str">
        <f>Matchs!H316</f>
        <v>Group</v>
      </c>
      <c r="Q315" s="6" t="str">
        <f t="shared" si="84"/>
        <v>",SubStage= "</v>
      </c>
      <c r="R315" t="str">
        <f>Matchs!I316</f>
        <v>Group 4</v>
      </c>
      <c r="S315" s="6" t="str">
        <f t="shared" si="85"/>
        <v>",HTeam= "</v>
      </c>
      <c r="T315" t="str">
        <f>Matchs!J316</f>
        <v>England</v>
      </c>
      <c r="U315" s="6" t="str">
        <f t="shared" si="86"/>
        <v>",HGoal=</v>
      </c>
      <c r="V315">
        <f>Matchs!K316</f>
        <v>3</v>
      </c>
      <c r="W315" s="6" t="str">
        <f t="shared" si="87"/>
        <v>,GGoal=</v>
      </c>
      <c r="X315">
        <f>Matchs!L316</f>
        <v>1</v>
      </c>
      <c r="Y315" s="6" t="str">
        <f t="shared" si="88"/>
        <v>,GTeam= "</v>
      </c>
      <c r="Z315" t="str">
        <f>Matchs!M316</f>
        <v>France</v>
      </c>
      <c r="AA315" s="6" t="str">
        <f t="shared" si="89"/>
        <v>",WinNote="</v>
      </c>
      <c r="AB315" t="str">
        <f>IF(Matchs!N316="","",Matchs!N316)</f>
        <v/>
      </c>
      <c r="AC315" s="6" t="str">
        <f t="shared" si="90"/>
        <v xml:space="preserve">",Stadium=" </v>
      </c>
      <c r="AD315" s="11" t="str">
        <f>Matchs!O316</f>
        <v xml:space="preserve">Estadio San Mamés </v>
      </c>
      <c r="AE315" s="6" t="str">
        <f t="shared" si="91"/>
        <v>",Referee= "</v>
      </c>
      <c r="AF315" s="11" t="str">
        <f>Matchs!P316</f>
        <v xml:space="preserve">Antonio Garrido </v>
      </c>
      <c r="AG315" s="6" t="str">
        <f t="shared" si="92"/>
        <v xml:space="preserve">",Visistors= </v>
      </c>
      <c r="AH315" s="11">
        <f>Matchs!Q316</f>
        <v>44172</v>
      </c>
      <c r="AI315" s="11" t="str">
        <f t="shared" si="93"/>
        <v>,Status= "</v>
      </c>
      <c r="AJ315" s="11" t="str">
        <f>Matchs!R316</f>
        <v>Finished</v>
      </c>
      <c r="AK315" t="str">
        <f t="shared" si="94"/>
        <v>" },</v>
      </c>
    </row>
    <row r="316" spans="1:37" x14ac:dyDescent="0.25">
      <c r="A316" t="str">
        <f t="shared" si="76"/>
        <v>new Match { MatchId= "</v>
      </c>
      <c r="B316" t="str">
        <f>Matchs!A317</f>
        <v>FIFAWC1982-8</v>
      </c>
      <c r="C316" t="str">
        <f t="shared" si="77"/>
        <v>",MatchNumer=</v>
      </c>
      <c r="D316">
        <f>Matchs!B317</f>
        <v>8</v>
      </c>
      <c r="E316" t="str">
        <f t="shared" si="78"/>
        <v>,DateMatch=DateTime.Parse("</v>
      </c>
      <c r="F316" s="3">
        <f>Matchs!C317</f>
        <v>30118</v>
      </c>
      <c r="G316" s="10" t="str">
        <f t="shared" si="79"/>
        <v>"),TimeMatch=TimeSpan.Parse("</v>
      </c>
      <c r="H316" s="9">
        <f>Matchs!D317</f>
        <v>0.94791666666666663</v>
      </c>
      <c r="I316" t="str">
        <f t="shared" si="80"/>
        <v>"),MatchYear=</v>
      </c>
      <c r="J316">
        <f>Matchs!E317</f>
        <v>1982</v>
      </c>
      <c r="K316" t="str">
        <f t="shared" si="81"/>
        <v>, SeasonId= "</v>
      </c>
      <c r="L316" t="str">
        <f>Matchs!F317</f>
        <v>FIFAWC1982</v>
      </c>
      <c r="M316" t="str">
        <f t="shared" si="82"/>
        <v>",Round= "</v>
      </c>
      <c r="N316" t="str">
        <f>Matchs!G317</f>
        <v>Final Round</v>
      </c>
      <c r="O316" s="6" t="str">
        <f t="shared" si="83"/>
        <v>",Stage= "</v>
      </c>
      <c r="P316" t="str">
        <f>Matchs!H317</f>
        <v>Group</v>
      </c>
      <c r="Q316" s="6" t="str">
        <f t="shared" si="84"/>
        <v>",SubStage= "</v>
      </c>
      <c r="R316" t="str">
        <f>Matchs!I317</f>
        <v>Group 2</v>
      </c>
      <c r="S316" s="6" t="str">
        <f t="shared" si="85"/>
        <v>",HTeam= "</v>
      </c>
      <c r="T316" t="str">
        <f>Matchs!J317</f>
        <v>Germany</v>
      </c>
      <c r="U316" s="6" t="str">
        <f t="shared" si="86"/>
        <v>",HGoal=</v>
      </c>
      <c r="V316">
        <f>Matchs!K317</f>
        <v>1</v>
      </c>
      <c r="W316" s="6" t="str">
        <f t="shared" si="87"/>
        <v>,GGoal=</v>
      </c>
      <c r="X316">
        <f>Matchs!L317</f>
        <v>2</v>
      </c>
      <c r="Y316" s="6" t="str">
        <f t="shared" si="88"/>
        <v>,GTeam= "</v>
      </c>
      <c r="Z316" t="str">
        <f>Matchs!M317</f>
        <v>Algeria</v>
      </c>
      <c r="AA316" s="6" t="str">
        <f t="shared" si="89"/>
        <v>",WinNote="</v>
      </c>
      <c r="AB316" t="str">
        <f>IF(Matchs!N317="","",Matchs!N317)</f>
        <v/>
      </c>
      <c r="AC316" s="6" t="str">
        <f t="shared" si="90"/>
        <v xml:space="preserve">",Stadium=" </v>
      </c>
      <c r="AD316" s="11" t="str">
        <f>Matchs!O317</f>
        <v xml:space="preserve">El Molinon </v>
      </c>
      <c r="AE316" s="6" t="str">
        <f t="shared" si="91"/>
        <v>",Referee= "</v>
      </c>
      <c r="AF316" s="11" t="str">
        <f>Matchs!P317</f>
        <v xml:space="preserve">Enrique Labo Revoredo </v>
      </c>
      <c r="AG316" s="6" t="str">
        <f t="shared" si="92"/>
        <v xml:space="preserve">",Visistors= </v>
      </c>
      <c r="AH316" s="11">
        <f>Matchs!Q317</f>
        <v>42000</v>
      </c>
      <c r="AI316" s="11" t="str">
        <f t="shared" si="93"/>
        <v>,Status= "</v>
      </c>
      <c r="AJ316" s="11" t="str">
        <f>Matchs!R317</f>
        <v>Finished</v>
      </c>
      <c r="AK316" t="str">
        <f t="shared" si="94"/>
        <v>" },</v>
      </c>
    </row>
    <row r="317" spans="1:37" x14ac:dyDescent="0.25">
      <c r="A317" t="str">
        <f t="shared" si="76"/>
        <v>new Match { MatchId= "</v>
      </c>
      <c r="B317" t="str">
        <f>Matchs!A318</f>
        <v>FIFAWC1982-9</v>
      </c>
      <c r="C317" t="str">
        <f t="shared" si="77"/>
        <v>",MatchNumer=</v>
      </c>
      <c r="D317">
        <f>Matchs!B318</f>
        <v>9</v>
      </c>
      <c r="E317" t="str">
        <f t="shared" si="78"/>
        <v>,DateMatch=DateTime.Parse("</v>
      </c>
      <c r="F317" s="3">
        <f>Matchs!C318</f>
        <v>30119</v>
      </c>
      <c r="G317" s="10" t="str">
        <f t="shared" si="79"/>
        <v>"),TimeMatch=TimeSpan.Parse("</v>
      </c>
      <c r="H317" s="9">
        <f>Matchs!D318</f>
        <v>8.3333333333333329E-2</v>
      </c>
      <c r="I317" t="str">
        <f t="shared" si="80"/>
        <v>"),MatchYear=</v>
      </c>
      <c r="J317">
        <f>Matchs!E318</f>
        <v>1982</v>
      </c>
      <c r="K317" t="str">
        <f t="shared" si="81"/>
        <v>, SeasonId= "</v>
      </c>
      <c r="L317" t="str">
        <f>Matchs!F318</f>
        <v>FIFAWC1982</v>
      </c>
      <c r="M317" t="str">
        <f t="shared" si="82"/>
        <v>",Round= "</v>
      </c>
      <c r="N317" t="str">
        <f>Matchs!G318</f>
        <v>Final Round</v>
      </c>
      <c r="O317" s="6" t="str">
        <f t="shared" si="83"/>
        <v>",Stage= "</v>
      </c>
      <c r="P317" t="str">
        <f>Matchs!H318</f>
        <v>Group</v>
      </c>
      <c r="Q317" s="6" t="str">
        <f t="shared" si="84"/>
        <v>",SubStage= "</v>
      </c>
      <c r="R317" t="str">
        <f>Matchs!I318</f>
        <v>Group 5</v>
      </c>
      <c r="S317" s="6" t="str">
        <f t="shared" si="85"/>
        <v>",HTeam= "</v>
      </c>
      <c r="T317" t="str">
        <f>Matchs!J318</f>
        <v>Spain</v>
      </c>
      <c r="U317" s="6" t="str">
        <f t="shared" si="86"/>
        <v>",HGoal=</v>
      </c>
      <c r="V317">
        <f>Matchs!K318</f>
        <v>1</v>
      </c>
      <c r="W317" s="6" t="str">
        <f t="shared" si="87"/>
        <v>,GGoal=</v>
      </c>
      <c r="X317">
        <f>Matchs!L318</f>
        <v>1</v>
      </c>
      <c r="Y317" s="6" t="str">
        <f t="shared" si="88"/>
        <v>,GTeam= "</v>
      </c>
      <c r="Z317" t="str">
        <f>Matchs!M318</f>
        <v>Honduras</v>
      </c>
      <c r="AA317" s="6" t="str">
        <f t="shared" si="89"/>
        <v>",WinNote="</v>
      </c>
      <c r="AB317" t="str">
        <f>IF(Matchs!N318="","",Matchs!N318)</f>
        <v/>
      </c>
      <c r="AC317" s="6" t="str">
        <f t="shared" si="90"/>
        <v xml:space="preserve">",Stadium=" </v>
      </c>
      <c r="AD317" s="11" t="str">
        <f>Matchs!O318</f>
        <v xml:space="preserve">Estadio de Mestalla </v>
      </c>
      <c r="AE317" s="6" t="str">
        <f t="shared" si="91"/>
        <v>",Referee= "</v>
      </c>
      <c r="AF317" s="11" t="str">
        <f>Matchs!P318</f>
        <v xml:space="preserve">Arturo Ithurralde </v>
      </c>
      <c r="AG317" s="6" t="str">
        <f t="shared" si="92"/>
        <v xml:space="preserve">",Visistors= </v>
      </c>
      <c r="AH317" s="11">
        <f>Matchs!Q318</f>
        <v>49562</v>
      </c>
      <c r="AI317" s="11" t="str">
        <f t="shared" si="93"/>
        <v>,Status= "</v>
      </c>
      <c r="AJ317" s="11" t="str">
        <f>Matchs!R318</f>
        <v>Finished</v>
      </c>
      <c r="AK317" t="str">
        <f t="shared" si="94"/>
        <v>" },</v>
      </c>
    </row>
    <row r="318" spans="1:37" x14ac:dyDescent="0.25">
      <c r="A318" t="str">
        <f t="shared" si="76"/>
        <v>new Match { MatchId= "</v>
      </c>
      <c r="B318" t="str">
        <f>Matchs!A319</f>
        <v>FIFAWC1982-10</v>
      </c>
      <c r="C318" t="str">
        <f t="shared" si="77"/>
        <v>",MatchNumer=</v>
      </c>
      <c r="D318">
        <f>Matchs!B319</f>
        <v>10</v>
      </c>
      <c r="E318" t="str">
        <f t="shared" si="78"/>
        <v>,DateMatch=DateTime.Parse("</v>
      </c>
      <c r="F318" s="3">
        <f>Matchs!C319</f>
        <v>30119</v>
      </c>
      <c r="G318" s="10" t="str">
        <f t="shared" si="79"/>
        <v>"),TimeMatch=TimeSpan.Parse("</v>
      </c>
      <c r="H318" s="9">
        <f>Matchs!D319</f>
        <v>0.92708333333333337</v>
      </c>
      <c r="I318" t="str">
        <f t="shared" si="80"/>
        <v>"),MatchYear=</v>
      </c>
      <c r="J318">
        <f>Matchs!E319</f>
        <v>1982</v>
      </c>
      <c r="K318" t="str">
        <f t="shared" si="81"/>
        <v>, SeasonId= "</v>
      </c>
      <c r="L318" t="str">
        <f>Matchs!F319</f>
        <v>FIFAWC1982</v>
      </c>
      <c r="M318" t="str">
        <f t="shared" si="82"/>
        <v>",Round= "</v>
      </c>
      <c r="N318" t="str">
        <f>Matchs!G319</f>
        <v>Final Round</v>
      </c>
      <c r="O318" s="6" t="str">
        <f t="shared" si="83"/>
        <v>",Stage= "</v>
      </c>
      <c r="P318" t="str">
        <f>Matchs!H319</f>
        <v>Group</v>
      </c>
      <c r="Q318" s="6" t="str">
        <f t="shared" si="84"/>
        <v>",SubStage= "</v>
      </c>
      <c r="R318" t="str">
        <f>Matchs!I319</f>
        <v>Group 2</v>
      </c>
      <c r="S318" s="6" t="str">
        <f t="shared" si="85"/>
        <v>",HTeam= "</v>
      </c>
      <c r="T318" t="str">
        <f>Matchs!J319</f>
        <v>Chile</v>
      </c>
      <c r="U318" s="6" t="str">
        <f t="shared" si="86"/>
        <v>",HGoal=</v>
      </c>
      <c r="V318">
        <f>Matchs!K319</f>
        <v>0</v>
      </c>
      <c r="W318" s="6" t="str">
        <f t="shared" si="87"/>
        <v>,GGoal=</v>
      </c>
      <c r="X318">
        <f>Matchs!L319</f>
        <v>1</v>
      </c>
      <c r="Y318" s="6" t="str">
        <f t="shared" si="88"/>
        <v>,GTeam= "</v>
      </c>
      <c r="Z318" t="str">
        <f>Matchs!M319</f>
        <v>Austria</v>
      </c>
      <c r="AA318" s="6" t="str">
        <f t="shared" si="89"/>
        <v>",WinNote="</v>
      </c>
      <c r="AB318" t="str">
        <f>IF(Matchs!N319="","",Matchs!N319)</f>
        <v/>
      </c>
      <c r="AC318" s="6" t="str">
        <f t="shared" si="90"/>
        <v xml:space="preserve">",Stadium=" </v>
      </c>
      <c r="AD318" s="11" t="str">
        <f>Matchs!O319</f>
        <v xml:space="preserve">Estadio Carlos Tartiere </v>
      </c>
      <c r="AE318" s="6" t="str">
        <f t="shared" si="91"/>
        <v>",Referee= "</v>
      </c>
      <c r="AF318" s="11" t="str">
        <f>Matchs!P319</f>
        <v xml:space="preserve">Juan Daniel Cardellino </v>
      </c>
      <c r="AG318" s="6" t="str">
        <f t="shared" si="92"/>
        <v xml:space="preserve">",Visistors= </v>
      </c>
      <c r="AH318" s="11">
        <f>Matchs!Q319</f>
        <v>22500</v>
      </c>
      <c r="AI318" s="11" t="str">
        <f t="shared" si="93"/>
        <v>,Status= "</v>
      </c>
      <c r="AJ318" s="11" t="str">
        <f>Matchs!R319</f>
        <v>Finished</v>
      </c>
      <c r="AK318" t="str">
        <f t="shared" si="94"/>
        <v>" },</v>
      </c>
    </row>
    <row r="319" spans="1:37" x14ac:dyDescent="0.25">
      <c r="A319" t="str">
        <f t="shared" si="76"/>
        <v>new Match { MatchId= "</v>
      </c>
      <c r="B319" t="str">
        <f>Matchs!A320</f>
        <v>FIFAWC1982-11</v>
      </c>
      <c r="C319" t="str">
        <f t="shared" si="77"/>
        <v>",MatchNumer=</v>
      </c>
      <c r="D319">
        <f>Matchs!B320</f>
        <v>11</v>
      </c>
      <c r="E319" t="str">
        <f t="shared" si="78"/>
        <v>,DateMatch=DateTime.Parse("</v>
      </c>
      <c r="F319" s="3">
        <f>Matchs!C320</f>
        <v>30119</v>
      </c>
      <c r="G319" s="10" t="str">
        <f t="shared" si="79"/>
        <v>"),TimeMatch=TimeSpan.Parse("</v>
      </c>
      <c r="H319" s="9">
        <f>Matchs!D320</f>
        <v>0.94791666666666663</v>
      </c>
      <c r="I319" t="str">
        <f t="shared" si="80"/>
        <v>"),MatchYear=</v>
      </c>
      <c r="J319">
        <f>Matchs!E320</f>
        <v>1982</v>
      </c>
      <c r="K319" t="str">
        <f t="shared" si="81"/>
        <v>, SeasonId= "</v>
      </c>
      <c r="L319" t="str">
        <f>Matchs!F320</f>
        <v>FIFAWC1982</v>
      </c>
      <c r="M319" t="str">
        <f t="shared" si="82"/>
        <v>",Round= "</v>
      </c>
      <c r="N319" t="str">
        <f>Matchs!G320</f>
        <v>Final Round</v>
      </c>
      <c r="O319" s="6" t="str">
        <f t="shared" si="83"/>
        <v>",Stage= "</v>
      </c>
      <c r="P319" t="str">
        <f>Matchs!H320</f>
        <v>Group</v>
      </c>
      <c r="Q319" s="6" t="str">
        <f t="shared" si="84"/>
        <v>",SubStage= "</v>
      </c>
      <c r="R319" t="str">
        <f>Matchs!I320</f>
        <v>Group 4</v>
      </c>
      <c r="S319" s="6" t="str">
        <f t="shared" si="85"/>
        <v>",HTeam= "</v>
      </c>
      <c r="T319" t="str">
        <f>Matchs!J320</f>
        <v>Czechoslovakia</v>
      </c>
      <c r="U319" s="6" t="str">
        <f t="shared" si="86"/>
        <v>",HGoal=</v>
      </c>
      <c r="V319">
        <f>Matchs!K320</f>
        <v>1</v>
      </c>
      <c r="W319" s="6" t="str">
        <f t="shared" si="87"/>
        <v>,GGoal=</v>
      </c>
      <c r="X319">
        <f>Matchs!L320</f>
        <v>1</v>
      </c>
      <c r="Y319" s="6" t="str">
        <f t="shared" si="88"/>
        <v>,GTeam= "</v>
      </c>
      <c r="Z319" t="str">
        <f>Matchs!M320</f>
        <v>Kuwait</v>
      </c>
      <c r="AA319" s="6" t="str">
        <f t="shared" si="89"/>
        <v>",WinNote="</v>
      </c>
      <c r="AB319" t="str">
        <f>IF(Matchs!N320="","",Matchs!N320)</f>
        <v/>
      </c>
      <c r="AC319" s="6" t="str">
        <f t="shared" si="90"/>
        <v xml:space="preserve">",Stadium=" </v>
      </c>
      <c r="AD319" s="11" t="str">
        <f>Matchs!O320</f>
        <v xml:space="preserve">Estadio Nuevo José Zorrilla </v>
      </c>
      <c r="AE319" s="6" t="str">
        <f t="shared" si="91"/>
        <v>",Referee= "</v>
      </c>
      <c r="AF319" s="11" t="str">
        <f>Matchs!P320</f>
        <v xml:space="preserve">Benjamin Dwomoh </v>
      </c>
      <c r="AG319" s="6" t="str">
        <f t="shared" si="92"/>
        <v xml:space="preserve">",Visistors= </v>
      </c>
      <c r="AH319" s="11">
        <f>Matchs!Q320</f>
        <v>25000</v>
      </c>
      <c r="AI319" s="11" t="str">
        <f t="shared" si="93"/>
        <v>,Status= "</v>
      </c>
      <c r="AJ319" s="11" t="str">
        <f>Matchs!R320</f>
        <v>Finished</v>
      </c>
      <c r="AK319" t="str">
        <f t="shared" si="94"/>
        <v>" },</v>
      </c>
    </row>
    <row r="320" spans="1:37" x14ac:dyDescent="0.25">
      <c r="A320" t="str">
        <f t="shared" si="76"/>
        <v>new Match { MatchId= "</v>
      </c>
      <c r="B320" t="str">
        <f>Matchs!A321</f>
        <v>FIFAWC1982-12</v>
      </c>
      <c r="C320" t="str">
        <f t="shared" si="77"/>
        <v>",MatchNumer=</v>
      </c>
      <c r="D320">
        <f>Matchs!B321</f>
        <v>12</v>
      </c>
      <c r="E320" t="str">
        <f t="shared" si="78"/>
        <v>,DateMatch=DateTime.Parse("</v>
      </c>
      <c r="F320" s="3">
        <f>Matchs!C321</f>
        <v>30120</v>
      </c>
      <c r="G320" s="10" t="str">
        <f t="shared" si="79"/>
        <v>"),TimeMatch=TimeSpan.Parse("</v>
      </c>
      <c r="H320" s="9">
        <f>Matchs!D321</f>
        <v>8.3333333333333329E-2</v>
      </c>
      <c r="I320" t="str">
        <f t="shared" si="80"/>
        <v>"),MatchYear=</v>
      </c>
      <c r="J320">
        <f>Matchs!E321</f>
        <v>1982</v>
      </c>
      <c r="K320" t="str">
        <f t="shared" si="81"/>
        <v>, SeasonId= "</v>
      </c>
      <c r="L320" t="str">
        <f>Matchs!F321</f>
        <v>FIFAWC1982</v>
      </c>
      <c r="M320" t="str">
        <f t="shared" si="82"/>
        <v>",Round= "</v>
      </c>
      <c r="N320" t="str">
        <f>Matchs!G321</f>
        <v>Final Round</v>
      </c>
      <c r="O320" s="6" t="str">
        <f t="shared" si="83"/>
        <v>",Stage= "</v>
      </c>
      <c r="P320" t="str">
        <f>Matchs!H321</f>
        <v>Group</v>
      </c>
      <c r="Q320" s="6" t="str">
        <f t="shared" si="84"/>
        <v>",SubStage= "</v>
      </c>
      <c r="R320" t="str">
        <f>Matchs!I321</f>
        <v>Group 5</v>
      </c>
      <c r="S320" s="6" t="str">
        <f t="shared" si="85"/>
        <v>",HTeam= "</v>
      </c>
      <c r="T320" t="str">
        <f>Matchs!J321</f>
        <v>Yugoslavia</v>
      </c>
      <c r="U320" s="6" t="str">
        <f t="shared" si="86"/>
        <v>",HGoal=</v>
      </c>
      <c r="V320">
        <f>Matchs!K321</f>
        <v>0</v>
      </c>
      <c r="W320" s="6" t="str">
        <f t="shared" si="87"/>
        <v>,GGoal=</v>
      </c>
      <c r="X320">
        <f>Matchs!L321</f>
        <v>0</v>
      </c>
      <c r="Y320" s="6" t="str">
        <f t="shared" si="88"/>
        <v>,GTeam= "</v>
      </c>
      <c r="Z320" t="str">
        <f>Matchs!M321</f>
        <v>Northern Ireland</v>
      </c>
      <c r="AA320" s="6" t="str">
        <f t="shared" si="89"/>
        <v>",WinNote="</v>
      </c>
      <c r="AB320" t="str">
        <f>IF(Matchs!N321="","",Matchs!N321)</f>
        <v/>
      </c>
      <c r="AC320" s="6" t="str">
        <f t="shared" si="90"/>
        <v xml:space="preserve">",Stadium=" </v>
      </c>
      <c r="AD320" s="11" t="str">
        <f>Matchs!O321</f>
        <v xml:space="preserve">La Romareda </v>
      </c>
      <c r="AE320" s="6" t="str">
        <f t="shared" si="91"/>
        <v>",Referee= "</v>
      </c>
      <c r="AF320" s="11" t="str">
        <f>Matchs!P321</f>
        <v xml:space="preserve">Erik Fredriksson </v>
      </c>
      <c r="AG320" s="6" t="str">
        <f t="shared" si="92"/>
        <v xml:space="preserve">",Visistors= </v>
      </c>
      <c r="AH320" s="11">
        <f>Matchs!Q321</f>
        <v>25000</v>
      </c>
      <c r="AI320" s="11" t="str">
        <f t="shared" si="93"/>
        <v>,Status= "</v>
      </c>
      <c r="AJ320" s="11" t="str">
        <f>Matchs!R321</f>
        <v>Finished</v>
      </c>
      <c r="AK320" t="str">
        <f t="shared" si="94"/>
        <v>" },</v>
      </c>
    </row>
    <row r="321" spans="1:37" x14ac:dyDescent="0.25">
      <c r="A321" t="str">
        <f t="shared" si="76"/>
        <v>new Match { MatchId= "</v>
      </c>
      <c r="B321" t="str">
        <f>Matchs!A322</f>
        <v>FIFAWC1982-13</v>
      </c>
      <c r="C321" t="str">
        <f t="shared" si="77"/>
        <v>",MatchNumer=</v>
      </c>
      <c r="D321">
        <f>Matchs!B322</f>
        <v>13</v>
      </c>
      <c r="E321" t="str">
        <f t="shared" si="78"/>
        <v>,DateMatch=DateTime.Parse("</v>
      </c>
      <c r="F321" s="3">
        <f>Matchs!C322</f>
        <v>30120</v>
      </c>
      <c r="G321" s="10" t="str">
        <f t="shared" si="79"/>
        <v>"),TimeMatch=TimeSpan.Parse("</v>
      </c>
      <c r="H321" s="9">
        <f>Matchs!D322</f>
        <v>0.92708333333333337</v>
      </c>
      <c r="I321" t="str">
        <f t="shared" si="80"/>
        <v>"),MatchYear=</v>
      </c>
      <c r="J321">
        <f>Matchs!E322</f>
        <v>1982</v>
      </c>
      <c r="K321" t="str">
        <f t="shared" si="81"/>
        <v>, SeasonId= "</v>
      </c>
      <c r="L321" t="str">
        <f>Matchs!F322</f>
        <v>FIFAWC1982</v>
      </c>
      <c r="M321" t="str">
        <f t="shared" si="82"/>
        <v>",Round= "</v>
      </c>
      <c r="N321" t="str">
        <f>Matchs!G322</f>
        <v>Final Round</v>
      </c>
      <c r="O321" s="6" t="str">
        <f t="shared" si="83"/>
        <v>",Stage= "</v>
      </c>
      <c r="P321" t="str">
        <f>Matchs!H322</f>
        <v>Group</v>
      </c>
      <c r="Q321" s="6" t="str">
        <f t="shared" si="84"/>
        <v>",SubStage= "</v>
      </c>
      <c r="R321" t="str">
        <f>Matchs!I322</f>
        <v>Group 1</v>
      </c>
      <c r="S321" s="6" t="str">
        <f t="shared" si="85"/>
        <v>",HTeam= "</v>
      </c>
      <c r="T321" t="str">
        <f>Matchs!J322</f>
        <v>Italy</v>
      </c>
      <c r="U321" s="6" t="str">
        <f t="shared" si="86"/>
        <v>",HGoal=</v>
      </c>
      <c r="V321">
        <f>Matchs!K322</f>
        <v>1</v>
      </c>
      <c r="W321" s="6" t="str">
        <f t="shared" si="87"/>
        <v>,GGoal=</v>
      </c>
      <c r="X321">
        <f>Matchs!L322</f>
        <v>1</v>
      </c>
      <c r="Y321" s="6" t="str">
        <f t="shared" si="88"/>
        <v>,GTeam= "</v>
      </c>
      <c r="Z321" t="str">
        <f>Matchs!M322</f>
        <v>Peru</v>
      </c>
      <c r="AA321" s="6" t="str">
        <f t="shared" si="89"/>
        <v>",WinNote="</v>
      </c>
      <c r="AB321" t="str">
        <f>IF(Matchs!N322="","",Matchs!N322)</f>
        <v/>
      </c>
      <c r="AC321" s="6" t="str">
        <f t="shared" si="90"/>
        <v xml:space="preserve">",Stadium=" </v>
      </c>
      <c r="AD321" s="11" t="str">
        <f>Matchs!O322</f>
        <v xml:space="preserve">Balaídos </v>
      </c>
      <c r="AE321" s="6" t="str">
        <f t="shared" si="91"/>
        <v>",Referee= "</v>
      </c>
      <c r="AF321" s="11" t="str">
        <f>Matchs!P322</f>
        <v xml:space="preserve">Walter Eschweiler </v>
      </c>
      <c r="AG321" s="6" t="str">
        <f t="shared" si="92"/>
        <v xml:space="preserve">",Visistors= </v>
      </c>
      <c r="AH321" s="11">
        <f>Matchs!Q322</f>
        <v>25000</v>
      </c>
      <c r="AI321" s="11" t="str">
        <f t="shared" si="93"/>
        <v>,Status= "</v>
      </c>
      <c r="AJ321" s="11" t="str">
        <f>Matchs!R322</f>
        <v>Finished</v>
      </c>
      <c r="AK321" t="str">
        <f t="shared" si="94"/>
        <v>" },</v>
      </c>
    </row>
    <row r="322" spans="1:37" x14ac:dyDescent="0.25">
      <c r="A322" t="str">
        <f t="shared" si="76"/>
        <v>new Match { MatchId= "</v>
      </c>
      <c r="B322" t="str">
        <f>Matchs!A323</f>
        <v>FIFAWC1982-14</v>
      </c>
      <c r="C322" t="str">
        <f t="shared" si="77"/>
        <v>",MatchNumer=</v>
      </c>
      <c r="D322">
        <f>Matchs!B323</f>
        <v>14</v>
      </c>
      <c r="E322" t="str">
        <f t="shared" si="78"/>
        <v>,DateMatch=DateTime.Parse("</v>
      </c>
      <c r="F322" s="3">
        <f>Matchs!C323</f>
        <v>30121</v>
      </c>
      <c r="G322" s="10" t="str">
        <f t="shared" si="79"/>
        <v>"),TimeMatch=TimeSpan.Parse("</v>
      </c>
      <c r="H322" s="9">
        <f>Matchs!D323</f>
        <v>8.3333333333333329E-2</v>
      </c>
      <c r="I322" t="str">
        <f t="shared" si="80"/>
        <v>"),MatchYear=</v>
      </c>
      <c r="J322">
        <f>Matchs!E323</f>
        <v>1982</v>
      </c>
      <c r="K322" t="str">
        <f t="shared" si="81"/>
        <v>, SeasonId= "</v>
      </c>
      <c r="L322" t="str">
        <f>Matchs!F323</f>
        <v>FIFAWC1982</v>
      </c>
      <c r="M322" t="str">
        <f t="shared" si="82"/>
        <v>",Round= "</v>
      </c>
      <c r="N322" t="str">
        <f>Matchs!G323</f>
        <v>Final Round</v>
      </c>
      <c r="O322" s="6" t="str">
        <f t="shared" si="83"/>
        <v>",Stage= "</v>
      </c>
      <c r="P322" t="str">
        <f>Matchs!H323</f>
        <v>Group</v>
      </c>
      <c r="Q322" s="6" t="str">
        <f t="shared" si="84"/>
        <v>",SubStage= "</v>
      </c>
      <c r="R322" t="str">
        <f>Matchs!I323</f>
        <v>Group 3</v>
      </c>
      <c r="S322" s="6" t="str">
        <f t="shared" si="85"/>
        <v>",HTeam= "</v>
      </c>
      <c r="T322" t="str">
        <f>Matchs!J323</f>
        <v>Argentina</v>
      </c>
      <c r="U322" s="6" t="str">
        <f t="shared" si="86"/>
        <v>",HGoal=</v>
      </c>
      <c r="V322">
        <f>Matchs!K323</f>
        <v>4</v>
      </c>
      <c r="W322" s="6" t="str">
        <f t="shared" si="87"/>
        <v>,GGoal=</v>
      </c>
      <c r="X322">
        <f>Matchs!L323</f>
        <v>1</v>
      </c>
      <c r="Y322" s="6" t="str">
        <f t="shared" si="88"/>
        <v>,GTeam= "</v>
      </c>
      <c r="Z322" t="str">
        <f>Matchs!M323</f>
        <v>Hungary</v>
      </c>
      <c r="AA322" s="6" t="str">
        <f t="shared" si="89"/>
        <v>",WinNote="</v>
      </c>
      <c r="AB322" t="str">
        <f>IF(Matchs!N323="","",Matchs!N323)</f>
        <v/>
      </c>
      <c r="AC322" s="6" t="str">
        <f t="shared" si="90"/>
        <v xml:space="preserve">",Stadium=" </v>
      </c>
      <c r="AD322" s="11" t="str">
        <f>Matchs!O323</f>
        <v xml:space="preserve">Estadio José Rico Pérez </v>
      </c>
      <c r="AE322" s="6" t="str">
        <f t="shared" si="91"/>
        <v>",Referee= "</v>
      </c>
      <c r="AF322" s="11" t="str">
        <f>Matchs!P323</f>
        <v xml:space="preserve">Belaid Lacarne </v>
      </c>
      <c r="AG322" s="6" t="str">
        <f t="shared" si="92"/>
        <v xml:space="preserve">",Visistors= </v>
      </c>
      <c r="AH322" s="11">
        <f>Matchs!Q323</f>
        <v>32093</v>
      </c>
      <c r="AI322" s="11" t="str">
        <f t="shared" si="93"/>
        <v>,Status= "</v>
      </c>
      <c r="AJ322" s="11" t="str">
        <f>Matchs!R323</f>
        <v>Finished</v>
      </c>
      <c r="AK322" t="str">
        <f t="shared" si="94"/>
        <v>" },</v>
      </c>
    </row>
    <row r="323" spans="1:37" x14ac:dyDescent="0.25">
      <c r="A323" t="str">
        <f t="shared" ref="A323:A386" si="95">A322</f>
        <v>new Match { MatchId= "</v>
      </c>
      <c r="B323" t="str">
        <f>Matchs!A324</f>
        <v>FIFAWC1982-15</v>
      </c>
      <c r="C323" t="str">
        <f t="shared" ref="C323:C386" si="96">C322</f>
        <v>",MatchNumer=</v>
      </c>
      <c r="D323">
        <f>Matchs!B324</f>
        <v>15</v>
      </c>
      <c r="E323" t="str">
        <f t="shared" ref="E323:E386" si="97">E322</f>
        <v>,DateMatch=DateTime.Parse("</v>
      </c>
      <c r="F323" s="3">
        <f>Matchs!C324</f>
        <v>30121</v>
      </c>
      <c r="G323" s="10" t="str">
        <f t="shared" ref="G323:G386" si="98">G322</f>
        <v>"),TimeMatch=TimeSpan.Parse("</v>
      </c>
      <c r="H323" s="9">
        <f>Matchs!D324</f>
        <v>8.3333333333333329E-2</v>
      </c>
      <c r="I323" t="str">
        <f t="shared" ref="I323:I386" si="99">I322</f>
        <v>"),MatchYear=</v>
      </c>
      <c r="J323">
        <f>Matchs!E324</f>
        <v>1982</v>
      </c>
      <c r="K323" t="str">
        <f t="shared" ref="K323:K386" si="100">K322</f>
        <v>, SeasonId= "</v>
      </c>
      <c r="L323" t="str">
        <f>Matchs!F324</f>
        <v>FIFAWC1982</v>
      </c>
      <c r="M323" t="str">
        <f t="shared" ref="M323:M386" si="101">M322</f>
        <v>",Round= "</v>
      </c>
      <c r="N323" t="str">
        <f>Matchs!G324</f>
        <v>Final Round</v>
      </c>
      <c r="O323" s="6" t="str">
        <f t="shared" ref="O323:O386" si="102">O322</f>
        <v>",Stage= "</v>
      </c>
      <c r="P323" t="str">
        <f>Matchs!H324</f>
        <v>Group</v>
      </c>
      <c r="Q323" s="6" t="str">
        <f t="shared" ref="Q323:Q386" si="103">Q322</f>
        <v>",SubStage= "</v>
      </c>
      <c r="R323" t="str">
        <f>Matchs!I324</f>
        <v>Group 6</v>
      </c>
      <c r="S323" s="6" t="str">
        <f t="shared" ref="S323:S386" si="104">S322</f>
        <v>",HTeam= "</v>
      </c>
      <c r="T323" t="str">
        <f>Matchs!J324</f>
        <v>Brazil</v>
      </c>
      <c r="U323" s="6" t="str">
        <f t="shared" ref="U323:U386" si="105">U322</f>
        <v>",HGoal=</v>
      </c>
      <c r="V323">
        <f>Matchs!K324</f>
        <v>4</v>
      </c>
      <c r="W323" s="6" t="str">
        <f t="shared" ref="W323:W386" si="106">W322</f>
        <v>,GGoal=</v>
      </c>
      <c r="X323">
        <f>Matchs!L324</f>
        <v>1</v>
      </c>
      <c r="Y323" s="6" t="str">
        <f t="shared" ref="Y323:Y386" si="107">Y322</f>
        <v>,GTeam= "</v>
      </c>
      <c r="Z323" t="str">
        <f>Matchs!M324</f>
        <v>Scotland</v>
      </c>
      <c r="AA323" s="6" t="str">
        <f t="shared" ref="AA323:AA386" si="108">AA322</f>
        <v>",WinNote="</v>
      </c>
      <c r="AB323" t="str">
        <f>IF(Matchs!N324="","",Matchs!N324)</f>
        <v/>
      </c>
      <c r="AC323" s="6" t="str">
        <f t="shared" ref="AC323:AC386" si="109">AC322</f>
        <v xml:space="preserve">",Stadium=" </v>
      </c>
      <c r="AD323" s="11" t="str">
        <f>Matchs!O324</f>
        <v xml:space="preserve">Estadio Benito Villamarín </v>
      </c>
      <c r="AE323" s="6" t="str">
        <f t="shared" ref="AE323:AE386" si="110">AE322</f>
        <v>",Referee= "</v>
      </c>
      <c r="AF323" s="11" t="str">
        <f>Matchs!P324</f>
        <v xml:space="preserve">Luis Paulino Siles </v>
      </c>
      <c r="AG323" s="6" t="str">
        <f t="shared" ref="AG323:AG386" si="111">AG322</f>
        <v xml:space="preserve">",Visistors= </v>
      </c>
      <c r="AH323" s="11">
        <f>Matchs!Q324</f>
        <v>47379</v>
      </c>
      <c r="AI323" s="11" t="str">
        <f t="shared" ref="AI323:AI386" si="112">AI322</f>
        <v>,Status= "</v>
      </c>
      <c r="AJ323" s="11" t="str">
        <f>Matchs!R324</f>
        <v>Finished</v>
      </c>
      <c r="AK323" t="str">
        <f t="shared" ref="AK323:AK386" si="113">AK322</f>
        <v>" },</v>
      </c>
    </row>
    <row r="324" spans="1:37" x14ac:dyDescent="0.25">
      <c r="A324" t="str">
        <f t="shared" si="95"/>
        <v>new Match { MatchId= "</v>
      </c>
      <c r="B324" t="str">
        <f>Matchs!A325</f>
        <v>FIFAWC1982-16</v>
      </c>
      <c r="C324" t="str">
        <f t="shared" si="96"/>
        <v>",MatchNumer=</v>
      </c>
      <c r="D324">
        <f>Matchs!B325</f>
        <v>16</v>
      </c>
      <c r="E324" t="str">
        <f t="shared" si="97"/>
        <v>,DateMatch=DateTime.Parse("</v>
      </c>
      <c r="F324" s="3">
        <f>Matchs!C325</f>
        <v>30122</v>
      </c>
      <c r="G324" s="10" t="str">
        <f t="shared" si="98"/>
        <v>"),TimeMatch=TimeSpan.Parse("</v>
      </c>
      <c r="H324" s="9">
        <f>Matchs!D325</f>
        <v>1.0416666666666666E-2</v>
      </c>
      <c r="I324" t="str">
        <f t="shared" si="99"/>
        <v>"),MatchYear=</v>
      </c>
      <c r="J324">
        <f>Matchs!E325</f>
        <v>1982</v>
      </c>
      <c r="K324" t="str">
        <f t="shared" si="100"/>
        <v>, SeasonId= "</v>
      </c>
      <c r="L324" t="str">
        <f>Matchs!F325</f>
        <v>FIFAWC1982</v>
      </c>
      <c r="M324" t="str">
        <f t="shared" si="101"/>
        <v>",Round= "</v>
      </c>
      <c r="N324" t="str">
        <f>Matchs!G325</f>
        <v>Final Round</v>
      </c>
      <c r="O324" s="6" t="str">
        <f t="shared" si="102"/>
        <v>",Stage= "</v>
      </c>
      <c r="P324" t="str">
        <f>Matchs!H325</f>
        <v>Group</v>
      </c>
      <c r="Q324" s="6" t="str">
        <f t="shared" si="103"/>
        <v>",SubStage= "</v>
      </c>
      <c r="R324" t="str">
        <f>Matchs!I325</f>
        <v>Group 1</v>
      </c>
      <c r="S324" s="6" t="str">
        <f t="shared" si="104"/>
        <v>",HTeam= "</v>
      </c>
      <c r="T324" t="str">
        <f>Matchs!J325</f>
        <v>Poland</v>
      </c>
      <c r="U324" s="6" t="str">
        <f t="shared" si="105"/>
        <v>",HGoal=</v>
      </c>
      <c r="V324">
        <f>Matchs!K325</f>
        <v>0</v>
      </c>
      <c r="W324" s="6" t="str">
        <f t="shared" si="106"/>
        <v>,GGoal=</v>
      </c>
      <c r="X324">
        <f>Matchs!L325</f>
        <v>0</v>
      </c>
      <c r="Y324" s="6" t="str">
        <f t="shared" si="107"/>
        <v>,GTeam= "</v>
      </c>
      <c r="Z324" t="str">
        <f>Matchs!M325</f>
        <v>Cameroon</v>
      </c>
      <c r="AA324" s="6" t="str">
        <f t="shared" si="108"/>
        <v>",WinNote="</v>
      </c>
      <c r="AB324" t="str">
        <f>IF(Matchs!N325="","",Matchs!N325)</f>
        <v/>
      </c>
      <c r="AC324" s="6" t="str">
        <f t="shared" si="109"/>
        <v xml:space="preserve">",Stadium=" </v>
      </c>
      <c r="AD324" s="11" t="str">
        <f>Matchs!O325</f>
        <v xml:space="preserve">Estadio Riazor </v>
      </c>
      <c r="AE324" s="6" t="str">
        <f t="shared" si="110"/>
        <v>",Referee= "</v>
      </c>
      <c r="AF324" s="11" t="str">
        <f>Matchs!P325</f>
        <v xml:space="preserve">Alexis Ponnet </v>
      </c>
      <c r="AG324" s="6" t="str">
        <f t="shared" si="111"/>
        <v xml:space="preserve">",Visistors= </v>
      </c>
      <c r="AH324" s="11">
        <f>Matchs!Q325</f>
        <v>19000</v>
      </c>
      <c r="AI324" s="11" t="str">
        <f t="shared" si="112"/>
        <v>,Status= "</v>
      </c>
      <c r="AJ324" s="11" t="str">
        <f>Matchs!R325</f>
        <v>Finished</v>
      </c>
      <c r="AK324" t="str">
        <f t="shared" si="113"/>
        <v>" },</v>
      </c>
    </row>
    <row r="325" spans="1:37" x14ac:dyDescent="0.25">
      <c r="A325" t="str">
        <f t="shared" si="95"/>
        <v>new Match { MatchId= "</v>
      </c>
      <c r="B325" t="str">
        <f>Matchs!A326</f>
        <v>FIFAWC1982-17</v>
      </c>
      <c r="C325" t="str">
        <f t="shared" si="96"/>
        <v>",MatchNumer=</v>
      </c>
      <c r="D325">
        <f>Matchs!B326</f>
        <v>17</v>
      </c>
      <c r="E325" t="str">
        <f t="shared" si="97"/>
        <v>,DateMatch=DateTime.Parse("</v>
      </c>
      <c r="F325" s="3">
        <f>Matchs!C326</f>
        <v>30122</v>
      </c>
      <c r="G325" s="10" t="str">
        <f t="shared" si="98"/>
        <v>"),TimeMatch=TimeSpan.Parse("</v>
      </c>
      <c r="H325" s="9">
        <f>Matchs!D326</f>
        <v>8.3333333333333329E-2</v>
      </c>
      <c r="I325" t="str">
        <f t="shared" si="99"/>
        <v>"),MatchYear=</v>
      </c>
      <c r="J325">
        <f>Matchs!E326</f>
        <v>1982</v>
      </c>
      <c r="K325" t="str">
        <f t="shared" si="100"/>
        <v>, SeasonId= "</v>
      </c>
      <c r="L325" t="str">
        <f>Matchs!F326</f>
        <v>FIFAWC1982</v>
      </c>
      <c r="M325" t="str">
        <f t="shared" si="101"/>
        <v>",Round= "</v>
      </c>
      <c r="N325" t="str">
        <f>Matchs!G326</f>
        <v>Final Round</v>
      </c>
      <c r="O325" s="6" t="str">
        <f t="shared" si="102"/>
        <v>",Stage= "</v>
      </c>
      <c r="P325" t="str">
        <f>Matchs!H326</f>
        <v>Group</v>
      </c>
      <c r="Q325" s="6" t="str">
        <f t="shared" si="103"/>
        <v>",SubStage= "</v>
      </c>
      <c r="R325" t="str">
        <f>Matchs!I326</f>
        <v>Group 3</v>
      </c>
      <c r="S325" s="6" t="str">
        <f t="shared" si="104"/>
        <v>",HTeam= "</v>
      </c>
      <c r="T325" t="str">
        <f>Matchs!J326</f>
        <v>Belgium</v>
      </c>
      <c r="U325" s="6" t="str">
        <f t="shared" si="105"/>
        <v>",HGoal=</v>
      </c>
      <c r="V325">
        <f>Matchs!K326</f>
        <v>1</v>
      </c>
      <c r="W325" s="6" t="str">
        <f t="shared" si="106"/>
        <v>,GGoal=</v>
      </c>
      <c r="X325">
        <f>Matchs!L326</f>
        <v>0</v>
      </c>
      <c r="Y325" s="6" t="str">
        <f t="shared" si="107"/>
        <v>,GTeam= "</v>
      </c>
      <c r="Z325" t="str">
        <f>Matchs!M326</f>
        <v>El Salvador</v>
      </c>
      <c r="AA325" s="6" t="str">
        <f t="shared" si="108"/>
        <v>",WinNote="</v>
      </c>
      <c r="AB325" t="str">
        <f>IF(Matchs!N326="","",Matchs!N326)</f>
        <v/>
      </c>
      <c r="AC325" s="6" t="str">
        <f t="shared" si="109"/>
        <v xml:space="preserve">",Stadium=" </v>
      </c>
      <c r="AD325" s="11" t="str">
        <f>Matchs!O326</f>
        <v xml:space="preserve">Estadio Manuel Martínez Valero </v>
      </c>
      <c r="AE325" s="6" t="str">
        <f t="shared" si="110"/>
        <v>",Referee= "</v>
      </c>
      <c r="AF325" s="11" t="str">
        <f>Matchs!P326</f>
        <v xml:space="preserve">Malcolm Moffatt </v>
      </c>
      <c r="AG325" s="6" t="str">
        <f t="shared" si="111"/>
        <v xml:space="preserve">",Visistors= </v>
      </c>
      <c r="AH325" s="11">
        <f>Matchs!Q326</f>
        <v>15000</v>
      </c>
      <c r="AI325" s="11" t="str">
        <f t="shared" si="112"/>
        <v>,Status= "</v>
      </c>
      <c r="AJ325" s="11" t="str">
        <f>Matchs!R326</f>
        <v>Finished</v>
      </c>
      <c r="AK325" t="str">
        <f t="shared" si="113"/>
        <v>" },</v>
      </c>
    </row>
    <row r="326" spans="1:37" x14ac:dyDescent="0.25">
      <c r="A326" t="str">
        <f t="shared" si="95"/>
        <v>new Match { MatchId= "</v>
      </c>
      <c r="B326" t="str">
        <f>Matchs!A327</f>
        <v>FIFAWC1982-18</v>
      </c>
      <c r="C326" t="str">
        <f t="shared" si="96"/>
        <v>",MatchNumer=</v>
      </c>
      <c r="D326">
        <f>Matchs!B327</f>
        <v>18</v>
      </c>
      <c r="E326" t="str">
        <f t="shared" si="97"/>
        <v>,DateMatch=DateTime.Parse("</v>
      </c>
      <c r="F326" s="3">
        <f>Matchs!C327</f>
        <v>30122</v>
      </c>
      <c r="G326" s="10" t="str">
        <f t="shared" si="98"/>
        <v>"),TimeMatch=TimeSpan.Parse("</v>
      </c>
      <c r="H326" s="9">
        <f>Matchs!D327</f>
        <v>8.3333333333333329E-2</v>
      </c>
      <c r="I326" t="str">
        <f t="shared" si="99"/>
        <v>"),MatchYear=</v>
      </c>
      <c r="J326">
        <f>Matchs!E327</f>
        <v>1982</v>
      </c>
      <c r="K326" t="str">
        <f t="shared" si="100"/>
        <v>, SeasonId= "</v>
      </c>
      <c r="L326" t="str">
        <f>Matchs!F327</f>
        <v>FIFAWC1982</v>
      </c>
      <c r="M326" t="str">
        <f t="shared" si="101"/>
        <v>",Round= "</v>
      </c>
      <c r="N326" t="str">
        <f>Matchs!G327</f>
        <v>Final Round</v>
      </c>
      <c r="O326" s="6" t="str">
        <f t="shared" si="102"/>
        <v>",Stage= "</v>
      </c>
      <c r="P326" t="str">
        <f>Matchs!H327</f>
        <v>Group</v>
      </c>
      <c r="Q326" s="6" t="str">
        <f t="shared" si="103"/>
        <v>",SubStage= "</v>
      </c>
      <c r="R326" t="str">
        <f>Matchs!I327</f>
        <v>Group 6</v>
      </c>
      <c r="S326" s="6" t="str">
        <f t="shared" si="104"/>
        <v>",HTeam= "</v>
      </c>
      <c r="T326" t="str">
        <f>Matchs!J327</f>
        <v>Soviet Union</v>
      </c>
      <c r="U326" s="6" t="str">
        <f t="shared" si="105"/>
        <v>",HGoal=</v>
      </c>
      <c r="V326">
        <f>Matchs!K327</f>
        <v>3</v>
      </c>
      <c r="W326" s="6" t="str">
        <f t="shared" si="106"/>
        <v>,GGoal=</v>
      </c>
      <c r="X326">
        <f>Matchs!L327</f>
        <v>0</v>
      </c>
      <c r="Y326" s="6" t="str">
        <f t="shared" si="107"/>
        <v>,GTeam= "</v>
      </c>
      <c r="Z326" t="str">
        <f>Matchs!M327</f>
        <v>New Zealand</v>
      </c>
      <c r="AA326" s="6" t="str">
        <f t="shared" si="108"/>
        <v>",WinNote="</v>
      </c>
      <c r="AB326" t="str">
        <f>IF(Matchs!N327="","",Matchs!N327)</f>
        <v/>
      </c>
      <c r="AC326" s="6" t="str">
        <f t="shared" si="109"/>
        <v xml:space="preserve">",Stadium=" </v>
      </c>
      <c r="AD326" s="11" t="str">
        <f>Matchs!O327</f>
        <v xml:space="preserve">Estadio La Rosaleda </v>
      </c>
      <c r="AE326" s="6" t="str">
        <f t="shared" si="110"/>
        <v>",Referee= "</v>
      </c>
      <c r="AF326" s="11" t="str">
        <f>Matchs!P327</f>
        <v xml:space="preserve">Yousef El-Ghoul </v>
      </c>
      <c r="AG326" s="6" t="str">
        <f t="shared" si="111"/>
        <v xml:space="preserve">",Visistors= </v>
      </c>
      <c r="AH326" s="11">
        <f>Matchs!Q327</f>
        <v>19000</v>
      </c>
      <c r="AI326" s="11" t="str">
        <f t="shared" si="112"/>
        <v>,Status= "</v>
      </c>
      <c r="AJ326" s="11" t="str">
        <f>Matchs!R327</f>
        <v>Finished</v>
      </c>
      <c r="AK326" t="str">
        <f t="shared" si="113"/>
        <v>" },</v>
      </c>
    </row>
    <row r="327" spans="1:37" x14ac:dyDescent="0.25">
      <c r="A327" t="str">
        <f t="shared" si="95"/>
        <v>new Match { MatchId= "</v>
      </c>
      <c r="B327" t="str">
        <f>Matchs!A328</f>
        <v>FIFAWC1982-19</v>
      </c>
      <c r="C327" t="str">
        <f t="shared" si="96"/>
        <v>",MatchNumer=</v>
      </c>
      <c r="D327">
        <f>Matchs!B328</f>
        <v>19</v>
      </c>
      <c r="E327" t="str">
        <f t="shared" si="97"/>
        <v>,DateMatch=DateTime.Parse("</v>
      </c>
      <c r="F327" s="3">
        <f>Matchs!C328</f>
        <v>30122</v>
      </c>
      <c r="G327" s="10" t="str">
        <f t="shared" si="98"/>
        <v>"),TimeMatch=TimeSpan.Parse("</v>
      </c>
      <c r="H327" s="9">
        <f>Matchs!D328</f>
        <v>0.94791666666666663</v>
      </c>
      <c r="I327" t="str">
        <f t="shared" si="99"/>
        <v>"),MatchYear=</v>
      </c>
      <c r="J327">
        <f>Matchs!E328</f>
        <v>1982</v>
      </c>
      <c r="K327" t="str">
        <f t="shared" si="100"/>
        <v>, SeasonId= "</v>
      </c>
      <c r="L327" t="str">
        <f>Matchs!F328</f>
        <v>FIFAWC1982</v>
      </c>
      <c r="M327" t="str">
        <f t="shared" si="101"/>
        <v>",Round= "</v>
      </c>
      <c r="N327" t="str">
        <f>Matchs!G328</f>
        <v>Final Round</v>
      </c>
      <c r="O327" s="6" t="str">
        <f t="shared" si="102"/>
        <v>",Stage= "</v>
      </c>
      <c r="P327" t="str">
        <f>Matchs!H328</f>
        <v>Group</v>
      </c>
      <c r="Q327" s="6" t="str">
        <f t="shared" si="103"/>
        <v>",SubStage= "</v>
      </c>
      <c r="R327" t="str">
        <f>Matchs!I328</f>
        <v>Group 2</v>
      </c>
      <c r="S327" s="6" t="str">
        <f t="shared" si="104"/>
        <v>",HTeam= "</v>
      </c>
      <c r="T327" t="str">
        <f>Matchs!J328</f>
        <v>Germany</v>
      </c>
      <c r="U327" s="6" t="str">
        <f t="shared" si="105"/>
        <v>",HGoal=</v>
      </c>
      <c r="V327">
        <f>Matchs!K328</f>
        <v>4</v>
      </c>
      <c r="W327" s="6" t="str">
        <f t="shared" si="106"/>
        <v>,GGoal=</v>
      </c>
      <c r="X327">
        <f>Matchs!L328</f>
        <v>1</v>
      </c>
      <c r="Y327" s="6" t="str">
        <f t="shared" si="107"/>
        <v>,GTeam= "</v>
      </c>
      <c r="Z327" t="str">
        <f>Matchs!M328</f>
        <v>Chile</v>
      </c>
      <c r="AA327" s="6" t="str">
        <f t="shared" si="108"/>
        <v>",WinNote="</v>
      </c>
      <c r="AB327" t="str">
        <f>IF(Matchs!N328="","",Matchs!N328)</f>
        <v/>
      </c>
      <c r="AC327" s="6" t="str">
        <f t="shared" si="109"/>
        <v xml:space="preserve">",Stadium=" </v>
      </c>
      <c r="AD327" s="11" t="str">
        <f>Matchs!O328</f>
        <v xml:space="preserve">El Molinon </v>
      </c>
      <c r="AE327" s="6" t="str">
        <f t="shared" si="110"/>
        <v>",Referee= "</v>
      </c>
      <c r="AF327" s="11" t="str">
        <f>Matchs!P328</f>
        <v xml:space="preserve">Bruno Galler </v>
      </c>
      <c r="AG327" s="6" t="str">
        <f t="shared" si="111"/>
        <v xml:space="preserve">",Visistors= </v>
      </c>
      <c r="AH327" s="11">
        <f>Matchs!Q328</f>
        <v>42000</v>
      </c>
      <c r="AI327" s="11" t="str">
        <f t="shared" si="112"/>
        <v>,Status= "</v>
      </c>
      <c r="AJ327" s="11" t="str">
        <f>Matchs!R328</f>
        <v>Finished</v>
      </c>
      <c r="AK327" t="str">
        <f t="shared" si="113"/>
        <v>" },</v>
      </c>
    </row>
    <row r="328" spans="1:37" x14ac:dyDescent="0.25">
      <c r="A328" t="str">
        <f t="shared" si="95"/>
        <v>new Match { MatchId= "</v>
      </c>
      <c r="B328" t="str">
        <f>Matchs!A329</f>
        <v>FIFAWC1982-20</v>
      </c>
      <c r="C328" t="str">
        <f t="shared" si="96"/>
        <v>",MatchNumer=</v>
      </c>
      <c r="D328">
        <f>Matchs!B329</f>
        <v>20</v>
      </c>
      <c r="E328" t="str">
        <f t="shared" si="97"/>
        <v>,DateMatch=DateTime.Parse("</v>
      </c>
      <c r="F328" s="3">
        <f>Matchs!C329</f>
        <v>30122</v>
      </c>
      <c r="G328" s="10" t="str">
        <f t="shared" si="98"/>
        <v>"),TimeMatch=TimeSpan.Parse("</v>
      </c>
      <c r="H328" s="9">
        <f>Matchs!D329</f>
        <v>0.94791666666666663</v>
      </c>
      <c r="I328" t="str">
        <f t="shared" si="99"/>
        <v>"),MatchYear=</v>
      </c>
      <c r="J328">
        <f>Matchs!E329</f>
        <v>1982</v>
      </c>
      <c r="K328" t="str">
        <f t="shared" si="100"/>
        <v>, SeasonId= "</v>
      </c>
      <c r="L328" t="str">
        <f>Matchs!F329</f>
        <v>FIFAWC1982</v>
      </c>
      <c r="M328" t="str">
        <f t="shared" si="101"/>
        <v>",Round= "</v>
      </c>
      <c r="N328" t="str">
        <f>Matchs!G329</f>
        <v>Final Round</v>
      </c>
      <c r="O328" s="6" t="str">
        <f t="shared" si="102"/>
        <v>",Stage= "</v>
      </c>
      <c r="P328" t="str">
        <f>Matchs!H329</f>
        <v>Group</v>
      </c>
      <c r="Q328" s="6" t="str">
        <f t="shared" si="103"/>
        <v>",SubStage= "</v>
      </c>
      <c r="R328" t="str">
        <f>Matchs!I329</f>
        <v>Group 4</v>
      </c>
      <c r="S328" s="6" t="str">
        <f t="shared" si="104"/>
        <v>",HTeam= "</v>
      </c>
      <c r="T328" t="str">
        <f>Matchs!J329</f>
        <v>England</v>
      </c>
      <c r="U328" s="6" t="str">
        <f t="shared" si="105"/>
        <v>",HGoal=</v>
      </c>
      <c r="V328">
        <f>Matchs!K329</f>
        <v>2</v>
      </c>
      <c r="W328" s="6" t="str">
        <f t="shared" si="106"/>
        <v>,GGoal=</v>
      </c>
      <c r="X328">
        <f>Matchs!L329</f>
        <v>0</v>
      </c>
      <c r="Y328" s="6" t="str">
        <f t="shared" si="107"/>
        <v>,GTeam= "</v>
      </c>
      <c r="Z328" t="str">
        <f>Matchs!M329</f>
        <v>Czechoslovakia</v>
      </c>
      <c r="AA328" s="6" t="str">
        <f t="shared" si="108"/>
        <v>",WinNote="</v>
      </c>
      <c r="AB328" t="str">
        <f>IF(Matchs!N329="","",Matchs!N329)</f>
        <v/>
      </c>
      <c r="AC328" s="6" t="str">
        <f t="shared" si="109"/>
        <v xml:space="preserve">",Stadium=" </v>
      </c>
      <c r="AD328" s="11" t="str">
        <f>Matchs!O329</f>
        <v xml:space="preserve">Estadio San Mamés </v>
      </c>
      <c r="AE328" s="6" t="str">
        <f t="shared" si="110"/>
        <v>",Referee= "</v>
      </c>
      <c r="AF328" s="11" t="str">
        <f>Matchs!P329</f>
        <v xml:space="preserve">Charles Corver </v>
      </c>
      <c r="AG328" s="6" t="str">
        <f t="shared" si="111"/>
        <v xml:space="preserve">",Visistors= </v>
      </c>
      <c r="AH328" s="11">
        <f>Matchs!Q329</f>
        <v>41123</v>
      </c>
      <c r="AI328" s="11" t="str">
        <f t="shared" si="112"/>
        <v>,Status= "</v>
      </c>
      <c r="AJ328" s="11" t="str">
        <f>Matchs!R329</f>
        <v>Finished</v>
      </c>
      <c r="AK328" t="str">
        <f t="shared" si="113"/>
        <v>" },</v>
      </c>
    </row>
    <row r="329" spans="1:37" x14ac:dyDescent="0.25">
      <c r="A329" t="str">
        <f t="shared" si="95"/>
        <v>new Match { MatchId= "</v>
      </c>
      <c r="B329" t="str">
        <f>Matchs!A330</f>
        <v>FIFAWC1982-21</v>
      </c>
      <c r="C329" t="str">
        <f t="shared" si="96"/>
        <v>",MatchNumer=</v>
      </c>
      <c r="D329">
        <f>Matchs!B330</f>
        <v>21</v>
      </c>
      <c r="E329" t="str">
        <f t="shared" si="97"/>
        <v>,DateMatch=DateTime.Parse("</v>
      </c>
      <c r="F329" s="3">
        <f>Matchs!C330</f>
        <v>30123</v>
      </c>
      <c r="G329" s="10" t="str">
        <f t="shared" si="98"/>
        <v>"),TimeMatch=TimeSpan.Parse("</v>
      </c>
      <c r="H329" s="9">
        <f>Matchs!D330</f>
        <v>9.375E-2</v>
      </c>
      <c r="I329" t="str">
        <f t="shared" si="99"/>
        <v>"),MatchYear=</v>
      </c>
      <c r="J329">
        <f>Matchs!E330</f>
        <v>1982</v>
      </c>
      <c r="K329" t="str">
        <f t="shared" si="100"/>
        <v>, SeasonId= "</v>
      </c>
      <c r="L329" t="str">
        <f>Matchs!F330</f>
        <v>FIFAWC1982</v>
      </c>
      <c r="M329" t="str">
        <f t="shared" si="101"/>
        <v>",Round= "</v>
      </c>
      <c r="N329" t="str">
        <f>Matchs!G330</f>
        <v>Final Round</v>
      </c>
      <c r="O329" s="6" t="str">
        <f t="shared" si="102"/>
        <v>",Stage= "</v>
      </c>
      <c r="P329" t="str">
        <f>Matchs!H330</f>
        <v>Group</v>
      </c>
      <c r="Q329" s="6" t="str">
        <f t="shared" si="103"/>
        <v>",SubStage= "</v>
      </c>
      <c r="R329" t="str">
        <f>Matchs!I330</f>
        <v>Group 5</v>
      </c>
      <c r="S329" s="6" t="str">
        <f t="shared" si="104"/>
        <v>",HTeam= "</v>
      </c>
      <c r="T329" t="str">
        <f>Matchs!J330</f>
        <v>Spain</v>
      </c>
      <c r="U329" s="6" t="str">
        <f t="shared" si="105"/>
        <v>",HGoal=</v>
      </c>
      <c r="V329">
        <f>Matchs!K330</f>
        <v>2</v>
      </c>
      <c r="W329" s="6" t="str">
        <f t="shared" si="106"/>
        <v>,GGoal=</v>
      </c>
      <c r="X329">
        <f>Matchs!L330</f>
        <v>1</v>
      </c>
      <c r="Y329" s="6" t="str">
        <f t="shared" si="107"/>
        <v>,GTeam= "</v>
      </c>
      <c r="Z329" t="str">
        <f>Matchs!M330</f>
        <v>Yugoslavia</v>
      </c>
      <c r="AA329" s="6" t="str">
        <f t="shared" si="108"/>
        <v>",WinNote="</v>
      </c>
      <c r="AB329" t="str">
        <f>IF(Matchs!N330="","",Matchs!N330)</f>
        <v/>
      </c>
      <c r="AC329" s="6" t="str">
        <f t="shared" si="109"/>
        <v xml:space="preserve">",Stadium=" </v>
      </c>
      <c r="AD329" s="11" t="str">
        <f>Matchs!O330</f>
        <v xml:space="preserve">Estadio de Mestalla </v>
      </c>
      <c r="AE329" s="6" t="str">
        <f t="shared" si="110"/>
        <v>",Referee= "</v>
      </c>
      <c r="AF329" s="11" t="str">
        <f>Matchs!P330</f>
        <v xml:space="preserve">Henning Lund-Sorensen </v>
      </c>
      <c r="AG329" s="6" t="str">
        <f t="shared" si="111"/>
        <v xml:space="preserve">",Visistors= </v>
      </c>
      <c r="AH329" s="11">
        <f>Matchs!Q330</f>
        <v>48000</v>
      </c>
      <c r="AI329" s="11" t="str">
        <f t="shared" si="112"/>
        <v>,Status= "</v>
      </c>
      <c r="AJ329" s="11" t="str">
        <f>Matchs!R330</f>
        <v>Finished</v>
      </c>
      <c r="AK329" t="str">
        <f t="shared" si="113"/>
        <v>" },</v>
      </c>
    </row>
    <row r="330" spans="1:37" x14ac:dyDescent="0.25">
      <c r="A330" t="str">
        <f t="shared" si="95"/>
        <v>new Match { MatchId= "</v>
      </c>
      <c r="B330" t="str">
        <f>Matchs!A331</f>
        <v>FIFAWC1982-22</v>
      </c>
      <c r="C330" t="str">
        <f t="shared" si="96"/>
        <v>",MatchNumer=</v>
      </c>
      <c r="D330">
        <f>Matchs!B331</f>
        <v>22</v>
      </c>
      <c r="E330" t="str">
        <f t="shared" si="97"/>
        <v>,DateMatch=DateTime.Parse("</v>
      </c>
      <c r="F330" s="3">
        <f>Matchs!C331</f>
        <v>30123</v>
      </c>
      <c r="G330" s="10" t="str">
        <f t="shared" si="98"/>
        <v>"),TimeMatch=TimeSpan.Parse("</v>
      </c>
      <c r="H330" s="9">
        <f>Matchs!D331</f>
        <v>0.92708333333333337</v>
      </c>
      <c r="I330" t="str">
        <f t="shared" si="99"/>
        <v>"),MatchYear=</v>
      </c>
      <c r="J330">
        <f>Matchs!E331</f>
        <v>1982</v>
      </c>
      <c r="K330" t="str">
        <f t="shared" si="100"/>
        <v>, SeasonId= "</v>
      </c>
      <c r="L330" t="str">
        <f>Matchs!F331</f>
        <v>FIFAWC1982</v>
      </c>
      <c r="M330" t="str">
        <f t="shared" si="101"/>
        <v>",Round= "</v>
      </c>
      <c r="N330" t="str">
        <f>Matchs!G331</f>
        <v>Final Round</v>
      </c>
      <c r="O330" s="6" t="str">
        <f t="shared" si="102"/>
        <v>",Stage= "</v>
      </c>
      <c r="P330" t="str">
        <f>Matchs!H331</f>
        <v>Group</v>
      </c>
      <c r="Q330" s="6" t="str">
        <f t="shared" si="103"/>
        <v>",SubStage= "</v>
      </c>
      <c r="R330" t="str">
        <f>Matchs!I331</f>
        <v>Group 2</v>
      </c>
      <c r="S330" s="6" t="str">
        <f t="shared" si="104"/>
        <v>",HTeam= "</v>
      </c>
      <c r="T330" t="str">
        <f>Matchs!J331</f>
        <v>Algeria</v>
      </c>
      <c r="U330" s="6" t="str">
        <f t="shared" si="105"/>
        <v>",HGoal=</v>
      </c>
      <c r="V330">
        <f>Matchs!K331</f>
        <v>0</v>
      </c>
      <c r="W330" s="6" t="str">
        <f t="shared" si="106"/>
        <v>,GGoal=</v>
      </c>
      <c r="X330">
        <f>Matchs!L331</f>
        <v>2</v>
      </c>
      <c r="Y330" s="6" t="str">
        <f t="shared" si="107"/>
        <v>,GTeam= "</v>
      </c>
      <c r="Z330" t="str">
        <f>Matchs!M331</f>
        <v>Austria</v>
      </c>
      <c r="AA330" s="6" t="str">
        <f t="shared" si="108"/>
        <v>",WinNote="</v>
      </c>
      <c r="AB330" t="str">
        <f>IF(Matchs!N331="","",Matchs!N331)</f>
        <v/>
      </c>
      <c r="AC330" s="6" t="str">
        <f t="shared" si="109"/>
        <v xml:space="preserve">",Stadium=" </v>
      </c>
      <c r="AD330" s="11" t="str">
        <f>Matchs!O331</f>
        <v xml:space="preserve">Estadio Carlos Tartiere </v>
      </c>
      <c r="AE330" s="6" t="str">
        <f t="shared" si="110"/>
        <v>",Referee= "</v>
      </c>
      <c r="AF330" s="11" t="str">
        <f>Matchs!P331</f>
        <v xml:space="preserve">Tony Boskovic </v>
      </c>
      <c r="AG330" s="6" t="str">
        <f t="shared" si="111"/>
        <v xml:space="preserve">",Visistors= </v>
      </c>
      <c r="AH330" s="11">
        <f>Matchs!Q331</f>
        <v>22000</v>
      </c>
      <c r="AI330" s="11" t="str">
        <f t="shared" si="112"/>
        <v>,Status= "</v>
      </c>
      <c r="AJ330" s="11" t="str">
        <f>Matchs!R331</f>
        <v>Finished</v>
      </c>
      <c r="AK330" t="str">
        <f t="shared" si="113"/>
        <v>" },</v>
      </c>
    </row>
    <row r="331" spans="1:37" x14ac:dyDescent="0.25">
      <c r="A331" t="str">
        <f t="shared" si="95"/>
        <v>new Match { MatchId= "</v>
      </c>
      <c r="B331" t="str">
        <f>Matchs!A332</f>
        <v>FIFAWC1982-23</v>
      </c>
      <c r="C331" t="str">
        <f t="shared" si="96"/>
        <v>",MatchNumer=</v>
      </c>
      <c r="D331">
        <f>Matchs!B332</f>
        <v>23</v>
      </c>
      <c r="E331" t="str">
        <f t="shared" si="97"/>
        <v>,DateMatch=DateTime.Parse("</v>
      </c>
      <c r="F331" s="3">
        <f>Matchs!C332</f>
        <v>30123</v>
      </c>
      <c r="G331" s="10" t="str">
        <f t="shared" si="98"/>
        <v>"),TimeMatch=TimeSpan.Parse("</v>
      </c>
      <c r="H331" s="9">
        <f>Matchs!D332</f>
        <v>0.92708333333333337</v>
      </c>
      <c r="I331" t="str">
        <f t="shared" si="99"/>
        <v>"),MatchYear=</v>
      </c>
      <c r="J331">
        <f>Matchs!E332</f>
        <v>1982</v>
      </c>
      <c r="K331" t="str">
        <f t="shared" si="100"/>
        <v>, SeasonId= "</v>
      </c>
      <c r="L331" t="str">
        <f>Matchs!F332</f>
        <v>FIFAWC1982</v>
      </c>
      <c r="M331" t="str">
        <f t="shared" si="101"/>
        <v>",Round= "</v>
      </c>
      <c r="N331" t="str">
        <f>Matchs!G332</f>
        <v>Final Round</v>
      </c>
      <c r="O331" s="6" t="str">
        <f t="shared" si="102"/>
        <v>",Stage= "</v>
      </c>
      <c r="P331" t="str">
        <f>Matchs!H332</f>
        <v>Group</v>
      </c>
      <c r="Q331" s="6" t="str">
        <f t="shared" si="103"/>
        <v>",SubStage= "</v>
      </c>
      <c r="R331" t="str">
        <f>Matchs!I332</f>
        <v>Group 4</v>
      </c>
      <c r="S331" s="6" t="str">
        <f t="shared" si="104"/>
        <v>",HTeam= "</v>
      </c>
      <c r="T331" t="str">
        <f>Matchs!J332</f>
        <v>France</v>
      </c>
      <c r="U331" s="6" t="str">
        <f t="shared" si="105"/>
        <v>",HGoal=</v>
      </c>
      <c r="V331">
        <f>Matchs!K332</f>
        <v>4</v>
      </c>
      <c r="W331" s="6" t="str">
        <f t="shared" si="106"/>
        <v>,GGoal=</v>
      </c>
      <c r="X331">
        <f>Matchs!L332</f>
        <v>1</v>
      </c>
      <c r="Y331" s="6" t="str">
        <f t="shared" si="107"/>
        <v>,GTeam= "</v>
      </c>
      <c r="Z331" t="str">
        <f>Matchs!M332</f>
        <v>Kuwait</v>
      </c>
      <c r="AA331" s="6" t="str">
        <f t="shared" si="108"/>
        <v>",WinNote="</v>
      </c>
      <c r="AB331" t="str">
        <f>IF(Matchs!N332="","",Matchs!N332)</f>
        <v/>
      </c>
      <c r="AC331" s="6" t="str">
        <f t="shared" si="109"/>
        <v xml:space="preserve">",Stadium=" </v>
      </c>
      <c r="AD331" s="11" t="str">
        <f>Matchs!O332</f>
        <v xml:space="preserve">Estadio Nuevo José Zorrilla </v>
      </c>
      <c r="AE331" s="6" t="str">
        <f t="shared" si="110"/>
        <v>",Referee= "</v>
      </c>
      <c r="AF331" s="11" t="str">
        <f>Matchs!P332</f>
        <v xml:space="preserve">Miroslav Stupar </v>
      </c>
      <c r="AG331" s="6" t="str">
        <f t="shared" si="111"/>
        <v xml:space="preserve">",Visistors= </v>
      </c>
      <c r="AH331" s="11">
        <f>Matchs!Q332</f>
        <v>30043</v>
      </c>
      <c r="AI331" s="11" t="str">
        <f t="shared" si="112"/>
        <v>,Status= "</v>
      </c>
      <c r="AJ331" s="11" t="str">
        <f>Matchs!R332</f>
        <v>Finished</v>
      </c>
      <c r="AK331" t="str">
        <f t="shared" si="113"/>
        <v>" },</v>
      </c>
    </row>
    <row r="332" spans="1:37" x14ac:dyDescent="0.25">
      <c r="A332" t="str">
        <f t="shared" si="95"/>
        <v>new Match { MatchId= "</v>
      </c>
      <c r="B332" t="str">
        <f>Matchs!A333</f>
        <v>FIFAWC1982-24</v>
      </c>
      <c r="C332" t="str">
        <f t="shared" si="96"/>
        <v>",MatchNumer=</v>
      </c>
      <c r="D332">
        <f>Matchs!B333</f>
        <v>24</v>
      </c>
      <c r="E332" t="str">
        <f t="shared" si="97"/>
        <v>,DateMatch=DateTime.Parse("</v>
      </c>
      <c r="F332" s="3">
        <f>Matchs!C333</f>
        <v>30124</v>
      </c>
      <c r="G332" s="10" t="str">
        <f t="shared" si="98"/>
        <v>"),TimeMatch=TimeSpan.Parse("</v>
      </c>
      <c r="H332" s="9">
        <f>Matchs!D333</f>
        <v>8.3333333333333329E-2</v>
      </c>
      <c r="I332" t="str">
        <f t="shared" si="99"/>
        <v>"),MatchYear=</v>
      </c>
      <c r="J332">
        <f>Matchs!E333</f>
        <v>1982</v>
      </c>
      <c r="K332" t="str">
        <f t="shared" si="100"/>
        <v>, SeasonId= "</v>
      </c>
      <c r="L332" t="str">
        <f>Matchs!F333</f>
        <v>FIFAWC1982</v>
      </c>
      <c r="M332" t="str">
        <f t="shared" si="101"/>
        <v>",Round= "</v>
      </c>
      <c r="N332" t="str">
        <f>Matchs!G333</f>
        <v>Final Round</v>
      </c>
      <c r="O332" s="6" t="str">
        <f t="shared" si="102"/>
        <v>",Stage= "</v>
      </c>
      <c r="P332" t="str">
        <f>Matchs!H333</f>
        <v>Group</v>
      </c>
      <c r="Q332" s="6" t="str">
        <f t="shared" si="103"/>
        <v>",SubStage= "</v>
      </c>
      <c r="R332" t="str">
        <f>Matchs!I333</f>
        <v>Group 5</v>
      </c>
      <c r="S332" s="6" t="str">
        <f t="shared" si="104"/>
        <v>",HTeam= "</v>
      </c>
      <c r="T332" t="str">
        <f>Matchs!J333</f>
        <v>Honduras</v>
      </c>
      <c r="U332" s="6" t="str">
        <f t="shared" si="105"/>
        <v>",HGoal=</v>
      </c>
      <c r="V332">
        <f>Matchs!K333</f>
        <v>1</v>
      </c>
      <c r="W332" s="6" t="str">
        <f t="shared" si="106"/>
        <v>,GGoal=</v>
      </c>
      <c r="X332">
        <f>Matchs!L333</f>
        <v>1</v>
      </c>
      <c r="Y332" s="6" t="str">
        <f t="shared" si="107"/>
        <v>,GTeam= "</v>
      </c>
      <c r="Z332" t="str">
        <f>Matchs!M333</f>
        <v>Northern Ireland</v>
      </c>
      <c r="AA332" s="6" t="str">
        <f t="shared" si="108"/>
        <v>",WinNote="</v>
      </c>
      <c r="AB332" t="str">
        <f>IF(Matchs!N333="","",Matchs!N333)</f>
        <v/>
      </c>
      <c r="AC332" s="6" t="str">
        <f t="shared" si="109"/>
        <v xml:space="preserve">",Stadium=" </v>
      </c>
      <c r="AD332" s="11" t="str">
        <f>Matchs!O333</f>
        <v xml:space="preserve">La Romareda </v>
      </c>
      <c r="AE332" s="6" t="str">
        <f t="shared" si="110"/>
        <v>",Referee= "</v>
      </c>
      <c r="AF332" s="11" t="str">
        <f>Matchs!P333</f>
        <v xml:space="preserve">Chan Tam Sun </v>
      </c>
      <c r="AG332" s="6" t="str">
        <f t="shared" si="111"/>
        <v xml:space="preserve">",Visistors= </v>
      </c>
      <c r="AH332" s="11">
        <f>Matchs!Q333</f>
        <v>15000</v>
      </c>
      <c r="AI332" s="11" t="str">
        <f t="shared" si="112"/>
        <v>,Status= "</v>
      </c>
      <c r="AJ332" s="11" t="str">
        <f>Matchs!R333</f>
        <v>Finished</v>
      </c>
      <c r="AK332" t="str">
        <f t="shared" si="113"/>
        <v>" },</v>
      </c>
    </row>
    <row r="333" spans="1:37" x14ac:dyDescent="0.25">
      <c r="A333" t="str">
        <f t="shared" si="95"/>
        <v>new Match { MatchId= "</v>
      </c>
      <c r="B333" t="str">
        <f>Matchs!A334</f>
        <v>FIFAWC1982-25</v>
      </c>
      <c r="C333" t="str">
        <f t="shared" si="96"/>
        <v>",MatchNumer=</v>
      </c>
      <c r="D333">
        <f>Matchs!B334</f>
        <v>25</v>
      </c>
      <c r="E333" t="str">
        <f t="shared" si="97"/>
        <v>,DateMatch=DateTime.Parse("</v>
      </c>
      <c r="F333" s="3">
        <f>Matchs!C334</f>
        <v>30124</v>
      </c>
      <c r="G333" s="10" t="str">
        <f t="shared" si="98"/>
        <v>"),TimeMatch=TimeSpan.Parse("</v>
      </c>
      <c r="H333" s="9">
        <f>Matchs!D334</f>
        <v>0.92708333333333337</v>
      </c>
      <c r="I333" t="str">
        <f t="shared" si="99"/>
        <v>"),MatchYear=</v>
      </c>
      <c r="J333">
        <f>Matchs!E334</f>
        <v>1982</v>
      </c>
      <c r="K333" t="str">
        <f t="shared" si="100"/>
        <v>, SeasonId= "</v>
      </c>
      <c r="L333" t="str">
        <f>Matchs!F334</f>
        <v>FIFAWC1982</v>
      </c>
      <c r="M333" t="str">
        <f t="shared" si="101"/>
        <v>",Round= "</v>
      </c>
      <c r="N333" t="str">
        <f>Matchs!G334</f>
        <v>Final Round</v>
      </c>
      <c r="O333" s="6" t="str">
        <f t="shared" si="102"/>
        <v>",Stage= "</v>
      </c>
      <c r="P333" t="str">
        <f>Matchs!H334</f>
        <v>Group</v>
      </c>
      <c r="Q333" s="6" t="str">
        <f t="shared" si="103"/>
        <v>",SubStage= "</v>
      </c>
      <c r="R333" t="str">
        <f>Matchs!I334</f>
        <v>Group 1</v>
      </c>
      <c r="S333" s="6" t="str">
        <f t="shared" si="104"/>
        <v>",HTeam= "</v>
      </c>
      <c r="T333" t="str">
        <f>Matchs!J334</f>
        <v>Poland</v>
      </c>
      <c r="U333" s="6" t="str">
        <f t="shared" si="105"/>
        <v>",HGoal=</v>
      </c>
      <c r="V333">
        <f>Matchs!K334</f>
        <v>5</v>
      </c>
      <c r="W333" s="6" t="str">
        <f t="shared" si="106"/>
        <v>,GGoal=</v>
      </c>
      <c r="X333">
        <f>Matchs!L334</f>
        <v>1</v>
      </c>
      <c r="Y333" s="6" t="str">
        <f t="shared" si="107"/>
        <v>,GTeam= "</v>
      </c>
      <c r="Z333" t="str">
        <f>Matchs!M334</f>
        <v>Peru</v>
      </c>
      <c r="AA333" s="6" t="str">
        <f t="shared" si="108"/>
        <v>",WinNote="</v>
      </c>
      <c r="AB333" t="str">
        <f>IF(Matchs!N334="","",Matchs!N334)</f>
        <v/>
      </c>
      <c r="AC333" s="6" t="str">
        <f t="shared" si="109"/>
        <v xml:space="preserve">",Stadium=" </v>
      </c>
      <c r="AD333" s="11" t="str">
        <f>Matchs!O334</f>
        <v xml:space="preserve">Estadio Riazor </v>
      </c>
      <c r="AE333" s="6" t="str">
        <f t="shared" si="110"/>
        <v>",Referee= "</v>
      </c>
      <c r="AF333" s="11" t="str">
        <f>Matchs!P334</f>
        <v xml:space="preserve">Mario Rubio Vazquez </v>
      </c>
      <c r="AG333" s="6" t="str">
        <f t="shared" si="111"/>
        <v xml:space="preserve">",Visistors= </v>
      </c>
      <c r="AH333" s="11">
        <f>Matchs!Q334</f>
        <v>25000</v>
      </c>
      <c r="AI333" s="11" t="str">
        <f t="shared" si="112"/>
        <v>,Status= "</v>
      </c>
      <c r="AJ333" s="11" t="str">
        <f>Matchs!R334</f>
        <v>Finished</v>
      </c>
      <c r="AK333" t="str">
        <f t="shared" si="113"/>
        <v>" },</v>
      </c>
    </row>
    <row r="334" spans="1:37" x14ac:dyDescent="0.25">
      <c r="A334" t="str">
        <f t="shared" si="95"/>
        <v>new Match { MatchId= "</v>
      </c>
      <c r="B334" t="str">
        <f>Matchs!A335</f>
        <v>FIFAWC1982-26</v>
      </c>
      <c r="C334" t="str">
        <f t="shared" si="96"/>
        <v>",MatchNumer=</v>
      </c>
      <c r="D334">
        <f>Matchs!B335</f>
        <v>26</v>
      </c>
      <c r="E334" t="str">
        <f t="shared" si="97"/>
        <v>,DateMatch=DateTime.Parse("</v>
      </c>
      <c r="F334" s="3">
        <f>Matchs!C335</f>
        <v>30125</v>
      </c>
      <c r="G334" s="10" t="str">
        <f t="shared" si="98"/>
        <v>"),TimeMatch=TimeSpan.Parse("</v>
      </c>
      <c r="H334" s="9">
        <f>Matchs!D335</f>
        <v>8.3333333333333329E-2</v>
      </c>
      <c r="I334" t="str">
        <f t="shared" si="99"/>
        <v>"),MatchYear=</v>
      </c>
      <c r="J334">
        <f>Matchs!E335</f>
        <v>1982</v>
      </c>
      <c r="K334" t="str">
        <f t="shared" si="100"/>
        <v>, SeasonId= "</v>
      </c>
      <c r="L334" t="str">
        <f>Matchs!F335</f>
        <v>FIFAWC1982</v>
      </c>
      <c r="M334" t="str">
        <f t="shared" si="101"/>
        <v>",Round= "</v>
      </c>
      <c r="N334" t="str">
        <f>Matchs!G335</f>
        <v>Final Round</v>
      </c>
      <c r="O334" s="6" t="str">
        <f t="shared" si="102"/>
        <v>",Stage= "</v>
      </c>
      <c r="P334" t="str">
        <f>Matchs!H335</f>
        <v>Group</v>
      </c>
      <c r="Q334" s="6" t="str">
        <f t="shared" si="103"/>
        <v>",SubStage= "</v>
      </c>
      <c r="R334" t="str">
        <f>Matchs!I335</f>
        <v>Group 3</v>
      </c>
      <c r="S334" s="6" t="str">
        <f t="shared" si="104"/>
        <v>",HTeam= "</v>
      </c>
      <c r="T334" t="str">
        <f>Matchs!J335</f>
        <v>Belgium</v>
      </c>
      <c r="U334" s="6" t="str">
        <f t="shared" si="105"/>
        <v>",HGoal=</v>
      </c>
      <c r="V334">
        <f>Matchs!K335</f>
        <v>1</v>
      </c>
      <c r="W334" s="6" t="str">
        <f t="shared" si="106"/>
        <v>,GGoal=</v>
      </c>
      <c r="X334">
        <f>Matchs!L335</f>
        <v>1</v>
      </c>
      <c r="Y334" s="6" t="str">
        <f t="shared" si="107"/>
        <v>,GTeam= "</v>
      </c>
      <c r="Z334" t="str">
        <f>Matchs!M335</f>
        <v>Hungary</v>
      </c>
      <c r="AA334" s="6" t="str">
        <f t="shared" si="108"/>
        <v>",WinNote="</v>
      </c>
      <c r="AB334" t="str">
        <f>IF(Matchs!N335="","",Matchs!N335)</f>
        <v/>
      </c>
      <c r="AC334" s="6" t="str">
        <f t="shared" si="109"/>
        <v xml:space="preserve">",Stadium=" </v>
      </c>
      <c r="AD334" s="11" t="str">
        <f>Matchs!O335</f>
        <v xml:space="preserve">Estadio Manuel Martínez Valero </v>
      </c>
      <c r="AE334" s="6" t="str">
        <f t="shared" si="110"/>
        <v>",Referee= "</v>
      </c>
      <c r="AF334" s="11" t="str">
        <f>Matchs!P335</f>
        <v xml:space="preserve">Clive White </v>
      </c>
      <c r="AG334" s="6" t="str">
        <f t="shared" si="111"/>
        <v xml:space="preserve">",Visistors= </v>
      </c>
      <c r="AH334" s="11">
        <f>Matchs!Q335</f>
        <v>37000</v>
      </c>
      <c r="AI334" s="11" t="str">
        <f t="shared" si="112"/>
        <v>,Status= "</v>
      </c>
      <c r="AJ334" s="11" t="str">
        <f>Matchs!R335</f>
        <v>Finished</v>
      </c>
      <c r="AK334" t="str">
        <f t="shared" si="113"/>
        <v>" },</v>
      </c>
    </row>
    <row r="335" spans="1:37" x14ac:dyDescent="0.25">
      <c r="A335" t="str">
        <f t="shared" si="95"/>
        <v>new Match { MatchId= "</v>
      </c>
      <c r="B335" t="str">
        <f>Matchs!A336</f>
        <v>FIFAWC1982-27</v>
      </c>
      <c r="C335" t="str">
        <f t="shared" si="96"/>
        <v>",MatchNumer=</v>
      </c>
      <c r="D335">
        <f>Matchs!B336</f>
        <v>27</v>
      </c>
      <c r="E335" t="str">
        <f t="shared" si="97"/>
        <v>,DateMatch=DateTime.Parse("</v>
      </c>
      <c r="F335" s="3">
        <f>Matchs!C336</f>
        <v>30125</v>
      </c>
      <c r="G335" s="10" t="str">
        <f t="shared" si="98"/>
        <v>"),TimeMatch=TimeSpan.Parse("</v>
      </c>
      <c r="H335" s="9">
        <f>Matchs!D336</f>
        <v>8.3333333333333329E-2</v>
      </c>
      <c r="I335" t="str">
        <f t="shared" si="99"/>
        <v>"),MatchYear=</v>
      </c>
      <c r="J335">
        <f>Matchs!E336</f>
        <v>1982</v>
      </c>
      <c r="K335" t="str">
        <f t="shared" si="100"/>
        <v>, SeasonId= "</v>
      </c>
      <c r="L335" t="str">
        <f>Matchs!F336</f>
        <v>FIFAWC1982</v>
      </c>
      <c r="M335" t="str">
        <f t="shared" si="101"/>
        <v>",Round= "</v>
      </c>
      <c r="N335" t="str">
        <f>Matchs!G336</f>
        <v>Final Round</v>
      </c>
      <c r="O335" s="6" t="str">
        <f t="shared" si="102"/>
        <v>",Stage= "</v>
      </c>
      <c r="P335" t="str">
        <f>Matchs!H336</f>
        <v>Group</v>
      </c>
      <c r="Q335" s="6" t="str">
        <f t="shared" si="103"/>
        <v>",SubStage= "</v>
      </c>
      <c r="R335" t="str">
        <f>Matchs!I336</f>
        <v>Group 6</v>
      </c>
      <c r="S335" s="6" t="str">
        <f t="shared" si="104"/>
        <v>",HTeam= "</v>
      </c>
      <c r="T335" t="str">
        <f>Matchs!J336</f>
        <v>Soviet Union</v>
      </c>
      <c r="U335" s="6" t="str">
        <f t="shared" si="105"/>
        <v>",HGoal=</v>
      </c>
      <c r="V335">
        <f>Matchs!K336</f>
        <v>2</v>
      </c>
      <c r="W335" s="6" t="str">
        <f t="shared" si="106"/>
        <v>,GGoal=</v>
      </c>
      <c r="X335">
        <f>Matchs!L336</f>
        <v>2</v>
      </c>
      <c r="Y335" s="6" t="str">
        <f t="shared" si="107"/>
        <v>,GTeam= "</v>
      </c>
      <c r="Z335" t="str">
        <f>Matchs!M336</f>
        <v>Scotland</v>
      </c>
      <c r="AA335" s="6" t="str">
        <f t="shared" si="108"/>
        <v>",WinNote="</v>
      </c>
      <c r="AB335" t="str">
        <f>IF(Matchs!N336="","",Matchs!N336)</f>
        <v/>
      </c>
      <c r="AC335" s="6" t="str">
        <f t="shared" si="109"/>
        <v xml:space="preserve">",Stadium=" </v>
      </c>
      <c r="AD335" s="11" t="str">
        <f>Matchs!O336</f>
        <v xml:space="preserve">Estadio La Rosaleda </v>
      </c>
      <c r="AE335" s="6" t="str">
        <f t="shared" si="110"/>
        <v>",Referee= "</v>
      </c>
      <c r="AF335" s="11" t="str">
        <f>Matchs!P336</f>
        <v xml:space="preserve">Nicolae Rainea </v>
      </c>
      <c r="AG335" s="6" t="str">
        <f t="shared" si="111"/>
        <v xml:space="preserve">",Visistors= </v>
      </c>
      <c r="AH335" s="11">
        <f>Matchs!Q336</f>
        <v>45000</v>
      </c>
      <c r="AI335" s="11" t="str">
        <f t="shared" si="112"/>
        <v>,Status= "</v>
      </c>
      <c r="AJ335" s="11" t="str">
        <f>Matchs!R336</f>
        <v>Finished</v>
      </c>
      <c r="AK335" t="str">
        <f t="shared" si="113"/>
        <v>" },</v>
      </c>
    </row>
    <row r="336" spans="1:37" x14ac:dyDescent="0.25">
      <c r="A336" t="str">
        <f t="shared" si="95"/>
        <v>new Match { MatchId= "</v>
      </c>
      <c r="B336" t="str">
        <f>Matchs!A337</f>
        <v>FIFAWC1982-28</v>
      </c>
      <c r="C336" t="str">
        <f t="shared" si="96"/>
        <v>",MatchNumer=</v>
      </c>
      <c r="D336">
        <f>Matchs!B337</f>
        <v>28</v>
      </c>
      <c r="E336" t="str">
        <f t="shared" si="97"/>
        <v>,DateMatch=DateTime.Parse("</v>
      </c>
      <c r="F336" s="3">
        <f>Matchs!C337</f>
        <v>30125</v>
      </c>
      <c r="G336" s="10" t="str">
        <f t="shared" si="98"/>
        <v>"),TimeMatch=TimeSpan.Parse("</v>
      </c>
      <c r="H336" s="9">
        <f>Matchs!D337</f>
        <v>0.92708333333333337</v>
      </c>
      <c r="I336" t="str">
        <f t="shared" si="99"/>
        <v>"),MatchYear=</v>
      </c>
      <c r="J336">
        <f>Matchs!E337</f>
        <v>1982</v>
      </c>
      <c r="K336" t="str">
        <f t="shared" si="100"/>
        <v>, SeasonId= "</v>
      </c>
      <c r="L336" t="str">
        <f>Matchs!F337</f>
        <v>FIFAWC1982</v>
      </c>
      <c r="M336" t="str">
        <f t="shared" si="101"/>
        <v>",Round= "</v>
      </c>
      <c r="N336" t="str">
        <f>Matchs!G337</f>
        <v>Final Round</v>
      </c>
      <c r="O336" s="6" t="str">
        <f t="shared" si="102"/>
        <v>",Stage= "</v>
      </c>
      <c r="P336" t="str">
        <f>Matchs!H337</f>
        <v>Group</v>
      </c>
      <c r="Q336" s="6" t="str">
        <f t="shared" si="103"/>
        <v>",SubStage= "</v>
      </c>
      <c r="R336" t="str">
        <f>Matchs!I337</f>
        <v>Group 1</v>
      </c>
      <c r="S336" s="6" t="str">
        <f t="shared" si="104"/>
        <v>",HTeam= "</v>
      </c>
      <c r="T336" t="str">
        <f>Matchs!J337</f>
        <v>Italy</v>
      </c>
      <c r="U336" s="6" t="str">
        <f t="shared" si="105"/>
        <v>",HGoal=</v>
      </c>
      <c r="V336">
        <f>Matchs!K337</f>
        <v>1</v>
      </c>
      <c r="W336" s="6" t="str">
        <f t="shared" si="106"/>
        <v>,GGoal=</v>
      </c>
      <c r="X336">
        <f>Matchs!L337</f>
        <v>1</v>
      </c>
      <c r="Y336" s="6" t="str">
        <f t="shared" si="107"/>
        <v>,GTeam= "</v>
      </c>
      <c r="Z336" t="str">
        <f>Matchs!M337</f>
        <v>Cameroon</v>
      </c>
      <c r="AA336" s="6" t="str">
        <f t="shared" si="108"/>
        <v>",WinNote="</v>
      </c>
      <c r="AB336" t="str">
        <f>IF(Matchs!N337="","",Matchs!N337)</f>
        <v/>
      </c>
      <c r="AC336" s="6" t="str">
        <f t="shared" si="109"/>
        <v xml:space="preserve">",Stadium=" </v>
      </c>
      <c r="AD336" s="11" t="str">
        <f>Matchs!O337</f>
        <v xml:space="preserve">Balaídos </v>
      </c>
      <c r="AE336" s="6" t="str">
        <f t="shared" si="110"/>
        <v>",Referee= "</v>
      </c>
      <c r="AF336" s="11" t="str">
        <f>Matchs!P337</f>
        <v xml:space="preserve">Bogdan Dotchev </v>
      </c>
      <c r="AG336" s="6" t="str">
        <f t="shared" si="111"/>
        <v xml:space="preserve">",Visistors= </v>
      </c>
      <c r="AH336" s="11">
        <f>Matchs!Q337</f>
        <v>20000</v>
      </c>
      <c r="AI336" s="11" t="str">
        <f t="shared" si="112"/>
        <v>,Status= "</v>
      </c>
      <c r="AJ336" s="11" t="str">
        <f>Matchs!R337</f>
        <v>Finished</v>
      </c>
      <c r="AK336" t="str">
        <f t="shared" si="113"/>
        <v>" },</v>
      </c>
    </row>
    <row r="337" spans="1:37" x14ac:dyDescent="0.25">
      <c r="A337" t="str">
        <f t="shared" si="95"/>
        <v>new Match { MatchId= "</v>
      </c>
      <c r="B337" t="str">
        <f>Matchs!A338</f>
        <v>FIFAWC1982-29</v>
      </c>
      <c r="C337" t="str">
        <f t="shared" si="96"/>
        <v>",MatchNumer=</v>
      </c>
      <c r="D337">
        <f>Matchs!B338</f>
        <v>29</v>
      </c>
      <c r="E337" t="str">
        <f t="shared" si="97"/>
        <v>,DateMatch=DateTime.Parse("</v>
      </c>
      <c r="F337" s="3">
        <f>Matchs!C338</f>
        <v>30126</v>
      </c>
      <c r="G337" s="10" t="str">
        <f t="shared" si="98"/>
        <v>"),TimeMatch=TimeSpan.Parse("</v>
      </c>
      <c r="H337" s="9">
        <f>Matchs!D338</f>
        <v>8.3333333333333329E-2</v>
      </c>
      <c r="I337" t="str">
        <f t="shared" si="99"/>
        <v>"),MatchYear=</v>
      </c>
      <c r="J337">
        <f>Matchs!E338</f>
        <v>1982</v>
      </c>
      <c r="K337" t="str">
        <f t="shared" si="100"/>
        <v>, SeasonId= "</v>
      </c>
      <c r="L337" t="str">
        <f>Matchs!F338</f>
        <v>FIFAWC1982</v>
      </c>
      <c r="M337" t="str">
        <f t="shared" si="101"/>
        <v>",Round= "</v>
      </c>
      <c r="N337" t="str">
        <f>Matchs!G338</f>
        <v>Final Round</v>
      </c>
      <c r="O337" s="6" t="str">
        <f t="shared" si="102"/>
        <v>",Stage= "</v>
      </c>
      <c r="P337" t="str">
        <f>Matchs!H338</f>
        <v>Group</v>
      </c>
      <c r="Q337" s="6" t="str">
        <f t="shared" si="103"/>
        <v>",SubStage= "</v>
      </c>
      <c r="R337" t="str">
        <f>Matchs!I338</f>
        <v>Group 3</v>
      </c>
      <c r="S337" s="6" t="str">
        <f t="shared" si="104"/>
        <v>",HTeam= "</v>
      </c>
      <c r="T337" t="str">
        <f>Matchs!J338</f>
        <v>Argentina</v>
      </c>
      <c r="U337" s="6" t="str">
        <f t="shared" si="105"/>
        <v>",HGoal=</v>
      </c>
      <c r="V337">
        <f>Matchs!K338</f>
        <v>2</v>
      </c>
      <c r="W337" s="6" t="str">
        <f t="shared" si="106"/>
        <v>,GGoal=</v>
      </c>
      <c r="X337">
        <f>Matchs!L338</f>
        <v>0</v>
      </c>
      <c r="Y337" s="6" t="str">
        <f t="shared" si="107"/>
        <v>,GTeam= "</v>
      </c>
      <c r="Z337" t="str">
        <f>Matchs!M338</f>
        <v>El Salvador</v>
      </c>
      <c r="AA337" s="6" t="str">
        <f t="shared" si="108"/>
        <v>",WinNote="</v>
      </c>
      <c r="AB337" t="str">
        <f>IF(Matchs!N338="","",Matchs!N338)</f>
        <v/>
      </c>
      <c r="AC337" s="6" t="str">
        <f t="shared" si="109"/>
        <v xml:space="preserve">",Stadium=" </v>
      </c>
      <c r="AD337" s="11" t="str">
        <f>Matchs!O338</f>
        <v xml:space="preserve">Estadio José Rico Pérez </v>
      </c>
      <c r="AE337" s="6" t="str">
        <f t="shared" si="110"/>
        <v>",Referee= "</v>
      </c>
      <c r="AF337" s="11" t="str">
        <f>Matchs!P338</f>
        <v xml:space="preserve">Luis Barrancos </v>
      </c>
      <c r="AG337" s="6" t="str">
        <f t="shared" si="111"/>
        <v xml:space="preserve">",Visistors= </v>
      </c>
      <c r="AH337" s="11">
        <f>Matchs!Q338</f>
        <v>32500</v>
      </c>
      <c r="AI337" s="11" t="str">
        <f t="shared" si="112"/>
        <v>,Status= "</v>
      </c>
      <c r="AJ337" s="11" t="str">
        <f>Matchs!R338</f>
        <v>Finished</v>
      </c>
      <c r="AK337" t="str">
        <f t="shared" si="113"/>
        <v>" },</v>
      </c>
    </row>
    <row r="338" spans="1:37" x14ac:dyDescent="0.25">
      <c r="A338" t="str">
        <f t="shared" si="95"/>
        <v>new Match { MatchId= "</v>
      </c>
      <c r="B338" t="str">
        <f>Matchs!A339</f>
        <v>FIFAWC1982-30</v>
      </c>
      <c r="C338" t="str">
        <f t="shared" si="96"/>
        <v>",MatchNumer=</v>
      </c>
      <c r="D338">
        <f>Matchs!B339</f>
        <v>30</v>
      </c>
      <c r="E338" t="str">
        <f t="shared" si="97"/>
        <v>,DateMatch=DateTime.Parse("</v>
      </c>
      <c r="F338" s="3">
        <f>Matchs!C339</f>
        <v>30126</v>
      </c>
      <c r="G338" s="10" t="str">
        <f t="shared" si="98"/>
        <v>"),TimeMatch=TimeSpan.Parse("</v>
      </c>
      <c r="H338" s="9">
        <f>Matchs!D339</f>
        <v>8.3333333333333329E-2</v>
      </c>
      <c r="I338" t="str">
        <f t="shared" si="99"/>
        <v>"),MatchYear=</v>
      </c>
      <c r="J338">
        <f>Matchs!E339</f>
        <v>1982</v>
      </c>
      <c r="K338" t="str">
        <f t="shared" si="100"/>
        <v>, SeasonId= "</v>
      </c>
      <c r="L338" t="str">
        <f>Matchs!F339</f>
        <v>FIFAWC1982</v>
      </c>
      <c r="M338" t="str">
        <f t="shared" si="101"/>
        <v>",Round= "</v>
      </c>
      <c r="N338" t="str">
        <f>Matchs!G339</f>
        <v>Final Round</v>
      </c>
      <c r="O338" s="6" t="str">
        <f t="shared" si="102"/>
        <v>",Stage= "</v>
      </c>
      <c r="P338" t="str">
        <f>Matchs!H339</f>
        <v>Group</v>
      </c>
      <c r="Q338" s="6" t="str">
        <f t="shared" si="103"/>
        <v>",SubStage= "</v>
      </c>
      <c r="R338" t="str">
        <f>Matchs!I339</f>
        <v>Group 6</v>
      </c>
      <c r="S338" s="6" t="str">
        <f t="shared" si="104"/>
        <v>",HTeam= "</v>
      </c>
      <c r="T338" t="str">
        <f>Matchs!J339</f>
        <v>Brazil</v>
      </c>
      <c r="U338" s="6" t="str">
        <f t="shared" si="105"/>
        <v>",HGoal=</v>
      </c>
      <c r="V338">
        <f>Matchs!K339</f>
        <v>4</v>
      </c>
      <c r="W338" s="6" t="str">
        <f t="shared" si="106"/>
        <v>,GGoal=</v>
      </c>
      <c r="X338">
        <f>Matchs!L339</f>
        <v>0</v>
      </c>
      <c r="Y338" s="6" t="str">
        <f t="shared" si="107"/>
        <v>,GTeam= "</v>
      </c>
      <c r="Z338" t="str">
        <f>Matchs!M339</f>
        <v>New Zealand</v>
      </c>
      <c r="AA338" s="6" t="str">
        <f t="shared" si="108"/>
        <v>",WinNote="</v>
      </c>
      <c r="AB338" t="str">
        <f>IF(Matchs!N339="","",Matchs!N339)</f>
        <v/>
      </c>
      <c r="AC338" s="6" t="str">
        <f t="shared" si="109"/>
        <v xml:space="preserve">",Stadium=" </v>
      </c>
      <c r="AD338" s="11" t="str">
        <f>Matchs!O339</f>
        <v xml:space="preserve">Estadio Benito Villamarín </v>
      </c>
      <c r="AE338" s="6" t="str">
        <f t="shared" si="110"/>
        <v>",Referee= "</v>
      </c>
      <c r="AF338" s="11" t="str">
        <f>Matchs!P339</f>
        <v xml:space="preserve">Damir Matovinovic </v>
      </c>
      <c r="AG338" s="6" t="str">
        <f t="shared" si="111"/>
        <v xml:space="preserve">",Visistors= </v>
      </c>
      <c r="AH338" s="11">
        <f>Matchs!Q339</f>
        <v>43000</v>
      </c>
      <c r="AI338" s="11" t="str">
        <f t="shared" si="112"/>
        <v>,Status= "</v>
      </c>
      <c r="AJ338" s="11" t="str">
        <f>Matchs!R339</f>
        <v>Finished</v>
      </c>
      <c r="AK338" t="str">
        <f t="shared" si="113"/>
        <v>" },</v>
      </c>
    </row>
    <row r="339" spans="1:37" x14ac:dyDescent="0.25">
      <c r="A339" t="str">
        <f t="shared" si="95"/>
        <v>new Match { MatchId= "</v>
      </c>
      <c r="B339" t="str">
        <f>Matchs!A340</f>
        <v>FIFAWC1982-31</v>
      </c>
      <c r="C339" t="str">
        <f t="shared" si="96"/>
        <v>",MatchNumer=</v>
      </c>
      <c r="D339">
        <f>Matchs!B340</f>
        <v>31</v>
      </c>
      <c r="E339" t="str">
        <f t="shared" si="97"/>
        <v>,DateMatch=DateTime.Parse("</v>
      </c>
      <c r="F339" s="3">
        <f>Matchs!C340</f>
        <v>30126</v>
      </c>
      <c r="G339" s="10" t="str">
        <f t="shared" si="98"/>
        <v>"),TimeMatch=TimeSpan.Parse("</v>
      </c>
      <c r="H339" s="9">
        <f>Matchs!D340</f>
        <v>0.92708333333333337</v>
      </c>
      <c r="I339" t="str">
        <f t="shared" si="99"/>
        <v>"),MatchYear=</v>
      </c>
      <c r="J339">
        <f>Matchs!E340</f>
        <v>1982</v>
      </c>
      <c r="K339" t="str">
        <f t="shared" si="100"/>
        <v>, SeasonId= "</v>
      </c>
      <c r="L339" t="str">
        <f>Matchs!F340</f>
        <v>FIFAWC1982</v>
      </c>
      <c r="M339" t="str">
        <f t="shared" si="101"/>
        <v>",Round= "</v>
      </c>
      <c r="N339" t="str">
        <f>Matchs!G340</f>
        <v>Final Round</v>
      </c>
      <c r="O339" s="6" t="str">
        <f t="shared" si="102"/>
        <v>",Stage= "</v>
      </c>
      <c r="P339" t="str">
        <f>Matchs!H340</f>
        <v>Group</v>
      </c>
      <c r="Q339" s="6" t="str">
        <f t="shared" si="103"/>
        <v>",SubStage= "</v>
      </c>
      <c r="R339" t="str">
        <f>Matchs!I340</f>
        <v>Group 2</v>
      </c>
      <c r="S339" s="6" t="str">
        <f t="shared" si="104"/>
        <v>",HTeam= "</v>
      </c>
      <c r="T339" t="str">
        <f>Matchs!J340</f>
        <v>Algeria</v>
      </c>
      <c r="U339" s="6" t="str">
        <f t="shared" si="105"/>
        <v>",HGoal=</v>
      </c>
      <c r="V339">
        <f>Matchs!K340</f>
        <v>3</v>
      </c>
      <c r="W339" s="6" t="str">
        <f t="shared" si="106"/>
        <v>,GGoal=</v>
      </c>
      <c r="X339">
        <f>Matchs!L340</f>
        <v>2</v>
      </c>
      <c r="Y339" s="6" t="str">
        <f t="shared" si="107"/>
        <v>,GTeam= "</v>
      </c>
      <c r="Z339" t="str">
        <f>Matchs!M340</f>
        <v>Chile</v>
      </c>
      <c r="AA339" s="6" t="str">
        <f t="shared" si="108"/>
        <v>",WinNote="</v>
      </c>
      <c r="AB339" t="str">
        <f>IF(Matchs!N340="","",Matchs!N340)</f>
        <v/>
      </c>
      <c r="AC339" s="6" t="str">
        <f t="shared" si="109"/>
        <v xml:space="preserve">",Stadium=" </v>
      </c>
      <c r="AD339" s="11" t="str">
        <f>Matchs!O340</f>
        <v xml:space="preserve">Estadio Carlos Tartiere </v>
      </c>
      <c r="AE339" s="6" t="str">
        <f t="shared" si="110"/>
        <v>",Referee= "</v>
      </c>
      <c r="AF339" s="11" t="str">
        <f>Matchs!P340</f>
        <v xml:space="preserve">Romulo Mendez </v>
      </c>
      <c r="AG339" s="6" t="str">
        <f t="shared" si="111"/>
        <v xml:space="preserve">",Visistors= </v>
      </c>
      <c r="AH339" s="11">
        <f>Matchs!Q340</f>
        <v>16000</v>
      </c>
      <c r="AI339" s="11" t="str">
        <f t="shared" si="112"/>
        <v>,Status= "</v>
      </c>
      <c r="AJ339" s="11" t="str">
        <f>Matchs!R340</f>
        <v>Finished</v>
      </c>
      <c r="AK339" t="str">
        <f t="shared" si="113"/>
        <v>" },</v>
      </c>
    </row>
    <row r="340" spans="1:37" x14ac:dyDescent="0.25">
      <c r="A340" t="str">
        <f t="shared" si="95"/>
        <v>new Match { MatchId= "</v>
      </c>
      <c r="B340" t="str">
        <f>Matchs!A341</f>
        <v>FIFAWC1982-32</v>
      </c>
      <c r="C340" t="str">
        <f t="shared" si="96"/>
        <v>",MatchNumer=</v>
      </c>
      <c r="D340">
        <f>Matchs!B341</f>
        <v>32</v>
      </c>
      <c r="E340" t="str">
        <f t="shared" si="97"/>
        <v>,DateMatch=DateTime.Parse("</v>
      </c>
      <c r="F340" s="3">
        <f>Matchs!C341</f>
        <v>30126</v>
      </c>
      <c r="G340" s="10" t="str">
        <f t="shared" si="98"/>
        <v>"),TimeMatch=TimeSpan.Parse("</v>
      </c>
      <c r="H340" s="9">
        <f>Matchs!D341</f>
        <v>0.92708333333333337</v>
      </c>
      <c r="I340" t="str">
        <f t="shared" si="99"/>
        <v>"),MatchYear=</v>
      </c>
      <c r="J340">
        <f>Matchs!E341</f>
        <v>1982</v>
      </c>
      <c r="K340" t="str">
        <f t="shared" si="100"/>
        <v>, SeasonId= "</v>
      </c>
      <c r="L340" t="str">
        <f>Matchs!F341</f>
        <v>FIFAWC1982</v>
      </c>
      <c r="M340" t="str">
        <f t="shared" si="101"/>
        <v>",Round= "</v>
      </c>
      <c r="N340" t="str">
        <f>Matchs!G341</f>
        <v>Final Round</v>
      </c>
      <c r="O340" s="6" t="str">
        <f t="shared" si="102"/>
        <v>",Stage= "</v>
      </c>
      <c r="P340" t="str">
        <f>Matchs!H341</f>
        <v>Group</v>
      </c>
      <c r="Q340" s="6" t="str">
        <f t="shared" si="103"/>
        <v>",SubStage= "</v>
      </c>
      <c r="R340" t="str">
        <f>Matchs!I341</f>
        <v>Group 4</v>
      </c>
      <c r="S340" s="6" t="str">
        <f t="shared" si="104"/>
        <v>",HTeam= "</v>
      </c>
      <c r="T340" t="str">
        <f>Matchs!J341</f>
        <v>France</v>
      </c>
      <c r="U340" s="6" t="str">
        <f t="shared" si="105"/>
        <v>",HGoal=</v>
      </c>
      <c r="V340">
        <f>Matchs!K341</f>
        <v>1</v>
      </c>
      <c r="W340" s="6" t="str">
        <f t="shared" si="106"/>
        <v>,GGoal=</v>
      </c>
      <c r="X340">
        <f>Matchs!L341</f>
        <v>1</v>
      </c>
      <c r="Y340" s="6" t="str">
        <f t="shared" si="107"/>
        <v>,GTeam= "</v>
      </c>
      <c r="Z340" t="str">
        <f>Matchs!M341</f>
        <v>Czechoslovakia</v>
      </c>
      <c r="AA340" s="6" t="str">
        <f t="shared" si="108"/>
        <v>",WinNote="</v>
      </c>
      <c r="AB340" t="str">
        <f>IF(Matchs!N341="","",Matchs!N341)</f>
        <v/>
      </c>
      <c r="AC340" s="6" t="str">
        <f t="shared" si="109"/>
        <v xml:space="preserve">",Stadium=" </v>
      </c>
      <c r="AD340" s="11" t="str">
        <f>Matchs!O341</f>
        <v xml:space="preserve">Estadio Nuevo José Zorrilla </v>
      </c>
      <c r="AE340" s="6" t="str">
        <f t="shared" si="110"/>
        <v>",Referee= "</v>
      </c>
      <c r="AF340" s="11" t="str">
        <f>Matchs!P341</f>
        <v xml:space="preserve">Paolo Casarin </v>
      </c>
      <c r="AG340" s="6" t="str">
        <f t="shared" si="111"/>
        <v xml:space="preserve">",Visistors= </v>
      </c>
      <c r="AH340" s="11">
        <f>Matchs!Q341</f>
        <v>28000</v>
      </c>
      <c r="AI340" s="11" t="str">
        <f t="shared" si="112"/>
        <v>,Status= "</v>
      </c>
      <c r="AJ340" s="11" t="str">
        <f>Matchs!R341</f>
        <v>Finished</v>
      </c>
      <c r="AK340" t="str">
        <f t="shared" si="113"/>
        <v>" },</v>
      </c>
    </row>
    <row r="341" spans="1:37" x14ac:dyDescent="0.25">
      <c r="A341" t="str">
        <f t="shared" si="95"/>
        <v>new Match { MatchId= "</v>
      </c>
      <c r="B341" t="str">
        <f>Matchs!A342</f>
        <v>FIFAWC1982-33</v>
      </c>
      <c r="C341" t="str">
        <f t="shared" si="96"/>
        <v>",MatchNumer=</v>
      </c>
      <c r="D341">
        <f>Matchs!B342</f>
        <v>33</v>
      </c>
      <c r="E341" t="str">
        <f t="shared" si="97"/>
        <v>,DateMatch=DateTime.Parse("</v>
      </c>
      <c r="F341" s="3">
        <f>Matchs!C342</f>
        <v>30127</v>
      </c>
      <c r="G341" s="10" t="str">
        <f t="shared" si="98"/>
        <v>"),TimeMatch=TimeSpan.Parse("</v>
      </c>
      <c r="H341" s="9">
        <f>Matchs!D342</f>
        <v>8.3333333333333329E-2</v>
      </c>
      <c r="I341" t="str">
        <f t="shared" si="99"/>
        <v>"),MatchYear=</v>
      </c>
      <c r="J341">
        <f>Matchs!E342</f>
        <v>1982</v>
      </c>
      <c r="K341" t="str">
        <f t="shared" si="100"/>
        <v>, SeasonId= "</v>
      </c>
      <c r="L341" t="str">
        <f>Matchs!F342</f>
        <v>FIFAWC1982</v>
      </c>
      <c r="M341" t="str">
        <f t="shared" si="101"/>
        <v>",Round= "</v>
      </c>
      <c r="N341" t="str">
        <f>Matchs!G342</f>
        <v>Final Round</v>
      </c>
      <c r="O341" s="6" t="str">
        <f t="shared" si="102"/>
        <v>",Stage= "</v>
      </c>
      <c r="P341" t="str">
        <f>Matchs!H342</f>
        <v>Group</v>
      </c>
      <c r="Q341" s="6" t="str">
        <f t="shared" si="103"/>
        <v>",SubStage= "</v>
      </c>
      <c r="R341" t="str">
        <f>Matchs!I342</f>
        <v>Group 5</v>
      </c>
      <c r="S341" s="6" t="str">
        <f t="shared" si="104"/>
        <v>",HTeam= "</v>
      </c>
      <c r="T341" t="str">
        <f>Matchs!J342</f>
        <v>Honduras</v>
      </c>
      <c r="U341" s="6" t="str">
        <f t="shared" si="105"/>
        <v>",HGoal=</v>
      </c>
      <c r="V341">
        <f>Matchs!K342</f>
        <v>0</v>
      </c>
      <c r="W341" s="6" t="str">
        <f t="shared" si="106"/>
        <v>,GGoal=</v>
      </c>
      <c r="X341">
        <f>Matchs!L342</f>
        <v>1</v>
      </c>
      <c r="Y341" s="6" t="str">
        <f t="shared" si="107"/>
        <v>,GTeam= "</v>
      </c>
      <c r="Z341" t="str">
        <f>Matchs!M342</f>
        <v>Yugoslavia</v>
      </c>
      <c r="AA341" s="6" t="str">
        <f t="shared" si="108"/>
        <v>",WinNote="</v>
      </c>
      <c r="AB341" t="str">
        <f>IF(Matchs!N342="","",Matchs!N342)</f>
        <v/>
      </c>
      <c r="AC341" s="6" t="str">
        <f t="shared" si="109"/>
        <v xml:space="preserve">",Stadium=" </v>
      </c>
      <c r="AD341" s="11" t="str">
        <f>Matchs!O342</f>
        <v xml:space="preserve">La Romareda </v>
      </c>
      <c r="AE341" s="6" t="str">
        <f t="shared" si="110"/>
        <v>",Referee= "</v>
      </c>
      <c r="AF341" s="11" t="str">
        <f>Matchs!P342</f>
        <v xml:space="preserve">Gastón Castro </v>
      </c>
      <c r="AG341" s="6" t="str">
        <f t="shared" si="111"/>
        <v xml:space="preserve">",Visistors= </v>
      </c>
      <c r="AH341" s="11">
        <f>Matchs!Q342</f>
        <v>25000</v>
      </c>
      <c r="AI341" s="11" t="str">
        <f t="shared" si="112"/>
        <v>,Status= "</v>
      </c>
      <c r="AJ341" s="11" t="str">
        <f>Matchs!R342</f>
        <v>Finished</v>
      </c>
      <c r="AK341" t="str">
        <f t="shared" si="113"/>
        <v>" },</v>
      </c>
    </row>
    <row r="342" spans="1:37" x14ac:dyDescent="0.25">
      <c r="A342" t="str">
        <f t="shared" si="95"/>
        <v>new Match { MatchId= "</v>
      </c>
      <c r="B342" t="str">
        <f>Matchs!A343</f>
        <v>FIFAWC1982-34</v>
      </c>
      <c r="C342" t="str">
        <f t="shared" si="96"/>
        <v>",MatchNumer=</v>
      </c>
      <c r="D342">
        <f>Matchs!B343</f>
        <v>34</v>
      </c>
      <c r="E342" t="str">
        <f t="shared" si="97"/>
        <v>,DateMatch=DateTime.Parse("</v>
      </c>
      <c r="F342" s="3">
        <f>Matchs!C343</f>
        <v>30127</v>
      </c>
      <c r="G342" s="10" t="str">
        <f t="shared" si="98"/>
        <v>"),TimeMatch=TimeSpan.Parse("</v>
      </c>
      <c r="H342" s="9">
        <f>Matchs!D343</f>
        <v>0.92708333333333337</v>
      </c>
      <c r="I342" t="str">
        <f t="shared" si="99"/>
        <v>"),MatchYear=</v>
      </c>
      <c r="J342">
        <f>Matchs!E343</f>
        <v>1982</v>
      </c>
      <c r="K342" t="str">
        <f t="shared" si="100"/>
        <v>, SeasonId= "</v>
      </c>
      <c r="L342" t="str">
        <f>Matchs!F343</f>
        <v>FIFAWC1982</v>
      </c>
      <c r="M342" t="str">
        <f t="shared" si="101"/>
        <v>",Round= "</v>
      </c>
      <c r="N342" t="str">
        <f>Matchs!G343</f>
        <v>Final Round</v>
      </c>
      <c r="O342" s="6" t="str">
        <f t="shared" si="102"/>
        <v>",Stage= "</v>
      </c>
      <c r="P342" t="str">
        <f>Matchs!H343</f>
        <v>Group</v>
      </c>
      <c r="Q342" s="6" t="str">
        <f t="shared" si="103"/>
        <v>",SubStage= "</v>
      </c>
      <c r="R342" t="str">
        <f>Matchs!I343</f>
        <v>Group 2</v>
      </c>
      <c r="S342" s="6" t="str">
        <f t="shared" si="104"/>
        <v>",HTeam= "</v>
      </c>
      <c r="T342" t="str">
        <f>Matchs!J343</f>
        <v>Germany</v>
      </c>
      <c r="U342" s="6" t="str">
        <f t="shared" si="105"/>
        <v>",HGoal=</v>
      </c>
      <c r="V342">
        <f>Matchs!K343</f>
        <v>1</v>
      </c>
      <c r="W342" s="6" t="str">
        <f t="shared" si="106"/>
        <v>,GGoal=</v>
      </c>
      <c r="X342">
        <f>Matchs!L343</f>
        <v>0</v>
      </c>
      <c r="Y342" s="6" t="str">
        <f t="shared" si="107"/>
        <v>,GTeam= "</v>
      </c>
      <c r="Z342" t="str">
        <f>Matchs!M343</f>
        <v>Austria</v>
      </c>
      <c r="AA342" s="6" t="str">
        <f t="shared" si="108"/>
        <v>",WinNote="</v>
      </c>
      <c r="AB342" t="str">
        <f>IF(Matchs!N343="","",Matchs!N343)</f>
        <v/>
      </c>
      <c r="AC342" s="6" t="str">
        <f t="shared" si="109"/>
        <v xml:space="preserve">",Stadium=" </v>
      </c>
      <c r="AD342" s="11" t="str">
        <f>Matchs!O343</f>
        <v xml:space="preserve">El Molinon </v>
      </c>
      <c r="AE342" s="6" t="str">
        <f t="shared" si="110"/>
        <v>",Referee= "</v>
      </c>
      <c r="AF342" s="11" t="str">
        <f>Matchs!P343</f>
        <v xml:space="preserve">Bob Valentine </v>
      </c>
      <c r="AG342" s="6" t="str">
        <f t="shared" si="111"/>
        <v xml:space="preserve">",Visistors= </v>
      </c>
      <c r="AH342" s="11">
        <f>Matchs!Q343</f>
        <v>41000</v>
      </c>
      <c r="AI342" s="11" t="str">
        <f t="shared" si="112"/>
        <v>,Status= "</v>
      </c>
      <c r="AJ342" s="11" t="str">
        <f>Matchs!R343</f>
        <v>Finished</v>
      </c>
      <c r="AK342" t="str">
        <f t="shared" si="113"/>
        <v>" },</v>
      </c>
    </row>
    <row r="343" spans="1:37" x14ac:dyDescent="0.25">
      <c r="A343" t="str">
        <f t="shared" si="95"/>
        <v>new Match { MatchId= "</v>
      </c>
      <c r="B343" t="str">
        <f>Matchs!A344</f>
        <v>FIFAWC1982-35</v>
      </c>
      <c r="C343" t="str">
        <f t="shared" si="96"/>
        <v>",MatchNumer=</v>
      </c>
      <c r="D343">
        <f>Matchs!B344</f>
        <v>35</v>
      </c>
      <c r="E343" t="str">
        <f t="shared" si="97"/>
        <v>,DateMatch=DateTime.Parse("</v>
      </c>
      <c r="F343" s="3">
        <f>Matchs!C344</f>
        <v>30127</v>
      </c>
      <c r="G343" s="10" t="str">
        <f t="shared" si="98"/>
        <v>"),TimeMatch=TimeSpan.Parse("</v>
      </c>
      <c r="H343" s="9">
        <f>Matchs!D344</f>
        <v>0.92708333333333337</v>
      </c>
      <c r="I343" t="str">
        <f t="shared" si="99"/>
        <v>"),MatchYear=</v>
      </c>
      <c r="J343">
        <f>Matchs!E344</f>
        <v>1982</v>
      </c>
      <c r="K343" t="str">
        <f t="shared" si="100"/>
        <v>, SeasonId= "</v>
      </c>
      <c r="L343" t="str">
        <f>Matchs!F344</f>
        <v>FIFAWC1982</v>
      </c>
      <c r="M343" t="str">
        <f t="shared" si="101"/>
        <v>",Round= "</v>
      </c>
      <c r="N343" t="str">
        <f>Matchs!G344</f>
        <v>Final Round</v>
      </c>
      <c r="O343" s="6" t="str">
        <f t="shared" si="102"/>
        <v>",Stage= "</v>
      </c>
      <c r="P343" t="str">
        <f>Matchs!H344</f>
        <v>Group</v>
      </c>
      <c r="Q343" s="6" t="str">
        <f t="shared" si="103"/>
        <v>",SubStage= "</v>
      </c>
      <c r="R343" t="str">
        <f>Matchs!I344</f>
        <v>Group 4</v>
      </c>
      <c r="S343" s="6" t="str">
        <f t="shared" si="104"/>
        <v>",HTeam= "</v>
      </c>
      <c r="T343" t="str">
        <f>Matchs!J344</f>
        <v>England</v>
      </c>
      <c r="U343" s="6" t="str">
        <f t="shared" si="105"/>
        <v>",HGoal=</v>
      </c>
      <c r="V343">
        <f>Matchs!K344</f>
        <v>1</v>
      </c>
      <c r="W343" s="6" t="str">
        <f t="shared" si="106"/>
        <v>,GGoal=</v>
      </c>
      <c r="X343">
        <f>Matchs!L344</f>
        <v>0</v>
      </c>
      <c r="Y343" s="6" t="str">
        <f t="shared" si="107"/>
        <v>,GTeam= "</v>
      </c>
      <c r="Z343" t="str">
        <f>Matchs!M344</f>
        <v>Kuwait</v>
      </c>
      <c r="AA343" s="6" t="str">
        <f t="shared" si="108"/>
        <v>",WinNote="</v>
      </c>
      <c r="AB343" t="str">
        <f>IF(Matchs!N344="","",Matchs!N344)</f>
        <v/>
      </c>
      <c r="AC343" s="6" t="str">
        <f t="shared" si="109"/>
        <v xml:space="preserve">",Stadium=" </v>
      </c>
      <c r="AD343" s="11" t="str">
        <f>Matchs!O344</f>
        <v xml:space="preserve">Estadio San Mamés </v>
      </c>
      <c r="AE343" s="6" t="str">
        <f t="shared" si="110"/>
        <v>",Referee= "</v>
      </c>
      <c r="AF343" s="11" t="str">
        <f>Matchs!P344</f>
        <v xml:space="preserve">Gilberto Aristizábal </v>
      </c>
      <c r="AG343" s="6" t="str">
        <f t="shared" si="111"/>
        <v xml:space="preserve">",Visistors= </v>
      </c>
      <c r="AH343" s="11">
        <f>Matchs!Q344</f>
        <v>39700</v>
      </c>
      <c r="AI343" s="11" t="str">
        <f t="shared" si="112"/>
        <v>,Status= "</v>
      </c>
      <c r="AJ343" s="11" t="str">
        <f>Matchs!R344</f>
        <v>Finished</v>
      </c>
      <c r="AK343" t="str">
        <f t="shared" si="113"/>
        <v>" },</v>
      </c>
    </row>
    <row r="344" spans="1:37" x14ac:dyDescent="0.25">
      <c r="A344" t="str">
        <f t="shared" si="95"/>
        <v>new Match { MatchId= "</v>
      </c>
      <c r="B344" t="str">
        <f>Matchs!A345</f>
        <v>FIFAWC1982-36</v>
      </c>
      <c r="C344" t="str">
        <f t="shared" si="96"/>
        <v>",MatchNumer=</v>
      </c>
      <c r="D344">
        <f>Matchs!B345</f>
        <v>36</v>
      </c>
      <c r="E344" t="str">
        <f t="shared" si="97"/>
        <v>,DateMatch=DateTime.Parse("</v>
      </c>
      <c r="F344" s="3">
        <f>Matchs!C345</f>
        <v>30128</v>
      </c>
      <c r="G344" s="10" t="str">
        <f t="shared" si="98"/>
        <v>"),TimeMatch=TimeSpan.Parse("</v>
      </c>
      <c r="H344" s="9">
        <f>Matchs!D345</f>
        <v>8.3333333333333329E-2</v>
      </c>
      <c r="I344" t="str">
        <f t="shared" si="99"/>
        <v>"),MatchYear=</v>
      </c>
      <c r="J344">
        <f>Matchs!E345</f>
        <v>1982</v>
      </c>
      <c r="K344" t="str">
        <f t="shared" si="100"/>
        <v>, SeasonId= "</v>
      </c>
      <c r="L344" t="str">
        <f>Matchs!F345</f>
        <v>FIFAWC1982</v>
      </c>
      <c r="M344" t="str">
        <f t="shared" si="101"/>
        <v>",Round= "</v>
      </c>
      <c r="N344" t="str">
        <f>Matchs!G345</f>
        <v>Final Round</v>
      </c>
      <c r="O344" s="6" t="str">
        <f t="shared" si="102"/>
        <v>",Stage= "</v>
      </c>
      <c r="P344" t="str">
        <f>Matchs!H345</f>
        <v>Group</v>
      </c>
      <c r="Q344" s="6" t="str">
        <f t="shared" si="103"/>
        <v>",SubStage= "</v>
      </c>
      <c r="R344" t="str">
        <f>Matchs!I345</f>
        <v>Group 5</v>
      </c>
      <c r="S344" s="6" t="str">
        <f t="shared" si="104"/>
        <v>",HTeam= "</v>
      </c>
      <c r="T344" t="str">
        <f>Matchs!J345</f>
        <v>Northern Ireland</v>
      </c>
      <c r="U344" s="6" t="str">
        <f t="shared" si="105"/>
        <v>",HGoal=</v>
      </c>
      <c r="V344">
        <f>Matchs!K345</f>
        <v>1</v>
      </c>
      <c r="W344" s="6" t="str">
        <f t="shared" si="106"/>
        <v>,GGoal=</v>
      </c>
      <c r="X344">
        <f>Matchs!L345</f>
        <v>0</v>
      </c>
      <c r="Y344" s="6" t="str">
        <f t="shared" si="107"/>
        <v>,GTeam= "</v>
      </c>
      <c r="Z344" t="str">
        <f>Matchs!M345</f>
        <v>Spain</v>
      </c>
      <c r="AA344" s="6" t="str">
        <f t="shared" si="108"/>
        <v>",WinNote="</v>
      </c>
      <c r="AB344" t="str">
        <f>IF(Matchs!N345="","",Matchs!N345)</f>
        <v/>
      </c>
      <c r="AC344" s="6" t="str">
        <f t="shared" si="109"/>
        <v xml:space="preserve">",Stadium=" </v>
      </c>
      <c r="AD344" s="11" t="str">
        <f>Matchs!O345</f>
        <v xml:space="preserve">Estadio de Mestalla </v>
      </c>
      <c r="AE344" s="6" t="str">
        <f t="shared" si="110"/>
        <v>",Referee= "</v>
      </c>
      <c r="AF344" s="11" t="str">
        <f>Matchs!P345</f>
        <v xml:space="preserve">Héctor Ortíz </v>
      </c>
      <c r="AG344" s="6" t="str">
        <f t="shared" si="111"/>
        <v xml:space="preserve">",Visistors= </v>
      </c>
      <c r="AH344" s="11">
        <f>Matchs!Q345</f>
        <v>49562</v>
      </c>
      <c r="AI344" s="11" t="str">
        <f t="shared" si="112"/>
        <v>,Status= "</v>
      </c>
      <c r="AJ344" s="11" t="str">
        <f>Matchs!R345</f>
        <v>Finished</v>
      </c>
      <c r="AK344" t="str">
        <f t="shared" si="113"/>
        <v>" },</v>
      </c>
    </row>
    <row r="345" spans="1:37" x14ac:dyDescent="0.25">
      <c r="A345" t="str">
        <f t="shared" si="95"/>
        <v>new Match { MatchId= "</v>
      </c>
      <c r="B345" t="str">
        <f>Matchs!A346</f>
        <v>FIFAWC1982-37</v>
      </c>
      <c r="C345" t="str">
        <f t="shared" si="96"/>
        <v>",MatchNumer=</v>
      </c>
      <c r="D345">
        <f>Matchs!B346</f>
        <v>37</v>
      </c>
      <c r="E345" t="str">
        <f t="shared" si="97"/>
        <v>,DateMatch=DateTime.Parse("</v>
      </c>
      <c r="F345" s="3">
        <f>Matchs!C346</f>
        <v>30130</v>
      </c>
      <c r="G345" s="10" t="str">
        <f t="shared" si="98"/>
        <v>"),TimeMatch=TimeSpan.Parse("</v>
      </c>
      <c r="H345" s="9">
        <f>Matchs!D346</f>
        <v>0.92708333333333337</v>
      </c>
      <c r="I345" t="str">
        <f t="shared" si="99"/>
        <v>"),MatchYear=</v>
      </c>
      <c r="J345">
        <f>Matchs!E346</f>
        <v>1982</v>
      </c>
      <c r="K345" t="str">
        <f t="shared" si="100"/>
        <v>, SeasonId= "</v>
      </c>
      <c r="L345" t="str">
        <f>Matchs!F346</f>
        <v>FIFAWC1982</v>
      </c>
      <c r="M345" t="str">
        <f t="shared" si="101"/>
        <v>",Round= "</v>
      </c>
      <c r="N345" t="str">
        <f>Matchs!G346</f>
        <v>Final Round</v>
      </c>
      <c r="O345" s="6" t="str">
        <f t="shared" si="102"/>
        <v>",Stage= "</v>
      </c>
      <c r="P345" t="str">
        <f>Matchs!H346</f>
        <v>Group</v>
      </c>
      <c r="Q345" s="6" t="str">
        <f t="shared" si="103"/>
        <v>",SubStage= "</v>
      </c>
      <c r="R345" t="str">
        <f>Matchs!I346</f>
        <v>Group 4</v>
      </c>
      <c r="S345" s="6" t="str">
        <f t="shared" si="104"/>
        <v>",HTeam= "</v>
      </c>
      <c r="T345" t="str">
        <f>Matchs!J346</f>
        <v>Austria</v>
      </c>
      <c r="U345" s="6" t="str">
        <f t="shared" si="105"/>
        <v>",HGoal=</v>
      </c>
      <c r="V345">
        <f>Matchs!K346</f>
        <v>0</v>
      </c>
      <c r="W345" s="6" t="str">
        <f t="shared" si="106"/>
        <v>,GGoal=</v>
      </c>
      <c r="X345">
        <f>Matchs!L346</f>
        <v>1</v>
      </c>
      <c r="Y345" s="6" t="str">
        <f t="shared" si="107"/>
        <v>,GTeam= "</v>
      </c>
      <c r="Z345" t="str">
        <f>Matchs!M346</f>
        <v>France</v>
      </c>
      <c r="AA345" s="6" t="str">
        <f t="shared" si="108"/>
        <v>",WinNote="</v>
      </c>
      <c r="AB345" t="str">
        <f>IF(Matchs!N346="","",Matchs!N346)</f>
        <v/>
      </c>
      <c r="AC345" s="6" t="str">
        <f t="shared" si="109"/>
        <v xml:space="preserve">",Stadium=" </v>
      </c>
      <c r="AD345" s="11" t="str">
        <f>Matchs!O346</f>
        <v xml:space="preserve">Estadio Vicente Calderón </v>
      </c>
      <c r="AE345" s="6" t="str">
        <f t="shared" si="110"/>
        <v>",Referee= "</v>
      </c>
      <c r="AF345" s="11" t="str">
        <f>Matchs!P346</f>
        <v xml:space="preserve">Károly Palotai </v>
      </c>
      <c r="AG345" s="6" t="str">
        <f t="shared" si="111"/>
        <v xml:space="preserve">",Visistors= </v>
      </c>
      <c r="AH345" s="11">
        <f>Matchs!Q346</f>
        <v>37000</v>
      </c>
      <c r="AI345" s="11" t="str">
        <f t="shared" si="112"/>
        <v>,Status= "</v>
      </c>
      <c r="AJ345" s="11" t="str">
        <f>Matchs!R346</f>
        <v>Finished</v>
      </c>
      <c r="AK345" t="str">
        <f t="shared" si="113"/>
        <v>" },</v>
      </c>
    </row>
    <row r="346" spans="1:37" x14ac:dyDescent="0.25">
      <c r="A346" t="str">
        <f t="shared" si="95"/>
        <v>new Match { MatchId= "</v>
      </c>
      <c r="B346" t="str">
        <f>Matchs!A347</f>
        <v>FIFAWC1982-38</v>
      </c>
      <c r="C346" t="str">
        <f t="shared" si="96"/>
        <v>",MatchNumer=</v>
      </c>
      <c r="D346">
        <f>Matchs!B347</f>
        <v>38</v>
      </c>
      <c r="E346" t="str">
        <f t="shared" si="97"/>
        <v>,DateMatch=DateTime.Parse("</v>
      </c>
      <c r="F346" s="3">
        <f>Matchs!C347</f>
        <v>30131</v>
      </c>
      <c r="G346" s="10" t="str">
        <f t="shared" si="98"/>
        <v>"),TimeMatch=TimeSpan.Parse("</v>
      </c>
      <c r="H346" s="9">
        <f>Matchs!D347</f>
        <v>8.3333333333333329E-2</v>
      </c>
      <c r="I346" t="str">
        <f t="shared" si="99"/>
        <v>"),MatchYear=</v>
      </c>
      <c r="J346">
        <f>Matchs!E347</f>
        <v>1982</v>
      </c>
      <c r="K346" t="str">
        <f t="shared" si="100"/>
        <v>, SeasonId= "</v>
      </c>
      <c r="L346" t="str">
        <f>Matchs!F347</f>
        <v>FIFAWC1982</v>
      </c>
      <c r="M346" t="str">
        <f t="shared" si="101"/>
        <v>",Round= "</v>
      </c>
      <c r="N346" t="str">
        <f>Matchs!G347</f>
        <v>Final Round</v>
      </c>
      <c r="O346" s="6" t="str">
        <f t="shared" si="102"/>
        <v>",Stage= "</v>
      </c>
      <c r="P346" t="str">
        <f>Matchs!H347</f>
        <v>Group</v>
      </c>
      <c r="Q346" s="6" t="str">
        <f t="shared" si="103"/>
        <v>",SubStage= "</v>
      </c>
      <c r="R346" t="str">
        <f>Matchs!I347</f>
        <v>Group 1</v>
      </c>
      <c r="S346" s="6" t="str">
        <f t="shared" si="104"/>
        <v>",HTeam= "</v>
      </c>
      <c r="T346" t="str">
        <f>Matchs!J347</f>
        <v>Poland</v>
      </c>
      <c r="U346" s="6" t="str">
        <f t="shared" si="105"/>
        <v>",HGoal=</v>
      </c>
      <c r="V346">
        <f>Matchs!K347</f>
        <v>3</v>
      </c>
      <c r="W346" s="6" t="str">
        <f t="shared" si="106"/>
        <v>,GGoal=</v>
      </c>
      <c r="X346">
        <f>Matchs!L347</f>
        <v>0</v>
      </c>
      <c r="Y346" s="6" t="str">
        <f t="shared" si="107"/>
        <v>,GTeam= "</v>
      </c>
      <c r="Z346" t="str">
        <f>Matchs!M347</f>
        <v>Belgium</v>
      </c>
      <c r="AA346" s="6" t="str">
        <f t="shared" si="108"/>
        <v>",WinNote="</v>
      </c>
      <c r="AB346" t="str">
        <f>IF(Matchs!N347="","",Matchs!N347)</f>
        <v/>
      </c>
      <c r="AC346" s="6" t="str">
        <f t="shared" si="109"/>
        <v xml:space="preserve">",Stadium=" </v>
      </c>
      <c r="AD346" s="11" t="str">
        <f>Matchs!O347</f>
        <v xml:space="preserve">Camp Nou </v>
      </c>
      <c r="AE346" s="6" t="str">
        <f t="shared" si="110"/>
        <v>",Referee= "</v>
      </c>
      <c r="AF346" s="11" t="str">
        <f>Matchs!P347</f>
        <v xml:space="preserve">Luis Paulino Siles </v>
      </c>
      <c r="AG346" s="6" t="str">
        <f t="shared" si="111"/>
        <v xml:space="preserve">",Visistors= </v>
      </c>
      <c r="AH346" s="11">
        <f>Matchs!Q347</f>
        <v>65000</v>
      </c>
      <c r="AI346" s="11" t="str">
        <f t="shared" si="112"/>
        <v>,Status= "</v>
      </c>
      <c r="AJ346" s="11" t="str">
        <f>Matchs!R347</f>
        <v>Finished</v>
      </c>
      <c r="AK346" t="str">
        <f t="shared" si="113"/>
        <v>" },</v>
      </c>
    </row>
    <row r="347" spans="1:37" x14ac:dyDescent="0.25">
      <c r="A347" t="str">
        <f t="shared" si="95"/>
        <v>new Match { MatchId= "</v>
      </c>
      <c r="B347" t="str">
        <f>Matchs!A348</f>
        <v>FIFAWC1982-39</v>
      </c>
      <c r="C347" t="str">
        <f t="shared" si="96"/>
        <v>",MatchNumer=</v>
      </c>
      <c r="D347">
        <f>Matchs!B348</f>
        <v>39</v>
      </c>
      <c r="E347" t="str">
        <f t="shared" si="97"/>
        <v>,DateMatch=DateTime.Parse("</v>
      </c>
      <c r="F347" s="3">
        <f>Matchs!C348</f>
        <v>30131</v>
      </c>
      <c r="G347" s="10" t="str">
        <f t="shared" si="98"/>
        <v>"),TimeMatch=TimeSpan.Parse("</v>
      </c>
      <c r="H347" s="9">
        <f>Matchs!D348</f>
        <v>0.92708333333333337</v>
      </c>
      <c r="I347" t="str">
        <f t="shared" si="99"/>
        <v>"),MatchYear=</v>
      </c>
      <c r="J347">
        <f>Matchs!E348</f>
        <v>1982</v>
      </c>
      <c r="K347" t="str">
        <f t="shared" si="100"/>
        <v>, SeasonId= "</v>
      </c>
      <c r="L347" t="str">
        <f>Matchs!F348</f>
        <v>FIFAWC1982</v>
      </c>
      <c r="M347" t="str">
        <f t="shared" si="101"/>
        <v>",Round= "</v>
      </c>
      <c r="N347" t="str">
        <f>Matchs!G348</f>
        <v>Final Round</v>
      </c>
      <c r="O347" s="6" t="str">
        <f t="shared" si="102"/>
        <v>",Stage= "</v>
      </c>
      <c r="P347" t="str">
        <f>Matchs!H348</f>
        <v>Group</v>
      </c>
      <c r="Q347" s="6" t="str">
        <f t="shared" si="103"/>
        <v>",SubStage= "</v>
      </c>
      <c r="R347" t="str">
        <f>Matchs!I348</f>
        <v>Group 3</v>
      </c>
      <c r="S347" s="6" t="str">
        <f t="shared" si="104"/>
        <v>",HTeam= "</v>
      </c>
      <c r="T347" t="str">
        <f>Matchs!J348</f>
        <v>Italy</v>
      </c>
      <c r="U347" s="6" t="str">
        <f t="shared" si="105"/>
        <v>",HGoal=</v>
      </c>
      <c r="V347">
        <f>Matchs!K348</f>
        <v>2</v>
      </c>
      <c r="W347" s="6" t="str">
        <f t="shared" si="106"/>
        <v>,GGoal=</v>
      </c>
      <c r="X347">
        <f>Matchs!L348</f>
        <v>1</v>
      </c>
      <c r="Y347" s="6" t="str">
        <f t="shared" si="107"/>
        <v>,GTeam= "</v>
      </c>
      <c r="Z347" t="str">
        <f>Matchs!M348</f>
        <v>Argentina</v>
      </c>
      <c r="AA347" s="6" t="str">
        <f t="shared" si="108"/>
        <v>",WinNote="</v>
      </c>
      <c r="AB347" t="str">
        <f>IF(Matchs!N348="","",Matchs!N348)</f>
        <v/>
      </c>
      <c r="AC347" s="6" t="str">
        <f t="shared" si="109"/>
        <v xml:space="preserve">",Stadium=" </v>
      </c>
      <c r="AD347" s="11" t="str">
        <f>Matchs!O348</f>
        <v xml:space="preserve">Estadi de Sarrià </v>
      </c>
      <c r="AE347" s="6" t="str">
        <f t="shared" si="110"/>
        <v>",Referee= "</v>
      </c>
      <c r="AF347" s="11" t="str">
        <f>Matchs!P348</f>
        <v xml:space="preserve">Nicolae Rainea </v>
      </c>
      <c r="AG347" s="6" t="str">
        <f t="shared" si="111"/>
        <v xml:space="preserve">",Visistors= </v>
      </c>
      <c r="AH347" s="11">
        <f>Matchs!Q348</f>
        <v>43000</v>
      </c>
      <c r="AI347" s="11" t="str">
        <f t="shared" si="112"/>
        <v>,Status= "</v>
      </c>
      <c r="AJ347" s="11" t="str">
        <f>Matchs!R348</f>
        <v>Finished</v>
      </c>
      <c r="AK347" t="str">
        <f t="shared" si="113"/>
        <v>" },</v>
      </c>
    </row>
    <row r="348" spans="1:37" x14ac:dyDescent="0.25">
      <c r="A348" t="str">
        <f t="shared" si="95"/>
        <v>new Match { MatchId= "</v>
      </c>
      <c r="B348" t="str">
        <f>Matchs!A349</f>
        <v>FIFAWC1982-40</v>
      </c>
      <c r="C348" t="str">
        <f t="shared" si="96"/>
        <v>",MatchNumer=</v>
      </c>
      <c r="D348">
        <f>Matchs!B349</f>
        <v>40</v>
      </c>
      <c r="E348" t="str">
        <f t="shared" si="97"/>
        <v>,DateMatch=DateTime.Parse("</v>
      </c>
      <c r="F348" s="3">
        <f>Matchs!C349</f>
        <v>30132</v>
      </c>
      <c r="G348" s="10" t="str">
        <f t="shared" si="98"/>
        <v>"),TimeMatch=TimeSpan.Parse("</v>
      </c>
      <c r="H348" s="9">
        <f>Matchs!D349</f>
        <v>8.3333333333333329E-2</v>
      </c>
      <c r="I348" t="str">
        <f t="shared" si="99"/>
        <v>"),MatchYear=</v>
      </c>
      <c r="J348">
        <f>Matchs!E349</f>
        <v>1982</v>
      </c>
      <c r="K348" t="str">
        <f t="shared" si="100"/>
        <v>, SeasonId= "</v>
      </c>
      <c r="L348" t="str">
        <f>Matchs!F349</f>
        <v>FIFAWC1982</v>
      </c>
      <c r="M348" t="str">
        <f t="shared" si="101"/>
        <v>",Round= "</v>
      </c>
      <c r="N348" t="str">
        <f>Matchs!G349</f>
        <v>Final Round</v>
      </c>
      <c r="O348" s="6" t="str">
        <f t="shared" si="102"/>
        <v>",Stage= "</v>
      </c>
      <c r="P348" t="str">
        <f>Matchs!H349</f>
        <v>Group</v>
      </c>
      <c r="Q348" s="6" t="str">
        <f t="shared" si="103"/>
        <v>",SubStage= "</v>
      </c>
      <c r="R348" t="str">
        <f>Matchs!I349</f>
        <v>Group 2</v>
      </c>
      <c r="S348" s="6" t="str">
        <f t="shared" si="104"/>
        <v>",HTeam= "</v>
      </c>
      <c r="T348" t="str">
        <f>Matchs!J349</f>
        <v>Germany</v>
      </c>
      <c r="U348" s="6" t="str">
        <f t="shared" si="105"/>
        <v>",HGoal=</v>
      </c>
      <c r="V348">
        <f>Matchs!K349</f>
        <v>0</v>
      </c>
      <c r="W348" s="6" t="str">
        <f t="shared" si="106"/>
        <v>,GGoal=</v>
      </c>
      <c r="X348">
        <f>Matchs!L349</f>
        <v>0</v>
      </c>
      <c r="Y348" s="6" t="str">
        <f t="shared" si="107"/>
        <v>,GTeam= "</v>
      </c>
      <c r="Z348" t="str">
        <f>Matchs!M349</f>
        <v>England</v>
      </c>
      <c r="AA348" s="6" t="str">
        <f t="shared" si="108"/>
        <v>",WinNote="</v>
      </c>
      <c r="AB348" t="str">
        <f>IF(Matchs!N349="","",Matchs!N349)</f>
        <v/>
      </c>
      <c r="AC348" s="6" t="str">
        <f t="shared" si="109"/>
        <v xml:space="preserve">",Stadium=" </v>
      </c>
      <c r="AD348" s="11" t="str">
        <f>Matchs!O349</f>
        <v xml:space="preserve">Estadio Santiago Bernabéu </v>
      </c>
      <c r="AE348" s="6" t="str">
        <f t="shared" si="110"/>
        <v>",Referee= "</v>
      </c>
      <c r="AF348" s="11" t="str">
        <f>Matchs!P349</f>
        <v xml:space="preserve">Arnaldo César Coelho </v>
      </c>
      <c r="AG348" s="6" t="str">
        <f t="shared" si="111"/>
        <v xml:space="preserve">",Visistors= </v>
      </c>
      <c r="AH348" s="11">
        <f>Matchs!Q349</f>
        <v>75000</v>
      </c>
      <c r="AI348" s="11" t="str">
        <f t="shared" si="112"/>
        <v>,Status= "</v>
      </c>
      <c r="AJ348" s="11" t="str">
        <f>Matchs!R349</f>
        <v>Finished</v>
      </c>
      <c r="AK348" t="str">
        <f t="shared" si="113"/>
        <v>" },</v>
      </c>
    </row>
    <row r="349" spans="1:37" x14ac:dyDescent="0.25">
      <c r="A349" t="str">
        <f t="shared" si="95"/>
        <v>new Match { MatchId= "</v>
      </c>
      <c r="B349" t="str">
        <f>Matchs!A350</f>
        <v>FIFAWC1982-41</v>
      </c>
      <c r="C349" t="str">
        <f t="shared" si="96"/>
        <v>",MatchNumer=</v>
      </c>
      <c r="D349">
        <f>Matchs!B350</f>
        <v>41</v>
      </c>
      <c r="E349" t="str">
        <f t="shared" si="97"/>
        <v>,DateMatch=DateTime.Parse("</v>
      </c>
      <c r="F349" s="3">
        <f>Matchs!C350</f>
        <v>30133</v>
      </c>
      <c r="G349" s="10" t="str">
        <f t="shared" si="98"/>
        <v>"),TimeMatch=TimeSpan.Parse("</v>
      </c>
      <c r="H349" s="9">
        <f>Matchs!D350</f>
        <v>0.92708333333333337</v>
      </c>
      <c r="I349" t="str">
        <f t="shared" si="99"/>
        <v>"),MatchYear=</v>
      </c>
      <c r="J349">
        <f>Matchs!E350</f>
        <v>1982</v>
      </c>
      <c r="K349" t="str">
        <f t="shared" si="100"/>
        <v>, SeasonId= "</v>
      </c>
      <c r="L349" t="str">
        <f>Matchs!F350</f>
        <v>FIFAWC1982</v>
      </c>
      <c r="M349" t="str">
        <f t="shared" si="101"/>
        <v>",Round= "</v>
      </c>
      <c r="N349" t="str">
        <f>Matchs!G350</f>
        <v>Final Round</v>
      </c>
      <c r="O349" s="6" t="str">
        <f t="shared" si="102"/>
        <v>",Stage= "</v>
      </c>
      <c r="P349" t="str">
        <f>Matchs!H350</f>
        <v>Group</v>
      </c>
      <c r="Q349" s="6" t="str">
        <f t="shared" si="103"/>
        <v>",SubStage= "</v>
      </c>
      <c r="R349" t="str">
        <f>Matchs!I350</f>
        <v>Group 4</v>
      </c>
      <c r="S349" s="6" t="str">
        <f t="shared" si="104"/>
        <v>",HTeam= "</v>
      </c>
      <c r="T349" t="str">
        <f>Matchs!J350</f>
        <v>Austria</v>
      </c>
      <c r="U349" s="6" t="str">
        <f t="shared" si="105"/>
        <v>",HGoal=</v>
      </c>
      <c r="V349">
        <f>Matchs!K350</f>
        <v>2</v>
      </c>
      <c r="W349" s="6" t="str">
        <f t="shared" si="106"/>
        <v>,GGoal=</v>
      </c>
      <c r="X349">
        <f>Matchs!L350</f>
        <v>2</v>
      </c>
      <c r="Y349" s="6" t="str">
        <f t="shared" si="107"/>
        <v>,GTeam= "</v>
      </c>
      <c r="Z349" t="str">
        <f>Matchs!M350</f>
        <v>Northern Ireland</v>
      </c>
      <c r="AA349" s="6" t="str">
        <f t="shared" si="108"/>
        <v>",WinNote="</v>
      </c>
      <c r="AB349" t="str">
        <f>IF(Matchs!N350="","",Matchs!N350)</f>
        <v/>
      </c>
      <c r="AC349" s="6" t="str">
        <f t="shared" si="109"/>
        <v xml:space="preserve">",Stadium=" </v>
      </c>
      <c r="AD349" s="11" t="str">
        <f>Matchs!O350</f>
        <v xml:space="preserve">Estadio Vicente Calderón </v>
      </c>
      <c r="AE349" s="6" t="str">
        <f t="shared" si="110"/>
        <v>",Referee= "</v>
      </c>
      <c r="AF349" s="11" t="str">
        <f>Matchs!P350</f>
        <v xml:space="preserve">Adolf Prokop </v>
      </c>
      <c r="AG349" s="6" t="str">
        <f t="shared" si="111"/>
        <v xml:space="preserve">",Visistors= </v>
      </c>
      <c r="AH349" s="11">
        <f>Matchs!Q350</f>
        <v>20000</v>
      </c>
      <c r="AI349" s="11" t="str">
        <f t="shared" si="112"/>
        <v>,Status= "</v>
      </c>
      <c r="AJ349" s="11" t="str">
        <f>Matchs!R350</f>
        <v>Finished</v>
      </c>
      <c r="AK349" t="str">
        <f t="shared" si="113"/>
        <v>" },</v>
      </c>
    </row>
    <row r="350" spans="1:37" x14ac:dyDescent="0.25">
      <c r="A350" t="str">
        <f t="shared" si="95"/>
        <v>new Match { MatchId= "</v>
      </c>
      <c r="B350" t="str">
        <f>Matchs!A351</f>
        <v>FIFAWC1982-42</v>
      </c>
      <c r="C350" t="str">
        <f t="shared" si="96"/>
        <v>",MatchNumer=</v>
      </c>
      <c r="D350">
        <f>Matchs!B351</f>
        <v>42</v>
      </c>
      <c r="E350" t="str">
        <f t="shared" si="97"/>
        <v>,DateMatch=DateTime.Parse("</v>
      </c>
      <c r="F350" s="3">
        <f>Matchs!C351</f>
        <v>30134</v>
      </c>
      <c r="G350" s="10" t="str">
        <f t="shared" si="98"/>
        <v>"),TimeMatch=TimeSpan.Parse("</v>
      </c>
      <c r="H350" s="9">
        <f>Matchs!D351</f>
        <v>8.3333333333333329E-2</v>
      </c>
      <c r="I350" t="str">
        <f t="shared" si="99"/>
        <v>"),MatchYear=</v>
      </c>
      <c r="J350">
        <f>Matchs!E351</f>
        <v>1982</v>
      </c>
      <c r="K350" t="str">
        <f t="shared" si="100"/>
        <v>, SeasonId= "</v>
      </c>
      <c r="L350" t="str">
        <f>Matchs!F351</f>
        <v>FIFAWC1982</v>
      </c>
      <c r="M350" t="str">
        <f t="shared" si="101"/>
        <v>",Round= "</v>
      </c>
      <c r="N350" t="str">
        <f>Matchs!G351</f>
        <v>Final Round</v>
      </c>
      <c r="O350" s="6" t="str">
        <f t="shared" si="102"/>
        <v>",Stage= "</v>
      </c>
      <c r="P350" t="str">
        <f>Matchs!H351</f>
        <v>Group</v>
      </c>
      <c r="Q350" s="6" t="str">
        <f t="shared" si="103"/>
        <v>",SubStage= "</v>
      </c>
      <c r="R350" t="str">
        <f>Matchs!I351</f>
        <v>Group 1</v>
      </c>
      <c r="S350" s="6" t="str">
        <f t="shared" si="104"/>
        <v>",HTeam= "</v>
      </c>
      <c r="T350" t="str">
        <f>Matchs!J351</f>
        <v>Belgium</v>
      </c>
      <c r="U350" s="6" t="str">
        <f t="shared" si="105"/>
        <v>",HGoal=</v>
      </c>
      <c r="V350">
        <f>Matchs!K351</f>
        <v>0</v>
      </c>
      <c r="W350" s="6" t="str">
        <f t="shared" si="106"/>
        <v>,GGoal=</v>
      </c>
      <c r="X350">
        <f>Matchs!L351</f>
        <v>1</v>
      </c>
      <c r="Y350" s="6" t="str">
        <f t="shared" si="107"/>
        <v>,GTeam= "</v>
      </c>
      <c r="Z350" t="str">
        <f>Matchs!M351</f>
        <v>Soviet Union</v>
      </c>
      <c r="AA350" s="6" t="str">
        <f t="shared" si="108"/>
        <v>",WinNote="</v>
      </c>
      <c r="AB350" t="str">
        <f>IF(Matchs!N351="","",Matchs!N351)</f>
        <v/>
      </c>
      <c r="AC350" s="6" t="str">
        <f t="shared" si="109"/>
        <v xml:space="preserve">",Stadium=" </v>
      </c>
      <c r="AD350" s="11" t="str">
        <f>Matchs!O351</f>
        <v xml:space="preserve">Camp Nou </v>
      </c>
      <c r="AE350" s="6" t="str">
        <f t="shared" si="110"/>
        <v>",Referee= "</v>
      </c>
      <c r="AF350" s="11" t="str">
        <f>Matchs!P351</f>
        <v xml:space="preserve">Michel Vautrot </v>
      </c>
      <c r="AG350" s="6" t="str">
        <f t="shared" si="111"/>
        <v xml:space="preserve">",Visistors= </v>
      </c>
      <c r="AH350" s="11">
        <f>Matchs!Q351</f>
        <v>45000</v>
      </c>
      <c r="AI350" s="11" t="str">
        <f t="shared" si="112"/>
        <v>,Status= "</v>
      </c>
      <c r="AJ350" s="11" t="str">
        <f>Matchs!R351</f>
        <v>Finished</v>
      </c>
      <c r="AK350" t="str">
        <f t="shared" si="113"/>
        <v>" },</v>
      </c>
    </row>
    <row r="351" spans="1:37" x14ac:dyDescent="0.25">
      <c r="A351" t="str">
        <f t="shared" si="95"/>
        <v>new Match { MatchId= "</v>
      </c>
      <c r="B351" t="str">
        <f>Matchs!A352</f>
        <v>FIFAWC1982-43</v>
      </c>
      <c r="C351" t="str">
        <f t="shared" si="96"/>
        <v>",MatchNumer=</v>
      </c>
      <c r="D351">
        <f>Matchs!B352</f>
        <v>43</v>
      </c>
      <c r="E351" t="str">
        <f t="shared" si="97"/>
        <v>,DateMatch=DateTime.Parse("</v>
      </c>
      <c r="F351" s="3">
        <f>Matchs!C352</f>
        <v>30134</v>
      </c>
      <c r="G351" s="10" t="str">
        <f t="shared" si="98"/>
        <v>"),TimeMatch=TimeSpan.Parse("</v>
      </c>
      <c r="H351" s="9">
        <f>Matchs!D352</f>
        <v>0.92708333333333337</v>
      </c>
      <c r="I351" t="str">
        <f t="shared" si="99"/>
        <v>"),MatchYear=</v>
      </c>
      <c r="J351">
        <f>Matchs!E352</f>
        <v>1982</v>
      </c>
      <c r="K351" t="str">
        <f t="shared" si="100"/>
        <v>, SeasonId= "</v>
      </c>
      <c r="L351" t="str">
        <f>Matchs!F352</f>
        <v>FIFAWC1982</v>
      </c>
      <c r="M351" t="str">
        <f t="shared" si="101"/>
        <v>",Round= "</v>
      </c>
      <c r="N351" t="str">
        <f>Matchs!G352</f>
        <v>Final Round</v>
      </c>
      <c r="O351" s="6" t="str">
        <f t="shared" si="102"/>
        <v>",Stage= "</v>
      </c>
      <c r="P351" t="str">
        <f>Matchs!H352</f>
        <v>Group</v>
      </c>
      <c r="Q351" s="6" t="str">
        <f t="shared" si="103"/>
        <v>",SubStage= "</v>
      </c>
      <c r="R351" t="str">
        <f>Matchs!I352</f>
        <v>Group 3</v>
      </c>
      <c r="S351" s="6" t="str">
        <f t="shared" si="104"/>
        <v>",HTeam= "</v>
      </c>
      <c r="T351" t="str">
        <f>Matchs!J352</f>
        <v>Argentina</v>
      </c>
      <c r="U351" s="6" t="str">
        <f t="shared" si="105"/>
        <v>",HGoal=</v>
      </c>
      <c r="V351">
        <f>Matchs!K352</f>
        <v>1</v>
      </c>
      <c r="W351" s="6" t="str">
        <f t="shared" si="106"/>
        <v>,GGoal=</v>
      </c>
      <c r="X351">
        <f>Matchs!L352</f>
        <v>3</v>
      </c>
      <c r="Y351" s="6" t="str">
        <f t="shared" si="107"/>
        <v>,GTeam= "</v>
      </c>
      <c r="Z351" t="str">
        <f>Matchs!M352</f>
        <v>Brazil</v>
      </c>
      <c r="AA351" s="6" t="str">
        <f t="shared" si="108"/>
        <v>",WinNote="</v>
      </c>
      <c r="AB351" t="str">
        <f>IF(Matchs!N352="","",Matchs!N352)</f>
        <v/>
      </c>
      <c r="AC351" s="6" t="str">
        <f t="shared" si="109"/>
        <v xml:space="preserve">",Stadium=" </v>
      </c>
      <c r="AD351" s="11" t="str">
        <f>Matchs!O352</f>
        <v xml:space="preserve">Estadi de Sarrià </v>
      </c>
      <c r="AE351" s="6" t="str">
        <f t="shared" si="110"/>
        <v>",Referee= "</v>
      </c>
      <c r="AF351" s="11" t="str">
        <f>Matchs!P352</f>
        <v xml:space="preserve">Mario Rubio Vazquez </v>
      </c>
      <c r="AG351" s="6" t="str">
        <f t="shared" si="111"/>
        <v xml:space="preserve">",Visistors= </v>
      </c>
      <c r="AH351" s="11">
        <f>Matchs!Q352</f>
        <v>43000</v>
      </c>
      <c r="AI351" s="11" t="str">
        <f t="shared" si="112"/>
        <v>,Status= "</v>
      </c>
      <c r="AJ351" s="11" t="str">
        <f>Matchs!R352</f>
        <v>Finished</v>
      </c>
      <c r="AK351" t="str">
        <f t="shared" si="113"/>
        <v>" },</v>
      </c>
    </row>
    <row r="352" spans="1:37" x14ac:dyDescent="0.25">
      <c r="A352" t="str">
        <f t="shared" si="95"/>
        <v>new Match { MatchId= "</v>
      </c>
      <c r="B352" t="str">
        <f>Matchs!A353</f>
        <v>FIFAWC1982-44</v>
      </c>
      <c r="C352" t="str">
        <f t="shared" si="96"/>
        <v>",MatchNumer=</v>
      </c>
      <c r="D352">
        <f>Matchs!B353</f>
        <v>44</v>
      </c>
      <c r="E352" t="str">
        <f t="shared" si="97"/>
        <v>,DateMatch=DateTime.Parse("</v>
      </c>
      <c r="F352" s="3">
        <f>Matchs!C353</f>
        <v>30135</v>
      </c>
      <c r="G352" s="10" t="str">
        <f t="shared" si="98"/>
        <v>"),TimeMatch=TimeSpan.Parse("</v>
      </c>
      <c r="H352" s="9">
        <f>Matchs!D353</f>
        <v>8.3333333333333329E-2</v>
      </c>
      <c r="I352" t="str">
        <f t="shared" si="99"/>
        <v>"),MatchYear=</v>
      </c>
      <c r="J352">
        <f>Matchs!E353</f>
        <v>1982</v>
      </c>
      <c r="K352" t="str">
        <f t="shared" si="100"/>
        <v>, SeasonId= "</v>
      </c>
      <c r="L352" t="str">
        <f>Matchs!F353</f>
        <v>FIFAWC1982</v>
      </c>
      <c r="M352" t="str">
        <f t="shared" si="101"/>
        <v>",Round= "</v>
      </c>
      <c r="N352" t="str">
        <f>Matchs!G353</f>
        <v>Final Round</v>
      </c>
      <c r="O352" s="6" t="str">
        <f t="shared" si="102"/>
        <v>",Stage= "</v>
      </c>
      <c r="P352" t="str">
        <f>Matchs!H353</f>
        <v>Group</v>
      </c>
      <c r="Q352" s="6" t="str">
        <f t="shared" si="103"/>
        <v>",SubStage= "</v>
      </c>
      <c r="R352" t="str">
        <f>Matchs!I353</f>
        <v>Group 2</v>
      </c>
      <c r="S352" s="6" t="str">
        <f t="shared" si="104"/>
        <v>",HTeam= "</v>
      </c>
      <c r="T352" t="str">
        <f>Matchs!J353</f>
        <v>Germany</v>
      </c>
      <c r="U352" s="6" t="str">
        <f t="shared" si="105"/>
        <v>",HGoal=</v>
      </c>
      <c r="V352">
        <f>Matchs!K353</f>
        <v>2</v>
      </c>
      <c r="W352" s="6" t="str">
        <f t="shared" si="106"/>
        <v>,GGoal=</v>
      </c>
      <c r="X352">
        <f>Matchs!L353</f>
        <v>1</v>
      </c>
      <c r="Y352" s="6" t="str">
        <f t="shared" si="107"/>
        <v>,GTeam= "</v>
      </c>
      <c r="Z352" t="str">
        <f>Matchs!M353</f>
        <v>Spain</v>
      </c>
      <c r="AA352" s="6" t="str">
        <f t="shared" si="108"/>
        <v>",WinNote="</v>
      </c>
      <c r="AB352" t="str">
        <f>IF(Matchs!N353="","",Matchs!N353)</f>
        <v/>
      </c>
      <c r="AC352" s="6" t="str">
        <f t="shared" si="109"/>
        <v xml:space="preserve">",Stadium=" </v>
      </c>
      <c r="AD352" s="11" t="str">
        <f>Matchs!O353</f>
        <v xml:space="preserve">Estadio Santiago Bernabéu </v>
      </c>
      <c r="AE352" s="6" t="str">
        <f t="shared" si="110"/>
        <v>",Referee= "</v>
      </c>
      <c r="AF352" s="11" t="str">
        <f>Matchs!P353</f>
        <v xml:space="preserve">Paolo Casarin </v>
      </c>
      <c r="AG352" s="6" t="str">
        <f t="shared" si="111"/>
        <v xml:space="preserve">",Visistors= </v>
      </c>
      <c r="AH352" s="11">
        <f>Matchs!Q353</f>
        <v>90089</v>
      </c>
      <c r="AI352" s="11" t="str">
        <f t="shared" si="112"/>
        <v>,Status= "</v>
      </c>
      <c r="AJ352" s="11" t="str">
        <f>Matchs!R353</f>
        <v>Finished</v>
      </c>
      <c r="AK352" t="str">
        <f t="shared" si="113"/>
        <v>" },</v>
      </c>
    </row>
    <row r="353" spans="1:37" x14ac:dyDescent="0.25">
      <c r="A353" t="str">
        <f t="shared" si="95"/>
        <v>new Match { MatchId= "</v>
      </c>
      <c r="B353" t="str">
        <f>Matchs!A354</f>
        <v>FIFAWC1982-45</v>
      </c>
      <c r="C353" t="str">
        <f t="shared" si="96"/>
        <v>",MatchNumer=</v>
      </c>
      <c r="D353">
        <f>Matchs!B354</f>
        <v>45</v>
      </c>
      <c r="E353" t="str">
        <f t="shared" si="97"/>
        <v>,DateMatch=DateTime.Parse("</v>
      </c>
      <c r="F353" s="3">
        <f>Matchs!C354</f>
        <v>30136</v>
      </c>
      <c r="G353" s="10" t="str">
        <f t="shared" si="98"/>
        <v>"),TimeMatch=TimeSpan.Parse("</v>
      </c>
      <c r="H353" s="9">
        <f>Matchs!D354</f>
        <v>0.92708333333333337</v>
      </c>
      <c r="I353" t="str">
        <f t="shared" si="99"/>
        <v>"),MatchYear=</v>
      </c>
      <c r="J353">
        <f>Matchs!E354</f>
        <v>1982</v>
      </c>
      <c r="K353" t="str">
        <f t="shared" si="100"/>
        <v>, SeasonId= "</v>
      </c>
      <c r="L353" t="str">
        <f>Matchs!F354</f>
        <v>FIFAWC1982</v>
      </c>
      <c r="M353" t="str">
        <f t="shared" si="101"/>
        <v>",Round= "</v>
      </c>
      <c r="N353" t="str">
        <f>Matchs!G354</f>
        <v>Final Round</v>
      </c>
      <c r="O353" s="6" t="str">
        <f t="shared" si="102"/>
        <v>",Stage= "</v>
      </c>
      <c r="P353" t="str">
        <f>Matchs!H354</f>
        <v>Group</v>
      </c>
      <c r="Q353" s="6" t="str">
        <f t="shared" si="103"/>
        <v>",SubStage= "</v>
      </c>
      <c r="R353" t="str">
        <f>Matchs!I354</f>
        <v>Group 4</v>
      </c>
      <c r="S353" s="6" t="str">
        <f t="shared" si="104"/>
        <v>",HTeam= "</v>
      </c>
      <c r="T353" t="str">
        <f>Matchs!J354</f>
        <v>France</v>
      </c>
      <c r="U353" s="6" t="str">
        <f t="shared" si="105"/>
        <v>",HGoal=</v>
      </c>
      <c r="V353">
        <f>Matchs!K354</f>
        <v>4</v>
      </c>
      <c r="W353" s="6" t="str">
        <f t="shared" si="106"/>
        <v>,GGoal=</v>
      </c>
      <c r="X353">
        <f>Matchs!L354</f>
        <v>1</v>
      </c>
      <c r="Y353" s="6" t="str">
        <f t="shared" si="107"/>
        <v>,GTeam= "</v>
      </c>
      <c r="Z353" t="str">
        <f>Matchs!M354</f>
        <v>Northern Ireland</v>
      </c>
      <c r="AA353" s="6" t="str">
        <f t="shared" si="108"/>
        <v>",WinNote="</v>
      </c>
      <c r="AB353" t="str">
        <f>IF(Matchs!N354="","",Matchs!N354)</f>
        <v/>
      </c>
      <c r="AC353" s="6" t="str">
        <f t="shared" si="109"/>
        <v xml:space="preserve">",Stadium=" </v>
      </c>
      <c r="AD353" s="11" t="str">
        <f>Matchs!O354</f>
        <v xml:space="preserve">Estadio Vicente Calderón </v>
      </c>
      <c r="AE353" s="6" t="str">
        <f t="shared" si="110"/>
        <v>",Referee= "</v>
      </c>
      <c r="AF353" s="11" t="str">
        <f>Matchs!P354</f>
        <v xml:space="preserve">Alojzy Jarguz </v>
      </c>
      <c r="AG353" s="6" t="str">
        <f t="shared" si="111"/>
        <v xml:space="preserve">",Visistors= </v>
      </c>
      <c r="AH353" s="11">
        <f>Matchs!Q354</f>
        <v>37000</v>
      </c>
      <c r="AI353" s="11" t="str">
        <f t="shared" si="112"/>
        <v>,Status= "</v>
      </c>
      <c r="AJ353" s="11" t="str">
        <f>Matchs!R354</f>
        <v>Finished</v>
      </c>
      <c r="AK353" t="str">
        <f t="shared" si="113"/>
        <v>" },</v>
      </c>
    </row>
    <row r="354" spans="1:37" x14ac:dyDescent="0.25">
      <c r="A354" t="str">
        <f t="shared" si="95"/>
        <v>new Match { MatchId= "</v>
      </c>
      <c r="B354" t="str">
        <f>Matchs!A355</f>
        <v>FIFAWC1982-46</v>
      </c>
      <c r="C354" t="str">
        <f t="shared" si="96"/>
        <v>",MatchNumer=</v>
      </c>
      <c r="D354">
        <f>Matchs!B355</f>
        <v>46</v>
      </c>
      <c r="E354" t="str">
        <f t="shared" si="97"/>
        <v>,DateMatch=DateTime.Parse("</v>
      </c>
      <c r="F354" s="3">
        <f>Matchs!C355</f>
        <v>30137</v>
      </c>
      <c r="G354" s="10" t="str">
        <f t="shared" si="98"/>
        <v>"),TimeMatch=TimeSpan.Parse("</v>
      </c>
      <c r="H354" s="9">
        <f>Matchs!D355</f>
        <v>8.3333333333333329E-2</v>
      </c>
      <c r="I354" t="str">
        <f t="shared" si="99"/>
        <v>"),MatchYear=</v>
      </c>
      <c r="J354">
        <f>Matchs!E355</f>
        <v>1982</v>
      </c>
      <c r="K354" t="str">
        <f t="shared" si="100"/>
        <v>, SeasonId= "</v>
      </c>
      <c r="L354" t="str">
        <f>Matchs!F355</f>
        <v>FIFAWC1982</v>
      </c>
      <c r="M354" t="str">
        <f t="shared" si="101"/>
        <v>",Round= "</v>
      </c>
      <c r="N354" t="str">
        <f>Matchs!G355</f>
        <v>Final Round</v>
      </c>
      <c r="O354" s="6" t="str">
        <f t="shared" si="102"/>
        <v>",Stage= "</v>
      </c>
      <c r="P354" t="str">
        <f>Matchs!H355</f>
        <v>Group</v>
      </c>
      <c r="Q354" s="6" t="str">
        <f t="shared" si="103"/>
        <v>",SubStage= "</v>
      </c>
      <c r="R354" t="str">
        <f>Matchs!I355</f>
        <v>Group 1</v>
      </c>
      <c r="S354" s="6" t="str">
        <f t="shared" si="104"/>
        <v>",HTeam= "</v>
      </c>
      <c r="T354" t="str">
        <f>Matchs!J355</f>
        <v>Poland</v>
      </c>
      <c r="U354" s="6" t="str">
        <f t="shared" si="105"/>
        <v>",HGoal=</v>
      </c>
      <c r="V354">
        <f>Matchs!K355</f>
        <v>0</v>
      </c>
      <c r="W354" s="6" t="str">
        <f t="shared" si="106"/>
        <v>,GGoal=</v>
      </c>
      <c r="X354">
        <f>Matchs!L355</f>
        <v>0</v>
      </c>
      <c r="Y354" s="6" t="str">
        <f t="shared" si="107"/>
        <v>,GTeam= "</v>
      </c>
      <c r="Z354" t="str">
        <f>Matchs!M355</f>
        <v>Soviet Union</v>
      </c>
      <c r="AA354" s="6" t="str">
        <f t="shared" si="108"/>
        <v>",WinNote="</v>
      </c>
      <c r="AB354" t="str">
        <f>IF(Matchs!N355="","",Matchs!N355)</f>
        <v/>
      </c>
      <c r="AC354" s="6" t="str">
        <f t="shared" si="109"/>
        <v xml:space="preserve">",Stadium=" </v>
      </c>
      <c r="AD354" s="11" t="str">
        <f>Matchs!O355</f>
        <v xml:space="preserve">Camp Nou </v>
      </c>
      <c r="AE354" s="6" t="str">
        <f t="shared" si="110"/>
        <v>",Referee= "</v>
      </c>
      <c r="AF354" s="11" t="str">
        <f>Matchs!P355</f>
        <v xml:space="preserve">Bob Valentine </v>
      </c>
      <c r="AG354" s="6" t="str">
        <f t="shared" si="111"/>
        <v xml:space="preserve">",Visistors= </v>
      </c>
      <c r="AH354" s="11">
        <f>Matchs!Q355</f>
        <v>65000</v>
      </c>
      <c r="AI354" s="11" t="str">
        <f t="shared" si="112"/>
        <v>,Status= "</v>
      </c>
      <c r="AJ354" s="11" t="str">
        <f>Matchs!R355</f>
        <v>Finished</v>
      </c>
      <c r="AK354" t="str">
        <f t="shared" si="113"/>
        <v>" },</v>
      </c>
    </row>
    <row r="355" spans="1:37" x14ac:dyDescent="0.25">
      <c r="A355" t="str">
        <f t="shared" si="95"/>
        <v>new Match { MatchId= "</v>
      </c>
      <c r="B355" t="str">
        <f>Matchs!A356</f>
        <v>FIFAWC1982-47</v>
      </c>
      <c r="C355" t="str">
        <f t="shared" si="96"/>
        <v>",MatchNumer=</v>
      </c>
      <c r="D355">
        <f>Matchs!B356</f>
        <v>47</v>
      </c>
      <c r="E355" t="str">
        <f t="shared" si="97"/>
        <v>,DateMatch=DateTime.Parse("</v>
      </c>
      <c r="F355" s="3">
        <f>Matchs!C356</f>
        <v>30137</v>
      </c>
      <c r="G355" s="10" t="str">
        <f t="shared" si="98"/>
        <v>"),TimeMatch=TimeSpan.Parse("</v>
      </c>
      <c r="H355" s="9">
        <f>Matchs!D356</f>
        <v>0.92708333333333337</v>
      </c>
      <c r="I355" t="str">
        <f t="shared" si="99"/>
        <v>"),MatchYear=</v>
      </c>
      <c r="J355">
        <f>Matchs!E356</f>
        <v>1982</v>
      </c>
      <c r="K355" t="str">
        <f t="shared" si="100"/>
        <v>, SeasonId= "</v>
      </c>
      <c r="L355" t="str">
        <f>Matchs!F356</f>
        <v>FIFAWC1982</v>
      </c>
      <c r="M355" t="str">
        <f t="shared" si="101"/>
        <v>",Round= "</v>
      </c>
      <c r="N355" t="str">
        <f>Matchs!G356</f>
        <v>Final Round</v>
      </c>
      <c r="O355" s="6" t="str">
        <f t="shared" si="102"/>
        <v>",Stage= "</v>
      </c>
      <c r="P355" t="str">
        <f>Matchs!H356</f>
        <v>Group</v>
      </c>
      <c r="Q355" s="6" t="str">
        <f t="shared" si="103"/>
        <v>",SubStage= "</v>
      </c>
      <c r="R355" t="str">
        <f>Matchs!I356</f>
        <v>Group 3</v>
      </c>
      <c r="S355" s="6" t="str">
        <f t="shared" si="104"/>
        <v>",HTeam= "</v>
      </c>
      <c r="T355" t="str">
        <f>Matchs!J356</f>
        <v>Italy</v>
      </c>
      <c r="U355" s="6" t="str">
        <f t="shared" si="105"/>
        <v>",HGoal=</v>
      </c>
      <c r="V355">
        <f>Matchs!K356</f>
        <v>3</v>
      </c>
      <c r="W355" s="6" t="str">
        <f t="shared" si="106"/>
        <v>,GGoal=</v>
      </c>
      <c r="X355">
        <f>Matchs!L356</f>
        <v>2</v>
      </c>
      <c r="Y355" s="6" t="str">
        <f t="shared" si="107"/>
        <v>,GTeam= "</v>
      </c>
      <c r="Z355" t="str">
        <f>Matchs!M356</f>
        <v>Brazil</v>
      </c>
      <c r="AA355" s="6" t="str">
        <f t="shared" si="108"/>
        <v>",WinNote="</v>
      </c>
      <c r="AB355" t="str">
        <f>IF(Matchs!N356="","",Matchs!N356)</f>
        <v/>
      </c>
      <c r="AC355" s="6" t="str">
        <f t="shared" si="109"/>
        <v xml:space="preserve">",Stadium=" </v>
      </c>
      <c r="AD355" s="11" t="str">
        <f>Matchs!O356</f>
        <v xml:space="preserve">Estadi de Sarrià </v>
      </c>
      <c r="AE355" s="6" t="str">
        <f t="shared" si="110"/>
        <v>",Referee= "</v>
      </c>
      <c r="AF355" s="11" t="str">
        <f>Matchs!P356</f>
        <v xml:space="preserve">Abraham Klein </v>
      </c>
      <c r="AG355" s="6" t="str">
        <f t="shared" si="111"/>
        <v xml:space="preserve">",Visistors= </v>
      </c>
      <c r="AH355" s="11">
        <f>Matchs!Q356</f>
        <v>44000</v>
      </c>
      <c r="AI355" s="11" t="str">
        <f t="shared" si="112"/>
        <v>,Status= "</v>
      </c>
      <c r="AJ355" s="11" t="str">
        <f>Matchs!R356</f>
        <v>Finished</v>
      </c>
      <c r="AK355" t="str">
        <f t="shared" si="113"/>
        <v>" },</v>
      </c>
    </row>
    <row r="356" spans="1:37" x14ac:dyDescent="0.25">
      <c r="A356" t="str">
        <f t="shared" si="95"/>
        <v>new Match { MatchId= "</v>
      </c>
      <c r="B356" t="str">
        <f>Matchs!A357</f>
        <v>FIFAWC1982-48</v>
      </c>
      <c r="C356" t="str">
        <f t="shared" si="96"/>
        <v>",MatchNumer=</v>
      </c>
      <c r="D356">
        <f>Matchs!B357</f>
        <v>48</v>
      </c>
      <c r="E356" t="str">
        <f t="shared" si="97"/>
        <v>,DateMatch=DateTime.Parse("</v>
      </c>
      <c r="F356" s="3">
        <f>Matchs!C357</f>
        <v>30138</v>
      </c>
      <c r="G356" s="10" t="str">
        <f t="shared" si="98"/>
        <v>"),TimeMatch=TimeSpan.Parse("</v>
      </c>
      <c r="H356" s="9">
        <f>Matchs!D357</f>
        <v>8.3333333333333329E-2</v>
      </c>
      <c r="I356" t="str">
        <f t="shared" si="99"/>
        <v>"),MatchYear=</v>
      </c>
      <c r="J356">
        <f>Matchs!E357</f>
        <v>1982</v>
      </c>
      <c r="K356" t="str">
        <f t="shared" si="100"/>
        <v>, SeasonId= "</v>
      </c>
      <c r="L356" t="str">
        <f>Matchs!F357</f>
        <v>FIFAWC1982</v>
      </c>
      <c r="M356" t="str">
        <f t="shared" si="101"/>
        <v>",Round= "</v>
      </c>
      <c r="N356" t="str">
        <f>Matchs!G357</f>
        <v>Final Round</v>
      </c>
      <c r="O356" s="6" t="str">
        <f t="shared" si="102"/>
        <v>",Stage= "</v>
      </c>
      <c r="P356" t="str">
        <f>Matchs!H357</f>
        <v>Group</v>
      </c>
      <c r="Q356" s="6" t="str">
        <f t="shared" si="103"/>
        <v>",SubStage= "</v>
      </c>
      <c r="R356" t="str">
        <f>Matchs!I357</f>
        <v>Group 2</v>
      </c>
      <c r="S356" s="6" t="str">
        <f t="shared" si="104"/>
        <v>",HTeam= "</v>
      </c>
      <c r="T356" t="str">
        <f>Matchs!J357</f>
        <v>Spain</v>
      </c>
      <c r="U356" s="6" t="str">
        <f t="shared" si="105"/>
        <v>",HGoal=</v>
      </c>
      <c r="V356">
        <f>Matchs!K357</f>
        <v>0</v>
      </c>
      <c r="W356" s="6" t="str">
        <f t="shared" si="106"/>
        <v>,GGoal=</v>
      </c>
      <c r="X356">
        <f>Matchs!L357</f>
        <v>0</v>
      </c>
      <c r="Y356" s="6" t="str">
        <f t="shared" si="107"/>
        <v>,GTeam= "</v>
      </c>
      <c r="Z356" t="str">
        <f>Matchs!M357</f>
        <v>England</v>
      </c>
      <c r="AA356" s="6" t="str">
        <f t="shared" si="108"/>
        <v>",WinNote="</v>
      </c>
      <c r="AB356" t="str">
        <f>IF(Matchs!N357="","",Matchs!N357)</f>
        <v/>
      </c>
      <c r="AC356" s="6" t="str">
        <f t="shared" si="109"/>
        <v xml:space="preserve">",Stadium=" </v>
      </c>
      <c r="AD356" s="11" t="str">
        <f>Matchs!O357</f>
        <v xml:space="preserve">Estadio Santiago Bernabéu </v>
      </c>
      <c r="AE356" s="6" t="str">
        <f t="shared" si="110"/>
        <v>",Referee= "</v>
      </c>
      <c r="AF356" s="11" t="str">
        <f>Matchs!P357</f>
        <v xml:space="preserve">Alexis Ponnet </v>
      </c>
      <c r="AG356" s="6" t="str">
        <f t="shared" si="111"/>
        <v xml:space="preserve">",Visistors= </v>
      </c>
      <c r="AH356" s="11">
        <f>Matchs!Q357</f>
        <v>75000</v>
      </c>
      <c r="AI356" s="11" t="str">
        <f t="shared" si="112"/>
        <v>,Status= "</v>
      </c>
      <c r="AJ356" s="11" t="str">
        <f>Matchs!R357</f>
        <v>Finished</v>
      </c>
      <c r="AK356" t="str">
        <f t="shared" si="113"/>
        <v>" },</v>
      </c>
    </row>
    <row r="357" spans="1:37" x14ac:dyDescent="0.25">
      <c r="A357" t="str">
        <f t="shared" si="95"/>
        <v>new Match { MatchId= "</v>
      </c>
      <c r="B357" t="str">
        <f>Matchs!A358</f>
        <v>FIFAWC1982-49</v>
      </c>
      <c r="C357" t="str">
        <f t="shared" si="96"/>
        <v>",MatchNumer=</v>
      </c>
      <c r="D357">
        <f>Matchs!B358</f>
        <v>49</v>
      </c>
      <c r="E357" t="str">
        <f t="shared" si="97"/>
        <v>,DateMatch=DateTime.Parse("</v>
      </c>
      <c r="F357" s="3">
        <f>Matchs!C358</f>
        <v>30140</v>
      </c>
      <c r="G357" s="10" t="str">
        <f t="shared" si="98"/>
        <v>"),TimeMatch=TimeSpan.Parse("</v>
      </c>
      <c r="H357" s="9">
        <f>Matchs!D358</f>
        <v>0.92708333333333337</v>
      </c>
      <c r="I357" t="str">
        <f t="shared" si="99"/>
        <v>"),MatchYear=</v>
      </c>
      <c r="J357">
        <f>Matchs!E358</f>
        <v>1982</v>
      </c>
      <c r="K357" t="str">
        <f t="shared" si="100"/>
        <v>, SeasonId= "</v>
      </c>
      <c r="L357" t="str">
        <f>Matchs!F358</f>
        <v>FIFAWC1982</v>
      </c>
      <c r="M357" t="str">
        <f t="shared" si="101"/>
        <v>",Round= "</v>
      </c>
      <c r="N357" t="str">
        <f>Matchs!G358</f>
        <v>Final Round</v>
      </c>
      <c r="O357" s="6" t="str">
        <f t="shared" si="102"/>
        <v>",Stage= "</v>
      </c>
      <c r="P357" t="str">
        <f>Matchs!H358</f>
        <v>Knockouts</v>
      </c>
      <c r="Q357" s="6" t="str">
        <f t="shared" si="103"/>
        <v>",SubStage= "</v>
      </c>
      <c r="R357" t="str">
        <f>Matchs!I358</f>
        <v>Semifinal</v>
      </c>
      <c r="S357" s="6" t="str">
        <f t="shared" si="104"/>
        <v>",HTeam= "</v>
      </c>
      <c r="T357" t="str">
        <f>Matchs!J358</f>
        <v>Poland</v>
      </c>
      <c r="U357" s="6" t="str">
        <f t="shared" si="105"/>
        <v>",HGoal=</v>
      </c>
      <c r="V357">
        <f>Matchs!K358</f>
        <v>0</v>
      </c>
      <c r="W357" s="6" t="str">
        <f t="shared" si="106"/>
        <v>,GGoal=</v>
      </c>
      <c r="X357">
        <f>Matchs!L358</f>
        <v>2</v>
      </c>
      <c r="Y357" s="6" t="str">
        <f t="shared" si="107"/>
        <v>,GTeam= "</v>
      </c>
      <c r="Z357" t="str">
        <f>Matchs!M358</f>
        <v>Italy</v>
      </c>
      <c r="AA357" s="6" t="str">
        <f t="shared" si="108"/>
        <v>",WinNote="</v>
      </c>
      <c r="AB357" t="str">
        <f>IF(Matchs!N358="","",Matchs!N358)</f>
        <v/>
      </c>
      <c r="AC357" s="6" t="str">
        <f t="shared" si="109"/>
        <v xml:space="preserve">",Stadium=" </v>
      </c>
      <c r="AD357" s="11" t="str">
        <f>Matchs!O358</f>
        <v xml:space="preserve">Camp Nou </v>
      </c>
      <c r="AE357" s="6" t="str">
        <f t="shared" si="110"/>
        <v>",Referee= "</v>
      </c>
      <c r="AF357" s="11" t="str">
        <f>Matchs!P358</f>
        <v xml:space="preserve">Juan Daniel Cardellino </v>
      </c>
      <c r="AG357" s="6" t="str">
        <f t="shared" si="111"/>
        <v xml:space="preserve">",Visistors= </v>
      </c>
      <c r="AH357" s="11">
        <f>Matchs!Q358</f>
        <v>50000</v>
      </c>
      <c r="AI357" s="11" t="str">
        <f t="shared" si="112"/>
        <v>,Status= "</v>
      </c>
      <c r="AJ357" s="11" t="str">
        <f>Matchs!R358</f>
        <v>Finished</v>
      </c>
      <c r="AK357" t="str">
        <f t="shared" si="113"/>
        <v>" },</v>
      </c>
    </row>
    <row r="358" spans="1:37" x14ac:dyDescent="0.25">
      <c r="A358" t="str">
        <f t="shared" si="95"/>
        <v>new Match { MatchId= "</v>
      </c>
      <c r="B358" t="str">
        <f>Matchs!A359</f>
        <v>FIFAWC1982-50</v>
      </c>
      <c r="C358" t="str">
        <f t="shared" si="96"/>
        <v>",MatchNumer=</v>
      </c>
      <c r="D358">
        <f>Matchs!B359</f>
        <v>50</v>
      </c>
      <c r="E358" t="str">
        <f t="shared" si="97"/>
        <v>,DateMatch=DateTime.Parse("</v>
      </c>
      <c r="F358" s="3">
        <f>Matchs!C359</f>
        <v>30141</v>
      </c>
      <c r="G358" s="10" t="str">
        <f t="shared" si="98"/>
        <v>"),TimeMatch=TimeSpan.Parse("</v>
      </c>
      <c r="H358" s="9">
        <f>Matchs!D359</f>
        <v>8.3333333333333329E-2</v>
      </c>
      <c r="I358" t="str">
        <f t="shared" si="99"/>
        <v>"),MatchYear=</v>
      </c>
      <c r="J358">
        <f>Matchs!E359</f>
        <v>1982</v>
      </c>
      <c r="K358" t="str">
        <f t="shared" si="100"/>
        <v>, SeasonId= "</v>
      </c>
      <c r="L358" t="str">
        <f>Matchs!F359</f>
        <v>FIFAWC1982</v>
      </c>
      <c r="M358" t="str">
        <f t="shared" si="101"/>
        <v>",Round= "</v>
      </c>
      <c r="N358" t="str">
        <f>Matchs!G359</f>
        <v>Final Round</v>
      </c>
      <c r="O358" s="6" t="str">
        <f t="shared" si="102"/>
        <v>",Stage= "</v>
      </c>
      <c r="P358" t="str">
        <f>Matchs!H359</f>
        <v>Knockouts</v>
      </c>
      <c r="Q358" s="6" t="str">
        <f t="shared" si="103"/>
        <v>",SubStage= "</v>
      </c>
      <c r="R358" t="str">
        <f>Matchs!I359</f>
        <v>Semifinal</v>
      </c>
      <c r="S358" s="6" t="str">
        <f t="shared" si="104"/>
        <v>",HTeam= "</v>
      </c>
      <c r="T358" t="str">
        <f>Matchs!J359</f>
        <v>Germany</v>
      </c>
      <c r="U358" s="6" t="str">
        <f t="shared" si="105"/>
        <v>",HGoal=</v>
      </c>
      <c r="V358">
        <f>Matchs!K359</f>
        <v>3</v>
      </c>
      <c r="W358" s="6" t="str">
        <f t="shared" si="106"/>
        <v>,GGoal=</v>
      </c>
      <c r="X358">
        <f>Matchs!L359</f>
        <v>3</v>
      </c>
      <c r="Y358" s="6" t="str">
        <f t="shared" si="107"/>
        <v>,GTeam= "</v>
      </c>
      <c r="Z358" t="str">
        <f>Matchs!M359</f>
        <v>France</v>
      </c>
      <c r="AA358" s="6" t="str">
        <f t="shared" si="108"/>
        <v>",WinNote="</v>
      </c>
      <c r="AB358" t="str">
        <f>IF(Matchs!N359="","",Matchs!N359)</f>
        <v>Germany win 5 - 4 on penalties</v>
      </c>
      <c r="AC358" s="6" t="str">
        <f t="shared" si="109"/>
        <v xml:space="preserve">",Stadium=" </v>
      </c>
      <c r="AD358" s="11" t="str">
        <f>Matchs!O359</f>
        <v xml:space="preserve">Estadio Ramón Sánchez Pizjuán </v>
      </c>
      <c r="AE358" s="6" t="str">
        <f t="shared" si="110"/>
        <v>",Referee= "</v>
      </c>
      <c r="AF358" s="11" t="str">
        <f>Matchs!P359</f>
        <v xml:space="preserve">Charles Corver </v>
      </c>
      <c r="AG358" s="6" t="str">
        <f t="shared" si="111"/>
        <v xml:space="preserve">",Visistors= </v>
      </c>
      <c r="AH358" s="11">
        <f>Matchs!Q359</f>
        <v>70000</v>
      </c>
      <c r="AI358" s="11" t="str">
        <f t="shared" si="112"/>
        <v>,Status= "</v>
      </c>
      <c r="AJ358" s="11" t="str">
        <f>Matchs!R359</f>
        <v>Finished</v>
      </c>
      <c r="AK358" t="str">
        <f t="shared" si="113"/>
        <v>" },</v>
      </c>
    </row>
    <row r="359" spans="1:37" x14ac:dyDescent="0.25">
      <c r="A359" t="str">
        <f t="shared" si="95"/>
        <v>new Match { MatchId= "</v>
      </c>
      <c r="B359" t="str">
        <f>Matchs!A360</f>
        <v>FIFAWC1982-51</v>
      </c>
      <c r="C359" t="str">
        <f t="shared" si="96"/>
        <v>",MatchNumer=</v>
      </c>
      <c r="D359">
        <f>Matchs!B360</f>
        <v>51</v>
      </c>
      <c r="E359" t="str">
        <f t="shared" si="97"/>
        <v>,DateMatch=DateTime.Parse("</v>
      </c>
      <c r="F359" s="3">
        <f>Matchs!C360</f>
        <v>30143</v>
      </c>
      <c r="G359" s="10" t="str">
        <f t="shared" si="98"/>
        <v>"),TimeMatch=TimeSpan.Parse("</v>
      </c>
      <c r="H359" s="9">
        <f>Matchs!D360</f>
        <v>4.1666666666666664E-2</v>
      </c>
      <c r="I359" t="str">
        <f t="shared" si="99"/>
        <v>"),MatchYear=</v>
      </c>
      <c r="J359">
        <f>Matchs!E360</f>
        <v>1982</v>
      </c>
      <c r="K359" t="str">
        <f t="shared" si="100"/>
        <v>, SeasonId= "</v>
      </c>
      <c r="L359" t="str">
        <f>Matchs!F360</f>
        <v>FIFAWC1982</v>
      </c>
      <c r="M359" t="str">
        <f t="shared" si="101"/>
        <v>",Round= "</v>
      </c>
      <c r="N359" t="str">
        <f>Matchs!G360</f>
        <v>Final Round</v>
      </c>
      <c r="O359" s="6" t="str">
        <f t="shared" si="102"/>
        <v>",Stage= "</v>
      </c>
      <c r="P359" t="str">
        <f>Matchs!H360</f>
        <v>Knockouts</v>
      </c>
      <c r="Q359" s="6" t="str">
        <f t="shared" si="103"/>
        <v>",SubStage= "</v>
      </c>
      <c r="R359" t="str">
        <f>Matchs!I360</f>
        <v>3rd place</v>
      </c>
      <c r="S359" s="6" t="str">
        <f t="shared" si="104"/>
        <v>",HTeam= "</v>
      </c>
      <c r="T359" t="str">
        <f>Matchs!J360</f>
        <v>Poland</v>
      </c>
      <c r="U359" s="6" t="str">
        <f t="shared" si="105"/>
        <v>",HGoal=</v>
      </c>
      <c r="V359">
        <f>Matchs!K360</f>
        <v>3</v>
      </c>
      <c r="W359" s="6" t="str">
        <f t="shared" si="106"/>
        <v>,GGoal=</v>
      </c>
      <c r="X359">
        <f>Matchs!L360</f>
        <v>2</v>
      </c>
      <c r="Y359" s="6" t="str">
        <f t="shared" si="107"/>
        <v>,GTeam= "</v>
      </c>
      <c r="Z359" t="str">
        <f>Matchs!M360</f>
        <v>France</v>
      </c>
      <c r="AA359" s="6" t="str">
        <f t="shared" si="108"/>
        <v>",WinNote="</v>
      </c>
      <c r="AB359" t="str">
        <f>IF(Matchs!N360="","",Matchs!N360)</f>
        <v/>
      </c>
      <c r="AC359" s="6" t="str">
        <f t="shared" si="109"/>
        <v xml:space="preserve">",Stadium=" </v>
      </c>
      <c r="AD359" s="11" t="str">
        <f>Matchs!O360</f>
        <v xml:space="preserve">Estadio José Rico Pérez </v>
      </c>
      <c r="AE359" s="6" t="str">
        <f t="shared" si="110"/>
        <v>",Referee= "</v>
      </c>
      <c r="AF359" s="11" t="str">
        <f>Matchs!P360</f>
        <v xml:space="preserve">Antonio Garrido </v>
      </c>
      <c r="AG359" s="6" t="str">
        <f t="shared" si="111"/>
        <v xml:space="preserve">",Visistors= </v>
      </c>
      <c r="AH359" s="11">
        <f>Matchs!Q360</f>
        <v>28000</v>
      </c>
      <c r="AI359" s="11" t="str">
        <f t="shared" si="112"/>
        <v>,Status= "</v>
      </c>
      <c r="AJ359" s="11" t="str">
        <f>Matchs!R360</f>
        <v>Finished</v>
      </c>
      <c r="AK359" t="str">
        <f t="shared" si="113"/>
        <v>" },</v>
      </c>
    </row>
    <row r="360" spans="1:37" x14ac:dyDescent="0.25">
      <c r="A360" t="str">
        <f t="shared" si="95"/>
        <v>new Match { MatchId= "</v>
      </c>
      <c r="B360" t="str">
        <f>Matchs!A361</f>
        <v>FIFAWC1982-52</v>
      </c>
      <c r="C360" t="str">
        <f t="shared" si="96"/>
        <v>",MatchNumer=</v>
      </c>
      <c r="D360">
        <f>Matchs!B361</f>
        <v>52</v>
      </c>
      <c r="E360" t="str">
        <f t="shared" si="97"/>
        <v>,DateMatch=DateTime.Parse("</v>
      </c>
      <c r="F360" s="3">
        <f>Matchs!C361</f>
        <v>30144</v>
      </c>
      <c r="G360" s="10" t="str">
        <f t="shared" si="98"/>
        <v>"),TimeMatch=TimeSpan.Parse("</v>
      </c>
      <c r="H360" s="9">
        <f>Matchs!D361</f>
        <v>4.1666666666666664E-2</v>
      </c>
      <c r="I360" t="str">
        <f t="shared" si="99"/>
        <v>"),MatchYear=</v>
      </c>
      <c r="J360">
        <f>Matchs!E361</f>
        <v>1982</v>
      </c>
      <c r="K360" t="str">
        <f t="shared" si="100"/>
        <v>, SeasonId= "</v>
      </c>
      <c r="L360" t="str">
        <f>Matchs!F361</f>
        <v>FIFAWC1982</v>
      </c>
      <c r="M360" t="str">
        <f t="shared" si="101"/>
        <v>",Round= "</v>
      </c>
      <c r="N360" t="str">
        <f>Matchs!G361</f>
        <v>Final Round</v>
      </c>
      <c r="O360" s="6" t="str">
        <f t="shared" si="102"/>
        <v>",Stage= "</v>
      </c>
      <c r="P360" t="str">
        <f>Matchs!H361</f>
        <v>Knockouts</v>
      </c>
      <c r="Q360" s="6" t="str">
        <f t="shared" si="103"/>
        <v>",SubStage= "</v>
      </c>
      <c r="R360" t="str">
        <f>Matchs!I361</f>
        <v>Final</v>
      </c>
      <c r="S360" s="6" t="str">
        <f t="shared" si="104"/>
        <v>",HTeam= "</v>
      </c>
      <c r="T360" t="str">
        <f>Matchs!J361</f>
        <v>Italy</v>
      </c>
      <c r="U360" s="6" t="str">
        <f t="shared" si="105"/>
        <v>",HGoal=</v>
      </c>
      <c r="V360">
        <f>Matchs!K361</f>
        <v>3</v>
      </c>
      <c r="W360" s="6" t="str">
        <f t="shared" si="106"/>
        <v>,GGoal=</v>
      </c>
      <c r="X360">
        <f>Matchs!L361</f>
        <v>1</v>
      </c>
      <c r="Y360" s="6" t="str">
        <f t="shared" si="107"/>
        <v>,GTeam= "</v>
      </c>
      <c r="Z360" t="str">
        <f>Matchs!M361</f>
        <v>Germany</v>
      </c>
      <c r="AA360" s="6" t="str">
        <f t="shared" si="108"/>
        <v>",WinNote="</v>
      </c>
      <c r="AB360" t="str">
        <f>IF(Matchs!N361="","",Matchs!N361)</f>
        <v/>
      </c>
      <c r="AC360" s="6" t="str">
        <f t="shared" si="109"/>
        <v xml:space="preserve">",Stadium=" </v>
      </c>
      <c r="AD360" s="11" t="str">
        <f>Matchs!O361</f>
        <v xml:space="preserve">Estadio Santiago Bernabéu </v>
      </c>
      <c r="AE360" s="6" t="str">
        <f t="shared" si="110"/>
        <v>",Referee= "</v>
      </c>
      <c r="AF360" s="11" t="str">
        <f>Matchs!P361</f>
        <v xml:space="preserve">Arnaldo César Coelho </v>
      </c>
      <c r="AG360" s="6" t="str">
        <f t="shared" si="111"/>
        <v xml:space="preserve">",Visistors= </v>
      </c>
      <c r="AH360" s="11">
        <f>Matchs!Q361</f>
        <v>90000</v>
      </c>
      <c r="AI360" s="11" t="str">
        <f t="shared" si="112"/>
        <v>,Status= "</v>
      </c>
      <c r="AJ360" s="11" t="str">
        <f>Matchs!R361</f>
        <v>Finished</v>
      </c>
      <c r="AK360" t="str">
        <f t="shared" si="113"/>
        <v>" },</v>
      </c>
    </row>
    <row r="361" spans="1:37" x14ac:dyDescent="0.25">
      <c r="A361" t="str">
        <f t="shared" si="95"/>
        <v>new Match { MatchId= "</v>
      </c>
      <c r="B361" t="str">
        <f>Matchs!A362</f>
        <v>FIFAWC1986-1</v>
      </c>
      <c r="C361" t="str">
        <f t="shared" si="96"/>
        <v>",MatchNumer=</v>
      </c>
      <c r="D361">
        <f>Matchs!B362</f>
        <v>1</v>
      </c>
      <c r="E361" t="str">
        <f t="shared" si="97"/>
        <v>,DateMatch=DateTime.Parse("</v>
      </c>
      <c r="F361" s="3">
        <f>Matchs!C362</f>
        <v>31564</v>
      </c>
      <c r="G361" s="10" t="str">
        <f t="shared" si="98"/>
        <v>"),TimeMatch=TimeSpan.Parse("</v>
      </c>
      <c r="H361" s="9">
        <f>Matchs!D362</f>
        <v>1</v>
      </c>
      <c r="I361" t="str">
        <f t="shared" si="99"/>
        <v>"),MatchYear=</v>
      </c>
      <c r="J361">
        <f>Matchs!E362</f>
        <v>1986</v>
      </c>
      <c r="K361" t="str">
        <f t="shared" si="100"/>
        <v>, SeasonId= "</v>
      </c>
      <c r="L361" t="str">
        <f>Matchs!F362</f>
        <v>FIFAWC1986</v>
      </c>
      <c r="M361" t="str">
        <f t="shared" si="101"/>
        <v>",Round= "</v>
      </c>
      <c r="N361" t="str">
        <f>Matchs!G362</f>
        <v>Final Round</v>
      </c>
      <c r="O361" s="6" t="str">
        <f t="shared" si="102"/>
        <v>",Stage= "</v>
      </c>
      <c r="P361" t="str">
        <f>Matchs!H362</f>
        <v>Group</v>
      </c>
      <c r="Q361" s="6" t="str">
        <f t="shared" si="103"/>
        <v>",SubStage= "</v>
      </c>
      <c r="R361" t="str">
        <f>Matchs!I362</f>
        <v xml:space="preserve">Group A </v>
      </c>
      <c r="S361" s="6" t="str">
        <f t="shared" si="104"/>
        <v>",HTeam= "</v>
      </c>
      <c r="T361" t="str">
        <f>Matchs!J362</f>
        <v>Bulgaria</v>
      </c>
      <c r="U361" s="6" t="str">
        <f t="shared" si="105"/>
        <v>",HGoal=</v>
      </c>
      <c r="V361">
        <f>Matchs!K362</f>
        <v>1</v>
      </c>
      <c r="W361" s="6" t="str">
        <f t="shared" si="106"/>
        <v>,GGoal=</v>
      </c>
      <c r="X361">
        <f>Matchs!L362</f>
        <v>1</v>
      </c>
      <c r="Y361" s="6" t="str">
        <f t="shared" si="107"/>
        <v>,GTeam= "</v>
      </c>
      <c r="Z361" t="str">
        <f>Matchs!M362</f>
        <v>Italy</v>
      </c>
      <c r="AA361" s="6" t="str">
        <f t="shared" si="108"/>
        <v>",WinNote="</v>
      </c>
      <c r="AB361" t="str">
        <f>IF(Matchs!N362="","",Matchs!N362)</f>
        <v/>
      </c>
      <c r="AC361" s="6" t="str">
        <f t="shared" si="109"/>
        <v xml:space="preserve">",Stadium=" </v>
      </c>
      <c r="AD361" s="11" t="str">
        <f>Matchs!O362</f>
        <v xml:space="preserve">Estadio Azteca </v>
      </c>
      <c r="AE361" s="6" t="str">
        <f t="shared" si="110"/>
        <v>",Referee= "</v>
      </c>
      <c r="AF361" s="11" t="str">
        <f>Matchs!P362</f>
        <v xml:space="preserve">Erik Fredriksson </v>
      </c>
      <c r="AG361" s="6" t="str">
        <f t="shared" si="111"/>
        <v xml:space="preserve">",Visistors= </v>
      </c>
      <c r="AH361" s="11">
        <f>Matchs!Q362</f>
        <v>96000</v>
      </c>
      <c r="AI361" s="11" t="str">
        <f t="shared" si="112"/>
        <v>,Status= "</v>
      </c>
      <c r="AJ361" s="11" t="str">
        <f>Matchs!R362</f>
        <v>Finished</v>
      </c>
      <c r="AK361" t="str">
        <f t="shared" si="113"/>
        <v>" },</v>
      </c>
    </row>
    <row r="362" spans="1:37" x14ac:dyDescent="0.25">
      <c r="A362" t="str">
        <f t="shared" si="95"/>
        <v>new Match { MatchId= "</v>
      </c>
      <c r="B362" t="str">
        <f>Matchs!A363</f>
        <v>FIFAWC1986-2</v>
      </c>
      <c r="C362" t="str">
        <f t="shared" si="96"/>
        <v>",MatchNumer=</v>
      </c>
      <c r="D362">
        <f>Matchs!B363</f>
        <v>2</v>
      </c>
      <c r="E362" t="str">
        <f t="shared" si="97"/>
        <v>,DateMatch=DateTime.Parse("</v>
      </c>
      <c r="F362" s="3">
        <f>Matchs!C363</f>
        <v>31565</v>
      </c>
      <c r="G362" s="10" t="str">
        <f t="shared" si="98"/>
        <v>"),TimeMatch=TimeSpan.Parse("</v>
      </c>
      <c r="H362" s="9">
        <f>Matchs!D363</f>
        <v>1</v>
      </c>
      <c r="I362" t="str">
        <f t="shared" si="99"/>
        <v>"),MatchYear=</v>
      </c>
      <c r="J362">
        <f>Matchs!E363</f>
        <v>1986</v>
      </c>
      <c r="K362" t="str">
        <f t="shared" si="100"/>
        <v>, SeasonId= "</v>
      </c>
      <c r="L362" t="str">
        <f>Matchs!F363</f>
        <v>FIFAWC1986</v>
      </c>
      <c r="M362" t="str">
        <f t="shared" si="101"/>
        <v>",Round= "</v>
      </c>
      <c r="N362" t="str">
        <f>Matchs!G363</f>
        <v>Final Round</v>
      </c>
      <c r="O362" s="6" t="str">
        <f t="shared" si="102"/>
        <v>",Stage= "</v>
      </c>
      <c r="P362" t="str">
        <f>Matchs!H363</f>
        <v>Group</v>
      </c>
      <c r="Q362" s="6" t="str">
        <f t="shared" si="103"/>
        <v>",SubStage= "</v>
      </c>
      <c r="R362" t="str">
        <f>Matchs!I363</f>
        <v xml:space="preserve">Group D </v>
      </c>
      <c r="S362" s="6" t="str">
        <f t="shared" si="104"/>
        <v>",HTeam= "</v>
      </c>
      <c r="T362" t="str">
        <f>Matchs!J363</f>
        <v>Brazil</v>
      </c>
      <c r="U362" s="6" t="str">
        <f t="shared" si="105"/>
        <v>",HGoal=</v>
      </c>
      <c r="V362">
        <f>Matchs!K363</f>
        <v>1</v>
      </c>
      <c r="W362" s="6" t="str">
        <f t="shared" si="106"/>
        <v>,GGoal=</v>
      </c>
      <c r="X362">
        <f>Matchs!L363</f>
        <v>0</v>
      </c>
      <c r="Y362" s="6" t="str">
        <f t="shared" si="107"/>
        <v>,GTeam= "</v>
      </c>
      <c r="Z362" t="str">
        <f>Matchs!M363</f>
        <v>Spain</v>
      </c>
      <c r="AA362" s="6" t="str">
        <f t="shared" si="108"/>
        <v>",WinNote="</v>
      </c>
      <c r="AB362" t="str">
        <f>IF(Matchs!N363="","",Matchs!N363)</f>
        <v/>
      </c>
      <c r="AC362" s="6" t="str">
        <f t="shared" si="109"/>
        <v xml:space="preserve">",Stadium=" </v>
      </c>
      <c r="AD362" s="11" t="str">
        <f>Matchs!O363</f>
        <v xml:space="preserve">Estadio Jalisco </v>
      </c>
      <c r="AE362" s="6" t="str">
        <f t="shared" si="110"/>
        <v>",Referee= "</v>
      </c>
      <c r="AF362" s="11" t="str">
        <f>Matchs!P363</f>
        <v xml:space="preserve">Chris Bambridge </v>
      </c>
      <c r="AG362" s="6" t="str">
        <f t="shared" si="111"/>
        <v xml:space="preserve">",Visistors= </v>
      </c>
      <c r="AH362" s="11">
        <f>Matchs!Q363</f>
        <v>35748</v>
      </c>
      <c r="AI362" s="11" t="str">
        <f t="shared" si="112"/>
        <v>,Status= "</v>
      </c>
      <c r="AJ362" s="11" t="str">
        <f>Matchs!R363</f>
        <v>Finished</v>
      </c>
      <c r="AK362" t="str">
        <f t="shared" si="113"/>
        <v>" },</v>
      </c>
    </row>
    <row r="363" spans="1:37" x14ac:dyDescent="0.25">
      <c r="A363" t="str">
        <f t="shared" si="95"/>
        <v>new Match { MatchId= "</v>
      </c>
      <c r="B363" t="str">
        <f>Matchs!A364</f>
        <v>FIFAWC1986-3</v>
      </c>
      <c r="C363" t="str">
        <f t="shared" si="96"/>
        <v>",MatchNumer=</v>
      </c>
      <c r="D363">
        <f>Matchs!B364</f>
        <v>3</v>
      </c>
      <c r="E363" t="str">
        <f t="shared" si="97"/>
        <v>,DateMatch=DateTime.Parse("</v>
      </c>
      <c r="F363" s="3">
        <f>Matchs!C364</f>
        <v>31565</v>
      </c>
      <c r="G363" s="10" t="str">
        <f t="shared" si="98"/>
        <v>"),TimeMatch=TimeSpan.Parse("</v>
      </c>
      <c r="H363" s="9">
        <f>Matchs!D364</f>
        <v>0.16666666666666666</v>
      </c>
      <c r="I363" t="str">
        <f t="shared" si="99"/>
        <v>"),MatchYear=</v>
      </c>
      <c r="J363">
        <f>Matchs!E364</f>
        <v>1986</v>
      </c>
      <c r="K363" t="str">
        <f t="shared" si="100"/>
        <v>, SeasonId= "</v>
      </c>
      <c r="L363" t="str">
        <f>Matchs!F364</f>
        <v>FIFAWC1986</v>
      </c>
      <c r="M363" t="str">
        <f t="shared" si="101"/>
        <v>",Round= "</v>
      </c>
      <c r="N363" t="str">
        <f>Matchs!G364</f>
        <v>Final Round</v>
      </c>
      <c r="O363" s="6" t="str">
        <f t="shared" si="102"/>
        <v>",Stage= "</v>
      </c>
      <c r="P363" t="str">
        <f>Matchs!H364</f>
        <v>Group</v>
      </c>
      <c r="Q363" s="6" t="str">
        <f t="shared" si="103"/>
        <v>",SubStage= "</v>
      </c>
      <c r="R363" t="str">
        <f>Matchs!I364</f>
        <v xml:space="preserve">Group C </v>
      </c>
      <c r="S363" s="6" t="str">
        <f t="shared" si="104"/>
        <v>",HTeam= "</v>
      </c>
      <c r="T363" t="str">
        <f>Matchs!J364</f>
        <v>Canada</v>
      </c>
      <c r="U363" s="6" t="str">
        <f t="shared" si="105"/>
        <v>",HGoal=</v>
      </c>
      <c r="V363">
        <f>Matchs!K364</f>
        <v>0</v>
      </c>
      <c r="W363" s="6" t="str">
        <f t="shared" si="106"/>
        <v>,GGoal=</v>
      </c>
      <c r="X363">
        <f>Matchs!L364</f>
        <v>1</v>
      </c>
      <c r="Y363" s="6" t="str">
        <f t="shared" si="107"/>
        <v>,GTeam= "</v>
      </c>
      <c r="Z363" t="str">
        <f>Matchs!M364</f>
        <v>France</v>
      </c>
      <c r="AA363" s="6" t="str">
        <f t="shared" si="108"/>
        <v>",WinNote="</v>
      </c>
      <c r="AB363" t="str">
        <f>IF(Matchs!N364="","",Matchs!N364)</f>
        <v/>
      </c>
      <c r="AC363" s="6" t="str">
        <f t="shared" si="109"/>
        <v xml:space="preserve">",Stadium=" </v>
      </c>
      <c r="AD363" s="11" t="str">
        <f>Matchs!O364</f>
        <v xml:space="preserve">Estadio León </v>
      </c>
      <c r="AE363" s="6" t="str">
        <f t="shared" si="110"/>
        <v>",Referee= "</v>
      </c>
      <c r="AF363" s="11" t="str">
        <f>Matchs!P364</f>
        <v xml:space="preserve">Hernán Silva </v>
      </c>
      <c r="AG363" s="6" t="str">
        <f t="shared" si="111"/>
        <v xml:space="preserve">",Visistors= </v>
      </c>
      <c r="AH363" s="11">
        <f>Matchs!Q364</f>
        <v>36000</v>
      </c>
      <c r="AI363" s="11" t="str">
        <f t="shared" si="112"/>
        <v>,Status= "</v>
      </c>
      <c r="AJ363" s="11" t="str">
        <f>Matchs!R364</f>
        <v>Finished</v>
      </c>
      <c r="AK363" t="str">
        <f t="shared" si="113"/>
        <v>" },</v>
      </c>
    </row>
    <row r="364" spans="1:37" x14ac:dyDescent="0.25">
      <c r="A364" t="str">
        <f t="shared" si="95"/>
        <v>new Match { MatchId= "</v>
      </c>
      <c r="B364" t="str">
        <f>Matchs!A365</f>
        <v>FIFAWC1986-4</v>
      </c>
      <c r="C364" t="str">
        <f t="shared" si="96"/>
        <v>",MatchNumer=</v>
      </c>
      <c r="D364">
        <f>Matchs!B365</f>
        <v>4</v>
      </c>
      <c r="E364" t="str">
        <f t="shared" si="97"/>
        <v>,DateMatch=DateTime.Parse("</v>
      </c>
      <c r="F364" s="3">
        <f>Matchs!C365</f>
        <v>31566</v>
      </c>
      <c r="G364" s="10" t="str">
        <f t="shared" si="98"/>
        <v>"),TimeMatch=TimeSpan.Parse("</v>
      </c>
      <c r="H364" s="9">
        <f>Matchs!D365</f>
        <v>1</v>
      </c>
      <c r="I364" t="str">
        <f t="shared" si="99"/>
        <v>"),MatchYear=</v>
      </c>
      <c r="J364">
        <f>Matchs!E365</f>
        <v>1986</v>
      </c>
      <c r="K364" t="str">
        <f t="shared" si="100"/>
        <v>, SeasonId= "</v>
      </c>
      <c r="L364" t="str">
        <f>Matchs!F365</f>
        <v>FIFAWC1986</v>
      </c>
      <c r="M364" t="str">
        <f t="shared" si="101"/>
        <v>",Round= "</v>
      </c>
      <c r="N364" t="str">
        <f>Matchs!G365</f>
        <v>Final Round</v>
      </c>
      <c r="O364" s="6" t="str">
        <f t="shared" si="102"/>
        <v>",Stage= "</v>
      </c>
      <c r="P364" t="str">
        <f>Matchs!H365</f>
        <v>Group</v>
      </c>
      <c r="Q364" s="6" t="str">
        <f t="shared" si="103"/>
        <v>",SubStage= "</v>
      </c>
      <c r="R364" t="str">
        <f>Matchs!I365</f>
        <v xml:space="preserve">Group A </v>
      </c>
      <c r="S364" s="6" t="str">
        <f t="shared" si="104"/>
        <v>",HTeam= "</v>
      </c>
      <c r="T364" t="str">
        <f>Matchs!J365</f>
        <v>South Korea</v>
      </c>
      <c r="U364" s="6" t="str">
        <f t="shared" si="105"/>
        <v>",HGoal=</v>
      </c>
      <c r="V364">
        <f>Matchs!K365</f>
        <v>1</v>
      </c>
      <c r="W364" s="6" t="str">
        <f t="shared" si="106"/>
        <v>,GGoal=</v>
      </c>
      <c r="X364">
        <f>Matchs!L365</f>
        <v>3</v>
      </c>
      <c r="Y364" s="6" t="str">
        <f t="shared" si="107"/>
        <v>,GTeam= "</v>
      </c>
      <c r="Z364" t="str">
        <f>Matchs!M365</f>
        <v>Argentina</v>
      </c>
      <c r="AA364" s="6" t="str">
        <f t="shared" si="108"/>
        <v>",WinNote="</v>
      </c>
      <c r="AB364" t="str">
        <f>IF(Matchs!N365="","",Matchs!N365)</f>
        <v/>
      </c>
      <c r="AC364" s="6" t="str">
        <f t="shared" si="109"/>
        <v xml:space="preserve">",Stadium=" </v>
      </c>
      <c r="AD364" s="11" t="str">
        <f>Matchs!O365</f>
        <v xml:space="preserve">Estadio Olímpico Universitario </v>
      </c>
      <c r="AE364" s="6" t="str">
        <f t="shared" si="110"/>
        <v>",Referee= "</v>
      </c>
      <c r="AF364" s="11" t="str">
        <f>Matchs!P365</f>
        <v xml:space="preserve">Victoriano Sanchez Arminio </v>
      </c>
      <c r="AG364" s="6" t="str">
        <f t="shared" si="111"/>
        <v xml:space="preserve">",Visistors= </v>
      </c>
      <c r="AH364" s="11">
        <f>Matchs!Q365</f>
        <v>60000</v>
      </c>
      <c r="AI364" s="11" t="str">
        <f t="shared" si="112"/>
        <v>,Status= "</v>
      </c>
      <c r="AJ364" s="11" t="str">
        <f>Matchs!R365</f>
        <v>Finished</v>
      </c>
      <c r="AK364" t="str">
        <f t="shared" si="113"/>
        <v>" },</v>
      </c>
    </row>
    <row r="365" spans="1:37" x14ac:dyDescent="0.25">
      <c r="A365" t="str">
        <f t="shared" si="95"/>
        <v>new Match { MatchId= "</v>
      </c>
      <c r="B365" t="str">
        <f>Matchs!A366</f>
        <v>FIFAWC1986-5</v>
      </c>
      <c r="C365" t="str">
        <f t="shared" si="96"/>
        <v>",MatchNumer=</v>
      </c>
      <c r="D365">
        <f>Matchs!B366</f>
        <v>5</v>
      </c>
      <c r="E365" t="str">
        <f t="shared" si="97"/>
        <v>,DateMatch=DateTime.Parse("</v>
      </c>
      <c r="F365" s="3">
        <f>Matchs!C366</f>
        <v>31566</v>
      </c>
      <c r="G365" s="10" t="str">
        <f t="shared" si="98"/>
        <v>"),TimeMatch=TimeSpan.Parse("</v>
      </c>
      <c r="H365" s="9">
        <f>Matchs!D366</f>
        <v>1</v>
      </c>
      <c r="I365" t="str">
        <f t="shared" si="99"/>
        <v>"),MatchYear=</v>
      </c>
      <c r="J365">
        <f>Matchs!E366</f>
        <v>1986</v>
      </c>
      <c r="K365" t="str">
        <f t="shared" si="100"/>
        <v>, SeasonId= "</v>
      </c>
      <c r="L365" t="str">
        <f>Matchs!F366</f>
        <v>FIFAWC1986</v>
      </c>
      <c r="M365" t="str">
        <f t="shared" si="101"/>
        <v>",Round= "</v>
      </c>
      <c r="N365" t="str">
        <f>Matchs!G366</f>
        <v>Final Round</v>
      </c>
      <c r="O365" s="6" t="str">
        <f t="shared" si="102"/>
        <v>",Stage= "</v>
      </c>
      <c r="P365" t="str">
        <f>Matchs!H366</f>
        <v>Group</v>
      </c>
      <c r="Q365" s="6" t="str">
        <f t="shared" si="103"/>
        <v>",SubStage= "</v>
      </c>
      <c r="R365" t="str">
        <f>Matchs!I366</f>
        <v xml:space="preserve">Group C </v>
      </c>
      <c r="S365" s="6" t="str">
        <f t="shared" si="104"/>
        <v>",HTeam= "</v>
      </c>
      <c r="T365" t="str">
        <f>Matchs!J366</f>
        <v>Soviet Union</v>
      </c>
      <c r="U365" s="6" t="str">
        <f t="shared" si="105"/>
        <v>",HGoal=</v>
      </c>
      <c r="V365">
        <f>Matchs!K366</f>
        <v>6</v>
      </c>
      <c r="W365" s="6" t="str">
        <f t="shared" si="106"/>
        <v>,GGoal=</v>
      </c>
      <c r="X365">
        <f>Matchs!L366</f>
        <v>0</v>
      </c>
      <c r="Y365" s="6" t="str">
        <f t="shared" si="107"/>
        <v>,GTeam= "</v>
      </c>
      <c r="Z365" t="str">
        <f>Matchs!M366</f>
        <v>Hungary</v>
      </c>
      <c r="AA365" s="6" t="str">
        <f t="shared" si="108"/>
        <v>",WinNote="</v>
      </c>
      <c r="AB365" t="str">
        <f>IF(Matchs!N366="","",Matchs!N366)</f>
        <v/>
      </c>
      <c r="AC365" s="6" t="str">
        <f t="shared" si="109"/>
        <v xml:space="preserve">",Stadium=" </v>
      </c>
      <c r="AD365" s="11" t="str">
        <f>Matchs!O366</f>
        <v xml:space="preserve">Estadio Sergio León Chávez </v>
      </c>
      <c r="AE365" s="6" t="str">
        <f t="shared" si="110"/>
        <v>",Referee= "</v>
      </c>
      <c r="AF365" s="11" t="str">
        <f>Matchs!P366</f>
        <v xml:space="preserve">Luigi Agnolin </v>
      </c>
      <c r="AG365" s="6" t="str">
        <f t="shared" si="111"/>
        <v xml:space="preserve">",Visistors= </v>
      </c>
      <c r="AH365" s="11">
        <f>Matchs!Q366</f>
        <v>16500</v>
      </c>
      <c r="AI365" s="11" t="str">
        <f t="shared" si="112"/>
        <v>,Status= "</v>
      </c>
      <c r="AJ365" s="11" t="str">
        <f>Matchs!R366</f>
        <v>Finished</v>
      </c>
      <c r="AK365" t="str">
        <f t="shared" si="113"/>
        <v>" },</v>
      </c>
    </row>
    <row r="366" spans="1:37" x14ac:dyDescent="0.25">
      <c r="A366" t="str">
        <f t="shared" si="95"/>
        <v>new Match { MatchId= "</v>
      </c>
      <c r="B366" t="str">
        <f>Matchs!A367</f>
        <v>FIFAWC1986-6</v>
      </c>
      <c r="C366" t="str">
        <f t="shared" si="96"/>
        <v>",MatchNumer=</v>
      </c>
      <c r="D366">
        <f>Matchs!B367</f>
        <v>6</v>
      </c>
      <c r="E366" t="str">
        <f t="shared" si="97"/>
        <v>,DateMatch=DateTime.Parse("</v>
      </c>
      <c r="F366" s="3">
        <f>Matchs!C367</f>
        <v>31566</v>
      </c>
      <c r="G366" s="10" t="str">
        <f t="shared" si="98"/>
        <v>"),TimeMatch=TimeSpan.Parse("</v>
      </c>
      <c r="H366" s="9">
        <f>Matchs!D367</f>
        <v>0.16666666666666666</v>
      </c>
      <c r="I366" t="str">
        <f t="shared" si="99"/>
        <v>"),MatchYear=</v>
      </c>
      <c r="J366">
        <f>Matchs!E367</f>
        <v>1986</v>
      </c>
      <c r="K366" t="str">
        <f t="shared" si="100"/>
        <v>, SeasonId= "</v>
      </c>
      <c r="L366" t="str">
        <f>Matchs!F367</f>
        <v>FIFAWC1986</v>
      </c>
      <c r="M366" t="str">
        <f t="shared" si="101"/>
        <v>",Round= "</v>
      </c>
      <c r="N366" t="str">
        <f>Matchs!G367</f>
        <v>Final Round</v>
      </c>
      <c r="O366" s="6" t="str">
        <f t="shared" si="102"/>
        <v>",Stage= "</v>
      </c>
      <c r="P366" t="str">
        <f>Matchs!H367</f>
        <v>Group</v>
      </c>
      <c r="Q366" s="6" t="str">
        <f t="shared" si="103"/>
        <v>",SubStage= "</v>
      </c>
      <c r="R366" t="str">
        <f>Matchs!I367</f>
        <v xml:space="preserve">Group F </v>
      </c>
      <c r="S366" s="6" t="str">
        <f t="shared" si="104"/>
        <v>",HTeam= "</v>
      </c>
      <c r="T366" t="str">
        <f>Matchs!J367</f>
        <v>Morocco</v>
      </c>
      <c r="U366" s="6" t="str">
        <f t="shared" si="105"/>
        <v>",HGoal=</v>
      </c>
      <c r="V366">
        <f>Matchs!K367</f>
        <v>0</v>
      </c>
      <c r="W366" s="6" t="str">
        <f t="shared" si="106"/>
        <v>,GGoal=</v>
      </c>
      <c r="X366">
        <f>Matchs!L367</f>
        <v>0</v>
      </c>
      <c r="Y366" s="6" t="str">
        <f t="shared" si="107"/>
        <v>,GTeam= "</v>
      </c>
      <c r="Z366" t="str">
        <f>Matchs!M367</f>
        <v>Poland</v>
      </c>
      <c r="AA366" s="6" t="str">
        <f t="shared" si="108"/>
        <v>",WinNote="</v>
      </c>
      <c r="AB366" t="str">
        <f>IF(Matchs!N367="","",Matchs!N367)</f>
        <v/>
      </c>
      <c r="AC366" s="6" t="str">
        <f t="shared" si="109"/>
        <v xml:space="preserve">",Stadium=" </v>
      </c>
      <c r="AD366" s="11" t="str">
        <f>Matchs!O367</f>
        <v xml:space="preserve">Estadio Universitario de Mo... </v>
      </c>
      <c r="AE366" s="6" t="str">
        <f t="shared" si="110"/>
        <v>",Referee= "</v>
      </c>
      <c r="AF366" s="11" t="str">
        <f>Matchs!P367</f>
        <v xml:space="preserve">José Luis Martínez Bazán </v>
      </c>
      <c r="AG366" s="6" t="str">
        <f t="shared" si="111"/>
        <v xml:space="preserve">",Visistors= </v>
      </c>
      <c r="AH366" s="11">
        <f>Matchs!Q367</f>
        <v>19900</v>
      </c>
      <c r="AI366" s="11" t="str">
        <f t="shared" si="112"/>
        <v>,Status= "</v>
      </c>
      <c r="AJ366" s="11" t="str">
        <f>Matchs!R367</f>
        <v>Finished</v>
      </c>
      <c r="AK366" t="str">
        <f t="shared" si="113"/>
        <v>" },</v>
      </c>
    </row>
    <row r="367" spans="1:37" x14ac:dyDescent="0.25">
      <c r="A367" t="str">
        <f t="shared" si="95"/>
        <v>new Match { MatchId= "</v>
      </c>
      <c r="B367" t="str">
        <f>Matchs!A368</f>
        <v>FIFAWC1986-7</v>
      </c>
      <c r="C367" t="str">
        <f t="shared" si="96"/>
        <v>",MatchNumer=</v>
      </c>
      <c r="D367">
        <f>Matchs!B368</f>
        <v>7</v>
      </c>
      <c r="E367" t="str">
        <f t="shared" si="97"/>
        <v>,DateMatch=DateTime.Parse("</v>
      </c>
      <c r="F367" s="3">
        <f>Matchs!C368</f>
        <v>31567</v>
      </c>
      <c r="G367" s="10" t="str">
        <f t="shared" si="98"/>
        <v>"),TimeMatch=TimeSpan.Parse("</v>
      </c>
      <c r="H367" s="9">
        <f>Matchs!D368</f>
        <v>1</v>
      </c>
      <c r="I367" t="str">
        <f t="shared" si="99"/>
        <v>"),MatchYear=</v>
      </c>
      <c r="J367">
        <f>Matchs!E368</f>
        <v>1986</v>
      </c>
      <c r="K367" t="str">
        <f t="shared" si="100"/>
        <v>, SeasonId= "</v>
      </c>
      <c r="L367" t="str">
        <f>Matchs!F368</f>
        <v>FIFAWC1986</v>
      </c>
      <c r="M367" t="str">
        <f t="shared" si="101"/>
        <v>",Round= "</v>
      </c>
      <c r="N367" t="str">
        <f>Matchs!G368</f>
        <v>Final Round</v>
      </c>
      <c r="O367" s="6" t="str">
        <f t="shared" si="102"/>
        <v>",Stage= "</v>
      </c>
      <c r="P367" t="str">
        <f>Matchs!H368</f>
        <v>Group</v>
      </c>
      <c r="Q367" s="6" t="str">
        <f t="shared" si="103"/>
        <v>",SubStage= "</v>
      </c>
      <c r="R367" t="str">
        <f>Matchs!I368</f>
        <v xml:space="preserve">Group B </v>
      </c>
      <c r="S367" s="6" t="str">
        <f t="shared" si="104"/>
        <v>",HTeam= "</v>
      </c>
      <c r="T367" t="str">
        <f>Matchs!J368</f>
        <v>Belgium</v>
      </c>
      <c r="U367" s="6" t="str">
        <f t="shared" si="105"/>
        <v>",HGoal=</v>
      </c>
      <c r="V367">
        <f>Matchs!K368</f>
        <v>1</v>
      </c>
      <c r="W367" s="6" t="str">
        <f t="shared" si="106"/>
        <v>,GGoal=</v>
      </c>
      <c r="X367">
        <f>Matchs!L368</f>
        <v>2</v>
      </c>
      <c r="Y367" s="6" t="str">
        <f t="shared" si="107"/>
        <v>,GTeam= "</v>
      </c>
      <c r="Z367" t="str">
        <f>Matchs!M368</f>
        <v>Mexico</v>
      </c>
      <c r="AA367" s="6" t="str">
        <f t="shared" si="108"/>
        <v>",WinNote="</v>
      </c>
      <c r="AB367" t="str">
        <f>IF(Matchs!N368="","",Matchs!N368)</f>
        <v/>
      </c>
      <c r="AC367" s="6" t="str">
        <f t="shared" si="109"/>
        <v xml:space="preserve">",Stadium=" </v>
      </c>
      <c r="AD367" s="11" t="str">
        <f>Matchs!O368</f>
        <v xml:space="preserve">Estadio Azteca </v>
      </c>
      <c r="AE367" s="6" t="str">
        <f t="shared" si="110"/>
        <v>",Referee= "</v>
      </c>
      <c r="AF367" s="11" t="str">
        <f>Matchs!P368</f>
        <v xml:space="preserve">Carlos Espósito </v>
      </c>
      <c r="AG367" s="6" t="str">
        <f t="shared" si="111"/>
        <v xml:space="preserve">",Visistors= </v>
      </c>
      <c r="AH367" s="11">
        <f>Matchs!Q368</f>
        <v>110000</v>
      </c>
      <c r="AI367" s="11" t="str">
        <f t="shared" si="112"/>
        <v>,Status= "</v>
      </c>
      <c r="AJ367" s="11" t="str">
        <f>Matchs!R368</f>
        <v>Finished</v>
      </c>
      <c r="AK367" t="str">
        <f t="shared" si="113"/>
        <v>" },</v>
      </c>
    </row>
    <row r="368" spans="1:37" x14ac:dyDescent="0.25">
      <c r="A368" t="str">
        <f t="shared" si="95"/>
        <v>new Match { MatchId= "</v>
      </c>
      <c r="B368" t="str">
        <f>Matchs!A369</f>
        <v>FIFAWC1986-8</v>
      </c>
      <c r="C368" t="str">
        <f t="shared" si="96"/>
        <v>",MatchNumer=</v>
      </c>
      <c r="D368">
        <f>Matchs!B369</f>
        <v>8</v>
      </c>
      <c r="E368" t="str">
        <f t="shared" si="97"/>
        <v>,DateMatch=DateTime.Parse("</v>
      </c>
      <c r="F368" s="3">
        <f>Matchs!C369</f>
        <v>31567</v>
      </c>
      <c r="G368" s="10" t="str">
        <f t="shared" si="98"/>
        <v>"),TimeMatch=TimeSpan.Parse("</v>
      </c>
      <c r="H368" s="9">
        <f>Matchs!D369</f>
        <v>1</v>
      </c>
      <c r="I368" t="str">
        <f t="shared" si="99"/>
        <v>"),MatchYear=</v>
      </c>
      <c r="J368">
        <f>Matchs!E369</f>
        <v>1986</v>
      </c>
      <c r="K368" t="str">
        <f t="shared" si="100"/>
        <v>, SeasonId= "</v>
      </c>
      <c r="L368" t="str">
        <f>Matchs!F369</f>
        <v>FIFAWC1986</v>
      </c>
      <c r="M368" t="str">
        <f t="shared" si="101"/>
        <v>",Round= "</v>
      </c>
      <c r="N368" t="str">
        <f>Matchs!G369</f>
        <v>Final Round</v>
      </c>
      <c r="O368" s="6" t="str">
        <f t="shared" si="102"/>
        <v>",Stage= "</v>
      </c>
      <c r="P368" t="str">
        <f>Matchs!H369</f>
        <v>Group</v>
      </c>
      <c r="Q368" s="6" t="str">
        <f t="shared" si="103"/>
        <v>",SubStage= "</v>
      </c>
      <c r="R368" t="str">
        <f>Matchs!I369</f>
        <v xml:space="preserve">Group D </v>
      </c>
      <c r="S368" s="6" t="str">
        <f t="shared" si="104"/>
        <v>",HTeam= "</v>
      </c>
      <c r="T368" t="str">
        <f>Matchs!J369</f>
        <v>Algeria</v>
      </c>
      <c r="U368" s="6" t="str">
        <f t="shared" si="105"/>
        <v>",HGoal=</v>
      </c>
      <c r="V368">
        <f>Matchs!K369</f>
        <v>1</v>
      </c>
      <c r="W368" s="6" t="str">
        <f t="shared" si="106"/>
        <v>,GGoal=</v>
      </c>
      <c r="X368">
        <f>Matchs!L369</f>
        <v>1</v>
      </c>
      <c r="Y368" s="6" t="str">
        <f t="shared" si="107"/>
        <v>,GTeam= "</v>
      </c>
      <c r="Z368" t="str">
        <f>Matchs!M369</f>
        <v>Northern Ireland</v>
      </c>
      <c r="AA368" s="6" t="str">
        <f t="shared" si="108"/>
        <v>",WinNote="</v>
      </c>
      <c r="AB368" t="str">
        <f>IF(Matchs!N369="","",Matchs!N369)</f>
        <v/>
      </c>
      <c r="AC368" s="6" t="str">
        <f t="shared" si="109"/>
        <v xml:space="preserve">",Stadium=" </v>
      </c>
      <c r="AD368" s="11" t="str">
        <f>Matchs!O369</f>
        <v xml:space="preserve">Estadio Tres de Marzo </v>
      </c>
      <c r="AE368" s="6" t="str">
        <f t="shared" si="110"/>
        <v>",Referee= "</v>
      </c>
      <c r="AF368" s="11" t="str">
        <f>Matchs!P369</f>
        <v xml:space="preserve">Valeri Butenko </v>
      </c>
      <c r="AG368" s="6" t="str">
        <f t="shared" si="111"/>
        <v xml:space="preserve">",Visistors= </v>
      </c>
      <c r="AH368" s="11">
        <f>Matchs!Q369</f>
        <v>22000</v>
      </c>
      <c r="AI368" s="11" t="str">
        <f t="shared" si="112"/>
        <v>,Status= "</v>
      </c>
      <c r="AJ368" s="11" t="str">
        <f>Matchs!R369</f>
        <v>Finished</v>
      </c>
      <c r="AK368" t="str">
        <f t="shared" si="113"/>
        <v>" },</v>
      </c>
    </row>
    <row r="369" spans="1:37" x14ac:dyDescent="0.25">
      <c r="A369" t="str">
        <f t="shared" si="95"/>
        <v>new Match { MatchId= "</v>
      </c>
      <c r="B369" t="str">
        <f>Matchs!A370</f>
        <v>FIFAWC1986-9</v>
      </c>
      <c r="C369" t="str">
        <f t="shared" si="96"/>
        <v>",MatchNumer=</v>
      </c>
      <c r="D369">
        <f>Matchs!B370</f>
        <v>9</v>
      </c>
      <c r="E369" t="str">
        <f t="shared" si="97"/>
        <v>,DateMatch=DateTime.Parse("</v>
      </c>
      <c r="F369" s="3">
        <f>Matchs!C370</f>
        <v>31567</v>
      </c>
      <c r="G369" s="10" t="str">
        <f t="shared" si="98"/>
        <v>"),TimeMatch=TimeSpan.Parse("</v>
      </c>
      <c r="H369" s="9">
        <f>Matchs!D370</f>
        <v>0.16666666666666666</v>
      </c>
      <c r="I369" t="str">
        <f t="shared" si="99"/>
        <v>"),MatchYear=</v>
      </c>
      <c r="J369">
        <f>Matchs!E370</f>
        <v>1986</v>
      </c>
      <c r="K369" t="str">
        <f t="shared" si="100"/>
        <v>, SeasonId= "</v>
      </c>
      <c r="L369" t="str">
        <f>Matchs!F370</f>
        <v>FIFAWC1986</v>
      </c>
      <c r="M369" t="str">
        <f t="shared" si="101"/>
        <v>",Round= "</v>
      </c>
      <c r="N369" t="str">
        <f>Matchs!G370</f>
        <v>Final Round</v>
      </c>
      <c r="O369" s="6" t="str">
        <f t="shared" si="102"/>
        <v>",Stage= "</v>
      </c>
      <c r="P369" t="str">
        <f>Matchs!H370</f>
        <v>Group</v>
      </c>
      <c r="Q369" s="6" t="str">
        <f t="shared" si="103"/>
        <v>",SubStage= "</v>
      </c>
      <c r="R369" t="str">
        <f>Matchs!I370</f>
        <v xml:space="preserve">Group F </v>
      </c>
      <c r="S369" s="6" t="str">
        <f t="shared" si="104"/>
        <v>",HTeam= "</v>
      </c>
      <c r="T369" t="str">
        <f>Matchs!J370</f>
        <v>Portugal</v>
      </c>
      <c r="U369" s="6" t="str">
        <f t="shared" si="105"/>
        <v>",HGoal=</v>
      </c>
      <c r="V369">
        <f>Matchs!K370</f>
        <v>1</v>
      </c>
      <c r="W369" s="6" t="str">
        <f t="shared" si="106"/>
        <v>,GGoal=</v>
      </c>
      <c r="X369">
        <f>Matchs!L370</f>
        <v>0</v>
      </c>
      <c r="Y369" s="6" t="str">
        <f t="shared" si="107"/>
        <v>,GTeam= "</v>
      </c>
      <c r="Z369" t="str">
        <f>Matchs!M370</f>
        <v>England</v>
      </c>
      <c r="AA369" s="6" t="str">
        <f t="shared" si="108"/>
        <v>",WinNote="</v>
      </c>
      <c r="AB369" t="str">
        <f>IF(Matchs!N370="","",Matchs!N370)</f>
        <v/>
      </c>
      <c r="AC369" s="6" t="str">
        <f t="shared" si="109"/>
        <v xml:space="preserve">",Stadium=" </v>
      </c>
      <c r="AD369" s="11" t="str">
        <f>Matchs!O370</f>
        <v xml:space="preserve">Estadio Tecnológico </v>
      </c>
      <c r="AE369" s="6" t="str">
        <f t="shared" si="110"/>
        <v>",Referee= "</v>
      </c>
      <c r="AF369" s="11" t="str">
        <f>Matchs!P370</f>
        <v xml:space="preserve">Volker Roth </v>
      </c>
      <c r="AG369" s="6" t="str">
        <f t="shared" si="111"/>
        <v xml:space="preserve">",Visistors= </v>
      </c>
      <c r="AH369" s="11">
        <f>Matchs!Q370</f>
        <v>23000</v>
      </c>
      <c r="AI369" s="11" t="str">
        <f t="shared" si="112"/>
        <v>,Status= "</v>
      </c>
      <c r="AJ369" s="11" t="str">
        <f>Matchs!R370</f>
        <v>Finished</v>
      </c>
      <c r="AK369" t="str">
        <f t="shared" si="113"/>
        <v>" },</v>
      </c>
    </row>
    <row r="370" spans="1:37" x14ac:dyDescent="0.25">
      <c r="A370" t="str">
        <f t="shared" si="95"/>
        <v>new Match { MatchId= "</v>
      </c>
      <c r="B370" t="str">
        <f>Matchs!A371</f>
        <v>FIFAWC1986-10</v>
      </c>
      <c r="C370" t="str">
        <f t="shared" si="96"/>
        <v>",MatchNumer=</v>
      </c>
      <c r="D370">
        <f>Matchs!B371</f>
        <v>10</v>
      </c>
      <c r="E370" t="str">
        <f t="shared" si="97"/>
        <v>,DateMatch=DateTime.Parse("</v>
      </c>
      <c r="F370" s="3">
        <f>Matchs!C371</f>
        <v>31568</v>
      </c>
      <c r="G370" s="10" t="str">
        <f t="shared" si="98"/>
        <v>"),TimeMatch=TimeSpan.Parse("</v>
      </c>
      <c r="H370" s="9">
        <f>Matchs!D371</f>
        <v>1</v>
      </c>
      <c r="I370" t="str">
        <f t="shared" si="99"/>
        <v>"),MatchYear=</v>
      </c>
      <c r="J370">
        <f>Matchs!E371</f>
        <v>1986</v>
      </c>
      <c r="K370" t="str">
        <f t="shared" si="100"/>
        <v>, SeasonId= "</v>
      </c>
      <c r="L370" t="str">
        <f>Matchs!F371</f>
        <v>FIFAWC1986</v>
      </c>
      <c r="M370" t="str">
        <f t="shared" si="101"/>
        <v>",Round= "</v>
      </c>
      <c r="N370" t="str">
        <f>Matchs!G371</f>
        <v>Final Round</v>
      </c>
      <c r="O370" s="6" t="str">
        <f t="shared" si="102"/>
        <v>",Stage= "</v>
      </c>
      <c r="P370" t="str">
        <f>Matchs!H371</f>
        <v>Group</v>
      </c>
      <c r="Q370" s="6" t="str">
        <f t="shared" si="103"/>
        <v>",SubStage= "</v>
      </c>
      <c r="R370" t="str">
        <f>Matchs!I371</f>
        <v xml:space="preserve">Group B </v>
      </c>
      <c r="S370" s="6" t="str">
        <f t="shared" si="104"/>
        <v>",HTeam= "</v>
      </c>
      <c r="T370" t="str">
        <f>Matchs!J371</f>
        <v>Paraguay</v>
      </c>
      <c r="U370" s="6" t="str">
        <f t="shared" si="105"/>
        <v>",HGoal=</v>
      </c>
      <c r="V370">
        <f>Matchs!K371</f>
        <v>1</v>
      </c>
      <c r="W370" s="6" t="str">
        <f t="shared" si="106"/>
        <v>,GGoal=</v>
      </c>
      <c r="X370">
        <f>Matchs!L371</f>
        <v>0</v>
      </c>
      <c r="Y370" s="6" t="str">
        <f t="shared" si="107"/>
        <v>,GTeam= "</v>
      </c>
      <c r="Z370" t="str">
        <f>Matchs!M371</f>
        <v>Iraq</v>
      </c>
      <c r="AA370" s="6" t="str">
        <f t="shared" si="108"/>
        <v>",WinNote="</v>
      </c>
      <c r="AB370" t="str">
        <f>IF(Matchs!N371="","",Matchs!N371)</f>
        <v/>
      </c>
      <c r="AC370" s="6" t="str">
        <f t="shared" si="109"/>
        <v xml:space="preserve">",Stadium=" </v>
      </c>
      <c r="AD370" s="11" t="str">
        <f>Matchs!O371</f>
        <v xml:space="preserve">Estadio Nemesio Díez </v>
      </c>
      <c r="AE370" s="6" t="str">
        <f t="shared" si="110"/>
        <v>",Referee= "</v>
      </c>
      <c r="AF370" s="11" t="str">
        <f>Matchs!P371</f>
        <v xml:space="preserve">Edwin Picon-Ackong </v>
      </c>
      <c r="AG370" s="6" t="str">
        <f t="shared" si="111"/>
        <v xml:space="preserve">",Visistors= </v>
      </c>
      <c r="AH370" s="11">
        <f>Matchs!Q371</f>
        <v>24000</v>
      </c>
      <c r="AI370" s="11" t="str">
        <f t="shared" si="112"/>
        <v>,Status= "</v>
      </c>
      <c r="AJ370" s="11" t="str">
        <f>Matchs!R371</f>
        <v>Finished</v>
      </c>
      <c r="AK370" t="str">
        <f t="shared" si="113"/>
        <v>" },</v>
      </c>
    </row>
    <row r="371" spans="1:37" x14ac:dyDescent="0.25">
      <c r="A371" t="str">
        <f t="shared" si="95"/>
        <v>new Match { MatchId= "</v>
      </c>
      <c r="B371" t="str">
        <f>Matchs!A372</f>
        <v>FIFAWC1986-11</v>
      </c>
      <c r="C371" t="str">
        <f t="shared" si="96"/>
        <v>",MatchNumer=</v>
      </c>
      <c r="D371">
        <f>Matchs!B372</f>
        <v>11</v>
      </c>
      <c r="E371" t="str">
        <f t="shared" si="97"/>
        <v>,DateMatch=DateTime.Parse("</v>
      </c>
      <c r="F371" s="3">
        <f>Matchs!C372</f>
        <v>31568</v>
      </c>
      <c r="G371" s="10" t="str">
        <f t="shared" si="98"/>
        <v>"),TimeMatch=TimeSpan.Parse("</v>
      </c>
      <c r="H371" s="9">
        <f>Matchs!D372</f>
        <v>1</v>
      </c>
      <c r="I371" t="str">
        <f t="shared" si="99"/>
        <v>"),MatchYear=</v>
      </c>
      <c r="J371">
        <f>Matchs!E372</f>
        <v>1986</v>
      </c>
      <c r="K371" t="str">
        <f t="shared" si="100"/>
        <v>, SeasonId= "</v>
      </c>
      <c r="L371" t="str">
        <f>Matchs!F372</f>
        <v>FIFAWC1986</v>
      </c>
      <c r="M371" t="str">
        <f t="shared" si="101"/>
        <v>",Round= "</v>
      </c>
      <c r="N371" t="str">
        <f>Matchs!G372</f>
        <v>Final Round</v>
      </c>
      <c r="O371" s="6" t="str">
        <f t="shared" si="102"/>
        <v>",Stage= "</v>
      </c>
      <c r="P371" t="str">
        <f>Matchs!H372</f>
        <v>Group</v>
      </c>
      <c r="Q371" s="6" t="str">
        <f t="shared" si="103"/>
        <v>",SubStage= "</v>
      </c>
      <c r="R371" t="str">
        <f>Matchs!I372</f>
        <v xml:space="preserve">Group E </v>
      </c>
      <c r="S371" s="6" t="str">
        <f t="shared" si="104"/>
        <v>",HTeam= "</v>
      </c>
      <c r="T371" t="str">
        <f>Matchs!J372</f>
        <v>Uruguay</v>
      </c>
      <c r="U371" s="6" t="str">
        <f t="shared" si="105"/>
        <v>",HGoal=</v>
      </c>
      <c r="V371">
        <f>Matchs!K372</f>
        <v>1</v>
      </c>
      <c r="W371" s="6" t="str">
        <f t="shared" si="106"/>
        <v>,GGoal=</v>
      </c>
      <c r="X371">
        <f>Matchs!L372</f>
        <v>1</v>
      </c>
      <c r="Y371" s="6" t="str">
        <f t="shared" si="107"/>
        <v>,GTeam= "</v>
      </c>
      <c r="Z371" t="str">
        <f>Matchs!M372</f>
        <v>Germany</v>
      </c>
      <c r="AA371" s="6" t="str">
        <f t="shared" si="108"/>
        <v>",WinNote="</v>
      </c>
      <c r="AB371" t="str">
        <f>IF(Matchs!N372="","",Matchs!N372)</f>
        <v/>
      </c>
      <c r="AC371" s="6" t="str">
        <f t="shared" si="109"/>
        <v xml:space="preserve">",Stadium=" </v>
      </c>
      <c r="AD371" s="11" t="str">
        <f>Matchs!O372</f>
        <v xml:space="preserve">Estadio Corregidora </v>
      </c>
      <c r="AE371" s="6" t="str">
        <f t="shared" si="110"/>
        <v>",Referee= "</v>
      </c>
      <c r="AF371" s="11" t="str">
        <f>Matchs!P372</f>
        <v xml:space="preserve">Vojtech Christov </v>
      </c>
      <c r="AG371" s="6" t="str">
        <f t="shared" si="111"/>
        <v xml:space="preserve">",Visistors= </v>
      </c>
      <c r="AH371" s="11">
        <f>Matchs!Q372</f>
        <v>30500</v>
      </c>
      <c r="AI371" s="11" t="str">
        <f t="shared" si="112"/>
        <v>,Status= "</v>
      </c>
      <c r="AJ371" s="11" t="str">
        <f>Matchs!R372</f>
        <v>Finished</v>
      </c>
      <c r="AK371" t="str">
        <f t="shared" si="113"/>
        <v>" },</v>
      </c>
    </row>
    <row r="372" spans="1:37" x14ac:dyDescent="0.25">
      <c r="A372" t="str">
        <f t="shared" si="95"/>
        <v>new Match { MatchId= "</v>
      </c>
      <c r="B372" t="str">
        <f>Matchs!A373</f>
        <v>FIFAWC1986-12</v>
      </c>
      <c r="C372" t="str">
        <f t="shared" si="96"/>
        <v>",MatchNumer=</v>
      </c>
      <c r="D372">
        <f>Matchs!B373</f>
        <v>12</v>
      </c>
      <c r="E372" t="str">
        <f t="shared" si="97"/>
        <v>,DateMatch=DateTime.Parse("</v>
      </c>
      <c r="F372" s="3">
        <f>Matchs!C373</f>
        <v>31568</v>
      </c>
      <c r="G372" s="10" t="str">
        <f t="shared" si="98"/>
        <v>"),TimeMatch=TimeSpan.Parse("</v>
      </c>
      <c r="H372" s="9">
        <f>Matchs!D373</f>
        <v>0.16666666666666666</v>
      </c>
      <c r="I372" t="str">
        <f t="shared" si="99"/>
        <v>"),MatchYear=</v>
      </c>
      <c r="J372">
        <f>Matchs!E373</f>
        <v>1986</v>
      </c>
      <c r="K372" t="str">
        <f t="shared" si="100"/>
        <v>, SeasonId= "</v>
      </c>
      <c r="L372" t="str">
        <f>Matchs!F373</f>
        <v>FIFAWC1986</v>
      </c>
      <c r="M372" t="str">
        <f t="shared" si="101"/>
        <v>",Round= "</v>
      </c>
      <c r="N372" t="str">
        <f>Matchs!G373</f>
        <v>Final Round</v>
      </c>
      <c r="O372" s="6" t="str">
        <f t="shared" si="102"/>
        <v>",Stage= "</v>
      </c>
      <c r="P372" t="str">
        <f>Matchs!H373</f>
        <v>Group</v>
      </c>
      <c r="Q372" s="6" t="str">
        <f t="shared" si="103"/>
        <v>",SubStage= "</v>
      </c>
      <c r="R372" t="str">
        <f>Matchs!I373</f>
        <v xml:space="preserve">Group E </v>
      </c>
      <c r="S372" s="6" t="str">
        <f t="shared" si="104"/>
        <v>",HTeam= "</v>
      </c>
      <c r="T372" t="str">
        <f>Matchs!J373</f>
        <v>Scotland</v>
      </c>
      <c r="U372" s="6" t="str">
        <f t="shared" si="105"/>
        <v>",HGoal=</v>
      </c>
      <c r="V372">
        <f>Matchs!K373</f>
        <v>0</v>
      </c>
      <c r="W372" s="6" t="str">
        <f t="shared" si="106"/>
        <v>,GGoal=</v>
      </c>
      <c r="X372">
        <f>Matchs!L373</f>
        <v>1</v>
      </c>
      <c r="Y372" s="6" t="str">
        <f t="shared" si="107"/>
        <v>,GTeam= "</v>
      </c>
      <c r="Z372" t="str">
        <f>Matchs!M373</f>
        <v>Denmark</v>
      </c>
      <c r="AA372" s="6" t="str">
        <f t="shared" si="108"/>
        <v>",WinNote="</v>
      </c>
      <c r="AB372" t="str">
        <f>IF(Matchs!N373="","",Matchs!N373)</f>
        <v/>
      </c>
      <c r="AC372" s="6" t="str">
        <f t="shared" si="109"/>
        <v xml:space="preserve">",Stadium=" </v>
      </c>
      <c r="AD372" s="11" t="str">
        <f>Matchs!O373</f>
        <v xml:space="preserve">Estadio Neza 86 </v>
      </c>
      <c r="AE372" s="6" t="str">
        <f t="shared" si="110"/>
        <v>",Referee= "</v>
      </c>
      <c r="AF372" s="11" t="str">
        <f>Matchs!P373</f>
        <v xml:space="preserve">Lajos Nemeth </v>
      </c>
      <c r="AG372" s="6" t="str">
        <f t="shared" si="111"/>
        <v xml:space="preserve">",Visistors= </v>
      </c>
      <c r="AH372" s="11">
        <f>Matchs!Q373</f>
        <v>18000</v>
      </c>
      <c r="AI372" s="11" t="str">
        <f t="shared" si="112"/>
        <v>,Status= "</v>
      </c>
      <c r="AJ372" s="11" t="str">
        <f>Matchs!R373</f>
        <v>Finished</v>
      </c>
      <c r="AK372" t="str">
        <f t="shared" si="113"/>
        <v>" },</v>
      </c>
    </row>
    <row r="373" spans="1:37" x14ac:dyDescent="0.25">
      <c r="A373" t="str">
        <f t="shared" si="95"/>
        <v>new Match { MatchId= "</v>
      </c>
      <c r="B373" t="str">
        <f>Matchs!A374</f>
        <v>FIFAWC1986-13</v>
      </c>
      <c r="C373" t="str">
        <f t="shared" si="96"/>
        <v>",MatchNumer=</v>
      </c>
      <c r="D373">
        <f>Matchs!B374</f>
        <v>13</v>
      </c>
      <c r="E373" t="str">
        <f t="shared" si="97"/>
        <v>,DateMatch=DateTime.Parse("</v>
      </c>
      <c r="F373" s="3">
        <f>Matchs!C374</f>
        <v>31569</v>
      </c>
      <c r="G373" s="10" t="str">
        <f t="shared" si="98"/>
        <v>"),TimeMatch=TimeSpan.Parse("</v>
      </c>
      <c r="H373" s="9">
        <f>Matchs!D374</f>
        <v>1</v>
      </c>
      <c r="I373" t="str">
        <f t="shared" si="99"/>
        <v>"),MatchYear=</v>
      </c>
      <c r="J373">
        <f>Matchs!E374</f>
        <v>1986</v>
      </c>
      <c r="K373" t="str">
        <f t="shared" si="100"/>
        <v>, SeasonId= "</v>
      </c>
      <c r="L373" t="str">
        <f>Matchs!F374</f>
        <v>FIFAWC1986</v>
      </c>
      <c r="M373" t="str">
        <f t="shared" si="101"/>
        <v>",Round= "</v>
      </c>
      <c r="N373" t="str">
        <f>Matchs!G374</f>
        <v>Final Round</v>
      </c>
      <c r="O373" s="6" t="str">
        <f t="shared" si="102"/>
        <v>",Stage= "</v>
      </c>
      <c r="P373" t="str">
        <f>Matchs!H374</f>
        <v>Group</v>
      </c>
      <c r="Q373" s="6" t="str">
        <f t="shared" si="103"/>
        <v>",SubStage= "</v>
      </c>
      <c r="R373" t="str">
        <f>Matchs!I374</f>
        <v xml:space="preserve">Group A </v>
      </c>
      <c r="S373" s="6" t="str">
        <f t="shared" si="104"/>
        <v>",HTeam= "</v>
      </c>
      <c r="T373" t="str">
        <f>Matchs!J374</f>
        <v>Italy</v>
      </c>
      <c r="U373" s="6" t="str">
        <f t="shared" si="105"/>
        <v>",HGoal=</v>
      </c>
      <c r="V373">
        <f>Matchs!K374</f>
        <v>1</v>
      </c>
      <c r="W373" s="6" t="str">
        <f t="shared" si="106"/>
        <v>,GGoal=</v>
      </c>
      <c r="X373">
        <f>Matchs!L374</f>
        <v>1</v>
      </c>
      <c r="Y373" s="6" t="str">
        <f t="shared" si="107"/>
        <v>,GTeam= "</v>
      </c>
      <c r="Z373" t="str">
        <f>Matchs!M374</f>
        <v>Argentina</v>
      </c>
      <c r="AA373" s="6" t="str">
        <f t="shared" si="108"/>
        <v>",WinNote="</v>
      </c>
      <c r="AB373" t="str">
        <f>IF(Matchs!N374="","",Matchs!N374)</f>
        <v/>
      </c>
      <c r="AC373" s="6" t="str">
        <f t="shared" si="109"/>
        <v xml:space="preserve">",Stadium=" </v>
      </c>
      <c r="AD373" s="11" t="str">
        <f>Matchs!O374</f>
        <v xml:space="preserve">Estadio Cuauhtémoc </v>
      </c>
      <c r="AE373" s="6" t="str">
        <f t="shared" si="110"/>
        <v>",Referee= "</v>
      </c>
      <c r="AF373" s="11" t="str">
        <f>Matchs!P374</f>
        <v xml:space="preserve">Jan Keizer </v>
      </c>
      <c r="AG373" s="6" t="str">
        <f t="shared" si="111"/>
        <v xml:space="preserve">",Visistors= </v>
      </c>
      <c r="AH373" s="11">
        <f>Matchs!Q374</f>
        <v>32000</v>
      </c>
      <c r="AI373" s="11" t="str">
        <f t="shared" si="112"/>
        <v>,Status= "</v>
      </c>
      <c r="AJ373" s="11" t="str">
        <f>Matchs!R374</f>
        <v>Finished</v>
      </c>
      <c r="AK373" t="str">
        <f t="shared" si="113"/>
        <v>" },</v>
      </c>
    </row>
    <row r="374" spans="1:37" x14ac:dyDescent="0.25">
      <c r="A374" t="str">
        <f t="shared" si="95"/>
        <v>new Match { MatchId= "</v>
      </c>
      <c r="B374" t="str">
        <f>Matchs!A375</f>
        <v>FIFAWC1986-14</v>
      </c>
      <c r="C374" t="str">
        <f t="shared" si="96"/>
        <v>",MatchNumer=</v>
      </c>
      <c r="D374">
        <f>Matchs!B375</f>
        <v>14</v>
      </c>
      <c r="E374" t="str">
        <f t="shared" si="97"/>
        <v>,DateMatch=DateTime.Parse("</v>
      </c>
      <c r="F374" s="3">
        <f>Matchs!C375</f>
        <v>31569</v>
      </c>
      <c r="G374" s="10" t="str">
        <f t="shared" si="98"/>
        <v>"),TimeMatch=TimeSpan.Parse("</v>
      </c>
      <c r="H374" s="9">
        <f>Matchs!D375</f>
        <v>1</v>
      </c>
      <c r="I374" t="str">
        <f t="shared" si="99"/>
        <v>"),MatchYear=</v>
      </c>
      <c r="J374">
        <f>Matchs!E375</f>
        <v>1986</v>
      </c>
      <c r="K374" t="str">
        <f t="shared" si="100"/>
        <v>, SeasonId= "</v>
      </c>
      <c r="L374" t="str">
        <f>Matchs!F375</f>
        <v>FIFAWC1986</v>
      </c>
      <c r="M374" t="str">
        <f t="shared" si="101"/>
        <v>",Round= "</v>
      </c>
      <c r="N374" t="str">
        <f>Matchs!G375</f>
        <v>Final Round</v>
      </c>
      <c r="O374" s="6" t="str">
        <f t="shared" si="102"/>
        <v>",Stage= "</v>
      </c>
      <c r="P374" t="str">
        <f>Matchs!H375</f>
        <v>Group</v>
      </c>
      <c r="Q374" s="6" t="str">
        <f t="shared" si="103"/>
        <v>",SubStage= "</v>
      </c>
      <c r="R374" t="str">
        <f>Matchs!I375</f>
        <v xml:space="preserve">Group C </v>
      </c>
      <c r="S374" s="6" t="str">
        <f t="shared" si="104"/>
        <v>",HTeam= "</v>
      </c>
      <c r="T374" t="str">
        <f>Matchs!J375</f>
        <v>France</v>
      </c>
      <c r="U374" s="6" t="str">
        <f t="shared" si="105"/>
        <v>",HGoal=</v>
      </c>
      <c r="V374">
        <f>Matchs!K375</f>
        <v>1</v>
      </c>
      <c r="W374" s="6" t="str">
        <f t="shared" si="106"/>
        <v>,GGoal=</v>
      </c>
      <c r="X374">
        <f>Matchs!L375</f>
        <v>1</v>
      </c>
      <c r="Y374" s="6" t="str">
        <f t="shared" si="107"/>
        <v>,GTeam= "</v>
      </c>
      <c r="Z374" t="str">
        <f>Matchs!M375</f>
        <v>Soviet Union</v>
      </c>
      <c r="AA374" s="6" t="str">
        <f t="shared" si="108"/>
        <v>",WinNote="</v>
      </c>
      <c r="AB374" t="str">
        <f>IF(Matchs!N375="","",Matchs!N375)</f>
        <v/>
      </c>
      <c r="AC374" s="6" t="str">
        <f t="shared" si="109"/>
        <v xml:space="preserve">",Stadium=" </v>
      </c>
      <c r="AD374" s="11" t="str">
        <f>Matchs!O375</f>
        <v xml:space="preserve">Estadio León </v>
      </c>
      <c r="AE374" s="6" t="str">
        <f t="shared" si="110"/>
        <v>",Referee= "</v>
      </c>
      <c r="AF374" s="11" t="str">
        <f>Matchs!P375</f>
        <v xml:space="preserve">Romualdo Arppi Filho </v>
      </c>
      <c r="AG374" s="6" t="str">
        <f t="shared" si="111"/>
        <v xml:space="preserve">",Visistors= </v>
      </c>
      <c r="AH374" s="11">
        <f>Matchs!Q375</f>
        <v>36540</v>
      </c>
      <c r="AI374" s="11" t="str">
        <f t="shared" si="112"/>
        <v>,Status= "</v>
      </c>
      <c r="AJ374" s="11" t="str">
        <f>Matchs!R375</f>
        <v>Finished</v>
      </c>
      <c r="AK374" t="str">
        <f t="shared" si="113"/>
        <v>" },</v>
      </c>
    </row>
    <row r="375" spans="1:37" x14ac:dyDescent="0.25">
      <c r="A375" t="str">
        <f t="shared" si="95"/>
        <v>new Match { MatchId= "</v>
      </c>
      <c r="B375" t="str">
        <f>Matchs!A376</f>
        <v>FIFAWC1986-15</v>
      </c>
      <c r="C375" t="str">
        <f t="shared" si="96"/>
        <v>",MatchNumer=</v>
      </c>
      <c r="D375">
        <f>Matchs!B376</f>
        <v>15</v>
      </c>
      <c r="E375" t="str">
        <f t="shared" si="97"/>
        <v>,DateMatch=DateTime.Parse("</v>
      </c>
      <c r="F375" s="3">
        <f>Matchs!C376</f>
        <v>31569</v>
      </c>
      <c r="G375" s="10" t="str">
        <f t="shared" si="98"/>
        <v>"),TimeMatch=TimeSpan.Parse("</v>
      </c>
      <c r="H375" s="9">
        <f>Matchs!D376</f>
        <v>0.16666666666666666</v>
      </c>
      <c r="I375" t="str">
        <f t="shared" si="99"/>
        <v>"),MatchYear=</v>
      </c>
      <c r="J375">
        <f>Matchs!E376</f>
        <v>1986</v>
      </c>
      <c r="K375" t="str">
        <f t="shared" si="100"/>
        <v>, SeasonId= "</v>
      </c>
      <c r="L375" t="str">
        <f>Matchs!F376</f>
        <v>FIFAWC1986</v>
      </c>
      <c r="M375" t="str">
        <f t="shared" si="101"/>
        <v>",Round= "</v>
      </c>
      <c r="N375" t="str">
        <f>Matchs!G376</f>
        <v>Final Round</v>
      </c>
      <c r="O375" s="6" t="str">
        <f t="shared" si="102"/>
        <v>",Stage= "</v>
      </c>
      <c r="P375" t="str">
        <f>Matchs!H376</f>
        <v>Group</v>
      </c>
      <c r="Q375" s="6" t="str">
        <f t="shared" si="103"/>
        <v>",SubStage= "</v>
      </c>
      <c r="R375" t="str">
        <f>Matchs!I376</f>
        <v xml:space="preserve">Group A </v>
      </c>
      <c r="S375" s="6" t="str">
        <f t="shared" si="104"/>
        <v>",HTeam= "</v>
      </c>
      <c r="T375" t="str">
        <f>Matchs!J376</f>
        <v>South Korea</v>
      </c>
      <c r="U375" s="6" t="str">
        <f t="shared" si="105"/>
        <v>",HGoal=</v>
      </c>
      <c r="V375">
        <f>Matchs!K376</f>
        <v>1</v>
      </c>
      <c r="W375" s="6" t="str">
        <f t="shared" si="106"/>
        <v>,GGoal=</v>
      </c>
      <c r="X375">
        <f>Matchs!L376</f>
        <v>1</v>
      </c>
      <c r="Y375" s="6" t="str">
        <f t="shared" si="107"/>
        <v>,GTeam= "</v>
      </c>
      <c r="Z375" t="str">
        <f>Matchs!M376</f>
        <v>Bulgaria</v>
      </c>
      <c r="AA375" s="6" t="str">
        <f t="shared" si="108"/>
        <v>",WinNote="</v>
      </c>
      <c r="AB375" t="str">
        <f>IF(Matchs!N376="","",Matchs!N376)</f>
        <v/>
      </c>
      <c r="AC375" s="6" t="str">
        <f t="shared" si="109"/>
        <v xml:space="preserve">",Stadium=" </v>
      </c>
      <c r="AD375" s="11" t="str">
        <f>Matchs!O376</f>
        <v xml:space="preserve">Estadio Olímpico Universitario </v>
      </c>
      <c r="AE375" s="6" t="str">
        <f t="shared" si="110"/>
        <v>",Referee= "</v>
      </c>
      <c r="AF375" s="11" t="str">
        <f>Matchs!P376</f>
        <v xml:space="preserve">Fallaj Al Shanar </v>
      </c>
      <c r="AG375" s="6" t="str">
        <f t="shared" si="111"/>
        <v xml:space="preserve">",Visistors= </v>
      </c>
      <c r="AH375" s="11">
        <f>Matchs!Q376</f>
        <v>45000</v>
      </c>
      <c r="AI375" s="11" t="str">
        <f t="shared" si="112"/>
        <v>,Status= "</v>
      </c>
      <c r="AJ375" s="11" t="str">
        <f>Matchs!R376</f>
        <v>Finished</v>
      </c>
      <c r="AK375" t="str">
        <f t="shared" si="113"/>
        <v>" },</v>
      </c>
    </row>
    <row r="376" spans="1:37" x14ac:dyDescent="0.25">
      <c r="A376" t="str">
        <f t="shared" si="95"/>
        <v>new Match { MatchId= "</v>
      </c>
      <c r="B376" t="str">
        <f>Matchs!A377</f>
        <v>FIFAWC1986-16</v>
      </c>
      <c r="C376" t="str">
        <f t="shared" si="96"/>
        <v>",MatchNumer=</v>
      </c>
      <c r="D376">
        <f>Matchs!B377</f>
        <v>16</v>
      </c>
      <c r="E376" t="str">
        <f t="shared" si="97"/>
        <v>,DateMatch=DateTime.Parse("</v>
      </c>
      <c r="F376" s="3">
        <f>Matchs!C377</f>
        <v>31570</v>
      </c>
      <c r="G376" s="10" t="str">
        <f t="shared" si="98"/>
        <v>"),TimeMatch=TimeSpan.Parse("</v>
      </c>
      <c r="H376" s="9">
        <f>Matchs!D377</f>
        <v>1</v>
      </c>
      <c r="I376" t="str">
        <f t="shared" si="99"/>
        <v>"),MatchYear=</v>
      </c>
      <c r="J376">
        <f>Matchs!E377</f>
        <v>1986</v>
      </c>
      <c r="K376" t="str">
        <f t="shared" si="100"/>
        <v>, SeasonId= "</v>
      </c>
      <c r="L376" t="str">
        <f>Matchs!F377</f>
        <v>FIFAWC1986</v>
      </c>
      <c r="M376" t="str">
        <f t="shared" si="101"/>
        <v>",Round= "</v>
      </c>
      <c r="N376" t="str">
        <f>Matchs!G377</f>
        <v>Final Round</v>
      </c>
      <c r="O376" s="6" t="str">
        <f t="shared" si="102"/>
        <v>",Stage= "</v>
      </c>
      <c r="P376" t="str">
        <f>Matchs!H377</f>
        <v>Group</v>
      </c>
      <c r="Q376" s="6" t="str">
        <f t="shared" si="103"/>
        <v>",SubStage= "</v>
      </c>
      <c r="R376" t="str">
        <f>Matchs!I377</f>
        <v xml:space="preserve">Group C </v>
      </c>
      <c r="S376" s="6" t="str">
        <f t="shared" si="104"/>
        <v>",HTeam= "</v>
      </c>
      <c r="T376" t="str">
        <f>Matchs!J377</f>
        <v>Hungary</v>
      </c>
      <c r="U376" s="6" t="str">
        <f t="shared" si="105"/>
        <v>",HGoal=</v>
      </c>
      <c r="V376">
        <f>Matchs!K377</f>
        <v>2</v>
      </c>
      <c r="W376" s="6" t="str">
        <f t="shared" si="106"/>
        <v>,GGoal=</v>
      </c>
      <c r="X376">
        <f>Matchs!L377</f>
        <v>0</v>
      </c>
      <c r="Y376" s="6" t="str">
        <f t="shared" si="107"/>
        <v>,GTeam= "</v>
      </c>
      <c r="Z376" t="str">
        <f>Matchs!M377</f>
        <v>Canada</v>
      </c>
      <c r="AA376" s="6" t="str">
        <f t="shared" si="108"/>
        <v>",WinNote="</v>
      </c>
      <c r="AB376" t="str">
        <f>IF(Matchs!N377="","",Matchs!N377)</f>
        <v/>
      </c>
      <c r="AC376" s="6" t="str">
        <f t="shared" si="109"/>
        <v xml:space="preserve">",Stadium=" </v>
      </c>
      <c r="AD376" s="11" t="str">
        <f>Matchs!O377</f>
        <v xml:space="preserve">Estadio Sergio León Chávez </v>
      </c>
      <c r="AE376" s="6" t="str">
        <f t="shared" si="110"/>
        <v>",Referee= "</v>
      </c>
      <c r="AF376" s="11" t="str">
        <f>Matchs!P377</f>
        <v xml:space="preserve">Jamal Al-Sharif </v>
      </c>
      <c r="AG376" s="6" t="str">
        <f t="shared" si="111"/>
        <v xml:space="preserve">",Visistors= </v>
      </c>
      <c r="AH376" s="11">
        <f>Matchs!Q377</f>
        <v>13800</v>
      </c>
      <c r="AI376" s="11" t="str">
        <f t="shared" si="112"/>
        <v>,Status= "</v>
      </c>
      <c r="AJ376" s="11" t="str">
        <f>Matchs!R377</f>
        <v>Finished</v>
      </c>
      <c r="AK376" t="str">
        <f t="shared" si="113"/>
        <v>" },</v>
      </c>
    </row>
    <row r="377" spans="1:37" x14ac:dyDescent="0.25">
      <c r="A377" t="str">
        <f t="shared" si="95"/>
        <v>new Match { MatchId= "</v>
      </c>
      <c r="B377" t="str">
        <f>Matchs!A378</f>
        <v>FIFAWC1986-17</v>
      </c>
      <c r="C377" t="str">
        <f t="shared" si="96"/>
        <v>",MatchNumer=</v>
      </c>
      <c r="D377">
        <f>Matchs!B378</f>
        <v>17</v>
      </c>
      <c r="E377" t="str">
        <f t="shared" si="97"/>
        <v>,DateMatch=DateTime.Parse("</v>
      </c>
      <c r="F377" s="3">
        <f>Matchs!C378</f>
        <v>31570</v>
      </c>
      <c r="G377" s="10" t="str">
        <f t="shared" si="98"/>
        <v>"),TimeMatch=TimeSpan.Parse("</v>
      </c>
      <c r="H377" s="9">
        <f>Matchs!D378</f>
        <v>1</v>
      </c>
      <c r="I377" t="str">
        <f t="shared" si="99"/>
        <v>"),MatchYear=</v>
      </c>
      <c r="J377">
        <f>Matchs!E378</f>
        <v>1986</v>
      </c>
      <c r="K377" t="str">
        <f t="shared" si="100"/>
        <v>, SeasonId= "</v>
      </c>
      <c r="L377" t="str">
        <f>Matchs!F378</f>
        <v>FIFAWC1986</v>
      </c>
      <c r="M377" t="str">
        <f t="shared" si="101"/>
        <v>",Round= "</v>
      </c>
      <c r="N377" t="str">
        <f>Matchs!G378</f>
        <v>Final Round</v>
      </c>
      <c r="O377" s="6" t="str">
        <f t="shared" si="102"/>
        <v>",Stage= "</v>
      </c>
      <c r="P377" t="str">
        <f>Matchs!H378</f>
        <v>Group</v>
      </c>
      <c r="Q377" s="6" t="str">
        <f t="shared" si="103"/>
        <v>",SubStage= "</v>
      </c>
      <c r="R377" t="str">
        <f>Matchs!I378</f>
        <v xml:space="preserve">Group D </v>
      </c>
      <c r="S377" s="6" t="str">
        <f t="shared" si="104"/>
        <v>",HTeam= "</v>
      </c>
      <c r="T377" t="str">
        <f>Matchs!J378</f>
        <v>Brazil</v>
      </c>
      <c r="U377" s="6" t="str">
        <f t="shared" si="105"/>
        <v>",HGoal=</v>
      </c>
      <c r="V377">
        <f>Matchs!K378</f>
        <v>1</v>
      </c>
      <c r="W377" s="6" t="str">
        <f t="shared" si="106"/>
        <v>,GGoal=</v>
      </c>
      <c r="X377">
        <f>Matchs!L378</f>
        <v>0</v>
      </c>
      <c r="Y377" s="6" t="str">
        <f t="shared" si="107"/>
        <v>,GTeam= "</v>
      </c>
      <c r="Z377" t="str">
        <f>Matchs!M378</f>
        <v>Algeria</v>
      </c>
      <c r="AA377" s="6" t="str">
        <f t="shared" si="108"/>
        <v>",WinNote="</v>
      </c>
      <c r="AB377" t="str">
        <f>IF(Matchs!N378="","",Matchs!N378)</f>
        <v/>
      </c>
      <c r="AC377" s="6" t="str">
        <f t="shared" si="109"/>
        <v xml:space="preserve">",Stadium=" </v>
      </c>
      <c r="AD377" s="11" t="str">
        <f>Matchs!O378</f>
        <v xml:space="preserve">Estadio Jalisco </v>
      </c>
      <c r="AE377" s="6" t="str">
        <f t="shared" si="110"/>
        <v>",Referee= "</v>
      </c>
      <c r="AF377" s="11" t="str">
        <f>Matchs!P378</f>
        <v xml:space="preserve">Romulo Mendez </v>
      </c>
      <c r="AG377" s="6" t="str">
        <f t="shared" si="111"/>
        <v xml:space="preserve">",Visistors= </v>
      </c>
      <c r="AH377" s="11">
        <f>Matchs!Q378</f>
        <v>48000</v>
      </c>
      <c r="AI377" s="11" t="str">
        <f t="shared" si="112"/>
        <v>,Status= "</v>
      </c>
      <c r="AJ377" s="11" t="str">
        <f>Matchs!R378</f>
        <v>Finished</v>
      </c>
      <c r="AK377" t="str">
        <f t="shared" si="113"/>
        <v>" },</v>
      </c>
    </row>
    <row r="378" spans="1:37" x14ac:dyDescent="0.25">
      <c r="A378" t="str">
        <f t="shared" si="95"/>
        <v>new Match { MatchId= "</v>
      </c>
      <c r="B378" t="str">
        <f>Matchs!A379</f>
        <v>FIFAWC1986-18</v>
      </c>
      <c r="C378" t="str">
        <f t="shared" si="96"/>
        <v>",MatchNumer=</v>
      </c>
      <c r="D378">
        <f>Matchs!B379</f>
        <v>18</v>
      </c>
      <c r="E378" t="str">
        <f t="shared" si="97"/>
        <v>,DateMatch=DateTime.Parse("</v>
      </c>
      <c r="F378" s="3">
        <f>Matchs!C379</f>
        <v>31570</v>
      </c>
      <c r="G378" s="10" t="str">
        <f t="shared" si="98"/>
        <v>"),TimeMatch=TimeSpan.Parse("</v>
      </c>
      <c r="H378" s="9">
        <f>Matchs!D379</f>
        <v>0.16666666666666666</v>
      </c>
      <c r="I378" t="str">
        <f t="shared" si="99"/>
        <v>"),MatchYear=</v>
      </c>
      <c r="J378">
        <f>Matchs!E379</f>
        <v>1986</v>
      </c>
      <c r="K378" t="str">
        <f t="shared" si="100"/>
        <v>, SeasonId= "</v>
      </c>
      <c r="L378" t="str">
        <f>Matchs!F379</f>
        <v>FIFAWC1986</v>
      </c>
      <c r="M378" t="str">
        <f t="shared" si="101"/>
        <v>",Round= "</v>
      </c>
      <c r="N378" t="str">
        <f>Matchs!G379</f>
        <v>Final Round</v>
      </c>
      <c r="O378" s="6" t="str">
        <f t="shared" si="102"/>
        <v>",Stage= "</v>
      </c>
      <c r="P378" t="str">
        <f>Matchs!H379</f>
        <v>Group</v>
      </c>
      <c r="Q378" s="6" t="str">
        <f t="shared" si="103"/>
        <v>",SubStage= "</v>
      </c>
      <c r="R378" t="str">
        <f>Matchs!I379</f>
        <v xml:space="preserve">Group F </v>
      </c>
      <c r="S378" s="6" t="str">
        <f t="shared" si="104"/>
        <v>",HTeam= "</v>
      </c>
      <c r="T378" t="str">
        <f>Matchs!J379</f>
        <v>England</v>
      </c>
      <c r="U378" s="6" t="str">
        <f t="shared" si="105"/>
        <v>",HGoal=</v>
      </c>
      <c r="V378">
        <f>Matchs!K379</f>
        <v>0</v>
      </c>
      <c r="W378" s="6" t="str">
        <f t="shared" si="106"/>
        <v>,GGoal=</v>
      </c>
      <c r="X378">
        <f>Matchs!L379</f>
        <v>0</v>
      </c>
      <c r="Y378" s="6" t="str">
        <f t="shared" si="107"/>
        <v>,GTeam= "</v>
      </c>
      <c r="Z378" t="str">
        <f>Matchs!M379</f>
        <v>Morocco</v>
      </c>
      <c r="AA378" s="6" t="str">
        <f t="shared" si="108"/>
        <v>",WinNote="</v>
      </c>
      <c r="AB378" t="str">
        <f>IF(Matchs!N379="","",Matchs!N379)</f>
        <v/>
      </c>
      <c r="AC378" s="6" t="str">
        <f t="shared" si="109"/>
        <v xml:space="preserve">",Stadium=" </v>
      </c>
      <c r="AD378" s="11" t="str">
        <f>Matchs!O379</f>
        <v xml:space="preserve">Estadio Tecnológico </v>
      </c>
      <c r="AE378" s="6" t="str">
        <f t="shared" si="110"/>
        <v>",Referee= "</v>
      </c>
      <c r="AF378" s="11" t="str">
        <f>Matchs!P379</f>
        <v xml:space="preserve">Gabriel González </v>
      </c>
      <c r="AG378" s="6" t="str">
        <f t="shared" si="111"/>
        <v xml:space="preserve">",Visistors= </v>
      </c>
      <c r="AH378" s="11">
        <f>Matchs!Q379</f>
        <v>20200</v>
      </c>
      <c r="AI378" s="11" t="str">
        <f t="shared" si="112"/>
        <v>,Status= "</v>
      </c>
      <c r="AJ378" s="11" t="str">
        <f>Matchs!R379</f>
        <v>Finished</v>
      </c>
      <c r="AK378" t="str">
        <f t="shared" si="113"/>
        <v>" },</v>
      </c>
    </row>
    <row r="379" spans="1:37" x14ac:dyDescent="0.25">
      <c r="A379" t="str">
        <f t="shared" si="95"/>
        <v>new Match { MatchId= "</v>
      </c>
      <c r="B379" t="str">
        <f>Matchs!A380</f>
        <v>FIFAWC1986-19</v>
      </c>
      <c r="C379" t="str">
        <f t="shared" si="96"/>
        <v>",MatchNumer=</v>
      </c>
      <c r="D379">
        <f>Matchs!B380</f>
        <v>19</v>
      </c>
      <c r="E379" t="str">
        <f t="shared" si="97"/>
        <v>,DateMatch=DateTime.Parse("</v>
      </c>
      <c r="F379" s="3">
        <f>Matchs!C380</f>
        <v>31571</v>
      </c>
      <c r="G379" s="10" t="str">
        <f t="shared" si="98"/>
        <v>"),TimeMatch=TimeSpan.Parse("</v>
      </c>
      <c r="H379" s="9">
        <f>Matchs!D380</f>
        <v>1</v>
      </c>
      <c r="I379" t="str">
        <f t="shared" si="99"/>
        <v>"),MatchYear=</v>
      </c>
      <c r="J379">
        <f>Matchs!E380</f>
        <v>1986</v>
      </c>
      <c r="K379" t="str">
        <f t="shared" si="100"/>
        <v>, SeasonId= "</v>
      </c>
      <c r="L379" t="str">
        <f>Matchs!F380</f>
        <v>FIFAWC1986</v>
      </c>
      <c r="M379" t="str">
        <f t="shared" si="101"/>
        <v>",Round= "</v>
      </c>
      <c r="N379" t="str">
        <f>Matchs!G380</f>
        <v>Final Round</v>
      </c>
      <c r="O379" s="6" t="str">
        <f t="shared" si="102"/>
        <v>",Stage= "</v>
      </c>
      <c r="P379" t="str">
        <f>Matchs!H380</f>
        <v>Group</v>
      </c>
      <c r="Q379" s="6" t="str">
        <f t="shared" si="103"/>
        <v>",SubStage= "</v>
      </c>
      <c r="R379" t="str">
        <f>Matchs!I380</f>
        <v xml:space="preserve">Group B </v>
      </c>
      <c r="S379" s="6" t="str">
        <f t="shared" si="104"/>
        <v>",HTeam= "</v>
      </c>
      <c r="T379" t="str">
        <f>Matchs!J380</f>
        <v>Mexico</v>
      </c>
      <c r="U379" s="6" t="str">
        <f t="shared" si="105"/>
        <v>",HGoal=</v>
      </c>
      <c r="V379">
        <f>Matchs!K380</f>
        <v>1</v>
      </c>
      <c r="W379" s="6" t="str">
        <f t="shared" si="106"/>
        <v>,GGoal=</v>
      </c>
      <c r="X379">
        <f>Matchs!L380</f>
        <v>1</v>
      </c>
      <c r="Y379" s="6" t="str">
        <f t="shared" si="107"/>
        <v>,GTeam= "</v>
      </c>
      <c r="Z379" t="str">
        <f>Matchs!M380</f>
        <v>Paraguay</v>
      </c>
      <c r="AA379" s="6" t="str">
        <f t="shared" si="108"/>
        <v>",WinNote="</v>
      </c>
      <c r="AB379" t="str">
        <f>IF(Matchs!N380="","",Matchs!N380)</f>
        <v/>
      </c>
      <c r="AC379" s="6" t="str">
        <f t="shared" si="109"/>
        <v xml:space="preserve">",Stadium=" </v>
      </c>
      <c r="AD379" s="11" t="str">
        <f>Matchs!O380</f>
        <v xml:space="preserve">Estadio Azteca </v>
      </c>
      <c r="AE379" s="6" t="str">
        <f t="shared" si="110"/>
        <v>",Referee= "</v>
      </c>
      <c r="AF379" s="11" t="str">
        <f>Matchs!P380</f>
        <v xml:space="preserve">George Courtney </v>
      </c>
      <c r="AG379" s="6" t="str">
        <f t="shared" si="111"/>
        <v xml:space="preserve">",Visistors= </v>
      </c>
      <c r="AH379" s="11">
        <f>Matchs!Q380</f>
        <v>14600</v>
      </c>
      <c r="AI379" s="11" t="str">
        <f t="shared" si="112"/>
        <v>,Status= "</v>
      </c>
      <c r="AJ379" s="11" t="str">
        <f>Matchs!R380</f>
        <v>Finished</v>
      </c>
      <c r="AK379" t="str">
        <f t="shared" si="113"/>
        <v>" },</v>
      </c>
    </row>
    <row r="380" spans="1:37" x14ac:dyDescent="0.25">
      <c r="A380" t="str">
        <f t="shared" si="95"/>
        <v>new Match { MatchId= "</v>
      </c>
      <c r="B380" t="str">
        <f>Matchs!A381</f>
        <v>FIFAWC1986-20</v>
      </c>
      <c r="C380" t="str">
        <f t="shared" si="96"/>
        <v>",MatchNumer=</v>
      </c>
      <c r="D380">
        <f>Matchs!B381</f>
        <v>20</v>
      </c>
      <c r="E380" t="str">
        <f t="shared" si="97"/>
        <v>,DateMatch=DateTime.Parse("</v>
      </c>
      <c r="F380" s="3">
        <f>Matchs!C381</f>
        <v>31571</v>
      </c>
      <c r="G380" s="10" t="str">
        <f t="shared" si="98"/>
        <v>"),TimeMatch=TimeSpan.Parse("</v>
      </c>
      <c r="H380" s="9">
        <f>Matchs!D381</f>
        <v>1</v>
      </c>
      <c r="I380" t="str">
        <f t="shared" si="99"/>
        <v>"),MatchYear=</v>
      </c>
      <c r="J380">
        <f>Matchs!E381</f>
        <v>1986</v>
      </c>
      <c r="K380" t="str">
        <f t="shared" si="100"/>
        <v>, SeasonId= "</v>
      </c>
      <c r="L380" t="str">
        <f>Matchs!F381</f>
        <v>FIFAWC1986</v>
      </c>
      <c r="M380" t="str">
        <f t="shared" si="101"/>
        <v>",Round= "</v>
      </c>
      <c r="N380" t="str">
        <f>Matchs!G381</f>
        <v>Final Round</v>
      </c>
      <c r="O380" s="6" t="str">
        <f t="shared" si="102"/>
        <v>",Stage= "</v>
      </c>
      <c r="P380" t="str">
        <f>Matchs!H381</f>
        <v>Group</v>
      </c>
      <c r="Q380" s="6" t="str">
        <f t="shared" si="103"/>
        <v>",SubStage= "</v>
      </c>
      <c r="R380" t="str">
        <f>Matchs!I381</f>
        <v xml:space="preserve">Group D </v>
      </c>
      <c r="S380" s="6" t="str">
        <f t="shared" si="104"/>
        <v>",HTeam= "</v>
      </c>
      <c r="T380" t="str">
        <f>Matchs!J381</f>
        <v>Northern Ireland</v>
      </c>
      <c r="U380" s="6" t="str">
        <f t="shared" si="105"/>
        <v>",HGoal=</v>
      </c>
      <c r="V380">
        <f>Matchs!K381</f>
        <v>1</v>
      </c>
      <c r="W380" s="6" t="str">
        <f t="shared" si="106"/>
        <v>,GGoal=</v>
      </c>
      <c r="X380">
        <f>Matchs!L381</f>
        <v>2</v>
      </c>
      <c r="Y380" s="6" t="str">
        <f t="shared" si="107"/>
        <v>,GTeam= "</v>
      </c>
      <c r="Z380" t="str">
        <f>Matchs!M381</f>
        <v>Spain</v>
      </c>
      <c r="AA380" s="6" t="str">
        <f t="shared" si="108"/>
        <v>",WinNote="</v>
      </c>
      <c r="AB380" t="str">
        <f>IF(Matchs!N381="","",Matchs!N381)</f>
        <v/>
      </c>
      <c r="AC380" s="6" t="str">
        <f t="shared" si="109"/>
        <v xml:space="preserve">",Stadium=" </v>
      </c>
      <c r="AD380" s="11" t="str">
        <f>Matchs!O381</f>
        <v xml:space="preserve">Estadio Tres de Marzo </v>
      </c>
      <c r="AE380" s="6" t="str">
        <f t="shared" si="110"/>
        <v>",Referee= "</v>
      </c>
      <c r="AF380" s="11" t="str">
        <f>Matchs!P381</f>
        <v xml:space="preserve">Horst Brummeier </v>
      </c>
      <c r="AG380" s="6" t="str">
        <f t="shared" si="111"/>
        <v xml:space="preserve">",Visistors= </v>
      </c>
      <c r="AH380" s="11">
        <f>Matchs!Q381</f>
        <v>28000</v>
      </c>
      <c r="AI380" s="11" t="str">
        <f t="shared" si="112"/>
        <v>,Status= "</v>
      </c>
      <c r="AJ380" s="11" t="str">
        <f>Matchs!R381</f>
        <v>Finished</v>
      </c>
      <c r="AK380" t="str">
        <f t="shared" si="113"/>
        <v>" },</v>
      </c>
    </row>
    <row r="381" spans="1:37" x14ac:dyDescent="0.25">
      <c r="A381" t="str">
        <f t="shared" si="95"/>
        <v>new Match { MatchId= "</v>
      </c>
      <c r="B381" t="str">
        <f>Matchs!A382</f>
        <v>FIFAWC1986-21</v>
      </c>
      <c r="C381" t="str">
        <f t="shared" si="96"/>
        <v>",MatchNumer=</v>
      </c>
      <c r="D381">
        <f>Matchs!B382</f>
        <v>21</v>
      </c>
      <c r="E381" t="str">
        <f t="shared" si="97"/>
        <v>,DateMatch=DateTime.Parse("</v>
      </c>
      <c r="F381" s="3">
        <f>Matchs!C382</f>
        <v>31571</v>
      </c>
      <c r="G381" s="10" t="str">
        <f t="shared" si="98"/>
        <v>"),TimeMatch=TimeSpan.Parse("</v>
      </c>
      <c r="H381" s="9">
        <f>Matchs!D382</f>
        <v>0.16666666666666666</v>
      </c>
      <c r="I381" t="str">
        <f t="shared" si="99"/>
        <v>"),MatchYear=</v>
      </c>
      <c r="J381">
        <f>Matchs!E382</f>
        <v>1986</v>
      </c>
      <c r="K381" t="str">
        <f t="shared" si="100"/>
        <v>, SeasonId= "</v>
      </c>
      <c r="L381" t="str">
        <f>Matchs!F382</f>
        <v>FIFAWC1986</v>
      </c>
      <c r="M381" t="str">
        <f t="shared" si="101"/>
        <v>",Round= "</v>
      </c>
      <c r="N381" t="str">
        <f>Matchs!G382</f>
        <v>Final Round</v>
      </c>
      <c r="O381" s="6" t="str">
        <f t="shared" si="102"/>
        <v>",Stage= "</v>
      </c>
      <c r="P381" t="str">
        <f>Matchs!H382</f>
        <v>Group</v>
      </c>
      <c r="Q381" s="6" t="str">
        <f t="shared" si="103"/>
        <v>",SubStage= "</v>
      </c>
      <c r="R381" t="str">
        <f>Matchs!I382</f>
        <v xml:space="preserve">Group F </v>
      </c>
      <c r="S381" s="6" t="str">
        <f t="shared" si="104"/>
        <v>",HTeam= "</v>
      </c>
      <c r="T381" t="str">
        <f>Matchs!J382</f>
        <v>Poland</v>
      </c>
      <c r="U381" s="6" t="str">
        <f t="shared" si="105"/>
        <v>",HGoal=</v>
      </c>
      <c r="V381">
        <f>Matchs!K382</f>
        <v>1</v>
      </c>
      <c r="W381" s="6" t="str">
        <f t="shared" si="106"/>
        <v>,GGoal=</v>
      </c>
      <c r="X381">
        <f>Matchs!L382</f>
        <v>0</v>
      </c>
      <c r="Y381" s="6" t="str">
        <f t="shared" si="107"/>
        <v>,GTeam= "</v>
      </c>
      <c r="Z381" t="str">
        <f>Matchs!M382</f>
        <v>Portugal</v>
      </c>
      <c r="AA381" s="6" t="str">
        <f t="shared" si="108"/>
        <v>",WinNote="</v>
      </c>
      <c r="AB381" t="str">
        <f>IF(Matchs!N382="","",Matchs!N382)</f>
        <v/>
      </c>
      <c r="AC381" s="6" t="str">
        <f t="shared" si="109"/>
        <v xml:space="preserve">",Stadium=" </v>
      </c>
      <c r="AD381" s="11" t="str">
        <f>Matchs!O382</f>
        <v xml:space="preserve">Estadio Universitario de Mo... </v>
      </c>
      <c r="AE381" s="6" t="str">
        <f t="shared" si="110"/>
        <v>",Referee= "</v>
      </c>
      <c r="AF381" s="11" t="str">
        <f>Matchs!P382</f>
        <v xml:space="preserve">Ali Bin Nassar </v>
      </c>
      <c r="AG381" s="6" t="str">
        <f t="shared" si="111"/>
        <v xml:space="preserve">",Visistors= </v>
      </c>
      <c r="AH381" s="11">
        <f>Matchs!Q382</f>
        <v>19915</v>
      </c>
      <c r="AI381" s="11" t="str">
        <f t="shared" si="112"/>
        <v>,Status= "</v>
      </c>
      <c r="AJ381" s="11" t="str">
        <f>Matchs!R382</f>
        <v>Finished</v>
      </c>
      <c r="AK381" t="str">
        <f t="shared" si="113"/>
        <v>" },</v>
      </c>
    </row>
    <row r="382" spans="1:37" x14ac:dyDescent="0.25">
      <c r="A382" t="str">
        <f t="shared" si="95"/>
        <v>new Match { MatchId= "</v>
      </c>
      <c r="B382" t="str">
        <f>Matchs!A383</f>
        <v>FIFAWC1986-22</v>
      </c>
      <c r="C382" t="str">
        <f t="shared" si="96"/>
        <v>",MatchNumer=</v>
      </c>
      <c r="D382">
        <f>Matchs!B383</f>
        <v>22</v>
      </c>
      <c r="E382" t="str">
        <f t="shared" si="97"/>
        <v>,DateMatch=DateTime.Parse("</v>
      </c>
      <c r="F382" s="3">
        <f>Matchs!C383</f>
        <v>31572</v>
      </c>
      <c r="G382" s="10" t="str">
        <f t="shared" si="98"/>
        <v>"),TimeMatch=TimeSpan.Parse("</v>
      </c>
      <c r="H382" s="9">
        <f>Matchs!D383</f>
        <v>1</v>
      </c>
      <c r="I382" t="str">
        <f t="shared" si="99"/>
        <v>"),MatchYear=</v>
      </c>
      <c r="J382">
        <f>Matchs!E383</f>
        <v>1986</v>
      </c>
      <c r="K382" t="str">
        <f t="shared" si="100"/>
        <v>, SeasonId= "</v>
      </c>
      <c r="L382" t="str">
        <f>Matchs!F383</f>
        <v>FIFAWC1986</v>
      </c>
      <c r="M382" t="str">
        <f t="shared" si="101"/>
        <v>",Round= "</v>
      </c>
      <c r="N382" t="str">
        <f>Matchs!G383</f>
        <v>Final Round</v>
      </c>
      <c r="O382" s="6" t="str">
        <f t="shared" si="102"/>
        <v>",Stage= "</v>
      </c>
      <c r="P382" t="str">
        <f>Matchs!H383</f>
        <v>Group</v>
      </c>
      <c r="Q382" s="6" t="str">
        <f t="shared" si="103"/>
        <v>",SubStage= "</v>
      </c>
      <c r="R382" t="str">
        <f>Matchs!I383</f>
        <v xml:space="preserve">Group E </v>
      </c>
      <c r="S382" s="6" t="str">
        <f t="shared" si="104"/>
        <v>",HTeam= "</v>
      </c>
      <c r="T382" t="str">
        <f>Matchs!J383</f>
        <v>Germany</v>
      </c>
      <c r="U382" s="6" t="str">
        <f t="shared" si="105"/>
        <v>",HGoal=</v>
      </c>
      <c r="V382">
        <f>Matchs!K383</f>
        <v>2</v>
      </c>
      <c r="W382" s="6" t="str">
        <f t="shared" si="106"/>
        <v>,GGoal=</v>
      </c>
      <c r="X382">
        <f>Matchs!L383</f>
        <v>1</v>
      </c>
      <c r="Y382" s="6" t="str">
        <f t="shared" si="107"/>
        <v>,GTeam= "</v>
      </c>
      <c r="Z382" t="str">
        <f>Matchs!M383</f>
        <v>Scotland</v>
      </c>
      <c r="AA382" s="6" t="str">
        <f t="shared" si="108"/>
        <v>",WinNote="</v>
      </c>
      <c r="AB382" t="str">
        <f>IF(Matchs!N383="","",Matchs!N383)</f>
        <v/>
      </c>
      <c r="AC382" s="6" t="str">
        <f t="shared" si="109"/>
        <v xml:space="preserve">",Stadium=" </v>
      </c>
      <c r="AD382" s="11" t="str">
        <f>Matchs!O383</f>
        <v xml:space="preserve">Estadio Corregidora </v>
      </c>
      <c r="AE382" s="6" t="str">
        <f t="shared" si="110"/>
        <v>",Referee= "</v>
      </c>
      <c r="AF382" s="11" t="str">
        <f>Matchs!P383</f>
        <v xml:space="preserve">Ioan Igna </v>
      </c>
      <c r="AG382" s="6" t="str">
        <f t="shared" si="111"/>
        <v xml:space="preserve">",Visistors= </v>
      </c>
      <c r="AH382" s="11">
        <f>Matchs!Q383</f>
        <v>30000</v>
      </c>
      <c r="AI382" s="11" t="str">
        <f t="shared" si="112"/>
        <v>,Status= "</v>
      </c>
      <c r="AJ382" s="11" t="str">
        <f>Matchs!R383</f>
        <v>Finished</v>
      </c>
      <c r="AK382" t="str">
        <f t="shared" si="113"/>
        <v>" },</v>
      </c>
    </row>
    <row r="383" spans="1:37" x14ac:dyDescent="0.25">
      <c r="A383" t="str">
        <f t="shared" si="95"/>
        <v>new Match { MatchId= "</v>
      </c>
      <c r="B383" t="str">
        <f>Matchs!A384</f>
        <v>FIFAWC1986-23</v>
      </c>
      <c r="C383" t="str">
        <f t="shared" si="96"/>
        <v>",MatchNumer=</v>
      </c>
      <c r="D383">
        <f>Matchs!B384</f>
        <v>23</v>
      </c>
      <c r="E383" t="str">
        <f t="shared" si="97"/>
        <v>,DateMatch=DateTime.Parse("</v>
      </c>
      <c r="F383" s="3">
        <f>Matchs!C384</f>
        <v>31572</v>
      </c>
      <c r="G383" s="10" t="str">
        <f t="shared" si="98"/>
        <v>"),TimeMatch=TimeSpan.Parse("</v>
      </c>
      <c r="H383" s="9">
        <f>Matchs!D384</f>
        <v>1</v>
      </c>
      <c r="I383" t="str">
        <f t="shared" si="99"/>
        <v>"),MatchYear=</v>
      </c>
      <c r="J383">
        <f>Matchs!E384</f>
        <v>1986</v>
      </c>
      <c r="K383" t="str">
        <f t="shared" si="100"/>
        <v>, SeasonId= "</v>
      </c>
      <c r="L383" t="str">
        <f>Matchs!F384</f>
        <v>FIFAWC1986</v>
      </c>
      <c r="M383" t="str">
        <f t="shared" si="101"/>
        <v>",Round= "</v>
      </c>
      <c r="N383" t="str">
        <f>Matchs!G384</f>
        <v>Final Round</v>
      </c>
      <c r="O383" s="6" t="str">
        <f t="shared" si="102"/>
        <v>",Stage= "</v>
      </c>
      <c r="P383" t="str">
        <f>Matchs!H384</f>
        <v>Group</v>
      </c>
      <c r="Q383" s="6" t="str">
        <f t="shared" si="103"/>
        <v>",SubStage= "</v>
      </c>
      <c r="R383" t="str">
        <f>Matchs!I384</f>
        <v xml:space="preserve">Group B </v>
      </c>
      <c r="S383" s="6" t="str">
        <f t="shared" si="104"/>
        <v>",HTeam= "</v>
      </c>
      <c r="T383" t="str">
        <f>Matchs!J384</f>
        <v>Iraq</v>
      </c>
      <c r="U383" s="6" t="str">
        <f t="shared" si="105"/>
        <v>",HGoal=</v>
      </c>
      <c r="V383">
        <f>Matchs!K384</f>
        <v>1</v>
      </c>
      <c r="W383" s="6" t="str">
        <f t="shared" si="106"/>
        <v>,GGoal=</v>
      </c>
      <c r="X383">
        <f>Matchs!L384</f>
        <v>2</v>
      </c>
      <c r="Y383" s="6" t="str">
        <f t="shared" si="107"/>
        <v>,GTeam= "</v>
      </c>
      <c r="Z383" t="str">
        <f>Matchs!M384</f>
        <v>Belgium</v>
      </c>
      <c r="AA383" s="6" t="str">
        <f t="shared" si="108"/>
        <v>",WinNote="</v>
      </c>
      <c r="AB383" t="str">
        <f>IF(Matchs!N384="","",Matchs!N384)</f>
        <v/>
      </c>
      <c r="AC383" s="6" t="str">
        <f t="shared" si="109"/>
        <v xml:space="preserve">",Stadium=" </v>
      </c>
      <c r="AD383" s="11" t="str">
        <f>Matchs!O384</f>
        <v xml:space="preserve">Estadio Nemesio Díez </v>
      </c>
      <c r="AE383" s="6" t="str">
        <f t="shared" si="110"/>
        <v>",Referee= "</v>
      </c>
      <c r="AF383" s="11" t="str">
        <f>Matchs!P384</f>
        <v xml:space="preserve">Jesús Díaz </v>
      </c>
      <c r="AG383" s="6" t="str">
        <f t="shared" si="111"/>
        <v xml:space="preserve">",Visistors= </v>
      </c>
      <c r="AH383" s="11">
        <f>Matchs!Q384</f>
        <v>20000</v>
      </c>
      <c r="AI383" s="11" t="str">
        <f t="shared" si="112"/>
        <v>,Status= "</v>
      </c>
      <c r="AJ383" s="11" t="str">
        <f>Matchs!R384</f>
        <v>Finished</v>
      </c>
      <c r="AK383" t="str">
        <f t="shared" si="113"/>
        <v>" },</v>
      </c>
    </row>
    <row r="384" spans="1:37" x14ac:dyDescent="0.25">
      <c r="A384" t="str">
        <f t="shared" si="95"/>
        <v>new Match { MatchId= "</v>
      </c>
      <c r="B384" t="str">
        <f>Matchs!A385</f>
        <v>FIFAWC1986-24</v>
      </c>
      <c r="C384" t="str">
        <f t="shared" si="96"/>
        <v>",MatchNumer=</v>
      </c>
      <c r="D384">
        <f>Matchs!B385</f>
        <v>24</v>
      </c>
      <c r="E384" t="str">
        <f t="shared" si="97"/>
        <v>,DateMatch=DateTime.Parse("</v>
      </c>
      <c r="F384" s="3">
        <f>Matchs!C385</f>
        <v>31572</v>
      </c>
      <c r="G384" s="10" t="str">
        <f t="shared" si="98"/>
        <v>"),TimeMatch=TimeSpan.Parse("</v>
      </c>
      <c r="H384" s="9">
        <f>Matchs!D385</f>
        <v>0.16666666666666666</v>
      </c>
      <c r="I384" t="str">
        <f t="shared" si="99"/>
        <v>"),MatchYear=</v>
      </c>
      <c r="J384">
        <f>Matchs!E385</f>
        <v>1986</v>
      </c>
      <c r="K384" t="str">
        <f t="shared" si="100"/>
        <v>, SeasonId= "</v>
      </c>
      <c r="L384" t="str">
        <f>Matchs!F385</f>
        <v>FIFAWC1986</v>
      </c>
      <c r="M384" t="str">
        <f t="shared" si="101"/>
        <v>",Round= "</v>
      </c>
      <c r="N384" t="str">
        <f>Matchs!G385</f>
        <v>Final Round</v>
      </c>
      <c r="O384" s="6" t="str">
        <f t="shared" si="102"/>
        <v>",Stage= "</v>
      </c>
      <c r="P384" t="str">
        <f>Matchs!H385</f>
        <v>Group</v>
      </c>
      <c r="Q384" s="6" t="str">
        <f t="shared" si="103"/>
        <v>",SubStage= "</v>
      </c>
      <c r="R384" t="str">
        <f>Matchs!I385</f>
        <v xml:space="preserve">Group E </v>
      </c>
      <c r="S384" s="6" t="str">
        <f t="shared" si="104"/>
        <v>",HTeam= "</v>
      </c>
      <c r="T384" t="str">
        <f>Matchs!J385</f>
        <v>Denmark</v>
      </c>
      <c r="U384" s="6" t="str">
        <f t="shared" si="105"/>
        <v>",HGoal=</v>
      </c>
      <c r="V384">
        <f>Matchs!K385</f>
        <v>6</v>
      </c>
      <c r="W384" s="6" t="str">
        <f t="shared" si="106"/>
        <v>,GGoal=</v>
      </c>
      <c r="X384">
        <f>Matchs!L385</f>
        <v>1</v>
      </c>
      <c r="Y384" s="6" t="str">
        <f t="shared" si="107"/>
        <v>,GTeam= "</v>
      </c>
      <c r="Z384" t="str">
        <f>Matchs!M385</f>
        <v>Uruguay</v>
      </c>
      <c r="AA384" s="6" t="str">
        <f t="shared" si="108"/>
        <v>",WinNote="</v>
      </c>
      <c r="AB384" t="str">
        <f>IF(Matchs!N385="","",Matchs!N385)</f>
        <v/>
      </c>
      <c r="AC384" s="6" t="str">
        <f t="shared" si="109"/>
        <v xml:space="preserve">",Stadium=" </v>
      </c>
      <c r="AD384" s="11" t="str">
        <f>Matchs!O385</f>
        <v xml:space="preserve">Estadio Neza 86 </v>
      </c>
      <c r="AE384" s="6" t="str">
        <f t="shared" si="110"/>
        <v>",Referee= "</v>
      </c>
      <c r="AF384" s="11" t="str">
        <f>Matchs!P385</f>
        <v xml:space="preserve">Antonio Marquez Ramirez </v>
      </c>
      <c r="AG384" s="6" t="str">
        <f t="shared" si="111"/>
        <v xml:space="preserve">",Visistors= </v>
      </c>
      <c r="AH384" s="11">
        <f>Matchs!Q385</f>
        <v>26500</v>
      </c>
      <c r="AI384" s="11" t="str">
        <f t="shared" si="112"/>
        <v>,Status= "</v>
      </c>
      <c r="AJ384" s="11" t="str">
        <f>Matchs!R385</f>
        <v>Finished</v>
      </c>
      <c r="AK384" t="str">
        <f t="shared" si="113"/>
        <v>" },</v>
      </c>
    </row>
    <row r="385" spans="1:37" x14ac:dyDescent="0.25">
      <c r="A385" t="str">
        <f t="shared" si="95"/>
        <v>new Match { MatchId= "</v>
      </c>
      <c r="B385" t="str">
        <f>Matchs!A386</f>
        <v>FIFAWC1986-25</v>
      </c>
      <c r="C385" t="str">
        <f t="shared" si="96"/>
        <v>",MatchNumer=</v>
      </c>
      <c r="D385">
        <f>Matchs!B386</f>
        <v>25</v>
      </c>
      <c r="E385" t="str">
        <f t="shared" si="97"/>
        <v>,DateMatch=DateTime.Parse("</v>
      </c>
      <c r="F385" s="3">
        <f>Matchs!C386</f>
        <v>31573</v>
      </c>
      <c r="G385" s="10" t="str">
        <f t="shared" si="98"/>
        <v>"),TimeMatch=TimeSpan.Parse("</v>
      </c>
      <c r="H385" s="9">
        <f>Matchs!D386</f>
        <v>1</v>
      </c>
      <c r="I385" t="str">
        <f t="shared" si="99"/>
        <v>"),MatchYear=</v>
      </c>
      <c r="J385">
        <f>Matchs!E386</f>
        <v>1986</v>
      </c>
      <c r="K385" t="str">
        <f t="shared" si="100"/>
        <v>, SeasonId= "</v>
      </c>
      <c r="L385" t="str">
        <f>Matchs!F386</f>
        <v>FIFAWC1986</v>
      </c>
      <c r="M385" t="str">
        <f t="shared" si="101"/>
        <v>",Round= "</v>
      </c>
      <c r="N385" t="str">
        <f>Matchs!G386</f>
        <v>Final Round</v>
      </c>
      <c r="O385" s="6" t="str">
        <f t="shared" si="102"/>
        <v>",Stage= "</v>
      </c>
      <c r="P385" t="str">
        <f>Matchs!H386</f>
        <v>Group</v>
      </c>
      <c r="Q385" s="6" t="str">
        <f t="shared" si="103"/>
        <v>",SubStage= "</v>
      </c>
      <c r="R385" t="str">
        <f>Matchs!I386</f>
        <v xml:space="preserve">Group C </v>
      </c>
      <c r="S385" s="6" t="str">
        <f t="shared" si="104"/>
        <v>",HTeam= "</v>
      </c>
      <c r="T385" t="str">
        <f>Matchs!J386</f>
        <v>Soviet Union</v>
      </c>
      <c r="U385" s="6" t="str">
        <f t="shared" si="105"/>
        <v>",HGoal=</v>
      </c>
      <c r="V385">
        <f>Matchs!K386</f>
        <v>2</v>
      </c>
      <c r="W385" s="6" t="str">
        <f t="shared" si="106"/>
        <v>,GGoal=</v>
      </c>
      <c r="X385">
        <f>Matchs!L386</f>
        <v>0</v>
      </c>
      <c r="Y385" s="6" t="str">
        <f t="shared" si="107"/>
        <v>,GTeam= "</v>
      </c>
      <c r="Z385" t="str">
        <f>Matchs!M386</f>
        <v>Canada</v>
      </c>
      <c r="AA385" s="6" t="str">
        <f t="shared" si="108"/>
        <v>",WinNote="</v>
      </c>
      <c r="AB385" t="str">
        <f>IF(Matchs!N386="","",Matchs!N386)</f>
        <v/>
      </c>
      <c r="AC385" s="6" t="str">
        <f t="shared" si="109"/>
        <v xml:space="preserve">",Stadium=" </v>
      </c>
      <c r="AD385" s="11" t="str">
        <f>Matchs!O386</f>
        <v xml:space="preserve">Estadio Sergio León Chávez </v>
      </c>
      <c r="AE385" s="6" t="str">
        <f t="shared" si="110"/>
        <v>",Referee= "</v>
      </c>
      <c r="AF385" s="11" t="str">
        <f>Matchs!P386</f>
        <v xml:space="preserve">Idriss Traore </v>
      </c>
      <c r="AG385" s="6" t="str">
        <f t="shared" si="111"/>
        <v xml:space="preserve">",Visistors= </v>
      </c>
      <c r="AH385" s="11">
        <f>Matchs!Q386</f>
        <v>14200</v>
      </c>
      <c r="AI385" s="11" t="str">
        <f t="shared" si="112"/>
        <v>,Status= "</v>
      </c>
      <c r="AJ385" s="11" t="str">
        <f>Matchs!R386</f>
        <v>Finished</v>
      </c>
      <c r="AK385" t="str">
        <f t="shared" si="113"/>
        <v>" },</v>
      </c>
    </row>
    <row r="386" spans="1:37" x14ac:dyDescent="0.25">
      <c r="A386" t="str">
        <f t="shared" si="95"/>
        <v>new Match { MatchId= "</v>
      </c>
      <c r="B386" t="str">
        <f>Matchs!A387</f>
        <v>FIFAWC1986-26</v>
      </c>
      <c r="C386" t="str">
        <f t="shared" si="96"/>
        <v>",MatchNumer=</v>
      </c>
      <c r="D386">
        <f>Matchs!B387</f>
        <v>26</v>
      </c>
      <c r="E386" t="str">
        <f t="shared" si="97"/>
        <v>,DateMatch=DateTime.Parse("</v>
      </c>
      <c r="F386" s="3">
        <f>Matchs!C387</f>
        <v>31573</v>
      </c>
      <c r="G386" s="10" t="str">
        <f t="shared" si="98"/>
        <v>"),TimeMatch=TimeSpan.Parse("</v>
      </c>
      <c r="H386" s="9">
        <f>Matchs!D387</f>
        <v>1</v>
      </c>
      <c r="I386" t="str">
        <f t="shared" si="99"/>
        <v>"),MatchYear=</v>
      </c>
      <c r="J386">
        <f>Matchs!E387</f>
        <v>1986</v>
      </c>
      <c r="K386" t="str">
        <f t="shared" si="100"/>
        <v>, SeasonId= "</v>
      </c>
      <c r="L386" t="str">
        <f>Matchs!F387</f>
        <v>FIFAWC1986</v>
      </c>
      <c r="M386" t="str">
        <f t="shared" si="101"/>
        <v>",Round= "</v>
      </c>
      <c r="N386" t="str">
        <f>Matchs!G387</f>
        <v>Final Round</v>
      </c>
      <c r="O386" s="6" t="str">
        <f t="shared" si="102"/>
        <v>",Stage= "</v>
      </c>
      <c r="P386" t="str">
        <f>Matchs!H387</f>
        <v>Group</v>
      </c>
      <c r="Q386" s="6" t="str">
        <f t="shared" si="103"/>
        <v>",SubStage= "</v>
      </c>
      <c r="R386" t="str">
        <f>Matchs!I387</f>
        <v xml:space="preserve">Group C </v>
      </c>
      <c r="S386" s="6" t="str">
        <f t="shared" si="104"/>
        <v>",HTeam= "</v>
      </c>
      <c r="T386" t="str">
        <f>Matchs!J387</f>
        <v>Hungary</v>
      </c>
      <c r="U386" s="6" t="str">
        <f t="shared" si="105"/>
        <v>",HGoal=</v>
      </c>
      <c r="V386">
        <f>Matchs!K387</f>
        <v>0</v>
      </c>
      <c r="W386" s="6" t="str">
        <f t="shared" si="106"/>
        <v>,GGoal=</v>
      </c>
      <c r="X386">
        <f>Matchs!L387</f>
        <v>3</v>
      </c>
      <c r="Y386" s="6" t="str">
        <f t="shared" si="107"/>
        <v>,GTeam= "</v>
      </c>
      <c r="Z386" t="str">
        <f>Matchs!M387</f>
        <v>France</v>
      </c>
      <c r="AA386" s="6" t="str">
        <f t="shared" si="108"/>
        <v>",WinNote="</v>
      </c>
      <c r="AB386" t="str">
        <f>IF(Matchs!N387="","",Matchs!N387)</f>
        <v/>
      </c>
      <c r="AC386" s="6" t="str">
        <f t="shared" si="109"/>
        <v xml:space="preserve">",Stadium=" </v>
      </c>
      <c r="AD386" s="11" t="str">
        <f>Matchs!O387</f>
        <v xml:space="preserve">Estadio León </v>
      </c>
      <c r="AE386" s="6" t="str">
        <f t="shared" si="110"/>
        <v>",Referee= "</v>
      </c>
      <c r="AF386" s="11" t="str">
        <f>Matchs!P387</f>
        <v xml:space="preserve">Carlos Silva Valente </v>
      </c>
      <c r="AG386" s="6" t="str">
        <f t="shared" si="111"/>
        <v xml:space="preserve">",Visistors= </v>
      </c>
      <c r="AH386" s="11">
        <f>Matchs!Q387</f>
        <v>31420</v>
      </c>
      <c r="AI386" s="11" t="str">
        <f t="shared" si="112"/>
        <v>,Status= "</v>
      </c>
      <c r="AJ386" s="11" t="str">
        <f>Matchs!R387</f>
        <v>Finished</v>
      </c>
      <c r="AK386" t="str">
        <f t="shared" si="113"/>
        <v>" },</v>
      </c>
    </row>
    <row r="387" spans="1:37" x14ac:dyDescent="0.25">
      <c r="A387" t="str">
        <f t="shared" ref="A387:A450" si="114">A386</f>
        <v>new Match { MatchId= "</v>
      </c>
      <c r="B387" t="str">
        <f>Matchs!A388</f>
        <v>FIFAWC1986-27</v>
      </c>
      <c r="C387" t="str">
        <f t="shared" ref="C387:C450" si="115">C386</f>
        <v>",MatchNumer=</v>
      </c>
      <c r="D387">
        <f>Matchs!B388</f>
        <v>27</v>
      </c>
      <c r="E387" t="str">
        <f t="shared" ref="E387:E450" si="116">E386</f>
        <v>,DateMatch=DateTime.Parse("</v>
      </c>
      <c r="F387" s="3">
        <f>Matchs!C388</f>
        <v>31574</v>
      </c>
      <c r="G387" s="10" t="str">
        <f t="shared" ref="G387:G450" si="117">G386</f>
        <v>"),TimeMatch=TimeSpan.Parse("</v>
      </c>
      <c r="H387" s="9">
        <f>Matchs!D388</f>
        <v>1</v>
      </c>
      <c r="I387" t="str">
        <f t="shared" ref="I387:I450" si="118">I386</f>
        <v>"),MatchYear=</v>
      </c>
      <c r="J387">
        <f>Matchs!E388</f>
        <v>1986</v>
      </c>
      <c r="K387" t="str">
        <f t="shared" ref="K387:K450" si="119">K386</f>
        <v>, SeasonId= "</v>
      </c>
      <c r="L387" t="str">
        <f>Matchs!F388</f>
        <v>FIFAWC1986</v>
      </c>
      <c r="M387" t="str">
        <f t="shared" ref="M387:M450" si="120">M386</f>
        <v>",Round= "</v>
      </c>
      <c r="N387" t="str">
        <f>Matchs!G388</f>
        <v>Final Round</v>
      </c>
      <c r="O387" s="6" t="str">
        <f t="shared" ref="O387:O450" si="121">O386</f>
        <v>",Stage= "</v>
      </c>
      <c r="P387" t="str">
        <f>Matchs!H388</f>
        <v>Group</v>
      </c>
      <c r="Q387" s="6" t="str">
        <f t="shared" ref="Q387:Q450" si="122">Q386</f>
        <v>",SubStage= "</v>
      </c>
      <c r="R387" t="str">
        <f>Matchs!I388</f>
        <v xml:space="preserve">Group A </v>
      </c>
      <c r="S387" s="6" t="str">
        <f t="shared" ref="S387:S450" si="123">S386</f>
        <v>",HTeam= "</v>
      </c>
      <c r="T387" t="str">
        <f>Matchs!J388</f>
        <v>Argentina</v>
      </c>
      <c r="U387" s="6" t="str">
        <f t="shared" ref="U387:U450" si="124">U386</f>
        <v>",HGoal=</v>
      </c>
      <c r="V387">
        <f>Matchs!K388</f>
        <v>2</v>
      </c>
      <c r="W387" s="6" t="str">
        <f t="shared" ref="W387:W450" si="125">W386</f>
        <v>,GGoal=</v>
      </c>
      <c r="X387">
        <f>Matchs!L388</f>
        <v>0</v>
      </c>
      <c r="Y387" s="6" t="str">
        <f t="shared" ref="Y387:Y450" si="126">Y386</f>
        <v>,GTeam= "</v>
      </c>
      <c r="Z387" t="str">
        <f>Matchs!M388</f>
        <v>Bulgaria</v>
      </c>
      <c r="AA387" s="6" t="str">
        <f t="shared" ref="AA387:AA450" si="127">AA386</f>
        <v>",WinNote="</v>
      </c>
      <c r="AB387" t="str">
        <f>IF(Matchs!N388="","",Matchs!N388)</f>
        <v/>
      </c>
      <c r="AC387" s="6" t="str">
        <f t="shared" ref="AC387:AC450" si="128">AC386</f>
        <v xml:space="preserve">",Stadium=" </v>
      </c>
      <c r="AD387" s="11" t="str">
        <f>Matchs!O388</f>
        <v xml:space="preserve">Estadio Olímpico Universitario </v>
      </c>
      <c r="AE387" s="6" t="str">
        <f t="shared" ref="AE387:AE450" si="129">AE386</f>
        <v>",Referee= "</v>
      </c>
      <c r="AF387" s="11" t="str">
        <f>Matchs!P388</f>
        <v xml:space="preserve">Berny Ulloa Morera </v>
      </c>
      <c r="AG387" s="6" t="str">
        <f t="shared" ref="AG387:AG450" si="130">AG386</f>
        <v xml:space="preserve">",Visistors= </v>
      </c>
      <c r="AH387" s="11">
        <f>Matchs!Q388</f>
        <v>65000</v>
      </c>
      <c r="AI387" s="11" t="str">
        <f t="shared" ref="AI387:AI450" si="131">AI386</f>
        <v>,Status= "</v>
      </c>
      <c r="AJ387" s="11" t="str">
        <f>Matchs!R388</f>
        <v>Finished</v>
      </c>
      <c r="AK387" t="str">
        <f t="shared" ref="AK387:AK450" si="132">AK386</f>
        <v>" },</v>
      </c>
    </row>
    <row r="388" spans="1:37" x14ac:dyDescent="0.25">
      <c r="A388" t="str">
        <f t="shared" si="114"/>
        <v>new Match { MatchId= "</v>
      </c>
      <c r="B388" t="str">
        <f>Matchs!A389</f>
        <v>FIFAWC1986-28</v>
      </c>
      <c r="C388" t="str">
        <f t="shared" si="115"/>
        <v>",MatchNumer=</v>
      </c>
      <c r="D388">
        <f>Matchs!B389</f>
        <v>28</v>
      </c>
      <c r="E388" t="str">
        <f t="shared" si="116"/>
        <v>,DateMatch=DateTime.Parse("</v>
      </c>
      <c r="F388" s="3">
        <f>Matchs!C389</f>
        <v>31574</v>
      </c>
      <c r="G388" s="10" t="str">
        <f t="shared" si="117"/>
        <v>"),TimeMatch=TimeSpan.Parse("</v>
      </c>
      <c r="H388" s="9">
        <f>Matchs!D389</f>
        <v>1</v>
      </c>
      <c r="I388" t="str">
        <f t="shared" si="118"/>
        <v>"),MatchYear=</v>
      </c>
      <c r="J388">
        <f>Matchs!E389</f>
        <v>1986</v>
      </c>
      <c r="K388" t="str">
        <f t="shared" si="119"/>
        <v>, SeasonId= "</v>
      </c>
      <c r="L388" t="str">
        <f>Matchs!F389</f>
        <v>FIFAWC1986</v>
      </c>
      <c r="M388" t="str">
        <f t="shared" si="120"/>
        <v>",Round= "</v>
      </c>
      <c r="N388" t="str">
        <f>Matchs!G389</f>
        <v>Final Round</v>
      </c>
      <c r="O388" s="6" t="str">
        <f t="shared" si="121"/>
        <v>",Stage= "</v>
      </c>
      <c r="P388" t="str">
        <f>Matchs!H389</f>
        <v>Group</v>
      </c>
      <c r="Q388" s="6" t="str">
        <f t="shared" si="122"/>
        <v>",SubStage= "</v>
      </c>
      <c r="R388" t="str">
        <f>Matchs!I389</f>
        <v xml:space="preserve">Group A </v>
      </c>
      <c r="S388" s="6" t="str">
        <f t="shared" si="123"/>
        <v>",HTeam= "</v>
      </c>
      <c r="T388" t="str">
        <f>Matchs!J389</f>
        <v>South Korea</v>
      </c>
      <c r="U388" s="6" t="str">
        <f t="shared" si="124"/>
        <v>",HGoal=</v>
      </c>
      <c r="V388">
        <f>Matchs!K389</f>
        <v>2</v>
      </c>
      <c r="W388" s="6" t="str">
        <f t="shared" si="125"/>
        <v>,GGoal=</v>
      </c>
      <c r="X388">
        <f>Matchs!L389</f>
        <v>3</v>
      </c>
      <c r="Y388" s="6" t="str">
        <f t="shared" si="126"/>
        <v>,GTeam= "</v>
      </c>
      <c r="Z388" t="str">
        <f>Matchs!M389</f>
        <v>Italy</v>
      </c>
      <c r="AA388" s="6" t="str">
        <f t="shared" si="127"/>
        <v>",WinNote="</v>
      </c>
      <c r="AB388" t="str">
        <f>IF(Matchs!N389="","",Matchs!N389)</f>
        <v/>
      </c>
      <c r="AC388" s="6" t="str">
        <f t="shared" si="128"/>
        <v xml:space="preserve">",Stadium=" </v>
      </c>
      <c r="AD388" s="11" t="str">
        <f>Matchs!O389</f>
        <v xml:space="preserve">Estadio Cuauhtémoc </v>
      </c>
      <c r="AE388" s="6" t="str">
        <f t="shared" si="129"/>
        <v>",Referee= "</v>
      </c>
      <c r="AF388" s="11" t="str">
        <f>Matchs!P389</f>
        <v xml:space="preserve">David Socha </v>
      </c>
      <c r="AG388" s="6" t="str">
        <f t="shared" si="130"/>
        <v xml:space="preserve">",Visistors= </v>
      </c>
      <c r="AH388" s="11">
        <f>Matchs!Q389</f>
        <v>20000</v>
      </c>
      <c r="AI388" s="11" t="str">
        <f t="shared" si="131"/>
        <v>,Status= "</v>
      </c>
      <c r="AJ388" s="11" t="str">
        <f>Matchs!R389</f>
        <v>Finished</v>
      </c>
      <c r="AK388" t="str">
        <f t="shared" si="132"/>
        <v>" },</v>
      </c>
    </row>
    <row r="389" spans="1:37" x14ac:dyDescent="0.25">
      <c r="A389" t="str">
        <f t="shared" si="114"/>
        <v>new Match { MatchId= "</v>
      </c>
      <c r="B389" t="str">
        <f>Matchs!A390</f>
        <v>FIFAWC1986-29</v>
      </c>
      <c r="C389" t="str">
        <f t="shared" si="115"/>
        <v>",MatchNumer=</v>
      </c>
      <c r="D389">
        <f>Matchs!B390</f>
        <v>29</v>
      </c>
      <c r="E389" t="str">
        <f t="shared" si="116"/>
        <v>,DateMatch=DateTime.Parse("</v>
      </c>
      <c r="F389" s="3">
        <f>Matchs!C390</f>
        <v>31575</v>
      </c>
      <c r="G389" s="10" t="str">
        <f t="shared" si="117"/>
        <v>"),TimeMatch=TimeSpan.Parse("</v>
      </c>
      <c r="H389" s="9">
        <f>Matchs!D390</f>
        <v>1</v>
      </c>
      <c r="I389" t="str">
        <f t="shared" si="118"/>
        <v>"),MatchYear=</v>
      </c>
      <c r="J389">
        <f>Matchs!E390</f>
        <v>1986</v>
      </c>
      <c r="K389" t="str">
        <f t="shared" si="119"/>
        <v>, SeasonId= "</v>
      </c>
      <c r="L389" t="str">
        <f>Matchs!F390</f>
        <v>FIFAWC1986</v>
      </c>
      <c r="M389" t="str">
        <f t="shared" si="120"/>
        <v>",Round= "</v>
      </c>
      <c r="N389" t="str">
        <f>Matchs!G390</f>
        <v>Final Round</v>
      </c>
      <c r="O389" s="6" t="str">
        <f t="shared" si="121"/>
        <v>",Stage= "</v>
      </c>
      <c r="P389" t="str">
        <f>Matchs!H390</f>
        <v>Group</v>
      </c>
      <c r="Q389" s="6" t="str">
        <f t="shared" si="122"/>
        <v>",SubStage= "</v>
      </c>
      <c r="R389" t="str">
        <f>Matchs!I390</f>
        <v xml:space="preserve">Group B </v>
      </c>
      <c r="S389" s="6" t="str">
        <f t="shared" si="123"/>
        <v>",HTeam= "</v>
      </c>
      <c r="T389" t="str">
        <f>Matchs!J390</f>
        <v>Paraguay</v>
      </c>
      <c r="U389" s="6" t="str">
        <f t="shared" si="124"/>
        <v>",HGoal=</v>
      </c>
      <c r="V389">
        <f>Matchs!K390</f>
        <v>2</v>
      </c>
      <c r="W389" s="6" t="str">
        <f t="shared" si="125"/>
        <v>,GGoal=</v>
      </c>
      <c r="X389">
        <f>Matchs!L390</f>
        <v>2</v>
      </c>
      <c r="Y389" s="6" t="str">
        <f t="shared" si="126"/>
        <v>,GTeam= "</v>
      </c>
      <c r="Z389" t="str">
        <f>Matchs!M390</f>
        <v>Belgium</v>
      </c>
      <c r="AA389" s="6" t="str">
        <f t="shared" si="127"/>
        <v>",WinNote="</v>
      </c>
      <c r="AB389" t="str">
        <f>IF(Matchs!N390="","",Matchs!N390)</f>
        <v/>
      </c>
      <c r="AC389" s="6" t="str">
        <f t="shared" si="128"/>
        <v xml:space="preserve">",Stadium=" </v>
      </c>
      <c r="AD389" s="11" t="str">
        <f>Matchs!O390</f>
        <v xml:space="preserve">Estadio Nemesio Díez </v>
      </c>
      <c r="AE389" s="6" t="str">
        <f t="shared" si="129"/>
        <v>",Referee= "</v>
      </c>
      <c r="AF389" s="11" t="str">
        <f>Matchs!P390</f>
        <v xml:space="preserve">Bogdan Dotchev </v>
      </c>
      <c r="AG389" s="6" t="str">
        <f t="shared" si="130"/>
        <v xml:space="preserve">",Visistors= </v>
      </c>
      <c r="AH389" s="11">
        <f>Matchs!Q390</f>
        <v>16000</v>
      </c>
      <c r="AI389" s="11" t="str">
        <f t="shared" si="131"/>
        <v>,Status= "</v>
      </c>
      <c r="AJ389" s="11" t="str">
        <f>Matchs!R390</f>
        <v>Finished</v>
      </c>
      <c r="AK389" t="str">
        <f t="shared" si="132"/>
        <v>" },</v>
      </c>
    </row>
    <row r="390" spans="1:37" x14ac:dyDescent="0.25">
      <c r="A390" t="str">
        <f t="shared" si="114"/>
        <v>new Match { MatchId= "</v>
      </c>
      <c r="B390" t="str">
        <f>Matchs!A391</f>
        <v>FIFAWC1986-30</v>
      </c>
      <c r="C390" t="str">
        <f t="shared" si="115"/>
        <v>",MatchNumer=</v>
      </c>
      <c r="D390">
        <f>Matchs!B391</f>
        <v>30</v>
      </c>
      <c r="E390" t="str">
        <f t="shared" si="116"/>
        <v>,DateMatch=DateTime.Parse("</v>
      </c>
      <c r="F390" s="3">
        <f>Matchs!C391</f>
        <v>31575</v>
      </c>
      <c r="G390" s="10" t="str">
        <f t="shared" si="117"/>
        <v>"),TimeMatch=TimeSpan.Parse("</v>
      </c>
      <c r="H390" s="9">
        <f>Matchs!D391</f>
        <v>1</v>
      </c>
      <c r="I390" t="str">
        <f t="shared" si="118"/>
        <v>"),MatchYear=</v>
      </c>
      <c r="J390">
        <f>Matchs!E391</f>
        <v>1986</v>
      </c>
      <c r="K390" t="str">
        <f t="shared" si="119"/>
        <v>, SeasonId= "</v>
      </c>
      <c r="L390" t="str">
        <f>Matchs!F391</f>
        <v>FIFAWC1986</v>
      </c>
      <c r="M390" t="str">
        <f t="shared" si="120"/>
        <v>",Round= "</v>
      </c>
      <c r="N390" t="str">
        <f>Matchs!G391</f>
        <v>Final Round</v>
      </c>
      <c r="O390" s="6" t="str">
        <f t="shared" si="121"/>
        <v>",Stage= "</v>
      </c>
      <c r="P390" t="str">
        <f>Matchs!H391</f>
        <v>Group</v>
      </c>
      <c r="Q390" s="6" t="str">
        <f t="shared" si="122"/>
        <v>",SubStage= "</v>
      </c>
      <c r="R390" t="str">
        <f>Matchs!I391</f>
        <v xml:space="preserve">Group B </v>
      </c>
      <c r="S390" s="6" t="str">
        <f t="shared" si="123"/>
        <v>",HTeam= "</v>
      </c>
      <c r="T390" t="str">
        <f>Matchs!J391</f>
        <v>Iraq</v>
      </c>
      <c r="U390" s="6" t="str">
        <f t="shared" si="124"/>
        <v>",HGoal=</v>
      </c>
      <c r="V390">
        <f>Matchs!K391</f>
        <v>0</v>
      </c>
      <c r="W390" s="6" t="str">
        <f t="shared" si="125"/>
        <v>,GGoal=</v>
      </c>
      <c r="X390">
        <f>Matchs!L391</f>
        <v>1</v>
      </c>
      <c r="Y390" s="6" t="str">
        <f t="shared" si="126"/>
        <v>,GTeam= "</v>
      </c>
      <c r="Z390" t="str">
        <f>Matchs!M391</f>
        <v>Mexico</v>
      </c>
      <c r="AA390" s="6" t="str">
        <f t="shared" si="127"/>
        <v>",WinNote="</v>
      </c>
      <c r="AB390" t="str">
        <f>IF(Matchs!N391="","",Matchs!N391)</f>
        <v/>
      </c>
      <c r="AC390" s="6" t="str">
        <f t="shared" si="128"/>
        <v xml:space="preserve">",Stadium=" </v>
      </c>
      <c r="AD390" s="11" t="str">
        <f>Matchs!O391</f>
        <v xml:space="preserve">Estadio Azteca </v>
      </c>
      <c r="AE390" s="6" t="str">
        <f t="shared" si="129"/>
        <v>",Referee= "</v>
      </c>
      <c r="AF390" s="11" t="str">
        <f>Matchs!P391</f>
        <v xml:space="preserve">Zoran Petrovic </v>
      </c>
      <c r="AG390" s="6" t="str">
        <f t="shared" si="130"/>
        <v xml:space="preserve">",Visistors= </v>
      </c>
      <c r="AH390" s="11">
        <f>Matchs!Q391</f>
        <v>103763</v>
      </c>
      <c r="AI390" s="11" t="str">
        <f t="shared" si="131"/>
        <v>,Status= "</v>
      </c>
      <c r="AJ390" s="11" t="str">
        <f>Matchs!R391</f>
        <v>Finished</v>
      </c>
      <c r="AK390" t="str">
        <f t="shared" si="132"/>
        <v>" },</v>
      </c>
    </row>
    <row r="391" spans="1:37" x14ac:dyDescent="0.25">
      <c r="A391" t="str">
        <f t="shared" si="114"/>
        <v>new Match { MatchId= "</v>
      </c>
      <c r="B391" t="str">
        <f>Matchs!A392</f>
        <v>FIFAWC1986-31</v>
      </c>
      <c r="C391" t="str">
        <f t="shared" si="115"/>
        <v>",MatchNumer=</v>
      </c>
      <c r="D391">
        <f>Matchs!B392</f>
        <v>31</v>
      </c>
      <c r="E391" t="str">
        <f t="shared" si="116"/>
        <v>,DateMatch=DateTime.Parse("</v>
      </c>
      <c r="F391" s="3">
        <f>Matchs!C392</f>
        <v>31575</v>
      </c>
      <c r="G391" s="10" t="str">
        <f t="shared" si="117"/>
        <v>"),TimeMatch=TimeSpan.Parse("</v>
      </c>
      <c r="H391" s="9">
        <f>Matchs!D392</f>
        <v>0.16666666666666666</v>
      </c>
      <c r="I391" t="str">
        <f t="shared" si="118"/>
        <v>"),MatchYear=</v>
      </c>
      <c r="J391">
        <f>Matchs!E392</f>
        <v>1986</v>
      </c>
      <c r="K391" t="str">
        <f t="shared" si="119"/>
        <v>, SeasonId= "</v>
      </c>
      <c r="L391" t="str">
        <f>Matchs!F392</f>
        <v>FIFAWC1986</v>
      </c>
      <c r="M391" t="str">
        <f t="shared" si="120"/>
        <v>",Round= "</v>
      </c>
      <c r="N391" t="str">
        <f>Matchs!G392</f>
        <v>Final Round</v>
      </c>
      <c r="O391" s="6" t="str">
        <f t="shared" si="121"/>
        <v>",Stage= "</v>
      </c>
      <c r="P391" t="str">
        <f>Matchs!H392</f>
        <v>Group</v>
      </c>
      <c r="Q391" s="6" t="str">
        <f t="shared" si="122"/>
        <v>",SubStage= "</v>
      </c>
      <c r="R391" t="str">
        <f>Matchs!I392</f>
        <v xml:space="preserve">Group F </v>
      </c>
      <c r="S391" s="6" t="str">
        <f t="shared" si="123"/>
        <v>",HTeam= "</v>
      </c>
      <c r="T391" t="str">
        <f>Matchs!J392</f>
        <v>England</v>
      </c>
      <c r="U391" s="6" t="str">
        <f t="shared" si="124"/>
        <v>",HGoal=</v>
      </c>
      <c r="V391">
        <f>Matchs!K392</f>
        <v>3</v>
      </c>
      <c r="W391" s="6" t="str">
        <f t="shared" si="125"/>
        <v>,GGoal=</v>
      </c>
      <c r="X391">
        <f>Matchs!L392</f>
        <v>0</v>
      </c>
      <c r="Y391" s="6" t="str">
        <f t="shared" si="126"/>
        <v>,GTeam= "</v>
      </c>
      <c r="Z391" t="str">
        <f>Matchs!M392</f>
        <v>Poland</v>
      </c>
      <c r="AA391" s="6" t="str">
        <f t="shared" si="127"/>
        <v>",WinNote="</v>
      </c>
      <c r="AB391" t="str">
        <f>IF(Matchs!N392="","",Matchs!N392)</f>
        <v/>
      </c>
      <c r="AC391" s="6" t="str">
        <f t="shared" si="128"/>
        <v xml:space="preserve">",Stadium=" </v>
      </c>
      <c r="AD391" s="11" t="str">
        <f>Matchs!O392</f>
        <v xml:space="preserve">Estadio Universitario de Mo... </v>
      </c>
      <c r="AE391" s="6" t="str">
        <f t="shared" si="129"/>
        <v>",Referee= "</v>
      </c>
      <c r="AF391" s="11" t="str">
        <f>Matchs!P392</f>
        <v xml:space="preserve">Andre Daina </v>
      </c>
      <c r="AG391" s="6" t="str">
        <f t="shared" si="130"/>
        <v xml:space="preserve">",Visistors= </v>
      </c>
      <c r="AH391" s="11">
        <f>Matchs!Q392</f>
        <v>22700</v>
      </c>
      <c r="AI391" s="11" t="str">
        <f t="shared" si="131"/>
        <v>,Status= "</v>
      </c>
      <c r="AJ391" s="11" t="str">
        <f>Matchs!R392</f>
        <v>Finished</v>
      </c>
      <c r="AK391" t="str">
        <f t="shared" si="132"/>
        <v>" },</v>
      </c>
    </row>
    <row r="392" spans="1:37" x14ac:dyDescent="0.25">
      <c r="A392" t="str">
        <f t="shared" si="114"/>
        <v>new Match { MatchId= "</v>
      </c>
      <c r="B392" t="str">
        <f>Matchs!A393</f>
        <v>FIFAWC1986-32</v>
      </c>
      <c r="C392" t="str">
        <f t="shared" si="115"/>
        <v>",MatchNumer=</v>
      </c>
      <c r="D392">
        <f>Matchs!B393</f>
        <v>32</v>
      </c>
      <c r="E392" t="str">
        <f t="shared" si="116"/>
        <v>,DateMatch=DateTime.Parse("</v>
      </c>
      <c r="F392" s="3">
        <f>Matchs!C393</f>
        <v>31575</v>
      </c>
      <c r="G392" s="10" t="str">
        <f t="shared" si="117"/>
        <v>"),TimeMatch=TimeSpan.Parse("</v>
      </c>
      <c r="H392" s="9">
        <f>Matchs!D393</f>
        <v>0.16666666666666666</v>
      </c>
      <c r="I392" t="str">
        <f t="shared" si="118"/>
        <v>"),MatchYear=</v>
      </c>
      <c r="J392">
        <f>Matchs!E393</f>
        <v>1986</v>
      </c>
      <c r="K392" t="str">
        <f t="shared" si="119"/>
        <v>, SeasonId= "</v>
      </c>
      <c r="L392" t="str">
        <f>Matchs!F393</f>
        <v>FIFAWC1986</v>
      </c>
      <c r="M392" t="str">
        <f t="shared" si="120"/>
        <v>",Round= "</v>
      </c>
      <c r="N392" t="str">
        <f>Matchs!G393</f>
        <v>Final Round</v>
      </c>
      <c r="O392" s="6" t="str">
        <f t="shared" si="121"/>
        <v>",Stage= "</v>
      </c>
      <c r="P392" t="str">
        <f>Matchs!H393</f>
        <v>Group</v>
      </c>
      <c r="Q392" s="6" t="str">
        <f t="shared" si="122"/>
        <v>",SubStage= "</v>
      </c>
      <c r="R392" t="str">
        <f>Matchs!I393</f>
        <v xml:space="preserve">Group F </v>
      </c>
      <c r="S392" s="6" t="str">
        <f t="shared" si="123"/>
        <v>",HTeam= "</v>
      </c>
      <c r="T392" t="str">
        <f>Matchs!J393</f>
        <v>Portugal</v>
      </c>
      <c r="U392" s="6" t="str">
        <f t="shared" si="124"/>
        <v>",HGoal=</v>
      </c>
      <c r="V392">
        <f>Matchs!K393</f>
        <v>1</v>
      </c>
      <c r="W392" s="6" t="str">
        <f t="shared" si="125"/>
        <v>,GGoal=</v>
      </c>
      <c r="X392">
        <f>Matchs!L393</f>
        <v>3</v>
      </c>
      <c r="Y392" s="6" t="str">
        <f t="shared" si="126"/>
        <v>,GTeam= "</v>
      </c>
      <c r="Z392" t="str">
        <f>Matchs!M393</f>
        <v>Morocco</v>
      </c>
      <c r="AA392" s="6" t="str">
        <f t="shared" si="127"/>
        <v>",WinNote="</v>
      </c>
      <c r="AB392" t="str">
        <f>IF(Matchs!N393="","",Matchs!N393)</f>
        <v/>
      </c>
      <c r="AC392" s="6" t="str">
        <f t="shared" si="128"/>
        <v xml:space="preserve">",Stadium=" </v>
      </c>
      <c r="AD392" s="11" t="str">
        <f>Matchs!O393</f>
        <v xml:space="preserve">Estadio Tres de Marzo </v>
      </c>
      <c r="AE392" s="6" t="str">
        <f t="shared" si="129"/>
        <v>",Referee= "</v>
      </c>
      <c r="AF392" s="11" t="str">
        <f>Matchs!P393</f>
        <v xml:space="preserve">Alan Snoddy </v>
      </c>
      <c r="AG392" s="6" t="str">
        <f t="shared" si="130"/>
        <v xml:space="preserve">",Visistors= </v>
      </c>
      <c r="AH392" s="11">
        <f>Matchs!Q393</f>
        <v>28000</v>
      </c>
      <c r="AI392" s="11" t="str">
        <f t="shared" si="131"/>
        <v>,Status= "</v>
      </c>
      <c r="AJ392" s="11" t="str">
        <f>Matchs!R393</f>
        <v>Finished</v>
      </c>
      <c r="AK392" t="str">
        <f t="shared" si="132"/>
        <v>" },</v>
      </c>
    </row>
    <row r="393" spans="1:37" x14ac:dyDescent="0.25">
      <c r="A393" t="str">
        <f t="shared" si="114"/>
        <v>new Match { MatchId= "</v>
      </c>
      <c r="B393" t="str">
        <f>Matchs!A394</f>
        <v>FIFAWC1986-33</v>
      </c>
      <c r="C393" t="str">
        <f t="shared" si="115"/>
        <v>",MatchNumer=</v>
      </c>
      <c r="D393">
        <f>Matchs!B394</f>
        <v>33</v>
      </c>
      <c r="E393" t="str">
        <f t="shared" si="116"/>
        <v>,DateMatch=DateTime.Parse("</v>
      </c>
      <c r="F393" s="3">
        <f>Matchs!C394</f>
        <v>31576</v>
      </c>
      <c r="G393" s="10" t="str">
        <f t="shared" si="117"/>
        <v>"),TimeMatch=TimeSpan.Parse("</v>
      </c>
      <c r="H393" s="9">
        <f>Matchs!D394</f>
        <v>1</v>
      </c>
      <c r="I393" t="str">
        <f t="shared" si="118"/>
        <v>"),MatchYear=</v>
      </c>
      <c r="J393">
        <f>Matchs!E394</f>
        <v>1986</v>
      </c>
      <c r="K393" t="str">
        <f t="shared" si="119"/>
        <v>, SeasonId= "</v>
      </c>
      <c r="L393" t="str">
        <f>Matchs!F394</f>
        <v>FIFAWC1986</v>
      </c>
      <c r="M393" t="str">
        <f t="shared" si="120"/>
        <v>",Round= "</v>
      </c>
      <c r="N393" t="str">
        <f>Matchs!G394</f>
        <v>Final Round</v>
      </c>
      <c r="O393" s="6" t="str">
        <f t="shared" si="121"/>
        <v>",Stage= "</v>
      </c>
      <c r="P393" t="str">
        <f>Matchs!H394</f>
        <v>Group</v>
      </c>
      <c r="Q393" s="6" t="str">
        <f t="shared" si="122"/>
        <v>",SubStage= "</v>
      </c>
      <c r="R393" t="str">
        <f>Matchs!I394</f>
        <v xml:space="preserve">Group D </v>
      </c>
      <c r="S393" s="6" t="str">
        <f t="shared" si="123"/>
        <v>",HTeam= "</v>
      </c>
      <c r="T393" t="str">
        <f>Matchs!J394</f>
        <v>Algeria</v>
      </c>
      <c r="U393" s="6" t="str">
        <f t="shared" si="124"/>
        <v>",HGoal=</v>
      </c>
      <c r="V393">
        <f>Matchs!K394</f>
        <v>0</v>
      </c>
      <c r="W393" s="6" t="str">
        <f t="shared" si="125"/>
        <v>,GGoal=</v>
      </c>
      <c r="X393">
        <f>Matchs!L394</f>
        <v>3</v>
      </c>
      <c r="Y393" s="6" t="str">
        <f t="shared" si="126"/>
        <v>,GTeam= "</v>
      </c>
      <c r="Z393" t="str">
        <f>Matchs!M394</f>
        <v>Spain</v>
      </c>
      <c r="AA393" s="6" t="str">
        <f t="shared" si="127"/>
        <v>",WinNote="</v>
      </c>
      <c r="AB393" t="str">
        <f>IF(Matchs!N394="","",Matchs!N394)</f>
        <v/>
      </c>
      <c r="AC393" s="6" t="str">
        <f t="shared" si="128"/>
        <v xml:space="preserve">",Stadium=" </v>
      </c>
      <c r="AD393" s="11" t="str">
        <f>Matchs!O394</f>
        <v xml:space="preserve">Estadio Tecnológico </v>
      </c>
      <c r="AE393" s="6" t="str">
        <f t="shared" si="129"/>
        <v>",Referee= "</v>
      </c>
      <c r="AF393" s="11" t="str">
        <f>Matchs!P394</f>
        <v xml:space="preserve">Shizuo Takada </v>
      </c>
      <c r="AG393" s="6" t="str">
        <f t="shared" si="130"/>
        <v xml:space="preserve">",Visistors= </v>
      </c>
      <c r="AH393" s="11">
        <f>Matchs!Q394</f>
        <v>23980</v>
      </c>
      <c r="AI393" s="11" t="str">
        <f t="shared" si="131"/>
        <v>,Status= "</v>
      </c>
      <c r="AJ393" s="11" t="str">
        <f>Matchs!R394</f>
        <v>Finished</v>
      </c>
      <c r="AK393" t="str">
        <f t="shared" si="132"/>
        <v>" },</v>
      </c>
    </row>
    <row r="394" spans="1:37" x14ac:dyDescent="0.25">
      <c r="A394" t="str">
        <f t="shared" si="114"/>
        <v>new Match { MatchId= "</v>
      </c>
      <c r="B394" t="str">
        <f>Matchs!A395</f>
        <v>FIFAWC1986-34</v>
      </c>
      <c r="C394" t="str">
        <f t="shared" si="115"/>
        <v>",MatchNumer=</v>
      </c>
      <c r="D394">
        <f>Matchs!B395</f>
        <v>34</v>
      </c>
      <c r="E394" t="str">
        <f t="shared" si="116"/>
        <v>,DateMatch=DateTime.Parse("</v>
      </c>
      <c r="F394" s="3">
        <f>Matchs!C395</f>
        <v>31576</v>
      </c>
      <c r="G394" s="10" t="str">
        <f t="shared" si="117"/>
        <v>"),TimeMatch=TimeSpan.Parse("</v>
      </c>
      <c r="H394" s="9">
        <f>Matchs!D395</f>
        <v>1</v>
      </c>
      <c r="I394" t="str">
        <f t="shared" si="118"/>
        <v>"),MatchYear=</v>
      </c>
      <c r="J394">
        <f>Matchs!E395</f>
        <v>1986</v>
      </c>
      <c r="K394" t="str">
        <f t="shared" si="119"/>
        <v>, SeasonId= "</v>
      </c>
      <c r="L394" t="str">
        <f>Matchs!F395</f>
        <v>FIFAWC1986</v>
      </c>
      <c r="M394" t="str">
        <f t="shared" si="120"/>
        <v>",Round= "</v>
      </c>
      <c r="N394" t="str">
        <f>Matchs!G395</f>
        <v>Final Round</v>
      </c>
      <c r="O394" s="6" t="str">
        <f t="shared" si="121"/>
        <v>",Stage= "</v>
      </c>
      <c r="P394" t="str">
        <f>Matchs!H395</f>
        <v>Group</v>
      </c>
      <c r="Q394" s="6" t="str">
        <f t="shared" si="122"/>
        <v>",SubStage= "</v>
      </c>
      <c r="R394" t="str">
        <f>Matchs!I395</f>
        <v xml:space="preserve">Group D </v>
      </c>
      <c r="S394" s="6" t="str">
        <f t="shared" si="123"/>
        <v>",HTeam= "</v>
      </c>
      <c r="T394" t="str">
        <f>Matchs!J395</f>
        <v>Northern Ireland</v>
      </c>
      <c r="U394" s="6" t="str">
        <f t="shared" si="124"/>
        <v>",HGoal=</v>
      </c>
      <c r="V394">
        <f>Matchs!K395</f>
        <v>0</v>
      </c>
      <c r="W394" s="6" t="str">
        <f t="shared" si="125"/>
        <v>,GGoal=</v>
      </c>
      <c r="X394">
        <f>Matchs!L395</f>
        <v>3</v>
      </c>
      <c r="Y394" s="6" t="str">
        <f t="shared" si="126"/>
        <v>,GTeam= "</v>
      </c>
      <c r="Z394" t="str">
        <f>Matchs!M395</f>
        <v>Brazil</v>
      </c>
      <c r="AA394" s="6" t="str">
        <f t="shared" si="127"/>
        <v>",WinNote="</v>
      </c>
      <c r="AB394" t="str">
        <f>IF(Matchs!N395="","",Matchs!N395)</f>
        <v/>
      </c>
      <c r="AC394" s="6" t="str">
        <f t="shared" si="128"/>
        <v xml:space="preserve">",Stadium=" </v>
      </c>
      <c r="AD394" s="11" t="str">
        <f>Matchs!O395</f>
        <v xml:space="preserve">Estadio Jalisco </v>
      </c>
      <c r="AE394" s="6" t="str">
        <f t="shared" si="129"/>
        <v>",Referee= "</v>
      </c>
      <c r="AF394" s="11" t="str">
        <f>Matchs!P395</f>
        <v xml:space="preserve">Siegfried Kirschen </v>
      </c>
      <c r="AG394" s="6" t="str">
        <f t="shared" si="130"/>
        <v xml:space="preserve">",Visistors= </v>
      </c>
      <c r="AH394" s="11">
        <f>Matchs!Q395</f>
        <v>51000</v>
      </c>
      <c r="AI394" s="11" t="str">
        <f t="shared" si="131"/>
        <v>,Status= "</v>
      </c>
      <c r="AJ394" s="11" t="str">
        <f>Matchs!R395</f>
        <v>Finished</v>
      </c>
      <c r="AK394" t="str">
        <f t="shared" si="132"/>
        <v>" },</v>
      </c>
    </row>
    <row r="395" spans="1:37" x14ac:dyDescent="0.25">
      <c r="A395" t="str">
        <f t="shared" si="114"/>
        <v>new Match { MatchId= "</v>
      </c>
      <c r="B395" t="str">
        <f>Matchs!A396</f>
        <v>FIFAWC1986-35</v>
      </c>
      <c r="C395" t="str">
        <f t="shared" si="115"/>
        <v>",MatchNumer=</v>
      </c>
      <c r="D395">
        <f>Matchs!B396</f>
        <v>35</v>
      </c>
      <c r="E395" t="str">
        <f t="shared" si="116"/>
        <v>,DateMatch=DateTime.Parse("</v>
      </c>
      <c r="F395" s="3">
        <f>Matchs!C396</f>
        <v>31577</v>
      </c>
      <c r="G395" s="10" t="str">
        <f t="shared" si="117"/>
        <v>"),TimeMatch=TimeSpan.Parse("</v>
      </c>
      <c r="H395" s="9">
        <f>Matchs!D396</f>
        <v>1</v>
      </c>
      <c r="I395" t="str">
        <f t="shared" si="118"/>
        <v>"),MatchYear=</v>
      </c>
      <c r="J395">
        <f>Matchs!E396</f>
        <v>1986</v>
      </c>
      <c r="K395" t="str">
        <f t="shared" si="119"/>
        <v>, SeasonId= "</v>
      </c>
      <c r="L395" t="str">
        <f>Matchs!F396</f>
        <v>FIFAWC1986</v>
      </c>
      <c r="M395" t="str">
        <f t="shared" si="120"/>
        <v>",Round= "</v>
      </c>
      <c r="N395" t="str">
        <f>Matchs!G396</f>
        <v>Final Round</v>
      </c>
      <c r="O395" s="6" t="str">
        <f t="shared" si="121"/>
        <v>",Stage= "</v>
      </c>
      <c r="P395" t="str">
        <f>Matchs!H396</f>
        <v>Group</v>
      </c>
      <c r="Q395" s="6" t="str">
        <f t="shared" si="122"/>
        <v>",SubStage= "</v>
      </c>
      <c r="R395" t="str">
        <f>Matchs!I396</f>
        <v xml:space="preserve">Group E </v>
      </c>
      <c r="S395" s="6" t="str">
        <f t="shared" si="123"/>
        <v>",HTeam= "</v>
      </c>
      <c r="T395" t="str">
        <f>Matchs!J396</f>
        <v>Denmark</v>
      </c>
      <c r="U395" s="6" t="str">
        <f t="shared" si="124"/>
        <v>",HGoal=</v>
      </c>
      <c r="V395">
        <f>Matchs!K396</f>
        <v>2</v>
      </c>
      <c r="W395" s="6" t="str">
        <f t="shared" si="125"/>
        <v>,GGoal=</v>
      </c>
      <c r="X395">
        <f>Matchs!L396</f>
        <v>0</v>
      </c>
      <c r="Y395" s="6" t="str">
        <f t="shared" si="126"/>
        <v>,GTeam= "</v>
      </c>
      <c r="Z395" t="str">
        <f>Matchs!M396</f>
        <v>Germany</v>
      </c>
      <c r="AA395" s="6" t="str">
        <f t="shared" si="127"/>
        <v>",WinNote="</v>
      </c>
      <c r="AB395" t="str">
        <f>IF(Matchs!N396="","",Matchs!N396)</f>
        <v/>
      </c>
      <c r="AC395" s="6" t="str">
        <f t="shared" si="128"/>
        <v xml:space="preserve">",Stadium=" </v>
      </c>
      <c r="AD395" s="11" t="str">
        <f>Matchs!O396</f>
        <v xml:space="preserve">Estadio Corregidora </v>
      </c>
      <c r="AE395" s="6" t="str">
        <f t="shared" si="129"/>
        <v>",Referee= "</v>
      </c>
      <c r="AF395" s="11" t="str">
        <f>Matchs!P396</f>
        <v xml:space="preserve">Alexis Ponnet </v>
      </c>
      <c r="AG395" s="6" t="str">
        <f t="shared" si="130"/>
        <v xml:space="preserve">",Visistors= </v>
      </c>
      <c r="AH395" s="11">
        <f>Matchs!Q396</f>
        <v>36000</v>
      </c>
      <c r="AI395" s="11" t="str">
        <f t="shared" si="131"/>
        <v>,Status= "</v>
      </c>
      <c r="AJ395" s="11" t="str">
        <f>Matchs!R396</f>
        <v>Finished</v>
      </c>
      <c r="AK395" t="str">
        <f t="shared" si="132"/>
        <v>" },</v>
      </c>
    </row>
    <row r="396" spans="1:37" x14ac:dyDescent="0.25">
      <c r="A396" t="str">
        <f t="shared" si="114"/>
        <v>new Match { MatchId= "</v>
      </c>
      <c r="B396" t="str">
        <f>Matchs!A397</f>
        <v>FIFAWC1986-36</v>
      </c>
      <c r="C396" t="str">
        <f t="shared" si="115"/>
        <v>",MatchNumer=</v>
      </c>
      <c r="D396">
        <f>Matchs!B397</f>
        <v>36</v>
      </c>
      <c r="E396" t="str">
        <f t="shared" si="116"/>
        <v>,DateMatch=DateTime.Parse("</v>
      </c>
      <c r="F396" s="3">
        <f>Matchs!C397</f>
        <v>31577</v>
      </c>
      <c r="G396" s="10" t="str">
        <f t="shared" si="117"/>
        <v>"),TimeMatch=TimeSpan.Parse("</v>
      </c>
      <c r="H396" s="9">
        <f>Matchs!D397</f>
        <v>1</v>
      </c>
      <c r="I396" t="str">
        <f t="shared" si="118"/>
        <v>"),MatchYear=</v>
      </c>
      <c r="J396">
        <f>Matchs!E397</f>
        <v>1986</v>
      </c>
      <c r="K396" t="str">
        <f t="shared" si="119"/>
        <v>, SeasonId= "</v>
      </c>
      <c r="L396" t="str">
        <f>Matchs!F397</f>
        <v>FIFAWC1986</v>
      </c>
      <c r="M396" t="str">
        <f t="shared" si="120"/>
        <v>",Round= "</v>
      </c>
      <c r="N396" t="str">
        <f>Matchs!G397</f>
        <v>Final Round</v>
      </c>
      <c r="O396" s="6" t="str">
        <f t="shared" si="121"/>
        <v>",Stage= "</v>
      </c>
      <c r="P396" t="str">
        <f>Matchs!H397</f>
        <v>Group</v>
      </c>
      <c r="Q396" s="6" t="str">
        <f t="shared" si="122"/>
        <v>",SubStage= "</v>
      </c>
      <c r="R396" t="str">
        <f>Matchs!I397</f>
        <v xml:space="preserve">Group E </v>
      </c>
      <c r="S396" s="6" t="str">
        <f t="shared" si="123"/>
        <v>",HTeam= "</v>
      </c>
      <c r="T396" t="str">
        <f>Matchs!J397</f>
        <v>Scotland</v>
      </c>
      <c r="U396" s="6" t="str">
        <f t="shared" si="124"/>
        <v>",HGoal=</v>
      </c>
      <c r="V396">
        <f>Matchs!K397</f>
        <v>0</v>
      </c>
      <c r="W396" s="6" t="str">
        <f t="shared" si="125"/>
        <v>,GGoal=</v>
      </c>
      <c r="X396">
        <f>Matchs!L397</f>
        <v>0</v>
      </c>
      <c r="Y396" s="6" t="str">
        <f t="shared" si="126"/>
        <v>,GTeam= "</v>
      </c>
      <c r="Z396" t="str">
        <f>Matchs!M397</f>
        <v>Uruguay</v>
      </c>
      <c r="AA396" s="6" t="str">
        <f t="shared" si="127"/>
        <v>",WinNote="</v>
      </c>
      <c r="AB396" t="str">
        <f>IF(Matchs!N397="","",Matchs!N397)</f>
        <v/>
      </c>
      <c r="AC396" s="6" t="str">
        <f t="shared" si="128"/>
        <v xml:space="preserve">",Stadium=" </v>
      </c>
      <c r="AD396" s="11" t="str">
        <f>Matchs!O397</f>
        <v xml:space="preserve">Estadio Neza 86 </v>
      </c>
      <c r="AE396" s="6" t="str">
        <f t="shared" si="129"/>
        <v>",Referee= "</v>
      </c>
      <c r="AF396" s="11" t="str">
        <f>Matchs!P397</f>
        <v xml:space="preserve">Joel Quiniou </v>
      </c>
      <c r="AG396" s="6" t="str">
        <f t="shared" si="130"/>
        <v xml:space="preserve">",Visistors= </v>
      </c>
      <c r="AH396" s="11">
        <f>Matchs!Q397</f>
        <v>20000</v>
      </c>
      <c r="AI396" s="11" t="str">
        <f t="shared" si="131"/>
        <v>,Status= "</v>
      </c>
      <c r="AJ396" s="11" t="str">
        <f>Matchs!R397</f>
        <v>Finished</v>
      </c>
      <c r="AK396" t="str">
        <f t="shared" si="132"/>
        <v>" },</v>
      </c>
    </row>
    <row r="397" spans="1:37" x14ac:dyDescent="0.25">
      <c r="A397" t="str">
        <f t="shared" si="114"/>
        <v>new Match { MatchId= "</v>
      </c>
      <c r="B397" t="str">
        <f>Matchs!A398</f>
        <v>FIFAWC1986-37</v>
      </c>
      <c r="C397" t="str">
        <f t="shared" si="115"/>
        <v>",MatchNumer=</v>
      </c>
      <c r="D397">
        <f>Matchs!B398</f>
        <v>37</v>
      </c>
      <c r="E397" t="str">
        <f t="shared" si="116"/>
        <v>,DateMatch=DateTime.Parse("</v>
      </c>
      <c r="F397" s="3">
        <f>Matchs!C398</f>
        <v>31579</v>
      </c>
      <c r="G397" s="10" t="str">
        <f t="shared" si="117"/>
        <v>"),TimeMatch=TimeSpan.Parse("</v>
      </c>
      <c r="H397" s="9">
        <f>Matchs!D398</f>
        <v>1</v>
      </c>
      <c r="I397" t="str">
        <f t="shared" si="118"/>
        <v>"),MatchYear=</v>
      </c>
      <c r="J397">
        <f>Matchs!E398</f>
        <v>1986</v>
      </c>
      <c r="K397" t="str">
        <f t="shared" si="119"/>
        <v>, SeasonId= "</v>
      </c>
      <c r="L397" t="str">
        <f>Matchs!F398</f>
        <v>FIFAWC1986</v>
      </c>
      <c r="M397" t="str">
        <f t="shared" si="120"/>
        <v>",Round= "</v>
      </c>
      <c r="N397" t="str">
        <f>Matchs!G398</f>
        <v>Final Round</v>
      </c>
      <c r="O397" s="6" t="str">
        <f t="shared" si="121"/>
        <v>",Stage= "</v>
      </c>
      <c r="P397" t="str">
        <f>Matchs!H398</f>
        <v>Knockouts</v>
      </c>
      <c r="Q397" s="6" t="str">
        <f t="shared" si="122"/>
        <v>",SubStage= "</v>
      </c>
      <c r="R397" t="str">
        <f>Matchs!I398</f>
        <v xml:space="preserve">Round of 16 </v>
      </c>
      <c r="S397" s="6" t="str">
        <f t="shared" si="123"/>
        <v>",HTeam= "</v>
      </c>
      <c r="T397" t="str">
        <f>Matchs!J398</f>
        <v>Mexico</v>
      </c>
      <c r="U397" s="6" t="str">
        <f t="shared" si="124"/>
        <v>",HGoal=</v>
      </c>
      <c r="V397">
        <f>Matchs!K398</f>
        <v>2</v>
      </c>
      <c r="W397" s="6" t="str">
        <f t="shared" si="125"/>
        <v>,GGoal=</v>
      </c>
      <c r="X397">
        <f>Matchs!L398</f>
        <v>0</v>
      </c>
      <c r="Y397" s="6" t="str">
        <f t="shared" si="126"/>
        <v>,GTeam= "</v>
      </c>
      <c r="Z397" t="str">
        <f>Matchs!M398</f>
        <v>Bulgaria</v>
      </c>
      <c r="AA397" s="6" t="str">
        <f t="shared" si="127"/>
        <v>",WinNote="</v>
      </c>
      <c r="AB397" t="str">
        <f>IF(Matchs!N398="","",Matchs!N398)</f>
        <v/>
      </c>
      <c r="AC397" s="6" t="str">
        <f t="shared" si="128"/>
        <v xml:space="preserve">",Stadium=" </v>
      </c>
      <c r="AD397" s="11" t="str">
        <f>Matchs!O398</f>
        <v xml:space="preserve">Estadio Azteca </v>
      </c>
      <c r="AE397" s="6" t="str">
        <f t="shared" si="129"/>
        <v>",Referee= "</v>
      </c>
      <c r="AF397" s="11" t="str">
        <f>Matchs!P398</f>
        <v xml:space="preserve">Romualdo Arppi Filho </v>
      </c>
      <c r="AG397" s="6" t="str">
        <f t="shared" si="130"/>
        <v xml:space="preserve">",Visistors= </v>
      </c>
      <c r="AH397" s="11">
        <f>Matchs!Q398</f>
        <v>114580</v>
      </c>
      <c r="AI397" s="11" t="str">
        <f t="shared" si="131"/>
        <v>,Status= "</v>
      </c>
      <c r="AJ397" s="11" t="str">
        <f>Matchs!R398</f>
        <v>Finished</v>
      </c>
      <c r="AK397" t="str">
        <f t="shared" si="132"/>
        <v>" },</v>
      </c>
    </row>
    <row r="398" spans="1:37" x14ac:dyDescent="0.25">
      <c r="A398" t="str">
        <f t="shared" si="114"/>
        <v>new Match { MatchId= "</v>
      </c>
      <c r="B398" t="str">
        <f>Matchs!A399</f>
        <v>FIFAWC1986-38</v>
      </c>
      <c r="C398" t="str">
        <f t="shared" si="115"/>
        <v>",MatchNumer=</v>
      </c>
      <c r="D398">
        <f>Matchs!B399</f>
        <v>38</v>
      </c>
      <c r="E398" t="str">
        <f t="shared" si="116"/>
        <v>,DateMatch=DateTime.Parse("</v>
      </c>
      <c r="F398" s="3">
        <f>Matchs!C399</f>
        <v>31579</v>
      </c>
      <c r="G398" s="10" t="str">
        <f t="shared" si="117"/>
        <v>"),TimeMatch=TimeSpan.Parse("</v>
      </c>
      <c r="H398" s="9">
        <f>Matchs!D399</f>
        <v>0.16666666666666666</v>
      </c>
      <c r="I398" t="str">
        <f t="shared" si="118"/>
        <v>"),MatchYear=</v>
      </c>
      <c r="J398">
        <f>Matchs!E399</f>
        <v>1986</v>
      </c>
      <c r="K398" t="str">
        <f t="shared" si="119"/>
        <v>, SeasonId= "</v>
      </c>
      <c r="L398" t="str">
        <f>Matchs!F399</f>
        <v>FIFAWC1986</v>
      </c>
      <c r="M398" t="str">
        <f t="shared" si="120"/>
        <v>",Round= "</v>
      </c>
      <c r="N398" t="str">
        <f>Matchs!G399</f>
        <v>Final Round</v>
      </c>
      <c r="O398" s="6" t="str">
        <f t="shared" si="121"/>
        <v>",Stage= "</v>
      </c>
      <c r="P398" t="str">
        <f>Matchs!H399</f>
        <v>Knockouts</v>
      </c>
      <c r="Q398" s="6" t="str">
        <f t="shared" si="122"/>
        <v>",SubStage= "</v>
      </c>
      <c r="R398" t="str">
        <f>Matchs!I399</f>
        <v xml:space="preserve">Round of 16 </v>
      </c>
      <c r="S398" s="6" t="str">
        <f t="shared" si="123"/>
        <v>",HTeam= "</v>
      </c>
      <c r="T398" t="str">
        <f>Matchs!J399</f>
        <v>Soviet Union</v>
      </c>
      <c r="U398" s="6" t="str">
        <f t="shared" si="124"/>
        <v>",HGoal=</v>
      </c>
      <c r="V398">
        <f>Matchs!K399</f>
        <v>3</v>
      </c>
      <c r="W398" s="6" t="str">
        <f t="shared" si="125"/>
        <v>,GGoal=</v>
      </c>
      <c r="X398">
        <f>Matchs!L399</f>
        <v>4</v>
      </c>
      <c r="Y398" s="6" t="str">
        <f t="shared" si="126"/>
        <v>,GTeam= "</v>
      </c>
      <c r="Z398" t="str">
        <f>Matchs!M399</f>
        <v>Belgium</v>
      </c>
      <c r="AA398" s="6" t="str">
        <f t="shared" si="127"/>
        <v>",WinNote="</v>
      </c>
      <c r="AB398" t="str">
        <f>IF(Matchs!N399="","",Matchs!N399)</f>
        <v/>
      </c>
      <c r="AC398" s="6" t="str">
        <f t="shared" si="128"/>
        <v xml:space="preserve">",Stadium=" </v>
      </c>
      <c r="AD398" s="11" t="str">
        <f>Matchs!O399</f>
        <v xml:space="preserve">Estadio León </v>
      </c>
      <c r="AE398" s="6" t="str">
        <f t="shared" si="129"/>
        <v>",Referee= "</v>
      </c>
      <c r="AF398" s="11" t="str">
        <f>Matchs!P399</f>
        <v xml:space="preserve">Erik Fredriksson </v>
      </c>
      <c r="AG398" s="6" t="str">
        <f t="shared" si="130"/>
        <v xml:space="preserve">",Visistors= </v>
      </c>
      <c r="AH398" s="11">
        <f>Matchs!Q399</f>
        <v>32277</v>
      </c>
      <c r="AI398" s="11" t="str">
        <f t="shared" si="131"/>
        <v>,Status= "</v>
      </c>
      <c r="AJ398" s="11" t="str">
        <f>Matchs!R399</f>
        <v>Finished</v>
      </c>
      <c r="AK398" t="str">
        <f t="shared" si="132"/>
        <v>" },</v>
      </c>
    </row>
    <row r="399" spans="1:37" x14ac:dyDescent="0.25">
      <c r="A399" t="str">
        <f t="shared" si="114"/>
        <v>new Match { MatchId= "</v>
      </c>
      <c r="B399" t="str">
        <f>Matchs!A400</f>
        <v>FIFAWC1986-39</v>
      </c>
      <c r="C399" t="str">
        <f t="shared" si="115"/>
        <v>",MatchNumer=</v>
      </c>
      <c r="D399">
        <f>Matchs!B400</f>
        <v>39</v>
      </c>
      <c r="E399" t="str">
        <f t="shared" si="116"/>
        <v>,DateMatch=DateTime.Parse("</v>
      </c>
      <c r="F399" s="3">
        <f>Matchs!C400</f>
        <v>31580</v>
      </c>
      <c r="G399" s="10" t="str">
        <f t="shared" si="117"/>
        <v>"),TimeMatch=TimeSpan.Parse("</v>
      </c>
      <c r="H399" s="9">
        <f>Matchs!D400</f>
        <v>1</v>
      </c>
      <c r="I399" t="str">
        <f t="shared" si="118"/>
        <v>"),MatchYear=</v>
      </c>
      <c r="J399">
        <f>Matchs!E400</f>
        <v>1986</v>
      </c>
      <c r="K399" t="str">
        <f t="shared" si="119"/>
        <v>, SeasonId= "</v>
      </c>
      <c r="L399" t="str">
        <f>Matchs!F400</f>
        <v>FIFAWC1986</v>
      </c>
      <c r="M399" t="str">
        <f t="shared" si="120"/>
        <v>",Round= "</v>
      </c>
      <c r="N399" t="str">
        <f>Matchs!G400</f>
        <v>Final Round</v>
      </c>
      <c r="O399" s="6" t="str">
        <f t="shared" si="121"/>
        <v>",Stage= "</v>
      </c>
      <c r="P399" t="str">
        <f>Matchs!H400</f>
        <v>Knockouts</v>
      </c>
      <c r="Q399" s="6" t="str">
        <f t="shared" si="122"/>
        <v>",SubStage= "</v>
      </c>
      <c r="R399" t="str">
        <f>Matchs!I400</f>
        <v xml:space="preserve">Round of 16 </v>
      </c>
      <c r="S399" s="6" t="str">
        <f t="shared" si="123"/>
        <v>",HTeam= "</v>
      </c>
      <c r="T399" t="str">
        <f>Matchs!J400</f>
        <v>Brazil</v>
      </c>
      <c r="U399" s="6" t="str">
        <f t="shared" si="124"/>
        <v>",HGoal=</v>
      </c>
      <c r="V399">
        <f>Matchs!K400</f>
        <v>4</v>
      </c>
      <c r="W399" s="6" t="str">
        <f t="shared" si="125"/>
        <v>,GGoal=</v>
      </c>
      <c r="X399">
        <f>Matchs!L400</f>
        <v>0</v>
      </c>
      <c r="Y399" s="6" t="str">
        <f t="shared" si="126"/>
        <v>,GTeam= "</v>
      </c>
      <c r="Z399" t="str">
        <f>Matchs!M400</f>
        <v>Poland</v>
      </c>
      <c r="AA399" s="6" t="str">
        <f t="shared" si="127"/>
        <v>",WinNote="</v>
      </c>
      <c r="AB399" t="str">
        <f>IF(Matchs!N400="","",Matchs!N400)</f>
        <v/>
      </c>
      <c r="AC399" s="6" t="str">
        <f t="shared" si="128"/>
        <v xml:space="preserve">",Stadium=" </v>
      </c>
      <c r="AD399" s="11" t="str">
        <f>Matchs!O400</f>
        <v xml:space="preserve">Estadio Jalisco </v>
      </c>
      <c r="AE399" s="6" t="str">
        <f t="shared" si="129"/>
        <v>",Referee= "</v>
      </c>
      <c r="AF399" s="11" t="str">
        <f>Matchs!P400</f>
        <v xml:space="preserve">Volker Roth </v>
      </c>
      <c r="AG399" s="6" t="str">
        <f t="shared" si="130"/>
        <v xml:space="preserve">",Visistors= </v>
      </c>
      <c r="AH399" s="11">
        <f>Matchs!Q400</f>
        <v>45000</v>
      </c>
      <c r="AI399" s="11" t="str">
        <f t="shared" si="131"/>
        <v>,Status= "</v>
      </c>
      <c r="AJ399" s="11" t="str">
        <f>Matchs!R400</f>
        <v>Finished</v>
      </c>
      <c r="AK399" t="str">
        <f t="shared" si="132"/>
        <v>" },</v>
      </c>
    </row>
    <row r="400" spans="1:37" x14ac:dyDescent="0.25">
      <c r="A400" t="str">
        <f t="shared" si="114"/>
        <v>new Match { MatchId= "</v>
      </c>
      <c r="B400" t="str">
        <f>Matchs!A401</f>
        <v>FIFAWC1986-40</v>
      </c>
      <c r="C400" t="str">
        <f t="shared" si="115"/>
        <v>",MatchNumer=</v>
      </c>
      <c r="D400">
        <f>Matchs!B401</f>
        <v>40</v>
      </c>
      <c r="E400" t="str">
        <f t="shared" si="116"/>
        <v>,DateMatch=DateTime.Parse("</v>
      </c>
      <c r="F400" s="3">
        <f>Matchs!C401</f>
        <v>31580</v>
      </c>
      <c r="G400" s="10" t="str">
        <f t="shared" si="117"/>
        <v>"),TimeMatch=TimeSpan.Parse("</v>
      </c>
      <c r="H400" s="9">
        <f>Matchs!D401</f>
        <v>0.16666666666666666</v>
      </c>
      <c r="I400" t="str">
        <f t="shared" si="118"/>
        <v>"),MatchYear=</v>
      </c>
      <c r="J400">
        <f>Matchs!E401</f>
        <v>1986</v>
      </c>
      <c r="K400" t="str">
        <f t="shared" si="119"/>
        <v>, SeasonId= "</v>
      </c>
      <c r="L400" t="str">
        <f>Matchs!F401</f>
        <v>FIFAWC1986</v>
      </c>
      <c r="M400" t="str">
        <f t="shared" si="120"/>
        <v>",Round= "</v>
      </c>
      <c r="N400" t="str">
        <f>Matchs!G401</f>
        <v>Final Round</v>
      </c>
      <c r="O400" s="6" t="str">
        <f t="shared" si="121"/>
        <v>",Stage= "</v>
      </c>
      <c r="P400" t="str">
        <f>Matchs!H401</f>
        <v>Knockouts</v>
      </c>
      <c r="Q400" s="6" t="str">
        <f t="shared" si="122"/>
        <v>",SubStage= "</v>
      </c>
      <c r="R400" t="str">
        <f>Matchs!I401</f>
        <v xml:space="preserve">Round of 16 </v>
      </c>
      <c r="S400" s="6" t="str">
        <f t="shared" si="123"/>
        <v>",HTeam= "</v>
      </c>
      <c r="T400" t="str">
        <f>Matchs!J401</f>
        <v>Argentina</v>
      </c>
      <c r="U400" s="6" t="str">
        <f t="shared" si="124"/>
        <v>",HGoal=</v>
      </c>
      <c r="V400">
        <f>Matchs!K401</f>
        <v>1</v>
      </c>
      <c r="W400" s="6" t="str">
        <f t="shared" si="125"/>
        <v>,GGoal=</v>
      </c>
      <c r="X400">
        <f>Matchs!L401</f>
        <v>0</v>
      </c>
      <c r="Y400" s="6" t="str">
        <f t="shared" si="126"/>
        <v>,GTeam= "</v>
      </c>
      <c r="Z400" t="str">
        <f>Matchs!M401</f>
        <v>Uruguay</v>
      </c>
      <c r="AA400" s="6" t="str">
        <f t="shared" si="127"/>
        <v>",WinNote="</v>
      </c>
      <c r="AB400" t="str">
        <f>IF(Matchs!N401="","",Matchs!N401)</f>
        <v/>
      </c>
      <c r="AC400" s="6" t="str">
        <f t="shared" si="128"/>
        <v xml:space="preserve">",Stadium=" </v>
      </c>
      <c r="AD400" s="11" t="str">
        <f>Matchs!O401</f>
        <v xml:space="preserve">Estadio Cuauhtémoc </v>
      </c>
      <c r="AE400" s="6" t="str">
        <f t="shared" si="129"/>
        <v>",Referee= "</v>
      </c>
      <c r="AF400" s="11" t="str">
        <f>Matchs!P401</f>
        <v xml:space="preserve">Luigi Agnolin </v>
      </c>
      <c r="AG400" s="6" t="str">
        <f t="shared" si="130"/>
        <v xml:space="preserve">",Visistors= </v>
      </c>
      <c r="AH400" s="11">
        <f>Matchs!Q401</f>
        <v>26000</v>
      </c>
      <c r="AI400" s="11" t="str">
        <f t="shared" si="131"/>
        <v>,Status= "</v>
      </c>
      <c r="AJ400" s="11" t="str">
        <f>Matchs!R401</f>
        <v>Finished</v>
      </c>
      <c r="AK400" t="str">
        <f t="shared" si="132"/>
        <v>" },</v>
      </c>
    </row>
    <row r="401" spans="1:37" x14ac:dyDescent="0.25">
      <c r="A401" t="str">
        <f t="shared" si="114"/>
        <v>new Match { MatchId= "</v>
      </c>
      <c r="B401" t="str">
        <f>Matchs!A402</f>
        <v>FIFAWC1986-41</v>
      </c>
      <c r="C401" t="str">
        <f t="shared" si="115"/>
        <v>",MatchNumer=</v>
      </c>
      <c r="D401">
        <f>Matchs!B402</f>
        <v>41</v>
      </c>
      <c r="E401" t="str">
        <f t="shared" si="116"/>
        <v>,DateMatch=DateTime.Parse("</v>
      </c>
      <c r="F401" s="3">
        <f>Matchs!C402</f>
        <v>31581</v>
      </c>
      <c r="G401" s="10" t="str">
        <f t="shared" si="117"/>
        <v>"),TimeMatch=TimeSpan.Parse("</v>
      </c>
      <c r="H401" s="9">
        <f>Matchs!D402</f>
        <v>1</v>
      </c>
      <c r="I401" t="str">
        <f t="shared" si="118"/>
        <v>"),MatchYear=</v>
      </c>
      <c r="J401">
        <f>Matchs!E402</f>
        <v>1986</v>
      </c>
      <c r="K401" t="str">
        <f t="shared" si="119"/>
        <v>, SeasonId= "</v>
      </c>
      <c r="L401" t="str">
        <f>Matchs!F402</f>
        <v>FIFAWC1986</v>
      </c>
      <c r="M401" t="str">
        <f t="shared" si="120"/>
        <v>",Round= "</v>
      </c>
      <c r="N401" t="str">
        <f>Matchs!G402</f>
        <v>Final Round</v>
      </c>
      <c r="O401" s="6" t="str">
        <f t="shared" si="121"/>
        <v>",Stage= "</v>
      </c>
      <c r="P401" t="str">
        <f>Matchs!H402</f>
        <v>Knockouts</v>
      </c>
      <c r="Q401" s="6" t="str">
        <f t="shared" si="122"/>
        <v>",SubStage= "</v>
      </c>
      <c r="R401" t="str">
        <f>Matchs!I402</f>
        <v xml:space="preserve">Round of 16 </v>
      </c>
      <c r="S401" s="6" t="str">
        <f t="shared" si="123"/>
        <v>",HTeam= "</v>
      </c>
      <c r="T401" t="str">
        <f>Matchs!J402</f>
        <v>Italy</v>
      </c>
      <c r="U401" s="6" t="str">
        <f t="shared" si="124"/>
        <v>",HGoal=</v>
      </c>
      <c r="V401">
        <f>Matchs!K402</f>
        <v>0</v>
      </c>
      <c r="W401" s="6" t="str">
        <f t="shared" si="125"/>
        <v>,GGoal=</v>
      </c>
      <c r="X401">
        <f>Matchs!L402</f>
        <v>2</v>
      </c>
      <c r="Y401" s="6" t="str">
        <f t="shared" si="126"/>
        <v>,GTeam= "</v>
      </c>
      <c r="Z401" t="str">
        <f>Matchs!M402</f>
        <v>France</v>
      </c>
      <c r="AA401" s="6" t="str">
        <f t="shared" si="127"/>
        <v>",WinNote="</v>
      </c>
      <c r="AB401" t="str">
        <f>IF(Matchs!N402="","",Matchs!N402)</f>
        <v/>
      </c>
      <c r="AC401" s="6" t="str">
        <f t="shared" si="128"/>
        <v xml:space="preserve">",Stadium=" </v>
      </c>
      <c r="AD401" s="11" t="str">
        <f>Matchs!O402</f>
        <v xml:space="preserve">Estadio Olímpico Universitario </v>
      </c>
      <c r="AE401" s="6" t="str">
        <f t="shared" si="129"/>
        <v>",Referee= "</v>
      </c>
      <c r="AF401" s="11">
        <f>Matchs!P402</f>
        <v>0</v>
      </c>
      <c r="AG401" s="6" t="str">
        <f t="shared" si="130"/>
        <v xml:space="preserve">",Visistors= </v>
      </c>
      <c r="AH401" s="11">
        <f>Matchs!Q402</f>
        <v>70000</v>
      </c>
      <c r="AI401" s="11" t="str">
        <f t="shared" si="131"/>
        <v>,Status= "</v>
      </c>
      <c r="AJ401" s="11" t="str">
        <f>Matchs!R402</f>
        <v>Finished</v>
      </c>
      <c r="AK401" t="str">
        <f t="shared" si="132"/>
        <v>" },</v>
      </c>
    </row>
    <row r="402" spans="1:37" x14ac:dyDescent="0.25">
      <c r="A402" t="str">
        <f t="shared" si="114"/>
        <v>new Match { MatchId= "</v>
      </c>
      <c r="B402" t="str">
        <f>Matchs!A403</f>
        <v>FIFAWC1986-42</v>
      </c>
      <c r="C402" t="str">
        <f t="shared" si="115"/>
        <v>",MatchNumer=</v>
      </c>
      <c r="D402">
        <f>Matchs!B403</f>
        <v>42</v>
      </c>
      <c r="E402" t="str">
        <f t="shared" si="116"/>
        <v>,DateMatch=DateTime.Parse("</v>
      </c>
      <c r="F402" s="3">
        <f>Matchs!C403</f>
        <v>31581</v>
      </c>
      <c r="G402" s="10" t="str">
        <f t="shared" si="117"/>
        <v>"),TimeMatch=TimeSpan.Parse("</v>
      </c>
      <c r="H402" s="9">
        <f>Matchs!D403</f>
        <v>0.16666666666666666</v>
      </c>
      <c r="I402" t="str">
        <f t="shared" si="118"/>
        <v>"),MatchYear=</v>
      </c>
      <c r="J402">
        <f>Matchs!E403</f>
        <v>1986</v>
      </c>
      <c r="K402" t="str">
        <f t="shared" si="119"/>
        <v>, SeasonId= "</v>
      </c>
      <c r="L402" t="str">
        <f>Matchs!F403</f>
        <v>FIFAWC1986</v>
      </c>
      <c r="M402" t="str">
        <f t="shared" si="120"/>
        <v>",Round= "</v>
      </c>
      <c r="N402" t="str">
        <f>Matchs!G403</f>
        <v>Final Round</v>
      </c>
      <c r="O402" s="6" t="str">
        <f t="shared" si="121"/>
        <v>",Stage= "</v>
      </c>
      <c r="P402" t="str">
        <f>Matchs!H403</f>
        <v>Knockouts</v>
      </c>
      <c r="Q402" s="6" t="str">
        <f t="shared" si="122"/>
        <v>",SubStage= "</v>
      </c>
      <c r="R402" t="str">
        <f>Matchs!I403</f>
        <v xml:space="preserve">Round of 16 </v>
      </c>
      <c r="S402" s="6" t="str">
        <f t="shared" si="123"/>
        <v>",HTeam= "</v>
      </c>
      <c r="T402" t="str">
        <f>Matchs!J403</f>
        <v>Morocco</v>
      </c>
      <c r="U402" s="6" t="str">
        <f t="shared" si="124"/>
        <v>",HGoal=</v>
      </c>
      <c r="V402">
        <f>Matchs!K403</f>
        <v>0</v>
      </c>
      <c r="W402" s="6" t="str">
        <f t="shared" si="125"/>
        <v>,GGoal=</v>
      </c>
      <c r="X402">
        <f>Matchs!L403</f>
        <v>1</v>
      </c>
      <c r="Y402" s="6" t="str">
        <f t="shared" si="126"/>
        <v>,GTeam= "</v>
      </c>
      <c r="Z402" t="str">
        <f>Matchs!M403</f>
        <v>Germany</v>
      </c>
      <c r="AA402" s="6" t="str">
        <f t="shared" si="127"/>
        <v>",WinNote="</v>
      </c>
      <c r="AB402" t="str">
        <f>IF(Matchs!N403="","",Matchs!N403)</f>
        <v/>
      </c>
      <c r="AC402" s="6" t="str">
        <f t="shared" si="128"/>
        <v xml:space="preserve">",Stadium=" </v>
      </c>
      <c r="AD402" s="11" t="str">
        <f>Matchs!O403</f>
        <v xml:space="preserve">Estadio Universitario de Mo... </v>
      </c>
      <c r="AE402" s="6" t="str">
        <f t="shared" si="129"/>
        <v>",Referee= "</v>
      </c>
      <c r="AF402" s="11">
        <f>Matchs!P403</f>
        <v>0</v>
      </c>
      <c r="AG402" s="6" t="str">
        <f t="shared" si="130"/>
        <v xml:space="preserve">",Visistors= </v>
      </c>
      <c r="AH402" s="11">
        <f>Matchs!Q403</f>
        <v>19800</v>
      </c>
      <c r="AI402" s="11" t="str">
        <f t="shared" si="131"/>
        <v>,Status= "</v>
      </c>
      <c r="AJ402" s="11" t="str">
        <f>Matchs!R403</f>
        <v>Finished</v>
      </c>
      <c r="AK402" t="str">
        <f t="shared" si="132"/>
        <v>" },</v>
      </c>
    </row>
    <row r="403" spans="1:37" x14ac:dyDescent="0.25">
      <c r="A403" t="str">
        <f t="shared" si="114"/>
        <v>new Match { MatchId= "</v>
      </c>
      <c r="B403" t="str">
        <f>Matchs!A404</f>
        <v>FIFAWC1986-43</v>
      </c>
      <c r="C403" t="str">
        <f t="shared" si="115"/>
        <v>",MatchNumer=</v>
      </c>
      <c r="D403">
        <f>Matchs!B404</f>
        <v>43</v>
      </c>
      <c r="E403" t="str">
        <f t="shared" si="116"/>
        <v>,DateMatch=DateTime.Parse("</v>
      </c>
      <c r="F403" s="3">
        <f>Matchs!C404</f>
        <v>31582</v>
      </c>
      <c r="G403" s="10" t="str">
        <f t="shared" si="117"/>
        <v>"),TimeMatch=TimeSpan.Parse("</v>
      </c>
      <c r="H403" s="9">
        <f>Matchs!D404</f>
        <v>1</v>
      </c>
      <c r="I403" t="str">
        <f t="shared" si="118"/>
        <v>"),MatchYear=</v>
      </c>
      <c r="J403">
        <f>Matchs!E404</f>
        <v>1986</v>
      </c>
      <c r="K403" t="str">
        <f t="shared" si="119"/>
        <v>, SeasonId= "</v>
      </c>
      <c r="L403" t="str">
        <f>Matchs!F404</f>
        <v>FIFAWC1986</v>
      </c>
      <c r="M403" t="str">
        <f t="shared" si="120"/>
        <v>",Round= "</v>
      </c>
      <c r="N403" t="str">
        <f>Matchs!G404</f>
        <v>Final Round</v>
      </c>
      <c r="O403" s="6" t="str">
        <f t="shared" si="121"/>
        <v>",Stage= "</v>
      </c>
      <c r="P403" t="str">
        <f>Matchs!H404</f>
        <v>Knockouts</v>
      </c>
      <c r="Q403" s="6" t="str">
        <f t="shared" si="122"/>
        <v>",SubStage= "</v>
      </c>
      <c r="R403" t="str">
        <f>Matchs!I404</f>
        <v xml:space="preserve">Round of 16 </v>
      </c>
      <c r="S403" s="6" t="str">
        <f t="shared" si="123"/>
        <v>",HTeam= "</v>
      </c>
      <c r="T403" t="str">
        <f>Matchs!J404</f>
        <v>England</v>
      </c>
      <c r="U403" s="6" t="str">
        <f t="shared" si="124"/>
        <v>",HGoal=</v>
      </c>
      <c r="V403">
        <f>Matchs!K404</f>
        <v>3</v>
      </c>
      <c r="W403" s="6" t="str">
        <f t="shared" si="125"/>
        <v>,GGoal=</v>
      </c>
      <c r="X403">
        <f>Matchs!L404</f>
        <v>0</v>
      </c>
      <c r="Y403" s="6" t="str">
        <f t="shared" si="126"/>
        <v>,GTeam= "</v>
      </c>
      <c r="Z403" t="str">
        <f>Matchs!M404</f>
        <v>Paraguay</v>
      </c>
      <c r="AA403" s="6" t="str">
        <f t="shared" si="127"/>
        <v>",WinNote="</v>
      </c>
      <c r="AB403" t="str">
        <f>IF(Matchs!N404="","",Matchs!N404)</f>
        <v/>
      </c>
      <c r="AC403" s="6" t="str">
        <f t="shared" si="128"/>
        <v xml:space="preserve">",Stadium=" </v>
      </c>
      <c r="AD403" s="11" t="str">
        <f>Matchs!O404</f>
        <v xml:space="preserve">Estadio Azteca </v>
      </c>
      <c r="AE403" s="6" t="str">
        <f t="shared" si="129"/>
        <v>",Referee= "</v>
      </c>
      <c r="AF403" s="11" t="str">
        <f>Matchs!P404</f>
        <v xml:space="preserve">Jamal Al-Sharif </v>
      </c>
      <c r="AG403" s="6" t="str">
        <f t="shared" si="130"/>
        <v xml:space="preserve">",Visistors= </v>
      </c>
      <c r="AH403" s="11">
        <f>Matchs!Q404</f>
        <v>98728</v>
      </c>
      <c r="AI403" s="11" t="str">
        <f t="shared" si="131"/>
        <v>,Status= "</v>
      </c>
      <c r="AJ403" s="11" t="str">
        <f>Matchs!R404</f>
        <v>Finished</v>
      </c>
      <c r="AK403" t="str">
        <f t="shared" si="132"/>
        <v>" },</v>
      </c>
    </row>
    <row r="404" spans="1:37" x14ac:dyDescent="0.25">
      <c r="A404" t="str">
        <f t="shared" si="114"/>
        <v>new Match { MatchId= "</v>
      </c>
      <c r="B404" t="str">
        <f>Matchs!A405</f>
        <v>FIFAWC1986-44</v>
      </c>
      <c r="C404" t="str">
        <f t="shared" si="115"/>
        <v>",MatchNumer=</v>
      </c>
      <c r="D404">
        <f>Matchs!B405</f>
        <v>44</v>
      </c>
      <c r="E404" t="str">
        <f t="shared" si="116"/>
        <v>,DateMatch=DateTime.Parse("</v>
      </c>
      <c r="F404" s="3">
        <f>Matchs!C405</f>
        <v>31582</v>
      </c>
      <c r="G404" s="10" t="str">
        <f t="shared" si="117"/>
        <v>"),TimeMatch=TimeSpan.Parse("</v>
      </c>
      <c r="H404" s="9">
        <f>Matchs!D405</f>
        <v>0.16666666666666666</v>
      </c>
      <c r="I404" t="str">
        <f t="shared" si="118"/>
        <v>"),MatchYear=</v>
      </c>
      <c r="J404">
        <f>Matchs!E405</f>
        <v>1986</v>
      </c>
      <c r="K404" t="str">
        <f t="shared" si="119"/>
        <v>, SeasonId= "</v>
      </c>
      <c r="L404" t="str">
        <f>Matchs!F405</f>
        <v>FIFAWC1986</v>
      </c>
      <c r="M404" t="str">
        <f t="shared" si="120"/>
        <v>",Round= "</v>
      </c>
      <c r="N404" t="str">
        <f>Matchs!G405</f>
        <v>Final Round</v>
      </c>
      <c r="O404" s="6" t="str">
        <f t="shared" si="121"/>
        <v>",Stage= "</v>
      </c>
      <c r="P404" t="str">
        <f>Matchs!H405</f>
        <v>Knockouts</v>
      </c>
      <c r="Q404" s="6" t="str">
        <f t="shared" si="122"/>
        <v>",SubStage= "</v>
      </c>
      <c r="R404" t="str">
        <f>Matchs!I405</f>
        <v xml:space="preserve">Round of 16 </v>
      </c>
      <c r="S404" s="6" t="str">
        <f t="shared" si="123"/>
        <v>",HTeam= "</v>
      </c>
      <c r="T404" t="str">
        <f>Matchs!J405</f>
        <v>Denmark</v>
      </c>
      <c r="U404" s="6" t="str">
        <f t="shared" si="124"/>
        <v>",HGoal=</v>
      </c>
      <c r="V404">
        <f>Matchs!K405</f>
        <v>1</v>
      </c>
      <c r="W404" s="6" t="str">
        <f t="shared" si="125"/>
        <v>,GGoal=</v>
      </c>
      <c r="X404">
        <f>Matchs!L405</f>
        <v>5</v>
      </c>
      <c r="Y404" s="6" t="str">
        <f t="shared" si="126"/>
        <v>,GTeam= "</v>
      </c>
      <c r="Z404" t="str">
        <f>Matchs!M405</f>
        <v>Spain</v>
      </c>
      <c r="AA404" s="6" t="str">
        <f t="shared" si="127"/>
        <v>",WinNote="</v>
      </c>
      <c r="AB404" t="str">
        <f>IF(Matchs!N405="","",Matchs!N405)</f>
        <v/>
      </c>
      <c r="AC404" s="6" t="str">
        <f t="shared" si="128"/>
        <v xml:space="preserve">",Stadium=" </v>
      </c>
      <c r="AD404" s="11" t="str">
        <f>Matchs!O405</f>
        <v xml:space="preserve">Estadio Corregidora </v>
      </c>
      <c r="AE404" s="6" t="str">
        <f t="shared" si="129"/>
        <v>",Referee= "</v>
      </c>
      <c r="AF404" s="11" t="str">
        <f>Matchs!P405</f>
        <v xml:space="preserve">Jan Keizer </v>
      </c>
      <c r="AG404" s="6" t="str">
        <f t="shared" si="130"/>
        <v xml:space="preserve">",Visistors= </v>
      </c>
      <c r="AH404" s="11">
        <f>Matchs!Q405</f>
        <v>38500</v>
      </c>
      <c r="AI404" s="11" t="str">
        <f t="shared" si="131"/>
        <v>,Status= "</v>
      </c>
      <c r="AJ404" s="11" t="str">
        <f>Matchs!R405</f>
        <v>Finished</v>
      </c>
      <c r="AK404" t="str">
        <f t="shared" si="132"/>
        <v>" },</v>
      </c>
    </row>
    <row r="405" spans="1:37" x14ac:dyDescent="0.25">
      <c r="A405" t="str">
        <f t="shared" si="114"/>
        <v>new Match { MatchId= "</v>
      </c>
      <c r="B405" t="str">
        <f>Matchs!A406</f>
        <v>FIFAWC1986-45</v>
      </c>
      <c r="C405" t="str">
        <f t="shared" si="115"/>
        <v>",MatchNumer=</v>
      </c>
      <c r="D405">
        <f>Matchs!B406</f>
        <v>45</v>
      </c>
      <c r="E405" t="str">
        <f t="shared" si="116"/>
        <v>,DateMatch=DateTime.Parse("</v>
      </c>
      <c r="F405" s="3">
        <f>Matchs!C406</f>
        <v>31585</v>
      </c>
      <c r="G405" s="10" t="str">
        <f t="shared" si="117"/>
        <v>"),TimeMatch=TimeSpan.Parse("</v>
      </c>
      <c r="H405" s="9">
        <f>Matchs!D406</f>
        <v>1</v>
      </c>
      <c r="I405" t="str">
        <f t="shared" si="118"/>
        <v>"),MatchYear=</v>
      </c>
      <c r="J405">
        <f>Matchs!E406</f>
        <v>1986</v>
      </c>
      <c r="K405" t="str">
        <f t="shared" si="119"/>
        <v>, SeasonId= "</v>
      </c>
      <c r="L405" t="str">
        <f>Matchs!F406</f>
        <v>FIFAWC1986</v>
      </c>
      <c r="M405" t="str">
        <f t="shared" si="120"/>
        <v>",Round= "</v>
      </c>
      <c r="N405" t="str">
        <f>Matchs!G406</f>
        <v>Final Round</v>
      </c>
      <c r="O405" s="6" t="str">
        <f t="shared" si="121"/>
        <v>",Stage= "</v>
      </c>
      <c r="P405" t="str">
        <f>Matchs!H406</f>
        <v>Knockouts</v>
      </c>
      <c r="Q405" s="6" t="str">
        <f t="shared" si="122"/>
        <v>",SubStage= "</v>
      </c>
      <c r="R405" t="str">
        <f>Matchs!I406</f>
        <v>Quaterfinal</v>
      </c>
      <c r="S405" s="6" t="str">
        <f t="shared" si="123"/>
        <v>",HTeam= "</v>
      </c>
      <c r="T405" t="str">
        <f>Matchs!J406</f>
        <v>Brazil</v>
      </c>
      <c r="U405" s="6" t="str">
        <f t="shared" si="124"/>
        <v>",HGoal=</v>
      </c>
      <c r="V405">
        <f>Matchs!K406</f>
        <v>1</v>
      </c>
      <c r="W405" s="6" t="str">
        <f t="shared" si="125"/>
        <v>,GGoal=</v>
      </c>
      <c r="X405">
        <f>Matchs!L406</f>
        <v>1</v>
      </c>
      <c r="Y405" s="6" t="str">
        <f t="shared" si="126"/>
        <v>,GTeam= "</v>
      </c>
      <c r="Z405" t="str">
        <f>Matchs!M406</f>
        <v>France</v>
      </c>
      <c r="AA405" s="6" t="str">
        <f t="shared" si="127"/>
        <v>",WinNote="</v>
      </c>
      <c r="AB405" t="str">
        <f>IF(Matchs!N406="","",Matchs!N406)</f>
        <v/>
      </c>
      <c r="AC405" s="6" t="str">
        <f t="shared" si="128"/>
        <v xml:space="preserve">",Stadium=" </v>
      </c>
      <c r="AD405" s="11" t="str">
        <f>Matchs!O406</f>
        <v xml:space="preserve">Estadio Jalisco </v>
      </c>
      <c r="AE405" s="6" t="str">
        <f t="shared" si="129"/>
        <v>",Referee= "</v>
      </c>
      <c r="AF405" s="11" t="str">
        <f>Matchs!P406</f>
        <v xml:space="preserve">Ioan Igna </v>
      </c>
      <c r="AG405" s="6" t="str">
        <f t="shared" si="130"/>
        <v xml:space="preserve">",Visistors= </v>
      </c>
      <c r="AH405" s="11">
        <f>Matchs!Q406</f>
        <v>65000</v>
      </c>
      <c r="AI405" s="11" t="str">
        <f t="shared" si="131"/>
        <v>,Status= "</v>
      </c>
      <c r="AJ405" s="11" t="str">
        <f>Matchs!R406</f>
        <v>Finished</v>
      </c>
      <c r="AK405" t="str">
        <f t="shared" si="132"/>
        <v>" },</v>
      </c>
    </row>
    <row r="406" spans="1:37" x14ac:dyDescent="0.25">
      <c r="A406" t="str">
        <f t="shared" si="114"/>
        <v>new Match { MatchId= "</v>
      </c>
      <c r="B406" t="str">
        <f>Matchs!A407</f>
        <v>FIFAWC1986-46</v>
      </c>
      <c r="C406" t="str">
        <f t="shared" si="115"/>
        <v>",MatchNumer=</v>
      </c>
      <c r="D406">
        <f>Matchs!B407</f>
        <v>46</v>
      </c>
      <c r="E406" t="str">
        <f t="shared" si="116"/>
        <v>,DateMatch=DateTime.Parse("</v>
      </c>
      <c r="F406" s="3">
        <f>Matchs!C407</f>
        <v>31585</v>
      </c>
      <c r="G406" s="10" t="str">
        <f t="shared" si="117"/>
        <v>"),TimeMatch=TimeSpan.Parse("</v>
      </c>
      <c r="H406" s="9">
        <f>Matchs!D407</f>
        <v>0.16666666666666666</v>
      </c>
      <c r="I406" t="str">
        <f t="shared" si="118"/>
        <v>"),MatchYear=</v>
      </c>
      <c r="J406">
        <f>Matchs!E407</f>
        <v>1986</v>
      </c>
      <c r="K406" t="str">
        <f t="shared" si="119"/>
        <v>, SeasonId= "</v>
      </c>
      <c r="L406" t="str">
        <f>Matchs!F407</f>
        <v>FIFAWC1986</v>
      </c>
      <c r="M406" t="str">
        <f t="shared" si="120"/>
        <v>",Round= "</v>
      </c>
      <c r="N406" t="str">
        <f>Matchs!G407</f>
        <v>Final Round</v>
      </c>
      <c r="O406" s="6" t="str">
        <f t="shared" si="121"/>
        <v>",Stage= "</v>
      </c>
      <c r="P406" t="str">
        <f>Matchs!H407</f>
        <v>Knockouts</v>
      </c>
      <c r="Q406" s="6" t="str">
        <f t="shared" si="122"/>
        <v>",SubStage= "</v>
      </c>
      <c r="R406" t="str">
        <f>Matchs!I407</f>
        <v>Quaterfinal</v>
      </c>
      <c r="S406" s="6" t="str">
        <f t="shared" si="123"/>
        <v>",HTeam= "</v>
      </c>
      <c r="T406" t="str">
        <f>Matchs!J407</f>
        <v>Germany</v>
      </c>
      <c r="U406" s="6" t="str">
        <f t="shared" si="124"/>
        <v>",HGoal=</v>
      </c>
      <c r="V406">
        <f>Matchs!K407</f>
        <v>0</v>
      </c>
      <c r="W406" s="6" t="str">
        <f t="shared" si="125"/>
        <v>,GGoal=</v>
      </c>
      <c r="X406">
        <f>Matchs!L407</f>
        <v>0</v>
      </c>
      <c r="Y406" s="6" t="str">
        <f t="shared" si="126"/>
        <v>,GTeam= "</v>
      </c>
      <c r="Z406" t="str">
        <f>Matchs!M407</f>
        <v>Mexico</v>
      </c>
      <c r="AA406" s="6" t="str">
        <f t="shared" si="127"/>
        <v>",WinNote="</v>
      </c>
      <c r="AB406" t="str">
        <f>IF(Matchs!N407="","",Matchs!N407)</f>
        <v/>
      </c>
      <c r="AC406" s="6" t="str">
        <f t="shared" si="128"/>
        <v xml:space="preserve">",Stadium=" </v>
      </c>
      <c r="AD406" s="11" t="str">
        <f>Matchs!O407</f>
        <v xml:space="preserve">Estadio Universitario de Mo... </v>
      </c>
      <c r="AE406" s="6" t="str">
        <f t="shared" si="129"/>
        <v>",Referee= "</v>
      </c>
      <c r="AF406" s="11" t="str">
        <f>Matchs!P407</f>
        <v xml:space="preserve">Jesús Díaz </v>
      </c>
      <c r="AG406" s="6" t="str">
        <f t="shared" si="130"/>
        <v xml:space="preserve">",Visistors= </v>
      </c>
      <c r="AH406" s="11">
        <f>Matchs!Q407</f>
        <v>41700</v>
      </c>
      <c r="AI406" s="11" t="str">
        <f t="shared" si="131"/>
        <v>,Status= "</v>
      </c>
      <c r="AJ406" s="11" t="str">
        <f>Matchs!R407</f>
        <v>Finished</v>
      </c>
      <c r="AK406" t="str">
        <f t="shared" si="132"/>
        <v>" },</v>
      </c>
    </row>
    <row r="407" spans="1:37" x14ac:dyDescent="0.25">
      <c r="A407" t="str">
        <f t="shared" si="114"/>
        <v>new Match { MatchId= "</v>
      </c>
      <c r="B407" t="str">
        <f>Matchs!A408</f>
        <v>FIFAWC1986-47</v>
      </c>
      <c r="C407" t="str">
        <f t="shared" si="115"/>
        <v>",MatchNumer=</v>
      </c>
      <c r="D407">
        <f>Matchs!B408</f>
        <v>47</v>
      </c>
      <c r="E407" t="str">
        <f t="shared" si="116"/>
        <v>,DateMatch=DateTime.Parse("</v>
      </c>
      <c r="F407" s="3">
        <f>Matchs!C408</f>
        <v>31586</v>
      </c>
      <c r="G407" s="10" t="str">
        <f t="shared" si="117"/>
        <v>"),TimeMatch=TimeSpan.Parse("</v>
      </c>
      <c r="H407" s="9">
        <f>Matchs!D408</f>
        <v>1</v>
      </c>
      <c r="I407" t="str">
        <f t="shared" si="118"/>
        <v>"),MatchYear=</v>
      </c>
      <c r="J407">
        <f>Matchs!E408</f>
        <v>1986</v>
      </c>
      <c r="K407" t="str">
        <f t="shared" si="119"/>
        <v>, SeasonId= "</v>
      </c>
      <c r="L407" t="str">
        <f>Matchs!F408</f>
        <v>FIFAWC1986</v>
      </c>
      <c r="M407" t="str">
        <f t="shared" si="120"/>
        <v>",Round= "</v>
      </c>
      <c r="N407" t="str">
        <f>Matchs!G408</f>
        <v>Final Round</v>
      </c>
      <c r="O407" s="6" t="str">
        <f t="shared" si="121"/>
        <v>",Stage= "</v>
      </c>
      <c r="P407" t="str">
        <f>Matchs!H408</f>
        <v>Knockouts</v>
      </c>
      <c r="Q407" s="6" t="str">
        <f t="shared" si="122"/>
        <v>",SubStage= "</v>
      </c>
      <c r="R407" t="str">
        <f>Matchs!I408</f>
        <v>Quaterfinal</v>
      </c>
      <c r="S407" s="6" t="str">
        <f t="shared" si="123"/>
        <v>",HTeam= "</v>
      </c>
      <c r="T407" t="str">
        <f>Matchs!J408</f>
        <v>Argentina</v>
      </c>
      <c r="U407" s="6" t="str">
        <f t="shared" si="124"/>
        <v>",HGoal=</v>
      </c>
      <c r="V407">
        <f>Matchs!K408</f>
        <v>2</v>
      </c>
      <c r="W407" s="6" t="str">
        <f t="shared" si="125"/>
        <v>,GGoal=</v>
      </c>
      <c r="X407">
        <f>Matchs!L408</f>
        <v>1</v>
      </c>
      <c r="Y407" s="6" t="str">
        <f t="shared" si="126"/>
        <v>,GTeam= "</v>
      </c>
      <c r="Z407" t="str">
        <f>Matchs!M408</f>
        <v>England</v>
      </c>
      <c r="AA407" s="6" t="str">
        <f t="shared" si="127"/>
        <v>",WinNote="</v>
      </c>
      <c r="AB407" t="str">
        <f>IF(Matchs!N408="","",Matchs!N408)</f>
        <v/>
      </c>
      <c r="AC407" s="6" t="str">
        <f t="shared" si="128"/>
        <v xml:space="preserve">",Stadium=" </v>
      </c>
      <c r="AD407" s="11" t="str">
        <f>Matchs!O408</f>
        <v xml:space="preserve">Estadio Azteca </v>
      </c>
      <c r="AE407" s="6" t="str">
        <f t="shared" si="129"/>
        <v>",Referee= "</v>
      </c>
      <c r="AF407" s="11" t="str">
        <f>Matchs!P408</f>
        <v xml:space="preserve">Ali Bin Nasser </v>
      </c>
      <c r="AG407" s="6" t="str">
        <f t="shared" si="130"/>
        <v xml:space="preserve">",Visistors= </v>
      </c>
      <c r="AH407" s="11">
        <f>Matchs!Q408</f>
        <v>114580</v>
      </c>
      <c r="AI407" s="11" t="str">
        <f t="shared" si="131"/>
        <v>,Status= "</v>
      </c>
      <c r="AJ407" s="11" t="str">
        <f>Matchs!R408</f>
        <v>Finished</v>
      </c>
      <c r="AK407" t="str">
        <f t="shared" si="132"/>
        <v>" },</v>
      </c>
    </row>
    <row r="408" spans="1:37" x14ac:dyDescent="0.25">
      <c r="A408" t="str">
        <f t="shared" si="114"/>
        <v>new Match { MatchId= "</v>
      </c>
      <c r="B408" t="str">
        <f>Matchs!A409</f>
        <v>FIFAWC1986-48</v>
      </c>
      <c r="C408" t="str">
        <f t="shared" si="115"/>
        <v>",MatchNumer=</v>
      </c>
      <c r="D408">
        <f>Matchs!B409</f>
        <v>48</v>
      </c>
      <c r="E408" t="str">
        <f t="shared" si="116"/>
        <v>,DateMatch=DateTime.Parse("</v>
      </c>
      <c r="F408" s="3">
        <f>Matchs!C409</f>
        <v>31586</v>
      </c>
      <c r="G408" s="10" t="str">
        <f t="shared" si="117"/>
        <v>"),TimeMatch=TimeSpan.Parse("</v>
      </c>
      <c r="H408" s="9">
        <f>Matchs!D409</f>
        <v>0.16666666666666666</v>
      </c>
      <c r="I408" t="str">
        <f t="shared" si="118"/>
        <v>"),MatchYear=</v>
      </c>
      <c r="J408">
        <f>Matchs!E409</f>
        <v>1986</v>
      </c>
      <c r="K408" t="str">
        <f t="shared" si="119"/>
        <v>, SeasonId= "</v>
      </c>
      <c r="L408" t="str">
        <f>Matchs!F409</f>
        <v>FIFAWC1986</v>
      </c>
      <c r="M408" t="str">
        <f t="shared" si="120"/>
        <v>",Round= "</v>
      </c>
      <c r="N408" t="str">
        <f>Matchs!G409</f>
        <v>Final Round</v>
      </c>
      <c r="O408" s="6" t="str">
        <f t="shared" si="121"/>
        <v>",Stage= "</v>
      </c>
      <c r="P408" t="str">
        <f>Matchs!H409</f>
        <v>Knockouts</v>
      </c>
      <c r="Q408" s="6" t="str">
        <f t="shared" si="122"/>
        <v>",SubStage= "</v>
      </c>
      <c r="R408" t="str">
        <f>Matchs!I409</f>
        <v>Quaterfinal</v>
      </c>
      <c r="S408" s="6" t="str">
        <f t="shared" si="123"/>
        <v>",HTeam= "</v>
      </c>
      <c r="T408" t="str">
        <f>Matchs!J409</f>
        <v>Spain</v>
      </c>
      <c r="U408" s="6" t="str">
        <f t="shared" si="124"/>
        <v>",HGoal=</v>
      </c>
      <c r="V408">
        <f>Matchs!K409</f>
        <v>1</v>
      </c>
      <c r="W408" s="6" t="str">
        <f t="shared" si="125"/>
        <v>,GGoal=</v>
      </c>
      <c r="X408">
        <f>Matchs!L409</f>
        <v>1</v>
      </c>
      <c r="Y408" s="6" t="str">
        <f t="shared" si="126"/>
        <v>,GTeam= "</v>
      </c>
      <c r="Z408" t="str">
        <f>Matchs!M409</f>
        <v>Belgium</v>
      </c>
      <c r="AA408" s="6" t="str">
        <f t="shared" si="127"/>
        <v>",WinNote="</v>
      </c>
      <c r="AB408" t="str">
        <f>IF(Matchs!N409="","",Matchs!N409)</f>
        <v>Belgium win 4 - 5 on penalties</v>
      </c>
      <c r="AC408" s="6" t="str">
        <f t="shared" si="128"/>
        <v xml:space="preserve">",Stadium=" </v>
      </c>
      <c r="AD408" s="11" t="str">
        <f>Matchs!O409</f>
        <v xml:space="preserve">Estadio Cuauhtémoc </v>
      </c>
      <c r="AE408" s="6" t="str">
        <f t="shared" si="129"/>
        <v>",Referee= "</v>
      </c>
      <c r="AF408" s="11" t="str">
        <f>Matchs!P409</f>
        <v xml:space="preserve">Siegfried Kirschen </v>
      </c>
      <c r="AG408" s="6" t="str">
        <f t="shared" si="130"/>
        <v xml:space="preserve">",Visistors= </v>
      </c>
      <c r="AH408" s="11">
        <f>Matchs!Q409</f>
        <v>45000</v>
      </c>
      <c r="AI408" s="11" t="str">
        <f t="shared" si="131"/>
        <v>,Status= "</v>
      </c>
      <c r="AJ408" s="11" t="str">
        <f>Matchs!R409</f>
        <v>Finished</v>
      </c>
      <c r="AK408" t="str">
        <f t="shared" si="132"/>
        <v>" },</v>
      </c>
    </row>
    <row r="409" spans="1:37" x14ac:dyDescent="0.25">
      <c r="A409" t="str">
        <f t="shared" si="114"/>
        <v>new Match { MatchId= "</v>
      </c>
      <c r="B409" t="str">
        <f>Matchs!A410</f>
        <v>FIFAWC1986-49</v>
      </c>
      <c r="C409" t="str">
        <f t="shared" si="115"/>
        <v>",MatchNumer=</v>
      </c>
      <c r="D409">
        <f>Matchs!B410</f>
        <v>49</v>
      </c>
      <c r="E409" t="str">
        <f t="shared" si="116"/>
        <v>,DateMatch=DateTime.Parse("</v>
      </c>
      <c r="F409" s="3">
        <f>Matchs!C410</f>
        <v>31589</v>
      </c>
      <c r="G409" s="10" t="str">
        <f t="shared" si="117"/>
        <v>"),TimeMatch=TimeSpan.Parse("</v>
      </c>
      <c r="H409" s="9">
        <f>Matchs!D410</f>
        <v>1</v>
      </c>
      <c r="I409" t="str">
        <f t="shared" si="118"/>
        <v>"),MatchYear=</v>
      </c>
      <c r="J409">
        <f>Matchs!E410</f>
        <v>1986</v>
      </c>
      <c r="K409" t="str">
        <f t="shared" si="119"/>
        <v>, SeasonId= "</v>
      </c>
      <c r="L409" t="str">
        <f>Matchs!F410</f>
        <v>FIFAWC1986</v>
      </c>
      <c r="M409" t="str">
        <f t="shared" si="120"/>
        <v>",Round= "</v>
      </c>
      <c r="N409" t="str">
        <f>Matchs!G410</f>
        <v>Final Round</v>
      </c>
      <c r="O409" s="6" t="str">
        <f t="shared" si="121"/>
        <v>",Stage= "</v>
      </c>
      <c r="P409" t="str">
        <f>Matchs!H410</f>
        <v>Knockouts</v>
      </c>
      <c r="Q409" s="6" t="str">
        <f t="shared" si="122"/>
        <v>",SubStage= "</v>
      </c>
      <c r="R409" t="str">
        <f>Matchs!I410</f>
        <v>Semifinal</v>
      </c>
      <c r="S409" s="6" t="str">
        <f t="shared" si="123"/>
        <v>",HTeam= "</v>
      </c>
      <c r="T409" t="str">
        <f>Matchs!J410</f>
        <v>France</v>
      </c>
      <c r="U409" s="6" t="str">
        <f t="shared" si="124"/>
        <v>",HGoal=</v>
      </c>
      <c r="V409">
        <f>Matchs!K410</f>
        <v>0</v>
      </c>
      <c r="W409" s="6" t="str">
        <f t="shared" si="125"/>
        <v>,GGoal=</v>
      </c>
      <c r="X409">
        <f>Matchs!L410</f>
        <v>2</v>
      </c>
      <c r="Y409" s="6" t="str">
        <f t="shared" si="126"/>
        <v>,GTeam= "</v>
      </c>
      <c r="Z409" t="str">
        <f>Matchs!M410</f>
        <v>Germany</v>
      </c>
      <c r="AA409" s="6" t="str">
        <f t="shared" si="127"/>
        <v>",WinNote="</v>
      </c>
      <c r="AB409" t="str">
        <f>IF(Matchs!N410="","",Matchs!N410)</f>
        <v/>
      </c>
      <c r="AC409" s="6" t="str">
        <f t="shared" si="128"/>
        <v xml:space="preserve">",Stadium=" </v>
      </c>
      <c r="AD409" s="11" t="str">
        <f>Matchs!O410</f>
        <v xml:space="preserve">Estadio Jalisco </v>
      </c>
      <c r="AE409" s="6" t="str">
        <f t="shared" si="129"/>
        <v>",Referee= "</v>
      </c>
      <c r="AF409" s="11" t="str">
        <f>Matchs!P410</f>
        <v xml:space="preserve">Luigi Agnolin </v>
      </c>
      <c r="AG409" s="6" t="str">
        <f t="shared" si="130"/>
        <v xml:space="preserve">",Visistors= </v>
      </c>
      <c r="AH409" s="11">
        <f>Matchs!Q410</f>
        <v>45000</v>
      </c>
      <c r="AI409" s="11" t="str">
        <f t="shared" si="131"/>
        <v>,Status= "</v>
      </c>
      <c r="AJ409" s="11" t="str">
        <f>Matchs!R410</f>
        <v>Finished</v>
      </c>
      <c r="AK409" t="str">
        <f t="shared" si="132"/>
        <v>" },</v>
      </c>
    </row>
    <row r="410" spans="1:37" x14ac:dyDescent="0.25">
      <c r="A410" t="str">
        <f t="shared" si="114"/>
        <v>new Match { MatchId= "</v>
      </c>
      <c r="B410" t="str">
        <f>Matchs!A411</f>
        <v>FIFAWC1986-50</v>
      </c>
      <c r="C410" t="str">
        <f t="shared" si="115"/>
        <v>",MatchNumer=</v>
      </c>
      <c r="D410">
        <f>Matchs!B411</f>
        <v>50</v>
      </c>
      <c r="E410" t="str">
        <f t="shared" si="116"/>
        <v>,DateMatch=DateTime.Parse("</v>
      </c>
      <c r="F410" s="3">
        <f>Matchs!C411</f>
        <v>31589</v>
      </c>
      <c r="G410" s="10" t="str">
        <f t="shared" si="117"/>
        <v>"),TimeMatch=TimeSpan.Parse("</v>
      </c>
      <c r="H410" s="9">
        <f>Matchs!D411</f>
        <v>0.16666666666666666</v>
      </c>
      <c r="I410" t="str">
        <f t="shared" si="118"/>
        <v>"),MatchYear=</v>
      </c>
      <c r="J410">
        <f>Matchs!E411</f>
        <v>1986</v>
      </c>
      <c r="K410" t="str">
        <f t="shared" si="119"/>
        <v>, SeasonId= "</v>
      </c>
      <c r="L410" t="str">
        <f>Matchs!F411</f>
        <v>FIFAWC1986</v>
      </c>
      <c r="M410" t="str">
        <f t="shared" si="120"/>
        <v>",Round= "</v>
      </c>
      <c r="N410" t="str">
        <f>Matchs!G411</f>
        <v>Final Round</v>
      </c>
      <c r="O410" s="6" t="str">
        <f t="shared" si="121"/>
        <v>",Stage= "</v>
      </c>
      <c r="P410" t="str">
        <f>Matchs!H411</f>
        <v>Knockouts</v>
      </c>
      <c r="Q410" s="6" t="str">
        <f t="shared" si="122"/>
        <v>",SubStage= "</v>
      </c>
      <c r="R410" t="str">
        <f>Matchs!I411</f>
        <v>Semifinal</v>
      </c>
      <c r="S410" s="6" t="str">
        <f t="shared" si="123"/>
        <v>",HTeam= "</v>
      </c>
      <c r="T410" t="str">
        <f>Matchs!J411</f>
        <v>Argentina</v>
      </c>
      <c r="U410" s="6" t="str">
        <f t="shared" si="124"/>
        <v>",HGoal=</v>
      </c>
      <c r="V410">
        <f>Matchs!K411</f>
        <v>2</v>
      </c>
      <c r="W410" s="6" t="str">
        <f t="shared" si="125"/>
        <v>,GGoal=</v>
      </c>
      <c r="X410">
        <f>Matchs!L411</f>
        <v>0</v>
      </c>
      <c r="Y410" s="6" t="str">
        <f t="shared" si="126"/>
        <v>,GTeam= "</v>
      </c>
      <c r="Z410" t="str">
        <f>Matchs!M411</f>
        <v>Belgium</v>
      </c>
      <c r="AA410" s="6" t="str">
        <f t="shared" si="127"/>
        <v>",WinNote="</v>
      </c>
      <c r="AB410" t="str">
        <f>IF(Matchs!N411="","",Matchs!N411)</f>
        <v/>
      </c>
      <c r="AC410" s="6" t="str">
        <f t="shared" si="128"/>
        <v xml:space="preserve">",Stadium=" </v>
      </c>
      <c r="AD410" s="11" t="str">
        <f>Matchs!O411</f>
        <v xml:space="preserve">Estadio Azteca </v>
      </c>
      <c r="AE410" s="6" t="str">
        <f t="shared" si="129"/>
        <v>",Referee= "</v>
      </c>
      <c r="AF410" s="11" t="str">
        <f>Matchs!P411</f>
        <v xml:space="preserve">Antonio Marquez Ramirez </v>
      </c>
      <c r="AG410" s="6" t="str">
        <f t="shared" si="130"/>
        <v xml:space="preserve">",Visistors= </v>
      </c>
      <c r="AH410" s="11">
        <f>Matchs!Q411</f>
        <v>114500</v>
      </c>
      <c r="AI410" s="11" t="str">
        <f t="shared" si="131"/>
        <v>,Status= "</v>
      </c>
      <c r="AJ410" s="11" t="str">
        <f>Matchs!R411</f>
        <v>Finished</v>
      </c>
      <c r="AK410" t="str">
        <f t="shared" si="132"/>
        <v>" },</v>
      </c>
    </row>
    <row r="411" spans="1:37" x14ac:dyDescent="0.25">
      <c r="A411" t="str">
        <f t="shared" si="114"/>
        <v>new Match { MatchId= "</v>
      </c>
      <c r="B411" t="str">
        <f>Matchs!A412</f>
        <v>FIFAWC1986-51</v>
      </c>
      <c r="C411" t="str">
        <f t="shared" si="115"/>
        <v>",MatchNumer=</v>
      </c>
      <c r="D411">
        <f>Matchs!B412</f>
        <v>51</v>
      </c>
      <c r="E411" t="str">
        <f t="shared" si="116"/>
        <v>,DateMatch=DateTime.Parse("</v>
      </c>
      <c r="F411" s="3">
        <f>Matchs!C412</f>
        <v>31592</v>
      </c>
      <c r="G411" s="10" t="str">
        <f t="shared" si="117"/>
        <v>"),TimeMatch=TimeSpan.Parse("</v>
      </c>
      <c r="H411" s="9">
        <f>Matchs!D412</f>
        <v>1</v>
      </c>
      <c r="I411" t="str">
        <f t="shared" si="118"/>
        <v>"),MatchYear=</v>
      </c>
      <c r="J411">
        <f>Matchs!E412</f>
        <v>1986</v>
      </c>
      <c r="K411" t="str">
        <f t="shared" si="119"/>
        <v>, SeasonId= "</v>
      </c>
      <c r="L411" t="str">
        <f>Matchs!F412</f>
        <v>FIFAWC1986</v>
      </c>
      <c r="M411" t="str">
        <f t="shared" si="120"/>
        <v>",Round= "</v>
      </c>
      <c r="N411" t="str">
        <f>Matchs!G412</f>
        <v>Final Round</v>
      </c>
      <c r="O411" s="6" t="str">
        <f t="shared" si="121"/>
        <v>",Stage= "</v>
      </c>
      <c r="P411" t="str">
        <f>Matchs!H412</f>
        <v>Knockouts</v>
      </c>
      <c r="Q411" s="6" t="str">
        <f t="shared" si="122"/>
        <v>",SubStage= "</v>
      </c>
      <c r="R411" t="str">
        <f>Matchs!I412</f>
        <v>3rd place</v>
      </c>
      <c r="S411" s="6" t="str">
        <f t="shared" si="123"/>
        <v>",HTeam= "</v>
      </c>
      <c r="T411" t="str">
        <f>Matchs!J412</f>
        <v>France</v>
      </c>
      <c r="U411" s="6" t="str">
        <f t="shared" si="124"/>
        <v>",HGoal=</v>
      </c>
      <c r="V411">
        <f>Matchs!K412</f>
        <v>4</v>
      </c>
      <c r="W411" s="6" t="str">
        <f t="shared" si="125"/>
        <v>,GGoal=</v>
      </c>
      <c r="X411">
        <f>Matchs!L412</f>
        <v>2</v>
      </c>
      <c r="Y411" s="6" t="str">
        <f t="shared" si="126"/>
        <v>,GTeam= "</v>
      </c>
      <c r="Z411" t="str">
        <f>Matchs!M412</f>
        <v>Belgium</v>
      </c>
      <c r="AA411" s="6" t="str">
        <f t="shared" si="127"/>
        <v>",WinNote="</v>
      </c>
      <c r="AB411" t="str">
        <f>IF(Matchs!N412="","",Matchs!N412)</f>
        <v/>
      </c>
      <c r="AC411" s="6" t="str">
        <f t="shared" si="128"/>
        <v xml:space="preserve">",Stadium=" </v>
      </c>
      <c r="AD411" s="11" t="str">
        <f>Matchs!O412</f>
        <v xml:space="preserve">Estadio Cuauhtémoc </v>
      </c>
      <c r="AE411" s="6" t="str">
        <f t="shared" si="129"/>
        <v>",Referee= "</v>
      </c>
      <c r="AF411" s="11" t="str">
        <f>Matchs!P412</f>
        <v xml:space="preserve">George Courtney </v>
      </c>
      <c r="AG411" s="6" t="str">
        <f t="shared" si="130"/>
        <v xml:space="preserve">",Visistors= </v>
      </c>
      <c r="AH411" s="11">
        <f>Matchs!Q412</f>
        <v>21000</v>
      </c>
      <c r="AI411" s="11" t="str">
        <f t="shared" si="131"/>
        <v>,Status= "</v>
      </c>
      <c r="AJ411" s="11" t="str">
        <f>Matchs!R412</f>
        <v>Finished</v>
      </c>
      <c r="AK411" t="str">
        <f t="shared" si="132"/>
        <v>" },</v>
      </c>
    </row>
    <row r="412" spans="1:37" x14ac:dyDescent="0.25">
      <c r="A412" t="str">
        <f t="shared" si="114"/>
        <v>new Match { MatchId= "</v>
      </c>
      <c r="B412" t="str">
        <f>Matchs!A413</f>
        <v>FIFAWC1986-52</v>
      </c>
      <c r="C412" t="str">
        <f t="shared" si="115"/>
        <v>",MatchNumer=</v>
      </c>
      <c r="D412">
        <f>Matchs!B413</f>
        <v>52</v>
      </c>
      <c r="E412" t="str">
        <f t="shared" si="116"/>
        <v>,DateMatch=DateTime.Parse("</v>
      </c>
      <c r="F412" s="3">
        <f>Matchs!C413</f>
        <v>31593</v>
      </c>
      <c r="G412" s="10" t="str">
        <f t="shared" si="117"/>
        <v>"),TimeMatch=TimeSpan.Parse("</v>
      </c>
      <c r="H412" s="9">
        <f>Matchs!D413</f>
        <v>1</v>
      </c>
      <c r="I412" t="str">
        <f t="shared" si="118"/>
        <v>"),MatchYear=</v>
      </c>
      <c r="J412">
        <f>Matchs!E413</f>
        <v>1986</v>
      </c>
      <c r="K412" t="str">
        <f t="shared" si="119"/>
        <v>, SeasonId= "</v>
      </c>
      <c r="L412" t="str">
        <f>Matchs!F413</f>
        <v>FIFAWC1986</v>
      </c>
      <c r="M412" t="str">
        <f t="shared" si="120"/>
        <v>",Round= "</v>
      </c>
      <c r="N412" t="str">
        <f>Matchs!G413</f>
        <v>Final Round</v>
      </c>
      <c r="O412" s="6" t="str">
        <f t="shared" si="121"/>
        <v>",Stage= "</v>
      </c>
      <c r="P412" t="str">
        <f>Matchs!H413</f>
        <v>Knockouts</v>
      </c>
      <c r="Q412" s="6" t="str">
        <f t="shared" si="122"/>
        <v>",SubStage= "</v>
      </c>
      <c r="R412" t="str">
        <f>Matchs!I413</f>
        <v>Final</v>
      </c>
      <c r="S412" s="6" t="str">
        <f t="shared" si="123"/>
        <v>",HTeam= "</v>
      </c>
      <c r="T412" t="str">
        <f>Matchs!J413</f>
        <v>Argentina</v>
      </c>
      <c r="U412" s="6" t="str">
        <f t="shared" si="124"/>
        <v>",HGoal=</v>
      </c>
      <c r="V412">
        <f>Matchs!K413</f>
        <v>3</v>
      </c>
      <c r="W412" s="6" t="str">
        <f t="shared" si="125"/>
        <v>,GGoal=</v>
      </c>
      <c r="X412">
        <f>Matchs!L413</f>
        <v>2</v>
      </c>
      <c r="Y412" s="6" t="str">
        <f t="shared" si="126"/>
        <v>,GTeam= "</v>
      </c>
      <c r="Z412" t="str">
        <f>Matchs!M413</f>
        <v>Germany</v>
      </c>
      <c r="AA412" s="6" t="str">
        <f t="shared" si="127"/>
        <v>",WinNote="</v>
      </c>
      <c r="AB412" t="str">
        <f>IF(Matchs!N413="","",Matchs!N413)</f>
        <v/>
      </c>
      <c r="AC412" s="6" t="str">
        <f t="shared" si="128"/>
        <v xml:space="preserve">",Stadium=" </v>
      </c>
      <c r="AD412" s="11" t="str">
        <f>Matchs!O413</f>
        <v xml:space="preserve">Estadio Azteca </v>
      </c>
      <c r="AE412" s="6" t="str">
        <f t="shared" si="129"/>
        <v>",Referee= "</v>
      </c>
      <c r="AF412" s="11" t="str">
        <f>Matchs!P413</f>
        <v xml:space="preserve">Romualdo Arppi Filho </v>
      </c>
      <c r="AG412" s="6" t="str">
        <f t="shared" si="130"/>
        <v xml:space="preserve">",Visistors= </v>
      </c>
      <c r="AH412" s="11">
        <f>Matchs!Q413</f>
        <v>114600</v>
      </c>
      <c r="AI412" s="11" t="str">
        <f t="shared" si="131"/>
        <v>,Status= "</v>
      </c>
      <c r="AJ412" s="11" t="str">
        <f>Matchs!R413</f>
        <v>Finished</v>
      </c>
      <c r="AK412" t="str">
        <f t="shared" si="132"/>
        <v>" },</v>
      </c>
    </row>
    <row r="413" spans="1:37" x14ac:dyDescent="0.25">
      <c r="A413" t="str">
        <f t="shared" si="114"/>
        <v>new Match { MatchId= "</v>
      </c>
      <c r="B413" t="str">
        <f>Matchs!A414</f>
        <v>FIFAWC1990-1</v>
      </c>
      <c r="C413" t="str">
        <f t="shared" si="115"/>
        <v>",MatchNumer=</v>
      </c>
      <c r="D413">
        <f>Matchs!B414</f>
        <v>1</v>
      </c>
      <c r="E413" t="str">
        <f t="shared" si="116"/>
        <v>,DateMatch=DateTime.Parse("</v>
      </c>
      <c r="F413" s="3">
        <f>Matchs!C414</f>
        <v>33032</v>
      </c>
      <c r="G413" s="10" t="str">
        <f t="shared" si="117"/>
        <v>"),TimeMatch=TimeSpan.Parse("</v>
      </c>
      <c r="H413" s="9">
        <f>Matchs!D414</f>
        <v>0.95833333333333337</v>
      </c>
      <c r="I413" t="str">
        <f t="shared" si="118"/>
        <v>"),MatchYear=</v>
      </c>
      <c r="J413">
        <f>Matchs!E414</f>
        <v>1990</v>
      </c>
      <c r="K413" t="str">
        <f t="shared" si="119"/>
        <v>, SeasonId= "</v>
      </c>
      <c r="L413" t="str">
        <f>Matchs!F414</f>
        <v>FIFAWC1990</v>
      </c>
      <c r="M413" t="str">
        <f t="shared" si="120"/>
        <v>",Round= "</v>
      </c>
      <c r="N413" t="str">
        <f>Matchs!G414</f>
        <v>Final Round</v>
      </c>
      <c r="O413" s="6" t="str">
        <f t="shared" si="121"/>
        <v>",Stage= "</v>
      </c>
      <c r="P413" t="str">
        <f>Matchs!H414</f>
        <v>Group</v>
      </c>
      <c r="Q413" s="6" t="str">
        <f t="shared" si="122"/>
        <v>",SubStage= "</v>
      </c>
      <c r="R413" t="str">
        <f>Matchs!I414</f>
        <v xml:space="preserve">Group B </v>
      </c>
      <c r="S413" s="6" t="str">
        <f t="shared" si="123"/>
        <v>",HTeam= "</v>
      </c>
      <c r="T413" t="str">
        <f>Matchs!J414</f>
        <v>Argentina</v>
      </c>
      <c r="U413" s="6" t="str">
        <f t="shared" si="124"/>
        <v>",HGoal=</v>
      </c>
      <c r="V413">
        <f>Matchs!K414</f>
        <v>0</v>
      </c>
      <c r="W413" s="6" t="str">
        <f t="shared" si="125"/>
        <v>,GGoal=</v>
      </c>
      <c r="X413">
        <f>Matchs!L414</f>
        <v>1</v>
      </c>
      <c r="Y413" s="6" t="str">
        <f t="shared" si="126"/>
        <v>,GTeam= "</v>
      </c>
      <c r="Z413" t="str">
        <f>Matchs!M414</f>
        <v>Cameroon</v>
      </c>
      <c r="AA413" s="6" t="str">
        <f t="shared" si="127"/>
        <v>",WinNote="</v>
      </c>
      <c r="AB413" t="str">
        <f>IF(Matchs!N414="","",Matchs!N414)</f>
        <v/>
      </c>
      <c r="AC413" s="6" t="str">
        <f t="shared" si="128"/>
        <v xml:space="preserve">",Stadium=" </v>
      </c>
      <c r="AD413" s="11" t="str">
        <f>Matchs!O414</f>
        <v xml:space="preserve">San Siro </v>
      </c>
      <c r="AE413" s="6" t="str">
        <f t="shared" si="129"/>
        <v>",Referee= "</v>
      </c>
      <c r="AF413" s="11" t="str">
        <f>Matchs!P414</f>
        <v xml:space="preserve">Michel Vautrot </v>
      </c>
      <c r="AG413" s="6" t="str">
        <f t="shared" si="130"/>
        <v xml:space="preserve">",Visistors= </v>
      </c>
      <c r="AH413" s="11">
        <f>Matchs!Q414</f>
        <v>73780</v>
      </c>
      <c r="AI413" s="11" t="str">
        <f t="shared" si="131"/>
        <v>,Status= "</v>
      </c>
      <c r="AJ413" s="11" t="str">
        <f>Matchs!R414</f>
        <v>Finished</v>
      </c>
      <c r="AK413" t="str">
        <f t="shared" si="132"/>
        <v>" },</v>
      </c>
    </row>
    <row r="414" spans="1:37" x14ac:dyDescent="0.25">
      <c r="A414" t="str">
        <f t="shared" si="114"/>
        <v>new Match { MatchId= "</v>
      </c>
      <c r="B414" t="str">
        <f>Matchs!A415</f>
        <v>FIFAWC1990-2</v>
      </c>
      <c r="C414" t="str">
        <f t="shared" si="115"/>
        <v>",MatchNumer=</v>
      </c>
      <c r="D414">
        <f>Matchs!B415</f>
        <v>2</v>
      </c>
      <c r="E414" t="str">
        <f t="shared" si="116"/>
        <v>,DateMatch=DateTime.Parse("</v>
      </c>
      <c r="F414" s="3">
        <f>Matchs!C415</f>
        <v>33033</v>
      </c>
      <c r="G414" s="10" t="str">
        <f t="shared" si="117"/>
        <v>"),TimeMatch=TimeSpan.Parse("</v>
      </c>
      <c r="H414" s="9">
        <f>Matchs!D415</f>
        <v>0.91666666666666663</v>
      </c>
      <c r="I414" t="str">
        <f t="shared" si="118"/>
        <v>"),MatchYear=</v>
      </c>
      <c r="J414">
        <f>Matchs!E415</f>
        <v>1990</v>
      </c>
      <c r="K414" t="str">
        <f t="shared" si="119"/>
        <v>, SeasonId= "</v>
      </c>
      <c r="L414" t="str">
        <f>Matchs!F415</f>
        <v>FIFAWC1990</v>
      </c>
      <c r="M414" t="str">
        <f t="shared" si="120"/>
        <v>",Round= "</v>
      </c>
      <c r="N414" t="str">
        <f>Matchs!G415</f>
        <v>Final Round</v>
      </c>
      <c r="O414" s="6" t="str">
        <f t="shared" si="121"/>
        <v>",Stage= "</v>
      </c>
      <c r="P414" t="str">
        <f>Matchs!H415</f>
        <v>Group</v>
      </c>
      <c r="Q414" s="6" t="str">
        <f t="shared" si="122"/>
        <v>",SubStage= "</v>
      </c>
      <c r="R414" t="str">
        <f>Matchs!I415</f>
        <v xml:space="preserve">Group D </v>
      </c>
      <c r="S414" s="6" t="str">
        <f t="shared" si="123"/>
        <v>",HTeam= "</v>
      </c>
      <c r="T414" t="str">
        <f>Matchs!J415</f>
        <v>United Arab Emirates</v>
      </c>
      <c r="U414" s="6" t="str">
        <f t="shared" si="124"/>
        <v>",HGoal=</v>
      </c>
      <c r="V414">
        <f>Matchs!K415</f>
        <v>0</v>
      </c>
      <c r="W414" s="6" t="str">
        <f t="shared" si="125"/>
        <v>,GGoal=</v>
      </c>
      <c r="X414">
        <f>Matchs!L415</f>
        <v>2</v>
      </c>
      <c r="Y414" s="6" t="str">
        <f t="shared" si="126"/>
        <v>,GTeam= "</v>
      </c>
      <c r="Z414" t="str">
        <f>Matchs!M415</f>
        <v>Colombia</v>
      </c>
      <c r="AA414" s="6" t="str">
        <f t="shared" si="127"/>
        <v>",WinNote="</v>
      </c>
      <c r="AB414" t="str">
        <f>IF(Matchs!N415="","",Matchs!N415)</f>
        <v/>
      </c>
      <c r="AC414" s="6" t="str">
        <f t="shared" si="128"/>
        <v xml:space="preserve">",Stadium=" </v>
      </c>
      <c r="AD414" s="11" t="str">
        <f>Matchs!O415</f>
        <v xml:space="preserve">Stadio Renato Dall'Ara </v>
      </c>
      <c r="AE414" s="6" t="str">
        <f t="shared" si="129"/>
        <v>",Referee= "</v>
      </c>
      <c r="AF414" s="11" t="str">
        <f>Matchs!P415</f>
        <v xml:space="preserve">George Courtney </v>
      </c>
      <c r="AG414" s="6" t="str">
        <f t="shared" si="130"/>
        <v xml:space="preserve">",Visistors= </v>
      </c>
      <c r="AH414" s="11">
        <f>Matchs!Q415</f>
        <v>30791</v>
      </c>
      <c r="AI414" s="11" t="str">
        <f t="shared" si="131"/>
        <v>,Status= "</v>
      </c>
      <c r="AJ414" s="11" t="str">
        <f>Matchs!R415</f>
        <v>Finished</v>
      </c>
      <c r="AK414" t="str">
        <f t="shared" si="132"/>
        <v>" },</v>
      </c>
    </row>
    <row r="415" spans="1:37" x14ac:dyDescent="0.25">
      <c r="A415" t="str">
        <f t="shared" si="114"/>
        <v>new Match { MatchId= "</v>
      </c>
      <c r="B415" t="str">
        <f>Matchs!A416</f>
        <v>FIFAWC1990-3</v>
      </c>
      <c r="C415" t="str">
        <f t="shared" si="115"/>
        <v>",MatchNumer=</v>
      </c>
      <c r="D415">
        <f>Matchs!B416</f>
        <v>3</v>
      </c>
      <c r="E415" t="str">
        <f t="shared" si="116"/>
        <v>,DateMatch=DateTime.Parse("</v>
      </c>
      <c r="F415" s="3">
        <f>Matchs!C416</f>
        <v>33033</v>
      </c>
      <c r="G415" s="10" t="str">
        <f t="shared" si="117"/>
        <v>"),TimeMatch=TimeSpan.Parse("</v>
      </c>
      <c r="H415" s="9">
        <f>Matchs!D416</f>
        <v>0.91666666666666663</v>
      </c>
      <c r="I415" t="str">
        <f t="shared" si="118"/>
        <v>"),MatchYear=</v>
      </c>
      <c r="J415">
        <f>Matchs!E416</f>
        <v>1990</v>
      </c>
      <c r="K415" t="str">
        <f t="shared" si="119"/>
        <v>, SeasonId= "</v>
      </c>
      <c r="L415" t="str">
        <f>Matchs!F416</f>
        <v>FIFAWC1990</v>
      </c>
      <c r="M415" t="str">
        <f t="shared" si="120"/>
        <v>",Round= "</v>
      </c>
      <c r="N415" t="str">
        <f>Matchs!G416</f>
        <v>Final Round</v>
      </c>
      <c r="O415" s="6" t="str">
        <f t="shared" si="121"/>
        <v>",Stage= "</v>
      </c>
      <c r="P415" t="str">
        <f>Matchs!H416</f>
        <v>Group</v>
      </c>
      <c r="Q415" s="6" t="str">
        <f t="shared" si="122"/>
        <v>",SubStage= "</v>
      </c>
      <c r="R415" t="str">
        <f>Matchs!I416</f>
        <v xml:space="preserve">Group B </v>
      </c>
      <c r="S415" s="6" t="str">
        <f t="shared" si="123"/>
        <v>",HTeam= "</v>
      </c>
      <c r="T415" t="str">
        <f>Matchs!J416</f>
        <v>Soviet Union</v>
      </c>
      <c r="U415" s="6" t="str">
        <f t="shared" si="124"/>
        <v>",HGoal=</v>
      </c>
      <c r="V415">
        <f>Matchs!K416</f>
        <v>0</v>
      </c>
      <c r="W415" s="6" t="str">
        <f t="shared" si="125"/>
        <v>,GGoal=</v>
      </c>
      <c r="X415">
        <f>Matchs!L416</f>
        <v>2</v>
      </c>
      <c r="Y415" s="6" t="str">
        <f t="shared" si="126"/>
        <v>,GTeam= "</v>
      </c>
      <c r="Z415" t="str">
        <f>Matchs!M416</f>
        <v>Romania</v>
      </c>
      <c r="AA415" s="6" t="str">
        <f t="shared" si="127"/>
        <v>",WinNote="</v>
      </c>
      <c r="AB415" t="str">
        <f>IF(Matchs!N416="","",Matchs!N416)</f>
        <v/>
      </c>
      <c r="AC415" s="6" t="str">
        <f t="shared" si="128"/>
        <v xml:space="preserve">",Stadium=" </v>
      </c>
      <c r="AD415" s="11" t="str">
        <f>Matchs!O416</f>
        <v xml:space="preserve">Stadio San Nicola </v>
      </c>
      <c r="AE415" s="6" t="str">
        <f t="shared" si="129"/>
        <v>",Referee= "</v>
      </c>
      <c r="AF415" s="11" t="str">
        <f>Matchs!P416</f>
        <v xml:space="preserve">Juan Daniel Cardellino </v>
      </c>
      <c r="AG415" s="6" t="str">
        <f t="shared" si="130"/>
        <v xml:space="preserve">",Visistors= </v>
      </c>
      <c r="AH415" s="11">
        <f>Matchs!Q416</f>
        <v>42907</v>
      </c>
      <c r="AI415" s="11" t="str">
        <f t="shared" si="131"/>
        <v>,Status= "</v>
      </c>
      <c r="AJ415" s="11" t="str">
        <f>Matchs!R416</f>
        <v>Finished</v>
      </c>
      <c r="AK415" t="str">
        <f t="shared" si="132"/>
        <v>" },</v>
      </c>
    </row>
    <row r="416" spans="1:37" x14ac:dyDescent="0.25">
      <c r="A416" t="str">
        <f t="shared" si="114"/>
        <v>new Match { MatchId= "</v>
      </c>
      <c r="B416" t="str">
        <f>Matchs!A417</f>
        <v>FIFAWC1990-4</v>
      </c>
      <c r="C416" t="str">
        <f t="shared" si="115"/>
        <v>",MatchNumer=</v>
      </c>
      <c r="D416">
        <f>Matchs!B417</f>
        <v>4</v>
      </c>
      <c r="E416" t="str">
        <f t="shared" si="116"/>
        <v>,DateMatch=DateTime.Parse("</v>
      </c>
      <c r="F416" s="3">
        <f>Matchs!C417</f>
        <v>33034</v>
      </c>
      <c r="G416" s="10" t="str">
        <f t="shared" si="117"/>
        <v>"),TimeMatch=TimeSpan.Parse("</v>
      </c>
      <c r="H416" s="9">
        <f>Matchs!D417</f>
        <v>8.3333333333333329E-2</v>
      </c>
      <c r="I416" t="str">
        <f t="shared" si="118"/>
        <v>"),MatchYear=</v>
      </c>
      <c r="J416">
        <f>Matchs!E417</f>
        <v>1990</v>
      </c>
      <c r="K416" t="str">
        <f t="shared" si="119"/>
        <v>, SeasonId= "</v>
      </c>
      <c r="L416" t="str">
        <f>Matchs!F417</f>
        <v>FIFAWC1990</v>
      </c>
      <c r="M416" t="str">
        <f t="shared" si="120"/>
        <v>",Round= "</v>
      </c>
      <c r="N416" t="str">
        <f>Matchs!G417</f>
        <v>Final Round</v>
      </c>
      <c r="O416" s="6" t="str">
        <f t="shared" si="121"/>
        <v>",Stage= "</v>
      </c>
      <c r="P416" t="str">
        <f>Matchs!H417</f>
        <v>Group</v>
      </c>
      <c r="Q416" s="6" t="str">
        <f t="shared" si="122"/>
        <v>",SubStage= "</v>
      </c>
      <c r="R416" t="str">
        <f>Matchs!I417</f>
        <v xml:space="preserve">Group A </v>
      </c>
      <c r="S416" s="6" t="str">
        <f t="shared" si="123"/>
        <v>",HTeam= "</v>
      </c>
      <c r="T416" t="str">
        <f>Matchs!J417</f>
        <v>Italy</v>
      </c>
      <c r="U416" s="6" t="str">
        <f t="shared" si="124"/>
        <v>",HGoal=</v>
      </c>
      <c r="V416">
        <f>Matchs!K417</f>
        <v>1</v>
      </c>
      <c r="W416" s="6" t="str">
        <f t="shared" si="125"/>
        <v>,GGoal=</v>
      </c>
      <c r="X416">
        <f>Matchs!L417</f>
        <v>0</v>
      </c>
      <c r="Y416" s="6" t="str">
        <f t="shared" si="126"/>
        <v>,GTeam= "</v>
      </c>
      <c r="Z416" t="str">
        <f>Matchs!M417</f>
        <v>Austria</v>
      </c>
      <c r="AA416" s="6" t="str">
        <f t="shared" si="127"/>
        <v>",WinNote="</v>
      </c>
      <c r="AB416" t="str">
        <f>IF(Matchs!N417="","",Matchs!N417)</f>
        <v/>
      </c>
      <c r="AC416" s="6" t="str">
        <f t="shared" si="128"/>
        <v xml:space="preserve">",Stadium=" </v>
      </c>
      <c r="AD416" s="11" t="str">
        <f>Matchs!O417</f>
        <v xml:space="preserve">Stadio Olimpico </v>
      </c>
      <c r="AE416" s="6" t="str">
        <f t="shared" si="129"/>
        <v>",Referee= "</v>
      </c>
      <c r="AF416" s="11" t="str">
        <f>Matchs!P417</f>
        <v xml:space="preserve">José Roberto Wright </v>
      </c>
      <c r="AG416" s="6" t="str">
        <f t="shared" si="130"/>
        <v xml:space="preserve">",Visistors= </v>
      </c>
      <c r="AH416" s="11">
        <f>Matchs!Q417</f>
        <v>73303</v>
      </c>
      <c r="AI416" s="11" t="str">
        <f t="shared" si="131"/>
        <v>,Status= "</v>
      </c>
      <c r="AJ416" s="11" t="str">
        <f>Matchs!R417</f>
        <v>Finished</v>
      </c>
      <c r="AK416" t="str">
        <f t="shared" si="132"/>
        <v>" },</v>
      </c>
    </row>
    <row r="417" spans="1:37" x14ac:dyDescent="0.25">
      <c r="A417" t="str">
        <f t="shared" si="114"/>
        <v>new Match { MatchId= "</v>
      </c>
      <c r="B417" t="str">
        <f>Matchs!A418</f>
        <v>FIFAWC1990-5</v>
      </c>
      <c r="C417" t="str">
        <f t="shared" si="115"/>
        <v>",MatchNumer=</v>
      </c>
      <c r="D417">
        <f>Matchs!B418</f>
        <v>5</v>
      </c>
      <c r="E417" t="str">
        <f t="shared" si="116"/>
        <v>,DateMatch=DateTime.Parse("</v>
      </c>
      <c r="F417" s="3">
        <f>Matchs!C418</f>
        <v>33034</v>
      </c>
      <c r="G417" s="10" t="str">
        <f t="shared" si="117"/>
        <v>"),TimeMatch=TimeSpan.Parse("</v>
      </c>
      <c r="H417" s="9">
        <f>Matchs!D418</f>
        <v>0.91666666666666663</v>
      </c>
      <c r="I417" t="str">
        <f t="shared" si="118"/>
        <v>"),MatchYear=</v>
      </c>
      <c r="J417">
        <f>Matchs!E418</f>
        <v>1990</v>
      </c>
      <c r="K417" t="str">
        <f t="shared" si="119"/>
        <v>, SeasonId= "</v>
      </c>
      <c r="L417" t="str">
        <f>Matchs!F418</f>
        <v>FIFAWC1990</v>
      </c>
      <c r="M417" t="str">
        <f t="shared" si="120"/>
        <v>",Round= "</v>
      </c>
      <c r="N417" t="str">
        <f>Matchs!G418</f>
        <v>Final Round</v>
      </c>
      <c r="O417" s="6" t="str">
        <f t="shared" si="121"/>
        <v>",Stage= "</v>
      </c>
      <c r="P417" t="str">
        <f>Matchs!H418</f>
        <v>Group</v>
      </c>
      <c r="Q417" s="6" t="str">
        <f t="shared" si="122"/>
        <v>",SubStage= "</v>
      </c>
      <c r="R417" t="str">
        <f>Matchs!I418</f>
        <v xml:space="preserve">Group A </v>
      </c>
      <c r="S417" s="6" t="str">
        <f t="shared" si="123"/>
        <v>",HTeam= "</v>
      </c>
      <c r="T417" t="str">
        <f>Matchs!J418</f>
        <v>USA</v>
      </c>
      <c r="U417" s="6" t="str">
        <f t="shared" si="124"/>
        <v>",HGoal=</v>
      </c>
      <c r="V417">
        <f>Matchs!K418</f>
        <v>1</v>
      </c>
      <c r="W417" s="6" t="str">
        <f t="shared" si="125"/>
        <v>,GGoal=</v>
      </c>
      <c r="X417">
        <f>Matchs!L418</f>
        <v>5</v>
      </c>
      <c r="Y417" s="6" t="str">
        <f t="shared" si="126"/>
        <v>,GTeam= "</v>
      </c>
      <c r="Z417" t="str">
        <f>Matchs!M418</f>
        <v>Czechoslovakia</v>
      </c>
      <c r="AA417" s="6" t="str">
        <f t="shared" si="127"/>
        <v>",WinNote="</v>
      </c>
      <c r="AB417" t="str">
        <f>IF(Matchs!N418="","",Matchs!N418)</f>
        <v/>
      </c>
      <c r="AC417" s="6" t="str">
        <f t="shared" si="128"/>
        <v xml:space="preserve">",Stadium=" </v>
      </c>
      <c r="AD417" s="11" t="str">
        <f>Matchs!O418</f>
        <v xml:space="preserve">Stadio Artemio Franchi </v>
      </c>
      <c r="AE417" s="6" t="str">
        <f t="shared" si="129"/>
        <v>",Referee= "</v>
      </c>
      <c r="AF417" s="11" t="str">
        <f>Matchs!P418</f>
        <v xml:space="preserve">Kurt Röthlisberger </v>
      </c>
      <c r="AG417" s="6" t="str">
        <f t="shared" si="130"/>
        <v xml:space="preserve">",Visistors= </v>
      </c>
      <c r="AH417" s="11">
        <f>Matchs!Q418</f>
        <v>33266</v>
      </c>
      <c r="AI417" s="11" t="str">
        <f t="shared" si="131"/>
        <v>,Status= "</v>
      </c>
      <c r="AJ417" s="11" t="str">
        <f>Matchs!R418</f>
        <v>Finished</v>
      </c>
      <c r="AK417" t="str">
        <f t="shared" si="132"/>
        <v>" },</v>
      </c>
    </row>
    <row r="418" spans="1:37" x14ac:dyDescent="0.25">
      <c r="A418" t="str">
        <f t="shared" si="114"/>
        <v>new Match { MatchId= "</v>
      </c>
      <c r="B418" t="str">
        <f>Matchs!A419</f>
        <v>FIFAWC1990-6</v>
      </c>
      <c r="C418" t="str">
        <f t="shared" si="115"/>
        <v>",MatchNumer=</v>
      </c>
      <c r="D418">
        <f>Matchs!B419</f>
        <v>6</v>
      </c>
      <c r="E418" t="str">
        <f t="shared" si="116"/>
        <v>,DateMatch=DateTime.Parse("</v>
      </c>
      <c r="F418" s="3">
        <f>Matchs!C419</f>
        <v>33035</v>
      </c>
      <c r="G418" s="10" t="str">
        <f t="shared" si="117"/>
        <v>"),TimeMatch=TimeSpan.Parse("</v>
      </c>
      <c r="H418" s="9">
        <f>Matchs!D419</f>
        <v>8.3333333333333329E-2</v>
      </c>
      <c r="I418" t="str">
        <f t="shared" si="118"/>
        <v>"),MatchYear=</v>
      </c>
      <c r="J418">
        <f>Matchs!E419</f>
        <v>1990</v>
      </c>
      <c r="K418" t="str">
        <f t="shared" si="119"/>
        <v>, SeasonId= "</v>
      </c>
      <c r="L418" t="str">
        <f>Matchs!F419</f>
        <v>FIFAWC1990</v>
      </c>
      <c r="M418" t="str">
        <f t="shared" si="120"/>
        <v>",Round= "</v>
      </c>
      <c r="N418" t="str">
        <f>Matchs!G419</f>
        <v>Final Round</v>
      </c>
      <c r="O418" s="6" t="str">
        <f t="shared" si="121"/>
        <v>",Stage= "</v>
      </c>
      <c r="P418" t="str">
        <f>Matchs!H419</f>
        <v>Group</v>
      </c>
      <c r="Q418" s="6" t="str">
        <f t="shared" si="122"/>
        <v>",SubStage= "</v>
      </c>
      <c r="R418" t="str">
        <f>Matchs!I419</f>
        <v xml:space="preserve">Group C </v>
      </c>
      <c r="S418" s="6" t="str">
        <f t="shared" si="123"/>
        <v>",HTeam= "</v>
      </c>
      <c r="T418" t="str">
        <f>Matchs!J419</f>
        <v>Brazil</v>
      </c>
      <c r="U418" s="6" t="str">
        <f t="shared" si="124"/>
        <v>",HGoal=</v>
      </c>
      <c r="V418">
        <f>Matchs!K419</f>
        <v>2</v>
      </c>
      <c r="W418" s="6" t="str">
        <f t="shared" si="125"/>
        <v>,GGoal=</v>
      </c>
      <c r="X418">
        <f>Matchs!L419</f>
        <v>1</v>
      </c>
      <c r="Y418" s="6" t="str">
        <f t="shared" si="126"/>
        <v>,GTeam= "</v>
      </c>
      <c r="Z418" t="str">
        <f>Matchs!M419</f>
        <v>Sweden</v>
      </c>
      <c r="AA418" s="6" t="str">
        <f t="shared" si="127"/>
        <v>",WinNote="</v>
      </c>
      <c r="AB418" t="str">
        <f>IF(Matchs!N419="","",Matchs!N419)</f>
        <v/>
      </c>
      <c r="AC418" s="6" t="str">
        <f t="shared" si="128"/>
        <v xml:space="preserve">",Stadium=" </v>
      </c>
      <c r="AD418" s="11" t="str">
        <f>Matchs!O419</f>
        <v xml:space="preserve">Stadio delle Alpi </v>
      </c>
      <c r="AE418" s="6" t="str">
        <f t="shared" si="129"/>
        <v>",Referee= "</v>
      </c>
      <c r="AF418" s="11" t="str">
        <f>Matchs!P419</f>
        <v xml:space="preserve">Tullio Lanese </v>
      </c>
      <c r="AG418" s="6" t="str">
        <f t="shared" si="130"/>
        <v xml:space="preserve">",Visistors= </v>
      </c>
      <c r="AH418" s="11">
        <f>Matchs!Q419</f>
        <v>62628</v>
      </c>
      <c r="AI418" s="11" t="str">
        <f t="shared" si="131"/>
        <v>,Status= "</v>
      </c>
      <c r="AJ418" s="11" t="str">
        <f>Matchs!R419</f>
        <v>Finished</v>
      </c>
      <c r="AK418" t="str">
        <f t="shared" si="132"/>
        <v>" },</v>
      </c>
    </row>
    <row r="419" spans="1:37" x14ac:dyDescent="0.25">
      <c r="A419" t="str">
        <f t="shared" si="114"/>
        <v>new Match { MatchId= "</v>
      </c>
      <c r="B419" t="str">
        <f>Matchs!A420</f>
        <v>FIFAWC1990-7</v>
      </c>
      <c r="C419" t="str">
        <f t="shared" si="115"/>
        <v>",MatchNumer=</v>
      </c>
      <c r="D419">
        <f>Matchs!B420</f>
        <v>7</v>
      </c>
      <c r="E419" t="str">
        <f t="shared" si="116"/>
        <v>,DateMatch=DateTime.Parse("</v>
      </c>
      <c r="F419" s="3">
        <f>Matchs!C420</f>
        <v>33035</v>
      </c>
      <c r="G419" s="10" t="str">
        <f t="shared" si="117"/>
        <v>"),TimeMatch=TimeSpan.Parse("</v>
      </c>
      <c r="H419" s="9">
        <f>Matchs!D420</f>
        <v>8.3333333333333329E-2</v>
      </c>
      <c r="I419" t="str">
        <f t="shared" si="118"/>
        <v>"),MatchYear=</v>
      </c>
      <c r="J419">
        <f>Matchs!E420</f>
        <v>1990</v>
      </c>
      <c r="K419" t="str">
        <f t="shared" si="119"/>
        <v>, SeasonId= "</v>
      </c>
      <c r="L419" t="str">
        <f>Matchs!F420</f>
        <v>FIFAWC1990</v>
      </c>
      <c r="M419" t="str">
        <f t="shared" si="120"/>
        <v>",Round= "</v>
      </c>
      <c r="N419" t="str">
        <f>Matchs!G420</f>
        <v>Final Round</v>
      </c>
      <c r="O419" s="6" t="str">
        <f t="shared" si="121"/>
        <v>",Stage= "</v>
      </c>
      <c r="P419" t="str">
        <f>Matchs!H420</f>
        <v>Group</v>
      </c>
      <c r="Q419" s="6" t="str">
        <f t="shared" si="122"/>
        <v>",SubStage= "</v>
      </c>
      <c r="R419" t="str">
        <f>Matchs!I420</f>
        <v xml:space="preserve">Group D </v>
      </c>
      <c r="S419" s="6" t="str">
        <f t="shared" si="123"/>
        <v>",HTeam= "</v>
      </c>
      <c r="T419" t="str">
        <f>Matchs!J420</f>
        <v>Germany</v>
      </c>
      <c r="U419" s="6" t="str">
        <f t="shared" si="124"/>
        <v>",HGoal=</v>
      </c>
      <c r="V419">
        <f>Matchs!K420</f>
        <v>4</v>
      </c>
      <c r="W419" s="6" t="str">
        <f t="shared" si="125"/>
        <v>,GGoal=</v>
      </c>
      <c r="X419">
        <f>Matchs!L420</f>
        <v>1</v>
      </c>
      <c r="Y419" s="6" t="str">
        <f t="shared" si="126"/>
        <v>,GTeam= "</v>
      </c>
      <c r="Z419" t="str">
        <f>Matchs!M420</f>
        <v>Yugoslavia</v>
      </c>
      <c r="AA419" s="6" t="str">
        <f t="shared" si="127"/>
        <v>",WinNote="</v>
      </c>
      <c r="AB419" t="str">
        <f>IF(Matchs!N420="","",Matchs!N420)</f>
        <v/>
      </c>
      <c r="AC419" s="6" t="str">
        <f t="shared" si="128"/>
        <v xml:space="preserve">",Stadium=" </v>
      </c>
      <c r="AD419" s="11" t="str">
        <f>Matchs!O420</f>
        <v xml:space="preserve">San Siro </v>
      </c>
      <c r="AE419" s="6" t="str">
        <f t="shared" si="129"/>
        <v>",Referee= "</v>
      </c>
      <c r="AF419" s="11" t="str">
        <f>Matchs!P420</f>
        <v xml:space="preserve">Peter Mikkelsen </v>
      </c>
      <c r="AG419" s="6" t="str">
        <f t="shared" si="130"/>
        <v xml:space="preserve">",Visistors= </v>
      </c>
      <c r="AH419" s="11">
        <f>Matchs!Q420</f>
        <v>74765</v>
      </c>
      <c r="AI419" s="11" t="str">
        <f t="shared" si="131"/>
        <v>,Status= "</v>
      </c>
      <c r="AJ419" s="11" t="str">
        <f>Matchs!R420</f>
        <v>Finished</v>
      </c>
      <c r="AK419" t="str">
        <f t="shared" si="132"/>
        <v>" },</v>
      </c>
    </row>
    <row r="420" spans="1:37" x14ac:dyDescent="0.25">
      <c r="A420" t="str">
        <f t="shared" si="114"/>
        <v>new Match { MatchId= "</v>
      </c>
      <c r="B420" t="str">
        <f>Matchs!A421</f>
        <v>FIFAWC1990-8</v>
      </c>
      <c r="C420" t="str">
        <f t="shared" si="115"/>
        <v>",MatchNumer=</v>
      </c>
      <c r="D420">
        <f>Matchs!B421</f>
        <v>8</v>
      </c>
      <c r="E420" t="str">
        <f t="shared" si="116"/>
        <v>,DateMatch=DateTime.Parse("</v>
      </c>
      <c r="F420" s="3">
        <f>Matchs!C421</f>
        <v>33035</v>
      </c>
      <c r="G420" s="10" t="str">
        <f t="shared" si="117"/>
        <v>"),TimeMatch=TimeSpan.Parse("</v>
      </c>
      <c r="H420" s="9">
        <f>Matchs!D421</f>
        <v>0.91666666666666663</v>
      </c>
      <c r="I420" t="str">
        <f t="shared" si="118"/>
        <v>"),MatchYear=</v>
      </c>
      <c r="J420">
        <f>Matchs!E421</f>
        <v>1990</v>
      </c>
      <c r="K420" t="str">
        <f t="shared" si="119"/>
        <v>, SeasonId= "</v>
      </c>
      <c r="L420" t="str">
        <f>Matchs!F421</f>
        <v>FIFAWC1990</v>
      </c>
      <c r="M420" t="str">
        <f t="shared" si="120"/>
        <v>",Round= "</v>
      </c>
      <c r="N420" t="str">
        <f>Matchs!G421</f>
        <v>Final Round</v>
      </c>
      <c r="O420" s="6" t="str">
        <f t="shared" si="121"/>
        <v>",Stage= "</v>
      </c>
      <c r="P420" t="str">
        <f>Matchs!H421</f>
        <v>Group</v>
      </c>
      <c r="Q420" s="6" t="str">
        <f t="shared" si="122"/>
        <v>",SubStage= "</v>
      </c>
      <c r="R420" t="str">
        <f>Matchs!I421</f>
        <v xml:space="preserve">Group C </v>
      </c>
      <c r="S420" s="6" t="str">
        <f t="shared" si="123"/>
        <v>",HTeam= "</v>
      </c>
      <c r="T420" t="str">
        <f>Matchs!J421</f>
        <v>Costa Rica</v>
      </c>
      <c r="U420" s="6" t="str">
        <f t="shared" si="124"/>
        <v>",HGoal=</v>
      </c>
      <c r="V420">
        <f>Matchs!K421</f>
        <v>1</v>
      </c>
      <c r="W420" s="6" t="str">
        <f t="shared" si="125"/>
        <v>,GGoal=</v>
      </c>
      <c r="X420">
        <f>Matchs!L421</f>
        <v>0</v>
      </c>
      <c r="Y420" s="6" t="str">
        <f t="shared" si="126"/>
        <v>,GTeam= "</v>
      </c>
      <c r="Z420" t="str">
        <f>Matchs!M421</f>
        <v>Scotland</v>
      </c>
      <c r="AA420" s="6" t="str">
        <f t="shared" si="127"/>
        <v>",WinNote="</v>
      </c>
      <c r="AB420" t="str">
        <f>IF(Matchs!N421="","",Matchs!N421)</f>
        <v/>
      </c>
      <c r="AC420" s="6" t="str">
        <f t="shared" si="128"/>
        <v xml:space="preserve">",Stadium=" </v>
      </c>
      <c r="AD420" s="11" t="str">
        <f>Matchs!O421</f>
        <v xml:space="preserve">Stadio Luigi Ferraris </v>
      </c>
      <c r="AE420" s="6" t="str">
        <f t="shared" si="129"/>
        <v>",Referee= "</v>
      </c>
      <c r="AF420" s="11" t="str">
        <f>Matchs!P421</f>
        <v xml:space="preserve">Juan Carlos Loustau </v>
      </c>
      <c r="AG420" s="6" t="str">
        <f t="shared" si="130"/>
        <v xml:space="preserve">",Visistors= </v>
      </c>
      <c r="AH420" s="11">
        <f>Matchs!Q421</f>
        <v>30867</v>
      </c>
      <c r="AI420" s="11" t="str">
        <f t="shared" si="131"/>
        <v>,Status= "</v>
      </c>
      <c r="AJ420" s="11" t="str">
        <f>Matchs!R421</f>
        <v>Finished</v>
      </c>
      <c r="AK420" t="str">
        <f t="shared" si="132"/>
        <v>" },</v>
      </c>
    </row>
    <row r="421" spans="1:37" x14ac:dyDescent="0.25">
      <c r="A421" t="str">
        <f t="shared" si="114"/>
        <v>new Match { MatchId= "</v>
      </c>
      <c r="B421" t="str">
        <f>Matchs!A422</f>
        <v>FIFAWC1990-9</v>
      </c>
      <c r="C421" t="str">
        <f t="shared" si="115"/>
        <v>",MatchNumer=</v>
      </c>
      <c r="D421">
        <f>Matchs!B422</f>
        <v>9</v>
      </c>
      <c r="E421" t="str">
        <f t="shared" si="116"/>
        <v>,DateMatch=DateTime.Parse("</v>
      </c>
      <c r="F421" s="3">
        <f>Matchs!C422</f>
        <v>33036</v>
      </c>
      <c r="G421" s="10" t="str">
        <f t="shared" si="117"/>
        <v>"),TimeMatch=TimeSpan.Parse("</v>
      </c>
      <c r="H421" s="9">
        <f>Matchs!D422</f>
        <v>8.3333333333333329E-2</v>
      </c>
      <c r="I421" t="str">
        <f t="shared" si="118"/>
        <v>"),MatchYear=</v>
      </c>
      <c r="J421">
        <f>Matchs!E422</f>
        <v>1990</v>
      </c>
      <c r="K421" t="str">
        <f t="shared" si="119"/>
        <v>, SeasonId= "</v>
      </c>
      <c r="L421" t="str">
        <f>Matchs!F422</f>
        <v>FIFAWC1990</v>
      </c>
      <c r="M421" t="str">
        <f t="shared" si="120"/>
        <v>",Round= "</v>
      </c>
      <c r="N421" t="str">
        <f>Matchs!G422</f>
        <v>Final Round</v>
      </c>
      <c r="O421" s="6" t="str">
        <f t="shared" si="121"/>
        <v>",Stage= "</v>
      </c>
      <c r="P421" t="str">
        <f>Matchs!H422</f>
        <v>Group</v>
      </c>
      <c r="Q421" s="6" t="str">
        <f t="shared" si="122"/>
        <v>",SubStage= "</v>
      </c>
      <c r="R421" t="str">
        <f>Matchs!I422</f>
        <v xml:space="preserve">Group F </v>
      </c>
      <c r="S421" s="6" t="str">
        <f t="shared" si="123"/>
        <v>",HTeam= "</v>
      </c>
      <c r="T421" t="str">
        <f>Matchs!J422</f>
        <v>England</v>
      </c>
      <c r="U421" s="6" t="str">
        <f t="shared" si="124"/>
        <v>",HGoal=</v>
      </c>
      <c r="V421">
        <f>Matchs!K422</f>
        <v>1</v>
      </c>
      <c r="W421" s="6" t="str">
        <f t="shared" si="125"/>
        <v>,GGoal=</v>
      </c>
      <c r="X421">
        <f>Matchs!L422</f>
        <v>1</v>
      </c>
      <c r="Y421" s="6" t="str">
        <f t="shared" si="126"/>
        <v>,GTeam= "</v>
      </c>
      <c r="Z421" t="str">
        <f>Matchs!M422</f>
        <v>Republic of Ireland</v>
      </c>
      <c r="AA421" s="6" t="str">
        <f t="shared" si="127"/>
        <v>",WinNote="</v>
      </c>
      <c r="AB421" t="str">
        <f>IF(Matchs!N422="","",Matchs!N422)</f>
        <v/>
      </c>
      <c r="AC421" s="6" t="str">
        <f t="shared" si="128"/>
        <v xml:space="preserve">",Stadium=" </v>
      </c>
      <c r="AD421" s="11" t="str">
        <f>Matchs!O422</f>
        <v xml:space="preserve">Stadio Sant'Elia </v>
      </c>
      <c r="AE421" s="6" t="str">
        <f t="shared" si="129"/>
        <v>",Referee= "</v>
      </c>
      <c r="AF421" s="11" t="str">
        <f>Matchs!P422</f>
        <v xml:space="preserve">Aron Schmidhuber </v>
      </c>
      <c r="AG421" s="6" t="str">
        <f t="shared" si="130"/>
        <v xml:space="preserve">",Visistors= </v>
      </c>
      <c r="AH421" s="11">
        <f>Matchs!Q422</f>
        <v>35238</v>
      </c>
      <c r="AI421" s="11" t="str">
        <f t="shared" si="131"/>
        <v>,Status= "</v>
      </c>
      <c r="AJ421" s="11" t="str">
        <f>Matchs!R422</f>
        <v>Finished</v>
      </c>
      <c r="AK421" t="str">
        <f t="shared" si="132"/>
        <v>" },</v>
      </c>
    </row>
    <row r="422" spans="1:37" x14ac:dyDescent="0.25">
      <c r="A422" t="str">
        <f t="shared" si="114"/>
        <v>new Match { MatchId= "</v>
      </c>
      <c r="B422" t="str">
        <f>Matchs!A423</f>
        <v>FIFAWC1990-10</v>
      </c>
      <c r="C422" t="str">
        <f t="shared" si="115"/>
        <v>",MatchNumer=</v>
      </c>
      <c r="D422">
        <f>Matchs!B423</f>
        <v>10</v>
      </c>
      <c r="E422" t="str">
        <f t="shared" si="116"/>
        <v>,DateMatch=DateTime.Parse("</v>
      </c>
      <c r="F422" s="3">
        <f>Matchs!C423</f>
        <v>33036</v>
      </c>
      <c r="G422" s="10" t="str">
        <f t="shared" si="117"/>
        <v>"),TimeMatch=TimeSpan.Parse("</v>
      </c>
      <c r="H422" s="9">
        <f>Matchs!D423</f>
        <v>0.91666666666666663</v>
      </c>
      <c r="I422" t="str">
        <f t="shared" si="118"/>
        <v>"),MatchYear=</v>
      </c>
      <c r="J422">
        <f>Matchs!E423</f>
        <v>1990</v>
      </c>
      <c r="K422" t="str">
        <f t="shared" si="119"/>
        <v>, SeasonId= "</v>
      </c>
      <c r="L422" t="str">
        <f>Matchs!F423</f>
        <v>FIFAWC1990</v>
      </c>
      <c r="M422" t="str">
        <f t="shared" si="120"/>
        <v>",Round= "</v>
      </c>
      <c r="N422" t="str">
        <f>Matchs!G423</f>
        <v>Final Round</v>
      </c>
      <c r="O422" s="6" t="str">
        <f t="shared" si="121"/>
        <v>",Stage= "</v>
      </c>
      <c r="P422" t="str">
        <f>Matchs!H423</f>
        <v>Group</v>
      </c>
      <c r="Q422" s="6" t="str">
        <f t="shared" si="122"/>
        <v>",SubStage= "</v>
      </c>
      <c r="R422" t="str">
        <f>Matchs!I423</f>
        <v xml:space="preserve">Group E </v>
      </c>
      <c r="S422" s="6" t="str">
        <f t="shared" si="123"/>
        <v>",HTeam= "</v>
      </c>
      <c r="T422" t="str">
        <f>Matchs!J423</f>
        <v>Belgium</v>
      </c>
      <c r="U422" s="6" t="str">
        <f t="shared" si="124"/>
        <v>",HGoal=</v>
      </c>
      <c r="V422">
        <f>Matchs!K423</f>
        <v>2</v>
      </c>
      <c r="W422" s="6" t="str">
        <f t="shared" si="125"/>
        <v>,GGoal=</v>
      </c>
      <c r="X422">
        <f>Matchs!L423</f>
        <v>0</v>
      </c>
      <c r="Y422" s="6" t="str">
        <f t="shared" si="126"/>
        <v>,GTeam= "</v>
      </c>
      <c r="Z422" t="str">
        <f>Matchs!M423</f>
        <v>South Korea</v>
      </c>
      <c r="AA422" s="6" t="str">
        <f t="shared" si="127"/>
        <v>",WinNote="</v>
      </c>
      <c r="AB422" t="str">
        <f>IF(Matchs!N423="","",Matchs!N423)</f>
        <v/>
      </c>
      <c r="AC422" s="6" t="str">
        <f t="shared" si="128"/>
        <v xml:space="preserve">",Stadium=" </v>
      </c>
      <c r="AD422" s="11" t="str">
        <f>Matchs!O423</f>
        <v xml:space="preserve">Stadio Marc'Antonio Bentegodi </v>
      </c>
      <c r="AE422" s="6" t="str">
        <f t="shared" si="129"/>
        <v>",Referee= "</v>
      </c>
      <c r="AF422" s="11" t="str">
        <f>Matchs!P423</f>
        <v xml:space="preserve">Vince Mauro </v>
      </c>
      <c r="AG422" s="6" t="str">
        <f t="shared" si="130"/>
        <v xml:space="preserve">",Visistors= </v>
      </c>
      <c r="AH422" s="11">
        <f>Matchs!Q423</f>
        <v>32790</v>
      </c>
      <c r="AI422" s="11" t="str">
        <f t="shared" si="131"/>
        <v>,Status= "</v>
      </c>
      <c r="AJ422" s="11" t="str">
        <f>Matchs!R423</f>
        <v>Finished</v>
      </c>
      <c r="AK422" t="str">
        <f t="shared" si="132"/>
        <v>" },</v>
      </c>
    </row>
    <row r="423" spans="1:37" x14ac:dyDescent="0.25">
      <c r="A423" t="str">
        <f t="shared" si="114"/>
        <v>new Match { MatchId= "</v>
      </c>
      <c r="B423" t="str">
        <f>Matchs!A424</f>
        <v>FIFAWC1990-11</v>
      </c>
      <c r="C423" t="str">
        <f t="shared" si="115"/>
        <v>",MatchNumer=</v>
      </c>
      <c r="D423">
        <f>Matchs!B424</f>
        <v>11</v>
      </c>
      <c r="E423" t="str">
        <f t="shared" si="116"/>
        <v>,DateMatch=DateTime.Parse("</v>
      </c>
      <c r="F423" s="3">
        <f>Matchs!C424</f>
        <v>33037</v>
      </c>
      <c r="G423" s="10" t="str">
        <f t="shared" si="117"/>
        <v>"),TimeMatch=TimeSpan.Parse("</v>
      </c>
      <c r="H423" s="9">
        <f>Matchs!D424</f>
        <v>8.3333333333333329E-2</v>
      </c>
      <c r="I423" t="str">
        <f t="shared" si="118"/>
        <v>"),MatchYear=</v>
      </c>
      <c r="J423">
        <f>Matchs!E424</f>
        <v>1990</v>
      </c>
      <c r="K423" t="str">
        <f t="shared" si="119"/>
        <v>, SeasonId= "</v>
      </c>
      <c r="L423" t="str">
        <f>Matchs!F424</f>
        <v>FIFAWC1990</v>
      </c>
      <c r="M423" t="str">
        <f t="shared" si="120"/>
        <v>",Round= "</v>
      </c>
      <c r="N423" t="str">
        <f>Matchs!G424</f>
        <v>Final Round</v>
      </c>
      <c r="O423" s="6" t="str">
        <f t="shared" si="121"/>
        <v>",Stage= "</v>
      </c>
      <c r="P423" t="str">
        <f>Matchs!H424</f>
        <v>Group</v>
      </c>
      <c r="Q423" s="6" t="str">
        <f t="shared" si="122"/>
        <v>",SubStage= "</v>
      </c>
      <c r="R423" t="str">
        <f>Matchs!I424</f>
        <v xml:space="preserve">Group F </v>
      </c>
      <c r="S423" s="6" t="str">
        <f t="shared" si="123"/>
        <v>",HTeam= "</v>
      </c>
      <c r="T423" t="str">
        <f>Matchs!J424</f>
        <v>Netherlands</v>
      </c>
      <c r="U423" s="6" t="str">
        <f t="shared" si="124"/>
        <v>",HGoal=</v>
      </c>
      <c r="V423">
        <f>Matchs!K424</f>
        <v>1</v>
      </c>
      <c r="W423" s="6" t="str">
        <f t="shared" si="125"/>
        <v>,GGoal=</v>
      </c>
      <c r="X423">
        <f>Matchs!L424</f>
        <v>1</v>
      </c>
      <c r="Y423" s="6" t="str">
        <f t="shared" si="126"/>
        <v>,GTeam= "</v>
      </c>
      <c r="Z423" t="str">
        <f>Matchs!M424</f>
        <v>Egypt</v>
      </c>
      <c r="AA423" s="6" t="str">
        <f t="shared" si="127"/>
        <v>",WinNote="</v>
      </c>
      <c r="AB423" t="str">
        <f>IF(Matchs!N424="","",Matchs!N424)</f>
        <v/>
      </c>
      <c r="AC423" s="6" t="str">
        <f t="shared" si="128"/>
        <v xml:space="preserve">",Stadium=" </v>
      </c>
      <c r="AD423" s="11" t="str">
        <f>Matchs!O424</f>
        <v xml:space="preserve">Stadio Renzo Barbera </v>
      </c>
      <c r="AE423" s="6" t="str">
        <f t="shared" si="129"/>
        <v>",Referee= "</v>
      </c>
      <c r="AF423" s="11" t="str">
        <f>Matchs!P424</f>
        <v xml:space="preserve">Emilio Soriano Aladren </v>
      </c>
      <c r="AG423" s="6" t="str">
        <f t="shared" si="130"/>
        <v xml:space="preserve">",Visistors= </v>
      </c>
      <c r="AH423" s="11">
        <f>Matchs!Q424</f>
        <v>33421</v>
      </c>
      <c r="AI423" s="11" t="str">
        <f t="shared" si="131"/>
        <v>,Status= "</v>
      </c>
      <c r="AJ423" s="11" t="str">
        <f>Matchs!R424</f>
        <v>Finished</v>
      </c>
      <c r="AK423" t="str">
        <f t="shared" si="132"/>
        <v>" },</v>
      </c>
    </row>
    <row r="424" spans="1:37" x14ac:dyDescent="0.25">
      <c r="A424" t="str">
        <f t="shared" si="114"/>
        <v>new Match { MatchId= "</v>
      </c>
      <c r="B424" t="str">
        <f>Matchs!A425</f>
        <v>FIFAWC1990-12</v>
      </c>
      <c r="C424" t="str">
        <f t="shared" si="115"/>
        <v>",MatchNumer=</v>
      </c>
      <c r="D424">
        <f>Matchs!B425</f>
        <v>12</v>
      </c>
      <c r="E424" t="str">
        <f t="shared" si="116"/>
        <v>,DateMatch=DateTime.Parse("</v>
      </c>
      <c r="F424" s="3">
        <f>Matchs!C425</f>
        <v>33037</v>
      </c>
      <c r="G424" s="10" t="str">
        <f t="shared" si="117"/>
        <v>"),TimeMatch=TimeSpan.Parse("</v>
      </c>
      <c r="H424" s="9">
        <f>Matchs!D425</f>
        <v>0.91666666666666663</v>
      </c>
      <c r="I424" t="str">
        <f t="shared" si="118"/>
        <v>"),MatchYear=</v>
      </c>
      <c r="J424">
        <f>Matchs!E425</f>
        <v>1990</v>
      </c>
      <c r="K424" t="str">
        <f t="shared" si="119"/>
        <v>, SeasonId= "</v>
      </c>
      <c r="L424" t="str">
        <f>Matchs!F425</f>
        <v>FIFAWC1990</v>
      </c>
      <c r="M424" t="str">
        <f t="shared" si="120"/>
        <v>",Round= "</v>
      </c>
      <c r="N424" t="str">
        <f>Matchs!G425</f>
        <v>Final Round</v>
      </c>
      <c r="O424" s="6" t="str">
        <f t="shared" si="121"/>
        <v>",Stage= "</v>
      </c>
      <c r="P424" t="str">
        <f>Matchs!H425</f>
        <v>Group</v>
      </c>
      <c r="Q424" s="6" t="str">
        <f t="shared" si="122"/>
        <v>",SubStage= "</v>
      </c>
      <c r="R424" t="str">
        <f>Matchs!I425</f>
        <v xml:space="preserve">Group E </v>
      </c>
      <c r="S424" s="6" t="str">
        <f t="shared" si="123"/>
        <v>",HTeam= "</v>
      </c>
      <c r="T424" t="str">
        <f>Matchs!J425</f>
        <v>Uruguay</v>
      </c>
      <c r="U424" s="6" t="str">
        <f t="shared" si="124"/>
        <v>",HGoal=</v>
      </c>
      <c r="V424">
        <f>Matchs!K425</f>
        <v>0</v>
      </c>
      <c r="W424" s="6" t="str">
        <f t="shared" si="125"/>
        <v>,GGoal=</v>
      </c>
      <c r="X424">
        <f>Matchs!L425</f>
        <v>0</v>
      </c>
      <c r="Y424" s="6" t="str">
        <f t="shared" si="126"/>
        <v>,GTeam= "</v>
      </c>
      <c r="Z424" t="str">
        <f>Matchs!M425</f>
        <v>Spain</v>
      </c>
      <c r="AA424" s="6" t="str">
        <f t="shared" si="127"/>
        <v>",WinNote="</v>
      </c>
      <c r="AB424" t="str">
        <f>IF(Matchs!N425="","",Matchs!N425)</f>
        <v/>
      </c>
      <c r="AC424" s="6" t="str">
        <f t="shared" si="128"/>
        <v xml:space="preserve">",Stadium=" </v>
      </c>
      <c r="AD424" s="11" t="str">
        <f>Matchs!O425</f>
        <v xml:space="preserve">Stadio Friuli </v>
      </c>
      <c r="AE424" s="6" t="str">
        <f t="shared" si="129"/>
        <v>",Referee= "</v>
      </c>
      <c r="AF424" s="11" t="str">
        <f>Matchs!P425</f>
        <v xml:space="preserve">Helmut Kohl </v>
      </c>
      <c r="AG424" s="6" t="str">
        <f t="shared" si="130"/>
        <v xml:space="preserve">",Visistors= </v>
      </c>
      <c r="AH424" s="11">
        <f>Matchs!Q425</f>
        <v>35713</v>
      </c>
      <c r="AI424" s="11" t="str">
        <f t="shared" si="131"/>
        <v>,Status= "</v>
      </c>
      <c r="AJ424" s="11" t="str">
        <f>Matchs!R425</f>
        <v>Finished</v>
      </c>
      <c r="AK424" t="str">
        <f t="shared" si="132"/>
        <v>" },</v>
      </c>
    </row>
    <row r="425" spans="1:37" x14ac:dyDescent="0.25">
      <c r="A425" t="str">
        <f t="shared" si="114"/>
        <v>new Match { MatchId= "</v>
      </c>
      <c r="B425" t="str">
        <f>Matchs!A426</f>
        <v>FIFAWC1990-13</v>
      </c>
      <c r="C425" t="str">
        <f t="shared" si="115"/>
        <v>",MatchNumer=</v>
      </c>
      <c r="D425">
        <f>Matchs!B426</f>
        <v>13</v>
      </c>
      <c r="E425" t="str">
        <f t="shared" si="116"/>
        <v>,DateMatch=DateTime.Parse("</v>
      </c>
      <c r="F425" s="3">
        <f>Matchs!C426</f>
        <v>33038</v>
      </c>
      <c r="G425" s="10" t="str">
        <f t="shared" si="117"/>
        <v>"),TimeMatch=TimeSpan.Parse("</v>
      </c>
      <c r="H425" s="9">
        <f>Matchs!D426</f>
        <v>8.3333333333333329E-2</v>
      </c>
      <c r="I425" t="str">
        <f t="shared" si="118"/>
        <v>"),MatchYear=</v>
      </c>
      <c r="J425">
        <f>Matchs!E426</f>
        <v>1990</v>
      </c>
      <c r="K425" t="str">
        <f t="shared" si="119"/>
        <v>, SeasonId= "</v>
      </c>
      <c r="L425" t="str">
        <f>Matchs!F426</f>
        <v>FIFAWC1990</v>
      </c>
      <c r="M425" t="str">
        <f t="shared" si="120"/>
        <v>",Round= "</v>
      </c>
      <c r="N425" t="str">
        <f>Matchs!G426</f>
        <v>Final Round</v>
      </c>
      <c r="O425" s="6" t="str">
        <f t="shared" si="121"/>
        <v>",Stage= "</v>
      </c>
      <c r="P425" t="str">
        <f>Matchs!H426</f>
        <v>Group</v>
      </c>
      <c r="Q425" s="6" t="str">
        <f t="shared" si="122"/>
        <v>",SubStage= "</v>
      </c>
      <c r="R425" t="str">
        <f>Matchs!I426</f>
        <v xml:space="preserve">Group B </v>
      </c>
      <c r="S425" s="6" t="str">
        <f t="shared" si="123"/>
        <v>",HTeam= "</v>
      </c>
      <c r="T425" t="str">
        <f>Matchs!J426</f>
        <v>Argentina</v>
      </c>
      <c r="U425" s="6" t="str">
        <f t="shared" si="124"/>
        <v>",HGoal=</v>
      </c>
      <c r="V425">
        <f>Matchs!K426</f>
        <v>2</v>
      </c>
      <c r="W425" s="6" t="str">
        <f t="shared" si="125"/>
        <v>,GGoal=</v>
      </c>
      <c r="X425">
        <f>Matchs!L426</f>
        <v>0</v>
      </c>
      <c r="Y425" s="6" t="str">
        <f t="shared" si="126"/>
        <v>,GTeam= "</v>
      </c>
      <c r="Z425" t="str">
        <f>Matchs!M426</f>
        <v>Soviet Union</v>
      </c>
      <c r="AA425" s="6" t="str">
        <f t="shared" si="127"/>
        <v>",WinNote="</v>
      </c>
      <c r="AB425" t="str">
        <f>IF(Matchs!N426="","",Matchs!N426)</f>
        <v/>
      </c>
      <c r="AC425" s="6" t="str">
        <f t="shared" si="128"/>
        <v xml:space="preserve">",Stadium=" </v>
      </c>
      <c r="AD425" s="11" t="str">
        <f>Matchs!O426</f>
        <v xml:space="preserve">Stadio San Paolo </v>
      </c>
      <c r="AE425" s="6" t="str">
        <f t="shared" si="129"/>
        <v>",Referee= "</v>
      </c>
      <c r="AF425" s="11" t="str">
        <f>Matchs!P426</f>
        <v xml:space="preserve">Erik Fredriksson </v>
      </c>
      <c r="AG425" s="6" t="str">
        <f t="shared" si="130"/>
        <v xml:space="preserve">",Visistors= </v>
      </c>
      <c r="AH425" s="11">
        <f>Matchs!Q426</f>
        <v>55759</v>
      </c>
      <c r="AI425" s="11" t="str">
        <f t="shared" si="131"/>
        <v>,Status= "</v>
      </c>
      <c r="AJ425" s="11" t="str">
        <f>Matchs!R426</f>
        <v>Finished</v>
      </c>
      <c r="AK425" t="str">
        <f t="shared" si="132"/>
        <v>" },</v>
      </c>
    </row>
    <row r="426" spans="1:37" x14ac:dyDescent="0.25">
      <c r="A426" t="str">
        <f t="shared" si="114"/>
        <v>new Match { MatchId= "</v>
      </c>
      <c r="B426" t="str">
        <f>Matchs!A427</f>
        <v>FIFAWC1990-14</v>
      </c>
      <c r="C426" t="str">
        <f t="shared" si="115"/>
        <v>",MatchNumer=</v>
      </c>
      <c r="D426">
        <f>Matchs!B427</f>
        <v>14</v>
      </c>
      <c r="E426" t="str">
        <f t="shared" si="116"/>
        <v>,DateMatch=DateTime.Parse("</v>
      </c>
      <c r="F426" s="3">
        <f>Matchs!C427</f>
        <v>33038</v>
      </c>
      <c r="G426" s="10" t="str">
        <f t="shared" si="117"/>
        <v>"),TimeMatch=TimeSpan.Parse("</v>
      </c>
      <c r="H426" s="9">
        <f>Matchs!D427</f>
        <v>0.91666666666666663</v>
      </c>
      <c r="I426" t="str">
        <f t="shared" si="118"/>
        <v>"),MatchYear=</v>
      </c>
      <c r="J426">
        <f>Matchs!E427</f>
        <v>1990</v>
      </c>
      <c r="K426" t="str">
        <f t="shared" si="119"/>
        <v>, SeasonId= "</v>
      </c>
      <c r="L426" t="str">
        <f>Matchs!F427</f>
        <v>FIFAWC1990</v>
      </c>
      <c r="M426" t="str">
        <f t="shared" si="120"/>
        <v>",Round= "</v>
      </c>
      <c r="N426" t="str">
        <f>Matchs!G427</f>
        <v>Final Round</v>
      </c>
      <c r="O426" s="6" t="str">
        <f t="shared" si="121"/>
        <v>",Stage= "</v>
      </c>
      <c r="P426" t="str">
        <f>Matchs!H427</f>
        <v>Group</v>
      </c>
      <c r="Q426" s="6" t="str">
        <f t="shared" si="122"/>
        <v>",SubStage= "</v>
      </c>
      <c r="R426" t="str">
        <f>Matchs!I427</f>
        <v xml:space="preserve">Group A </v>
      </c>
      <c r="S426" s="6" t="str">
        <f t="shared" si="123"/>
        <v>",HTeam= "</v>
      </c>
      <c r="T426" t="str">
        <f>Matchs!J427</f>
        <v>Yugoslavia</v>
      </c>
      <c r="U426" s="6" t="str">
        <f t="shared" si="124"/>
        <v>",HGoal=</v>
      </c>
      <c r="V426">
        <f>Matchs!K427</f>
        <v>1</v>
      </c>
      <c r="W426" s="6" t="str">
        <f t="shared" si="125"/>
        <v>,GGoal=</v>
      </c>
      <c r="X426">
        <f>Matchs!L427</f>
        <v>0</v>
      </c>
      <c r="Y426" s="6" t="str">
        <f t="shared" si="126"/>
        <v>,GTeam= "</v>
      </c>
      <c r="Z426" t="str">
        <f>Matchs!M427</f>
        <v>Colombia</v>
      </c>
      <c r="AA426" s="6" t="str">
        <f t="shared" si="127"/>
        <v>",WinNote="</v>
      </c>
      <c r="AB426" t="str">
        <f>IF(Matchs!N427="","",Matchs!N427)</f>
        <v/>
      </c>
      <c r="AC426" s="6" t="str">
        <f t="shared" si="128"/>
        <v xml:space="preserve">",Stadium=" </v>
      </c>
      <c r="AD426" s="11" t="str">
        <f>Matchs!O427</f>
        <v xml:space="preserve">Stadio Artemio Franchi </v>
      </c>
      <c r="AE426" s="6" t="str">
        <f t="shared" si="129"/>
        <v>",Referee= "</v>
      </c>
      <c r="AF426" s="11" t="str">
        <f>Matchs!P427</f>
        <v xml:space="preserve">George Smith </v>
      </c>
      <c r="AG426" s="6" t="str">
        <f t="shared" si="130"/>
        <v xml:space="preserve">",Visistors= </v>
      </c>
      <c r="AH426" s="11">
        <f>Matchs!Q427</f>
        <v>38962</v>
      </c>
      <c r="AI426" s="11" t="str">
        <f t="shared" si="131"/>
        <v>,Status= "</v>
      </c>
      <c r="AJ426" s="11" t="str">
        <f>Matchs!R427</f>
        <v>Finished</v>
      </c>
      <c r="AK426" t="str">
        <f t="shared" si="132"/>
        <v>" },</v>
      </c>
    </row>
    <row r="427" spans="1:37" x14ac:dyDescent="0.25">
      <c r="A427" t="str">
        <f t="shared" si="114"/>
        <v>new Match { MatchId= "</v>
      </c>
      <c r="B427" t="str">
        <f>Matchs!A428</f>
        <v>FIFAWC1990-15</v>
      </c>
      <c r="C427" t="str">
        <f t="shared" si="115"/>
        <v>",MatchNumer=</v>
      </c>
      <c r="D427">
        <f>Matchs!B428</f>
        <v>15</v>
      </c>
      <c r="E427" t="str">
        <f t="shared" si="116"/>
        <v>,DateMatch=DateTime.Parse("</v>
      </c>
      <c r="F427" s="3">
        <f>Matchs!C428</f>
        <v>33038</v>
      </c>
      <c r="G427" s="10" t="str">
        <f t="shared" si="117"/>
        <v>"),TimeMatch=TimeSpan.Parse("</v>
      </c>
      <c r="H427" s="9">
        <f>Matchs!D428</f>
        <v>0.91666666666666663</v>
      </c>
      <c r="I427" t="str">
        <f t="shared" si="118"/>
        <v>"),MatchYear=</v>
      </c>
      <c r="J427">
        <f>Matchs!E428</f>
        <v>1990</v>
      </c>
      <c r="K427" t="str">
        <f t="shared" si="119"/>
        <v>, SeasonId= "</v>
      </c>
      <c r="L427" t="str">
        <f>Matchs!F428</f>
        <v>FIFAWC1990</v>
      </c>
      <c r="M427" t="str">
        <f t="shared" si="120"/>
        <v>",Round= "</v>
      </c>
      <c r="N427" t="str">
        <f>Matchs!G428</f>
        <v>Final Round</v>
      </c>
      <c r="O427" s="6" t="str">
        <f t="shared" si="121"/>
        <v>",Stage= "</v>
      </c>
      <c r="P427" t="str">
        <f>Matchs!H428</f>
        <v>Group</v>
      </c>
      <c r="Q427" s="6" t="str">
        <f t="shared" si="122"/>
        <v>",SubStage= "</v>
      </c>
      <c r="R427" t="str">
        <f>Matchs!I428</f>
        <v xml:space="preserve">Group B </v>
      </c>
      <c r="S427" s="6" t="str">
        <f t="shared" si="123"/>
        <v>",HTeam= "</v>
      </c>
      <c r="T427" t="str">
        <f>Matchs!J428</f>
        <v>Cameroon</v>
      </c>
      <c r="U427" s="6" t="str">
        <f t="shared" si="124"/>
        <v>",HGoal=</v>
      </c>
      <c r="V427">
        <f>Matchs!K428</f>
        <v>2</v>
      </c>
      <c r="W427" s="6" t="str">
        <f t="shared" si="125"/>
        <v>,GGoal=</v>
      </c>
      <c r="X427">
        <f>Matchs!L428</f>
        <v>1</v>
      </c>
      <c r="Y427" s="6" t="str">
        <f t="shared" si="126"/>
        <v>,GTeam= "</v>
      </c>
      <c r="Z427" t="str">
        <f>Matchs!M428</f>
        <v>Romania</v>
      </c>
      <c r="AA427" s="6" t="str">
        <f t="shared" si="127"/>
        <v>",WinNote="</v>
      </c>
      <c r="AB427" t="str">
        <f>IF(Matchs!N428="","",Matchs!N428)</f>
        <v/>
      </c>
      <c r="AC427" s="6" t="str">
        <f t="shared" si="128"/>
        <v xml:space="preserve">",Stadium=" </v>
      </c>
      <c r="AD427" s="11" t="str">
        <f>Matchs!O428</f>
        <v xml:space="preserve">Stadio San Nicola </v>
      </c>
      <c r="AE427" s="6" t="str">
        <f t="shared" si="129"/>
        <v>",Referee= "</v>
      </c>
      <c r="AF427" s="11" t="str">
        <f>Matchs!P428</f>
        <v xml:space="preserve">Hernán Silva </v>
      </c>
      <c r="AG427" s="6" t="str">
        <f t="shared" si="130"/>
        <v xml:space="preserve">",Visistors= </v>
      </c>
      <c r="AH427" s="11">
        <f>Matchs!Q428</f>
        <v>38687</v>
      </c>
      <c r="AI427" s="11" t="str">
        <f t="shared" si="131"/>
        <v>,Status= "</v>
      </c>
      <c r="AJ427" s="11" t="str">
        <f>Matchs!R428</f>
        <v>Finished</v>
      </c>
      <c r="AK427" t="str">
        <f t="shared" si="132"/>
        <v>" },</v>
      </c>
    </row>
    <row r="428" spans="1:37" x14ac:dyDescent="0.25">
      <c r="A428" t="str">
        <f t="shared" si="114"/>
        <v>new Match { MatchId= "</v>
      </c>
      <c r="B428" t="str">
        <f>Matchs!A429</f>
        <v>FIFAWC1990-16</v>
      </c>
      <c r="C428" t="str">
        <f t="shared" si="115"/>
        <v>",MatchNumer=</v>
      </c>
      <c r="D428">
        <f>Matchs!B429</f>
        <v>16</v>
      </c>
      <c r="E428" t="str">
        <f t="shared" si="116"/>
        <v>,DateMatch=DateTime.Parse("</v>
      </c>
      <c r="F428" s="3">
        <f>Matchs!C429</f>
        <v>33039</v>
      </c>
      <c r="G428" s="10" t="str">
        <f t="shared" si="117"/>
        <v>"),TimeMatch=TimeSpan.Parse("</v>
      </c>
      <c r="H428" s="9">
        <f>Matchs!D429</f>
        <v>8.3333333333333329E-2</v>
      </c>
      <c r="I428" t="str">
        <f t="shared" si="118"/>
        <v>"),MatchYear=</v>
      </c>
      <c r="J428">
        <f>Matchs!E429</f>
        <v>1990</v>
      </c>
      <c r="K428" t="str">
        <f t="shared" si="119"/>
        <v>, SeasonId= "</v>
      </c>
      <c r="L428" t="str">
        <f>Matchs!F429</f>
        <v>FIFAWC1990</v>
      </c>
      <c r="M428" t="str">
        <f t="shared" si="120"/>
        <v>",Round= "</v>
      </c>
      <c r="N428" t="str">
        <f>Matchs!G429</f>
        <v>Final Round</v>
      </c>
      <c r="O428" s="6" t="str">
        <f t="shared" si="121"/>
        <v>",Stage= "</v>
      </c>
      <c r="P428" t="str">
        <f>Matchs!H429</f>
        <v>Group</v>
      </c>
      <c r="Q428" s="6" t="str">
        <f t="shared" si="122"/>
        <v>",SubStage= "</v>
      </c>
      <c r="R428" t="str">
        <f>Matchs!I429</f>
        <v xml:space="preserve">Group A </v>
      </c>
      <c r="S428" s="6" t="str">
        <f t="shared" si="123"/>
        <v>",HTeam= "</v>
      </c>
      <c r="T428" t="str">
        <f>Matchs!J429</f>
        <v>Italy</v>
      </c>
      <c r="U428" s="6" t="str">
        <f t="shared" si="124"/>
        <v>",HGoal=</v>
      </c>
      <c r="V428">
        <f>Matchs!K429</f>
        <v>1</v>
      </c>
      <c r="W428" s="6" t="str">
        <f t="shared" si="125"/>
        <v>,GGoal=</v>
      </c>
      <c r="X428">
        <f>Matchs!L429</f>
        <v>0</v>
      </c>
      <c r="Y428" s="6" t="str">
        <f t="shared" si="126"/>
        <v>,GTeam= "</v>
      </c>
      <c r="Z428" t="str">
        <f>Matchs!M429</f>
        <v>USA</v>
      </c>
      <c r="AA428" s="6" t="str">
        <f t="shared" si="127"/>
        <v>",WinNote="</v>
      </c>
      <c r="AB428" t="str">
        <f>IF(Matchs!N429="","",Matchs!N429)</f>
        <v/>
      </c>
      <c r="AC428" s="6" t="str">
        <f t="shared" si="128"/>
        <v xml:space="preserve">",Stadium=" </v>
      </c>
      <c r="AD428" s="11" t="str">
        <f>Matchs!O429</f>
        <v xml:space="preserve">Stadio Olimpico </v>
      </c>
      <c r="AE428" s="6" t="str">
        <f t="shared" si="129"/>
        <v>",Referee= "</v>
      </c>
      <c r="AF428" s="11" t="str">
        <f>Matchs!P429</f>
        <v xml:space="preserve">Edgardo Codesal </v>
      </c>
      <c r="AG428" s="6" t="str">
        <f t="shared" si="130"/>
        <v xml:space="preserve">",Visistors= </v>
      </c>
      <c r="AH428" s="11">
        <f>Matchs!Q429</f>
        <v>73423</v>
      </c>
      <c r="AI428" s="11" t="str">
        <f t="shared" si="131"/>
        <v>,Status= "</v>
      </c>
      <c r="AJ428" s="11" t="str">
        <f>Matchs!R429</f>
        <v>Finished</v>
      </c>
      <c r="AK428" t="str">
        <f t="shared" si="132"/>
        <v>" },</v>
      </c>
    </row>
    <row r="429" spans="1:37" x14ac:dyDescent="0.25">
      <c r="A429" t="str">
        <f t="shared" si="114"/>
        <v>new Match { MatchId= "</v>
      </c>
      <c r="B429" t="str">
        <f>Matchs!A430</f>
        <v>FIFAWC1990-17</v>
      </c>
      <c r="C429" t="str">
        <f t="shared" si="115"/>
        <v>",MatchNumer=</v>
      </c>
      <c r="D429">
        <f>Matchs!B430</f>
        <v>17</v>
      </c>
      <c r="E429" t="str">
        <f t="shared" si="116"/>
        <v>,DateMatch=DateTime.Parse("</v>
      </c>
      <c r="F429" s="3">
        <f>Matchs!C430</f>
        <v>33039</v>
      </c>
      <c r="G429" s="10" t="str">
        <f t="shared" si="117"/>
        <v>"),TimeMatch=TimeSpan.Parse("</v>
      </c>
      <c r="H429" s="9">
        <f>Matchs!D430</f>
        <v>0.91666666666666663</v>
      </c>
      <c r="I429" t="str">
        <f t="shared" si="118"/>
        <v>"),MatchYear=</v>
      </c>
      <c r="J429">
        <f>Matchs!E430</f>
        <v>1990</v>
      </c>
      <c r="K429" t="str">
        <f t="shared" si="119"/>
        <v>, SeasonId= "</v>
      </c>
      <c r="L429" t="str">
        <f>Matchs!F430</f>
        <v>FIFAWC1990</v>
      </c>
      <c r="M429" t="str">
        <f t="shared" si="120"/>
        <v>",Round= "</v>
      </c>
      <c r="N429" t="str">
        <f>Matchs!G430</f>
        <v>Final Round</v>
      </c>
      <c r="O429" s="6" t="str">
        <f t="shared" si="121"/>
        <v>",Stage= "</v>
      </c>
      <c r="P429" t="str">
        <f>Matchs!H430</f>
        <v>Group</v>
      </c>
      <c r="Q429" s="6" t="str">
        <f t="shared" si="122"/>
        <v>",SubStage= "</v>
      </c>
      <c r="R429" t="str">
        <f>Matchs!I430</f>
        <v xml:space="preserve">Group D </v>
      </c>
      <c r="S429" s="6" t="str">
        <f t="shared" si="123"/>
        <v>",HTeam= "</v>
      </c>
      <c r="T429" t="str">
        <f>Matchs!J430</f>
        <v>Austria</v>
      </c>
      <c r="U429" s="6" t="str">
        <f t="shared" si="124"/>
        <v>",HGoal=</v>
      </c>
      <c r="V429">
        <f>Matchs!K430</f>
        <v>1</v>
      </c>
      <c r="W429" s="6" t="str">
        <f t="shared" si="125"/>
        <v>,GGoal=</v>
      </c>
      <c r="X429">
        <f>Matchs!L430</f>
        <v>0</v>
      </c>
      <c r="Y429" s="6" t="str">
        <f t="shared" si="126"/>
        <v>,GTeam= "</v>
      </c>
      <c r="Z429" t="str">
        <f>Matchs!M430</f>
        <v>Czechoslovakia</v>
      </c>
      <c r="AA429" s="6" t="str">
        <f t="shared" si="127"/>
        <v>",WinNote="</v>
      </c>
      <c r="AB429" t="str">
        <f>IF(Matchs!N430="","",Matchs!N430)</f>
        <v/>
      </c>
      <c r="AC429" s="6" t="str">
        <f t="shared" si="128"/>
        <v xml:space="preserve">",Stadium=" </v>
      </c>
      <c r="AD429" s="11" t="str">
        <f>Matchs!O430</f>
        <v xml:space="preserve">Stadio Renato Dall'Ara </v>
      </c>
      <c r="AE429" s="6" t="str">
        <f t="shared" si="129"/>
        <v>",Referee= "</v>
      </c>
      <c r="AF429" s="11" t="str">
        <f>Matchs!P430</f>
        <v xml:space="preserve">Luigi Agnolin </v>
      </c>
      <c r="AG429" s="6" t="str">
        <f t="shared" si="130"/>
        <v xml:space="preserve">",Visistors= </v>
      </c>
      <c r="AH429" s="11">
        <f>Matchs!Q430</f>
        <v>32257</v>
      </c>
      <c r="AI429" s="11" t="str">
        <f t="shared" si="131"/>
        <v>,Status= "</v>
      </c>
      <c r="AJ429" s="11" t="str">
        <f>Matchs!R430</f>
        <v>Finished</v>
      </c>
      <c r="AK429" t="str">
        <f t="shared" si="132"/>
        <v>" },</v>
      </c>
    </row>
    <row r="430" spans="1:37" x14ac:dyDescent="0.25">
      <c r="A430" t="str">
        <f t="shared" si="114"/>
        <v>new Match { MatchId= "</v>
      </c>
      <c r="B430" t="str">
        <f>Matchs!A431</f>
        <v>FIFAWC1990-18</v>
      </c>
      <c r="C430" t="str">
        <f t="shared" si="115"/>
        <v>",MatchNumer=</v>
      </c>
      <c r="D430">
        <f>Matchs!B431</f>
        <v>18</v>
      </c>
      <c r="E430" t="str">
        <f t="shared" si="116"/>
        <v>,DateMatch=DateTime.Parse("</v>
      </c>
      <c r="F430" s="3">
        <f>Matchs!C431</f>
        <v>33040</v>
      </c>
      <c r="G430" s="10" t="str">
        <f t="shared" si="117"/>
        <v>"),TimeMatch=TimeSpan.Parse("</v>
      </c>
      <c r="H430" s="9">
        <f>Matchs!D431</f>
        <v>8.3333333333333329E-2</v>
      </c>
      <c r="I430" t="str">
        <f t="shared" si="118"/>
        <v>"),MatchYear=</v>
      </c>
      <c r="J430">
        <f>Matchs!E431</f>
        <v>1990</v>
      </c>
      <c r="K430" t="str">
        <f t="shared" si="119"/>
        <v>, SeasonId= "</v>
      </c>
      <c r="L430" t="str">
        <f>Matchs!F431</f>
        <v>FIFAWC1990</v>
      </c>
      <c r="M430" t="str">
        <f t="shared" si="120"/>
        <v>",Round= "</v>
      </c>
      <c r="N430" t="str">
        <f>Matchs!G431</f>
        <v>Final Round</v>
      </c>
      <c r="O430" s="6" t="str">
        <f t="shared" si="121"/>
        <v>",Stage= "</v>
      </c>
      <c r="P430" t="str">
        <f>Matchs!H431</f>
        <v>Group</v>
      </c>
      <c r="Q430" s="6" t="str">
        <f t="shared" si="122"/>
        <v>",SubStage= "</v>
      </c>
      <c r="R430" t="str">
        <f>Matchs!I431</f>
        <v xml:space="preserve">Group D </v>
      </c>
      <c r="S430" s="6" t="str">
        <f t="shared" si="123"/>
        <v>",HTeam= "</v>
      </c>
      <c r="T430" t="str">
        <f>Matchs!J431</f>
        <v>Germany</v>
      </c>
      <c r="U430" s="6" t="str">
        <f t="shared" si="124"/>
        <v>",HGoal=</v>
      </c>
      <c r="V430">
        <f>Matchs!K431</f>
        <v>5</v>
      </c>
      <c r="W430" s="6" t="str">
        <f t="shared" si="125"/>
        <v>,GGoal=</v>
      </c>
      <c r="X430">
        <f>Matchs!L431</f>
        <v>1</v>
      </c>
      <c r="Y430" s="6" t="str">
        <f t="shared" si="126"/>
        <v>,GTeam= "</v>
      </c>
      <c r="Z430" t="str">
        <f>Matchs!M431</f>
        <v>United Arab Emirates</v>
      </c>
      <c r="AA430" s="6" t="str">
        <f t="shared" si="127"/>
        <v>",WinNote="</v>
      </c>
      <c r="AB430" t="str">
        <f>IF(Matchs!N431="","",Matchs!N431)</f>
        <v/>
      </c>
      <c r="AC430" s="6" t="str">
        <f t="shared" si="128"/>
        <v xml:space="preserve">",Stadium=" </v>
      </c>
      <c r="AD430" s="11" t="str">
        <f>Matchs!O431</f>
        <v xml:space="preserve">San Siro </v>
      </c>
      <c r="AE430" s="6" t="str">
        <f t="shared" si="129"/>
        <v>",Referee= "</v>
      </c>
      <c r="AF430" s="11" t="str">
        <f>Matchs!P431</f>
        <v xml:space="preserve">Alexey Spirin </v>
      </c>
      <c r="AG430" s="6" t="str">
        <f t="shared" si="130"/>
        <v xml:space="preserve">",Visistors= </v>
      </c>
      <c r="AH430" s="11">
        <f>Matchs!Q431</f>
        <v>71169</v>
      </c>
      <c r="AI430" s="11" t="str">
        <f t="shared" si="131"/>
        <v>,Status= "</v>
      </c>
      <c r="AJ430" s="11" t="str">
        <f>Matchs!R431</f>
        <v>Finished</v>
      </c>
      <c r="AK430" t="str">
        <f t="shared" si="132"/>
        <v>" },</v>
      </c>
    </row>
    <row r="431" spans="1:37" x14ac:dyDescent="0.25">
      <c r="A431" t="str">
        <f t="shared" si="114"/>
        <v>new Match { MatchId= "</v>
      </c>
      <c r="B431" t="str">
        <f>Matchs!A432</f>
        <v>FIFAWC1990-19</v>
      </c>
      <c r="C431" t="str">
        <f t="shared" si="115"/>
        <v>",MatchNumer=</v>
      </c>
      <c r="D431">
        <f>Matchs!B432</f>
        <v>19</v>
      </c>
      <c r="E431" t="str">
        <f t="shared" si="116"/>
        <v>,DateMatch=DateTime.Parse("</v>
      </c>
      <c r="F431" s="3">
        <f>Matchs!C432</f>
        <v>33040</v>
      </c>
      <c r="G431" s="10" t="str">
        <f t="shared" si="117"/>
        <v>"),TimeMatch=TimeSpan.Parse("</v>
      </c>
      <c r="H431" s="9">
        <f>Matchs!D432</f>
        <v>0.91666666666666663</v>
      </c>
      <c r="I431" t="str">
        <f t="shared" si="118"/>
        <v>"),MatchYear=</v>
      </c>
      <c r="J431">
        <f>Matchs!E432</f>
        <v>1990</v>
      </c>
      <c r="K431" t="str">
        <f t="shared" si="119"/>
        <v>, SeasonId= "</v>
      </c>
      <c r="L431" t="str">
        <f>Matchs!F432</f>
        <v>FIFAWC1990</v>
      </c>
      <c r="M431" t="str">
        <f t="shared" si="120"/>
        <v>",Round= "</v>
      </c>
      <c r="N431" t="str">
        <f>Matchs!G432</f>
        <v>Final Round</v>
      </c>
      <c r="O431" s="6" t="str">
        <f t="shared" si="121"/>
        <v>",Stage= "</v>
      </c>
      <c r="P431" t="str">
        <f>Matchs!H432</f>
        <v>Group</v>
      </c>
      <c r="Q431" s="6" t="str">
        <f t="shared" si="122"/>
        <v>",SubStage= "</v>
      </c>
      <c r="R431" t="str">
        <f>Matchs!I432</f>
        <v xml:space="preserve">Group C </v>
      </c>
      <c r="S431" s="6" t="str">
        <f t="shared" si="123"/>
        <v>",HTeam= "</v>
      </c>
      <c r="T431" t="str">
        <f>Matchs!J432</f>
        <v>Brazil</v>
      </c>
      <c r="U431" s="6" t="str">
        <f t="shared" si="124"/>
        <v>",HGoal=</v>
      </c>
      <c r="V431">
        <f>Matchs!K432</f>
        <v>1</v>
      </c>
      <c r="W431" s="6" t="str">
        <f t="shared" si="125"/>
        <v>,GGoal=</v>
      </c>
      <c r="X431">
        <f>Matchs!L432</f>
        <v>0</v>
      </c>
      <c r="Y431" s="6" t="str">
        <f t="shared" si="126"/>
        <v>,GTeam= "</v>
      </c>
      <c r="Z431" t="str">
        <f>Matchs!M432</f>
        <v>Costa Rica</v>
      </c>
      <c r="AA431" s="6" t="str">
        <f t="shared" si="127"/>
        <v>",WinNote="</v>
      </c>
      <c r="AB431" t="str">
        <f>IF(Matchs!N432="","",Matchs!N432)</f>
        <v/>
      </c>
      <c r="AC431" s="6" t="str">
        <f t="shared" si="128"/>
        <v xml:space="preserve">",Stadium=" </v>
      </c>
      <c r="AD431" s="11" t="str">
        <f>Matchs!O432</f>
        <v xml:space="preserve">Stadio delle Alpi </v>
      </c>
      <c r="AE431" s="6" t="str">
        <f t="shared" si="129"/>
        <v>",Referee= "</v>
      </c>
      <c r="AF431" s="11" t="str">
        <f>Matchs!P432</f>
        <v xml:space="preserve">Neji Jouini </v>
      </c>
      <c r="AG431" s="6" t="str">
        <f t="shared" si="130"/>
        <v xml:space="preserve">",Visistors= </v>
      </c>
      <c r="AH431" s="11">
        <f>Matchs!Q432</f>
        <v>58007</v>
      </c>
      <c r="AI431" s="11" t="str">
        <f t="shared" si="131"/>
        <v>,Status= "</v>
      </c>
      <c r="AJ431" s="11" t="str">
        <f>Matchs!R432</f>
        <v>Finished</v>
      </c>
      <c r="AK431" t="str">
        <f t="shared" si="132"/>
        <v>" },</v>
      </c>
    </row>
    <row r="432" spans="1:37" x14ac:dyDescent="0.25">
      <c r="A432" t="str">
        <f t="shared" si="114"/>
        <v>new Match { MatchId= "</v>
      </c>
      <c r="B432" t="str">
        <f>Matchs!A433</f>
        <v>FIFAWC1990-20</v>
      </c>
      <c r="C432" t="str">
        <f t="shared" si="115"/>
        <v>",MatchNumer=</v>
      </c>
      <c r="D432">
        <f>Matchs!B433</f>
        <v>20</v>
      </c>
      <c r="E432" t="str">
        <f t="shared" si="116"/>
        <v>,DateMatch=DateTime.Parse("</v>
      </c>
      <c r="F432" s="3">
        <f>Matchs!C433</f>
        <v>33041</v>
      </c>
      <c r="G432" s="10" t="str">
        <f t="shared" si="117"/>
        <v>"),TimeMatch=TimeSpan.Parse("</v>
      </c>
      <c r="H432" s="9">
        <f>Matchs!D433</f>
        <v>8.3333333333333329E-2</v>
      </c>
      <c r="I432" t="str">
        <f t="shared" si="118"/>
        <v>"),MatchYear=</v>
      </c>
      <c r="J432">
        <f>Matchs!E433</f>
        <v>1990</v>
      </c>
      <c r="K432" t="str">
        <f t="shared" si="119"/>
        <v>, SeasonId= "</v>
      </c>
      <c r="L432" t="str">
        <f>Matchs!F433</f>
        <v>FIFAWC1990</v>
      </c>
      <c r="M432" t="str">
        <f t="shared" si="120"/>
        <v>",Round= "</v>
      </c>
      <c r="N432" t="str">
        <f>Matchs!G433</f>
        <v>Final Round</v>
      </c>
      <c r="O432" s="6" t="str">
        <f t="shared" si="121"/>
        <v>",Stage= "</v>
      </c>
      <c r="P432" t="str">
        <f>Matchs!H433</f>
        <v>Group</v>
      </c>
      <c r="Q432" s="6" t="str">
        <f t="shared" si="122"/>
        <v>",SubStage= "</v>
      </c>
      <c r="R432" t="str">
        <f>Matchs!I433</f>
        <v xml:space="preserve">Group C </v>
      </c>
      <c r="S432" s="6" t="str">
        <f t="shared" si="123"/>
        <v>",HTeam= "</v>
      </c>
      <c r="T432" t="str">
        <f>Matchs!J433</f>
        <v>Sweden</v>
      </c>
      <c r="U432" s="6" t="str">
        <f t="shared" si="124"/>
        <v>",HGoal=</v>
      </c>
      <c r="V432">
        <f>Matchs!K433</f>
        <v>1</v>
      </c>
      <c r="W432" s="6" t="str">
        <f t="shared" si="125"/>
        <v>,GGoal=</v>
      </c>
      <c r="X432">
        <f>Matchs!L433</f>
        <v>2</v>
      </c>
      <c r="Y432" s="6" t="str">
        <f t="shared" si="126"/>
        <v>,GTeam= "</v>
      </c>
      <c r="Z432" t="str">
        <f>Matchs!M433</f>
        <v>Scotland</v>
      </c>
      <c r="AA432" s="6" t="str">
        <f t="shared" si="127"/>
        <v>",WinNote="</v>
      </c>
      <c r="AB432" t="str">
        <f>IF(Matchs!N433="","",Matchs!N433)</f>
        <v/>
      </c>
      <c r="AC432" s="6" t="str">
        <f t="shared" si="128"/>
        <v xml:space="preserve">",Stadium=" </v>
      </c>
      <c r="AD432" s="11" t="str">
        <f>Matchs!O433</f>
        <v xml:space="preserve">Stadio Luigi Ferraris </v>
      </c>
      <c r="AE432" s="6" t="str">
        <f t="shared" si="129"/>
        <v>",Referee= "</v>
      </c>
      <c r="AF432" s="11" t="str">
        <f>Matchs!P433</f>
        <v xml:space="preserve">Carlos Maciel </v>
      </c>
      <c r="AG432" s="6" t="str">
        <f t="shared" si="130"/>
        <v xml:space="preserve">",Visistors= </v>
      </c>
      <c r="AH432" s="11">
        <f>Matchs!Q433</f>
        <v>31823</v>
      </c>
      <c r="AI432" s="11" t="str">
        <f t="shared" si="131"/>
        <v>,Status= "</v>
      </c>
      <c r="AJ432" s="11" t="str">
        <f>Matchs!R433</f>
        <v>Finished</v>
      </c>
      <c r="AK432" t="str">
        <f t="shared" si="132"/>
        <v>" },</v>
      </c>
    </row>
    <row r="433" spans="1:37" x14ac:dyDescent="0.25">
      <c r="A433" t="str">
        <f t="shared" si="114"/>
        <v>new Match { MatchId= "</v>
      </c>
      <c r="B433" t="str">
        <f>Matchs!A434</f>
        <v>FIFAWC1990-21</v>
      </c>
      <c r="C433" t="str">
        <f t="shared" si="115"/>
        <v>",MatchNumer=</v>
      </c>
      <c r="D433">
        <f>Matchs!B434</f>
        <v>21</v>
      </c>
      <c r="E433" t="str">
        <f t="shared" si="116"/>
        <v>,DateMatch=DateTime.Parse("</v>
      </c>
      <c r="F433" s="3">
        <f>Matchs!C434</f>
        <v>33041</v>
      </c>
      <c r="G433" s="10" t="str">
        <f t="shared" si="117"/>
        <v>"),TimeMatch=TimeSpan.Parse("</v>
      </c>
      <c r="H433" s="9">
        <f>Matchs!D434</f>
        <v>8.3333333333333329E-2</v>
      </c>
      <c r="I433" t="str">
        <f t="shared" si="118"/>
        <v>"),MatchYear=</v>
      </c>
      <c r="J433">
        <f>Matchs!E434</f>
        <v>1990</v>
      </c>
      <c r="K433" t="str">
        <f t="shared" si="119"/>
        <v>, SeasonId= "</v>
      </c>
      <c r="L433" t="str">
        <f>Matchs!F434</f>
        <v>FIFAWC1990</v>
      </c>
      <c r="M433" t="str">
        <f t="shared" si="120"/>
        <v>",Round= "</v>
      </c>
      <c r="N433" t="str">
        <f>Matchs!G434</f>
        <v>Final Round</v>
      </c>
      <c r="O433" s="6" t="str">
        <f t="shared" si="121"/>
        <v>",Stage= "</v>
      </c>
      <c r="P433" t="str">
        <f>Matchs!H434</f>
        <v>Group</v>
      </c>
      <c r="Q433" s="6" t="str">
        <f t="shared" si="122"/>
        <v>",SubStage= "</v>
      </c>
      <c r="R433" t="str">
        <f>Matchs!I434</f>
        <v xml:space="preserve">Group F </v>
      </c>
      <c r="S433" s="6" t="str">
        <f t="shared" si="123"/>
        <v>",HTeam= "</v>
      </c>
      <c r="T433" t="str">
        <f>Matchs!J434</f>
        <v>England</v>
      </c>
      <c r="U433" s="6" t="str">
        <f t="shared" si="124"/>
        <v>",HGoal=</v>
      </c>
      <c r="V433">
        <f>Matchs!K434</f>
        <v>0</v>
      </c>
      <c r="W433" s="6" t="str">
        <f t="shared" si="125"/>
        <v>,GGoal=</v>
      </c>
      <c r="X433">
        <f>Matchs!L434</f>
        <v>0</v>
      </c>
      <c r="Y433" s="6" t="str">
        <f t="shared" si="126"/>
        <v>,GTeam= "</v>
      </c>
      <c r="Z433" t="str">
        <f>Matchs!M434</f>
        <v>Netherlands</v>
      </c>
      <c r="AA433" s="6" t="str">
        <f t="shared" si="127"/>
        <v>",WinNote="</v>
      </c>
      <c r="AB433" t="str">
        <f>IF(Matchs!N434="","",Matchs!N434)</f>
        <v/>
      </c>
      <c r="AC433" s="6" t="str">
        <f t="shared" si="128"/>
        <v xml:space="preserve">",Stadium=" </v>
      </c>
      <c r="AD433" s="11" t="str">
        <f>Matchs!O434</f>
        <v xml:space="preserve">Stadio Sant'Elia </v>
      </c>
      <c r="AE433" s="6" t="str">
        <f t="shared" si="129"/>
        <v>",Referee= "</v>
      </c>
      <c r="AF433" s="11" t="str">
        <f>Matchs!P434</f>
        <v xml:space="preserve">Zoran Petrovic </v>
      </c>
      <c r="AG433" s="6" t="str">
        <f t="shared" si="130"/>
        <v xml:space="preserve">",Visistors= </v>
      </c>
      <c r="AH433" s="11">
        <f>Matchs!Q434</f>
        <v>35267</v>
      </c>
      <c r="AI433" s="11" t="str">
        <f t="shared" si="131"/>
        <v>,Status= "</v>
      </c>
      <c r="AJ433" s="11" t="str">
        <f>Matchs!R434</f>
        <v>Finished</v>
      </c>
      <c r="AK433" t="str">
        <f t="shared" si="132"/>
        <v>" },</v>
      </c>
    </row>
    <row r="434" spans="1:37" x14ac:dyDescent="0.25">
      <c r="A434" t="str">
        <f t="shared" si="114"/>
        <v>new Match { MatchId= "</v>
      </c>
      <c r="B434" t="str">
        <f>Matchs!A435</f>
        <v>FIFAWC1990-22</v>
      </c>
      <c r="C434" t="str">
        <f t="shared" si="115"/>
        <v>",MatchNumer=</v>
      </c>
      <c r="D434">
        <f>Matchs!B435</f>
        <v>22</v>
      </c>
      <c r="E434" t="str">
        <f t="shared" si="116"/>
        <v>,DateMatch=DateTime.Parse("</v>
      </c>
      <c r="F434" s="3">
        <f>Matchs!C435</f>
        <v>33041</v>
      </c>
      <c r="G434" s="10" t="str">
        <f t="shared" si="117"/>
        <v>"),TimeMatch=TimeSpan.Parse("</v>
      </c>
      <c r="H434" s="9">
        <f>Matchs!D435</f>
        <v>0.91666666666666663</v>
      </c>
      <c r="I434" t="str">
        <f t="shared" si="118"/>
        <v>"),MatchYear=</v>
      </c>
      <c r="J434">
        <f>Matchs!E435</f>
        <v>1990</v>
      </c>
      <c r="K434" t="str">
        <f t="shared" si="119"/>
        <v>, SeasonId= "</v>
      </c>
      <c r="L434" t="str">
        <f>Matchs!F435</f>
        <v>FIFAWC1990</v>
      </c>
      <c r="M434" t="str">
        <f t="shared" si="120"/>
        <v>",Round= "</v>
      </c>
      <c r="N434" t="str">
        <f>Matchs!G435</f>
        <v>Final Round</v>
      </c>
      <c r="O434" s="6" t="str">
        <f t="shared" si="121"/>
        <v>",Stage= "</v>
      </c>
      <c r="P434" t="str">
        <f>Matchs!H435</f>
        <v>Group</v>
      </c>
      <c r="Q434" s="6" t="str">
        <f t="shared" si="122"/>
        <v>",SubStage= "</v>
      </c>
      <c r="R434" t="str">
        <f>Matchs!I435</f>
        <v xml:space="preserve">Group F </v>
      </c>
      <c r="S434" s="6" t="str">
        <f t="shared" si="123"/>
        <v>",HTeam= "</v>
      </c>
      <c r="T434" t="str">
        <f>Matchs!J435</f>
        <v>Republic of Ireland</v>
      </c>
      <c r="U434" s="6" t="str">
        <f t="shared" si="124"/>
        <v>",HGoal=</v>
      </c>
      <c r="V434">
        <f>Matchs!K435</f>
        <v>0</v>
      </c>
      <c r="W434" s="6" t="str">
        <f t="shared" si="125"/>
        <v>,GGoal=</v>
      </c>
      <c r="X434">
        <f>Matchs!L435</f>
        <v>0</v>
      </c>
      <c r="Y434" s="6" t="str">
        <f t="shared" si="126"/>
        <v>,GTeam= "</v>
      </c>
      <c r="Z434" t="str">
        <f>Matchs!M435</f>
        <v>Egypt</v>
      </c>
      <c r="AA434" s="6" t="str">
        <f t="shared" si="127"/>
        <v>",WinNote="</v>
      </c>
      <c r="AB434" t="str">
        <f>IF(Matchs!N435="","",Matchs!N435)</f>
        <v/>
      </c>
      <c r="AC434" s="6" t="str">
        <f t="shared" si="128"/>
        <v xml:space="preserve">",Stadium=" </v>
      </c>
      <c r="AD434" s="11" t="str">
        <f>Matchs!O435</f>
        <v xml:space="preserve">Stadio Renzo Barbera </v>
      </c>
      <c r="AE434" s="6" t="str">
        <f t="shared" si="129"/>
        <v>",Referee= "</v>
      </c>
      <c r="AF434" s="11" t="str">
        <f>Matchs!P435</f>
        <v xml:space="preserve">Marcel van Langenhove </v>
      </c>
      <c r="AG434" s="6" t="str">
        <f t="shared" si="130"/>
        <v xml:space="preserve">",Visistors= </v>
      </c>
      <c r="AH434" s="11">
        <f>Matchs!Q435</f>
        <v>33288</v>
      </c>
      <c r="AI434" s="11" t="str">
        <f t="shared" si="131"/>
        <v>,Status= "</v>
      </c>
      <c r="AJ434" s="11" t="str">
        <f>Matchs!R435</f>
        <v>Finished</v>
      </c>
      <c r="AK434" t="str">
        <f t="shared" si="132"/>
        <v>" },</v>
      </c>
    </row>
    <row r="435" spans="1:37" x14ac:dyDescent="0.25">
      <c r="A435" t="str">
        <f t="shared" si="114"/>
        <v>new Match { MatchId= "</v>
      </c>
      <c r="B435" t="str">
        <f>Matchs!A436</f>
        <v>FIFAWC1990-23</v>
      </c>
      <c r="C435" t="str">
        <f t="shared" si="115"/>
        <v>",MatchNumer=</v>
      </c>
      <c r="D435">
        <f>Matchs!B436</f>
        <v>23</v>
      </c>
      <c r="E435" t="str">
        <f t="shared" si="116"/>
        <v>,DateMatch=DateTime.Parse("</v>
      </c>
      <c r="F435" s="3">
        <f>Matchs!C436</f>
        <v>33042</v>
      </c>
      <c r="G435" s="10" t="str">
        <f t="shared" si="117"/>
        <v>"),TimeMatch=TimeSpan.Parse("</v>
      </c>
      <c r="H435" s="9">
        <f>Matchs!D436</f>
        <v>8.3333333333333329E-2</v>
      </c>
      <c r="I435" t="str">
        <f t="shared" si="118"/>
        <v>"),MatchYear=</v>
      </c>
      <c r="J435">
        <f>Matchs!E436</f>
        <v>1990</v>
      </c>
      <c r="K435" t="str">
        <f t="shared" si="119"/>
        <v>, SeasonId= "</v>
      </c>
      <c r="L435" t="str">
        <f>Matchs!F436</f>
        <v>FIFAWC1990</v>
      </c>
      <c r="M435" t="str">
        <f t="shared" si="120"/>
        <v>",Round= "</v>
      </c>
      <c r="N435" t="str">
        <f>Matchs!G436</f>
        <v>Final Round</v>
      </c>
      <c r="O435" s="6" t="str">
        <f t="shared" si="121"/>
        <v>",Stage= "</v>
      </c>
      <c r="P435" t="str">
        <f>Matchs!H436</f>
        <v>Group</v>
      </c>
      <c r="Q435" s="6" t="str">
        <f t="shared" si="122"/>
        <v>",SubStage= "</v>
      </c>
      <c r="R435" t="str">
        <f>Matchs!I436</f>
        <v xml:space="preserve">Group E </v>
      </c>
      <c r="S435" s="6" t="str">
        <f t="shared" si="123"/>
        <v>",HTeam= "</v>
      </c>
      <c r="T435" t="str">
        <f>Matchs!J436</f>
        <v>South Korea</v>
      </c>
      <c r="U435" s="6" t="str">
        <f t="shared" si="124"/>
        <v>",HGoal=</v>
      </c>
      <c r="V435">
        <f>Matchs!K436</f>
        <v>1</v>
      </c>
      <c r="W435" s="6" t="str">
        <f t="shared" si="125"/>
        <v>,GGoal=</v>
      </c>
      <c r="X435">
        <f>Matchs!L436</f>
        <v>3</v>
      </c>
      <c r="Y435" s="6" t="str">
        <f t="shared" si="126"/>
        <v>,GTeam= "</v>
      </c>
      <c r="Z435" t="str">
        <f>Matchs!M436</f>
        <v>Spain</v>
      </c>
      <c r="AA435" s="6" t="str">
        <f t="shared" si="127"/>
        <v>",WinNote="</v>
      </c>
      <c r="AB435" t="str">
        <f>IF(Matchs!N436="","",Matchs!N436)</f>
        <v/>
      </c>
      <c r="AC435" s="6" t="str">
        <f t="shared" si="128"/>
        <v xml:space="preserve">",Stadium=" </v>
      </c>
      <c r="AD435" s="11" t="str">
        <f>Matchs!O436</f>
        <v xml:space="preserve">Stadio Friuli </v>
      </c>
      <c r="AE435" s="6" t="str">
        <f t="shared" si="129"/>
        <v>",Referee= "</v>
      </c>
      <c r="AF435" s="11" t="str">
        <f>Matchs!P436</f>
        <v xml:space="preserve">Elías Jácome </v>
      </c>
      <c r="AG435" s="6" t="str">
        <f t="shared" si="130"/>
        <v xml:space="preserve">",Visistors= </v>
      </c>
      <c r="AH435" s="11">
        <f>Matchs!Q436</f>
        <v>32733</v>
      </c>
      <c r="AI435" s="11" t="str">
        <f t="shared" si="131"/>
        <v>,Status= "</v>
      </c>
      <c r="AJ435" s="11" t="str">
        <f>Matchs!R436</f>
        <v>Finished</v>
      </c>
      <c r="AK435" t="str">
        <f t="shared" si="132"/>
        <v>" },</v>
      </c>
    </row>
    <row r="436" spans="1:37" x14ac:dyDescent="0.25">
      <c r="A436" t="str">
        <f t="shared" si="114"/>
        <v>new Match { MatchId= "</v>
      </c>
      <c r="B436" t="str">
        <f>Matchs!A437</f>
        <v>FIFAWC1990-24</v>
      </c>
      <c r="C436" t="str">
        <f t="shared" si="115"/>
        <v>",MatchNumer=</v>
      </c>
      <c r="D436">
        <f>Matchs!B437</f>
        <v>24</v>
      </c>
      <c r="E436" t="str">
        <f t="shared" si="116"/>
        <v>,DateMatch=DateTime.Parse("</v>
      </c>
      <c r="F436" s="3">
        <f>Matchs!C437</f>
        <v>33042</v>
      </c>
      <c r="G436" s="10" t="str">
        <f t="shared" si="117"/>
        <v>"),TimeMatch=TimeSpan.Parse("</v>
      </c>
      <c r="H436" s="9">
        <f>Matchs!D437</f>
        <v>8.3333333333333329E-2</v>
      </c>
      <c r="I436" t="str">
        <f t="shared" si="118"/>
        <v>"),MatchYear=</v>
      </c>
      <c r="J436">
        <f>Matchs!E437</f>
        <v>1990</v>
      </c>
      <c r="K436" t="str">
        <f t="shared" si="119"/>
        <v>, SeasonId= "</v>
      </c>
      <c r="L436" t="str">
        <f>Matchs!F437</f>
        <v>FIFAWC1990</v>
      </c>
      <c r="M436" t="str">
        <f t="shared" si="120"/>
        <v>",Round= "</v>
      </c>
      <c r="N436" t="str">
        <f>Matchs!G437</f>
        <v>Final Round</v>
      </c>
      <c r="O436" s="6" t="str">
        <f t="shared" si="121"/>
        <v>",Stage= "</v>
      </c>
      <c r="P436" t="str">
        <f>Matchs!H437</f>
        <v>Group</v>
      </c>
      <c r="Q436" s="6" t="str">
        <f t="shared" si="122"/>
        <v>",SubStage= "</v>
      </c>
      <c r="R436" t="str">
        <f>Matchs!I437</f>
        <v xml:space="preserve">Group E </v>
      </c>
      <c r="S436" s="6" t="str">
        <f t="shared" si="123"/>
        <v>",HTeam= "</v>
      </c>
      <c r="T436" t="str">
        <f>Matchs!J437</f>
        <v>Belgium</v>
      </c>
      <c r="U436" s="6" t="str">
        <f t="shared" si="124"/>
        <v>",HGoal=</v>
      </c>
      <c r="V436">
        <f>Matchs!K437</f>
        <v>3</v>
      </c>
      <c r="W436" s="6" t="str">
        <f t="shared" si="125"/>
        <v>,GGoal=</v>
      </c>
      <c r="X436">
        <f>Matchs!L437</f>
        <v>1</v>
      </c>
      <c r="Y436" s="6" t="str">
        <f t="shared" si="126"/>
        <v>,GTeam= "</v>
      </c>
      <c r="Z436" t="str">
        <f>Matchs!M437</f>
        <v>Uruguay</v>
      </c>
      <c r="AA436" s="6" t="str">
        <f t="shared" si="127"/>
        <v>",WinNote="</v>
      </c>
      <c r="AB436" t="str">
        <f>IF(Matchs!N437="","",Matchs!N437)</f>
        <v/>
      </c>
      <c r="AC436" s="6" t="str">
        <f t="shared" si="128"/>
        <v xml:space="preserve">",Stadium=" </v>
      </c>
      <c r="AD436" s="11" t="str">
        <f>Matchs!O437</f>
        <v xml:space="preserve">Stadio Marc'Antonio Bentegodi </v>
      </c>
      <c r="AE436" s="6" t="str">
        <f t="shared" si="129"/>
        <v>",Referee= "</v>
      </c>
      <c r="AF436" s="11" t="str">
        <f>Matchs!P437</f>
        <v xml:space="preserve">Siegfried Kirschen </v>
      </c>
      <c r="AG436" s="6" t="str">
        <f t="shared" si="130"/>
        <v xml:space="preserve">",Visistors= </v>
      </c>
      <c r="AH436" s="11">
        <f>Matchs!Q437</f>
        <v>33759</v>
      </c>
      <c r="AI436" s="11" t="str">
        <f t="shared" si="131"/>
        <v>,Status= "</v>
      </c>
      <c r="AJ436" s="11" t="str">
        <f>Matchs!R437</f>
        <v>Finished</v>
      </c>
      <c r="AK436" t="str">
        <f t="shared" si="132"/>
        <v>" },</v>
      </c>
    </row>
    <row r="437" spans="1:37" x14ac:dyDescent="0.25">
      <c r="A437" t="str">
        <f t="shared" si="114"/>
        <v>new Match { MatchId= "</v>
      </c>
      <c r="B437" t="str">
        <f>Matchs!A438</f>
        <v>FIFAWC1990-25</v>
      </c>
      <c r="C437" t="str">
        <f t="shared" si="115"/>
        <v>",MatchNumer=</v>
      </c>
      <c r="D437">
        <f>Matchs!B438</f>
        <v>25</v>
      </c>
      <c r="E437" t="str">
        <f t="shared" si="116"/>
        <v>,DateMatch=DateTime.Parse("</v>
      </c>
      <c r="F437" s="3">
        <f>Matchs!C438</f>
        <v>33043</v>
      </c>
      <c r="G437" s="10" t="str">
        <f t="shared" si="117"/>
        <v>"),TimeMatch=TimeSpan.Parse("</v>
      </c>
      <c r="H437" s="9">
        <f>Matchs!D438</f>
        <v>8.3333333333333329E-2</v>
      </c>
      <c r="I437" t="str">
        <f t="shared" si="118"/>
        <v>"),MatchYear=</v>
      </c>
      <c r="J437">
        <f>Matchs!E438</f>
        <v>1990</v>
      </c>
      <c r="K437" t="str">
        <f t="shared" si="119"/>
        <v>, SeasonId= "</v>
      </c>
      <c r="L437" t="str">
        <f>Matchs!F438</f>
        <v>FIFAWC1990</v>
      </c>
      <c r="M437" t="str">
        <f t="shared" si="120"/>
        <v>",Round= "</v>
      </c>
      <c r="N437" t="str">
        <f>Matchs!G438</f>
        <v>Final Round</v>
      </c>
      <c r="O437" s="6" t="str">
        <f t="shared" si="121"/>
        <v>",Stage= "</v>
      </c>
      <c r="P437" t="str">
        <f>Matchs!H438</f>
        <v>Group</v>
      </c>
      <c r="Q437" s="6" t="str">
        <f t="shared" si="122"/>
        <v>",SubStage= "</v>
      </c>
      <c r="R437" t="str">
        <f>Matchs!I438</f>
        <v xml:space="preserve">Group B </v>
      </c>
      <c r="S437" s="6" t="str">
        <f t="shared" si="123"/>
        <v>",HTeam= "</v>
      </c>
      <c r="T437" t="str">
        <f>Matchs!J438</f>
        <v>Argentina</v>
      </c>
      <c r="U437" s="6" t="str">
        <f t="shared" si="124"/>
        <v>",HGoal=</v>
      </c>
      <c r="V437">
        <f>Matchs!K438</f>
        <v>1</v>
      </c>
      <c r="W437" s="6" t="str">
        <f t="shared" si="125"/>
        <v>,GGoal=</v>
      </c>
      <c r="X437">
        <f>Matchs!L438</f>
        <v>1</v>
      </c>
      <c r="Y437" s="6" t="str">
        <f t="shared" si="126"/>
        <v>,GTeam= "</v>
      </c>
      <c r="Z437" t="str">
        <f>Matchs!M438</f>
        <v>Romania</v>
      </c>
      <c r="AA437" s="6" t="str">
        <f t="shared" si="127"/>
        <v>",WinNote="</v>
      </c>
      <c r="AB437" t="str">
        <f>IF(Matchs!N438="","",Matchs!N438)</f>
        <v/>
      </c>
      <c r="AC437" s="6" t="str">
        <f t="shared" si="128"/>
        <v xml:space="preserve">",Stadium=" </v>
      </c>
      <c r="AD437" s="11" t="str">
        <f>Matchs!O438</f>
        <v xml:space="preserve">Stadio San Paolo </v>
      </c>
      <c r="AE437" s="6" t="str">
        <f t="shared" si="129"/>
        <v>",Referee= "</v>
      </c>
      <c r="AF437" s="11" t="str">
        <f>Matchs!P438</f>
        <v xml:space="preserve">Carlos Silva Valente </v>
      </c>
      <c r="AG437" s="6" t="str">
        <f t="shared" si="130"/>
        <v xml:space="preserve">",Visistors= </v>
      </c>
      <c r="AH437" s="11">
        <f>Matchs!Q438</f>
        <v>52733</v>
      </c>
      <c r="AI437" s="11" t="str">
        <f t="shared" si="131"/>
        <v>,Status= "</v>
      </c>
      <c r="AJ437" s="11" t="str">
        <f>Matchs!R438</f>
        <v>Finished</v>
      </c>
      <c r="AK437" t="str">
        <f t="shared" si="132"/>
        <v>" },</v>
      </c>
    </row>
    <row r="438" spans="1:37" x14ac:dyDescent="0.25">
      <c r="A438" t="str">
        <f t="shared" si="114"/>
        <v>new Match { MatchId= "</v>
      </c>
      <c r="B438" t="str">
        <f>Matchs!A439</f>
        <v>FIFAWC1990-26</v>
      </c>
      <c r="C438" t="str">
        <f t="shared" si="115"/>
        <v>",MatchNumer=</v>
      </c>
      <c r="D438">
        <f>Matchs!B439</f>
        <v>26</v>
      </c>
      <c r="E438" t="str">
        <f t="shared" si="116"/>
        <v>,DateMatch=DateTime.Parse("</v>
      </c>
      <c r="F438" s="3">
        <f>Matchs!C439</f>
        <v>33043</v>
      </c>
      <c r="G438" s="10" t="str">
        <f t="shared" si="117"/>
        <v>"),TimeMatch=TimeSpan.Parse("</v>
      </c>
      <c r="H438" s="9">
        <f>Matchs!D439</f>
        <v>8.3333333333333329E-2</v>
      </c>
      <c r="I438" t="str">
        <f t="shared" si="118"/>
        <v>"),MatchYear=</v>
      </c>
      <c r="J438">
        <f>Matchs!E439</f>
        <v>1990</v>
      </c>
      <c r="K438" t="str">
        <f t="shared" si="119"/>
        <v>, SeasonId= "</v>
      </c>
      <c r="L438" t="str">
        <f>Matchs!F439</f>
        <v>FIFAWC1990</v>
      </c>
      <c r="M438" t="str">
        <f t="shared" si="120"/>
        <v>",Round= "</v>
      </c>
      <c r="N438" t="str">
        <f>Matchs!G439</f>
        <v>Final Round</v>
      </c>
      <c r="O438" s="6" t="str">
        <f t="shared" si="121"/>
        <v>",Stage= "</v>
      </c>
      <c r="P438" t="str">
        <f>Matchs!H439</f>
        <v>Group</v>
      </c>
      <c r="Q438" s="6" t="str">
        <f t="shared" si="122"/>
        <v>",SubStage= "</v>
      </c>
      <c r="R438" t="str">
        <f>Matchs!I439</f>
        <v xml:space="preserve">Group B </v>
      </c>
      <c r="S438" s="6" t="str">
        <f t="shared" si="123"/>
        <v>",HTeam= "</v>
      </c>
      <c r="T438" t="str">
        <f>Matchs!J439</f>
        <v>Cameroon</v>
      </c>
      <c r="U438" s="6" t="str">
        <f t="shared" si="124"/>
        <v>",HGoal=</v>
      </c>
      <c r="V438">
        <f>Matchs!K439</f>
        <v>0</v>
      </c>
      <c r="W438" s="6" t="str">
        <f t="shared" si="125"/>
        <v>,GGoal=</v>
      </c>
      <c r="X438">
        <f>Matchs!L439</f>
        <v>4</v>
      </c>
      <c r="Y438" s="6" t="str">
        <f t="shared" si="126"/>
        <v>,GTeam= "</v>
      </c>
      <c r="Z438" t="str">
        <f>Matchs!M439</f>
        <v>Soviet Union</v>
      </c>
      <c r="AA438" s="6" t="str">
        <f t="shared" si="127"/>
        <v>",WinNote="</v>
      </c>
      <c r="AB438" t="str">
        <f>IF(Matchs!N439="","",Matchs!N439)</f>
        <v/>
      </c>
      <c r="AC438" s="6" t="str">
        <f t="shared" si="128"/>
        <v xml:space="preserve">",Stadium=" </v>
      </c>
      <c r="AD438" s="11" t="str">
        <f>Matchs!O439</f>
        <v xml:space="preserve">Stadio San Nicola </v>
      </c>
      <c r="AE438" s="6" t="str">
        <f t="shared" si="129"/>
        <v>",Referee= "</v>
      </c>
      <c r="AF438" s="11" t="str">
        <f>Matchs!P439</f>
        <v xml:space="preserve">José Roberto Wright </v>
      </c>
      <c r="AG438" s="6" t="str">
        <f t="shared" si="130"/>
        <v xml:space="preserve">",Visistors= </v>
      </c>
      <c r="AH438" s="11">
        <f>Matchs!Q439</f>
        <v>37307</v>
      </c>
      <c r="AI438" s="11" t="str">
        <f t="shared" si="131"/>
        <v>,Status= "</v>
      </c>
      <c r="AJ438" s="11" t="str">
        <f>Matchs!R439</f>
        <v>Finished</v>
      </c>
      <c r="AK438" t="str">
        <f t="shared" si="132"/>
        <v>" },</v>
      </c>
    </row>
    <row r="439" spans="1:37" x14ac:dyDescent="0.25">
      <c r="A439" t="str">
        <f t="shared" si="114"/>
        <v>new Match { MatchId= "</v>
      </c>
      <c r="B439" t="str">
        <f>Matchs!A440</f>
        <v>FIFAWC1990-27</v>
      </c>
      <c r="C439" t="str">
        <f t="shared" si="115"/>
        <v>",MatchNumer=</v>
      </c>
      <c r="D439">
        <f>Matchs!B440</f>
        <v>27</v>
      </c>
      <c r="E439" t="str">
        <f t="shared" si="116"/>
        <v>,DateMatch=DateTime.Parse("</v>
      </c>
      <c r="F439" s="3">
        <f>Matchs!C440</f>
        <v>33043</v>
      </c>
      <c r="G439" s="10" t="str">
        <f t="shared" si="117"/>
        <v>"),TimeMatch=TimeSpan.Parse("</v>
      </c>
      <c r="H439" s="9">
        <f>Matchs!D440</f>
        <v>0.91666666666666663</v>
      </c>
      <c r="I439" t="str">
        <f t="shared" si="118"/>
        <v>"),MatchYear=</v>
      </c>
      <c r="J439">
        <f>Matchs!E440</f>
        <v>1990</v>
      </c>
      <c r="K439" t="str">
        <f t="shared" si="119"/>
        <v>, SeasonId= "</v>
      </c>
      <c r="L439" t="str">
        <f>Matchs!F440</f>
        <v>FIFAWC1990</v>
      </c>
      <c r="M439" t="str">
        <f t="shared" si="120"/>
        <v>",Round= "</v>
      </c>
      <c r="N439" t="str">
        <f>Matchs!G440</f>
        <v>Final Round</v>
      </c>
      <c r="O439" s="6" t="str">
        <f t="shared" si="121"/>
        <v>",Stage= "</v>
      </c>
      <c r="P439" t="str">
        <f>Matchs!H440</f>
        <v>Group</v>
      </c>
      <c r="Q439" s="6" t="str">
        <f t="shared" si="122"/>
        <v>",SubStage= "</v>
      </c>
      <c r="R439" t="str">
        <f>Matchs!I440</f>
        <v xml:space="preserve">Group D </v>
      </c>
      <c r="S439" s="6" t="str">
        <f t="shared" si="123"/>
        <v>",HTeam= "</v>
      </c>
      <c r="T439" t="str">
        <f>Matchs!J440</f>
        <v>Germany</v>
      </c>
      <c r="U439" s="6" t="str">
        <f t="shared" si="124"/>
        <v>",HGoal=</v>
      </c>
      <c r="V439">
        <f>Matchs!K440</f>
        <v>1</v>
      </c>
      <c r="W439" s="6" t="str">
        <f t="shared" si="125"/>
        <v>,GGoal=</v>
      </c>
      <c r="X439">
        <f>Matchs!L440</f>
        <v>1</v>
      </c>
      <c r="Y439" s="6" t="str">
        <f t="shared" si="126"/>
        <v>,GTeam= "</v>
      </c>
      <c r="Z439" t="str">
        <f>Matchs!M440</f>
        <v>Colombia</v>
      </c>
      <c r="AA439" s="6" t="str">
        <f t="shared" si="127"/>
        <v>",WinNote="</v>
      </c>
      <c r="AB439" t="str">
        <f>IF(Matchs!N440="","",Matchs!N440)</f>
        <v/>
      </c>
      <c r="AC439" s="6" t="str">
        <f t="shared" si="128"/>
        <v xml:space="preserve">",Stadium=" </v>
      </c>
      <c r="AD439" s="11" t="str">
        <f>Matchs!O440</f>
        <v xml:space="preserve">San Siro </v>
      </c>
      <c r="AE439" s="6" t="str">
        <f t="shared" si="129"/>
        <v>",Referee= "</v>
      </c>
      <c r="AF439" s="11" t="str">
        <f>Matchs!P440</f>
        <v xml:space="preserve">Alan Snoddy </v>
      </c>
      <c r="AG439" s="6" t="str">
        <f t="shared" si="130"/>
        <v xml:space="preserve">",Visistors= </v>
      </c>
      <c r="AH439" s="11">
        <f>Matchs!Q440</f>
        <v>72510</v>
      </c>
      <c r="AI439" s="11" t="str">
        <f t="shared" si="131"/>
        <v>,Status= "</v>
      </c>
      <c r="AJ439" s="11" t="str">
        <f>Matchs!R440</f>
        <v>Finished</v>
      </c>
      <c r="AK439" t="str">
        <f t="shared" si="132"/>
        <v>" },</v>
      </c>
    </row>
    <row r="440" spans="1:37" x14ac:dyDescent="0.25">
      <c r="A440" t="str">
        <f t="shared" si="114"/>
        <v>new Match { MatchId= "</v>
      </c>
      <c r="B440" t="str">
        <f>Matchs!A441</f>
        <v>FIFAWC1990-28</v>
      </c>
      <c r="C440" t="str">
        <f t="shared" si="115"/>
        <v>",MatchNumer=</v>
      </c>
      <c r="D440">
        <f>Matchs!B441</f>
        <v>28</v>
      </c>
      <c r="E440" t="str">
        <f t="shared" si="116"/>
        <v>,DateMatch=DateTime.Parse("</v>
      </c>
      <c r="F440" s="3">
        <f>Matchs!C441</f>
        <v>33043</v>
      </c>
      <c r="G440" s="10" t="str">
        <f t="shared" si="117"/>
        <v>"),TimeMatch=TimeSpan.Parse("</v>
      </c>
      <c r="H440" s="9">
        <f>Matchs!D441</f>
        <v>0.91666666666666663</v>
      </c>
      <c r="I440" t="str">
        <f t="shared" si="118"/>
        <v>"),MatchYear=</v>
      </c>
      <c r="J440">
        <f>Matchs!E441</f>
        <v>1990</v>
      </c>
      <c r="K440" t="str">
        <f t="shared" si="119"/>
        <v>, SeasonId= "</v>
      </c>
      <c r="L440" t="str">
        <f>Matchs!F441</f>
        <v>FIFAWC1990</v>
      </c>
      <c r="M440" t="str">
        <f t="shared" si="120"/>
        <v>",Round= "</v>
      </c>
      <c r="N440" t="str">
        <f>Matchs!G441</f>
        <v>Final Round</v>
      </c>
      <c r="O440" s="6" t="str">
        <f t="shared" si="121"/>
        <v>",Stage= "</v>
      </c>
      <c r="P440" t="str">
        <f>Matchs!H441</f>
        <v>Group</v>
      </c>
      <c r="Q440" s="6" t="str">
        <f t="shared" si="122"/>
        <v>",SubStage= "</v>
      </c>
      <c r="R440" t="str">
        <f>Matchs!I441</f>
        <v xml:space="preserve">Group D </v>
      </c>
      <c r="S440" s="6" t="str">
        <f t="shared" si="123"/>
        <v>",HTeam= "</v>
      </c>
      <c r="T440" t="str">
        <f>Matchs!J441</f>
        <v>Yugoslavia</v>
      </c>
      <c r="U440" s="6" t="str">
        <f t="shared" si="124"/>
        <v>",HGoal=</v>
      </c>
      <c r="V440">
        <f>Matchs!K441</f>
        <v>4</v>
      </c>
      <c r="W440" s="6" t="str">
        <f t="shared" si="125"/>
        <v>,GGoal=</v>
      </c>
      <c r="X440">
        <f>Matchs!L441</f>
        <v>1</v>
      </c>
      <c r="Y440" s="6" t="str">
        <f t="shared" si="126"/>
        <v>,GTeam= "</v>
      </c>
      <c r="Z440" t="str">
        <f>Matchs!M441</f>
        <v>United Arab Emirates</v>
      </c>
      <c r="AA440" s="6" t="str">
        <f t="shared" si="127"/>
        <v>",WinNote="</v>
      </c>
      <c r="AB440" t="str">
        <f>IF(Matchs!N441="","",Matchs!N441)</f>
        <v/>
      </c>
      <c r="AC440" s="6" t="str">
        <f t="shared" si="128"/>
        <v xml:space="preserve">",Stadium=" </v>
      </c>
      <c r="AD440" s="11" t="str">
        <f>Matchs!O441</f>
        <v xml:space="preserve">Stadio Renato Dall'Ara </v>
      </c>
      <c r="AE440" s="6" t="str">
        <f t="shared" si="129"/>
        <v>",Referee= "</v>
      </c>
      <c r="AF440" s="11" t="str">
        <f>Matchs!P441</f>
        <v xml:space="preserve">Shizuo Takada </v>
      </c>
      <c r="AG440" s="6" t="str">
        <f t="shared" si="130"/>
        <v xml:space="preserve">",Visistors= </v>
      </c>
      <c r="AH440" s="11">
        <f>Matchs!Q441</f>
        <v>27833</v>
      </c>
      <c r="AI440" s="11" t="str">
        <f t="shared" si="131"/>
        <v>,Status= "</v>
      </c>
      <c r="AJ440" s="11" t="str">
        <f>Matchs!R441</f>
        <v>Finished</v>
      </c>
      <c r="AK440" t="str">
        <f t="shared" si="132"/>
        <v>" },</v>
      </c>
    </row>
    <row r="441" spans="1:37" x14ac:dyDescent="0.25">
      <c r="A441" t="str">
        <f t="shared" si="114"/>
        <v>new Match { MatchId= "</v>
      </c>
      <c r="B441" t="str">
        <f>Matchs!A442</f>
        <v>FIFAWC1990-29</v>
      </c>
      <c r="C441" t="str">
        <f t="shared" si="115"/>
        <v>",MatchNumer=</v>
      </c>
      <c r="D441">
        <f>Matchs!B442</f>
        <v>29</v>
      </c>
      <c r="E441" t="str">
        <f t="shared" si="116"/>
        <v>,DateMatch=DateTime.Parse("</v>
      </c>
      <c r="F441" s="3">
        <f>Matchs!C442</f>
        <v>33044</v>
      </c>
      <c r="G441" s="10" t="str">
        <f t="shared" si="117"/>
        <v>"),TimeMatch=TimeSpan.Parse("</v>
      </c>
      <c r="H441" s="9">
        <f>Matchs!D442</f>
        <v>8.3333333333333329E-2</v>
      </c>
      <c r="I441" t="str">
        <f t="shared" si="118"/>
        <v>"),MatchYear=</v>
      </c>
      <c r="J441">
        <f>Matchs!E442</f>
        <v>1990</v>
      </c>
      <c r="K441" t="str">
        <f t="shared" si="119"/>
        <v>, SeasonId= "</v>
      </c>
      <c r="L441" t="str">
        <f>Matchs!F442</f>
        <v>FIFAWC1990</v>
      </c>
      <c r="M441" t="str">
        <f t="shared" si="120"/>
        <v>",Round= "</v>
      </c>
      <c r="N441" t="str">
        <f>Matchs!G442</f>
        <v>Final Round</v>
      </c>
      <c r="O441" s="6" t="str">
        <f t="shared" si="121"/>
        <v>",Stage= "</v>
      </c>
      <c r="P441" t="str">
        <f>Matchs!H442</f>
        <v>Group</v>
      </c>
      <c r="Q441" s="6" t="str">
        <f t="shared" si="122"/>
        <v>",SubStage= "</v>
      </c>
      <c r="R441" t="str">
        <f>Matchs!I442</f>
        <v xml:space="preserve">Group A </v>
      </c>
      <c r="S441" s="6" t="str">
        <f t="shared" si="123"/>
        <v>",HTeam= "</v>
      </c>
      <c r="T441" t="str">
        <f>Matchs!J442</f>
        <v>Italy</v>
      </c>
      <c r="U441" s="6" t="str">
        <f t="shared" si="124"/>
        <v>",HGoal=</v>
      </c>
      <c r="V441">
        <f>Matchs!K442</f>
        <v>2</v>
      </c>
      <c r="W441" s="6" t="str">
        <f t="shared" si="125"/>
        <v>,GGoal=</v>
      </c>
      <c r="X441">
        <f>Matchs!L442</f>
        <v>0</v>
      </c>
      <c r="Y441" s="6" t="str">
        <f t="shared" si="126"/>
        <v>,GTeam= "</v>
      </c>
      <c r="Z441" t="str">
        <f>Matchs!M442</f>
        <v>Czechoslovakia</v>
      </c>
      <c r="AA441" s="6" t="str">
        <f t="shared" si="127"/>
        <v>",WinNote="</v>
      </c>
      <c r="AB441" t="str">
        <f>IF(Matchs!N442="","",Matchs!N442)</f>
        <v/>
      </c>
      <c r="AC441" s="6" t="str">
        <f t="shared" si="128"/>
        <v xml:space="preserve">",Stadium=" </v>
      </c>
      <c r="AD441" s="11" t="str">
        <f>Matchs!O442</f>
        <v xml:space="preserve">Stadio Olimpico </v>
      </c>
      <c r="AE441" s="6" t="str">
        <f t="shared" si="129"/>
        <v>",Referee= "</v>
      </c>
      <c r="AF441" s="11" t="str">
        <f>Matchs!P442</f>
        <v xml:space="preserve">Joel Quiniou </v>
      </c>
      <c r="AG441" s="6" t="str">
        <f t="shared" si="130"/>
        <v xml:space="preserve">",Visistors= </v>
      </c>
      <c r="AH441" s="11">
        <f>Matchs!Q442</f>
        <v>73303</v>
      </c>
      <c r="AI441" s="11" t="str">
        <f t="shared" si="131"/>
        <v>,Status= "</v>
      </c>
      <c r="AJ441" s="11" t="str">
        <f>Matchs!R442</f>
        <v>Finished</v>
      </c>
      <c r="AK441" t="str">
        <f t="shared" si="132"/>
        <v>" },</v>
      </c>
    </row>
    <row r="442" spans="1:37" x14ac:dyDescent="0.25">
      <c r="A442" t="str">
        <f t="shared" si="114"/>
        <v>new Match { MatchId= "</v>
      </c>
      <c r="B442" t="str">
        <f>Matchs!A443</f>
        <v>FIFAWC1990-30</v>
      </c>
      <c r="C442" t="str">
        <f t="shared" si="115"/>
        <v>",MatchNumer=</v>
      </c>
      <c r="D442">
        <f>Matchs!B443</f>
        <v>30</v>
      </c>
      <c r="E442" t="str">
        <f t="shared" si="116"/>
        <v>,DateMatch=DateTime.Parse("</v>
      </c>
      <c r="F442" s="3">
        <f>Matchs!C443</f>
        <v>33044</v>
      </c>
      <c r="G442" s="10" t="str">
        <f t="shared" si="117"/>
        <v>"),TimeMatch=TimeSpan.Parse("</v>
      </c>
      <c r="H442" s="9">
        <f>Matchs!D443</f>
        <v>8.3333333333333329E-2</v>
      </c>
      <c r="I442" t="str">
        <f t="shared" si="118"/>
        <v>"),MatchYear=</v>
      </c>
      <c r="J442">
        <f>Matchs!E443</f>
        <v>1990</v>
      </c>
      <c r="K442" t="str">
        <f t="shared" si="119"/>
        <v>, SeasonId= "</v>
      </c>
      <c r="L442" t="str">
        <f>Matchs!F443</f>
        <v>FIFAWC1990</v>
      </c>
      <c r="M442" t="str">
        <f t="shared" si="120"/>
        <v>",Round= "</v>
      </c>
      <c r="N442" t="str">
        <f>Matchs!G443</f>
        <v>Final Round</v>
      </c>
      <c r="O442" s="6" t="str">
        <f t="shared" si="121"/>
        <v>",Stage= "</v>
      </c>
      <c r="P442" t="str">
        <f>Matchs!H443</f>
        <v>Group</v>
      </c>
      <c r="Q442" s="6" t="str">
        <f t="shared" si="122"/>
        <v>",SubStage= "</v>
      </c>
      <c r="R442" t="str">
        <f>Matchs!I443</f>
        <v xml:space="preserve">Group A </v>
      </c>
      <c r="S442" s="6" t="str">
        <f t="shared" si="123"/>
        <v>",HTeam= "</v>
      </c>
      <c r="T442" t="str">
        <f>Matchs!J443</f>
        <v>Austria</v>
      </c>
      <c r="U442" s="6" t="str">
        <f t="shared" si="124"/>
        <v>",HGoal=</v>
      </c>
      <c r="V442">
        <f>Matchs!K443</f>
        <v>2</v>
      </c>
      <c r="W442" s="6" t="str">
        <f t="shared" si="125"/>
        <v>,GGoal=</v>
      </c>
      <c r="X442">
        <f>Matchs!L443</f>
        <v>1</v>
      </c>
      <c r="Y442" s="6" t="str">
        <f t="shared" si="126"/>
        <v>,GTeam= "</v>
      </c>
      <c r="Z442" t="str">
        <f>Matchs!M443</f>
        <v>USA</v>
      </c>
      <c r="AA442" s="6" t="str">
        <f t="shared" si="127"/>
        <v>",WinNote="</v>
      </c>
      <c r="AB442" t="str">
        <f>IF(Matchs!N443="","",Matchs!N443)</f>
        <v/>
      </c>
      <c r="AC442" s="6" t="str">
        <f t="shared" si="128"/>
        <v xml:space="preserve">",Stadium=" </v>
      </c>
      <c r="AD442" s="11" t="str">
        <f>Matchs!O443</f>
        <v xml:space="preserve">Stadio Artemio Franchi </v>
      </c>
      <c r="AE442" s="6" t="str">
        <f t="shared" si="129"/>
        <v>",Referee= "</v>
      </c>
      <c r="AF442" s="11" t="str">
        <f>Matchs!P443</f>
        <v xml:space="preserve">Jamal Al-Sharif </v>
      </c>
      <c r="AG442" s="6" t="str">
        <f t="shared" si="130"/>
        <v xml:space="preserve">",Visistors= </v>
      </c>
      <c r="AH442" s="11">
        <f>Matchs!Q443</f>
        <v>34857</v>
      </c>
      <c r="AI442" s="11" t="str">
        <f t="shared" si="131"/>
        <v>,Status= "</v>
      </c>
      <c r="AJ442" s="11" t="str">
        <f>Matchs!R443</f>
        <v>Finished</v>
      </c>
      <c r="AK442" t="str">
        <f t="shared" si="132"/>
        <v>" },</v>
      </c>
    </row>
    <row r="443" spans="1:37" x14ac:dyDescent="0.25">
      <c r="A443" t="str">
        <f t="shared" si="114"/>
        <v>new Match { MatchId= "</v>
      </c>
      <c r="B443" t="str">
        <f>Matchs!A444</f>
        <v>FIFAWC1990-31</v>
      </c>
      <c r="C443" t="str">
        <f t="shared" si="115"/>
        <v>",MatchNumer=</v>
      </c>
      <c r="D443">
        <f>Matchs!B444</f>
        <v>31</v>
      </c>
      <c r="E443" t="str">
        <f t="shared" si="116"/>
        <v>,DateMatch=DateTime.Parse("</v>
      </c>
      <c r="F443" s="3">
        <f>Matchs!C444</f>
        <v>33045</v>
      </c>
      <c r="G443" s="10" t="str">
        <f t="shared" si="117"/>
        <v>"),TimeMatch=TimeSpan.Parse("</v>
      </c>
      <c r="H443" s="9">
        <f>Matchs!D444</f>
        <v>8.3333333333333329E-2</v>
      </c>
      <c r="I443" t="str">
        <f t="shared" si="118"/>
        <v>"),MatchYear=</v>
      </c>
      <c r="J443">
        <f>Matchs!E444</f>
        <v>1990</v>
      </c>
      <c r="K443" t="str">
        <f t="shared" si="119"/>
        <v>, SeasonId= "</v>
      </c>
      <c r="L443" t="str">
        <f>Matchs!F444</f>
        <v>FIFAWC1990</v>
      </c>
      <c r="M443" t="str">
        <f t="shared" si="120"/>
        <v>",Round= "</v>
      </c>
      <c r="N443" t="str">
        <f>Matchs!G444</f>
        <v>Final Round</v>
      </c>
      <c r="O443" s="6" t="str">
        <f t="shared" si="121"/>
        <v>",Stage= "</v>
      </c>
      <c r="P443" t="str">
        <f>Matchs!H444</f>
        <v>Group</v>
      </c>
      <c r="Q443" s="6" t="str">
        <f t="shared" si="122"/>
        <v>",SubStage= "</v>
      </c>
      <c r="R443" t="str">
        <f>Matchs!I444</f>
        <v xml:space="preserve">Group C </v>
      </c>
      <c r="S443" s="6" t="str">
        <f t="shared" si="123"/>
        <v>",HTeam= "</v>
      </c>
      <c r="T443" t="str">
        <f>Matchs!J444</f>
        <v>Brazil</v>
      </c>
      <c r="U443" s="6" t="str">
        <f t="shared" si="124"/>
        <v>",HGoal=</v>
      </c>
      <c r="V443">
        <f>Matchs!K444</f>
        <v>1</v>
      </c>
      <c r="W443" s="6" t="str">
        <f t="shared" si="125"/>
        <v>,GGoal=</v>
      </c>
      <c r="X443">
        <f>Matchs!L444</f>
        <v>0</v>
      </c>
      <c r="Y443" s="6" t="str">
        <f t="shared" si="126"/>
        <v>,GTeam= "</v>
      </c>
      <c r="Z443" t="str">
        <f>Matchs!M444</f>
        <v>Scotland</v>
      </c>
      <c r="AA443" s="6" t="str">
        <f t="shared" si="127"/>
        <v>",WinNote="</v>
      </c>
      <c r="AB443" t="str">
        <f>IF(Matchs!N444="","",Matchs!N444)</f>
        <v/>
      </c>
      <c r="AC443" s="6" t="str">
        <f t="shared" si="128"/>
        <v xml:space="preserve">",Stadium=" </v>
      </c>
      <c r="AD443" s="11" t="str">
        <f>Matchs!O444</f>
        <v xml:space="preserve">Stadio delle Alpi </v>
      </c>
      <c r="AE443" s="6" t="str">
        <f t="shared" si="129"/>
        <v>",Referee= "</v>
      </c>
      <c r="AF443" s="11" t="str">
        <f>Matchs!P444</f>
        <v xml:space="preserve">Helmut Kohl </v>
      </c>
      <c r="AG443" s="6" t="str">
        <f t="shared" si="130"/>
        <v xml:space="preserve">",Visistors= </v>
      </c>
      <c r="AH443" s="11">
        <f>Matchs!Q444</f>
        <v>62502</v>
      </c>
      <c r="AI443" s="11" t="str">
        <f t="shared" si="131"/>
        <v>,Status= "</v>
      </c>
      <c r="AJ443" s="11" t="str">
        <f>Matchs!R444</f>
        <v>Finished</v>
      </c>
      <c r="AK443" t="str">
        <f t="shared" si="132"/>
        <v>" },</v>
      </c>
    </row>
    <row r="444" spans="1:37" x14ac:dyDescent="0.25">
      <c r="A444" t="str">
        <f t="shared" si="114"/>
        <v>new Match { MatchId= "</v>
      </c>
      <c r="B444" t="str">
        <f>Matchs!A445</f>
        <v>FIFAWC1990-32</v>
      </c>
      <c r="C444" t="str">
        <f t="shared" si="115"/>
        <v>",MatchNumer=</v>
      </c>
      <c r="D444">
        <f>Matchs!B445</f>
        <v>32</v>
      </c>
      <c r="E444" t="str">
        <f t="shared" si="116"/>
        <v>,DateMatch=DateTime.Parse("</v>
      </c>
      <c r="F444" s="3">
        <f>Matchs!C445</f>
        <v>33045</v>
      </c>
      <c r="G444" s="10" t="str">
        <f t="shared" si="117"/>
        <v>"),TimeMatch=TimeSpan.Parse("</v>
      </c>
      <c r="H444" s="9">
        <f>Matchs!D445</f>
        <v>8.3333333333333329E-2</v>
      </c>
      <c r="I444" t="str">
        <f t="shared" si="118"/>
        <v>"),MatchYear=</v>
      </c>
      <c r="J444">
        <f>Matchs!E445</f>
        <v>1990</v>
      </c>
      <c r="K444" t="str">
        <f t="shared" si="119"/>
        <v>, SeasonId= "</v>
      </c>
      <c r="L444" t="str">
        <f>Matchs!F445</f>
        <v>FIFAWC1990</v>
      </c>
      <c r="M444" t="str">
        <f t="shared" si="120"/>
        <v>",Round= "</v>
      </c>
      <c r="N444" t="str">
        <f>Matchs!G445</f>
        <v>Final Round</v>
      </c>
      <c r="O444" s="6" t="str">
        <f t="shared" si="121"/>
        <v>",Stage= "</v>
      </c>
      <c r="P444" t="str">
        <f>Matchs!H445</f>
        <v>Group</v>
      </c>
      <c r="Q444" s="6" t="str">
        <f t="shared" si="122"/>
        <v>",SubStage= "</v>
      </c>
      <c r="R444" t="str">
        <f>Matchs!I445</f>
        <v xml:space="preserve">Group C </v>
      </c>
      <c r="S444" s="6" t="str">
        <f t="shared" si="123"/>
        <v>",HTeam= "</v>
      </c>
      <c r="T444" t="str">
        <f>Matchs!J445</f>
        <v>Sweden</v>
      </c>
      <c r="U444" s="6" t="str">
        <f t="shared" si="124"/>
        <v>",HGoal=</v>
      </c>
      <c r="V444">
        <f>Matchs!K445</f>
        <v>1</v>
      </c>
      <c r="W444" s="6" t="str">
        <f t="shared" si="125"/>
        <v>,GGoal=</v>
      </c>
      <c r="X444">
        <f>Matchs!L445</f>
        <v>2</v>
      </c>
      <c r="Y444" s="6" t="str">
        <f t="shared" si="126"/>
        <v>,GTeam= "</v>
      </c>
      <c r="Z444" t="str">
        <f>Matchs!M445</f>
        <v>Costa Rica</v>
      </c>
      <c r="AA444" s="6" t="str">
        <f t="shared" si="127"/>
        <v>",WinNote="</v>
      </c>
      <c r="AB444" t="str">
        <f>IF(Matchs!N445="","",Matchs!N445)</f>
        <v/>
      </c>
      <c r="AC444" s="6" t="str">
        <f t="shared" si="128"/>
        <v xml:space="preserve">",Stadium=" </v>
      </c>
      <c r="AD444" s="11" t="str">
        <f>Matchs!O445</f>
        <v xml:space="preserve">Stadio Luigi Ferraris </v>
      </c>
      <c r="AE444" s="6" t="str">
        <f t="shared" si="129"/>
        <v>",Referee= "</v>
      </c>
      <c r="AF444" s="11" t="str">
        <f>Matchs!P445</f>
        <v xml:space="preserve">Zoran Petrovic </v>
      </c>
      <c r="AG444" s="6" t="str">
        <f t="shared" si="130"/>
        <v xml:space="preserve">",Visistors= </v>
      </c>
      <c r="AH444" s="11">
        <f>Matchs!Q445</f>
        <v>30223</v>
      </c>
      <c r="AI444" s="11" t="str">
        <f t="shared" si="131"/>
        <v>,Status= "</v>
      </c>
      <c r="AJ444" s="11" t="str">
        <f>Matchs!R445</f>
        <v>Finished</v>
      </c>
      <c r="AK444" t="str">
        <f t="shared" si="132"/>
        <v>" },</v>
      </c>
    </row>
    <row r="445" spans="1:37" x14ac:dyDescent="0.25">
      <c r="A445" t="str">
        <f t="shared" si="114"/>
        <v>new Match { MatchId= "</v>
      </c>
      <c r="B445" t="str">
        <f>Matchs!A446</f>
        <v>FIFAWC1990-33</v>
      </c>
      <c r="C445" t="str">
        <f t="shared" si="115"/>
        <v>",MatchNumer=</v>
      </c>
      <c r="D445">
        <f>Matchs!B446</f>
        <v>33</v>
      </c>
      <c r="E445" t="str">
        <f t="shared" si="116"/>
        <v>,DateMatch=DateTime.Parse("</v>
      </c>
      <c r="F445" s="3">
        <f>Matchs!C446</f>
        <v>33045</v>
      </c>
      <c r="G445" s="10" t="str">
        <f t="shared" si="117"/>
        <v>"),TimeMatch=TimeSpan.Parse("</v>
      </c>
      <c r="H445" s="9">
        <f>Matchs!D446</f>
        <v>0.91666666666666663</v>
      </c>
      <c r="I445" t="str">
        <f t="shared" si="118"/>
        <v>"),MatchYear=</v>
      </c>
      <c r="J445">
        <f>Matchs!E446</f>
        <v>1990</v>
      </c>
      <c r="K445" t="str">
        <f t="shared" si="119"/>
        <v>, SeasonId= "</v>
      </c>
      <c r="L445" t="str">
        <f>Matchs!F446</f>
        <v>FIFAWC1990</v>
      </c>
      <c r="M445" t="str">
        <f t="shared" si="120"/>
        <v>",Round= "</v>
      </c>
      <c r="N445" t="str">
        <f>Matchs!G446</f>
        <v>Final Round</v>
      </c>
      <c r="O445" s="6" t="str">
        <f t="shared" si="121"/>
        <v>",Stage= "</v>
      </c>
      <c r="P445" t="str">
        <f>Matchs!H446</f>
        <v>Group</v>
      </c>
      <c r="Q445" s="6" t="str">
        <f t="shared" si="122"/>
        <v>",SubStage= "</v>
      </c>
      <c r="R445" t="str">
        <f>Matchs!I446</f>
        <v xml:space="preserve">Group E </v>
      </c>
      <c r="S445" s="6" t="str">
        <f t="shared" si="123"/>
        <v>",HTeam= "</v>
      </c>
      <c r="T445" t="str">
        <f>Matchs!J446</f>
        <v>South Korea</v>
      </c>
      <c r="U445" s="6" t="str">
        <f t="shared" si="124"/>
        <v>",HGoal=</v>
      </c>
      <c r="V445">
        <f>Matchs!K446</f>
        <v>0</v>
      </c>
      <c r="W445" s="6" t="str">
        <f t="shared" si="125"/>
        <v>,GGoal=</v>
      </c>
      <c r="X445">
        <f>Matchs!L446</f>
        <v>1</v>
      </c>
      <c r="Y445" s="6" t="str">
        <f t="shared" si="126"/>
        <v>,GTeam= "</v>
      </c>
      <c r="Z445" t="str">
        <f>Matchs!M446</f>
        <v>Costa Rica</v>
      </c>
      <c r="AA445" s="6" t="str">
        <f t="shared" si="127"/>
        <v>",WinNote="</v>
      </c>
      <c r="AB445" t="str">
        <f>IF(Matchs!N446="","",Matchs!N446)</f>
        <v/>
      </c>
      <c r="AC445" s="6" t="str">
        <f t="shared" si="128"/>
        <v xml:space="preserve">",Stadium=" </v>
      </c>
      <c r="AD445" s="11" t="str">
        <f>Matchs!O446</f>
        <v xml:space="preserve">Stadio Friuli </v>
      </c>
      <c r="AE445" s="6" t="str">
        <f t="shared" si="129"/>
        <v>",Referee= "</v>
      </c>
      <c r="AF445" s="11" t="str">
        <f>Matchs!P446</f>
        <v xml:space="preserve">Tullio Lanese </v>
      </c>
      <c r="AG445" s="6" t="str">
        <f t="shared" si="130"/>
        <v xml:space="preserve">",Visistors= </v>
      </c>
      <c r="AH445" s="11">
        <f>Matchs!Q446</f>
        <v>29039</v>
      </c>
      <c r="AI445" s="11" t="str">
        <f t="shared" si="131"/>
        <v>,Status= "</v>
      </c>
      <c r="AJ445" s="11" t="str">
        <f>Matchs!R446</f>
        <v>Finished</v>
      </c>
      <c r="AK445" t="str">
        <f t="shared" si="132"/>
        <v>" },</v>
      </c>
    </row>
    <row r="446" spans="1:37" x14ac:dyDescent="0.25">
      <c r="A446" t="str">
        <f t="shared" si="114"/>
        <v>new Match { MatchId= "</v>
      </c>
      <c r="B446" t="str">
        <f>Matchs!A447</f>
        <v>FIFAWC1990-34</v>
      </c>
      <c r="C446" t="str">
        <f t="shared" si="115"/>
        <v>",MatchNumer=</v>
      </c>
      <c r="D446">
        <f>Matchs!B447</f>
        <v>34</v>
      </c>
      <c r="E446" t="str">
        <f t="shared" si="116"/>
        <v>,DateMatch=DateTime.Parse("</v>
      </c>
      <c r="F446" s="3">
        <f>Matchs!C447</f>
        <v>33045</v>
      </c>
      <c r="G446" s="10" t="str">
        <f t="shared" si="117"/>
        <v>"),TimeMatch=TimeSpan.Parse("</v>
      </c>
      <c r="H446" s="9">
        <f>Matchs!D447</f>
        <v>0.91666666666666663</v>
      </c>
      <c r="I446" t="str">
        <f t="shared" si="118"/>
        <v>"),MatchYear=</v>
      </c>
      <c r="J446">
        <f>Matchs!E447</f>
        <v>1990</v>
      </c>
      <c r="K446" t="str">
        <f t="shared" si="119"/>
        <v>, SeasonId= "</v>
      </c>
      <c r="L446" t="str">
        <f>Matchs!F447</f>
        <v>FIFAWC1990</v>
      </c>
      <c r="M446" t="str">
        <f t="shared" si="120"/>
        <v>",Round= "</v>
      </c>
      <c r="N446" t="str">
        <f>Matchs!G447</f>
        <v>Final Round</v>
      </c>
      <c r="O446" s="6" t="str">
        <f t="shared" si="121"/>
        <v>",Stage= "</v>
      </c>
      <c r="P446" t="str">
        <f>Matchs!H447</f>
        <v>Group</v>
      </c>
      <c r="Q446" s="6" t="str">
        <f t="shared" si="122"/>
        <v>",SubStage= "</v>
      </c>
      <c r="R446" t="str">
        <f>Matchs!I447</f>
        <v xml:space="preserve">Group E </v>
      </c>
      <c r="S446" s="6" t="str">
        <f t="shared" si="123"/>
        <v>",HTeam= "</v>
      </c>
      <c r="T446" t="str">
        <f>Matchs!J447</f>
        <v>Belgium</v>
      </c>
      <c r="U446" s="6" t="str">
        <f t="shared" si="124"/>
        <v>",HGoal=</v>
      </c>
      <c r="V446">
        <f>Matchs!K447</f>
        <v>1</v>
      </c>
      <c r="W446" s="6" t="str">
        <f t="shared" si="125"/>
        <v>,GGoal=</v>
      </c>
      <c r="X446">
        <f>Matchs!L447</f>
        <v>2</v>
      </c>
      <c r="Y446" s="6" t="str">
        <f t="shared" si="126"/>
        <v>,GTeam= "</v>
      </c>
      <c r="Z446" t="str">
        <f>Matchs!M447</f>
        <v>Spain</v>
      </c>
      <c r="AA446" s="6" t="str">
        <f t="shared" si="127"/>
        <v>",WinNote="</v>
      </c>
      <c r="AB446" t="str">
        <f>IF(Matchs!N447="","",Matchs!N447)</f>
        <v/>
      </c>
      <c r="AC446" s="6" t="str">
        <f t="shared" si="128"/>
        <v xml:space="preserve">",Stadium=" </v>
      </c>
      <c r="AD446" s="11" t="str">
        <f>Matchs!O447</f>
        <v xml:space="preserve">Stadio Marc'Antonio Bentegodi </v>
      </c>
      <c r="AE446" s="6" t="str">
        <f t="shared" si="129"/>
        <v>",Referee= "</v>
      </c>
      <c r="AF446" s="11" t="str">
        <f>Matchs!P447</f>
        <v xml:space="preserve">Juan Carlos Loustau </v>
      </c>
      <c r="AG446" s="6" t="str">
        <f t="shared" si="130"/>
        <v xml:space="preserve">",Visistors= </v>
      </c>
      <c r="AH446" s="11">
        <f>Matchs!Q447</f>
        <v>35950</v>
      </c>
      <c r="AI446" s="11" t="str">
        <f t="shared" si="131"/>
        <v>,Status= "</v>
      </c>
      <c r="AJ446" s="11" t="str">
        <f>Matchs!R447</f>
        <v>Finished</v>
      </c>
      <c r="AK446" t="str">
        <f t="shared" si="132"/>
        <v>" },</v>
      </c>
    </row>
    <row r="447" spans="1:37" x14ac:dyDescent="0.25">
      <c r="A447" t="str">
        <f t="shared" si="114"/>
        <v>new Match { MatchId= "</v>
      </c>
      <c r="B447" t="str">
        <f>Matchs!A448</f>
        <v>FIFAWC1990-35</v>
      </c>
      <c r="C447" t="str">
        <f t="shared" si="115"/>
        <v>",MatchNumer=</v>
      </c>
      <c r="D447">
        <f>Matchs!B448</f>
        <v>35</v>
      </c>
      <c r="E447" t="str">
        <f t="shared" si="116"/>
        <v>,DateMatch=DateTime.Parse("</v>
      </c>
      <c r="F447" s="3">
        <f>Matchs!C448</f>
        <v>33046</v>
      </c>
      <c r="G447" s="10" t="str">
        <f t="shared" si="117"/>
        <v>"),TimeMatch=TimeSpan.Parse("</v>
      </c>
      <c r="H447" s="9">
        <f>Matchs!D448</f>
        <v>8.3333333333333329E-2</v>
      </c>
      <c r="I447" t="str">
        <f t="shared" si="118"/>
        <v>"),MatchYear=</v>
      </c>
      <c r="J447">
        <f>Matchs!E448</f>
        <v>1990</v>
      </c>
      <c r="K447" t="str">
        <f t="shared" si="119"/>
        <v>, SeasonId= "</v>
      </c>
      <c r="L447" t="str">
        <f>Matchs!F448</f>
        <v>FIFAWC1990</v>
      </c>
      <c r="M447" t="str">
        <f t="shared" si="120"/>
        <v>",Round= "</v>
      </c>
      <c r="N447" t="str">
        <f>Matchs!G448</f>
        <v>Final Round</v>
      </c>
      <c r="O447" s="6" t="str">
        <f t="shared" si="121"/>
        <v>",Stage= "</v>
      </c>
      <c r="P447" t="str">
        <f>Matchs!H448</f>
        <v>Group</v>
      </c>
      <c r="Q447" s="6" t="str">
        <f t="shared" si="122"/>
        <v>",SubStage= "</v>
      </c>
      <c r="R447" t="str">
        <f>Matchs!I448</f>
        <v xml:space="preserve">Group F </v>
      </c>
      <c r="S447" s="6" t="str">
        <f t="shared" si="123"/>
        <v>",HTeam= "</v>
      </c>
      <c r="T447" t="str">
        <f>Matchs!J448</f>
        <v>England</v>
      </c>
      <c r="U447" s="6" t="str">
        <f t="shared" si="124"/>
        <v>",HGoal=</v>
      </c>
      <c r="V447">
        <f>Matchs!K448</f>
        <v>1</v>
      </c>
      <c r="W447" s="6" t="str">
        <f t="shared" si="125"/>
        <v>,GGoal=</v>
      </c>
      <c r="X447">
        <f>Matchs!L448</f>
        <v>0</v>
      </c>
      <c r="Y447" s="6" t="str">
        <f t="shared" si="126"/>
        <v>,GTeam= "</v>
      </c>
      <c r="Z447" t="str">
        <f>Matchs!M448</f>
        <v>Egypt</v>
      </c>
      <c r="AA447" s="6" t="str">
        <f t="shared" si="127"/>
        <v>",WinNote="</v>
      </c>
      <c r="AB447" t="str">
        <f>IF(Matchs!N448="","",Matchs!N448)</f>
        <v/>
      </c>
      <c r="AC447" s="6" t="str">
        <f t="shared" si="128"/>
        <v xml:space="preserve">",Stadium=" </v>
      </c>
      <c r="AD447" s="11" t="str">
        <f>Matchs!O448</f>
        <v xml:space="preserve">Stadio Sant'Elia </v>
      </c>
      <c r="AE447" s="6" t="str">
        <f t="shared" si="129"/>
        <v>",Referee= "</v>
      </c>
      <c r="AF447" s="11" t="str">
        <f>Matchs!P448</f>
        <v xml:space="preserve">Kurt Röthlisberger </v>
      </c>
      <c r="AG447" s="6" t="str">
        <f t="shared" si="130"/>
        <v xml:space="preserve">",Visistors= </v>
      </c>
      <c r="AH447" s="11">
        <f>Matchs!Q448</f>
        <v>34959</v>
      </c>
      <c r="AI447" s="11" t="str">
        <f t="shared" si="131"/>
        <v>,Status= "</v>
      </c>
      <c r="AJ447" s="11" t="str">
        <f>Matchs!R448</f>
        <v>Finished</v>
      </c>
      <c r="AK447" t="str">
        <f t="shared" si="132"/>
        <v>" },</v>
      </c>
    </row>
    <row r="448" spans="1:37" x14ac:dyDescent="0.25">
      <c r="A448" t="str">
        <f t="shared" si="114"/>
        <v>new Match { MatchId= "</v>
      </c>
      <c r="B448" t="str">
        <f>Matchs!A449</f>
        <v>FIFAWC1990-36</v>
      </c>
      <c r="C448" t="str">
        <f t="shared" si="115"/>
        <v>",MatchNumer=</v>
      </c>
      <c r="D448">
        <f>Matchs!B449</f>
        <v>36</v>
      </c>
      <c r="E448" t="str">
        <f t="shared" si="116"/>
        <v>,DateMatch=DateTime.Parse("</v>
      </c>
      <c r="F448" s="3">
        <f>Matchs!C449</f>
        <v>33046</v>
      </c>
      <c r="G448" s="10" t="str">
        <f t="shared" si="117"/>
        <v>"),TimeMatch=TimeSpan.Parse("</v>
      </c>
      <c r="H448" s="9">
        <f>Matchs!D449</f>
        <v>8.3333333333333329E-2</v>
      </c>
      <c r="I448" t="str">
        <f t="shared" si="118"/>
        <v>"),MatchYear=</v>
      </c>
      <c r="J448">
        <f>Matchs!E449</f>
        <v>1990</v>
      </c>
      <c r="K448" t="str">
        <f t="shared" si="119"/>
        <v>, SeasonId= "</v>
      </c>
      <c r="L448" t="str">
        <f>Matchs!F449</f>
        <v>FIFAWC1990</v>
      </c>
      <c r="M448" t="str">
        <f t="shared" si="120"/>
        <v>",Round= "</v>
      </c>
      <c r="N448" t="str">
        <f>Matchs!G449</f>
        <v>Final Round</v>
      </c>
      <c r="O448" s="6" t="str">
        <f t="shared" si="121"/>
        <v>",Stage= "</v>
      </c>
      <c r="P448" t="str">
        <f>Matchs!H449</f>
        <v>Group</v>
      </c>
      <c r="Q448" s="6" t="str">
        <f t="shared" si="122"/>
        <v>",SubStage= "</v>
      </c>
      <c r="R448" t="str">
        <f>Matchs!I449</f>
        <v xml:space="preserve">Group F </v>
      </c>
      <c r="S448" s="6" t="str">
        <f t="shared" si="123"/>
        <v>",HTeam= "</v>
      </c>
      <c r="T448" t="str">
        <f>Matchs!J449</f>
        <v>Republic of Ireland</v>
      </c>
      <c r="U448" s="6" t="str">
        <f t="shared" si="124"/>
        <v>",HGoal=</v>
      </c>
      <c r="V448">
        <f>Matchs!K449</f>
        <v>1</v>
      </c>
      <c r="W448" s="6" t="str">
        <f t="shared" si="125"/>
        <v>,GGoal=</v>
      </c>
      <c r="X448">
        <f>Matchs!L449</f>
        <v>1</v>
      </c>
      <c r="Y448" s="6" t="str">
        <f t="shared" si="126"/>
        <v>,GTeam= "</v>
      </c>
      <c r="Z448" t="str">
        <f>Matchs!M449</f>
        <v>Netherlands</v>
      </c>
      <c r="AA448" s="6" t="str">
        <f t="shared" si="127"/>
        <v>",WinNote="</v>
      </c>
      <c r="AB448" t="str">
        <f>IF(Matchs!N449="","",Matchs!N449)</f>
        <v/>
      </c>
      <c r="AC448" s="6" t="str">
        <f t="shared" si="128"/>
        <v xml:space="preserve">",Stadium=" </v>
      </c>
      <c r="AD448" s="11" t="str">
        <f>Matchs!O449</f>
        <v xml:space="preserve">Stadio Renzo Barbera </v>
      </c>
      <c r="AE448" s="6" t="str">
        <f t="shared" si="129"/>
        <v>",Referee= "</v>
      </c>
      <c r="AF448" s="11" t="str">
        <f>Matchs!P449</f>
        <v xml:space="preserve">Michel Vautrot </v>
      </c>
      <c r="AG448" s="6" t="str">
        <f t="shared" si="130"/>
        <v xml:space="preserve">",Visistors= </v>
      </c>
      <c r="AH448" s="11">
        <f>Matchs!Q449</f>
        <v>33288</v>
      </c>
      <c r="AI448" s="11" t="str">
        <f t="shared" si="131"/>
        <v>,Status= "</v>
      </c>
      <c r="AJ448" s="11" t="str">
        <f>Matchs!R449</f>
        <v>Finished</v>
      </c>
      <c r="AK448" t="str">
        <f t="shared" si="132"/>
        <v>" },</v>
      </c>
    </row>
    <row r="449" spans="1:37" x14ac:dyDescent="0.25">
      <c r="A449" t="str">
        <f t="shared" si="114"/>
        <v>new Match { MatchId= "</v>
      </c>
      <c r="B449" t="str">
        <f>Matchs!A450</f>
        <v>FIFAWC1990-37</v>
      </c>
      <c r="C449" t="str">
        <f t="shared" si="115"/>
        <v>",MatchNumer=</v>
      </c>
      <c r="D449">
        <f>Matchs!B450</f>
        <v>37</v>
      </c>
      <c r="E449" t="str">
        <f t="shared" si="116"/>
        <v>,DateMatch=DateTime.Parse("</v>
      </c>
      <c r="F449" s="3">
        <f>Matchs!C450</f>
        <v>33047</v>
      </c>
      <c r="G449" s="10" t="str">
        <f t="shared" si="117"/>
        <v>"),TimeMatch=TimeSpan.Parse("</v>
      </c>
      <c r="H449" s="9">
        <f>Matchs!D450</f>
        <v>0.91666666666666663</v>
      </c>
      <c r="I449" t="str">
        <f t="shared" si="118"/>
        <v>"),MatchYear=</v>
      </c>
      <c r="J449">
        <f>Matchs!E450</f>
        <v>1990</v>
      </c>
      <c r="K449" t="str">
        <f t="shared" si="119"/>
        <v>, SeasonId= "</v>
      </c>
      <c r="L449" t="str">
        <f>Matchs!F450</f>
        <v>FIFAWC1990</v>
      </c>
      <c r="M449" t="str">
        <f t="shared" si="120"/>
        <v>",Round= "</v>
      </c>
      <c r="N449" t="str">
        <f>Matchs!G450</f>
        <v>Final Round</v>
      </c>
      <c r="O449" s="6" t="str">
        <f t="shared" si="121"/>
        <v>",Stage= "</v>
      </c>
      <c r="P449" t="str">
        <f>Matchs!H450</f>
        <v>Knockouts</v>
      </c>
      <c r="Q449" s="6" t="str">
        <f t="shared" si="122"/>
        <v>",SubStage= "</v>
      </c>
      <c r="R449" t="str">
        <f>Matchs!I450</f>
        <v xml:space="preserve">Round of 16 </v>
      </c>
      <c r="S449" s="6" t="str">
        <f t="shared" si="123"/>
        <v>",HTeam= "</v>
      </c>
      <c r="T449" t="str">
        <f>Matchs!J450</f>
        <v>Cameroon</v>
      </c>
      <c r="U449" s="6" t="str">
        <f t="shared" si="124"/>
        <v>",HGoal=</v>
      </c>
      <c r="V449">
        <f>Matchs!K450</f>
        <v>2</v>
      </c>
      <c r="W449" s="6" t="str">
        <f t="shared" si="125"/>
        <v>,GGoal=</v>
      </c>
      <c r="X449">
        <f>Matchs!L450</f>
        <v>1</v>
      </c>
      <c r="Y449" s="6" t="str">
        <f t="shared" si="126"/>
        <v>,GTeam= "</v>
      </c>
      <c r="Z449" t="str">
        <f>Matchs!M450</f>
        <v>Colombia</v>
      </c>
      <c r="AA449" s="6" t="str">
        <f t="shared" si="127"/>
        <v>",WinNote="</v>
      </c>
      <c r="AB449" t="str">
        <f>IF(Matchs!N450="","",Matchs!N450)</f>
        <v/>
      </c>
      <c r="AC449" s="6" t="str">
        <f t="shared" si="128"/>
        <v xml:space="preserve">",Stadium=" </v>
      </c>
      <c r="AD449" s="11" t="str">
        <f>Matchs!O450</f>
        <v xml:space="preserve">Stadio San Paolo </v>
      </c>
      <c r="AE449" s="6" t="str">
        <f t="shared" si="129"/>
        <v>",Referee= "</v>
      </c>
      <c r="AF449" s="11" t="str">
        <f>Matchs!P450</f>
        <v xml:space="preserve">Tullio Lanense </v>
      </c>
      <c r="AG449" s="6" t="str">
        <f t="shared" si="130"/>
        <v xml:space="preserve">",Visistors= </v>
      </c>
      <c r="AH449" s="11">
        <f>Matchs!Q450</f>
        <v>50026</v>
      </c>
      <c r="AI449" s="11" t="str">
        <f t="shared" si="131"/>
        <v>,Status= "</v>
      </c>
      <c r="AJ449" s="11" t="str">
        <f>Matchs!R450</f>
        <v>Finished</v>
      </c>
      <c r="AK449" t="str">
        <f t="shared" si="132"/>
        <v>" },</v>
      </c>
    </row>
    <row r="450" spans="1:37" x14ac:dyDescent="0.25">
      <c r="A450" t="str">
        <f t="shared" si="114"/>
        <v>new Match { MatchId= "</v>
      </c>
      <c r="B450" t="str">
        <f>Matchs!A451</f>
        <v>FIFAWC1990-38</v>
      </c>
      <c r="C450" t="str">
        <f t="shared" si="115"/>
        <v>",MatchNumer=</v>
      </c>
      <c r="D450">
        <f>Matchs!B451</f>
        <v>38</v>
      </c>
      <c r="E450" t="str">
        <f t="shared" si="116"/>
        <v>,DateMatch=DateTime.Parse("</v>
      </c>
      <c r="F450" s="3">
        <f>Matchs!C451</f>
        <v>33048</v>
      </c>
      <c r="G450" s="10" t="str">
        <f t="shared" si="117"/>
        <v>"),TimeMatch=TimeSpan.Parse("</v>
      </c>
      <c r="H450" s="9">
        <f>Matchs!D451</f>
        <v>8.3333333333333329E-2</v>
      </c>
      <c r="I450" t="str">
        <f t="shared" si="118"/>
        <v>"),MatchYear=</v>
      </c>
      <c r="J450">
        <f>Matchs!E451</f>
        <v>1990</v>
      </c>
      <c r="K450" t="str">
        <f t="shared" si="119"/>
        <v>, SeasonId= "</v>
      </c>
      <c r="L450" t="str">
        <f>Matchs!F451</f>
        <v>FIFAWC1990</v>
      </c>
      <c r="M450" t="str">
        <f t="shared" si="120"/>
        <v>",Round= "</v>
      </c>
      <c r="N450" t="str">
        <f>Matchs!G451</f>
        <v>Final Round</v>
      </c>
      <c r="O450" s="6" t="str">
        <f t="shared" si="121"/>
        <v>",Stage= "</v>
      </c>
      <c r="P450" t="str">
        <f>Matchs!H451</f>
        <v>Knockouts</v>
      </c>
      <c r="Q450" s="6" t="str">
        <f t="shared" si="122"/>
        <v>",SubStage= "</v>
      </c>
      <c r="R450" t="str">
        <f>Matchs!I451</f>
        <v xml:space="preserve">Round of 16 </v>
      </c>
      <c r="S450" s="6" t="str">
        <f t="shared" si="123"/>
        <v>",HTeam= "</v>
      </c>
      <c r="T450" t="str">
        <f>Matchs!J451</f>
        <v>Czechoslovakia</v>
      </c>
      <c r="U450" s="6" t="str">
        <f t="shared" si="124"/>
        <v>",HGoal=</v>
      </c>
      <c r="V450">
        <f>Matchs!K451</f>
        <v>4</v>
      </c>
      <c r="W450" s="6" t="str">
        <f t="shared" si="125"/>
        <v>,GGoal=</v>
      </c>
      <c r="X450">
        <f>Matchs!L451</f>
        <v>1</v>
      </c>
      <c r="Y450" s="6" t="str">
        <f t="shared" si="126"/>
        <v>,GTeam= "</v>
      </c>
      <c r="Z450" t="str">
        <f>Matchs!M451</f>
        <v>Costa Rica</v>
      </c>
      <c r="AA450" s="6" t="str">
        <f t="shared" si="127"/>
        <v>",WinNote="</v>
      </c>
      <c r="AB450" t="str">
        <f>IF(Matchs!N451="","",Matchs!N451)</f>
        <v/>
      </c>
      <c r="AC450" s="6" t="str">
        <f t="shared" si="128"/>
        <v xml:space="preserve">",Stadium=" </v>
      </c>
      <c r="AD450" s="11" t="str">
        <f>Matchs!O451</f>
        <v xml:space="preserve">Stadio San Nicola </v>
      </c>
      <c r="AE450" s="6" t="str">
        <f t="shared" si="129"/>
        <v>",Referee= "</v>
      </c>
      <c r="AF450" s="11" t="str">
        <f>Matchs!P451</f>
        <v xml:space="preserve">Siegfried Kirschen </v>
      </c>
      <c r="AG450" s="6" t="str">
        <f t="shared" si="130"/>
        <v xml:space="preserve">",Visistors= </v>
      </c>
      <c r="AH450" s="11">
        <f>Matchs!Q451</f>
        <v>47673</v>
      </c>
      <c r="AI450" s="11" t="str">
        <f t="shared" si="131"/>
        <v>,Status= "</v>
      </c>
      <c r="AJ450" s="11" t="str">
        <f>Matchs!R451</f>
        <v>Finished</v>
      </c>
      <c r="AK450" t="str">
        <f t="shared" si="132"/>
        <v>" },</v>
      </c>
    </row>
    <row r="451" spans="1:37" x14ac:dyDescent="0.25">
      <c r="A451" t="str">
        <f t="shared" ref="A451:A514" si="133">A450</f>
        <v>new Match { MatchId= "</v>
      </c>
      <c r="B451" t="str">
        <f>Matchs!A452</f>
        <v>FIFAWC1990-39</v>
      </c>
      <c r="C451" t="str">
        <f t="shared" ref="C451:C514" si="134">C450</f>
        <v>",MatchNumer=</v>
      </c>
      <c r="D451">
        <f>Matchs!B452</f>
        <v>39</v>
      </c>
      <c r="E451" t="str">
        <f t="shared" ref="E451:E514" si="135">E450</f>
        <v>,DateMatch=DateTime.Parse("</v>
      </c>
      <c r="F451" s="3">
        <f>Matchs!C452</f>
        <v>33048</v>
      </c>
      <c r="G451" s="10" t="str">
        <f t="shared" ref="G451:G514" si="136">G450</f>
        <v>"),TimeMatch=TimeSpan.Parse("</v>
      </c>
      <c r="H451" s="9">
        <f>Matchs!D452</f>
        <v>0.91666666666666663</v>
      </c>
      <c r="I451" t="str">
        <f t="shared" ref="I451:I514" si="137">I450</f>
        <v>"),MatchYear=</v>
      </c>
      <c r="J451">
        <f>Matchs!E452</f>
        <v>1990</v>
      </c>
      <c r="K451" t="str">
        <f t="shared" ref="K451:K514" si="138">K450</f>
        <v>, SeasonId= "</v>
      </c>
      <c r="L451" t="str">
        <f>Matchs!F452</f>
        <v>FIFAWC1990</v>
      </c>
      <c r="M451" t="str">
        <f t="shared" ref="M451:M514" si="139">M450</f>
        <v>",Round= "</v>
      </c>
      <c r="N451" t="str">
        <f>Matchs!G452</f>
        <v>Final Round</v>
      </c>
      <c r="O451" s="6" t="str">
        <f t="shared" ref="O451:O514" si="140">O450</f>
        <v>",Stage= "</v>
      </c>
      <c r="P451" t="str">
        <f>Matchs!H452</f>
        <v>Knockouts</v>
      </c>
      <c r="Q451" s="6" t="str">
        <f t="shared" ref="Q451:Q514" si="141">Q450</f>
        <v>",SubStage= "</v>
      </c>
      <c r="R451" t="str">
        <f>Matchs!I452</f>
        <v xml:space="preserve">Round of 16 </v>
      </c>
      <c r="S451" s="6" t="str">
        <f t="shared" ref="S451:S514" si="142">S450</f>
        <v>",HTeam= "</v>
      </c>
      <c r="T451" t="str">
        <f>Matchs!J452</f>
        <v>Brazil</v>
      </c>
      <c r="U451" s="6" t="str">
        <f t="shared" ref="U451:U514" si="143">U450</f>
        <v>",HGoal=</v>
      </c>
      <c r="V451">
        <f>Matchs!K452</f>
        <v>0</v>
      </c>
      <c r="W451" s="6" t="str">
        <f t="shared" ref="W451:W514" si="144">W450</f>
        <v>,GGoal=</v>
      </c>
      <c r="X451">
        <f>Matchs!L452</f>
        <v>1</v>
      </c>
      <c r="Y451" s="6" t="str">
        <f t="shared" ref="Y451:Y514" si="145">Y450</f>
        <v>,GTeam= "</v>
      </c>
      <c r="Z451" t="str">
        <f>Matchs!M452</f>
        <v>Argentina</v>
      </c>
      <c r="AA451" s="6" t="str">
        <f t="shared" ref="AA451:AA514" si="146">AA450</f>
        <v>",WinNote="</v>
      </c>
      <c r="AB451" t="str">
        <f>IF(Matchs!N452="","",Matchs!N452)</f>
        <v/>
      </c>
      <c r="AC451" s="6" t="str">
        <f t="shared" ref="AC451:AC514" si="147">AC450</f>
        <v xml:space="preserve">",Stadium=" </v>
      </c>
      <c r="AD451" s="11" t="str">
        <f>Matchs!O452</f>
        <v xml:space="preserve">Stadio delle Alpi </v>
      </c>
      <c r="AE451" s="6" t="str">
        <f t="shared" ref="AE451:AE514" si="148">AE450</f>
        <v>",Referee= "</v>
      </c>
      <c r="AF451" s="11" t="str">
        <f>Matchs!P452</f>
        <v xml:space="preserve">Joel Quiniou </v>
      </c>
      <c r="AG451" s="6" t="str">
        <f t="shared" ref="AG451:AG514" si="149">AG450</f>
        <v xml:space="preserve">",Visistors= </v>
      </c>
      <c r="AH451" s="11">
        <f>Matchs!Q452</f>
        <v>61381</v>
      </c>
      <c r="AI451" s="11" t="str">
        <f t="shared" ref="AI451:AI514" si="150">AI450</f>
        <v>,Status= "</v>
      </c>
      <c r="AJ451" s="11" t="str">
        <f>Matchs!R452</f>
        <v>Finished</v>
      </c>
      <c r="AK451" t="str">
        <f t="shared" ref="AK451:AK514" si="151">AK450</f>
        <v>" },</v>
      </c>
    </row>
    <row r="452" spans="1:37" x14ac:dyDescent="0.25">
      <c r="A452" t="str">
        <f t="shared" si="133"/>
        <v>new Match { MatchId= "</v>
      </c>
      <c r="B452" t="str">
        <f>Matchs!A453</f>
        <v>FIFAWC1990-40</v>
      </c>
      <c r="C452" t="str">
        <f t="shared" si="134"/>
        <v>",MatchNumer=</v>
      </c>
      <c r="D452">
        <f>Matchs!B453</f>
        <v>40</v>
      </c>
      <c r="E452" t="str">
        <f t="shared" si="135"/>
        <v>,DateMatch=DateTime.Parse("</v>
      </c>
      <c r="F452" s="3">
        <f>Matchs!C453</f>
        <v>33049</v>
      </c>
      <c r="G452" s="10" t="str">
        <f t="shared" si="136"/>
        <v>"),TimeMatch=TimeSpan.Parse("</v>
      </c>
      <c r="H452" s="9">
        <f>Matchs!D453</f>
        <v>8.3333333333333329E-2</v>
      </c>
      <c r="I452" t="str">
        <f t="shared" si="137"/>
        <v>"),MatchYear=</v>
      </c>
      <c r="J452">
        <f>Matchs!E453</f>
        <v>1990</v>
      </c>
      <c r="K452" t="str">
        <f t="shared" si="138"/>
        <v>, SeasonId= "</v>
      </c>
      <c r="L452" t="str">
        <f>Matchs!F453</f>
        <v>FIFAWC1990</v>
      </c>
      <c r="M452" t="str">
        <f t="shared" si="139"/>
        <v>",Round= "</v>
      </c>
      <c r="N452" t="str">
        <f>Matchs!G453</f>
        <v>Final Round</v>
      </c>
      <c r="O452" s="6" t="str">
        <f t="shared" si="140"/>
        <v>",Stage= "</v>
      </c>
      <c r="P452" t="str">
        <f>Matchs!H453</f>
        <v>Knockouts</v>
      </c>
      <c r="Q452" s="6" t="str">
        <f t="shared" si="141"/>
        <v>",SubStage= "</v>
      </c>
      <c r="R452" t="str">
        <f>Matchs!I453</f>
        <v xml:space="preserve">Round of 16 </v>
      </c>
      <c r="S452" s="6" t="str">
        <f t="shared" si="142"/>
        <v>",HTeam= "</v>
      </c>
      <c r="T452" t="str">
        <f>Matchs!J453</f>
        <v>Germany</v>
      </c>
      <c r="U452" s="6" t="str">
        <f t="shared" si="143"/>
        <v>",HGoal=</v>
      </c>
      <c r="V452">
        <f>Matchs!K453</f>
        <v>2</v>
      </c>
      <c r="W452" s="6" t="str">
        <f t="shared" si="144"/>
        <v>,GGoal=</v>
      </c>
      <c r="X452">
        <f>Matchs!L453</f>
        <v>1</v>
      </c>
      <c r="Y452" s="6" t="str">
        <f t="shared" si="145"/>
        <v>,GTeam= "</v>
      </c>
      <c r="Z452" t="str">
        <f>Matchs!M453</f>
        <v>Netherlands</v>
      </c>
      <c r="AA452" s="6" t="str">
        <f t="shared" si="146"/>
        <v>",WinNote="</v>
      </c>
      <c r="AB452" t="str">
        <f>IF(Matchs!N453="","",Matchs!N453)</f>
        <v/>
      </c>
      <c r="AC452" s="6" t="str">
        <f t="shared" si="147"/>
        <v xml:space="preserve">",Stadium=" </v>
      </c>
      <c r="AD452" s="11" t="str">
        <f>Matchs!O453</f>
        <v xml:space="preserve">San Siro </v>
      </c>
      <c r="AE452" s="6" t="str">
        <f t="shared" si="148"/>
        <v>",Referee= "</v>
      </c>
      <c r="AF452" s="11" t="str">
        <f>Matchs!P453</f>
        <v xml:space="preserve">Juan Carlos Loustau </v>
      </c>
      <c r="AG452" s="6" t="str">
        <f t="shared" si="149"/>
        <v xml:space="preserve">",Visistors= </v>
      </c>
      <c r="AH452" s="11">
        <f>Matchs!Q453</f>
        <v>74559</v>
      </c>
      <c r="AI452" s="11" t="str">
        <f t="shared" si="150"/>
        <v>,Status= "</v>
      </c>
      <c r="AJ452" s="11" t="str">
        <f>Matchs!R453</f>
        <v>Finished</v>
      </c>
      <c r="AK452" t="str">
        <f t="shared" si="151"/>
        <v>" },</v>
      </c>
    </row>
    <row r="453" spans="1:37" x14ac:dyDescent="0.25">
      <c r="A453" t="str">
        <f t="shared" si="133"/>
        <v>new Match { MatchId= "</v>
      </c>
      <c r="B453" t="str">
        <f>Matchs!A454</f>
        <v>FIFAWC1990-41</v>
      </c>
      <c r="C453" t="str">
        <f t="shared" si="134"/>
        <v>",MatchNumer=</v>
      </c>
      <c r="D453">
        <f>Matchs!B454</f>
        <v>41</v>
      </c>
      <c r="E453" t="str">
        <f t="shared" si="135"/>
        <v>,DateMatch=DateTime.Parse("</v>
      </c>
      <c r="F453" s="3">
        <f>Matchs!C454</f>
        <v>33049</v>
      </c>
      <c r="G453" s="10" t="str">
        <f t="shared" si="136"/>
        <v>"),TimeMatch=TimeSpan.Parse("</v>
      </c>
      <c r="H453" s="9">
        <f>Matchs!D454</f>
        <v>0.91666666666666663</v>
      </c>
      <c r="I453" t="str">
        <f t="shared" si="137"/>
        <v>"),MatchYear=</v>
      </c>
      <c r="J453">
        <f>Matchs!E454</f>
        <v>1990</v>
      </c>
      <c r="K453" t="str">
        <f t="shared" si="138"/>
        <v>, SeasonId= "</v>
      </c>
      <c r="L453" t="str">
        <f>Matchs!F454</f>
        <v>FIFAWC1990</v>
      </c>
      <c r="M453" t="str">
        <f t="shared" si="139"/>
        <v>",Round= "</v>
      </c>
      <c r="N453" t="str">
        <f>Matchs!G454</f>
        <v>Final Round</v>
      </c>
      <c r="O453" s="6" t="str">
        <f t="shared" si="140"/>
        <v>",Stage= "</v>
      </c>
      <c r="P453" t="str">
        <f>Matchs!H454</f>
        <v>Knockouts</v>
      </c>
      <c r="Q453" s="6" t="str">
        <f t="shared" si="141"/>
        <v>",SubStage= "</v>
      </c>
      <c r="R453" t="str">
        <f>Matchs!I454</f>
        <v xml:space="preserve">Round of 16 </v>
      </c>
      <c r="S453" s="6" t="str">
        <f t="shared" si="142"/>
        <v>",HTeam= "</v>
      </c>
      <c r="T453" t="str">
        <f>Matchs!J454</f>
        <v>Republic of Ireland</v>
      </c>
      <c r="U453" s="6" t="str">
        <f t="shared" si="143"/>
        <v>",HGoal=</v>
      </c>
      <c r="V453">
        <f>Matchs!K454</f>
        <v>0</v>
      </c>
      <c r="W453" s="6" t="str">
        <f t="shared" si="144"/>
        <v>,GGoal=</v>
      </c>
      <c r="X453">
        <f>Matchs!L454</f>
        <v>0</v>
      </c>
      <c r="Y453" s="6" t="str">
        <f t="shared" si="145"/>
        <v>,GTeam= "</v>
      </c>
      <c r="Z453" t="str">
        <f>Matchs!M454</f>
        <v>Romania</v>
      </c>
      <c r="AA453" s="6" t="str">
        <f t="shared" si="146"/>
        <v>",WinNote="</v>
      </c>
      <c r="AB453" t="str">
        <f>IF(Matchs!N454="","",Matchs!N454)</f>
        <v>Republic of Ireland win 5 - 4 on penalties</v>
      </c>
      <c r="AC453" s="6" t="str">
        <f t="shared" si="147"/>
        <v xml:space="preserve">",Stadium=" </v>
      </c>
      <c r="AD453" s="11" t="str">
        <f>Matchs!O454</f>
        <v xml:space="preserve">Stadio Luigi Ferraris </v>
      </c>
      <c r="AE453" s="6" t="str">
        <f t="shared" si="148"/>
        <v>",Referee= "</v>
      </c>
      <c r="AF453" s="11" t="str">
        <f>Matchs!P454</f>
        <v xml:space="preserve">José Roberto Wright </v>
      </c>
      <c r="AG453" s="6" t="str">
        <f t="shared" si="149"/>
        <v xml:space="preserve">",Visistors= </v>
      </c>
      <c r="AH453" s="11">
        <f>Matchs!Q454</f>
        <v>31818</v>
      </c>
      <c r="AI453" s="11" t="str">
        <f t="shared" si="150"/>
        <v>,Status= "</v>
      </c>
      <c r="AJ453" s="11" t="str">
        <f>Matchs!R454</f>
        <v>Finished</v>
      </c>
      <c r="AK453" t="str">
        <f t="shared" si="151"/>
        <v>" },</v>
      </c>
    </row>
    <row r="454" spans="1:37" x14ac:dyDescent="0.25">
      <c r="A454" t="str">
        <f t="shared" si="133"/>
        <v>new Match { MatchId= "</v>
      </c>
      <c r="B454" t="str">
        <f>Matchs!A455</f>
        <v>FIFAWC1990-42</v>
      </c>
      <c r="C454" t="str">
        <f t="shared" si="134"/>
        <v>",MatchNumer=</v>
      </c>
      <c r="D454">
        <f>Matchs!B455</f>
        <v>42</v>
      </c>
      <c r="E454" t="str">
        <f t="shared" si="135"/>
        <v>,DateMatch=DateTime.Parse("</v>
      </c>
      <c r="F454" s="3">
        <f>Matchs!C455</f>
        <v>33050</v>
      </c>
      <c r="G454" s="10" t="str">
        <f t="shared" si="136"/>
        <v>"),TimeMatch=TimeSpan.Parse("</v>
      </c>
      <c r="H454" s="9">
        <f>Matchs!D455</f>
        <v>8.3333333333333329E-2</v>
      </c>
      <c r="I454" t="str">
        <f t="shared" si="137"/>
        <v>"),MatchYear=</v>
      </c>
      <c r="J454">
        <f>Matchs!E455</f>
        <v>1990</v>
      </c>
      <c r="K454" t="str">
        <f t="shared" si="138"/>
        <v>, SeasonId= "</v>
      </c>
      <c r="L454" t="str">
        <f>Matchs!F455</f>
        <v>FIFAWC1990</v>
      </c>
      <c r="M454" t="str">
        <f t="shared" si="139"/>
        <v>",Round= "</v>
      </c>
      <c r="N454" t="str">
        <f>Matchs!G455</f>
        <v>Final Round</v>
      </c>
      <c r="O454" s="6" t="str">
        <f t="shared" si="140"/>
        <v>",Stage= "</v>
      </c>
      <c r="P454" t="str">
        <f>Matchs!H455</f>
        <v>Knockouts</v>
      </c>
      <c r="Q454" s="6" t="str">
        <f t="shared" si="141"/>
        <v>",SubStage= "</v>
      </c>
      <c r="R454" t="str">
        <f>Matchs!I455</f>
        <v xml:space="preserve">Round of 16 </v>
      </c>
      <c r="S454" s="6" t="str">
        <f t="shared" si="142"/>
        <v>",HTeam= "</v>
      </c>
      <c r="T454" t="str">
        <f>Matchs!J455</f>
        <v>Italy</v>
      </c>
      <c r="U454" s="6" t="str">
        <f t="shared" si="143"/>
        <v>",HGoal=</v>
      </c>
      <c r="V454">
        <f>Matchs!K455</f>
        <v>2</v>
      </c>
      <c r="W454" s="6" t="str">
        <f t="shared" si="144"/>
        <v>,GGoal=</v>
      </c>
      <c r="X454">
        <f>Matchs!L455</f>
        <v>0</v>
      </c>
      <c r="Y454" s="6" t="str">
        <f t="shared" si="145"/>
        <v>,GTeam= "</v>
      </c>
      <c r="Z454" t="str">
        <f>Matchs!M455</f>
        <v>Uruguay</v>
      </c>
      <c r="AA454" s="6" t="str">
        <f t="shared" si="146"/>
        <v>",WinNote="</v>
      </c>
      <c r="AB454" t="str">
        <f>IF(Matchs!N455="","",Matchs!N455)</f>
        <v/>
      </c>
      <c r="AC454" s="6" t="str">
        <f t="shared" si="147"/>
        <v xml:space="preserve">",Stadium=" </v>
      </c>
      <c r="AD454" s="11" t="str">
        <f>Matchs!O455</f>
        <v xml:space="preserve">Stadio Olimpico </v>
      </c>
      <c r="AE454" s="6" t="str">
        <f t="shared" si="148"/>
        <v>",Referee= "</v>
      </c>
      <c r="AF454" s="11" t="str">
        <f>Matchs!P455</f>
        <v xml:space="preserve">George Courtney </v>
      </c>
      <c r="AG454" s="6" t="str">
        <f t="shared" si="149"/>
        <v xml:space="preserve">",Visistors= </v>
      </c>
      <c r="AH454" s="11">
        <f>Matchs!Q455</f>
        <v>73303</v>
      </c>
      <c r="AI454" s="11" t="str">
        <f t="shared" si="150"/>
        <v>,Status= "</v>
      </c>
      <c r="AJ454" s="11" t="str">
        <f>Matchs!R455</f>
        <v>Finished</v>
      </c>
      <c r="AK454" t="str">
        <f t="shared" si="151"/>
        <v>" },</v>
      </c>
    </row>
    <row r="455" spans="1:37" x14ac:dyDescent="0.25">
      <c r="A455" t="str">
        <f t="shared" si="133"/>
        <v>new Match { MatchId= "</v>
      </c>
      <c r="B455" t="str">
        <f>Matchs!A456</f>
        <v>FIFAWC1990-43</v>
      </c>
      <c r="C455" t="str">
        <f t="shared" si="134"/>
        <v>",MatchNumer=</v>
      </c>
      <c r="D455">
        <f>Matchs!B456</f>
        <v>43</v>
      </c>
      <c r="E455" t="str">
        <f t="shared" si="135"/>
        <v>,DateMatch=DateTime.Parse("</v>
      </c>
      <c r="F455" s="3">
        <f>Matchs!C456</f>
        <v>33050</v>
      </c>
      <c r="G455" s="10" t="str">
        <f t="shared" si="136"/>
        <v>"),TimeMatch=TimeSpan.Parse("</v>
      </c>
      <c r="H455" s="9">
        <f>Matchs!D456</f>
        <v>0.91666666666666663</v>
      </c>
      <c r="I455" t="str">
        <f t="shared" si="137"/>
        <v>"),MatchYear=</v>
      </c>
      <c r="J455">
        <f>Matchs!E456</f>
        <v>1990</v>
      </c>
      <c r="K455" t="str">
        <f t="shared" si="138"/>
        <v>, SeasonId= "</v>
      </c>
      <c r="L455" t="str">
        <f>Matchs!F456</f>
        <v>FIFAWC1990</v>
      </c>
      <c r="M455" t="str">
        <f t="shared" si="139"/>
        <v>",Round= "</v>
      </c>
      <c r="N455" t="str">
        <f>Matchs!G456</f>
        <v>Final Round</v>
      </c>
      <c r="O455" s="6" t="str">
        <f t="shared" si="140"/>
        <v>",Stage= "</v>
      </c>
      <c r="P455" t="str">
        <f>Matchs!H456</f>
        <v>Knockouts</v>
      </c>
      <c r="Q455" s="6" t="str">
        <f t="shared" si="141"/>
        <v>",SubStage= "</v>
      </c>
      <c r="R455" t="str">
        <f>Matchs!I456</f>
        <v xml:space="preserve">Round of 16 </v>
      </c>
      <c r="S455" s="6" t="str">
        <f t="shared" si="142"/>
        <v>",HTeam= "</v>
      </c>
      <c r="T455" t="str">
        <f>Matchs!J456</f>
        <v>Spain</v>
      </c>
      <c r="U455" s="6" t="str">
        <f t="shared" si="143"/>
        <v>",HGoal=</v>
      </c>
      <c r="V455">
        <f>Matchs!K456</f>
        <v>1</v>
      </c>
      <c r="W455" s="6" t="str">
        <f t="shared" si="144"/>
        <v>,GGoal=</v>
      </c>
      <c r="X455">
        <f>Matchs!L456</f>
        <v>2</v>
      </c>
      <c r="Y455" s="6" t="str">
        <f t="shared" si="145"/>
        <v>,GTeam= "</v>
      </c>
      <c r="Z455" t="str">
        <f>Matchs!M456</f>
        <v>Yugoslavia</v>
      </c>
      <c r="AA455" s="6" t="str">
        <f t="shared" si="146"/>
        <v>",WinNote="</v>
      </c>
      <c r="AB455" t="str">
        <f>IF(Matchs!N456="","",Matchs!N456)</f>
        <v/>
      </c>
      <c r="AC455" s="6" t="str">
        <f t="shared" si="147"/>
        <v xml:space="preserve">",Stadium=" </v>
      </c>
      <c r="AD455" s="11" t="str">
        <f>Matchs!O456</f>
        <v xml:space="preserve">Stadio Marc'Antonio Bentegodi </v>
      </c>
      <c r="AE455" s="6" t="str">
        <f t="shared" si="148"/>
        <v>",Referee= "</v>
      </c>
      <c r="AF455" s="11" t="str">
        <f>Matchs!P456</f>
        <v xml:space="preserve">Aron Schmidhuber </v>
      </c>
      <c r="AG455" s="6" t="str">
        <f t="shared" si="149"/>
        <v xml:space="preserve">",Visistors= </v>
      </c>
      <c r="AH455" s="11">
        <f>Matchs!Q456</f>
        <v>35500</v>
      </c>
      <c r="AI455" s="11" t="str">
        <f t="shared" si="150"/>
        <v>,Status= "</v>
      </c>
      <c r="AJ455" s="11" t="str">
        <f>Matchs!R456</f>
        <v>Finished</v>
      </c>
      <c r="AK455" t="str">
        <f t="shared" si="151"/>
        <v>" },</v>
      </c>
    </row>
    <row r="456" spans="1:37" x14ac:dyDescent="0.25">
      <c r="A456" t="str">
        <f t="shared" si="133"/>
        <v>new Match { MatchId= "</v>
      </c>
      <c r="B456" t="str">
        <f>Matchs!A457</f>
        <v>FIFAWC1990-44</v>
      </c>
      <c r="C456" t="str">
        <f t="shared" si="134"/>
        <v>",MatchNumer=</v>
      </c>
      <c r="D456">
        <f>Matchs!B457</f>
        <v>44</v>
      </c>
      <c r="E456" t="str">
        <f t="shared" si="135"/>
        <v>,DateMatch=DateTime.Parse("</v>
      </c>
      <c r="F456" s="3">
        <f>Matchs!C457</f>
        <v>33051</v>
      </c>
      <c r="G456" s="10" t="str">
        <f t="shared" si="136"/>
        <v>"),TimeMatch=TimeSpan.Parse("</v>
      </c>
      <c r="H456" s="9">
        <f>Matchs!D457</f>
        <v>8.3333333333333329E-2</v>
      </c>
      <c r="I456" t="str">
        <f t="shared" si="137"/>
        <v>"),MatchYear=</v>
      </c>
      <c r="J456">
        <f>Matchs!E457</f>
        <v>1990</v>
      </c>
      <c r="K456" t="str">
        <f t="shared" si="138"/>
        <v>, SeasonId= "</v>
      </c>
      <c r="L456" t="str">
        <f>Matchs!F457</f>
        <v>FIFAWC1990</v>
      </c>
      <c r="M456" t="str">
        <f t="shared" si="139"/>
        <v>",Round= "</v>
      </c>
      <c r="N456" t="str">
        <f>Matchs!G457</f>
        <v>Final Round</v>
      </c>
      <c r="O456" s="6" t="str">
        <f t="shared" si="140"/>
        <v>",Stage= "</v>
      </c>
      <c r="P456" t="str">
        <f>Matchs!H457</f>
        <v>Knockouts</v>
      </c>
      <c r="Q456" s="6" t="str">
        <f t="shared" si="141"/>
        <v>",SubStage= "</v>
      </c>
      <c r="R456" t="str">
        <f>Matchs!I457</f>
        <v xml:space="preserve">Round of 16 </v>
      </c>
      <c r="S456" s="6" t="str">
        <f t="shared" si="142"/>
        <v>",HTeam= "</v>
      </c>
      <c r="T456" t="str">
        <f>Matchs!J457</f>
        <v>England</v>
      </c>
      <c r="U456" s="6" t="str">
        <f t="shared" si="143"/>
        <v>",HGoal=</v>
      </c>
      <c r="V456">
        <f>Matchs!K457</f>
        <v>1</v>
      </c>
      <c r="W456" s="6" t="str">
        <f t="shared" si="144"/>
        <v>,GGoal=</v>
      </c>
      <c r="X456">
        <f>Matchs!L457</f>
        <v>0</v>
      </c>
      <c r="Y456" s="6" t="str">
        <f t="shared" si="145"/>
        <v>,GTeam= "</v>
      </c>
      <c r="Z456" t="str">
        <f>Matchs!M457</f>
        <v>Belgium</v>
      </c>
      <c r="AA456" s="6" t="str">
        <f t="shared" si="146"/>
        <v>",WinNote="</v>
      </c>
      <c r="AB456" t="str">
        <f>IF(Matchs!N457="","",Matchs!N457)</f>
        <v/>
      </c>
      <c r="AC456" s="6" t="str">
        <f t="shared" si="147"/>
        <v xml:space="preserve">",Stadium=" </v>
      </c>
      <c r="AD456" s="11" t="str">
        <f>Matchs!O457</f>
        <v xml:space="preserve">Stadio Renato Dall'Ara </v>
      </c>
      <c r="AE456" s="6" t="str">
        <f t="shared" si="148"/>
        <v>",Referee= "</v>
      </c>
      <c r="AF456" s="11" t="str">
        <f>Matchs!P457</f>
        <v xml:space="preserve">Peter Mikkelsen </v>
      </c>
      <c r="AG456" s="6" t="str">
        <f t="shared" si="149"/>
        <v xml:space="preserve">",Visistors= </v>
      </c>
      <c r="AH456" s="11">
        <f>Matchs!Q457</f>
        <v>34520</v>
      </c>
      <c r="AI456" s="11" t="str">
        <f t="shared" si="150"/>
        <v>,Status= "</v>
      </c>
      <c r="AJ456" s="11" t="str">
        <f>Matchs!R457</f>
        <v>Finished</v>
      </c>
      <c r="AK456" t="str">
        <f t="shared" si="151"/>
        <v>" },</v>
      </c>
    </row>
    <row r="457" spans="1:37" x14ac:dyDescent="0.25">
      <c r="A457" t="str">
        <f t="shared" si="133"/>
        <v>new Match { MatchId= "</v>
      </c>
      <c r="B457" t="str">
        <f>Matchs!A458</f>
        <v>FIFAWC1990-45</v>
      </c>
      <c r="C457" t="str">
        <f t="shared" si="134"/>
        <v>",MatchNumer=</v>
      </c>
      <c r="D457">
        <f>Matchs!B458</f>
        <v>45</v>
      </c>
      <c r="E457" t="str">
        <f t="shared" si="135"/>
        <v>,DateMatch=DateTime.Parse("</v>
      </c>
      <c r="F457" s="3">
        <f>Matchs!C458</f>
        <v>33054</v>
      </c>
      <c r="G457" s="10" t="str">
        <f t="shared" si="136"/>
        <v>"),TimeMatch=TimeSpan.Parse("</v>
      </c>
      <c r="H457" s="9">
        <f>Matchs!D458</f>
        <v>0.91666666666666663</v>
      </c>
      <c r="I457" t="str">
        <f t="shared" si="137"/>
        <v>"),MatchYear=</v>
      </c>
      <c r="J457">
        <f>Matchs!E458</f>
        <v>1990</v>
      </c>
      <c r="K457" t="str">
        <f t="shared" si="138"/>
        <v>, SeasonId= "</v>
      </c>
      <c r="L457" t="str">
        <f>Matchs!F458</f>
        <v>FIFAWC1990</v>
      </c>
      <c r="M457" t="str">
        <f t="shared" si="139"/>
        <v>",Round= "</v>
      </c>
      <c r="N457" t="str">
        <f>Matchs!G458</f>
        <v>Final Round</v>
      </c>
      <c r="O457" s="6" t="str">
        <f t="shared" si="140"/>
        <v>",Stage= "</v>
      </c>
      <c r="P457" t="str">
        <f>Matchs!H458</f>
        <v>Knockouts</v>
      </c>
      <c r="Q457" s="6" t="str">
        <f t="shared" si="141"/>
        <v>",SubStage= "</v>
      </c>
      <c r="R457" t="str">
        <f>Matchs!I458</f>
        <v>Quaterfinal</v>
      </c>
      <c r="S457" s="6" t="str">
        <f t="shared" si="142"/>
        <v>",HTeam= "</v>
      </c>
      <c r="T457" t="str">
        <f>Matchs!J458</f>
        <v>Yugoslavia</v>
      </c>
      <c r="U457" s="6" t="str">
        <f t="shared" si="143"/>
        <v>",HGoal=</v>
      </c>
      <c r="V457">
        <f>Matchs!K458</f>
        <v>0</v>
      </c>
      <c r="W457" s="6" t="str">
        <f t="shared" si="144"/>
        <v>,GGoal=</v>
      </c>
      <c r="X457">
        <f>Matchs!L458</f>
        <v>0</v>
      </c>
      <c r="Y457" s="6" t="str">
        <f t="shared" si="145"/>
        <v>,GTeam= "</v>
      </c>
      <c r="Z457" t="str">
        <f>Matchs!M458</f>
        <v>Argentina</v>
      </c>
      <c r="AA457" s="6" t="str">
        <f t="shared" si="146"/>
        <v>",WinNote="</v>
      </c>
      <c r="AB457" t="str">
        <f>IF(Matchs!N458="","",Matchs!N458)</f>
        <v>Argentina win 2 - 3 on penalties</v>
      </c>
      <c r="AC457" s="6" t="str">
        <f t="shared" si="147"/>
        <v xml:space="preserve">",Stadium=" </v>
      </c>
      <c r="AD457" s="11" t="str">
        <f>Matchs!O458</f>
        <v xml:space="preserve">Stadio Artemio Franchi </v>
      </c>
      <c r="AE457" s="6" t="str">
        <f t="shared" si="148"/>
        <v>",Referee= "</v>
      </c>
      <c r="AF457" s="11" t="str">
        <f>Matchs!P458</f>
        <v xml:space="preserve">Kurt Röthlisberger </v>
      </c>
      <c r="AG457" s="6" t="str">
        <f t="shared" si="149"/>
        <v xml:space="preserve">",Visistors= </v>
      </c>
      <c r="AH457" s="11">
        <f>Matchs!Q458</f>
        <v>38971</v>
      </c>
      <c r="AI457" s="11" t="str">
        <f t="shared" si="150"/>
        <v>,Status= "</v>
      </c>
      <c r="AJ457" s="11" t="str">
        <f>Matchs!R458</f>
        <v>Finished</v>
      </c>
      <c r="AK457" t="str">
        <f t="shared" si="151"/>
        <v>" },</v>
      </c>
    </row>
    <row r="458" spans="1:37" x14ac:dyDescent="0.25">
      <c r="A458" t="str">
        <f t="shared" si="133"/>
        <v>new Match { MatchId= "</v>
      </c>
      <c r="B458" t="str">
        <f>Matchs!A459</f>
        <v>FIFAWC1990-46</v>
      </c>
      <c r="C458" t="str">
        <f t="shared" si="134"/>
        <v>",MatchNumer=</v>
      </c>
      <c r="D458">
        <f>Matchs!B459</f>
        <v>46</v>
      </c>
      <c r="E458" t="str">
        <f t="shared" si="135"/>
        <v>,DateMatch=DateTime.Parse("</v>
      </c>
      <c r="F458" s="3">
        <f>Matchs!C459</f>
        <v>33055</v>
      </c>
      <c r="G458" s="10" t="str">
        <f t="shared" si="136"/>
        <v>"),TimeMatch=TimeSpan.Parse("</v>
      </c>
      <c r="H458" s="9">
        <f>Matchs!D459</f>
        <v>8.3333333333333329E-2</v>
      </c>
      <c r="I458" t="str">
        <f t="shared" si="137"/>
        <v>"),MatchYear=</v>
      </c>
      <c r="J458">
        <f>Matchs!E459</f>
        <v>1990</v>
      </c>
      <c r="K458" t="str">
        <f t="shared" si="138"/>
        <v>, SeasonId= "</v>
      </c>
      <c r="L458" t="str">
        <f>Matchs!F459</f>
        <v>FIFAWC1990</v>
      </c>
      <c r="M458" t="str">
        <f t="shared" si="139"/>
        <v>",Round= "</v>
      </c>
      <c r="N458" t="str">
        <f>Matchs!G459</f>
        <v>Final Round</v>
      </c>
      <c r="O458" s="6" t="str">
        <f t="shared" si="140"/>
        <v>",Stage= "</v>
      </c>
      <c r="P458" t="str">
        <f>Matchs!H459</f>
        <v>Knockouts</v>
      </c>
      <c r="Q458" s="6" t="str">
        <f t="shared" si="141"/>
        <v>",SubStage= "</v>
      </c>
      <c r="R458" t="str">
        <f>Matchs!I459</f>
        <v>Quaterfinal</v>
      </c>
      <c r="S458" s="6" t="str">
        <f t="shared" si="142"/>
        <v>",HTeam= "</v>
      </c>
      <c r="T458" t="str">
        <f>Matchs!J459</f>
        <v>Italy</v>
      </c>
      <c r="U458" s="6" t="str">
        <f t="shared" si="143"/>
        <v>",HGoal=</v>
      </c>
      <c r="V458">
        <f>Matchs!K459</f>
        <v>1</v>
      </c>
      <c r="W458" s="6" t="str">
        <f t="shared" si="144"/>
        <v>,GGoal=</v>
      </c>
      <c r="X458">
        <f>Matchs!L459</f>
        <v>0</v>
      </c>
      <c r="Y458" s="6" t="str">
        <f t="shared" si="145"/>
        <v>,GTeam= "</v>
      </c>
      <c r="Z458" t="str">
        <f>Matchs!M459</f>
        <v>Republic of Ireland</v>
      </c>
      <c r="AA458" s="6" t="str">
        <f t="shared" si="146"/>
        <v>",WinNote="</v>
      </c>
      <c r="AB458" t="str">
        <f>IF(Matchs!N459="","",Matchs!N459)</f>
        <v/>
      </c>
      <c r="AC458" s="6" t="str">
        <f t="shared" si="147"/>
        <v xml:space="preserve">",Stadium=" </v>
      </c>
      <c r="AD458" s="11" t="str">
        <f>Matchs!O459</f>
        <v xml:space="preserve">Stadio Olimpico </v>
      </c>
      <c r="AE458" s="6" t="str">
        <f t="shared" si="148"/>
        <v>",Referee= "</v>
      </c>
      <c r="AF458" s="11" t="str">
        <f>Matchs!P459</f>
        <v xml:space="preserve">Carlos Silva Valente </v>
      </c>
      <c r="AG458" s="6" t="str">
        <f t="shared" si="149"/>
        <v xml:space="preserve">",Visistors= </v>
      </c>
      <c r="AH458" s="11">
        <f>Matchs!Q459</f>
        <v>73303</v>
      </c>
      <c r="AI458" s="11" t="str">
        <f t="shared" si="150"/>
        <v>,Status= "</v>
      </c>
      <c r="AJ458" s="11" t="str">
        <f>Matchs!R459</f>
        <v>Finished</v>
      </c>
      <c r="AK458" t="str">
        <f t="shared" si="151"/>
        <v>" },</v>
      </c>
    </row>
    <row r="459" spans="1:37" x14ac:dyDescent="0.25">
      <c r="A459" t="str">
        <f t="shared" si="133"/>
        <v>new Match { MatchId= "</v>
      </c>
      <c r="B459" t="str">
        <f>Matchs!A460</f>
        <v>FIFAWC1990-47</v>
      </c>
      <c r="C459" t="str">
        <f t="shared" si="134"/>
        <v>",MatchNumer=</v>
      </c>
      <c r="D459">
        <f>Matchs!B460</f>
        <v>47</v>
      </c>
      <c r="E459" t="str">
        <f t="shared" si="135"/>
        <v>,DateMatch=DateTime.Parse("</v>
      </c>
      <c r="F459" s="3">
        <f>Matchs!C460</f>
        <v>33055</v>
      </c>
      <c r="G459" s="10" t="str">
        <f t="shared" si="136"/>
        <v>"),TimeMatch=TimeSpan.Parse("</v>
      </c>
      <c r="H459" s="9">
        <f>Matchs!D460</f>
        <v>0.91666666666666663</v>
      </c>
      <c r="I459" t="str">
        <f t="shared" si="137"/>
        <v>"),MatchYear=</v>
      </c>
      <c r="J459">
        <f>Matchs!E460</f>
        <v>1990</v>
      </c>
      <c r="K459" t="str">
        <f t="shared" si="138"/>
        <v>, SeasonId= "</v>
      </c>
      <c r="L459" t="str">
        <f>Matchs!F460</f>
        <v>FIFAWC1990</v>
      </c>
      <c r="M459" t="str">
        <f t="shared" si="139"/>
        <v>",Round= "</v>
      </c>
      <c r="N459" t="str">
        <f>Matchs!G460</f>
        <v>Final Round</v>
      </c>
      <c r="O459" s="6" t="str">
        <f t="shared" si="140"/>
        <v>",Stage= "</v>
      </c>
      <c r="P459" t="str">
        <f>Matchs!H460</f>
        <v>Knockouts</v>
      </c>
      <c r="Q459" s="6" t="str">
        <f t="shared" si="141"/>
        <v>",SubStage= "</v>
      </c>
      <c r="R459" t="str">
        <f>Matchs!I460</f>
        <v>Quaterfinal</v>
      </c>
      <c r="S459" s="6" t="str">
        <f t="shared" si="142"/>
        <v>",HTeam= "</v>
      </c>
      <c r="T459" t="str">
        <f>Matchs!J460</f>
        <v>Germany</v>
      </c>
      <c r="U459" s="6" t="str">
        <f t="shared" si="143"/>
        <v>",HGoal=</v>
      </c>
      <c r="V459">
        <f>Matchs!K460</f>
        <v>1</v>
      </c>
      <c r="W459" s="6" t="str">
        <f t="shared" si="144"/>
        <v>,GGoal=</v>
      </c>
      <c r="X459">
        <f>Matchs!L460</f>
        <v>0</v>
      </c>
      <c r="Y459" s="6" t="str">
        <f t="shared" si="145"/>
        <v>,GTeam= "</v>
      </c>
      <c r="Z459" t="str">
        <f>Matchs!M460</f>
        <v>Czechoslovakia</v>
      </c>
      <c r="AA459" s="6" t="str">
        <f t="shared" si="146"/>
        <v>",WinNote="</v>
      </c>
      <c r="AB459" t="str">
        <f>IF(Matchs!N460="","",Matchs!N460)</f>
        <v/>
      </c>
      <c r="AC459" s="6" t="str">
        <f t="shared" si="147"/>
        <v xml:space="preserve">",Stadium=" </v>
      </c>
      <c r="AD459" s="11" t="str">
        <f>Matchs!O460</f>
        <v xml:space="preserve">San Siro </v>
      </c>
      <c r="AE459" s="6" t="str">
        <f t="shared" si="148"/>
        <v>",Referee= "</v>
      </c>
      <c r="AF459" s="11" t="str">
        <f>Matchs!P460</f>
        <v xml:space="preserve">Helmut Kohl </v>
      </c>
      <c r="AG459" s="6" t="str">
        <f t="shared" si="149"/>
        <v xml:space="preserve">",Visistors= </v>
      </c>
      <c r="AH459" s="11">
        <f>Matchs!Q460</f>
        <v>73347</v>
      </c>
      <c r="AI459" s="11" t="str">
        <f t="shared" si="150"/>
        <v>,Status= "</v>
      </c>
      <c r="AJ459" s="11" t="str">
        <f>Matchs!R460</f>
        <v>Finished</v>
      </c>
      <c r="AK459" t="str">
        <f t="shared" si="151"/>
        <v>" },</v>
      </c>
    </row>
    <row r="460" spans="1:37" x14ac:dyDescent="0.25">
      <c r="A460" t="str">
        <f t="shared" si="133"/>
        <v>new Match { MatchId= "</v>
      </c>
      <c r="B460" t="str">
        <f>Matchs!A461</f>
        <v>FIFAWC1990-48</v>
      </c>
      <c r="C460" t="str">
        <f t="shared" si="134"/>
        <v>",MatchNumer=</v>
      </c>
      <c r="D460">
        <f>Matchs!B461</f>
        <v>48</v>
      </c>
      <c r="E460" t="str">
        <f t="shared" si="135"/>
        <v>,DateMatch=DateTime.Parse("</v>
      </c>
      <c r="F460" s="3">
        <f>Matchs!C461</f>
        <v>33056</v>
      </c>
      <c r="G460" s="10" t="str">
        <f t="shared" si="136"/>
        <v>"),TimeMatch=TimeSpan.Parse("</v>
      </c>
      <c r="H460" s="9">
        <f>Matchs!D461</f>
        <v>8.3333333333333329E-2</v>
      </c>
      <c r="I460" t="str">
        <f t="shared" si="137"/>
        <v>"),MatchYear=</v>
      </c>
      <c r="J460">
        <f>Matchs!E461</f>
        <v>1990</v>
      </c>
      <c r="K460" t="str">
        <f t="shared" si="138"/>
        <v>, SeasonId= "</v>
      </c>
      <c r="L460" t="str">
        <f>Matchs!F461</f>
        <v>FIFAWC1990</v>
      </c>
      <c r="M460" t="str">
        <f t="shared" si="139"/>
        <v>",Round= "</v>
      </c>
      <c r="N460" t="str">
        <f>Matchs!G461</f>
        <v>Final Round</v>
      </c>
      <c r="O460" s="6" t="str">
        <f t="shared" si="140"/>
        <v>",Stage= "</v>
      </c>
      <c r="P460" t="str">
        <f>Matchs!H461</f>
        <v>Knockouts</v>
      </c>
      <c r="Q460" s="6" t="str">
        <f t="shared" si="141"/>
        <v>",SubStage= "</v>
      </c>
      <c r="R460" t="str">
        <f>Matchs!I461</f>
        <v>Quaterfinal</v>
      </c>
      <c r="S460" s="6" t="str">
        <f t="shared" si="142"/>
        <v>",HTeam= "</v>
      </c>
      <c r="T460" t="str">
        <f>Matchs!J461</f>
        <v>England</v>
      </c>
      <c r="U460" s="6" t="str">
        <f t="shared" si="143"/>
        <v>",HGoal=</v>
      </c>
      <c r="V460">
        <f>Matchs!K461</f>
        <v>3</v>
      </c>
      <c r="W460" s="6" t="str">
        <f t="shared" si="144"/>
        <v>,GGoal=</v>
      </c>
      <c r="X460">
        <f>Matchs!L461</f>
        <v>2</v>
      </c>
      <c r="Y460" s="6" t="str">
        <f t="shared" si="145"/>
        <v>,GTeam= "</v>
      </c>
      <c r="Z460" t="str">
        <f>Matchs!M461</f>
        <v>Cameroon</v>
      </c>
      <c r="AA460" s="6" t="str">
        <f t="shared" si="146"/>
        <v>",WinNote="</v>
      </c>
      <c r="AB460" t="str">
        <f>IF(Matchs!N461="","",Matchs!N461)</f>
        <v/>
      </c>
      <c r="AC460" s="6" t="str">
        <f t="shared" si="147"/>
        <v xml:space="preserve">",Stadium=" </v>
      </c>
      <c r="AD460" s="11" t="str">
        <f>Matchs!O461</f>
        <v xml:space="preserve">Stadio San Paolo </v>
      </c>
      <c r="AE460" s="6" t="str">
        <f t="shared" si="148"/>
        <v>",Referee= "</v>
      </c>
      <c r="AF460" s="11" t="str">
        <f>Matchs!P461</f>
        <v xml:space="preserve">Edgardo Codesal </v>
      </c>
      <c r="AG460" s="6" t="str">
        <f t="shared" si="149"/>
        <v xml:space="preserve">",Visistors= </v>
      </c>
      <c r="AH460" s="11">
        <f>Matchs!Q461</f>
        <v>55205</v>
      </c>
      <c r="AI460" s="11" t="str">
        <f t="shared" si="150"/>
        <v>,Status= "</v>
      </c>
      <c r="AJ460" s="11" t="str">
        <f>Matchs!R461</f>
        <v>Finished</v>
      </c>
      <c r="AK460" t="str">
        <f t="shared" si="151"/>
        <v>" },</v>
      </c>
    </row>
    <row r="461" spans="1:37" x14ac:dyDescent="0.25">
      <c r="A461" t="str">
        <f t="shared" si="133"/>
        <v>new Match { MatchId= "</v>
      </c>
      <c r="B461" t="str">
        <f>Matchs!A462</f>
        <v>FIFAWC1990-49</v>
      </c>
      <c r="C461" t="str">
        <f t="shared" si="134"/>
        <v>",MatchNumer=</v>
      </c>
      <c r="D461">
        <f>Matchs!B462</f>
        <v>49</v>
      </c>
      <c r="E461" t="str">
        <f t="shared" si="135"/>
        <v>,DateMatch=DateTime.Parse("</v>
      </c>
      <c r="F461" s="3">
        <f>Matchs!C462</f>
        <v>33058</v>
      </c>
      <c r="G461" s="10" t="str">
        <f t="shared" si="136"/>
        <v>"),TimeMatch=TimeSpan.Parse("</v>
      </c>
      <c r="H461" s="9">
        <f>Matchs!D462</f>
        <v>4.1666666666666664E-2</v>
      </c>
      <c r="I461" t="str">
        <f t="shared" si="137"/>
        <v>"),MatchYear=</v>
      </c>
      <c r="J461">
        <f>Matchs!E462</f>
        <v>1990</v>
      </c>
      <c r="K461" t="str">
        <f t="shared" si="138"/>
        <v>, SeasonId= "</v>
      </c>
      <c r="L461" t="str">
        <f>Matchs!F462</f>
        <v>FIFAWC1990</v>
      </c>
      <c r="M461" t="str">
        <f t="shared" si="139"/>
        <v>",Round= "</v>
      </c>
      <c r="N461" t="str">
        <f>Matchs!G462</f>
        <v>Final Round</v>
      </c>
      <c r="O461" s="6" t="str">
        <f t="shared" si="140"/>
        <v>",Stage= "</v>
      </c>
      <c r="P461" t="str">
        <f>Matchs!H462</f>
        <v>Knockouts</v>
      </c>
      <c r="Q461" s="6" t="str">
        <f t="shared" si="141"/>
        <v>",SubStage= "</v>
      </c>
      <c r="R461" t="str">
        <f>Matchs!I462</f>
        <v>Semifinal</v>
      </c>
      <c r="S461" s="6" t="str">
        <f t="shared" si="142"/>
        <v>",HTeam= "</v>
      </c>
      <c r="T461" t="str">
        <f>Matchs!J462</f>
        <v>Italy</v>
      </c>
      <c r="U461" s="6" t="str">
        <f t="shared" si="143"/>
        <v>",HGoal=</v>
      </c>
      <c r="V461">
        <f>Matchs!K462</f>
        <v>1</v>
      </c>
      <c r="W461" s="6" t="str">
        <f t="shared" si="144"/>
        <v>,GGoal=</v>
      </c>
      <c r="X461">
        <f>Matchs!L462</f>
        <v>1</v>
      </c>
      <c r="Y461" s="6" t="str">
        <f t="shared" si="145"/>
        <v>,GTeam= "</v>
      </c>
      <c r="Z461" t="str">
        <f>Matchs!M462</f>
        <v>Argentina</v>
      </c>
      <c r="AA461" s="6" t="str">
        <f t="shared" si="146"/>
        <v>",WinNote="</v>
      </c>
      <c r="AB461" t="str">
        <f>IF(Matchs!N462="","",Matchs!N462)</f>
        <v>Argentina win 3 - 4 on penalties</v>
      </c>
      <c r="AC461" s="6" t="str">
        <f t="shared" si="147"/>
        <v xml:space="preserve">",Stadium=" </v>
      </c>
      <c r="AD461" s="11" t="str">
        <f>Matchs!O462</f>
        <v xml:space="preserve">Stadio San Paolo </v>
      </c>
      <c r="AE461" s="6" t="str">
        <f t="shared" si="148"/>
        <v>",Referee= "</v>
      </c>
      <c r="AF461" s="11" t="str">
        <f>Matchs!P462</f>
        <v xml:space="preserve">Michel Vautrot </v>
      </c>
      <c r="AG461" s="6" t="str">
        <f t="shared" si="149"/>
        <v xml:space="preserve">",Visistors= </v>
      </c>
      <c r="AH461" s="11">
        <f>Matchs!Q462</f>
        <v>59978</v>
      </c>
      <c r="AI461" s="11" t="str">
        <f t="shared" si="150"/>
        <v>,Status= "</v>
      </c>
      <c r="AJ461" s="11" t="str">
        <f>Matchs!R462</f>
        <v>Finished</v>
      </c>
      <c r="AK461" t="str">
        <f t="shared" si="151"/>
        <v>" },</v>
      </c>
    </row>
    <row r="462" spans="1:37" x14ac:dyDescent="0.25">
      <c r="A462" t="str">
        <f t="shared" si="133"/>
        <v>new Match { MatchId= "</v>
      </c>
      <c r="B462" t="str">
        <f>Matchs!A463</f>
        <v>FIFAWC1990-50</v>
      </c>
      <c r="C462" t="str">
        <f t="shared" si="134"/>
        <v>",MatchNumer=</v>
      </c>
      <c r="D462">
        <f>Matchs!B463</f>
        <v>50</v>
      </c>
      <c r="E462" t="str">
        <f t="shared" si="135"/>
        <v>,DateMatch=DateTime.Parse("</v>
      </c>
      <c r="F462" s="3">
        <f>Matchs!C463</f>
        <v>33059</v>
      </c>
      <c r="G462" s="10" t="str">
        <f t="shared" si="136"/>
        <v>"),TimeMatch=TimeSpan.Parse("</v>
      </c>
      <c r="H462" s="9">
        <f>Matchs!D463</f>
        <v>4.1666666666666664E-2</v>
      </c>
      <c r="I462" t="str">
        <f t="shared" si="137"/>
        <v>"),MatchYear=</v>
      </c>
      <c r="J462">
        <f>Matchs!E463</f>
        <v>1990</v>
      </c>
      <c r="K462" t="str">
        <f t="shared" si="138"/>
        <v>, SeasonId= "</v>
      </c>
      <c r="L462" t="str">
        <f>Matchs!F463</f>
        <v>FIFAWC1990</v>
      </c>
      <c r="M462" t="str">
        <f t="shared" si="139"/>
        <v>",Round= "</v>
      </c>
      <c r="N462" t="str">
        <f>Matchs!G463</f>
        <v>Final Round</v>
      </c>
      <c r="O462" s="6" t="str">
        <f t="shared" si="140"/>
        <v>",Stage= "</v>
      </c>
      <c r="P462" t="str">
        <f>Matchs!H463</f>
        <v>Knockouts</v>
      </c>
      <c r="Q462" s="6" t="str">
        <f t="shared" si="141"/>
        <v>",SubStage= "</v>
      </c>
      <c r="R462" t="str">
        <f>Matchs!I463</f>
        <v>Semifinal</v>
      </c>
      <c r="S462" s="6" t="str">
        <f t="shared" si="142"/>
        <v>",HTeam= "</v>
      </c>
      <c r="T462" t="str">
        <f>Matchs!J463</f>
        <v>Germany</v>
      </c>
      <c r="U462" s="6" t="str">
        <f t="shared" si="143"/>
        <v>",HGoal=</v>
      </c>
      <c r="V462">
        <f>Matchs!K463</f>
        <v>1</v>
      </c>
      <c r="W462" s="6" t="str">
        <f t="shared" si="144"/>
        <v>,GGoal=</v>
      </c>
      <c r="X462">
        <f>Matchs!L463</f>
        <v>1</v>
      </c>
      <c r="Y462" s="6" t="str">
        <f t="shared" si="145"/>
        <v>,GTeam= "</v>
      </c>
      <c r="Z462" t="str">
        <f>Matchs!M463</f>
        <v>England</v>
      </c>
      <c r="AA462" s="6" t="str">
        <f t="shared" si="146"/>
        <v>",WinNote="</v>
      </c>
      <c r="AB462" t="str">
        <f>IF(Matchs!N463="","",Matchs!N463)</f>
        <v>Germany FR win 4 - 3 on penalties</v>
      </c>
      <c r="AC462" s="6" t="str">
        <f t="shared" si="147"/>
        <v xml:space="preserve">",Stadium=" </v>
      </c>
      <c r="AD462" s="11" t="str">
        <f>Matchs!O463</f>
        <v xml:space="preserve">Stadio delle Alpi </v>
      </c>
      <c r="AE462" s="6" t="str">
        <f t="shared" si="148"/>
        <v>",Referee= "</v>
      </c>
      <c r="AF462" s="11" t="str">
        <f>Matchs!P463</f>
        <v xml:space="preserve">José Roberto Wright </v>
      </c>
      <c r="AG462" s="6" t="str">
        <f t="shared" si="149"/>
        <v xml:space="preserve">",Visistors= </v>
      </c>
      <c r="AH462" s="11">
        <f>Matchs!Q463</f>
        <v>62628</v>
      </c>
      <c r="AI462" s="11" t="str">
        <f t="shared" si="150"/>
        <v>,Status= "</v>
      </c>
      <c r="AJ462" s="11" t="str">
        <f>Matchs!R463</f>
        <v>Finished</v>
      </c>
      <c r="AK462" t="str">
        <f t="shared" si="151"/>
        <v>" },</v>
      </c>
    </row>
    <row r="463" spans="1:37" x14ac:dyDescent="0.25">
      <c r="A463" t="str">
        <f t="shared" si="133"/>
        <v>new Match { MatchId= "</v>
      </c>
      <c r="B463" t="str">
        <f>Matchs!A464</f>
        <v>FIFAWC1990-51</v>
      </c>
      <c r="C463" t="str">
        <f t="shared" si="134"/>
        <v>",MatchNumer=</v>
      </c>
      <c r="D463">
        <f>Matchs!B464</f>
        <v>51</v>
      </c>
      <c r="E463" t="str">
        <f t="shared" si="135"/>
        <v>,DateMatch=DateTime.Parse("</v>
      </c>
      <c r="F463" s="3">
        <f>Matchs!C464</f>
        <v>33062</v>
      </c>
      <c r="G463" s="10" t="str">
        <f t="shared" si="136"/>
        <v>"),TimeMatch=TimeSpan.Parse("</v>
      </c>
      <c r="H463" s="9">
        <f>Matchs!D464</f>
        <v>4.1666666666666664E-2</v>
      </c>
      <c r="I463" t="str">
        <f t="shared" si="137"/>
        <v>"),MatchYear=</v>
      </c>
      <c r="J463">
        <f>Matchs!E464</f>
        <v>1990</v>
      </c>
      <c r="K463" t="str">
        <f t="shared" si="138"/>
        <v>, SeasonId= "</v>
      </c>
      <c r="L463" t="str">
        <f>Matchs!F464</f>
        <v>FIFAWC1990</v>
      </c>
      <c r="M463" t="str">
        <f t="shared" si="139"/>
        <v>",Round= "</v>
      </c>
      <c r="N463" t="str">
        <f>Matchs!G464</f>
        <v>Final Round</v>
      </c>
      <c r="O463" s="6" t="str">
        <f t="shared" si="140"/>
        <v>",Stage= "</v>
      </c>
      <c r="P463" t="str">
        <f>Matchs!H464</f>
        <v>Knockouts</v>
      </c>
      <c r="Q463" s="6" t="str">
        <f t="shared" si="141"/>
        <v>",SubStage= "</v>
      </c>
      <c r="R463" t="str">
        <f>Matchs!I464</f>
        <v>3rd place</v>
      </c>
      <c r="S463" s="6" t="str">
        <f t="shared" si="142"/>
        <v>",HTeam= "</v>
      </c>
      <c r="T463" t="str">
        <f>Matchs!J464</f>
        <v>Italy</v>
      </c>
      <c r="U463" s="6" t="str">
        <f t="shared" si="143"/>
        <v>",HGoal=</v>
      </c>
      <c r="V463">
        <f>Matchs!K464</f>
        <v>2</v>
      </c>
      <c r="W463" s="6" t="str">
        <f t="shared" si="144"/>
        <v>,GGoal=</v>
      </c>
      <c r="X463">
        <f>Matchs!L464</f>
        <v>1</v>
      </c>
      <c r="Y463" s="6" t="str">
        <f t="shared" si="145"/>
        <v>,GTeam= "</v>
      </c>
      <c r="Z463" t="str">
        <f>Matchs!M464</f>
        <v>England</v>
      </c>
      <c r="AA463" s="6" t="str">
        <f t="shared" si="146"/>
        <v>",WinNote="</v>
      </c>
      <c r="AB463" t="str">
        <f>IF(Matchs!N464="","",Matchs!N464)</f>
        <v/>
      </c>
      <c r="AC463" s="6" t="str">
        <f t="shared" si="147"/>
        <v xml:space="preserve">",Stadium=" </v>
      </c>
      <c r="AD463" s="11" t="str">
        <f>Matchs!O464</f>
        <v xml:space="preserve">Stadio San Nicola </v>
      </c>
      <c r="AE463" s="6" t="str">
        <f t="shared" si="148"/>
        <v>",Referee= "</v>
      </c>
      <c r="AF463" s="11" t="str">
        <f>Matchs!P464</f>
        <v xml:space="preserve">Joel Quiniou </v>
      </c>
      <c r="AG463" s="6" t="str">
        <f t="shared" si="149"/>
        <v xml:space="preserve">",Visistors= </v>
      </c>
      <c r="AH463" s="11">
        <f>Matchs!Q464</f>
        <v>51426</v>
      </c>
      <c r="AI463" s="11" t="str">
        <f t="shared" si="150"/>
        <v>,Status= "</v>
      </c>
      <c r="AJ463" s="11" t="str">
        <f>Matchs!R464</f>
        <v>Finished</v>
      </c>
      <c r="AK463" t="str">
        <f t="shared" si="151"/>
        <v>" },</v>
      </c>
    </row>
    <row r="464" spans="1:37" x14ac:dyDescent="0.25">
      <c r="A464" t="str">
        <f t="shared" si="133"/>
        <v>new Match { MatchId= "</v>
      </c>
      <c r="B464" t="str">
        <f>Matchs!A465</f>
        <v>FIFAWC1990-52</v>
      </c>
      <c r="C464" t="str">
        <f t="shared" si="134"/>
        <v>",MatchNumer=</v>
      </c>
      <c r="D464">
        <f>Matchs!B465</f>
        <v>52</v>
      </c>
      <c r="E464" t="str">
        <f t="shared" si="135"/>
        <v>,DateMatch=DateTime.Parse("</v>
      </c>
      <c r="F464" s="3">
        <f>Matchs!C465</f>
        <v>33063</v>
      </c>
      <c r="G464" s="10" t="str">
        <f t="shared" si="136"/>
        <v>"),TimeMatch=TimeSpan.Parse("</v>
      </c>
      <c r="H464" s="9">
        <f>Matchs!D465</f>
        <v>4.1666666666666664E-2</v>
      </c>
      <c r="I464" t="str">
        <f t="shared" si="137"/>
        <v>"),MatchYear=</v>
      </c>
      <c r="J464">
        <f>Matchs!E465</f>
        <v>1990</v>
      </c>
      <c r="K464" t="str">
        <f t="shared" si="138"/>
        <v>, SeasonId= "</v>
      </c>
      <c r="L464" t="str">
        <f>Matchs!F465</f>
        <v>FIFAWC1990</v>
      </c>
      <c r="M464" t="str">
        <f t="shared" si="139"/>
        <v>",Round= "</v>
      </c>
      <c r="N464" t="str">
        <f>Matchs!G465</f>
        <v>Final Round</v>
      </c>
      <c r="O464" s="6" t="str">
        <f t="shared" si="140"/>
        <v>",Stage= "</v>
      </c>
      <c r="P464" t="str">
        <f>Matchs!H465</f>
        <v>Knockouts</v>
      </c>
      <c r="Q464" s="6" t="str">
        <f t="shared" si="141"/>
        <v>",SubStage= "</v>
      </c>
      <c r="R464" t="str">
        <f>Matchs!I465</f>
        <v>Final</v>
      </c>
      <c r="S464" s="6" t="str">
        <f t="shared" si="142"/>
        <v>",HTeam= "</v>
      </c>
      <c r="T464" t="str">
        <f>Matchs!J465</f>
        <v>Germany</v>
      </c>
      <c r="U464" s="6" t="str">
        <f t="shared" si="143"/>
        <v>",HGoal=</v>
      </c>
      <c r="V464">
        <f>Matchs!K465</f>
        <v>1</v>
      </c>
      <c r="W464" s="6" t="str">
        <f t="shared" si="144"/>
        <v>,GGoal=</v>
      </c>
      <c r="X464">
        <f>Matchs!L465</f>
        <v>0</v>
      </c>
      <c r="Y464" s="6" t="str">
        <f t="shared" si="145"/>
        <v>,GTeam= "</v>
      </c>
      <c r="Z464" t="str">
        <f>Matchs!M465</f>
        <v>Argentina</v>
      </c>
      <c r="AA464" s="6" t="str">
        <f t="shared" si="146"/>
        <v>",WinNote="</v>
      </c>
      <c r="AB464" t="str">
        <f>IF(Matchs!N465="","",Matchs!N465)</f>
        <v/>
      </c>
      <c r="AC464" s="6" t="str">
        <f t="shared" si="147"/>
        <v xml:space="preserve">",Stadium=" </v>
      </c>
      <c r="AD464" s="11" t="str">
        <f>Matchs!O465</f>
        <v xml:space="preserve">Stadio Olimpico </v>
      </c>
      <c r="AE464" s="6" t="str">
        <f t="shared" si="148"/>
        <v>",Referee= "</v>
      </c>
      <c r="AF464" s="11" t="str">
        <f>Matchs!P465</f>
        <v xml:space="preserve">Edgardo Codesal </v>
      </c>
      <c r="AG464" s="6" t="str">
        <f t="shared" si="149"/>
        <v xml:space="preserve">",Visistors= </v>
      </c>
      <c r="AH464" s="11">
        <f>Matchs!Q465</f>
        <v>73603</v>
      </c>
      <c r="AI464" s="11" t="str">
        <f t="shared" si="150"/>
        <v>,Status= "</v>
      </c>
      <c r="AJ464" s="11" t="str">
        <f>Matchs!R465</f>
        <v>Finished</v>
      </c>
      <c r="AK464" t="str">
        <f t="shared" si="151"/>
        <v>" },</v>
      </c>
    </row>
    <row r="465" spans="1:37" x14ac:dyDescent="0.25">
      <c r="A465" t="str">
        <f t="shared" si="133"/>
        <v>new Match { MatchId= "</v>
      </c>
      <c r="B465" t="str">
        <f>Matchs!A466</f>
        <v>FIFAWC1994-1</v>
      </c>
      <c r="C465" t="str">
        <f t="shared" si="134"/>
        <v>",MatchNumer=</v>
      </c>
      <c r="D465">
        <f>Matchs!B466</f>
        <v>1</v>
      </c>
      <c r="E465" t="str">
        <f t="shared" si="135"/>
        <v>,DateMatch=DateTime.Parse("</v>
      </c>
      <c r="F465" s="3">
        <f>Matchs!C466</f>
        <v>34503</v>
      </c>
      <c r="G465" s="10" t="str">
        <f t="shared" si="136"/>
        <v>"),TimeMatch=TimeSpan.Parse("</v>
      </c>
      <c r="H465" s="9">
        <f>Matchs!D466</f>
        <v>0.125</v>
      </c>
      <c r="I465" t="str">
        <f t="shared" si="137"/>
        <v>"),MatchYear=</v>
      </c>
      <c r="J465">
        <f>Matchs!E466</f>
        <v>1994</v>
      </c>
      <c r="K465" t="str">
        <f t="shared" si="138"/>
        <v>, SeasonId= "</v>
      </c>
      <c r="L465" t="str">
        <f>Matchs!F466</f>
        <v>FIFAWC1994</v>
      </c>
      <c r="M465" t="str">
        <f t="shared" si="139"/>
        <v>",Round= "</v>
      </c>
      <c r="N465" t="str">
        <f>Matchs!G466</f>
        <v>Final Round</v>
      </c>
      <c r="O465" s="6" t="str">
        <f t="shared" si="140"/>
        <v>",Stage= "</v>
      </c>
      <c r="P465" t="str">
        <f>Matchs!H466</f>
        <v>Group</v>
      </c>
      <c r="Q465" s="6" t="str">
        <f t="shared" si="141"/>
        <v>",SubStage= "</v>
      </c>
      <c r="R465" t="str">
        <f>Matchs!I466</f>
        <v xml:space="preserve">Group C </v>
      </c>
      <c r="S465" s="6" t="str">
        <f t="shared" si="142"/>
        <v>",HTeam= "</v>
      </c>
      <c r="T465" t="str">
        <f>Matchs!J466</f>
        <v>Germany</v>
      </c>
      <c r="U465" s="6" t="str">
        <f t="shared" si="143"/>
        <v>",HGoal=</v>
      </c>
      <c r="V465">
        <f>Matchs!K466</f>
        <v>1</v>
      </c>
      <c r="W465" s="6" t="str">
        <f t="shared" si="144"/>
        <v>,GGoal=</v>
      </c>
      <c r="X465">
        <f>Matchs!L466</f>
        <v>0</v>
      </c>
      <c r="Y465" s="6" t="str">
        <f t="shared" si="145"/>
        <v>,GTeam= "</v>
      </c>
      <c r="Z465" t="str">
        <f>Matchs!M466</f>
        <v>Bolivia</v>
      </c>
      <c r="AA465" s="6" t="str">
        <f t="shared" si="146"/>
        <v>",WinNote="</v>
      </c>
      <c r="AB465" t="str">
        <f>IF(Matchs!N466="","",Matchs!N466)</f>
        <v/>
      </c>
      <c r="AC465" s="6" t="str">
        <f t="shared" si="147"/>
        <v xml:space="preserve">",Stadium=" </v>
      </c>
      <c r="AD465" s="11" t="str">
        <f>Matchs!O466</f>
        <v xml:space="preserve">Soldier Field </v>
      </c>
      <c r="AE465" s="6" t="str">
        <f t="shared" si="148"/>
        <v>",Referee= "</v>
      </c>
      <c r="AF465" s="11" t="str">
        <f>Matchs!P466</f>
        <v xml:space="preserve">Arturo Brizio Carter </v>
      </c>
      <c r="AG465" s="6" t="str">
        <f t="shared" si="149"/>
        <v xml:space="preserve">",Visistors= </v>
      </c>
      <c r="AH465" s="11">
        <f>Matchs!Q466</f>
        <v>63117</v>
      </c>
      <c r="AI465" s="11" t="str">
        <f t="shared" si="150"/>
        <v>,Status= "</v>
      </c>
      <c r="AJ465" s="11" t="str">
        <f>Matchs!R466</f>
        <v>Finished</v>
      </c>
      <c r="AK465" t="str">
        <f t="shared" si="151"/>
        <v>" },</v>
      </c>
    </row>
    <row r="466" spans="1:37" x14ac:dyDescent="0.25">
      <c r="A466" t="str">
        <f t="shared" si="133"/>
        <v>new Match { MatchId= "</v>
      </c>
      <c r="B466" t="str">
        <f>Matchs!A467</f>
        <v>FIFAWC1994-2</v>
      </c>
      <c r="C466" t="str">
        <f t="shared" si="134"/>
        <v>",MatchNumer=</v>
      </c>
      <c r="D466">
        <f>Matchs!B467</f>
        <v>2</v>
      </c>
      <c r="E466" t="str">
        <f t="shared" si="135"/>
        <v>,DateMatch=DateTime.Parse("</v>
      </c>
      <c r="F466" s="3">
        <f>Matchs!C467</f>
        <v>34503</v>
      </c>
      <c r="G466" s="10" t="str">
        <f t="shared" si="136"/>
        <v>"),TimeMatch=TimeSpan.Parse("</v>
      </c>
      <c r="H466" s="9">
        <f>Matchs!D467</f>
        <v>0.3125</v>
      </c>
      <c r="I466" t="str">
        <f t="shared" si="137"/>
        <v>"),MatchYear=</v>
      </c>
      <c r="J466">
        <f>Matchs!E467</f>
        <v>1994</v>
      </c>
      <c r="K466" t="str">
        <f t="shared" si="138"/>
        <v>, SeasonId= "</v>
      </c>
      <c r="L466" t="str">
        <f>Matchs!F467</f>
        <v>FIFAWC1994</v>
      </c>
      <c r="M466" t="str">
        <f t="shared" si="139"/>
        <v>",Round= "</v>
      </c>
      <c r="N466" t="str">
        <f>Matchs!G467</f>
        <v>Final Round</v>
      </c>
      <c r="O466" s="6" t="str">
        <f t="shared" si="140"/>
        <v>",Stage= "</v>
      </c>
      <c r="P466" t="str">
        <f>Matchs!H467</f>
        <v>Group</v>
      </c>
      <c r="Q466" s="6" t="str">
        <f t="shared" si="141"/>
        <v>",SubStage= "</v>
      </c>
      <c r="R466" t="str">
        <f>Matchs!I467</f>
        <v xml:space="preserve">Group C </v>
      </c>
      <c r="S466" s="6" t="str">
        <f t="shared" si="142"/>
        <v>",HTeam= "</v>
      </c>
      <c r="T466" t="str">
        <f>Matchs!J467</f>
        <v>Spain</v>
      </c>
      <c r="U466" s="6" t="str">
        <f t="shared" si="143"/>
        <v>",HGoal=</v>
      </c>
      <c r="V466">
        <f>Matchs!K467</f>
        <v>2</v>
      </c>
      <c r="W466" s="6" t="str">
        <f t="shared" si="144"/>
        <v>,GGoal=</v>
      </c>
      <c r="X466">
        <f>Matchs!L467</f>
        <v>2</v>
      </c>
      <c r="Y466" s="6" t="str">
        <f t="shared" si="145"/>
        <v>,GTeam= "</v>
      </c>
      <c r="Z466" t="str">
        <f>Matchs!M467</f>
        <v>South Korea</v>
      </c>
      <c r="AA466" s="6" t="str">
        <f t="shared" si="146"/>
        <v>",WinNote="</v>
      </c>
      <c r="AB466" t="str">
        <f>IF(Matchs!N467="","",Matchs!N467)</f>
        <v/>
      </c>
      <c r="AC466" s="6" t="str">
        <f t="shared" si="147"/>
        <v xml:space="preserve">",Stadium=" </v>
      </c>
      <c r="AD466" s="11" t="str">
        <f>Matchs!O467</f>
        <v xml:space="preserve">Cotton Bowl </v>
      </c>
      <c r="AE466" s="6" t="str">
        <f t="shared" si="148"/>
        <v>",Referee= "</v>
      </c>
      <c r="AF466" s="11" t="str">
        <f>Matchs!P467</f>
        <v xml:space="preserve">Peter Mikkelsen </v>
      </c>
      <c r="AG466" s="6" t="str">
        <f t="shared" si="149"/>
        <v xml:space="preserve">",Visistors= </v>
      </c>
      <c r="AH466" s="11">
        <f>Matchs!Q467</f>
        <v>56247</v>
      </c>
      <c r="AI466" s="11" t="str">
        <f t="shared" si="150"/>
        <v>,Status= "</v>
      </c>
      <c r="AJ466" s="11" t="str">
        <f>Matchs!R467</f>
        <v>Finished</v>
      </c>
      <c r="AK466" t="str">
        <f t="shared" si="151"/>
        <v>" },</v>
      </c>
    </row>
    <row r="467" spans="1:37" x14ac:dyDescent="0.25">
      <c r="A467" t="str">
        <f t="shared" si="133"/>
        <v>new Match { MatchId= "</v>
      </c>
      <c r="B467" t="str">
        <f>Matchs!A468</f>
        <v>FIFAWC1994-3</v>
      </c>
      <c r="C467" t="str">
        <f t="shared" si="134"/>
        <v>",MatchNumer=</v>
      </c>
      <c r="D467">
        <f>Matchs!B468</f>
        <v>3</v>
      </c>
      <c r="E467" t="str">
        <f t="shared" si="135"/>
        <v>,DateMatch=DateTime.Parse("</v>
      </c>
      <c r="F467" s="3">
        <f>Matchs!C468</f>
        <v>34503</v>
      </c>
      <c r="G467" s="10" t="str">
        <f t="shared" si="136"/>
        <v>"),TimeMatch=TimeSpan.Parse("</v>
      </c>
      <c r="H467" s="9">
        <f>Matchs!D468</f>
        <v>0.9375</v>
      </c>
      <c r="I467" t="str">
        <f t="shared" si="137"/>
        <v>"),MatchYear=</v>
      </c>
      <c r="J467">
        <f>Matchs!E468</f>
        <v>1994</v>
      </c>
      <c r="K467" t="str">
        <f t="shared" si="138"/>
        <v>, SeasonId= "</v>
      </c>
      <c r="L467" t="str">
        <f>Matchs!F468</f>
        <v>FIFAWC1994</v>
      </c>
      <c r="M467" t="str">
        <f t="shared" si="139"/>
        <v>",Round= "</v>
      </c>
      <c r="N467" t="str">
        <f>Matchs!G468</f>
        <v>Final Round</v>
      </c>
      <c r="O467" s="6" t="str">
        <f t="shared" si="140"/>
        <v>",Stage= "</v>
      </c>
      <c r="P467" t="str">
        <f>Matchs!H468</f>
        <v>Group</v>
      </c>
      <c r="Q467" s="6" t="str">
        <f t="shared" si="141"/>
        <v>",SubStage= "</v>
      </c>
      <c r="R467" t="str">
        <f>Matchs!I468</f>
        <v xml:space="preserve">Group A </v>
      </c>
      <c r="S467" s="6" t="str">
        <f t="shared" si="142"/>
        <v>",HTeam= "</v>
      </c>
      <c r="T467" t="str">
        <f>Matchs!J468</f>
        <v>USA</v>
      </c>
      <c r="U467" s="6" t="str">
        <f t="shared" si="143"/>
        <v>",HGoal=</v>
      </c>
      <c r="V467">
        <f>Matchs!K468</f>
        <v>1</v>
      </c>
      <c r="W467" s="6" t="str">
        <f t="shared" si="144"/>
        <v>,GGoal=</v>
      </c>
      <c r="X467">
        <f>Matchs!L468</f>
        <v>1</v>
      </c>
      <c r="Y467" s="6" t="str">
        <f t="shared" si="145"/>
        <v>,GTeam= "</v>
      </c>
      <c r="Z467" t="str">
        <f>Matchs!M468</f>
        <v>Switzerland</v>
      </c>
      <c r="AA467" s="6" t="str">
        <f t="shared" si="146"/>
        <v>",WinNote="</v>
      </c>
      <c r="AB467" t="str">
        <f>IF(Matchs!N468="","",Matchs!N468)</f>
        <v/>
      </c>
      <c r="AC467" s="6" t="str">
        <f t="shared" si="147"/>
        <v xml:space="preserve">",Stadium=" </v>
      </c>
      <c r="AD467" s="11" t="str">
        <f>Matchs!O468</f>
        <v xml:space="preserve">Silverdome </v>
      </c>
      <c r="AE467" s="6" t="str">
        <f t="shared" si="148"/>
        <v>",Referee= "</v>
      </c>
      <c r="AF467" s="11" t="str">
        <f>Matchs!P468</f>
        <v xml:space="preserve">Francisco Oscar Lamolina </v>
      </c>
      <c r="AG467" s="6" t="str">
        <f t="shared" si="149"/>
        <v xml:space="preserve">",Visistors= </v>
      </c>
      <c r="AH467" s="11">
        <f>Matchs!Q468</f>
        <v>73425</v>
      </c>
      <c r="AI467" s="11" t="str">
        <f t="shared" si="150"/>
        <v>,Status= "</v>
      </c>
      <c r="AJ467" s="11" t="str">
        <f>Matchs!R468</f>
        <v>Finished</v>
      </c>
      <c r="AK467" t="str">
        <f t="shared" si="151"/>
        <v>" },</v>
      </c>
    </row>
    <row r="468" spans="1:37" x14ac:dyDescent="0.25">
      <c r="A468" t="str">
        <f t="shared" si="133"/>
        <v>new Match { MatchId= "</v>
      </c>
      <c r="B468" t="str">
        <f>Matchs!A469</f>
        <v>FIFAWC1994-4</v>
      </c>
      <c r="C468" t="str">
        <f t="shared" si="134"/>
        <v>",MatchNumer=</v>
      </c>
      <c r="D468">
        <f>Matchs!B469</f>
        <v>4</v>
      </c>
      <c r="E468" t="str">
        <f t="shared" si="135"/>
        <v>,DateMatch=DateTime.Parse("</v>
      </c>
      <c r="F468" s="3">
        <f>Matchs!C469</f>
        <v>34504</v>
      </c>
      <c r="G468" s="10" t="str">
        <f t="shared" si="136"/>
        <v>"),TimeMatch=TimeSpan.Parse("</v>
      </c>
      <c r="H468" s="9">
        <f>Matchs!D469</f>
        <v>0.125</v>
      </c>
      <c r="I468" t="str">
        <f t="shared" si="137"/>
        <v>"),MatchYear=</v>
      </c>
      <c r="J468">
        <f>Matchs!E469</f>
        <v>1994</v>
      </c>
      <c r="K468" t="str">
        <f t="shared" si="138"/>
        <v>, SeasonId= "</v>
      </c>
      <c r="L468" t="str">
        <f>Matchs!F469</f>
        <v>FIFAWC1994</v>
      </c>
      <c r="M468" t="str">
        <f t="shared" si="139"/>
        <v>",Round= "</v>
      </c>
      <c r="N468" t="str">
        <f>Matchs!G469</f>
        <v>Final Round</v>
      </c>
      <c r="O468" s="6" t="str">
        <f t="shared" si="140"/>
        <v>",Stage= "</v>
      </c>
      <c r="P468" t="str">
        <f>Matchs!H469</f>
        <v>Group</v>
      </c>
      <c r="Q468" s="6" t="str">
        <f t="shared" si="141"/>
        <v>",SubStage= "</v>
      </c>
      <c r="R468" t="str">
        <f>Matchs!I469</f>
        <v xml:space="preserve">Group E </v>
      </c>
      <c r="S468" s="6" t="str">
        <f t="shared" si="142"/>
        <v>",HTeam= "</v>
      </c>
      <c r="T468" t="str">
        <f>Matchs!J469</f>
        <v>Italy</v>
      </c>
      <c r="U468" s="6" t="str">
        <f t="shared" si="143"/>
        <v>",HGoal=</v>
      </c>
      <c r="V468">
        <f>Matchs!K469</f>
        <v>0</v>
      </c>
      <c r="W468" s="6" t="str">
        <f t="shared" si="144"/>
        <v>,GGoal=</v>
      </c>
      <c r="X468">
        <f>Matchs!L469</f>
        <v>1</v>
      </c>
      <c r="Y468" s="6" t="str">
        <f t="shared" si="145"/>
        <v>,GTeam= "</v>
      </c>
      <c r="Z468" t="str">
        <f>Matchs!M469</f>
        <v>Republic of Ireland</v>
      </c>
      <c r="AA468" s="6" t="str">
        <f t="shared" si="146"/>
        <v>",WinNote="</v>
      </c>
      <c r="AB468" t="str">
        <f>IF(Matchs!N469="","",Matchs!N469)</f>
        <v/>
      </c>
      <c r="AC468" s="6" t="str">
        <f t="shared" si="147"/>
        <v xml:space="preserve">",Stadium=" </v>
      </c>
      <c r="AD468" s="11" t="str">
        <f>Matchs!O469</f>
        <v xml:space="preserve">Giants Stadium </v>
      </c>
      <c r="AE468" s="6" t="str">
        <f t="shared" si="148"/>
        <v>",Referee= "</v>
      </c>
      <c r="AF468" s="11" t="str">
        <f>Matchs!P469</f>
        <v xml:space="preserve">Mario van der Ende </v>
      </c>
      <c r="AG468" s="6" t="str">
        <f t="shared" si="149"/>
        <v xml:space="preserve">",Visistors= </v>
      </c>
      <c r="AH468" s="11">
        <f>Matchs!Q469</f>
        <v>75338</v>
      </c>
      <c r="AI468" s="11" t="str">
        <f t="shared" si="150"/>
        <v>,Status= "</v>
      </c>
      <c r="AJ468" s="11" t="str">
        <f>Matchs!R469</f>
        <v>Finished</v>
      </c>
      <c r="AK468" t="str">
        <f t="shared" si="151"/>
        <v>" },</v>
      </c>
    </row>
    <row r="469" spans="1:37" x14ac:dyDescent="0.25">
      <c r="A469" t="str">
        <f t="shared" si="133"/>
        <v>new Match { MatchId= "</v>
      </c>
      <c r="B469" t="str">
        <f>Matchs!A470</f>
        <v>FIFAWC1994-5</v>
      </c>
      <c r="C469" t="str">
        <f t="shared" si="134"/>
        <v>",MatchNumer=</v>
      </c>
      <c r="D469">
        <f>Matchs!B470</f>
        <v>5</v>
      </c>
      <c r="E469" t="str">
        <f t="shared" si="135"/>
        <v>,DateMatch=DateTime.Parse("</v>
      </c>
      <c r="F469" s="3">
        <f>Matchs!C470</f>
        <v>34504</v>
      </c>
      <c r="G469" s="10" t="str">
        <f t="shared" si="136"/>
        <v>"),TimeMatch=TimeSpan.Parse("</v>
      </c>
      <c r="H469" s="9">
        <f>Matchs!D470</f>
        <v>0.39583333333333331</v>
      </c>
      <c r="I469" t="str">
        <f t="shared" si="137"/>
        <v>"),MatchYear=</v>
      </c>
      <c r="J469">
        <f>Matchs!E470</f>
        <v>1994</v>
      </c>
      <c r="K469" t="str">
        <f t="shared" si="138"/>
        <v>, SeasonId= "</v>
      </c>
      <c r="L469" t="str">
        <f>Matchs!F470</f>
        <v>FIFAWC1994</v>
      </c>
      <c r="M469" t="str">
        <f t="shared" si="139"/>
        <v>",Round= "</v>
      </c>
      <c r="N469" t="str">
        <f>Matchs!G470</f>
        <v>Final Round</v>
      </c>
      <c r="O469" s="6" t="str">
        <f t="shared" si="140"/>
        <v>",Stage= "</v>
      </c>
      <c r="P469" t="str">
        <f>Matchs!H470</f>
        <v>Group</v>
      </c>
      <c r="Q469" s="6" t="str">
        <f t="shared" si="141"/>
        <v>",SubStage= "</v>
      </c>
      <c r="R469" t="str">
        <f>Matchs!I470</f>
        <v xml:space="preserve">Group A </v>
      </c>
      <c r="S469" s="6" t="str">
        <f t="shared" si="142"/>
        <v>",HTeam= "</v>
      </c>
      <c r="T469" t="str">
        <f>Matchs!J470</f>
        <v>Colombia</v>
      </c>
      <c r="U469" s="6" t="str">
        <f t="shared" si="143"/>
        <v>",HGoal=</v>
      </c>
      <c r="V469">
        <f>Matchs!K470</f>
        <v>1</v>
      </c>
      <c r="W469" s="6" t="str">
        <f t="shared" si="144"/>
        <v>,GGoal=</v>
      </c>
      <c r="X469">
        <f>Matchs!L470</f>
        <v>3</v>
      </c>
      <c r="Y469" s="6" t="str">
        <f t="shared" si="145"/>
        <v>,GTeam= "</v>
      </c>
      <c r="Z469" t="str">
        <f>Matchs!M470</f>
        <v>Romania</v>
      </c>
      <c r="AA469" s="6" t="str">
        <f t="shared" si="146"/>
        <v>",WinNote="</v>
      </c>
      <c r="AB469" t="str">
        <f>IF(Matchs!N470="","",Matchs!N470)</f>
        <v/>
      </c>
      <c r="AC469" s="6" t="str">
        <f t="shared" si="147"/>
        <v xml:space="preserve">",Stadium=" </v>
      </c>
      <c r="AD469" s="11" t="str">
        <f>Matchs!O470</f>
        <v xml:space="preserve">Rose Bowl </v>
      </c>
      <c r="AE469" s="6" t="str">
        <f t="shared" si="148"/>
        <v>",Referee= "</v>
      </c>
      <c r="AF469" s="11" t="str">
        <f>Matchs!P470</f>
        <v xml:space="preserve">Jamal Al-Sharif </v>
      </c>
      <c r="AG469" s="6" t="str">
        <f t="shared" si="149"/>
        <v xml:space="preserve">",Visistors= </v>
      </c>
      <c r="AH469" s="11">
        <f>Matchs!Q470</f>
        <v>91856</v>
      </c>
      <c r="AI469" s="11" t="str">
        <f t="shared" si="150"/>
        <v>,Status= "</v>
      </c>
      <c r="AJ469" s="11" t="str">
        <f>Matchs!R470</f>
        <v>Finished</v>
      </c>
      <c r="AK469" t="str">
        <f t="shared" si="151"/>
        <v>" },</v>
      </c>
    </row>
    <row r="470" spans="1:37" x14ac:dyDescent="0.25">
      <c r="A470" t="str">
        <f t="shared" si="133"/>
        <v>new Match { MatchId= "</v>
      </c>
      <c r="B470" t="str">
        <f>Matchs!A471</f>
        <v>FIFAWC1994-6</v>
      </c>
      <c r="C470" t="str">
        <f t="shared" si="134"/>
        <v>",MatchNumer=</v>
      </c>
      <c r="D470">
        <f>Matchs!B471</f>
        <v>6</v>
      </c>
      <c r="E470" t="str">
        <f t="shared" si="135"/>
        <v>,DateMatch=DateTime.Parse("</v>
      </c>
      <c r="F470" s="3">
        <f>Matchs!C471</f>
        <v>34504</v>
      </c>
      <c r="G470" s="10" t="str">
        <f t="shared" si="136"/>
        <v>"),TimeMatch=TimeSpan.Parse("</v>
      </c>
      <c r="H470" s="9">
        <f>Matchs!D471</f>
        <v>0.9375</v>
      </c>
      <c r="I470" t="str">
        <f t="shared" si="137"/>
        <v>"),MatchYear=</v>
      </c>
      <c r="J470">
        <f>Matchs!E471</f>
        <v>1994</v>
      </c>
      <c r="K470" t="str">
        <f t="shared" si="138"/>
        <v>, SeasonId= "</v>
      </c>
      <c r="L470" t="str">
        <f>Matchs!F471</f>
        <v>FIFAWC1994</v>
      </c>
      <c r="M470" t="str">
        <f t="shared" si="139"/>
        <v>",Round= "</v>
      </c>
      <c r="N470" t="str">
        <f>Matchs!G471</f>
        <v>Final Round</v>
      </c>
      <c r="O470" s="6" t="str">
        <f t="shared" si="140"/>
        <v>",Stage= "</v>
      </c>
      <c r="P470" t="str">
        <f>Matchs!H471</f>
        <v>Group</v>
      </c>
      <c r="Q470" s="6" t="str">
        <f t="shared" si="141"/>
        <v>",SubStage= "</v>
      </c>
      <c r="R470" t="str">
        <f>Matchs!I471</f>
        <v xml:space="preserve">Group F </v>
      </c>
      <c r="S470" s="6" t="str">
        <f t="shared" si="142"/>
        <v>",HTeam= "</v>
      </c>
      <c r="T470" t="str">
        <f>Matchs!J471</f>
        <v>Belgium</v>
      </c>
      <c r="U470" s="6" t="str">
        <f t="shared" si="143"/>
        <v>",HGoal=</v>
      </c>
      <c r="V470">
        <f>Matchs!K471</f>
        <v>1</v>
      </c>
      <c r="W470" s="6" t="str">
        <f t="shared" si="144"/>
        <v>,GGoal=</v>
      </c>
      <c r="X470">
        <f>Matchs!L471</f>
        <v>0</v>
      </c>
      <c r="Y470" s="6" t="str">
        <f t="shared" si="145"/>
        <v>,GTeam= "</v>
      </c>
      <c r="Z470" t="str">
        <f>Matchs!M471</f>
        <v>Morocco</v>
      </c>
      <c r="AA470" s="6" t="str">
        <f t="shared" si="146"/>
        <v>",WinNote="</v>
      </c>
      <c r="AB470" t="str">
        <f>IF(Matchs!N471="","",Matchs!N471)</f>
        <v/>
      </c>
      <c r="AC470" s="6" t="str">
        <f t="shared" si="147"/>
        <v xml:space="preserve">",Stadium=" </v>
      </c>
      <c r="AD470" s="11" t="str">
        <f>Matchs!O471</f>
        <v xml:space="preserve">Citrus Bowl </v>
      </c>
      <c r="AE470" s="6" t="str">
        <f t="shared" si="148"/>
        <v>",Referee= "</v>
      </c>
      <c r="AF470" s="11" t="str">
        <f>Matchs!P471</f>
        <v xml:space="preserve">Jose Torres Cadena </v>
      </c>
      <c r="AG470" s="6" t="str">
        <f t="shared" si="149"/>
        <v xml:space="preserve">",Visistors= </v>
      </c>
      <c r="AH470" s="11">
        <f>Matchs!Q471</f>
        <v>61219</v>
      </c>
      <c r="AI470" s="11" t="str">
        <f t="shared" si="150"/>
        <v>,Status= "</v>
      </c>
      <c r="AJ470" s="11" t="str">
        <f>Matchs!R471</f>
        <v>Finished</v>
      </c>
      <c r="AK470" t="str">
        <f t="shared" si="151"/>
        <v>" },</v>
      </c>
    </row>
    <row r="471" spans="1:37" x14ac:dyDescent="0.25">
      <c r="A471" t="str">
        <f t="shared" si="133"/>
        <v>new Match { MatchId= "</v>
      </c>
      <c r="B471" t="str">
        <f>Matchs!A472</f>
        <v>FIFAWC1994-7</v>
      </c>
      <c r="C471" t="str">
        <f t="shared" si="134"/>
        <v>",MatchNumer=</v>
      </c>
      <c r="D471">
        <f>Matchs!B472</f>
        <v>7</v>
      </c>
      <c r="E471" t="str">
        <f t="shared" si="135"/>
        <v>,DateMatch=DateTime.Parse("</v>
      </c>
      <c r="F471" s="3">
        <f>Matchs!C472</f>
        <v>34505</v>
      </c>
      <c r="G471" s="10" t="str">
        <f t="shared" si="136"/>
        <v>"),TimeMatch=TimeSpan.Parse("</v>
      </c>
      <c r="H471" s="9">
        <f>Matchs!D472</f>
        <v>0.125</v>
      </c>
      <c r="I471" t="str">
        <f t="shared" si="137"/>
        <v>"),MatchYear=</v>
      </c>
      <c r="J471">
        <f>Matchs!E472</f>
        <v>1994</v>
      </c>
      <c r="K471" t="str">
        <f t="shared" si="138"/>
        <v>, SeasonId= "</v>
      </c>
      <c r="L471" t="str">
        <f>Matchs!F472</f>
        <v>FIFAWC1994</v>
      </c>
      <c r="M471" t="str">
        <f t="shared" si="139"/>
        <v>",Round= "</v>
      </c>
      <c r="N471" t="str">
        <f>Matchs!G472</f>
        <v>Final Round</v>
      </c>
      <c r="O471" s="6" t="str">
        <f t="shared" si="140"/>
        <v>",Stage= "</v>
      </c>
      <c r="P471" t="str">
        <f>Matchs!H472</f>
        <v>Group</v>
      </c>
      <c r="Q471" s="6" t="str">
        <f t="shared" si="141"/>
        <v>",SubStage= "</v>
      </c>
      <c r="R471" t="str">
        <f>Matchs!I472</f>
        <v xml:space="preserve">Group E </v>
      </c>
      <c r="S471" s="6" t="str">
        <f t="shared" si="142"/>
        <v>",HTeam= "</v>
      </c>
      <c r="T471" t="str">
        <f>Matchs!J472</f>
        <v>Norway</v>
      </c>
      <c r="U471" s="6" t="str">
        <f t="shared" si="143"/>
        <v>",HGoal=</v>
      </c>
      <c r="V471">
        <f>Matchs!K472</f>
        <v>1</v>
      </c>
      <c r="W471" s="6" t="str">
        <f t="shared" si="144"/>
        <v>,GGoal=</v>
      </c>
      <c r="X471">
        <f>Matchs!L472</f>
        <v>0</v>
      </c>
      <c r="Y471" s="6" t="str">
        <f t="shared" si="145"/>
        <v>,GTeam= "</v>
      </c>
      <c r="Z471" t="str">
        <f>Matchs!M472</f>
        <v>Mexico</v>
      </c>
      <c r="AA471" s="6" t="str">
        <f t="shared" si="146"/>
        <v>",WinNote="</v>
      </c>
      <c r="AB471" t="str">
        <f>IF(Matchs!N472="","",Matchs!N472)</f>
        <v/>
      </c>
      <c r="AC471" s="6" t="str">
        <f t="shared" si="147"/>
        <v xml:space="preserve">",Stadium=" </v>
      </c>
      <c r="AD471" s="11" t="str">
        <f>Matchs!O472</f>
        <v xml:space="preserve">RFK Stadium </v>
      </c>
      <c r="AE471" s="6" t="str">
        <f t="shared" si="148"/>
        <v>",Referee= "</v>
      </c>
      <c r="AF471" s="11" t="str">
        <f>Matchs!P472</f>
        <v xml:space="preserve">Sandor Puhl </v>
      </c>
      <c r="AG471" s="6" t="str">
        <f t="shared" si="149"/>
        <v xml:space="preserve">",Visistors= </v>
      </c>
      <c r="AH471" s="11">
        <f>Matchs!Q472</f>
        <v>52395</v>
      </c>
      <c r="AI471" s="11" t="str">
        <f t="shared" si="150"/>
        <v>,Status= "</v>
      </c>
      <c r="AJ471" s="11" t="str">
        <f>Matchs!R472</f>
        <v>Finished</v>
      </c>
      <c r="AK471" t="str">
        <f t="shared" si="151"/>
        <v>" },</v>
      </c>
    </row>
    <row r="472" spans="1:37" x14ac:dyDescent="0.25">
      <c r="A472" t="str">
        <f t="shared" si="133"/>
        <v>new Match { MatchId= "</v>
      </c>
      <c r="B472" t="str">
        <f>Matchs!A473</f>
        <v>FIFAWC1994-8</v>
      </c>
      <c r="C472" t="str">
        <f t="shared" si="134"/>
        <v>",MatchNumer=</v>
      </c>
      <c r="D472">
        <f>Matchs!B473</f>
        <v>8</v>
      </c>
      <c r="E472" t="str">
        <f t="shared" si="135"/>
        <v>,DateMatch=DateTime.Parse("</v>
      </c>
      <c r="F472" s="3">
        <f>Matchs!C473</f>
        <v>34505</v>
      </c>
      <c r="G472" s="10" t="str">
        <f t="shared" si="136"/>
        <v>"),TimeMatch=TimeSpan.Parse("</v>
      </c>
      <c r="H472" s="9">
        <f>Matchs!D473</f>
        <v>0.39583333333333331</v>
      </c>
      <c r="I472" t="str">
        <f t="shared" si="137"/>
        <v>"),MatchYear=</v>
      </c>
      <c r="J472">
        <f>Matchs!E473</f>
        <v>1994</v>
      </c>
      <c r="K472" t="str">
        <f t="shared" si="138"/>
        <v>, SeasonId= "</v>
      </c>
      <c r="L472" t="str">
        <f>Matchs!F473</f>
        <v>FIFAWC1994</v>
      </c>
      <c r="M472" t="str">
        <f t="shared" si="139"/>
        <v>",Round= "</v>
      </c>
      <c r="N472" t="str">
        <f>Matchs!G473</f>
        <v>Final Round</v>
      </c>
      <c r="O472" s="6" t="str">
        <f t="shared" si="140"/>
        <v>",Stage= "</v>
      </c>
      <c r="P472" t="str">
        <f>Matchs!H473</f>
        <v>Group</v>
      </c>
      <c r="Q472" s="6" t="str">
        <f t="shared" si="141"/>
        <v>",SubStage= "</v>
      </c>
      <c r="R472" t="str">
        <f>Matchs!I473</f>
        <v xml:space="preserve">Group B </v>
      </c>
      <c r="S472" s="6" t="str">
        <f t="shared" si="142"/>
        <v>",HTeam= "</v>
      </c>
      <c r="T472" t="str">
        <f>Matchs!J473</f>
        <v>Sweden</v>
      </c>
      <c r="U472" s="6" t="str">
        <f t="shared" si="143"/>
        <v>",HGoal=</v>
      </c>
      <c r="V472">
        <f>Matchs!K473</f>
        <v>2</v>
      </c>
      <c r="W472" s="6" t="str">
        <f t="shared" si="144"/>
        <v>,GGoal=</v>
      </c>
      <c r="X472">
        <f>Matchs!L473</f>
        <v>2</v>
      </c>
      <c r="Y472" s="6" t="str">
        <f t="shared" si="145"/>
        <v>,GTeam= "</v>
      </c>
      <c r="Z472" t="str">
        <f>Matchs!M473</f>
        <v>Cameroon</v>
      </c>
      <c r="AA472" s="6" t="str">
        <f t="shared" si="146"/>
        <v>",WinNote="</v>
      </c>
      <c r="AB472" t="str">
        <f>IF(Matchs!N473="","",Matchs!N473)</f>
        <v/>
      </c>
      <c r="AC472" s="6" t="str">
        <f t="shared" si="147"/>
        <v xml:space="preserve">",Stadium=" </v>
      </c>
      <c r="AD472" s="11" t="str">
        <f>Matchs!O473</f>
        <v xml:space="preserve">Rose Bowl </v>
      </c>
      <c r="AE472" s="6" t="str">
        <f t="shared" si="148"/>
        <v>",Referee= "</v>
      </c>
      <c r="AF472" s="11" t="str">
        <f>Matchs!P473</f>
        <v xml:space="preserve">Alberto Tejada Noriega </v>
      </c>
      <c r="AG472" s="6" t="str">
        <f t="shared" si="149"/>
        <v xml:space="preserve">",Visistors= </v>
      </c>
      <c r="AH472" s="11">
        <f>Matchs!Q473</f>
        <v>93194</v>
      </c>
      <c r="AI472" s="11" t="str">
        <f t="shared" si="150"/>
        <v>,Status= "</v>
      </c>
      <c r="AJ472" s="11" t="str">
        <f>Matchs!R473</f>
        <v>Finished</v>
      </c>
      <c r="AK472" t="str">
        <f t="shared" si="151"/>
        <v>" },</v>
      </c>
    </row>
    <row r="473" spans="1:37" x14ac:dyDescent="0.25">
      <c r="A473" t="str">
        <f t="shared" si="133"/>
        <v>new Match { MatchId= "</v>
      </c>
      <c r="B473" t="str">
        <f>Matchs!A474</f>
        <v>FIFAWC1994-9</v>
      </c>
      <c r="C473" t="str">
        <f t="shared" si="134"/>
        <v>",MatchNumer=</v>
      </c>
      <c r="D473">
        <f>Matchs!B474</f>
        <v>9</v>
      </c>
      <c r="E473" t="str">
        <f t="shared" si="135"/>
        <v>,DateMatch=DateTime.Parse("</v>
      </c>
      <c r="F473" s="3">
        <f>Matchs!C474</f>
        <v>34506</v>
      </c>
      <c r="G473" s="10" t="str">
        <f t="shared" si="136"/>
        <v>"),TimeMatch=TimeSpan.Parse("</v>
      </c>
      <c r="H473" s="9">
        <f>Matchs!D474</f>
        <v>0.25</v>
      </c>
      <c r="I473" t="str">
        <f t="shared" si="137"/>
        <v>"),MatchYear=</v>
      </c>
      <c r="J473">
        <f>Matchs!E474</f>
        <v>1994</v>
      </c>
      <c r="K473" t="str">
        <f t="shared" si="138"/>
        <v>, SeasonId= "</v>
      </c>
      <c r="L473" t="str">
        <f>Matchs!F474</f>
        <v>FIFAWC1994</v>
      </c>
      <c r="M473" t="str">
        <f t="shared" si="139"/>
        <v>",Round= "</v>
      </c>
      <c r="N473" t="str">
        <f>Matchs!G474</f>
        <v>Final Round</v>
      </c>
      <c r="O473" s="6" t="str">
        <f t="shared" si="140"/>
        <v>",Stage= "</v>
      </c>
      <c r="P473" t="str">
        <f>Matchs!H474</f>
        <v>Group</v>
      </c>
      <c r="Q473" s="6" t="str">
        <f t="shared" si="141"/>
        <v>",SubStage= "</v>
      </c>
      <c r="R473" t="str">
        <f>Matchs!I474</f>
        <v xml:space="preserve">Group B </v>
      </c>
      <c r="S473" s="6" t="str">
        <f t="shared" si="142"/>
        <v>",HTeam= "</v>
      </c>
      <c r="T473" t="str">
        <f>Matchs!J474</f>
        <v>Brazil</v>
      </c>
      <c r="U473" s="6" t="str">
        <f t="shared" si="143"/>
        <v>",HGoal=</v>
      </c>
      <c r="V473">
        <f>Matchs!K474</f>
        <v>2</v>
      </c>
      <c r="W473" s="6" t="str">
        <f t="shared" si="144"/>
        <v>,GGoal=</v>
      </c>
      <c r="X473">
        <f>Matchs!L474</f>
        <v>0</v>
      </c>
      <c r="Y473" s="6" t="str">
        <f t="shared" si="145"/>
        <v>,GTeam= "</v>
      </c>
      <c r="Z473" t="str">
        <f>Matchs!M474</f>
        <v>Russia</v>
      </c>
      <c r="AA473" s="6" t="str">
        <f t="shared" si="146"/>
        <v>",WinNote="</v>
      </c>
      <c r="AB473" t="str">
        <f>IF(Matchs!N474="","",Matchs!N474)</f>
        <v/>
      </c>
      <c r="AC473" s="6" t="str">
        <f t="shared" si="147"/>
        <v xml:space="preserve">",Stadium=" </v>
      </c>
      <c r="AD473" s="11" t="str">
        <f>Matchs!O474</f>
        <v xml:space="preserve">Stanford Stadium </v>
      </c>
      <c r="AE473" s="6" t="str">
        <f t="shared" si="148"/>
        <v>",Referee= "</v>
      </c>
      <c r="AF473" s="11" t="str">
        <f>Matchs!P474</f>
        <v xml:space="preserve">Lim Kee Chong </v>
      </c>
      <c r="AG473" s="6" t="str">
        <f t="shared" si="149"/>
        <v xml:space="preserve">",Visistors= </v>
      </c>
      <c r="AH473" s="11">
        <f>Matchs!Q474</f>
        <v>81061</v>
      </c>
      <c r="AI473" s="11" t="str">
        <f t="shared" si="150"/>
        <v>,Status= "</v>
      </c>
      <c r="AJ473" s="11" t="str">
        <f>Matchs!R474</f>
        <v>Finished</v>
      </c>
      <c r="AK473" t="str">
        <f t="shared" si="151"/>
        <v>" },</v>
      </c>
    </row>
    <row r="474" spans="1:37" x14ac:dyDescent="0.25">
      <c r="A474" t="str">
        <f t="shared" si="133"/>
        <v>new Match { MatchId= "</v>
      </c>
      <c r="B474" t="str">
        <f>Matchs!A475</f>
        <v>FIFAWC1994-10</v>
      </c>
      <c r="C474" t="str">
        <f t="shared" si="134"/>
        <v>",MatchNumer=</v>
      </c>
      <c r="D474">
        <f>Matchs!B475</f>
        <v>10</v>
      </c>
      <c r="E474" t="str">
        <f t="shared" si="135"/>
        <v>,DateMatch=DateTime.Parse("</v>
      </c>
      <c r="F474" s="3">
        <f>Matchs!C475</f>
        <v>34506</v>
      </c>
      <c r="G474" s="10" t="str">
        <f t="shared" si="136"/>
        <v>"),TimeMatch=TimeSpan.Parse("</v>
      </c>
      <c r="H474" s="9">
        <f>Matchs!D475</f>
        <v>0.27083333333333331</v>
      </c>
      <c r="I474" t="str">
        <f t="shared" si="137"/>
        <v>"),MatchYear=</v>
      </c>
      <c r="J474">
        <f>Matchs!E475</f>
        <v>1994</v>
      </c>
      <c r="K474" t="str">
        <f t="shared" si="138"/>
        <v>, SeasonId= "</v>
      </c>
      <c r="L474" t="str">
        <f>Matchs!F475</f>
        <v>FIFAWC1994</v>
      </c>
      <c r="M474" t="str">
        <f t="shared" si="139"/>
        <v>",Round= "</v>
      </c>
      <c r="N474" t="str">
        <f>Matchs!G475</f>
        <v>Final Round</v>
      </c>
      <c r="O474" s="6" t="str">
        <f t="shared" si="140"/>
        <v>",Stage= "</v>
      </c>
      <c r="P474" t="str">
        <f>Matchs!H475</f>
        <v>Group</v>
      </c>
      <c r="Q474" s="6" t="str">
        <f t="shared" si="141"/>
        <v>",SubStage= "</v>
      </c>
      <c r="R474" t="str">
        <f>Matchs!I475</f>
        <v xml:space="preserve">Group F </v>
      </c>
      <c r="S474" s="6" t="str">
        <f t="shared" si="142"/>
        <v>",HTeam= "</v>
      </c>
      <c r="T474" t="str">
        <f>Matchs!J475</f>
        <v>Netherlands</v>
      </c>
      <c r="U474" s="6" t="str">
        <f t="shared" si="143"/>
        <v>",HGoal=</v>
      </c>
      <c r="V474">
        <f>Matchs!K475</f>
        <v>2</v>
      </c>
      <c r="W474" s="6" t="str">
        <f t="shared" si="144"/>
        <v>,GGoal=</v>
      </c>
      <c r="X474">
        <f>Matchs!L475</f>
        <v>1</v>
      </c>
      <c r="Y474" s="6" t="str">
        <f t="shared" si="145"/>
        <v>,GTeam= "</v>
      </c>
      <c r="Z474" t="str">
        <f>Matchs!M475</f>
        <v>Saudi Arabia</v>
      </c>
      <c r="AA474" s="6" t="str">
        <f t="shared" si="146"/>
        <v>",WinNote="</v>
      </c>
      <c r="AB474" t="str">
        <f>IF(Matchs!N475="","",Matchs!N475)</f>
        <v/>
      </c>
      <c r="AC474" s="6" t="str">
        <f t="shared" si="147"/>
        <v xml:space="preserve">",Stadium=" </v>
      </c>
      <c r="AD474" s="11" t="str">
        <f>Matchs!O475</f>
        <v xml:space="preserve">RFK Stadium </v>
      </c>
      <c r="AE474" s="6" t="str">
        <f t="shared" si="148"/>
        <v>",Referee= "</v>
      </c>
      <c r="AF474" s="11" t="str">
        <f>Matchs!P475</f>
        <v xml:space="preserve">Manuel Diaz Vega </v>
      </c>
      <c r="AG474" s="6" t="str">
        <f t="shared" si="149"/>
        <v xml:space="preserve">",Visistors= </v>
      </c>
      <c r="AH474" s="11">
        <f>Matchs!Q475</f>
        <v>50535</v>
      </c>
      <c r="AI474" s="11" t="str">
        <f t="shared" si="150"/>
        <v>,Status= "</v>
      </c>
      <c r="AJ474" s="11" t="str">
        <f>Matchs!R475</f>
        <v>Finished</v>
      </c>
      <c r="AK474" t="str">
        <f t="shared" si="151"/>
        <v>" },</v>
      </c>
    </row>
    <row r="475" spans="1:37" x14ac:dyDescent="0.25">
      <c r="A475" t="str">
        <f t="shared" si="133"/>
        <v>new Match { MatchId= "</v>
      </c>
      <c r="B475" t="str">
        <f>Matchs!A476</f>
        <v>FIFAWC1994-11</v>
      </c>
      <c r="C475" t="str">
        <f t="shared" si="134"/>
        <v>",MatchNumer=</v>
      </c>
      <c r="D475">
        <f>Matchs!B476</f>
        <v>11</v>
      </c>
      <c r="E475" t="str">
        <f t="shared" si="135"/>
        <v>,DateMatch=DateTime.Parse("</v>
      </c>
      <c r="F475" s="3">
        <f>Matchs!C476</f>
        <v>34506</v>
      </c>
      <c r="G475" s="10" t="str">
        <f t="shared" si="136"/>
        <v>"),TimeMatch=TimeSpan.Parse("</v>
      </c>
      <c r="H475" s="9">
        <f>Matchs!D476</f>
        <v>0.97916666666666663</v>
      </c>
      <c r="I475" t="str">
        <f t="shared" si="137"/>
        <v>"),MatchYear=</v>
      </c>
      <c r="J475">
        <f>Matchs!E476</f>
        <v>1994</v>
      </c>
      <c r="K475" t="str">
        <f t="shared" si="138"/>
        <v>, SeasonId= "</v>
      </c>
      <c r="L475" t="str">
        <f>Matchs!F476</f>
        <v>FIFAWC1994</v>
      </c>
      <c r="M475" t="str">
        <f t="shared" si="139"/>
        <v>",Round= "</v>
      </c>
      <c r="N475" t="str">
        <f>Matchs!G476</f>
        <v>Final Round</v>
      </c>
      <c r="O475" s="6" t="str">
        <f t="shared" si="140"/>
        <v>",Stage= "</v>
      </c>
      <c r="P475" t="str">
        <f>Matchs!H476</f>
        <v>Group</v>
      </c>
      <c r="Q475" s="6" t="str">
        <f t="shared" si="141"/>
        <v>",SubStage= "</v>
      </c>
      <c r="R475" t="str">
        <f>Matchs!I476</f>
        <v xml:space="preserve">Group D </v>
      </c>
      <c r="S475" s="6" t="str">
        <f t="shared" si="142"/>
        <v>",HTeam= "</v>
      </c>
      <c r="T475" t="str">
        <f>Matchs!J476</f>
        <v>Argentina</v>
      </c>
      <c r="U475" s="6" t="str">
        <f t="shared" si="143"/>
        <v>",HGoal=</v>
      </c>
      <c r="V475">
        <f>Matchs!K476</f>
        <v>4</v>
      </c>
      <c r="W475" s="6" t="str">
        <f t="shared" si="144"/>
        <v>,GGoal=</v>
      </c>
      <c r="X475">
        <f>Matchs!L476</f>
        <v>0</v>
      </c>
      <c r="Y475" s="6" t="str">
        <f t="shared" si="145"/>
        <v>,GTeam= "</v>
      </c>
      <c r="Z475" t="str">
        <f>Matchs!M476</f>
        <v>Greece</v>
      </c>
      <c r="AA475" s="6" t="str">
        <f t="shared" si="146"/>
        <v>",WinNote="</v>
      </c>
      <c r="AB475" t="str">
        <f>IF(Matchs!N476="","",Matchs!N476)</f>
        <v/>
      </c>
      <c r="AC475" s="6" t="str">
        <f t="shared" si="147"/>
        <v xml:space="preserve">",Stadium=" </v>
      </c>
      <c r="AD475" s="11" t="str">
        <f>Matchs!O476</f>
        <v xml:space="preserve">Foxboro Stadium </v>
      </c>
      <c r="AE475" s="6" t="str">
        <f t="shared" si="148"/>
        <v>",Referee= "</v>
      </c>
      <c r="AF475" s="11" t="str">
        <f>Matchs!P476</f>
        <v xml:space="preserve">Arturo Angeles </v>
      </c>
      <c r="AG475" s="6" t="str">
        <f t="shared" si="149"/>
        <v xml:space="preserve">",Visistors= </v>
      </c>
      <c r="AH475" s="11">
        <f>Matchs!Q476</f>
        <v>54456</v>
      </c>
      <c r="AI475" s="11" t="str">
        <f t="shared" si="150"/>
        <v>,Status= "</v>
      </c>
      <c r="AJ475" s="11" t="str">
        <f>Matchs!R476</f>
        <v>Finished</v>
      </c>
      <c r="AK475" t="str">
        <f t="shared" si="151"/>
        <v>" },</v>
      </c>
    </row>
    <row r="476" spans="1:37" x14ac:dyDescent="0.25">
      <c r="A476" t="str">
        <f t="shared" si="133"/>
        <v>new Match { MatchId= "</v>
      </c>
      <c r="B476" t="str">
        <f>Matchs!A477</f>
        <v>FIFAWC1994-12</v>
      </c>
      <c r="C476" t="str">
        <f t="shared" si="134"/>
        <v>",MatchNumer=</v>
      </c>
      <c r="D476">
        <f>Matchs!B477</f>
        <v>12</v>
      </c>
      <c r="E476" t="str">
        <f t="shared" si="135"/>
        <v>,DateMatch=DateTime.Parse("</v>
      </c>
      <c r="F476" s="3">
        <f>Matchs!C477</f>
        <v>34507</v>
      </c>
      <c r="G476" s="10" t="str">
        <f t="shared" si="136"/>
        <v>"),TimeMatch=TimeSpan.Parse("</v>
      </c>
      <c r="H476" s="9">
        <f>Matchs!D477</f>
        <v>0.16666666666666666</v>
      </c>
      <c r="I476" t="str">
        <f t="shared" si="137"/>
        <v>"),MatchYear=</v>
      </c>
      <c r="J476">
        <f>Matchs!E477</f>
        <v>1994</v>
      </c>
      <c r="K476" t="str">
        <f t="shared" si="138"/>
        <v>, SeasonId= "</v>
      </c>
      <c r="L476" t="str">
        <f>Matchs!F477</f>
        <v>FIFAWC1994</v>
      </c>
      <c r="M476" t="str">
        <f t="shared" si="139"/>
        <v>",Round= "</v>
      </c>
      <c r="N476" t="str">
        <f>Matchs!G477</f>
        <v>Final Round</v>
      </c>
      <c r="O476" s="6" t="str">
        <f t="shared" si="140"/>
        <v>",Stage= "</v>
      </c>
      <c r="P476" t="str">
        <f>Matchs!H477</f>
        <v>Group</v>
      </c>
      <c r="Q476" s="6" t="str">
        <f t="shared" si="141"/>
        <v>",SubStage= "</v>
      </c>
      <c r="R476" t="str">
        <f>Matchs!I477</f>
        <v xml:space="preserve">Group C </v>
      </c>
      <c r="S476" s="6" t="str">
        <f t="shared" si="142"/>
        <v>",HTeam= "</v>
      </c>
      <c r="T476" t="str">
        <f>Matchs!J477</f>
        <v>Germany</v>
      </c>
      <c r="U476" s="6" t="str">
        <f t="shared" si="143"/>
        <v>",HGoal=</v>
      </c>
      <c r="V476">
        <f>Matchs!K477</f>
        <v>1</v>
      </c>
      <c r="W476" s="6" t="str">
        <f t="shared" si="144"/>
        <v>,GGoal=</v>
      </c>
      <c r="X476">
        <f>Matchs!L477</f>
        <v>1</v>
      </c>
      <c r="Y476" s="6" t="str">
        <f t="shared" si="145"/>
        <v>,GTeam= "</v>
      </c>
      <c r="Z476" t="str">
        <f>Matchs!M477</f>
        <v>Spain</v>
      </c>
      <c r="AA476" s="6" t="str">
        <f t="shared" si="146"/>
        <v>",WinNote="</v>
      </c>
      <c r="AB476" t="str">
        <f>IF(Matchs!N477="","",Matchs!N477)</f>
        <v/>
      </c>
      <c r="AC476" s="6" t="str">
        <f t="shared" si="147"/>
        <v xml:space="preserve">",Stadium=" </v>
      </c>
      <c r="AD476" s="11" t="str">
        <f>Matchs!O477</f>
        <v xml:space="preserve">Soldier Field </v>
      </c>
      <c r="AE476" s="6" t="str">
        <f t="shared" si="148"/>
        <v>",Referee= "</v>
      </c>
      <c r="AF476" s="11" t="str">
        <f>Matchs!P477</f>
        <v xml:space="preserve">Filippi Cavani </v>
      </c>
      <c r="AG476" s="6" t="str">
        <f t="shared" si="149"/>
        <v xml:space="preserve">",Visistors= </v>
      </c>
      <c r="AH476" s="11">
        <f>Matchs!Q477</f>
        <v>69113</v>
      </c>
      <c r="AI476" s="11" t="str">
        <f t="shared" si="150"/>
        <v>,Status= "</v>
      </c>
      <c r="AJ476" s="11" t="str">
        <f>Matchs!R477</f>
        <v>Finished</v>
      </c>
      <c r="AK476" t="str">
        <f t="shared" si="151"/>
        <v>" },</v>
      </c>
    </row>
    <row r="477" spans="1:37" x14ac:dyDescent="0.25">
      <c r="A477" t="str">
        <f t="shared" si="133"/>
        <v>new Match { MatchId= "</v>
      </c>
      <c r="B477" t="str">
        <f>Matchs!A478</f>
        <v>FIFAWC1994-13</v>
      </c>
      <c r="C477" t="str">
        <f t="shared" si="134"/>
        <v>",MatchNumer=</v>
      </c>
      <c r="D477">
        <f>Matchs!B478</f>
        <v>13</v>
      </c>
      <c r="E477" t="str">
        <f t="shared" si="135"/>
        <v>,DateMatch=DateTime.Parse("</v>
      </c>
      <c r="F477" s="3">
        <f>Matchs!C478</f>
        <v>34507</v>
      </c>
      <c r="G477" s="10" t="str">
        <f t="shared" si="136"/>
        <v>"),TimeMatch=TimeSpan.Parse("</v>
      </c>
      <c r="H477" s="9">
        <f>Matchs!D478</f>
        <v>0.3125</v>
      </c>
      <c r="I477" t="str">
        <f t="shared" si="137"/>
        <v>"),MatchYear=</v>
      </c>
      <c r="J477">
        <f>Matchs!E478</f>
        <v>1994</v>
      </c>
      <c r="K477" t="str">
        <f t="shared" si="138"/>
        <v>, SeasonId= "</v>
      </c>
      <c r="L477" t="str">
        <f>Matchs!F478</f>
        <v>FIFAWC1994</v>
      </c>
      <c r="M477" t="str">
        <f t="shared" si="139"/>
        <v>",Round= "</v>
      </c>
      <c r="N477" t="str">
        <f>Matchs!G478</f>
        <v>Final Round</v>
      </c>
      <c r="O477" s="6" t="str">
        <f t="shared" si="140"/>
        <v>",Stage= "</v>
      </c>
      <c r="P477" t="str">
        <f>Matchs!H478</f>
        <v>Group</v>
      </c>
      <c r="Q477" s="6" t="str">
        <f t="shared" si="141"/>
        <v>",SubStage= "</v>
      </c>
      <c r="R477" t="str">
        <f>Matchs!I478</f>
        <v xml:space="preserve">Group D </v>
      </c>
      <c r="S477" s="6" t="str">
        <f t="shared" si="142"/>
        <v>",HTeam= "</v>
      </c>
      <c r="T477" t="str">
        <f>Matchs!J478</f>
        <v>Nigeria</v>
      </c>
      <c r="U477" s="6" t="str">
        <f t="shared" si="143"/>
        <v>",HGoal=</v>
      </c>
      <c r="V477">
        <f>Matchs!K478</f>
        <v>3</v>
      </c>
      <c r="W477" s="6" t="str">
        <f t="shared" si="144"/>
        <v>,GGoal=</v>
      </c>
      <c r="X477">
        <f>Matchs!L478</f>
        <v>0</v>
      </c>
      <c r="Y477" s="6" t="str">
        <f t="shared" si="145"/>
        <v>,GTeam= "</v>
      </c>
      <c r="Z477" t="str">
        <f>Matchs!M478</f>
        <v>Bulgaria</v>
      </c>
      <c r="AA477" s="6" t="str">
        <f t="shared" si="146"/>
        <v>",WinNote="</v>
      </c>
      <c r="AB477" t="str">
        <f>IF(Matchs!N478="","",Matchs!N478)</f>
        <v/>
      </c>
      <c r="AC477" s="6" t="str">
        <f t="shared" si="147"/>
        <v xml:space="preserve">",Stadium=" </v>
      </c>
      <c r="AD477" s="11" t="str">
        <f>Matchs!O478</f>
        <v xml:space="preserve">Cotton Bowl </v>
      </c>
      <c r="AE477" s="6" t="str">
        <f t="shared" si="148"/>
        <v>",Referee= "</v>
      </c>
      <c r="AF477" s="11" t="str">
        <f>Matchs!P478</f>
        <v xml:space="preserve">Rodrigo Badilla </v>
      </c>
      <c r="AG477" s="6" t="str">
        <f t="shared" si="149"/>
        <v xml:space="preserve">",Visistors= </v>
      </c>
      <c r="AH477" s="11">
        <f>Matchs!Q478</f>
        <v>44132</v>
      </c>
      <c r="AI477" s="11" t="str">
        <f t="shared" si="150"/>
        <v>,Status= "</v>
      </c>
      <c r="AJ477" s="11" t="str">
        <f>Matchs!R478</f>
        <v>Finished</v>
      </c>
      <c r="AK477" t="str">
        <f t="shared" si="151"/>
        <v>" },</v>
      </c>
    </row>
    <row r="478" spans="1:37" x14ac:dyDescent="0.25">
      <c r="A478" t="str">
        <f t="shared" si="133"/>
        <v>new Match { MatchId= "</v>
      </c>
      <c r="B478" t="str">
        <f>Matchs!A479</f>
        <v>FIFAWC1994-14</v>
      </c>
      <c r="C478" t="str">
        <f t="shared" si="134"/>
        <v>",MatchNumer=</v>
      </c>
      <c r="D478">
        <f>Matchs!B479</f>
        <v>14</v>
      </c>
      <c r="E478" t="str">
        <f t="shared" si="135"/>
        <v>,DateMatch=DateTime.Parse("</v>
      </c>
      <c r="F478" s="3">
        <f>Matchs!C479</f>
        <v>34508</v>
      </c>
      <c r="G478" s="10" t="str">
        <f t="shared" si="136"/>
        <v>"),TimeMatch=TimeSpan.Parse("</v>
      </c>
      <c r="H478" s="9">
        <f>Matchs!D479</f>
        <v>0.125</v>
      </c>
      <c r="I478" t="str">
        <f t="shared" si="137"/>
        <v>"),MatchYear=</v>
      </c>
      <c r="J478">
        <f>Matchs!E479</f>
        <v>1994</v>
      </c>
      <c r="K478" t="str">
        <f t="shared" si="138"/>
        <v>, SeasonId= "</v>
      </c>
      <c r="L478" t="str">
        <f>Matchs!F479</f>
        <v>FIFAWC1994</v>
      </c>
      <c r="M478" t="str">
        <f t="shared" si="139"/>
        <v>",Round= "</v>
      </c>
      <c r="N478" t="str">
        <f>Matchs!G479</f>
        <v>Final Round</v>
      </c>
      <c r="O478" s="6" t="str">
        <f t="shared" si="140"/>
        <v>",Stage= "</v>
      </c>
      <c r="P478" t="str">
        <f>Matchs!H479</f>
        <v>Group</v>
      </c>
      <c r="Q478" s="6" t="str">
        <f t="shared" si="141"/>
        <v>",SubStage= "</v>
      </c>
      <c r="R478" t="str">
        <f>Matchs!I479</f>
        <v xml:space="preserve">Group A </v>
      </c>
      <c r="S478" s="6" t="str">
        <f t="shared" si="142"/>
        <v>",HTeam= "</v>
      </c>
      <c r="T478" t="str">
        <f>Matchs!J479</f>
        <v>Romania</v>
      </c>
      <c r="U478" s="6" t="str">
        <f t="shared" si="143"/>
        <v>",HGoal=</v>
      </c>
      <c r="V478">
        <f>Matchs!K479</f>
        <v>4</v>
      </c>
      <c r="W478" s="6" t="str">
        <f t="shared" si="144"/>
        <v>,GGoal=</v>
      </c>
      <c r="X478">
        <f>Matchs!L479</f>
        <v>1</v>
      </c>
      <c r="Y478" s="6" t="str">
        <f t="shared" si="145"/>
        <v>,GTeam= "</v>
      </c>
      <c r="Z478" t="str">
        <f>Matchs!M479</f>
        <v>Switzerland</v>
      </c>
      <c r="AA478" s="6" t="str">
        <f t="shared" si="146"/>
        <v>",WinNote="</v>
      </c>
      <c r="AB478" t="str">
        <f>IF(Matchs!N479="","",Matchs!N479)</f>
        <v/>
      </c>
      <c r="AC478" s="6" t="str">
        <f t="shared" si="147"/>
        <v xml:space="preserve">",Stadium=" </v>
      </c>
      <c r="AD478" s="11" t="str">
        <f>Matchs!O479</f>
        <v xml:space="preserve">Silverdome </v>
      </c>
      <c r="AE478" s="6" t="str">
        <f t="shared" si="148"/>
        <v>",Referee= "</v>
      </c>
      <c r="AF478" s="11" t="str">
        <f>Matchs!P479</f>
        <v xml:space="preserve">Neji Jouini </v>
      </c>
      <c r="AG478" s="6" t="str">
        <f t="shared" si="149"/>
        <v xml:space="preserve">",Visistors= </v>
      </c>
      <c r="AH478" s="11">
        <f>Matchs!Q479</f>
        <v>61428</v>
      </c>
      <c r="AI478" s="11" t="str">
        <f t="shared" si="150"/>
        <v>,Status= "</v>
      </c>
      <c r="AJ478" s="11" t="str">
        <f>Matchs!R479</f>
        <v>Finished</v>
      </c>
      <c r="AK478" t="str">
        <f t="shared" si="151"/>
        <v>" },</v>
      </c>
    </row>
    <row r="479" spans="1:37" x14ac:dyDescent="0.25">
      <c r="A479" t="str">
        <f t="shared" si="133"/>
        <v>new Match { MatchId= "</v>
      </c>
      <c r="B479" t="str">
        <f>Matchs!A480</f>
        <v>FIFAWC1994-15</v>
      </c>
      <c r="C479" t="str">
        <f t="shared" si="134"/>
        <v>",MatchNumer=</v>
      </c>
      <c r="D479">
        <f>Matchs!B480</f>
        <v>15</v>
      </c>
      <c r="E479" t="str">
        <f t="shared" si="135"/>
        <v>,DateMatch=DateTime.Parse("</v>
      </c>
      <c r="F479" s="3">
        <f>Matchs!C480</f>
        <v>34508</v>
      </c>
      <c r="G479" s="10" t="str">
        <f t="shared" si="136"/>
        <v>"),TimeMatch=TimeSpan.Parse("</v>
      </c>
      <c r="H479" s="9">
        <f>Matchs!D480</f>
        <v>0.39583333333333331</v>
      </c>
      <c r="I479" t="str">
        <f t="shared" si="137"/>
        <v>"),MatchYear=</v>
      </c>
      <c r="J479">
        <f>Matchs!E480</f>
        <v>1994</v>
      </c>
      <c r="K479" t="str">
        <f t="shared" si="138"/>
        <v>, SeasonId= "</v>
      </c>
      <c r="L479" t="str">
        <f>Matchs!F480</f>
        <v>FIFAWC1994</v>
      </c>
      <c r="M479" t="str">
        <f t="shared" si="139"/>
        <v>",Round= "</v>
      </c>
      <c r="N479" t="str">
        <f>Matchs!G480</f>
        <v>Final Round</v>
      </c>
      <c r="O479" s="6" t="str">
        <f t="shared" si="140"/>
        <v>",Stage= "</v>
      </c>
      <c r="P479" t="str">
        <f>Matchs!H480</f>
        <v>Group</v>
      </c>
      <c r="Q479" s="6" t="str">
        <f t="shared" si="141"/>
        <v>",SubStage= "</v>
      </c>
      <c r="R479" t="str">
        <f>Matchs!I480</f>
        <v xml:space="preserve">Group A </v>
      </c>
      <c r="S479" s="6" t="str">
        <f t="shared" si="142"/>
        <v>",HTeam= "</v>
      </c>
      <c r="T479" t="str">
        <f>Matchs!J480</f>
        <v>USA</v>
      </c>
      <c r="U479" s="6" t="str">
        <f t="shared" si="143"/>
        <v>",HGoal=</v>
      </c>
      <c r="V479">
        <f>Matchs!K480</f>
        <v>2</v>
      </c>
      <c r="W479" s="6" t="str">
        <f t="shared" si="144"/>
        <v>,GGoal=</v>
      </c>
      <c r="X479">
        <f>Matchs!L480</f>
        <v>1</v>
      </c>
      <c r="Y479" s="6" t="str">
        <f t="shared" si="145"/>
        <v>,GTeam= "</v>
      </c>
      <c r="Z479" t="str">
        <f>Matchs!M480</f>
        <v>Colombia</v>
      </c>
      <c r="AA479" s="6" t="str">
        <f t="shared" si="146"/>
        <v>",WinNote="</v>
      </c>
      <c r="AB479" t="str">
        <f>IF(Matchs!N480="","",Matchs!N480)</f>
        <v/>
      </c>
      <c r="AC479" s="6" t="str">
        <f t="shared" si="147"/>
        <v xml:space="preserve">",Stadium=" </v>
      </c>
      <c r="AD479" s="11" t="str">
        <f>Matchs!O480</f>
        <v xml:space="preserve">Rose Bowl </v>
      </c>
      <c r="AE479" s="6" t="str">
        <f t="shared" si="148"/>
        <v>",Referee= "</v>
      </c>
      <c r="AF479" s="11" t="str">
        <f>Matchs!P480</f>
        <v xml:space="preserve">Fabio Baldas </v>
      </c>
      <c r="AG479" s="6" t="str">
        <f t="shared" si="149"/>
        <v xml:space="preserve">",Visistors= </v>
      </c>
      <c r="AH479" s="11">
        <f>Matchs!Q480</f>
        <v>93869</v>
      </c>
      <c r="AI479" s="11" t="str">
        <f t="shared" si="150"/>
        <v>,Status= "</v>
      </c>
      <c r="AJ479" s="11" t="str">
        <f>Matchs!R480</f>
        <v>Finished</v>
      </c>
      <c r="AK479" t="str">
        <f t="shared" si="151"/>
        <v>" },</v>
      </c>
    </row>
    <row r="480" spans="1:37" x14ac:dyDescent="0.25">
      <c r="A480" t="str">
        <f t="shared" si="133"/>
        <v>new Match { MatchId= "</v>
      </c>
      <c r="B480" t="str">
        <f>Matchs!A481</f>
        <v>FIFAWC1994-16</v>
      </c>
      <c r="C480" t="str">
        <f t="shared" si="134"/>
        <v>",MatchNumer=</v>
      </c>
      <c r="D480">
        <f>Matchs!B481</f>
        <v>16</v>
      </c>
      <c r="E480" t="str">
        <f t="shared" si="135"/>
        <v>,DateMatch=DateTime.Parse("</v>
      </c>
      <c r="F480" s="3">
        <f>Matchs!C481</f>
        <v>34509</v>
      </c>
      <c r="G480" s="10" t="str">
        <f t="shared" si="136"/>
        <v>"),TimeMatch=TimeSpan.Parse("</v>
      </c>
      <c r="H480" s="9">
        <f>Matchs!D481</f>
        <v>0.125</v>
      </c>
      <c r="I480" t="str">
        <f t="shared" si="137"/>
        <v>"),MatchYear=</v>
      </c>
      <c r="J480">
        <f>Matchs!E481</f>
        <v>1994</v>
      </c>
      <c r="K480" t="str">
        <f t="shared" si="138"/>
        <v>, SeasonId= "</v>
      </c>
      <c r="L480" t="str">
        <f>Matchs!F481</f>
        <v>FIFAWC1994</v>
      </c>
      <c r="M480" t="str">
        <f t="shared" si="139"/>
        <v>",Round= "</v>
      </c>
      <c r="N480" t="str">
        <f>Matchs!G481</f>
        <v>Final Round</v>
      </c>
      <c r="O480" s="6" t="str">
        <f t="shared" si="140"/>
        <v>",Stage= "</v>
      </c>
      <c r="P480" t="str">
        <f>Matchs!H481</f>
        <v>Group</v>
      </c>
      <c r="Q480" s="6" t="str">
        <f t="shared" si="141"/>
        <v>",SubStage= "</v>
      </c>
      <c r="R480" t="str">
        <f>Matchs!I481</f>
        <v xml:space="preserve">Group E </v>
      </c>
      <c r="S480" s="6" t="str">
        <f t="shared" si="142"/>
        <v>",HTeam= "</v>
      </c>
      <c r="T480" t="str">
        <f>Matchs!J481</f>
        <v>Italy</v>
      </c>
      <c r="U480" s="6" t="str">
        <f t="shared" si="143"/>
        <v>",HGoal=</v>
      </c>
      <c r="V480">
        <f>Matchs!K481</f>
        <v>1</v>
      </c>
      <c r="W480" s="6" t="str">
        <f t="shared" si="144"/>
        <v>,GGoal=</v>
      </c>
      <c r="X480">
        <f>Matchs!L481</f>
        <v>0</v>
      </c>
      <c r="Y480" s="6" t="str">
        <f t="shared" si="145"/>
        <v>,GTeam= "</v>
      </c>
      <c r="Z480" t="str">
        <f>Matchs!M481</f>
        <v>Norway</v>
      </c>
      <c r="AA480" s="6" t="str">
        <f t="shared" si="146"/>
        <v>",WinNote="</v>
      </c>
      <c r="AB480" t="str">
        <f>IF(Matchs!N481="","",Matchs!N481)</f>
        <v/>
      </c>
      <c r="AC480" s="6" t="str">
        <f t="shared" si="147"/>
        <v xml:space="preserve">",Stadium=" </v>
      </c>
      <c r="AD480" s="11" t="str">
        <f>Matchs!O481</f>
        <v xml:space="preserve">Giants Stadium </v>
      </c>
      <c r="AE480" s="6" t="str">
        <f t="shared" si="148"/>
        <v>",Referee= "</v>
      </c>
      <c r="AF480" s="11" t="str">
        <f>Matchs!P481</f>
        <v xml:space="preserve">Helmut Krug </v>
      </c>
      <c r="AG480" s="6" t="str">
        <f t="shared" si="149"/>
        <v xml:space="preserve">",Visistors= </v>
      </c>
      <c r="AH480" s="11">
        <f>Matchs!Q481</f>
        <v>74624</v>
      </c>
      <c r="AI480" s="11" t="str">
        <f t="shared" si="150"/>
        <v>,Status= "</v>
      </c>
      <c r="AJ480" s="11" t="str">
        <f>Matchs!R481</f>
        <v>Finished</v>
      </c>
      <c r="AK480" t="str">
        <f t="shared" si="151"/>
        <v>" },</v>
      </c>
    </row>
    <row r="481" spans="1:37" x14ac:dyDescent="0.25">
      <c r="A481" t="str">
        <f t="shared" si="133"/>
        <v>new Match { MatchId= "</v>
      </c>
      <c r="B481" t="str">
        <f>Matchs!A482</f>
        <v>FIFAWC1994-17</v>
      </c>
      <c r="C481" t="str">
        <f t="shared" si="134"/>
        <v>",MatchNumer=</v>
      </c>
      <c r="D481">
        <f>Matchs!B482</f>
        <v>17</v>
      </c>
      <c r="E481" t="str">
        <f t="shared" si="135"/>
        <v>,DateMatch=DateTime.Parse("</v>
      </c>
      <c r="F481" s="3">
        <f>Matchs!C482</f>
        <v>34509</v>
      </c>
      <c r="G481" s="10" t="str">
        <f t="shared" si="136"/>
        <v>"),TimeMatch=TimeSpan.Parse("</v>
      </c>
      <c r="H481" s="9">
        <f>Matchs!D482</f>
        <v>0.27083333333333331</v>
      </c>
      <c r="I481" t="str">
        <f t="shared" si="137"/>
        <v>"),MatchYear=</v>
      </c>
      <c r="J481">
        <f>Matchs!E482</f>
        <v>1994</v>
      </c>
      <c r="K481" t="str">
        <f t="shared" si="138"/>
        <v>, SeasonId= "</v>
      </c>
      <c r="L481" t="str">
        <f>Matchs!F482</f>
        <v>FIFAWC1994</v>
      </c>
      <c r="M481" t="str">
        <f t="shared" si="139"/>
        <v>",Round= "</v>
      </c>
      <c r="N481" t="str">
        <f>Matchs!G482</f>
        <v>Final Round</v>
      </c>
      <c r="O481" s="6" t="str">
        <f t="shared" si="140"/>
        <v>",Stage= "</v>
      </c>
      <c r="P481" t="str">
        <f>Matchs!H482</f>
        <v>Group</v>
      </c>
      <c r="Q481" s="6" t="str">
        <f t="shared" si="141"/>
        <v>",SubStage= "</v>
      </c>
      <c r="R481" t="str">
        <f>Matchs!I482</f>
        <v xml:space="preserve">Group C </v>
      </c>
      <c r="S481" s="6" t="str">
        <f t="shared" si="142"/>
        <v>",HTeam= "</v>
      </c>
      <c r="T481" t="str">
        <f>Matchs!J482</f>
        <v>South Korea</v>
      </c>
      <c r="U481" s="6" t="str">
        <f t="shared" si="143"/>
        <v>",HGoal=</v>
      </c>
      <c r="V481">
        <f>Matchs!K482</f>
        <v>0</v>
      </c>
      <c r="W481" s="6" t="str">
        <f t="shared" si="144"/>
        <v>,GGoal=</v>
      </c>
      <c r="X481">
        <f>Matchs!L482</f>
        <v>0</v>
      </c>
      <c r="Y481" s="6" t="str">
        <f t="shared" si="145"/>
        <v>,GTeam= "</v>
      </c>
      <c r="Z481" t="str">
        <f>Matchs!M482</f>
        <v>Bolivia</v>
      </c>
      <c r="AA481" s="6" t="str">
        <f t="shared" si="146"/>
        <v>",WinNote="</v>
      </c>
      <c r="AB481" t="str">
        <f>IF(Matchs!N482="","",Matchs!N482)</f>
        <v/>
      </c>
      <c r="AC481" s="6" t="str">
        <f t="shared" si="147"/>
        <v xml:space="preserve">",Stadium=" </v>
      </c>
      <c r="AD481" s="11" t="str">
        <f>Matchs!O482</f>
        <v xml:space="preserve">Foxboro Stadium </v>
      </c>
      <c r="AE481" s="6" t="str">
        <f t="shared" si="148"/>
        <v>",Referee= "</v>
      </c>
      <c r="AF481" s="11" t="str">
        <f>Matchs!P482</f>
        <v xml:space="preserve">Leslie Mottram </v>
      </c>
      <c r="AG481" s="6" t="str">
        <f t="shared" si="149"/>
        <v xml:space="preserve">",Visistors= </v>
      </c>
      <c r="AH481" s="11">
        <f>Matchs!Q482</f>
        <v>54453</v>
      </c>
      <c r="AI481" s="11" t="str">
        <f t="shared" si="150"/>
        <v>,Status= "</v>
      </c>
      <c r="AJ481" s="11" t="str">
        <f>Matchs!R482</f>
        <v>Finished</v>
      </c>
      <c r="AK481" t="str">
        <f t="shared" si="151"/>
        <v>" },</v>
      </c>
    </row>
    <row r="482" spans="1:37" x14ac:dyDescent="0.25">
      <c r="A482" t="str">
        <f t="shared" si="133"/>
        <v>new Match { MatchId= "</v>
      </c>
      <c r="B482" t="str">
        <f>Matchs!A483</f>
        <v>FIFAWC1994-18</v>
      </c>
      <c r="C482" t="str">
        <f t="shared" si="134"/>
        <v>",MatchNumer=</v>
      </c>
      <c r="D482">
        <f>Matchs!B483</f>
        <v>18</v>
      </c>
      <c r="E482" t="str">
        <f t="shared" si="135"/>
        <v>,DateMatch=DateTime.Parse("</v>
      </c>
      <c r="F482" s="3">
        <f>Matchs!C483</f>
        <v>34509</v>
      </c>
      <c r="G482" s="10" t="str">
        <f t="shared" si="136"/>
        <v>"),TimeMatch=TimeSpan.Parse("</v>
      </c>
      <c r="H482" s="9">
        <f>Matchs!D483</f>
        <v>0.97916666666666663</v>
      </c>
      <c r="I482" t="str">
        <f t="shared" si="137"/>
        <v>"),MatchYear=</v>
      </c>
      <c r="J482">
        <f>Matchs!E483</f>
        <v>1994</v>
      </c>
      <c r="K482" t="str">
        <f t="shared" si="138"/>
        <v>, SeasonId= "</v>
      </c>
      <c r="L482" t="str">
        <f>Matchs!F483</f>
        <v>FIFAWC1994</v>
      </c>
      <c r="M482" t="str">
        <f t="shared" si="139"/>
        <v>",Round= "</v>
      </c>
      <c r="N482" t="str">
        <f>Matchs!G483</f>
        <v>Final Round</v>
      </c>
      <c r="O482" s="6" t="str">
        <f t="shared" si="140"/>
        <v>",Stage= "</v>
      </c>
      <c r="P482" t="str">
        <f>Matchs!H483</f>
        <v>Group</v>
      </c>
      <c r="Q482" s="6" t="str">
        <f t="shared" si="141"/>
        <v>",SubStage= "</v>
      </c>
      <c r="R482" t="str">
        <f>Matchs!I483</f>
        <v xml:space="preserve">Group E </v>
      </c>
      <c r="S482" s="6" t="str">
        <f t="shared" si="142"/>
        <v>",HTeam= "</v>
      </c>
      <c r="T482" t="str">
        <f>Matchs!J483</f>
        <v>Mexico</v>
      </c>
      <c r="U482" s="6" t="str">
        <f t="shared" si="143"/>
        <v>",HGoal=</v>
      </c>
      <c r="V482">
        <f>Matchs!K483</f>
        <v>2</v>
      </c>
      <c r="W482" s="6" t="str">
        <f t="shared" si="144"/>
        <v>,GGoal=</v>
      </c>
      <c r="X482">
        <f>Matchs!L483</f>
        <v>1</v>
      </c>
      <c r="Y482" s="6" t="str">
        <f t="shared" si="145"/>
        <v>,GTeam= "</v>
      </c>
      <c r="Z482" t="str">
        <f>Matchs!M483</f>
        <v>Republic of Ireland</v>
      </c>
      <c r="AA482" s="6" t="str">
        <f t="shared" si="146"/>
        <v>",WinNote="</v>
      </c>
      <c r="AB482" t="str">
        <f>IF(Matchs!N483="","",Matchs!N483)</f>
        <v/>
      </c>
      <c r="AC482" s="6" t="str">
        <f t="shared" si="147"/>
        <v xml:space="preserve">",Stadium=" </v>
      </c>
      <c r="AD482" s="11" t="str">
        <f>Matchs!O483</f>
        <v xml:space="preserve">Citrus Bowl </v>
      </c>
      <c r="AE482" s="6" t="str">
        <f t="shared" si="148"/>
        <v>",Referee= "</v>
      </c>
      <c r="AF482" s="11" t="str">
        <f>Matchs!P483</f>
        <v xml:space="preserve">Kurt Röthlisberger </v>
      </c>
      <c r="AG482" s="6" t="str">
        <f t="shared" si="149"/>
        <v xml:space="preserve">",Visistors= </v>
      </c>
      <c r="AH482" s="11">
        <f>Matchs!Q483</f>
        <v>60790</v>
      </c>
      <c r="AI482" s="11" t="str">
        <f t="shared" si="150"/>
        <v>,Status= "</v>
      </c>
      <c r="AJ482" s="11" t="str">
        <f>Matchs!R483</f>
        <v>Finished</v>
      </c>
      <c r="AK482" t="str">
        <f t="shared" si="151"/>
        <v>" },</v>
      </c>
    </row>
    <row r="483" spans="1:37" x14ac:dyDescent="0.25">
      <c r="A483" t="str">
        <f t="shared" si="133"/>
        <v>new Match { MatchId= "</v>
      </c>
      <c r="B483" t="str">
        <f>Matchs!A484</f>
        <v>FIFAWC1994-19</v>
      </c>
      <c r="C483" t="str">
        <f t="shared" si="134"/>
        <v>",MatchNumer=</v>
      </c>
      <c r="D483">
        <f>Matchs!B484</f>
        <v>19</v>
      </c>
      <c r="E483" t="str">
        <f t="shared" si="135"/>
        <v>,DateMatch=DateTime.Parse("</v>
      </c>
      <c r="F483" s="3">
        <f>Matchs!C484</f>
        <v>34510</v>
      </c>
      <c r="G483" s="10" t="str">
        <f t="shared" si="136"/>
        <v>"),TimeMatch=TimeSpan.Parse("</v>
      </c>
      <c r="H483" s="9">
        <f>Matchs!D484</f>
        <v>0.25</v>
      </c>
      <c r="I483" t="str">
        <f t="shared" si="137"/>
        <v>"),MatchYear=</v>
      </c>
      <c r="J483">
        <f>Matchs!E484</f>
        <v>1994</v>
      </c>
      <c r="K483" t="str">
        <f t="shared" si="138"/>
        <v>, SeasonId= "</v>
      </c>
      <c r="L483" t="str">
        <f>Matchs!F484</f>
        <v>FIFAWC1994</v>
      </c>
      <c r="M483" t="str">
        <f t="shared" si="139"/>
        <v>",Round= "</v>
      </c>
      <c r="N483" t="str">
        <f>Matchs!G484</f>
        <v>Final Round</v>
      </c>
      <c r="O483" s="6" t="str">
        <f t="shared" si="140"/>
        <v>",Stage= "</v>
      </c>
      <c r="P483" t="str">
        <f>Matchs!H484</f>
        <v>Group</v>
      </c>
      <c r="Q483" s="6" t="str">
        <f t="shared" si="141"/>
        <v>",SubStage= "</v>
      </c>
      <c r="R483" t="str">
        <f>Matchs!I484</f>
        <v xml:space="preserve">Group B </v>
      </c>
      <c r="S483" s="6" t="str">
        <f t="shared" si="142"/>
        <v>",HTeam= "</v>
      </c>
      <c r="T483" t="str">
        <f>Matchs!J484</f>
        <v>Brazil</v>
      </c>
      <c r="U483" s="6" t="str">
        <f t="shared" si="143"/>
        <v>",HGoal=</v>
      </c>
      <c r="V483">
        <f>Matchs!K484</f>
        <v>3</v>
      </c>
      <c r="W483" s="6" t="str">
        <f t="shared" si="144"/>
        <v>,GGoal=</v>
      </c>
      <c r="X483">
        <f>Matchs!L484</f>
        <v>0</v>
      </c>
      <c r="Y483" s="6" t="str">
        <f t="shared" si="145"/>
        <v>,GTeam= "</v>
      </c>
      <c r="Z483" t="str">
        <f>Matchs!M484</f>
        <v>Cameroon</v>
      </c>
      <c r="AA483" s="6" t="str">
        <f t="shared" si="146"/>
        <v>",WinNote="</v>
      </c>
      <c r="AB483" t="str">
        <f>IF(Matchs!N484="","",Matchs!N484)</f>
        <v/>
      </c>
      <c r="AC483" s="6" t="str">
        <f t="shared" si="147"/>
        <v xml:space="preserve">",Stadium=" </v>
      </c>
      <c r="AD483" s="11" t="str">
        <f>Matchs!O484</f>
        <v xml:space="preserve">Stanford Stadium </v>
      </c>
      <c r="AE483" s="6" t="str">
        <f t="shared" si="148"/>
        <v>",Referee= "</v>
      </c>
      <c r="AF483" s="11" t="str">
        <f>Matchs!P484</f>
        <v xml:space="preserve">Arturo Brizio Carter </v>
      </c>
      <c r="AG483" s="6" t="str">
        <f t="shared" si="149"/>
        <v xml:space="preserve">",Visistors= </v>
      </c>
      <c r="AH483" s="11">
        <f>Matchs!Q484</f>
        <v>83401</v>
      </c>
      <c r="AI483" s="11" t="str">
        <f t="shared" si="150"/>
        <v>,Status= "</v>
      </c>
      <c r="AJ483" s="11" t="str">
        <f>Matchs!R484</f>
        <v>Finished</v>
      </c>
      <c r="AK483" t="str">
        <f t="shared" si="151"/>
        <v>" },</v>
      </c>
    </row>
    <row r="484" spans="1:37" x14ac:dyDescent="0.25">
      <c r="A484" t="str">
        <f t="shared" si="133"/>
        <v>new Match { MatchId= "</v>
      </c>
      <c r="B484" t="str">
        <f>Matchs!A485</f>
        <v>FIFAWC1994-20</v>
      </c>
      <c r="C484" t="str">
        <f t="shared" si="134"/>
        <v>",MatchNumer=</v>
      </c>
      <c r="D484">
        <f>Matchs!B485</f>
        <v>20</v>
      </c>
      <c r="E484" t="str">
        <f t="shared" si="135"/>
        <v>,DateMatch=DateTime.Parse("</v>
      </c>
      <c r="F484" s="3">
        <f>Matchs!C485</f>
        <v>34510</v>
      </c>
      <c r="G484" s="10" t="str">
        <f t="shared" si="136"/>
        <v>"),TimeMatch=TimeSpan.Parse("</v>
      </c>
      <c r="H484" s="9">
        <f>Matchs!D485</f>
        <v>0.27083333333333331</v>
      </c>
      <c r="I484" t="str">
        <f t="shared" si="137"/>
        <v>"),MatchYear=</v>
      </c>
      <c r="J484">
        <f>Matchs!E485</f>
        <v>1994</v>
      </c>
      <c r="K484" t="str">
        <f t="shared" si="138"/>
        <v>, SeasonId= "</v>
      </c>
      <c r="L484" t="str">
        <f>Matchs!F485</f>
        <v>FIFAWC1994</v>
      </c>
      <c r="M484" t="str">
        <f t="shared" si="139"/>
        <v>",Round= "</v>
      </c>
      <c r="N484" t="str">
        <f>Matchs!G485</f>
        <v>Final Round</v>
      </c>
      <c r="O484" s="6" t="str">
        <f t="shared" si="140"/>
        <v>",Stage= "</v>
      </c>
      <c r="P484" t="str">
        <f>Matchs!H485</f>
        <v>Group</v>
      </c>
      <c r="Q484" s="6" t="str">
        <f t="shared" si="141"/>
        <v>",SubStage= "</v>
      </c>
      <c r="R484" t="str">
        <f>Matchs!I485</f>
        <v xml:space="preserve">Group B </v>
      </c>
      <c r="S484" s="6" t="str">
        <f t="shared" si="142"/>
        <v>",HTeam= "</v>
      </c>
      <c r="T484" t="str">
        <f>Matchs!J485</f>
        <v>Sweden</v>
      </c>
      <c r="U484" s="6" t="str">
        <f t="shared" si="143"/>
        <v>",HGoal=</v>
      </c>
      <c r="V484">
        <f>Matchs!K485</f>
        <v>3</v>
      </c>
      <c r="W484" s="6" t="str">
        <f t="shared" si="144"/>
        <v>,GGoal=</v>
      </c>
      <c r="X484">
        <f>Matchs!L485</f>
        <v>1</v>
      </c>
      <c r="Y484" s="6" t="str">
        <f t="shared" si="145"/>
        <v>,GTeam= "</v>
      </c>
      <c r="Z484" t="str">
        <f>Matchs!M485</f>
        <v>Russia</v>
      </c>
      <c r="AA484" s="6" t="str">
        <f t="shared" si="146"/>
        <v>",WinNote="</v>
      </c>
      <c r="AB484" t="str">
        <f>IF(Matchs!N485="","",Matchs!N485)</f>
        <v/>
      </c>
      <c r="AC484" s="6" t="str">
        <f t="shared" si="147"/>
        <v xml:space="preserve">",Stadium=" </v>
      </c>
      <c r="AD484" s="11" t="str">
        <f>Matchs!O485</f>
        <v xml:space="preserve">Silverdome </v>
      </c>
      <c r="AE484" s="6" t="str">
        <f t="shared" si="148"/>
        <v>",Referee= "</v>
      </c>
      <c r="AF484" s="11" t="str">
        <f>Matchs!P485</f>
        <v xml:space="preserve">Joel Quiniou </v>
      </c>
      <c r="AG484" s="6" t="str">
        <f t="shared" si="149"/>
        <v xml:space="preserve">",Visistors= </v>
      </c>
      <c r="AH484" s="11">
        <f>Matchs!Q485</f>
        <v>71528</v>
      </c>
      <c r="AI484" s="11" t="str">
        <f t="shared" si="150"/>
        <v>,Status= "</v>
      </c>
      <c r="AJ484" s="11" t="str">
        <f>Matchs!R485</f>
        <v>Finished</v>
      </c>
      <c r="AK484" t="str">
        <f t="shared" si="151"/>
        <v>" },</v>
      </c>
    </row>
    <row r="485" spans="1:37" x14ac:dyDescent="0.25">
      <c r="A485" t="str">
        <f t="shared" si="133"/>
        <v>new Match { MatchId= "</v>
      </c>
      <c r="B485" t="str">
        <f>Matchs!A486</f>
        <v>FIFAWC1994-21</v>
      </c>
      <c r="C485" t="str">
        <f t="shared" si="134"/>
        <v>",MatchNumer=</v>
      </c>
      <c r="D485">
        <f>Matchs!B486</f>
        <v>21</v>
      </c>
      <c r="E485" t="str">
        <f t="shared" si="135"/>
        <v>,DateMatch=DateTime.Parse("</v>
      </c>
      <c r="F485" s="3">
        <f>Matchs!C486</f>
        <v>34510</v>
      </c>
      <c r="G485" s="10" t="str">
        <f t="shared" si="136"/>
        <v>"),TimeMatch=TimeSpan.Parse("</v>
      </c>
      <c r="H485" s="9">
        <f>Matchs!D486</f>
        <v>0.97916666666666663</v>
      </c>
      <c r="I485" t="str">
        <f t="shared" si="137"/>
        <v>"),MatchYear=</v>
      </c>
      <c r="J485">
        <f>Matchs!E486</f>
        <v>1994</v>
      </c>
      <c r="K485" t="str">
        <f t="shared" si="138"/>
        <v>, SeasonId= "</v>
      </c>
      <c r="L485" t="str">
        <f>Matchs!F486</f>
        <v>FIFAWC1994</v>
      </c>
      <c r="M485" t="str">
        <f t="shared" si="139"/>
        <v>",Round= "</v>
      </c>
      <c r="N485" t="str">
        <f>Matchs!G486</f>
        <v>Final Round</v>
      </c>
      <c r="O485" s="6" t="str">
        <f t="shared" si="140"/>
        <v>",Stage= "</v>
      </c>
      <c r="P485" t="str">
        <f>Matchs!H486</f>
        <v>Group</v>
      </c>
      <c r="Q485" s="6" t="str">
        <f t="shared" si="141"/>
        <v>",SubStage= "</v>
      </c>
      <c r="R485" t="str">
        <f>Matchs!I486</f>
        <v xml:space="preserve">Group F </v>
      </c>
      <c r="S485" s="6" t="str">
        <f t="shared" si="142"/>
        <v>",HTeam= "</v>
      </c>
      <c r="T485" t="str">
        <f>Matchs!J486</f>
        <v>Belgium</v>
      </c>
      <c r="U485" s="6" t="str">
        <f t="shared" si="143"/>
        <v>",HGoal=</v>
      </c>
      <c r="V485">
        <f>Matchs!K486</f>
        <v>1</v>
      </c>
      <c r="W485" s="6" t="str">
        <f t="shared" si="144"/>
        <v>,GGoal=</v>
      </c>
      <c r="X485">
        <f>Matchs!L486</f>
        <v>0</v>
      </c>
      <c r="Y485" s="6" t="str">
        <f t="shared" si="145"/>
        <v>,GTeam= "</v>
      </c>
      <c r="Z485" t="str">
        <f>Matchs!M486</f>
        <v>Netherlands</v>
      </c>
      <c r="AA485" s="6" t="str">
        <f t="shared" si="146"/>
        <v>",WinNote="</v>
      </c>
      <c r="AB485" t="str">
        <f>IF(Matchs!N486="","",Matchs!N486)</f>
        <v/>
      </c>
      <c r="AC485" s="6" t="str">
        <f t="shared" si="147"/>
        <v xml:space="preserve">",Stadium=" </v>
      </c>
      <c r="AD485" s="11" t="str">
        <f>Matchs!O486</f>
        <v xml:space="preserve">Citrus Bowl </v>
      </c>
      <c r="AE485" s="6" t="str">
        <f t="shared" si="148"/>
        <v>",Referee= "</v>
      </c>
      <c r="AF485" s="11" t="str">
        <f>Matchs!P486</f>
        <v xml:space="preserve">Renato Marsiglia </v>
      </c>
      <c r="AG485" s="6" t="str">
        <f t="shared" si="149"/>
        <v xml:space="preserve">",Visistors= </v>
      </c>
      <c r="AH485" s="11">
        <f>Matchs!Q486</f>
        <v>62387</v>
      </c>
      <c r="AI485" s="11" t="str">
        <f t="shared" si="150"/>
        <v>,Status= "</v>
      </c>
      <c r="AJ485" s="11" t="str">
        <f>Matchs!R486</f>
        <v>Finished</v>
      </c>
      <c r="AK485" t="str">
        <f t="shared" si="151"/>
        <v>" },</v>
      </c>
    </row>
    <row r="486" spans="1:37" x14ac:dyDescent="0.25">
      <c r="A486" t="str">
        <f t="shared" si="133"/>
        <v>new Match { MatchId= "</v>
      </c>
      <c r="B486" t="str">
        <f>Matchs!A487</f>
        <v>FIFAWC1994-22</v>
      </c>
      <c r="C486" t="str">
        <f t="shared" si="134"/>
        <v>",MatchNumer=</v>
      </c>
      <c r="D486">
        <f>Matchs!B487</f>
        <v>22</v>
      </c>
      <c r="E486" t="str">
        <f t="shared" si="135"/>
        <v>,DateMatch=DateTime.Parse("</v>
      </c>
      <c r="F486" s="3">
        <f>Matchs!C487</f>
        <v>34510</v>
      </c>
      <c r="G486" s="10" t="str">
        <f t="shared" si="136"/>
        <v>"),TimeMatch=TimeSpan.Parse("</v>
      </c>
      <c r="H486" s="9">
        <f>Matchs!D487</f>
        <v>0.97916666666666663</v>
      </c>
      <c r="I486" t="str">
        <f t="shared" si="137"/>
        <v>"),MatchYear=</v>
      </c>
      <c r="J486">
        <f>Matchs!E487</f>
        <v>1994</v>
      </c>
      <c r="K486" t="str">
        <f t="shared" si="138"/>
        <v>, SeasonId= "</v>
      </c>
      <c r="L486" t="str">
        <f>Matchs!F487</f>
        <v>FIFAWC1994</v>
      </c>
      <c r="M486" t="str">
        <f t="shared" si="139"/>
        <v>",Round= "</v>
      </c>
      <c r="N486" t="str">
        <f>Matchs!G487</f>
        <v>Final Round</v>
      </c>
      <c r="O486" s="6" t="str">
        <f t="shared" si="140"/>
        <v>",Stage= "</v>
      </c>
      <c r="P486" t="str">
        <f>Matchs!H487</f>
        <v>Group</v>
      </c>
      <c r="Q486" s="6" t="str">
        <f t="shared" si="141"/>
        <v>",SubStage= "</v>
      </c>
      <c r="R486" t="str">
        <f>Matchs!I487</f>
        <v xml:space="preserve">Group F </v>
      </c>
      <c r="S486" s="6" t="str">
        <f t="shared" si="142"/>
        <v>",HTeam= "</v>
      </c>
      <c r="T486" t="str">
        <f>Matchs!J487</f>
        <v>Saudi Arabia</v>
      </c>
      <c r="U486" s="6" t="str">
        <f t="shared" si="143"/>
        <v>",HGoal=</v>
      </c>
      <c r="V486">
        <f>Matchs!K487</f>
        <v>2</v>
      </c>
      <c r="W486" s="6" t="str">
        <f t="shared" si="144"/>
        <v>,GGoal=</v>
      </c>
      <c r="X486">
        <f>Matchs!L487</f>
        <v>1</v>
      </c>
      <c r="Y486" s="6" t="str">
        <f t="shared" si="145"/>
        <v>,GTeam= "</v>
      </c>
      <c r="Z486" t="str">
        <f>Matchs!M487</f>
        <v>Morocco</v>
      </c>
      <c r="AA486" s="6" t="str">
        <f t="shared" si="146"/>
        <v>",WinNote="</v>
      </c>
      <c r="AB486" t="str">
        <f>IF(Matchs!N487="","",Matchs!N487)</f>
        <v/>
      </c>
      <c r="AC486" s="6" t="str">
        <f t="shared" si="147"/>
        <v xml:space="preserve">",Stadium=" </v>
      </c>
      <c r="AD486" s="11" t="str">
        <f>Matchs!O487</f>
        <v xml:space="preserve">Giants Stadium </v>
      </c>
      <c r="AE486" s="6" t="str">
        <f t="shared" si="148"/>
        <v>",Referee= "</v>
      </c>
      <c r="AF486" s="11" t="str">
        <f>Matchs!P487</f>
        <v xml:space="preserve">Philip Don </v>
      </c>
      <c r="AG486" s="6" t="str">
        <f t="shared" si="149"/>
        <v xml:space="preserve">",Visistors= </v>
      </c>
      <c r="AH486" s="11">
        <f>Matchs!Q487</f>
        <v>76322</v>
      </c>
      <c r="AI486" s="11" t="str">
        <f t="shared" si="150"/>
        <v>,Status= "</v>
      </c>
      <c r="AJ486" s="11" t="str">
        <f>Matchs!R487</f>
        <v>Finished</v>
      </c>
      <c r="AK486" t="str">
        <f t="shared" si="151"/>
        <v>" },</v>
      </c>
    </row>
    <row r="487" spans="1:37" x14ac:dyDescent="0.25">
      <c r="A487" t="str">
        <f t="shared" si="133"/>
        <v>new Match { MatchId= "</v>
      </c>
      <c r="B487" t="str">
        <f>Matchs!A488</f>
        <v>FIFAWC1994-23</v>
      </c>
      <c r="C487" t="str">
        <f t="shared" si="134"/>
        <v>",MatchNumer=</v>
      </c>
      <c r="D487">
        <f>Matchs!B488</f>
        <v>23</v>
      </c>
      <c r="E487" t="str">
        <f t="shared" si="135"/>
        <v>,DateMatch=DateTime.Parse("</v>
      </c>
      <c r="F487" s="3">
        <f>Matchs!C488</f>
        <v>34511</v>
      </c>
      <c r="G487" s="10" t="str">
        <f t="shared" si="136"/>
        <v>"),TimeMatch=TimeSpan.Parse("</v>
      </c>
      <c r="H487" s="9">
        <f>Matchs!D488</f>
        <v>0.125</v>
      </c>
      <c r="I487" t="str">
        <f t="shared" si="137"/>
        <v>"),MatchYear=</v>
      </c>
      <c r="J487">
        <f>Matchs!E488</f>
        <v>1994</v>
      </c>
      <c r="K487" t="str">
        <f t="shared" si="138"/>
        <v>, SeasonId= "</v>
      </c>
      <c r="L487" t="str">
        <f>Matchs!F488</f>
        <v>FIFAWC1994</v>
      </c>
      <c r="M487" t="str">
        <f t="shared" si="139"/>
        <v>",Round= "</v>
      </c>
      <c r="N487" t="str">
        <f>Matchs!G488</f>
        <v>Final Round</v>
      </c>
      <c r="O487" s="6" t="str">
        <f t="shared" si="140"/>
        <v>",Stage= "</v>
      </c>
      <c r="P487" t="str">
        <f>Matchs!H488</f>
        <v>Group</v>
      </c>
      <c r="Q487" s="6" t="str">
        <f t="shared" si="141"/>
        <v>",SubStage= "</v>
      </c>
      <c r="R487" t="str">
        <f>Matchs!I488</f>
        <v xml:space="preserve">Group D </v>
      </c>
      <c r="S487" s="6" t="str">
        <f t="shared" si="142"/>
        <v>",HTeam= "</v>
      </c>
      <c r="T487" t="str">
        <f>Matchs!J488</f>
        <v>Argentina</v>
      </c>
      <c r="U487" s="6" t="str">
        <f t="shared" si="143"/>
        <v>",HGoal=</v>
      </c>
      <c r="V487">
        <f>Matchs!K488</f>
        <v>2</v>
      </c>
      <c r="W487" s="6" t="str">
        <f t="shared" si="144"/>
        <v>,GGoal=</v>
      </c>
      <c r="X487">
        <f>Matchs!L488</f>
        <v>1</v>
      </c>
      <c r="Y487" s="6" t="str">
        <f t="shared" si="145"/>
        <v>,GTeam= "</v>
      </c>
      <c r="Z487" t="str">
        <f>Matchs!M488</f>
        <v>Nigeria</v>
      </c>
      <c r="AA487" s="6" t="str">
        <f t="shared" si="146"/>
        <v>",WinNote="</v>
      </c>
      <c r="AB487" t="str">
        <f>IF(Matchs!N488="","",Matchs!N488)</f>
        <v/>
      </c>
      <c r="AC487" s="6" t="str">
        <f t="shared" si="147"/>
        <v xml:space="preserve">",Stadium=" </v>
      </c>
      <c r="AD487" s="11" t="str">
        <f>Matchs!O488</f>
        <v xml:space="preserve">Foxboro Stadium </v>
      </c>
      <c r="AE487" s="6" t="str">
        <f t="shared" si="148"/>
        <v>",Referee= "</v>
      </c>
      <c r="AF487" s="11" t="str">
        <f>Matchs!P488</f>
        <v xml:space="preserve">Bo Karlsson </v>
      </c>
      <c r="AG487" s="6" t="str">
        <f t="shared" si="149"/>
        <v xml:space="preserve">",Visistors= </v>
      </c>
      <c r="AH487" s="11">
        <f>Matchs!Q488</f>
        <v>54453</v>
      </c>
      <c r="AI487" s="11" t="str">
        <f t="shared" si="150"/>
        <v>,Status= "</v>
      </c>
      <c r="AJ487" s="11" t="str">
        <f>Matchs!R488</f>
        <v>Finished</v>
      </c>
      <c r="AK487" t="str">
        <f t="shared" si="151"/>
        <v>" },</v>
      </c>
    </row>
    <row r="488" spans="1:37" x14ac:dyDescent="0.25">
      <c r="A488" t="str">
        <f t="shared" si="133"/>
        <v>new Match { MatchId= "</v>
      </c>
      <c r="B488" t="str">
        <f>Matchs!A489</f>
        <v>FIFAWC1994-24</v>
      </c>
      <c r="C488" t="str">
        <f t="shared" si="134"/>
        <v>",MatchNumer=</v>
      </c>
      <c r="D488">
        <f>Matchs!B489</f>
        <v>24</v>
      </c>
      <c r="E488" t="str">
        <f t="shared" si="135"/>
        <v>,DateMatch=DateTime.Parse("</v>
      </c>
      <c r="F488" s="3">
        <f>Matchs!C489</f>
        <v>34511</v>
      </c>
      <c r="G488" s="10" t="str">
        <f t="shared" si="136"/>
        <v>"),TimeMatch=TimeSpan.Parse("</v>
      </c>
      <c r="H488" s="9">
        <f>Matchs!D489</f>
        <v>1.0208333333333333</v>
      </c>
      <c r="I488" t="str">
        <f t="shared" si="137"/>
        <v>"),MatchYear=</v>
      </c>
      <c r="J488">
        <f>Matchs!E489</f>
        <v>1994</v>
      </c>
      <c r="K488" t="str">
        <f t="shared" si="138"/>
        <v>, SeasonId= "</v>
      </c>
      <c r="L488" t="str">
        <f>Matchs!F489</f>
        <v>FIFAWC1994</v>
      </c>
      <c r="M488" t="str">
        <f t="shared" si="139"/>
        <v>",Round= "</v>
      </c>
      <c r="N488" t="str">
        <f>Matchs!G489</f>
        <v>Final Round</v>
      </c>
      <c r="O488" s="6" t="str">
        <f t="shared" si="140"/>
        <v>",Stage= "</v>
      </c>
      <c r="P488" t="str">
        <f>Matchs!H489</f>
        <v>Group</v>
      </c>
      <c r="Q488" s="6" t="str">
        <f t="shared" si="141"/>
        <v>",SubStage= "</v>
      </c>
      <c r="R488" t="str">
        <f>Matchs!I489</f>
        <v xml:space="preserve">Group D </v>
      </c>
      <c r="S488" s="6" t="str">
        <f t="shared" si="142"/>
        <v>",HTeam= "</v>
      </c>
      <c r="T488" t="str">
        <f>Matchs!J489</f>
        <v>Bulgaria</v>
      </c>
      <c r="U488" s="6" t="str">
        <f t="shared" si="143"/>
        <v>",HGoal=</v>
      </c>
      <c r="V488">
        <f>Matchs!K489</f>
        <v>4</v>
      </c>
      <c r="W488" s="6" t="str">
        <f t="shared" si="144"/>
        <v>,GGoal=</v>
      </c>
      <c r="X488">
        <f>Matchs!L489</f>
        <v>0</v>
      </c>
      <c r="Y488" s="6" t="str">
        <f t="shared" si="145"/>
        <v>,GTeam= "</v>
      </c>
      <c r="Z488" t="str">
        <f>Matchs!M489</f>
        <v>Greece</v>
      </c>
      <c r="AA488" s="6" t="str">
        <f t="shared" si="146"/>
        <v>",WinNote="</v>
      </c>
      <c r="AB488" t="str">
        <f>IF(Matchs!N489="","",Matchs!N489)</f>
        <v/>
      </c>
      <c r="AC488" s="6" t="str">
        <f t="shared" si="147"/>
        <v xml:space="preserve">",Stadium=" </v>
      </c>
      <c r="AD488" s="11" t="str">
        <f>Matchs!O489</f>
        <v xml:space="preserve">Soldier Field </v>
      </c>
      <c r="AE488" s="6" t="str">
        <f t="shared" si="148"/>
        <v>",Referee= "</v>
      </c>
      <c r="AF488" s="11" t="str">
        <f>Matchs!P489</f>
        <v xml:space="preserve">Ali Bujsaim </v>
      </c>
      <c r="AG488" s="6" t="str">
        <f t="shared" si="149"/>
        <v xml:space="preserve">",Visistors= </v>
      </c>
      <c r="AH488" s="11">
        <f>Matchs!Q489</f>
        <v>63160</v>
      </c>
      <c r="AI488" s="11" t="str">
        <f t="shared" si="150"/>
        <v>,Status= "</v>
      </c>
      <c r="AJ488" s="11" t="str">
        <f>Matchs!R489</f>
        <v>Finished</v>
      </c>
      <c r="AK488" t="str">
        <f t="shared" si="151"/>
        <v>" },</v>
      </c>
    </row>
    <row r="489" spans="1:37" x14ac:dyDescent="0.25">
      <c r="A489" t="str">
        <f t="shared" si="133"/>
        <v>new Match { MatchId= "</v>
      </c>
      <c r="B489" t="str">
        <f>Matchs!A490</f>
        <v>FIFAWC1994-25</v>
      </c>
      <c r="C489" t="str">
        <f t="shared" si="134"/>
        <v>",MatchNumer=</v>
      </c>
      <c r="D489">
        <f>Matchs!B490</f>
        <v>25</v>
      </c>
      <c r="E489" t="str">
        <f t="shared" si="135"/>
        <v>,DateMatch=DateTime.Parse("</v>
      </c>
      <c r="F489" s="3">
        <f>Matchs!C490</f>
        <v>34511</v>
      </c>
      <c r="G489" s="10" t="str">
        <f t="shared" si="136"/>
        <v>"),TimeMatch=TimeSpan.Parse("</v>
      </c>
      <c r="H489" s="9">
        <f>Matchs!D490</f>
        <v>0.25</v>
      </c>
      <c r="I489" t="str">
        <f t="shared" si="137"/>
        <v>"),MatchYear=</v>
      </c>
      <c r="J489">
        <f>Matchs!E490</f>
        <v>1994</v>
      </c>
      <c r="K489" t="str">
        <f t="shared" si="138"/>
        <v>, SeasonId= "</v>
      </c>
      <c r="L489" t="str">
        <f>Matchs!F490</f>
        <v>FIFAWC1994</v>
      </c>
      <c r="M489" t="str">
        <f t="shared" si="139"/>
        <v>",Round= "</v>
      </c>
      <c r="N489" t="str">
        <f>Matchs!G490</f>
        <v>Final Round</v>
      </c>
      <c r="O489" s="6" t="str">
        <f t="shared" si="140"/>
        <v>",Stage= "</v>
      </c>
      <c r="P489" t="str">
        <f>Matchs!H490</f>
        <v>Group</v>
      </c>
      <c r="Q489" s="6" t="str">
        <f t="shared" si="141"/>
        <v>",SubStage= "</v>
      </c>
      <c r="R489" t="str">
        <f>Matchs!I490</f>
        <v xml:space="preserve">Group A </v>
      </c>
      <c r="S489" s="6" t="str">
        <f t="shared" si="142"/>
        <v>",HTeam= "</v>
      </c>
      <c r="T489" t="str">
        <f>Matchs!J490</f>
        <v>USA</v>
      </c>
      <c r="U489" s="6" t="str">
        <f t="shared" si="143"/>
        <v>",HGoal=</v>
      </c>
      <c r="V489">
        <f>Matchs!K490</f>
        <v>0</v>
      </c>
      <c r="W489" s="6" t="str">
        <f t="shared" si="144"/>
        <v>,GGoal=</v>
      </c>
      <c r="X489">
        <f>Matchs!L490</f>
        <v>1</v>
      </c>
      <c r="Y489" s="6" t="str">
        <f t="shared" si="145"/>
        <v>,GTeam= "</v>
      </c>
      <c r="Z489" t="str">
        <f>Matchs!M490</f>
        <v>Romania</v>
      </c>
      <c r="AA489" s="6" t="str">
        <f t="shared" si="146"/>
        <v>",WinNote="</v>
      </c>
      <c r="AB489" t="str">
        <f>IF(Matchs!N490="","",Matchs!N490)</f>
        <v/>
      </c>
      <c r="AC489" s="6" t="str">
        <f t="shared" si="147"/>
        <v xml:space="preserve">",Stadium=" </v>
      </c>
      <c r="AD489" s="11" t="str">
        <f>Matchs!O490</f>
        <v xml:space="preserve">Rose Bowl </v>
      </c>
      <c r="AE489" s="6" t="str">
        <f t="shared" si="148"/>
        <v>",Referee= "</v>
      </c>
      <c r="AF489" s="11" t="str">
        <f>Matchs!P490</f>
        <v xml:space="preserve">Mario van der Ende </v>
      </c>
      <c r="AG489" s="6" t="str">
        <f t="shared" si="149"/>
        <v xml:space="preserve">",Visistors= </v>
      </c>
      <c r="AH489" s="11">
        <f>Matchs!Q490</f>
        <v>93869</v>
      </c>
      <c r="AI489" s="11" t="str">
        <f t="shared" si="150"/>
        <v>,Status= "</v>
      </c>
      <c r="AJ489" s="11" t="str">
        <f>Matchs!R490</f>
        <v>Finished</v>
      </c>
      <c r="AK489" t="str">
        <f t="shared" si="151"/>
        <v>" },</v>
      </c>
    </row>
    <row r="490" spans="1:37" x14ac:dyDescent="0.25">
      <c r="A490" t="str">
        <f t="shared" si="133"/>
        <v>new Match { MatchId= "</v>
      </c>
      <c r="B490" t="str">
        <f>Matchs!A491</f>
        <v>FIFAWC1994-26</v>
      </c>
      <c r="C490" t="str">
        <f t="shared" si="134"/>
        <v>",MatchNumer=</v>
      </c>
      <c r="D490">
        <f>Matchs!B491</f>
        <v>26</v>
      </c>
      <c r="E490" t="str">
        <f t="shared" si="135"/>
        <v>,DateMatch=DateTime.Parse("</v>
      </c>
      <c r="F490" s="3">
        <f>Matchs!C491</f>
        <v>34511</v>
      </c>
      <c r="G490" s="10" t="str">
        <f t="shared" si="136"/>
        <v>"),TimeMatch=TimeSpan.Parse("</v>
      </c>
      <c r="H490" s="9">
        <f>Matchs!D491</f>
        <v>0.25</v>
      </c>
      <c r="I490" t="str">
        <f t="shared" si="137"/>
        <v>"),MatchYear=</v>
      </c>
      <c r="J490">
        <f>Matchs!E491</f>
        <v>1994</v>
      </c>
      <c r="K490" t="str">
        <f t="shared" si="138"/>
        <v>, SeasonId= "</v>
      </c>
      <c r="L490" t="str">
        <f>Matchs!F491</f>
        <v>FIFAWC1994</v>
      </c>
      <c r="M490" t="str">
        <f t="shared" si="139"/>
        <v>",Round= "</v>
      </c>
      <c r="N490" t="str">
        <f>Matchs!G491</f>
        <v>Final Round</v>
      </c>
      <c r="O490" s="6" t="str">
        <f t="shared" si="140"/>
        <v>",Stage= "</v>
      </c>
      <c r="P490" t="str">
        <f>Matchs!H491</f>
        <v>Group</v>
      </c>
      <c r="Q490" s="6" t="str">
        <f t="shared" si="141"/>
        <v>",SubStage= "</v>
      </c>
      <c r="R490" t="str">
        <f>Matchs!I491</f>
        <v xml:space="preserve">Group A </v>
      </c>
      <c r="S490" s="6" t="str">
        <f t="shared" si="142"/>
        <v>",HTeam= "</v>
      </c>
      <c r="T490" t="str">
        <f>Matchs!J491</f>
        <v>Switzerland</v>
      </c>
      <c r="U490" s="6" t="str">
        <f t="shared" si="143"/>
        <v>",HGoal=</v>
      </c>
      <c r="V490">
        <f>Matchs!K491</f>
        <v>0</v>
      </c>
      <c r="W490" s="6" t="str">
        <f t="shared" si="144"/>
        <v>,GGoal=</v>
      </c>
      <c r="X490">
        <f>Matchs!L491</f>
        <v>2</v>
      </c>
      <c r="Y490" s="6" t="str">
        <f t="shared" si="145"/>
        <v>,GTeam= "</v>
      </c>
      <c r="Z490" t="str">
        <f>Matchs!M491</f>
        <v>Colombia</v>
      </c>
      <c r="AA490" s="6" t="str">
        <f t="shared" si="146"/>
        <v>",WinNote="</v>
      </c>
      <c r="AB490" t="str">
        <f>IF(Matchs!N491="","",Matchs!N491)</f>
        <v/>
      </c>
      <c r="AC490" s="6" t="str">
        <f t="shared" si="147"/>
        <v xml:space="preserve">",Stadium=" </v>
      </c>
      <c r="AD490" s="11" t="str">
        <f>Matchs!O491</f>
        <v xml:space="preserve">Stanford Stadium </v>
      </c>
      <c r="AE490" s="6" t="str">
        <f t="shared" si="148"/>
        <v>",Referee= "</v>
      </c>
      <c r="AF490" s="11" t="str">
        <f>Matchs!P491</f>
        <v xml:space="preserve">Peter Mikkelsen </v>
      </c>
      <c r="AG490" s="6" t="str">
        <f t="shared" si="149"/>
        <v xml:space="preserve">",Visistors= </v>
      </c>
      <c r="AH490" s="11">
        <f>Matchs!Q491</f>
        <v>83401</v>
      </c>
      <c r="AI490" s="11" t="str">
        <f t="shared" si="150"/>
        <v>,Status= "</v>
      </c>
      <c r="AJ490" s="11" t="str">
        <f>Matchs!R491</f>
        <v>Finished</v>
      </c>
      <c r="AK490" t="str">
        <f t="shared" si="151"/>
        <v>" },</v>
      </c>
    </row>
    <row r="491" spans="1:37" x14ac:dyDescent="0.25">
      <c r="A491" t="str">
        <f t="shared" si="133"/>
        <v>new Match { MatchId= "</v>
      </c>
      <c r="B491" t="str">
        <f>Matchs!A492</f>
        <v>FIFAWC1994-27</v>
      </c>
      <c r="C491" t="str">
        <f t="shared" si="134"/>
        <v>",MatchNumer=</v>
      </c>
      <c r="D491">
        <f>Matchs!B492</f>
        <v>27</v>
      </c>
      <c r="E491" t="str">
        <f t="shared" si="135"/>
        <v>,DateMatch=DateTime.Parse("</v>
      </c>
      <c r="F491" s="3">
        <f>Matchs!C492</f>
        <v>34513</v>
      </c>
      <c r="G491" s="10" t="str">
        <f t="shared" si="136"/>
        <v>"),TimeMatch=TimeSpan.Parse("</v>
      </c>
      <c r="H491" s="9">
        <f>Matchs!D492</f>
        <v>0.16666666666666666</v>
      </c>
      <c r="I491" t="str">
        <f t="shared" si="137"/>
        <v>"),MatchYear=</v>
      </c>
      <c r="J491">
        <f>Matchs!E492</f>
        <v>1994</v>
      </c>
      <c r="K491" t="str">
        <f t="shared" si="138"/>
        <v>, SeasonId= "</v>
      </c>
      <c r="L491" t="str">
        <f>Matchs!F492</f>
        <v>FIFAWC1994</v>
      </c>
      <c r="M491" t="str">
        <f t="shared" si="139"/>
        <v>",Round= "</v>
      </c>
      <c r="N491" t="str">
        <f>Matchs!G492</f>
        <v>Final Round</v>
      </c>
      <c r="O491" s="6" t="str">
        <f t="shared" si="140"/>
        <v>",Stage= "</v>
      </c>
      <c r="P491" t="str">
        <f>Matchs!H492</f>
        <v>Group</v>
      </c>
      <c r="Q491" s="6" t="str">
        <f t="shared" si="141"/>
        <v>",SubStage= "</v>
      </c>
      <c r="R491" t="str">
        <f>Matchs!I492</f>
        <v xml:space="preserve">Group C </v>
      </c>
      <c r="S491" s="6" t="str">
        <f t="shared" si="142"/>
        <v>",HTeam= "</v>
      </c>
      <c r="T491" t="str">
        <f>Matchs!J492</f>
        <v>Bolivia</v>
      </c>
      <c r="U491" s="6" t="str">
        <f t="shared" si="143"/>
        <v>",HGoal=</v>
      </c>
      <c r="V491">
        <f>Matchs!K492</f>
        <v>1</v>
      </c>
      <c r="W491" s="6" t="str">
        <f t="shared" si="144"/>
        <v>,GGoal=</v>
      </c>
      <c r="X491">
        <f>Matchs!L492</f>
        <v>3</v>
      </c>
      <c r="Y491" s="6" t="str">
        <f t="shared" si="145"/>
        <v>,GTeam= "</v>
      </c>
      <c r="Z491" t="str">
        <f>Matchs!M492</f>
        <v>Spain</v>
      </c>
      <c r="AA491" s="6" t="str">
        <f t="shared" si="146"/>
        <v>",WinNote="</v>
      </c>
      <c r="AB491" t="str">
        <f>IF(Matchs!N492="","",Matchs!N492)</f>
        <v/>
      </c>
      <c r="AC491" s="6" t="str">
        <f t="shared" si="147"/>
        <v xml:space="preserve">",Stadium=" </v>
      </c>
      <c r="AD491" s="11" t="str">
        <f>Matchs!O492</f>
        <v xml:space="preserve">Soldier Field </v>
      </c>
      <c r="AE491" s="6" t="str">
        <f t="shared" si="148"/>
        <v>",Referee= "</v>
      </c>
      <c r="AF491" s="11" t="str">
        <f>Matchs!P492</f>
        <v xml:space="preserve">Rodrigo Badilla </v>
      </c>
      <c r="AG491" s="6" t="str">
        <f t="shared" si="149"/>
        <v xml:space="preserve">",Visistors= </v>
      </c>
      <c r="AH491" s="11">
        <f>Matchs!Q492</f>
        <v>63089</v>
      </c>
      <c r="AI491" s="11" t="str">
        <f t="shared" si="150"/>
        <v>,Status= "</v>
      </c>
      <c r="AJ491" s="11" t="str">
        <f>Matchs!R492</f>
        <v>Finished</v>
      </c>
      <c r="AK491" t="str">
        <f t="shared" si="151"/>
        <v>" },</v>
      </c>
    </row>
    <row r="492" spans="1:37" x14ac:dyDescent="0.25">
      <c r="A492" t="str">
        <f t="shared" si="133"/>
        <v>new Match { MatchId= "</v>
      </c>
      <c r="B492" t="str">
        <f>Matchs!A493</f>
        <v>FIFAWC1994-28</v>
      </c>
      <c r="C492" t="str">
        <f t="shared" si="134"/>
        <v>",MatchNumer=</v>
      </c>
      <c r="D492">
        <f>Matchs!B493</f>
        <v>28</v>
      </c>
      <c r="E492" t="str">
        <f t="shared" si="135"/>
        <v>,DateMatch=DateTime.Parse("</v>
      </c>
      <c r="F492" s="3">
        <f>Matchs!C493</f>
        <v>34513</v>
      </c>
      <c r="G492" s="10" t="str">
        <f t="shared" si="136"/>
        <v>"),TimeMatch=TimeSpan.Parse("</v>
      </c>
      <c r="H492" s="9">
        <f>Matchs!D493</f>
        <v>0.16666666666666666</v>
      </c>
      <c r="I492" t="str">
        <f t="shared" si="137"/>
        <v>"),MatchYear=</v>
      </c>
      <c r="J492">
        <f>Matchs!E493</f>
        <v>1994</v>
      </c>
      <c r="K492" t="str">
        <f t="shared" si="138"/>
        <v>, SeasonId= "</v>
      </c>
      <c r="L492" t="str">
        <f>Matchs!F493</f>
        <v>FIFAWC1994</v>
      </c>
      <c r="M492" t="str">
        <f t="shared" si="139"/>
        <v>",Round= "</v>
      </c>
      <c r="N492" t="str">
        <f>Matchs!G493</f>
        <v>Final Round</v>
      </c>
      <c r="O492" s="6" t="str">
        <f t="shared" si="140"/>
        <v>",Stage= "</v>
      </c>
      <c r="P492" t="str">
        <f>Matchs!H493</f>
        <v>Group</v>
      </c>
      <c r="Q492" s="6" t="str">
        <f t="shared" si="141"/>
        <v>",SubStage= "</v>
      </c>
      <c r="R492" t="str">
        <f>Matchs!I493</f>
        <v xml:space="preserve">Group C </v>
      </c>
      <c r="S492" s="6" t="str">
        <f t="shared" si="142"/>
        <v>",HTeam= "</v>
      </c>
      <c r="T492" t="str">
        <f>Matchs!J493</f>
        <v>Germany</v>
      </c>
      <c r="U492" s="6" t="str">
        <f t="shared" si="143"/>
        <v>",HGoal=</v>
      </c>
      <c r="V492">
        <f>Matchs!K493</f>
        <v>3</v>
      </c>
      <c r="W492" s="6" t="str">
        <f t="shared" si="144"/>
        <v>,GGoal=</v>
      </c>
      <c r="X492">
        <f>Matchs!L493</f>
        <v>2</v>
      </c>
      <c r="Y492" s="6" t="str">
        <f t="shared" si="145"/>
        <v>,GTeam= "</v>
      </c>
      <c r="Z492" t="str">
        <f>Matchs!M493</f>
        <v>South Korea</v>
      </c>
      <c r="AA492" s="6" t="str">
        <f t="shared" si="146"/>
        <v>",WinNote="</v>
      </c>
      <c r="AB492" t="str">
        <f>IF(Matchs!N493="","",Matchs!N493)</f>
        <v/>
      </c>
      <c r="AC492" s="6" t="str">
        <f t="shared" si="147"/>
        <v xml:space="preserve">",Stadium=" </v>
      </c>
      <c r="AD492" s="11" t="str">
        <f>Matchs!O493</f>
        <v xml:space="preserve">Cotton Bowl </v>
      </c>
      <c r="AE492" s="6" t="str">
        <f t="shared" si="148"/>
        <v>",Referee= "</v>
      </c>
      <c r="AF492" s="11" t="str">
        <f>Matchs!P493</f>
        <v xml:space="preserve">Joel Quiniou </v>
      </c>
      <c r="AG492" s="6" t="str">
        <f t="shared" si="149"/>
        <v xml:space="preserve">",Visistors= </v>
      </c>
      <c r="AH492" s="11">
        <f>Matchs!Q493</f>
        <v>63998</v>
      </c>
      <c r="AI492" s="11" t="str">
        <f t="shared" si="150"/>
        <v>,Status= "</v>
      </c>
      <c r="AJ492" s="11" t="str">
        <f>Matchs!R493</f>
        <v>Finished</v>
      </c>
      <c r="AK492" t="str">
        <f t="shared" si="151"/>
        <v>" },</v>
      </c>
    </row>
    <row r="493" spans="1:37" x14ac:dyDescent="0.25">
      <c r="A493" t="str">
        <f t="shared" si="133"/>
        <v>new Match { MatchId= "</v>
      </c>
      <c r="B493" t="str">
        <f>Matchs!A494</f>
        <v>FIFAWC1994-29</v>
      </c>
      <c r="C493" t="str">
        <f t="shared" si="134"/>
        <v>",MatchNumer=</v>
      </c>
      <c r="D493">
        <f>Matchs!B494</f>
        <v>29</v>
      </c>
      <c r="E493" t="str">
        <f t="shared" si="135"/>
        <v>,DateMatch=DateTime.Parse("</v>
      </c>
      <c r="F493" s="3">
        <f>Matchs!C494</f>
        <v>34513</v>
      </c>
      <c r="G493" s="10" t="str">
        <f t="shared" si="136"/>
        <v>"),TimeMatch=TimeSpan.Parse("</v>
      </c>
      <c r="H493" s="9">
        <f>Matchs!D494</f>
        <v>0.97916666666666663</v>
      </c>
      <c r="I493" t="str">
        <f t="shared" si="137"/>
        <v>"),MatchYear=</v>
      </c>
      <c r="J493">
        <f>Matchs!E494</f>
        <v>1994</v>
      </c>
      <c r="K493" t="str">
        <f t="shared" si="138"/>
        <v>, SeasonId= "</v>
      </c>
      <c r="L493" t="str">
        <f>Matchs!F494</f>
        <v>FIFAWC1994</v>
      </c>
      <c r="M493" t="str">
        <f t="shared" si="139"/>
        <v>",Round= "</v>
      </c>
      <c r="N493" t="str">
        <f>Matchs!G494</f>
        <v>Final Round</v>
      </c>
      <c r="O493" s="6" t="str">
        <f t="shared" si="140"/>
        <v>",Stage= "</v>
      </c>
      <c r="P493" t="str">
        <f>Matchs!H494</f>
        <v>Group</v>
      </c>
      <c r="Q493" s="6" t="str">
        <f t="shared" si="141"/>
        <v>",SubStage= "</v>
      </c>
      <c r="R493" t="str">
        <f>Matchs!I494</f>
        <v xml:space="preserve">Group E </v>
      </c>
      <c r="S493" s="6" t="str">
        <f t="shared" si="142"/>
        <v>",HTeam= "</v>
      </c>
      <c r="T493" t="str">
        <f>Matchs!J494</f>
        <v>Italy</v>
      </c>
      <c r="U493" s="6" t="str">
        <f t="shared" si="143"/>
        <v>",HGoal=</v>
      </c>
      <c r="V493">
        <f>Matchs!K494</f>
        <v>1</v>
      </c>
      <c r="W493" s="6" t="str">
        <f t="shared" si="144"/>
        <v>,GGoal=</v>
      </c>
      <c r="X493">
        <f>Matchs!L494</f>
        <v>1</v>
      </c>
      <c r="Y493" s="6" t="str">
        <f t="shared" si="145"/>
        <v>,GTeam= "</v>
      </c>
      <c r="Z493" t="str">
        <f>Matchs!M494</f>
        <v>Mexico</v>
      </c>
      <c r="AA493" s="6" t="str">
        <f t="shared" si="146"/>
        <v>",WinNote="</v>
      </c>
      <c r="AB493" t="str">
        <f>IF(Matchs!N494="","",Matchs!N494)</f>
        <v/>
      </c>
      <c r="AC493" s="6" t="str">
        <f t="shared" si="147"/>
        <v xml:space="preserve">",Stadium=" </v>
      </c>
      <c r="AD493" s="11" t="str">
        <f>Matchs!O494</f>
        <v xml:space="preserve">RFK Stadium </v>
      </c>
      <c r="AE493" s="6" t="str">
        <f t="shared" si="148"/>
        <v>",Referee= "</v>
      </c>
      <c r="AF493" s="11" t="str">
        <f>Matchs!P494</f>
        <v xml:space="preserve">Francisco Oscar Lamolina </v>
      </c>
      <c r="AG493" s="6" t="str">
        <f t="shared" si="149"/>
        <v xml:space="preserve">",Visistors= </v>
      </c>
      <c r="AH493" s="11">
        <f>Matchs!Q494</f>
        <v>52535</v>
      </c>
      <c r="AI493" s="11" t="str">
        <f t="shared" si="150"/>
        <v>,Status= "</v>
      </c>
      <c r="AJ493" s="11" t="str">
        <f>Matchs!R494</f>
        <v>Finished</v>
      </c>
      <c r="AK493" t="str">
        <f t="shared" si="151"/>
        <v>" },</v>
      </c>
    </row>
    <row r="494" spans="1:37" x14ac:dyDescent="0.25">
      <c r="A494" t="str">
        <f t="shared" si="133"/>
        <v>new Match { MatchId= "</v>
      </c>
      <c r="B494" t="str">
        <f>Matchs!A495</f>
        <v>FIFAWC1994-30</v>
      </c>
      <c r="C494" t="str">
        <f t="shared" si="134"/>
        <v>",MatchNumer=</v>
      </c>
      <c r="D494">
        <f>Matchs!B495</f>
        <v>30</v>
      </c>
      <c r="E494" t="str">
        <f t="shared" si="135"/>
        <v>,DateMatch=DateTime.Parse("</v>
      </c>
      <c r="F494" s="3">
        <f>Matchs!C495</f>
        <v>34513</v>
      </c>
      <c r="G494" s="10" t="str">
        <f t="shared" si="136"/>
        <v>"),TimeMatch=TimeSpan.Parse("</v>
      </c>
      <c r="H494" s="9">
        <f>Matchs!D495</f>
        <v>0.97916666666666663</v>
      </c>
      <c r="I494" t="str">
        <f t="shared" si="137"/>
        <v>"),MatchYear=</v>
      </c>
      <c r="J494">
        <f>Matchs!E495</f>
        <v>1994</v>
      </c>
      <c r="K494" t="str">
        <f t="shared" si="138"/>
        <v>, SeasonId= "</v>
      </c>
      <c r="L494" t="str">
        <f>Matchs!F495</f>
        <v>FIFAWC1994</v>
      </c>
      <c r="M494" t="str">
        <f t="shared" si="139"/>
        <v>",Round= "</v>
      </c>
      <c r="N494" t="str">
        <f>Matchs!G495</f>
        <v>Final Round</v>
      </c>
      <c r="O494" s="6" t="str">
        <f t="shared" si="140"/>
        <v>",Stage= "</v>
      </c>
      <c r="P494" t="str">
        <f>Matchs!H495</f>
        <v>Group</v>
      </c>
      <c r="Q494" s="6" t="str">
        <f t="shared" si="141"/>
        <v>",SubStage= "</v>
      </c>
      <c r="R494" t="str">
        <f>Matchs!I495</f>
        <v xml:space="preserve">Group E </v>
      </c>
      <c r="S494" s="6" t="str">
        <f t="shared" si="142"/>
        <v>",HTeam= "</v>
      </c>
      <c r="T494" t="str">
        <f>Matchs!J495</f>
        <v>Republic of Ireland</v>
      </c>
      <c r="U494" s="6" t="str">
        <f t="shared" si="143"/>
        <v>",HGoal=</v>
      </c>
      <c r="V494">
        <f>Matchs!K495</f>
        <v>0</v>
      </c>
      <c r="W494" s="6" t="str">
        <f t="shared" si="144"/>
        <v>,GGoal=</v>
      </c>
      <c r="X494">
        <f>Matchs!L495</f>
        <v>0</v>
      </c>
      <c r="Y494" s="6" t="str">
        <f t="shared" si="145"/>
        <v>,GTeam= "</v>
      </c>
      <c r="Z494" t="str">
        <f>Matchs!M495</f>
        <v>Norway</v>
      </c>
      <c r="AA494" s="6" t="str">
        <f t="shared" si="146"/>
        <v>",WinNote="</v>
      </c>
      <c r="AB494" t="str">
        <f>IF(Matchs!N495="","",Matchs!N495)</f>
        <v/>
      </c>
      <c r="AC494" s="6" t="str">
        <f t="shared" si="147"/>
        <v xml:space="preserve">",Stadium=" </v>
      </c>
      <c r="AD494" s="11" t="str">
        <f>Matchs!O495</f>
        <v xml:space="preserve">Giants Stadium </v>
      </c>
      <c r="AE494" s="6" t="str">
        <f t="shared" si="148"/>
        <v>",Referee= "</v>
      </c>
      <c r="AF494" s="11" t="str">
        <f>Matchs!P495</f>
        <v xml:space="preserve">Jose Torres Cadena </v>
      </c>
      <c r="AG494" s="6" t="str">
        <f t="shared" si="149"/>
        <v xml:space="preserve">",Visistors= </v>
      </c>
      <c r="AH494" s="11">
        <f>Matchs!Q495</f>
        <v>72404</v>
      </c>
      <c r="AI494" s="11" t="str">
        <f t="shared" si="150"/>
        <v>,Status= "</v>
      </c>
      <c r="AJ494" s="11" t="str">
        <f>Matchs!R495</f>
        <v>Finished</v>
      </c>
      <c r="AK494" t="str">
        <f t="shared" si="151"/>
        <v>" },</v>
      </c>
    </row>
    <row r="495" spans="1:37" x14ac:dyDescent="0.25">
      <c r="A495" t="str">
        <f t="shared" si="133"/>
        <v>new Match { MatchId= "</v>
      </c>
      <c r="B495" t="str">
        <f>Matchs!A496</f>
        <v>FIFAWC1994-31</v>
      </c>
      <c r="C495" t="str">
        <f t="shared" si="134"/>
        <v>",MatchNumer=</v>
      </c>
      <c r="D495">
        <f>Matchs!B496</f>
        <v>31</v>
      </c>
      <c r="E495" t="str">
        <f t="shared" si="135"/>
        <v>,DateMatch=DateTime.Parse("</v>
      </c>
      <c r="F495" s="3">
        <f>Matchs!C496</f>
        <v>34514</v>
      </c>
      <c r="G495" s="10" t="str">
        <f t="shared" si="136"/>
        <v>"),TimeMatch=TimeSpan.Parse("</v>
      </c>
      <c r="H495" s="9">
        <f>Matchs!D496</f>
        <v>0.125</v>
      </c>
      <c r="I495" t="str">
        <f t="shared" si="137"/>
        <v>"),MatchYear=</v>
      </c>
      <c r="J495">
        <f>Matchs!E496</f>
        <v>1994</v>
      </c>
      <c r="K495" t="str">
        <f t="shared" si="138"/>
        <v>, SeasonId= "</v>
      </c>
      <c r="L495" t="str">
        <f>Matchs!F496</f>
        <v>FIFAWC1994</v>
      </c>
      <c r="M495" t="str">
        <f t="shared" si="139"/>
        <v>",Round= "</v>
      </c>
      <c r="N495" t="str">
        <f>Matchs!G496</f>
        <v>Final Round</v>
      </c>
      <c r="O495" s="6" t="str">
        <f t="shared" si="140"/>
        <v>",Stage= "</v>
      </c>
      <c r="P495" t="str">
        <f>Matchs!H496</f>
        <v>Group</v>
      </c>
      <c r="Q495" s="6" t="str">
        <f t="shared" si="141"/>
        <v>",SubStage= "</v>
      </c>
      <c r="R495" t="str">
        <f>Matchs!I496</f>
        <v xml:space="preserve">Group B </v>
      </c>
      <c r="S495" s="6" t="str">
        <f t="shared" si="142"/>
        <v>",HTeam= "</v>
      </c>
      <c r="T495" t="str">
        <f>Matchs!J496</f>
        <v>Brazil</v>
      </c>
      <c r="U495" s="6" t="str">
        <f t="shared" si="143"/>
        <v>",HGoal=</v>
      </c>
      <c r="V495">
        <f>Matchs!K496</f>
        <v>1</v>
      </c>
      <c r="W495" s="6" t="str">
        <f t="shared" si="144"/>
        <v>,GGoal=</v>
      </c>
      <c r="X495">
        <f>Matchs!L496</f>
        <v>1</v>
      </c>
      <c r="Y495" s="6" t="str">
        <f t="shared" si="145"/>
        <v>,GTeam= "</v>
      </c>
      <c r="Z495" t="str">
        <f>Matchs!M496</f>
        <v>Sweden</v>
      </c>
      <c r="AA495" s="6" t="str">
        <f t="shared" si="146"/>
        <v>",WinNote="</v>
      </c>
      <c r="AB495" t="str">
        <f>IF(Matchs!N496="","",Matchs!N496)</f>
        <v/>
      </c>
      <c r="AC495" s="6" t="str">
        <f t="shared" si="147"/>
        <v xml:space="preserve">",Stadium=" </v>
      </c>
      <c r="AD495" s="11" t="str">
        <f>Matchs!O496</f>
        <v xml:space="preserve">Silverdome </v>
      </c>
      <c r="AE495" s="6" t="str">
        <f t="shared" si="148"/>
        <v>",Referee= "</v>
      </c>
      <c r="AF495" s="11" t="str">
        <f>Matchs!P496</f>
        <v xml:space="preserve">Sandor Puhl </v>
      </c>
      <c r="AG495" s="6" t="str">
        <f t="shared" si="149"/>
        <v xml:space="preserve">",Visistors= </v>
      </c>
      <c r="AH495" s="11">
        <f>Matchs!Q496</f>
        <v>77217</v>
      </c>
      <c r="AI495" s="11" t="str">
        <f t="shared" si="150"/>
        <v>,Status= "</v>
      </c>
      <c r="AJ495" s="11" t="str">
        <f>Matchs!R496</f>
        <v>Finished</v>
      </c>
      <c r="AK495" t="str">
        <f t="shared" si="151"/>
        <v>" },</v>
      </c>
    </row>
    <row r="496" spans="1:37" x14ac:dyDescent="0.25">
      <c r="A496" t="str">
        <f t="shared" si="133"/>
        <v>new Match { MatchId= "</v>
      </c>
      <c r="B496" t="str">
        <f>Matchs!A497</f>
        <v>FIFAWC1994-32</v>
      </c>
      <c r="C496" t="str">
        <f t="shared" si="134"/>
        <v>",MatchNumer=</v>
      </c>
      <c r="D496">
        <f>Matchs!B497</f>
        <v>32</v>
      </c>
      <c r="E496" t="str">
        <f t="shared" si="135"/>
        <v>,DateMatch=DateTime.Parse("</v>
      </c>
      <c r="F496" s="3">
        <f>Matchs!C497</f>
        <v>34514</v>
      </c>
      <c r="G496" s="10" t="str">
        <f t="shared" si="136"/>
        <v>"),TimeMatch=TimeSpan.Parse("</v>
      </c>
      <c r="H496" s="9">
        <f>Matchs!D497</f>
        <v>0.25</v>
      </c>
      <c r="I496" t="str">
        <f t="shared" si="137"/>
        <v>"),MatchYear=</v>
      </c>
      <c r="J496">
        <f>Matchs!E497</f>
        <v>1994</v>
      </c>
      <c r="K496" t="str">
        <f t="shared" si="138"/>
        <v>, SeasonId= "</v>
      </c>
      <c r="L496" t="str">
        <f>Matchs!F497</f>
        <v>FIFAWC1994</v>
      </c>
      <c r="M496" t="str">
        <f t="shared" si="139"/>
        <v>",Round= "</v>
      </c>
      <c r="N496" t="str">
        <f>Matchs!G497</f>
        <v>Final Round</v>
      </c>
      <c r="O496" s="6" t="str">
        <f t="shared" si="140"/>
        <v>",Stage= "</v>
      </c>
      <c r="P496" t="str">
        <f>Matchs!H497</f>
        <v>Group</v>
      </c>
      <c r="Q496" s="6" t="str">
        <f t="shared" si="141"/>
        <v>",SubStage= "</v>
      </c>
      <c r="R496" t="str">
        <f>Matchs!I497</f>
        <v xml:space="preserve">Group B </v>
      </c>
      <c r="S496" s="6" t="str">
        <f t="shared" si="142"/>
        <v>",HTeam= "</v>
      </c>
      <c r="T496" t="str">
        <f>Matchs!J497</f>
        <v>Russia</v>
      </c>
      <c r="U496" s="6" t="str">
        <f t="shared" si="143"/>
        <v>",HGoal=</v>
      </c>
      <c r="V496">
        <f>Matchs!K497</f>
        <v>6</v>
      </c>
      <c r="W496" s="6" t="str">
        <f t="shared" si="144"/>
        <v>,GGoal=</v>
      </c>
      <c r="X496">
        <f>Matchs!L497</f>
        <v>1</v>
      </c>
      <c r="Y496" s="6" t="str">
        <f t="shared" si="145"/>
        <v>,GTeam= "</v>
      </c>
      <c r="Z496" t="str">
        <f>Matchs!M497</f>
        <v>Cameroon</v>
      </c>
      <c r="AA496" s="6" t="str">
        <f t="shared" si="146"/>
        <v>",WinNote="</v>
      </c>
      <c r="AB496" t="str">
        <f>IF(Matchs!N497="","",Matchs!N497)</f>
        <v/>
      </c>
      <c r="AC496" s="6" t="str">
        <f t="shared" si="147"/>
        <v xml:space="preserve">",Stadium=" </v>
      </c>
      <c r="AD496" s="11" t="str">
        <f>Matchs!O497</f>
        <v xml:space="preserve">Stanford Stadium </v>
      </c>
      <c r="AE496" s="6" t="str">
        <f t="shared" si="148"/>
        <v>",Referee= "</v>
      </c>
      <c r="AF496" s="11" t="str">
        <f>Matchs!P497</f>
        <v xml:space="preserve">Jamal Al-Sharif </v>
      </c>
      <c r="AG496" s="6" t="str">
        <f t="shared" si="149"/>
        <v xml:space="preserve">",Visistors= </v>
      </c>
      <c r="AH496" s="11">
        <f>Matchs!Q497</f>
        <v>74914</v>
      </c>
      <c r="AI496" s="11" t="str">
        <f t="shared" si="150"/>
        <v>,Status= "</v>
      </c>
      <c r="AJ496" s="11" t="str">
        <f>Matchs!R497</f>
        <v>Finished</v>
      </c>
      <c r="AK496" t="str">
        <f t="shared" si="151"/>
        <v>" },</v>
      </c>
    </row>
    <row r="497" spans="1:37" x14ac:dyDescent="0.25">
      <c r="A497" t="str">
        <f t="shared" si="133"/>
        <v>new Match { MatchId= "</v>
      </c>
      <c r="B497" t="str">
        <f>Matchs!A498</f>
        <v>FIFAWC1994-33</v>
      </c>
      <c r="C497" t="str">
        <f t="shared" si="134"/>
        <v>",MatchNumer=</v>
      </c>
      <c r="D497">
        <f>Matchs!B498</f>
        <v>33</v>
      </c>
      <c r="E497" t="str">
        <f t="shared" si="135"/>
        <v>,DateMatch=DateTime.Parse("</v>
      </c>
      <c r="F497" s="3">
        <f>Matchs!C498</f>
        <v>34514</v>
      </c>
      <c r="G497" s="10" t="str">
        <f t="shared" si="136"/>
        <v>"),TimeMatch=TimeSpan.Parse("</v>
      </c>
      <c r="H497" s="9">
        <f>Matchs!D498</f>
        <v>0.97916666666666663</v>
      </c>
      <c r="I497" t="str">
        <f t="shared" si="137"/>
        <v>"),MatchYear=</v>
      </c>
      <c r="J497">
        <f>Matchs!E498</f>
        <v>1994</v>
      </c>
      <c r="K497" t="str">
        <f t="shared" si="138"/>
        <v>, SeasonId= "</v>
      </c>
      <c r="L497" t="str">
        <f>Matchs!F498</f>
        <v>FIFAWC1994</v>
      </c>
      <c r="M497" t="str">
        <f t="shared" si="139"/>
        <v>",Round= "</v>
      </c>
      <c r="N497" t="str">
        <f>Matchs!G498</f>
        <v>Final Round</v>
      </c>
      <c r="O497" s="6" t="str">
        <f t="shared" si="140"/>
        <v>",Stage= "</v>
      </c>
      <c r="P497" t="str">
        <f>Matchs!H498</f>
        <v>Group</v>
      </c>
      <c r="Q497" s="6" t="str">
        <f t="shared" si="141"/>
        <v>",SubStage= "</v>
      </c>
      <c r="R497" t="str">
        <f>Matchs!I498</f>
        <v xml:space="preserve">Group F </v>
      </c>
      <c r="S497" s="6" t="str">
        <f t="shared" si="142"/>
        <v>",HTeam= "</v>
      </c>
      <c r="T497" t="str">
        <f>Matchs!J498</f>
        <v>Belgium</v>
      </c>
      <c r="U497" s="6" t="str">
        <f t="shared" si="143"/>
        <v>",HGoal=</v>
      </c>
      <c r="V497">
        <f>Matchs!K498</f>
        <v>0</v>
      </c>
      <c r="W497" s="6" t="str">
        <f t="shared" si="144"/>
        <v>,GGoal=</v>
      </c>
      <c r="X497">
        <f>Matchs!L498</f>
        <v>1</v>
      </c>
      <c r="Y497" s="6" t="str">
        <f t="shared" si="145"/>
        <v>,GTeam= "</v>
      </c>
      <c r="Z497" t="str">
        <f>Matchs!M498</f>
        <v>Saudi Arabia</v>
      </c>
      <c r="AA497" s="6" t="str">
        <f t="shared" si="146"/>
        <v>",WinNote="</v>
      </c>
      <c r="AB497" t="str">
        <f>IF(Matchs!N498="","",Matchs!N498)</f>
        <v/>
      </c>
      <c r="AC497" s="6" t="str">
        <f t="shared" si="147"/>
        <v xml:space="preserve">",Stadium=" </v>
      </c>
      <c r="AD497" s="11" t="str">
        <f>Matchs!O498</f>
        <v xml:space="preserve">RFK Stadium </v>
      </c>
      <c r="AE497" s="6" t="str">
        <f t="shared" si="148"/>
        <v>",Referee= "</v>
      </c>
      <c r="AF497" s="11" t="str">
        <f>Matchs!P498</f>
        <v xml:space="preserve">Helmut Krug </v>
      </c>
      <c r="AG497" s="6" t="str">
        <f t="shared" si="149"/>
        <v xml:space="preserve">",Visistors= </v>
      </c>
      <c r="AH497" s="11">
        <f>Matchs!Q498</f>
        <v>52959</v>
      </c>
      <c r="AI497" s="11" t="str">
        <f t="shared" si="150"/>
        <v>,Status= "</v>
      </c>
      <c r="AJ497" s="11" t="str">
        <f>Matchs!R498</f>
        <v>Finished</v>
      </c>
      <c r="AK497" t="str">
        <f t="shared" si="151"/>
        <v>" },</v>
      </c>
    </row>
    <row r="498" spans="1:37" x14ac:dyDescent="0.25">
      <c r="A498" t="str">
        <f t="shared" si="133"/>
        <v>new Match { MatchId= "</v>
      </c>
      <c r="B498" t="str">
        <f>Matchs!A499</f>
        <v>FIFAWC1994-34</v>
      </c>
      <c r="C498" t="str">
        <f t="shared" si="134"/>
        <v>",MatchNumer=</v>
      </c>
      <c r="D498">
        <f>Matchs!B499</f>
        <v>34</v>
      </c>
      <c r="E498" t="str">
        <f t="shared" si="135"/>
        <v>,DateMatch=DateTime.Parse("</v>
      </c>
      <c r="F498" s="3">
        <f>Matchs!C499</f>
        <v>34514</v>
      </c>
      <c r="G498" s="10" t="str">
        <f t="shared" si="136"/>
        <v>"),TimeMatch=TimeSpan.Parse("</v>
      </c>
      <c r="H498" s="9">
        <f>Matchs!D499</f>
        <v>0.97916666666666663</v>
      </c>
      <c r="I498" t="str">
        <f t="shared" si="137"/>
        <v>"),MatchYear=</v>
      </c>
      <c r="J498">
        <f>Matchs!E499</f>
        <v>1994</v>
      </c>
      <c r="K498" t="str">
        <f t="shared" si="138"/>
        <v>, SeasonId= "</v>
      </c>
      <c r="L498" t="str">
        <f>Matchs!F499</f>
        <v>FIFAWC1994</v>
      </c>
      <c r="M498" t="str">
        <f t="shared" si="139"/>
        <v>",Round= "</v>
      </c>
      <c r="N498" t="str">
        <f>Matchs!G499</f>
        <v>Final Round</v>
      </c>
      <c r="O498" s="6" t="str">
        <f t="shared" si="140"/>
        <v>",Stage= "</v>
      </c>
      <c r="P498" t="str">
        <f>Matchs!H499</f>
        <v>Group</v>
      </c>
      <c r="Q498" s="6" t="str">
        <f t="shared" si="141"/>
        <v>",SubStage= "</v>
      </c>
      <c r="R498" t="str">
        <f>Matchs!I499</f>
        <v xml:space="preserve">Group F </v>
      </c>
      <c r="S498" s="6" t="str">
        <f t="shared" si="142"/>
        <v>",HTeam= "</v>
      </c>
      <c r="T498" t="str">
        <f>Matchs!J499</f>
        <v>Morocco</v>
      </c>
      <c r="U498" s="6" t="str">
        <f t="shared" si="143"/>
        <v>",HGoal=</v>
      </c>
      <c r="V498">
        <f>Matchs!K499</f>
        <v>1</v>
      </c>
      <c r="W498" s="6" t="str">
        <f t="shared" si="144"/>
        <v>,GGoal=</v>
      </c>
      <c r="X498">
        <f>Matchs!L499</f>
        <v>2</v>
      </c>
      <c r="Y498" s="6" t="str">
        <f t="shared" si="145"/>
        <v>,GTeam= "</v>
      </c>
      <c r="Z498" t="str">
        <f>Matchs!M499</f>
        <v>Netherlands</v>
      </c>
      <c r="AA498" s="6" t="str">
        <f t="shared" si="146"/>
        <v>",WinNote="</v>
      </c>
      <c r="AB498" t="str">
        <f>IF(Matchs!N499="","",Matchs!N499)</f>
        <v/>
      </c>
      <c r="AC498" s="6" t="str">
        <f t="shared" si="147"/>
        <v xml:space="preserve">",Stadium=" </v>
      </c>
      <c r="AD498" s="11" t="str">
        <f>Matchs!O499</f>
        <v xml:space="preserve">Citrus Bowl </v>
      </c>
      <c r="AE498" s="6" t="str">
        <f t="shared" si="148"/>
        <v>",Referee= "</v>
      </c>
      <c r="AF498" s="11" t="str">
        <f>Matchs!P499</f>
        <v xml:space="preserve">Alberto Tejada Noriega </v>
      </c>
      <c r="AG498" s="6" t="str">
        <f t="shared" si="149"/>
        <v xml:space="preserve">",Visistors= </v>
      </c>
      <c r="AH498" s="11">
        <f>Matchs!Q499</f>
        <v>60578</v>
      </c>
      <c r="AI498" s="11" t="str">
        <f t="shared" si="150"/>
        <v>,Status= "</v>
      </c>
      <c r="AJ498" s="11" t="str">
        <f>Matchs!R499</f>
        <v>Finished</v>
      </c>
      <c r="AK498" t="str">
        <f t="shared" si="151"/>
        <v>" },</v>
      </c>
    </row>
    <row r="499" spans="1:37" x14ac:dyDescent="0.25">
      <c r="A499" t="str">
        <f t="shared" si="133"/>
        <v>new Match { MatchId= "</v>
      </c>
      <c r="B499" t="str">
        <f>Matchs!A500</f>
        <v>FIFAWC1994-35</v>
      </c>
      <c r="C499" t="str">
        <f t="shared" si="134"/>
        <v>",MatchNumer=</v>
      </c>
      <c r="D499">
        <f>Matchs!B500</f>
        <v>35</v>
      </c>
      <c r="E499" t="str">
        <f t="shared" si="135"/>
        <v>,DateMatch=DateTime.Parse("</v>
      </c>
      <c r="F499" s="3">
        <f>Matchs!C500</f>
        <v>34516</v>
      </c>
      <c r="G499" s="10" t="str">
        <f t="shared" si="136"/>
        <v>"),TimeMatch=TimeSpan.Parse("</v>
      </c>
      <c r="H499" s="9">
        <f>Matchs!D500</f>
        <v>0.27083333333333331</v>
      </c>
      <c r="I499" t="str">
        <f t="shared" si="137"/>
        <v>"),MatchYear=</v>
      </c>
      <c r="J499">
        <f>Matchs!E500</f>
        <v>1994</v>
      </c>
      <c r="K499" t="str">
        <f t="shared" si="138"/>
        <v>, SeasonId= "</v>
      </c>
      <c r="L499" t="str">
        <f>Matchs!F500</f>
        <v>FIFAWC1994</v>
      </c>
      <c r="M499" t="str">
        <f t="shared" si="139"/>
        <v>",Round= "</v>
      </c>
      <c r="N499" t="str">
        <f>Matchs!G500</f>
        <v>Final Round</v>
      </c>
      <c r="O499" s="6" t="str">
        <f t="shared" si="140"/>
        <v>",Stage= "</v>
      </c>
      <c r="P499" t="str">
        <f>Matchs!H500</f>
        <v>Group</v>
      </c>
      <c r="Q499" s="6" t="str">
        <f t="shared" si="141"/>
        <v>",SubStage= "</v>
      </c>
      <c r="R499" t="str">
        <f>Matchs!I500</f>
        <v xml:space="preserve">Group D </v>
      </c>
      <c r="S499" s="6" t="str">
        <f t="shared" si="142"/>
        <v>",HTeam= "</v>
      </c>
      <c r="T499" t="str">
        <f>Matchs!J500</f>
        <v>Greece</v>
      </c>
      <c r="U499" s="6" t="str">
        <f t="shared" si="143"/>
        <v>",HGoal=</v>
      </c>
      <c r="V499">
        <f>Matchs!K500</f>
        <v>0</v>
      </c>
      <c r="W499" s="6" t="str">
        <f t="shared" si="144"/>
        <v>,GGoal=</v>
      </c>
      <c r="X499">
        <f>Matchs!L500</f>
        <v>2</v>
      </c>
      <c r="Y499" s="6" t="str">
        <f t="shared" si="145"/>
        <v>,GTeam= "</v>
      </c>
      <c r="Z499" t="str">
        <f>Matchs!M500</f>
        <v>Nigeria</v>
      </c>
      <c r="AA499" s="6" t="str">
        <f t="shared" si="146"/>
        <v>",WinNote="</v>
      </c>
      <c r="AB499" t="str">
        <f>IF(Matchs!N500="","",Matchs!N500)</f>
        <v/>
      </c>
      <c r="AC499" s="6" t="str">
        <f t="shared" si="147"/>
        <v xml:space="preserve">",Stadium=" </v>
      </c>
      <c r="AD499" s="11" t="str">
        <f>Matchs!O500</f>
        <v xml:space="preserve">Foxboro Stadium </v>
      </c>
      <c r="AE499" s="6" t="str">
        <f t="shared" si="148"/>
        <v>",Referee= "</v>
      </c>
      <c r="AF499" s="11" t="str">
        <f>Matchs!P500</f>
        <v xml:space="preserve">Leslie Mottram </v>
      </c>
      <c r="AG499" s="6" t="str">
        <f t="shared" si="149"/>
        <v xml:space="preserve">",Visistors= </v>
      </c>
      <c r="AH499" s="11">
        <f>Matchs!Q500</f>
        <v>53001</v>
      </c>
      <c r="AI499" s="11" t="str">
        <f t="shared" si="150"/>
        <v>,Status= "</v>
      </c>
      <c r="AJ499" s="11" t="str">
        <f>Matchs!R500</f>
        <v>Finished</v>
      </c>
      <c r="AK499" t="str">
        <f t="shared" si="151"/>
        <v>" },</v>
      </c>
    </row>
    <row r="500" spans="1:37" x14ac:dyDescent="0.25">
      <c r="A500" t="str">
        <f t="shared" si="133"/>
        <v>new Match { MatchId= "</v>
      </c>
      <c r="B500" t="str">
        <f>Matchs!A501</f>
        <v>FIFAWC1994-36</v>
      </c>
      <c r="C500" t="str">
        <f t="shared" si="134"/>
        <v>",MatchNumer=</v>
      </c>
      <c r="D500">
        <f>Matchs!B501</f>
        <v>36</v>
      </c>
      <c r="E500" t="str">
        <f t="shared" si="135"/>
        <v>,DateMatch=DateTime.Parse("</v>
      </c>
      <c r="F500" s="3">
        <f>Matchs!C501</f>
        <v>34516</v>
      </c>
      <c r="G500" s="10" t="str">
        <f t="shared" si="136"/>
        <v>"),TimeMatch=TimeSpan.Parse("</v>
      </c>
      <c r="H500" s="9">
        <f>Matchs!D501</f>
        <v>0.3125</v>
      </c>
      <c r="I500" t="str">
        <f t="shared" si="137"/>
        <v>"),MatchYear=</v>
      </c>
      <c r="J500">
        <f>Matchs!E501</f>
        <v>1994</v>
      </c>
      <c r="K500" t="str">
        <f t="shared" si="138"/>
        <v>, SeasonId= "</v>
      </c>
      <c r="L500" t="str">
        <f>Matchs!F501</f>
        <v>FIFAWC1994</v>
      </c>
      <c r="M500" t="str">
        <f t="shared" si="139"/>
        <v>",Round= "</v>
      </c>
      <c r="N500" t="str">
        <f>Matchs!G501</f>
        <v>Final Round</v>
      </c>
      <c r="O500" s="6" t="str">
        <f t="shared" si="140"/>
        <v>",Stage= "</v>
      </c>
      <c r="P500" t="str">
        <f>Matchs!H501</f>
        <v>Group</v>
      </c>
      <c r="Q500" s="6" t="str">
        <f t="shared" si="141"/>
        <v>",SubStage= "</v>
      </c>
      <c r="R500" t="str">
        <f>Matchs!I501</f>
        <v xml:space="preserve">Group D </v>
      </c>
      <c r="S500" s="6" t="str">
        <f t="shared" si="142"/>
        <v>",HTeam= "</v>
      </c>
      <c r="T500" t="str">
        <f>Matchs!J501</f>
        <v>Argentina</v>
      </c>
      <c r="U500" s="6" t="str">
        <f t="shared" si="143"/>
        <v>",HGoal=</v>
      </c>
      <c r="V500">
        <f>Matchs!K501</f>
        <v>0</v>
      </c>
      <c r="W500" s="6" t="str">
        <f t="shared" si="144"/>
        <v>,GGoal=</v>
      </c>
      <c r="X500">
        <f>Matchs!L501</f>
        <v>2</v>
      </c>
      <c r="Y500" s="6" t="str">
        <f t="shared" si="145"/>
        <v>,GTeam= "</v>
      </c>
      <c r="Z500" t="str">
        <f>Matchs!M501</f>
        <v>Bulgaria</v>
      </c>
      <c r="AA500" s="6" t="str">
        <f t="shared" si="146"/>
        <v>",WinNote="</v>
      </c>
      <c r="AB500" t="str">
        <f>IF(Matchs!N501="","",Matchs!N501)</f>
        <v/>
      </c>
      <c r="AC500" s="6" t="str">
        <f t="shared" si="147"/>
        <v xml:space="preserve">",Stadium=" </v>
      </c>
      <c r="AD500" s="11" t="str">
        <f>Matchs!O501</f>
        <v xml:space="preserve">Cotton Bowl </v>
      </c>
      <c r="AE500" s="6" t="str">
        <f t="shared" si="148"/>
        <v>",Referee= "</v>
      </c>
      <c r="AF500" s="11" t="str">
        <f>Matchs!P501</f>
        <v xml:space="preserve">Neji Jouini </v>
      </c>
      <c r="AG500" s="6" t="str">
        <f t="shared" si="149"/>
        <v xml:space="preserve">",Visistors= </v>
      </c>
      <c r="AH500" s="11">
        <f>Matchs!Q501</f>
        <v>63998</v>
      </c>
      <c r="AI500" s="11" t="str">
        <f t="shared" si="150"/>
        <v>,Status= "</v>
      </c>
      <c r="AJ500" s="11" t="str">
        <f>Matchs!R501</f>
        <v>Finished</v>
      </c>
      <c r="AK500" t="str">
        <f t="shared" si="151"/>
        <v>" },</v>
      </c>
    </row>
    <row r="501" spans="1:37" x14ac:dyDescent="0.25">
      <c r="A501" t="str">
        <f t="shared" si="133"/>
        <v>new Match { MatchId= "</v>
      </c>
      <c r="B501" t="str">
        <f>Matchs!A502</f>
        <v>FIFAWC1994-37</v>
      </c>
      <c r="C501" t="str">
        <f t="shared" si="134"/>
        <v>",MatchNumer=</v>
      </c>
      <c r="D501">
        <f>Matchs!B502</f>
        <v>37</v>
      </c>
      <c r="E501" t="str">
        <f t="shared" si="135"/>
        <v>,DateMatch=DateTime.Parse("</v>
      </c>
      <c r="F501" s="3">
        <f>Matchs!C502</f>
        <v>34518</v>
      </c>
      <c r="G501" s="10" t="str">
        <f t="shared" si="136"/>
        <v>"),TimeMatch=TimeSpan.Parse("</v>
      </c>
      <c r="H501" s="9">
        <f>Matchs!D502</f>
        <v>1</v>
      </c>
      <c r="I501" t="str">
        <f t="shared" si="137"/>
        <v>"),MatchYear=</v>
      </c>
      <c r="J501">
        <f>Matchs!E502</f>
        <v>1994</v>
      </c>
      <c r="K501" t="str">
        <f t="shared" si="138"/>
        <v>, SeasonId= "</v>
      </c>
      <c r="L501" t="str">
        <f>Matchs!F502</f>
        <v>FIFAWC1994</v>
      </c>
      <c r="M501" t="str">
        <f t="shared" si="139"/>
        <v>",Round= "</v>
      </c>
      <c r="N501" t="str">
        <f>Matchs!G502</f>
        <v>Final Round</v>
      </c>
      <c r="O501" s="6" t="str">
        <f t="shared" si="140"/>
        <v>",Stage= "</v>
      </c>
      <c r="P501" t="str">
        <f>Matchs!H502</f>
        <v>Knockouts</v>
      </c>
      <c r="Q501" s="6" t="str">
        <f t="shared" si="141"/>
        <v>",SubStage= "</v>
      </c>
      <c r="R501" t="str">
        <f>Matchs!I502</f>
        <v xml:space="preserve">Round of 16 </v>
      </c>
      <c r="S501" s="6" t="str">
        <f t="shared" si="142"/>
        <v>",HTeam= "</v>
      </c>
      <c r="T501" t="str">
        <f>Matchs!J502</f>
        <v>Germany</v>
      </c>
      <c r="U501" s="6" t="str">
        <f t="shared" si="143"/>
        <v>",HGoal=</v>
      </c>
      <c r="V501">
        <f>Matchs!K502</f>
        <v>3</v>
      </c>
      <c r="W501" s="6" t="str">
        <f t="shared" si="144"/>
        <v>,GGoal=</v>
      </c>
      <c r="X501">
        <f>Matchs!L502</f>
        <v>2</v>
      </c>
      <c r="Y501" s="6" t="str">
        <f t="shared" si="145"/>
        <v>,GTeam= "</v>
      </c>
      <c r="Z501" t="str">
        <f>Matchs!M502</f>
        <v>Belgium</v>
      </c>
      <c r="AA501" s="6" t="str">
        <f t="shared" si="146"/>
        <v>",WinNote="</v>
      </c>
      <c r="AB501" t="str">
        <f>IF(Matchs!N502="","",Matchs!N502)</f>
        <v/>
      </c>
      <c r="AC501" s="6" t="str">
        <f t="shared" si="147"/>
        <v xml:space="preserve">",Stadium=" </v>
      </c>
      <c r="AD501" s="11" t="str">
        <f>Matchs!O502</f>
        <v xml:space="preserve">Soldier Field </v>
      </c>
      <c r="AE501" s="6" t="str">
        <f t="shared" si="148"/>
        <v>",Referee= "</v>
      </c>
      <c r="AF501" s="11" t="str">
        <f>Matchs!P502</f>
        <v xml:space="preserve">Kurt Röthlisberger </v>
      </c>
      <c r="AG501" s="6" t="str">
        <f t="shared" si="149"/>
        <v xml:space="preserve">",Visistors= </v>
      </c>
      <c r="AH501" s="11">
        <f>Matchs!Q502</f>
        <v>60246</v>
      </c>
      <c r="AI501" s="11" t="str">
        <f t="shared" si="150"/>
        <v>,Status= "</v>
      </c>
      <c r="AJ501" s="11" t="str">
        <f>Matchs!R502</f>
        <v>Finished</v>
      </c>
      <c r="AK501" t="str">
        <f t="shared" si="151"/>
        <v>" },</v>
      </c>
    </row>
    <row r="502" spans="1:37" x14ac:dyDescent="0.25">
      <c r="A502" t="str">
        <f t="shared" si="133"/>
        <v>new Match { MatchId= "</v>
      </c>
      <c r="B502" t="str">
        <f>Matchs!A503</f>
        <v>FIFAWC1994-38</v>
      </c>
      <c r="C502" t="str">
        <f t="shared" si="134"/>
        <v>",MatchNumer=</v>
      </c>
      <c r="D502">
        <f>Matchs!B503</f>
        <v>38</v>
      </c>
      <c r="E502" t="str">
        <f t="shared" si="135"/>
        <v>,DateMatch=DateTime.Parse("</v>
      </c>
      <c r="F502" s="3">
        <f>Matchs!C503</f>
        <v>34518</v>
      </c>
      <c r="G502" s="10" t="str">
        <f t="shared" si="136"/>
        <v>"),TimeMatch=TimeSpan.Parse("</v>
      </c>
      <c r="H502" s="9">
        <f>Matchs!D503</f>
        <v>0.14583333333333334</v>
      </c>
      <c r="I502" t="str">
        <f t="shared" si="137"/>
        <v>"),MatchYear=</v>
      </c>
      <c r="J502">
        <f>Matchs!E503</f>
        <v>1994</v>
      </c>
      <c r="K502" t="str">
        <f t="shared" si="138"/>
        <v>, SeasonId= "</v>
      </c>
      <c r="L502" t="str">
        <f>Matchs!F503</f>
        <v>FIFAWC1994</v>
      </c>
      <c r="M502" t="str">
        <f t="shared" si="139"/>
        <v>",Round= "</v>
      </c>
      <c r="N502" t="str">
        <f>Matchs!G503</f>
        <v>Final Round</v>
      </c>
      <c r="O502" s="6" t="str">
        <f t="shared" si="140"/>
        <v>",Stage= "</v>
      </c>
      <c r="P502" t="str">
        <f>Matchs!H503</f>
        <v>Knockouts</v>
      </c>
      <c r="Q502" s="6" t="str">
        <f t="shared" si="141"/>
        <v>",SubStage= "</v>
      </c>
      <c r="R502" t="str">
        <f>Matchs!I503</f>
        <v xml:space="preserve">Round of 16 </v>
      </c>
      <c r="S502" s="6" t="str">
        <f t="shared" si="142"/>
        <v>",HTeam= "</v>
      </c>
      <c r="T502" t="str">
        <f>Matchs!J503</f>
        <v>Spain</v>
      </c>
      <c r="U502" s="6" t="str">
        <f t="shared" si="143"/>
        <v>",HGoal=</v>
      </c>
      <c r="V502">
        <f>Matchs!K503</f>
        <v>3</v>
      </c>
      <c r="W502" s="6" t="str">
        <f t="shared" si="144"/>
        <v>,GGoal=</v>
      </c>
      <c r="X502">
        <f>Matchs!L503</f>
        <v>0</v>
      </c>
      <c r="Y502" s="6" t="str">
        <f t="shared" si="145"/>
        <v>,GTeam= "</v>
      </c>
      <c r="Z502" t="str">
        <f>Matchs!M503</f>
        <v>Switzerland</v>
      </c>
      <c r="AA502" s="6" t="str">
        <f t="shared" si="146"/>
        <v>",WinNote="</v>
      </c>
      <c r="AB502" t="str">
        <f>IF(Matchs!N503="","",Matchs!N503)</f>
        <v/>
      </c>
      <c r="AC502" s="6" t="str">
        <f t="shared" si="147"/>
        <v xml:space="preserve">",Stadium=" </v>
      </c>
      <c r="AD502" s="11" t="str">
        <f>Matchs!O503</f>
        <v xml:space="preserve">RFK Stadium </v>
      </c>
      <c r="AE502" s="6" t="str">
        <f t="shared" si="148"/>
        <v>",Referee= "</v>
      </c>
      <c r="AF502" s="11" t="str">
        <f>Matchs!P503</f>
        <v xml:space="preserve">Mario van der Ende </v>
      </c>
      <c r="AG502" s="6" t="str">
        <f t="shared" si="149"/>
        <v xml:space="preserve">",Visistors= </v>
      </c>
      <c r="AH502" s="11">
        <f>Matchs!Q503</f>
        <v>53121</v>
      </c>
      <c r="AI502" s="11" t="str">
        <f t="shared" si="150"/>
        <v>,Status= "</v>
      </c>
      <c r="AJ502" s="11" t="str">
        <f>Matchs!R503</f>
        <v>Finished</v>
      </c>
      <c r="AK502" t="str">
        <f t="shared" si="151"/>
        <v>" },</v>
      </c>
    </row>
    <row r="503" spans="1:37" x14ac:dyDescent="0.25">
      <c r="A503" t="str">
        <f t="shared" si="133"/>
        <v>new Match { MatchId= "</v>
      </c>
      <c r="B503" t="str">
        <f>Matchs!A504</f>
        <v>FIFAWC1994-39</v>
      </c>
      <c r="C503" t="str">
        <f t="shared" si="134"/>
        <v>",MatchNumer=</v>
      </c>
      <c r="D503">
        <f>Matchs!B504</f>
        <v>39</v>
      </c>
      <c r="E503" t="str">
        <f t="shared" si="135"/>
        <v>,DateMatch=DateTime.Parse("</v>
      </c>
      <c r="F503" s="3">
        <f>Matchs!C504</f>
        <v>34519</v>
      </c>
      <c r="G503" s="10" t="str">
        <f t="shared" si="136"/>
        <v>"),TimeMatch=TimeSpan.Parse("</v>
      </c>
      <c r="H503" s="9">
        <f>Matchs!D504</f>
        <v>1</v>
      </c>
      <c r="I503" t="str">
        <f t="shared" si="137"/>
        <v>"),MatchYear=</v>
      </c>
      <c r="J503">
        <f>Matchs!E504</f>
        <v>1994</v>
      </c>
      <c r="K503" t="str">
        <f t="shared" si="138"/>
        <v>, SeasonId= "</v>
      </c>
      <c r="L503" t="str">
        <f>Matchs!F504</f>
        <v>FIFAWC1994</v>
      </c>
      <c r="M503" t="str">
        <f t="shared" si="139"/>
        <v>",Round= "</v>
      </c>
      <c r="N503" t="str">
        <f>Matchs!G504</f>
        <v>Final Round</v>
      </c>
      <c r="O503" s="6" t="str">
        <f t="shared" si="140"/>
        <v>",Stage= "</v>
      </c>
      <c r="P503" t="str">
        <f>Matchs!H504</f>
        <v>Knockouts</v>
      </c>
      <c r="Q503" s="6" t="str">
        <f t="shared" si="141"/>
        <v>",SubStage= "</v>
      </c>
      <c r="R503" t="str">
        <f>Matchs!I504</f>
        <v xml:space="preserve">Round of 16 </v>
      </c>
      <c r="S503" s="6" t="str">
        <f t="shared" si="142"/>
        <v>",HTeam= "</v>
      </c>
      <c r="T503" t="str">
        <f>Matchs!J504</f>
        <v>Saudi Arabia</v>
      </c>
      <c r="U503" s="6" t="str">
        <f t="shared" si="143"/>
        <v>",HGoal=</v>
      </c>
      <c r="V503">
        <f>Matchs!K504</f>
        <v>1</v>
      </c>
      <c r="W503" s="6" t="str">
        <f t="shared" si="144"/>
        <v>,GGoal=</v>
      </c>
      <c r="X503">
        <f>Matchs!L504</f>
        <v>3</v>
      </c>
      <c r="Y503" s="6" t="str">
        <f t="shared" si="145"/>
        <v>,GTeam= "</v>
      </c>
      <c r="Z503" t="str">
        <f>Matchs!M504</f>
        <v>Sweden</v>
      </c>
      <c r="AA503" s="6" t="str">
        <f t="shared" si="146"/>
        <v>",WinNote="</v>
      </c>
      <c r="AB503" t="str">
        <f>IF(Matchs!N504="","",Matchs!N504)</f>
        <v/>
      </c>
      <c r="AC503" s="6" t="str">
        <f t="shared" si="147"/>
        <v xml:space="preserve">",Stadium=" </v>
      </c>
      <c r="AD503" s="11" t="str">
        <f>Matchs!O504</f>
        <v xml:space="preserve">Cotton Bowl </v>
      </c>
      <c r="AE503" s="6" t="str">
        <f t="shared" si="148"/>
        <v>",Referee= "</v>
      </c>
      <c r="AF503" s="11" t="str">
        <f>Matchs!P504</f>
        <v xml:space="preserve">Renato Marsiglia </v>
      </c>
      <c r="AG503" s="6" t="str">
        <f t="shared" si="149"/>
        <v xml:space="preserve">",Visistors= </v>
      </c>
      <c r="AH503" s="11">
        <f>Matchs!Q504</f>
        <v>60277</v>
      </c>
      <c r="AI503" s="11" t="str">
        <f t="shared" si="150"/>
        <v>,Status= "</v>
      </c>
      <c r="AJ503" s="11" t="str">
        <f>Matchs!R504</f>
        <v>Finished</v>
      </c>
      <c r="AK503" t="str">
        <f t="shared" si="151"/>
        <v>" },</v>
      </c>
    </row>
    <row r="504" spans="1:37" x14ac:dyDescent="0.25">
      <c r="A504" t="str">
        <f t="shared" si="133"/>
        <v>new Match { MatchId= "</v>
      </c>
      <c r="B504" t="str">
        <f>Matchs!A505</f>
        <v>FIFAWC1994-40</v>
      </c>
      <c r="C504" t="str">
        <f t="shared" si="134"/>
        <v>",MatchNumer=</v>
      </c>
      <c r="D504">
        <f>Matchs!B505</f>
        <v>40</v>
      </c>
      <c r="E504" t="str">
        <f t="shared" si="135"/>
        <v>,DateMatch=DateTime.Parse("</v>
      </c>
      <c r="F504" s="3">
        <f>Matchs!C505</f>
        <v>34519</v>
      </c>
      <c r="G504" s="10" t="str">
        <f t="shared" si="136"/>
        <v>"),TimeMatch=TimeSpan.Parse("</v>
      </c>
      <c r="H504" s="9">
        <f>Matchs!D505</f>
        <v>0.14583333333333334</v>
      </c>
      <c r="I504" t="str">
        <f t="shared" si="137"/>
        <v>"),MatchYear=</v>
      </c>
      <c r="J504">
        <f>Matchs!E505</f>
        <v>1994</v>
      </c>
      <c r="K504" t="str">
        <f t="shared" si="138"/>
        <v>, SeasonId= "</v>
      </c>
      <c r="L504" t="str">
        <f>Matchs!F505</f>
        <v>FIFAWC1994</v>
      </c>
      <c r="M504" t="str">
        <f t="shared" si="139"/>
        <v>",Round= "</v>
      </c>
      <c r="N504" t="str">
        <f>Matchs!G505</f>
        <v>Final Round</v>
      </c>
      <c r="O504" s="6" t="str">
        <f t="shared" si="140"/>
        <v>",Stage= "</v>
      </c>
      <c r="P504" t="str">
        <f>Matchs!H505</f>
        <v>Knockouts</v>
      </c>
      <c r="Q504" s="6" t="str">
        <f t="shared" si="141"/>
        <v>",SubStage= "</v>
      </c>
      <c r="R504" t="str">
        <f>Matchs!I505</f>
        <v xml:space="preserve">Round of 16 </v>
      </c>
      <c r="S504" s="6" t="str">
        <f t="shared" si="142"/>
        <v>",HTeam= "</v>
      </c>
      <c r="T504" t="str">
        <f>Matchs!J505</f>
        <v>Romania</v>
      </c>
      <c r="U504" s="6" t="str">
        <f t="shared" si="143"/>
        <v>",HGoal=</v>
      </c>
      <c r="V504">
        <f>Matchs!K505</f>
        <v>3</v>
      </c>
      <c r="W504" s="6" t="str">
        <f t="shared" si="144"/>
        <v>,GGoal=</v>
      </c>
      <c r="X504">
        <f>Matchs!L505</f>
        <v>2</v>
      </c>
      <c r="Y504" s="6" t="str">
        <f t="shared" si="145"/>
        <v>,GTeam= "</v>
      </c>
      <c r="Z504" t="str">
        <f>Matchs!M505</f>
        <v>Argentina</v>
      </c>
      <c r="AA504" s="6" t="str">
        <f t="shared" si="146"/>
        <v>",WinNote="</v>
      </c>
      <c r="AB504" t="str">
        <f>IF(Matchs!N505="","",Matchs!N505)</f>
        <v/>
      </c>
      <c r="AC504" s="6" t="str">
        <f t="shared" si="147"/>
        <v xml:space="preserve">",Stadium=" </v>
      </c>
      <c r="AD504" s="11" t="str">
        <f>Matchs!O505</f>
        <v xml:space="preserve">Rose Bowl </v>
      </c>
      <c r="AE504" s="6" t="str">
        <f t="shared" si="148"/>
        <v>",Referee= "</v>
      </c>
      <c r="AF504" s="11" t="str">
        <f>Matchs!P505</f>
        <v xml:space="preserve">Pierluigi Pairetto </v>
      </c>
      <c r="AG504" s="6" t="str">
        <f t="shared" si="149"/>
        <v xml:space="preserve">",Visistors= </v>
      </c>
      <c r="AH504" s="11">
        <f>Matchs!Q505</f>
        <v>90469</v>
      </c>
      <c r="AI504" s="11" t="str">
        <f t="shared" si="150"/>
        <v>,Status= "</v>
      </c>
      <c r="AJ504" s="11" t="str">
        <f>Matchs!R505</f>
        <v>Finished</v>
      </c>
      <c r="AK504" t="str">
        <f t="shared" si="151"/>
        <v>" },</v>
      </c>
    </row>
    <row r="505" spans="1:37" x14ac:dyDescent="0.25">
      <c r="A505" t="str">
        <f t="shared" si="133"/>
        <v>new Match { MatchId= "</v>
      </c>
      <c r="B505" t="str">
        <f>Matchs!A506</f>
        <v>FIFAWC1994-41</v>
      </c>
      <c r="C505" t="str">
        <f t="shared" si="134"/>
        <v>",MatchNumer=</v>
      </c>
      <c r="D505">
        <f>Matchs!B506</f>
        <v>41</v>
      </c>
      <c r="E505" t="str">
        <f t="shared" si="135"/>
        <v>,DateMatch=DateTime.Parse("</v>
      </c>
      <c r="F505" s="3">
        <f>Matchs!C506</f>
        <v>34519</v>
      </c>
      <c r="G505" s="10" t="str">
        <f t="shared" si="136"/>
        <v>"),TimeMatch=TimeSpan.Parse("</v>
      </c>
      <c r="H505" s="9">
        <f>Matchs!D506</f>
        <v>0.97916666666666663</v>
      </c>
      <c r="I505" t="str">
        <f t="shared" si="137"/>
        <v>"),MatchYear=</v>
      </c>
      <c r="J505">
        <f>Matchs!E506</f>
        <v>1994</v>
      </c>
      <c r="K505" t="str">
        <f t="shared" si="138"/>
        <v>, SeasonId= "</v>
      </c>
      <c r="L505" t="str">
        <f>Matchs!F506</f>
        <v>FIFAWC1994</v>
      </c>
      <c r="M505" t="str">
        <f t="shared" si="139"/>
        <v>",Round= "</v>
      </c>
      <c r="N505" t="str">
        <f>Matchs!G506</f>
        <v>Final Round</v>
      </c>
      <c r="O505" s="6" t="str">
        <f t="shared" si="140"/>
        <v>",Stage= "</v>
      </c>
      <c r="P505" t="str">
        <f>Matchs!H506</f>
        <v>Knockouts</v>
      </c>
      <c r="Q505" s="6" t="str">
        <f t="shared" si="141"/>
        <v>",SubStage= "</v>
      </c>
      <c r="R505" t="str">
        <f>Matchs!I506</f>
        <v xml:space="preserve">Round of 16 </v>
      </c>
      <c r="S505" s="6" t="str">
        <f t="shared" si="142"/>
        <v>",HTeam= "</v>
      </c>
      <c r="T505" t="str">
        <f>Matchs!J506</f>
        <v>Netherlands</v>
      </c>
      <c r="U505" s="6" t="str">
        <f t="shared" si="143"/>
        <v>",HGoal=</v>
      </c>
      <c r="V505">
        <f>Matchs!K506</f>
        <v>2</v>
      </c>
      <c r="W505" s="6" t="str">
        <f t="shared" si="144"/>
        <v>,GGoal=</v>
      </c>
      <c r="X505">
        <f>Matchs!L506</f>
        <v>0</v>
      </c>
      <c r="Y505" s="6" t="str">
        <f t="shared" si="145"/>
        <v>,GTeam= "</v>
      </c>
      <c r="Z505" t="str">
        <f>Matchs!M506</f>
        <v>Republic of Ireland</v>
      </c>
      <c r="AA505" s="6" t="str">
        <f t="shared" si="146"/>
        <v>",WinNote="</v>
      </c>
      <c r="AB505" t="str">
        <f>IF(Matchs!N506="","",Matchs!N506)</f>
        <v/>
      </c>
      <c r="AC505" s="6" t="str">
        <f t="shared" si="147"/>
        <v xml:space="preserve">",Stadium=" </v>
      </c>
      <c r="AD505" s="11" t="str">
        <f>Matchs!O506</f>
        <v xml:space="preserve">Citrus Bowl </v>
      </c>
      <c r="AE505" s="6" t="str">
        <f t="shared" si="148"/>
        <v>",Referee= "</v>
      </c>
      <c r="AF505" s="11" t="str">
        <f>Matchs!P506</f>
        <v xml:space="preserve">Peter Mikkelsen </v>
      </c>
      <c r="AG505" s="6" t="str">
        <f t="shared" si="149"/>
        <v xml:space="preserve">",Visistors= </v>
      </c>
      <c r="AH505" s="11">
        <f>Matchs!Q506</f>
        <v>61355</v>
      </c>
      <c r="AI505" s="11" t="str">
        <f t="shared" si="150"/>
        <v>,Status= "</v>
      </c>
      <c r="AJ505" s="11" t="str">
        <f>Matchs!R506</f>
        <v>Finished</v>
      </c>
      <c r="AK505" t="str">
        <f t="shared" si="151"/>
        <v>" },</v>
      </c>
    </row>
    <row r="506" spans="1:37" x14ac:dyDescent="0.25">
      <c r="A506" t="str">
        <f t="shared" si="133"/>
        <v>new Match { MatchId= "</v>
      </c>
      <c r="B506" t="str">
        <f>Matchs!A507</f>
        <v>FIFAWC1994-42</v>
      </c>
      <c r="C506" t="str">
        <f t="shared" si="134"/>
        <v>",MatchNumer=</v>
      </c>
      <c r="D506">
        <f>Matchs!B507</f>
        <v>42</v>
      </c>
      <c r="E506" t="str">
        <f t="shared" si="135"/>
        <v>,DateMatch=DateTime.Parse("</v>
      </c>
      <c r="F506" s="3">
        <f>Matchs!C507</f>
        <v>34520</v>
      </c>
      <c r="G506" s="10" t="str">
        <f t="shared" si="136"/>
        <v>"),TimeMatch=TimeSpan.Parse("</v>
      </c>
      <c r="H506" s="9">
        <f>Matchs!D507</f>
        <v>0.10416666666666667</v>
      </c>
      <c r="I506" t="str">
        <f t="shared" si="137"/>
        <v>"),MatchYear=</v>
      </c>
      <c r="J506">
        <f>Matchs!E507</f>
        <v>1994</v>
      </c>
      <c r="K506" t="str">
        <f t="shared" si="138"/>
        <v>, SeasonId= "</v>
      </c>
      <c r="L506" t="str">
        <f>Matchs!F507</f>
        <v>FIFAWC1994</v>
      </c>
      <c r="M506" t="str">
        <f t="shared" si="139"/>
        <v>",Round= "</v>
      </c>
      <c r="N506" t="str">
        <f>Matchs!G507</f>
        <v>Final Round</v>
      </c>
      <c r="O506" s="6" t="str">
        <f t="shared" si="140"/>
        <v>",Stage= "</v>
      </c>
      <c r="P506" t="str">
        <f>Matchs!H507</f>
        <v>Knockouts</v>
      </c>
      <c r="Q506" s="6" t="str">
        <f t="shared" si="141"/>
        <v>",SubStage= "</v>
      </c>
      <c r="R506" t="str">
        <f>Matchs!I507</f>
        <v xml:space="preserve">Round of 16 </v>
      </c>
      <c r="S506" s="6" t="str">
        <f t="shared" si="142"/>
        <v>",HTeam= "</v>
      </c>
      <c r="T506" t="str">
        <f>Matchs!J507</f>
        <v>Brazil</v>
      </c>
      <c r="U506" s="6" t="str">
        <f t="shared" si="143"/>
        <v>",HGoal=</v>
      </c>
      <c r="V506">
        <f>Matchs!K507</f>
        <v>1</v>
      </c>
      <c r="W506" s="6" t="str">
        <f t="shared" si="144"/>
        <v>,GGoal=</v>
      </c>
      <c r="X506">
        <f>Matchs!L507</f>
        <v>0</v>
      </c>
      <c r="Y506" s="6" t="str">
        <f t="shared" si="145"/>
        <v>,GTeam= "</v>
      </c>
      <c r="Z506" t="str">
        <f>Matchs!M507</f>
        <v>USA</v>
      </c>
      <c r="AA506" s="6" t="str">
        <f t="shared" si="146"/>
        <v>",WinNote="</v>
      </c>
      <c r="AB506" t="str">
        <f>IF(Matchs!N507="","",Matchs!N507)</f>
        <v/>
      </c>
      <c r="AC506" s="6" t="str">
        <f t="shared" si="147"/>
        <v xml:space="preserve">",Stadium=" </v>
      </c>
      <c r="AD506" s="11" t="str">
        <f>Matchs!O507</f>
        <v xml:space="preserve">Stanford Stadium </v>
      </c>
      <c r="AE506" s="6" t="str">
        <f t="shared" si="148"/>
        <v>",Referee= "</v>
      </c>
      <c r="AF506" s="11" t="str">
        <f>Matchs!P507</f>
        <v xml:space="preserve">Joel Quiniou </v>
      </c>
      <c r="AG506" s="6" t="str">
        <f t="shared" si="149"/>
        <v xml:space="preserve">",Visistors= </v>
      </c>
      <c r="AH506" s="11">
        <f>Matchs!Q507</f>
        <v>84147</v>
      </c>
      <c r="AI506" s="11" t="str">
        <f t="shared" si="150"/>
        <v>,Status= "</v>
      </c>
      <c r="AJ506" s="11" t="str">
        <f>Matchs!R507</f>
        <v>Finished</v>
      </c>
      <c r="AK506" t="str">
        <f t="shared" si="151"/>
        <v>" },</v>
      </c>
    </row>
    <row r="507" spans="1:37" x14ac:dyDescent="0.25">
      <c r="A507" t="str">
        <f t="shared" si="133"/>
        <v>new Match { MatchId= "</v>
      </c>
      <c r="B507" t="str">
        <f>Matchs!A508</f>
        <v>FIFAWC1994-43</v>
      </c>
      <c r="C507" t="str">
        <f t="shared" si="134"/>
        <v>",MatchNumer=</v>
      </c>
      <c r="D507">
        <f>Matchs!B508</f>
        <v>43</v>
      </c>
      <c r="E507" t="str">
        <f t="shared" si="135"/>
        <v>,DateMatch=DateTime.Parse("</v>
      </c>
      <c r="F507" s="3">
        <f>Matchs!C508</f>
        <v>34521</v>
      </c>
      <c r="G507" s="10" t="str">
        <f t="shared" si="136"/>
        <v>"),TimeMatch=TimeSpan.Parse("</v>
      </c>
      <c r="H507" s="9">
        <f>Matchs!D508</f>
        <v>1</v>
      </c>
      <c r="I507" t="str">
        <f t="shared" si="137"/>
        <v>"),MatchYear=</v>
      </c>
      <c r="J507">
        <f>Matchs!E508</f>
        <v>1994</v>
      </c>
      <c r="K507" t="str">
        <f t="shared" si="138"/>
        <v>, SeasonId= "</v>
      </c>
      <c r="L507" t="str">
        <f>Matchs!F508</f>
        <v>FIFAWC1994</v>
      </c>
      <c r="M507" t="str">
        <f t="shared" si="139"/>
        <v>",Round= "</v>
      </c>
      <c r="N507" t="str">
        <f>Matchs!G508</f>
        <v>Final Round</v>
      </c>
      <c r="O507" s="6" t="str">
        <f t="shared" si="140"/>
        <v>",Stage= "</v>
      </c>
      <c r="P507" t="str">
        <f>Matchs!H508</f>
        <v>Knockouts</v>
      </c>
      <c r="Q507" s="6" t="str">
        <f t="shared" si="141"/>
        <v>",SubStage= "</v>
      </c>
      <c r="R507" t="str">
        <f>Matchs!I508</f>
        <v xml:space="preserve">Round of 16 </v>
      </c>
      <c r="S507" s="6" t="str">
        <f t="shared" si="142"/>
        <v>",HTeam= "</v>
      </c>
      <c r="T507" t="str">
        <f>Matchs!J508</f>
        <v>Nigeria</v>
      </c>
      <c r="U507" s="6" t="str">
        <f t="shared" si="143"/>
        <v>",HGoal=</v>
      </c>
      <c r="V507">
        <f>Matchs!K508</f>
        <v>1</v>
      </c>
      <c r="W507" s="6" t="str">
        <f t="shared" si="144"/>
        <v>,GGoal=</v>
      </c>
      <c r="X507">
        <f>Matchs!L508</f>
        <v>2</v>
      </c>
      <c r="Y507" s="6" t="str">
        <f t="shared" si="145"/>
        <v>,GTeam= "</v>
      </c>
      <c r="Z507" t="str">
        <f>Matchs!M508</f>
        <v>Italy</v>
      </c>
      <c r="AA507" s="6" t="str">
        <f t="shared" si="146"/>
        <v>",WinNote="</v>
      </c>
      <c r="AB507" t="str">
        <f>IF(Matchs!N508="","",Matchs!N508)</f>
        <v/>
      </c>
      <c r="AC507" s="6" t="str">
        <f t="shared" si="147"/>
        <v xml:space="preserve">",Stadium=" </v>
      </c>
      <c r="AD507" s="11" t="str">
        <f>Matchs!O508</f>
        <v xml:space="preserve">Foxboro Stadium </v>
      </c>
      <c r="AE507" s="6" t="str">
        <f t="shared" si="148"/>
        <v>",Referee= "</v>
      </c>
      <c r="AF507" s="11" t="str">
        <f>Matchs!P508</f>
        <v xml:space="preserve">Arturo Brizio Carter </v>
      </c>
      <c r="AG507" s="6" t="str">
        <f t="shared" si="149"/>
        <v xml:space="preserve">",Visistors= </v>
      </c>
      <c r="AH507" s="11">
        <f>Matchs!Q508</f>
        <v>54367</v>
      </c>
      <c r="AI507" s="11" t="str">
        <f t="shared" si="150"/>
        <v>,Status= "</v>
      </c>
      <c r="AJ507" s="11" t="str">
        <f>Matchs!R508</f>
        <v>Finished</v>
      </c>
      <c r="AK507" t="str">
        <f t="shared" si="151"/>
        <v>" },</v>
      </c>
    </row>
    <row r="508" spans="1:37" x14ac:dyDescent="0.25">
      <c r="A508" t="str">
        <f t="shared" si="133"/>
        <v>new Match { MatchId= "</v>
      </c>
      <c r="B508" t="str">
        <f>Matchs!A509</f>
        <v>FIFAWC1994-44</v>
      </c>
      <c r="C508" t="str">
        <f t="shared" si="134"/>
        <v>",MatchNumer=</v>
      </c>
      <c r="D508">
        <f>Matchs!B509</f>
        <v>44</v>
      </c>
      <c r="E508" t="str">
        <f t="shared" si="135"/>
        <v>,DateMatch=DateTime.Parse("</v>
      </c>
      <c r="F508" s="3">
        <f>Matchs!C509</f>
        <v>34521</v>
      </c>
      <c r="G508" s="10" t="str">
        <f t="shared" si="136"/>
        <v>"),TimeMatch=TimeSpan.Parse("</v>
      </c>
      <c r="H508" s="9">
        <f>Matchs!D509</f>
        <v>0.14583333333333334</v>
      </c>
      <c r="I508" t="str">
        <f t="shared" si="137"/>
        <v>"),MatchYear=</v>
      </c>
      <c r="J508">
        <f>Matchs!E509</f>
        <v>1994</v>
      </c>
      <c r="K508" t="str">
        <f t="shared" si="138"/>
        <v>, SeasonId= "</v>
      </c>
      <c r="L508" t="str">
        <f>Matchs!F509</f>
        <v>FIFAWC1994</v>
      </c>
      <c r="M508" t="str">
        <f t="shared" si="139"/>
        <v>",Round= "</v>
      </c>
      <c r="N508" t="str">
        <f>Matchs!G509</f>
        <v>Final Round</v>
      </c>
      <c r="O508" s="6" t="str">
        <f t="shared" si="140"/>
        <v>",Stage= "</v>
      </c>
      <c r="P508" t="str">
        <f>Matchs!H509</f>
        <v>Knockouts</v>
      </c>
      <c r="Q508" s="6" t="str">
        <f t="shared" si="141"/>
        <v>",SubStage= "</v>
      </c>
      <c r="R508" t="str">
        <f>Matchs!I509</f>
        <v xml:space="preserve">Round of 16 </v>
      </c>
      <c r="S508" s="6" t="str">
        <f t="shared" si="142"/>
        <v>",HTeam= "</v>
      </c>
      <c r="T508" t="str">
        <f>Matchs!J509</f>
        <v>Mexico</v>
      </c>
      <c r="U508" s="6" t="str">
        <f t="shared" si="143"/>
        <v>",HGoal=</v>
      </c>
      <c r="V508">
        <f>Matchs!K509</f>
        <v>1</v>
      </c>
      <c r="W508" s="6" t="str">
        <f t="shared" si="144"/>
        <v>,GGoal=</v>
      </c>
      <c r="X508">
        <f>Matchs!L509</f>
        <v>1</v>
      </c>
      <c r="Y508" s="6" t="str">
        <f t="shared" si="145"/>
        <v>,GTeam= "</v>
      </c>
      <c r="Z508" t="str">
        <f>Matchs!M509</f>
        <v>Bulgaria</v>
      </c>
      <c r="AA508" s="6" t="str">
        <f t="shared" si="146"/>
        <v>",WinNote="</v>
      </c>
      <c r="AB508" t="str">
        <f>IF(Matchs!N509="","",Matchs!N509)</f>
        <v>Bulgaria win 1 - 3 on penalties</v>
      </c>
      <c r="AC508" s="6" t="str">
        <f t="shared" si="147"/>
        <v xml:space="preserve">",Stadium=" </v>
      </c>
      <c r="AD508" s="11" t="str">
        <f>Matchs!O509</f>
        <v xml:space="preserve">Giants Stadium </v>
      </c>
      <c r="AE508" s="6" t="str">
        <f t="shared" si="148"/>
        <v>",Referee= "</v>
      </c>
      <c r="AF508" s="11" t="str">
        <f>Matchs!P509</f>
        <v xml:space="preserve">Jamal Al-Sharif </v>
      </c>
      <c r="AG508" s="6" t="str">
        <f t="shared" si="149"/>
        <v xml:space="preserve">",Visistors= </v>
      </c>
      <c r="AH508" s="11">
        <f>Matchs!Q509</f>
        <v>71030</v>
      </c>
      <c r="AI508" s="11" t="str">
        <f t="shared" si="150"/>
        <v>,Status= "</v>
      </c>
      <c r="AJ508" s="11" t="str">
        <f>Matchs!R509</f>
        <v>Finished</v>
      </c>
      <c r="AK508" t="str">
        <f t="shared" si="151"/>
        <v>" },</v>
      </c>
    </row>
    <row r="509" spans="1:37" x14ac:dyDescent="0.25">
      <c r="A509" t="str">
        <f t="shared" si="133"/>
        <v>new Match { MatchId= "</v>
      </c>
      <c r="B509" t="str">
        <f>Matchs!A510</f>
        <v>FIFAWC1994-45</v>
      </c>
      <c r="C509" t="str">
        <f t="shared" si="134"/>
        <v>",MatchNumer=</v>
      </c>
      <c r="D509">
        <f>Matchs!B510</f>
        <v>45</v>
      </c>
      <c r="E509" t="str">
        <f t="shared" si="135"/>
        <v>,DateMatch=DateTime.Parse("</v>
      </c>
      <c r="F509" s="3">
        <f>Matchs!C510</f>
        <v>34524</v>
      </c>
      <c r="G509" s="10" t="str">
        <f t="shared" si="136"/>
        <v>"),TimeMatch=TimeSpan.Parse("</v>
      </c>
      <c r="H509" s="9">
        <f>Matchs!D510</f>
        <v>0.97916666666666663</v>
      </c>
      <c r="I509" t="str">
        <f t="shared" si="137"/>
        <v>"),MatchYear=</v>
      </c>
      <c r="J509">
        <f>Matchs!E510</f>
        <v>1994</v>
      </c>
      <c r="K509" t="str">
        <f t="shared" si="138"/>
        <v>, SeasonId= "</v>
      </c>
      <c r="L509" t="str">
        <f>Matchs!F510</f>
        <v>FIFAWC1994</v>
      </c>
      <c r="M509" t="str">
        <f t="shared" si="139"/>
        <v>",Round= "</v>
      </c>
      <c r="N509" t="str">
        <f>Matchs!G510</f>
        <v>Final Round</v>
      </c>
      <c r="O509" s="6" t="str">
        <f t="shared" si="140"/>
        <v>",Stage= "</v>
      </c>
      <c r="P509" t="str">
        <f>Matchs!H510</f>
        <v>Knockouts</v>
      </c>
      <c r="Q509" s="6" t="str">
        <f t="shared" si="141"/>
        <v>",SubStage= "</v>
      </c>
      <c r="R509" t="str">
        <f>Matchs!I510</f>
        <v>Quaterfinal</v>
      </c>
      <c r="S509" s="6" t="str">
        <f t="shared" si="142"/>
        <v>",HTeam= "</v>
      </c>
      <c r="T509" t="str">
        <f>Matchs!J510</f>
        <v>Italy</v>
      </c>
      <c r="U509" s="6" t="str">
        <f t="shared" si="143"/>
        <v>",HGoal=</v>
      </c>
      <c r="V509">
        <f>Matchs!K510</f>
        <v>2</v>
      </c>
      <c r="W509" s="6" t="str">
        <f t="shared" si="144"/>
        <v>,GGoal=</v>
      </c>
      <c r="X509">
        <f>Matchs!L510</f>
        <v>1</v>
      </c>
      <c r="Y509" s="6" t="str">
        <f t="shared" si="145"/>
        <v>,GTeam= "</v>
      </c>
      <c r="Z509" t="str">
        <f>Matchs!M510</f>
        <v>Spain</v>
      </c>
      <c r="AA509" s="6" t="str">
        <f t="shared" si="146"/>
        <v>",WinNote="</v>
      </c>
      <c r="AB509" t="str">
        <f>IF(Matchs!N510="","",Matchs!N510)</f>
        <v/>
      </c>
      <c r="AC509" s="6" t="str">
        <f t="shared" si="147"/>
        <v xml:space="preserve">",Stadium=" </v>
      </c>
      <c r="AD509" s="11" t="str">
        <f>Matchs!O510</f>
        <v xml:space="preserve">Foxboro Stadium </v>
      </c>
      <c r="AE509" s="6" t="str">
        <f t="shared" si="148"/>
        <v>",Referee= "</v>
      </c>
      <c r="AF509" s="11" t="str">
        <f>Matchs!P510</f>
        <v xml:space="preserve">Sandor Puhl </v>
      </c>
      <c r="AG509" s="6" t="str">
        <f t="shared" si="149"/>
        <v xml:space="preserve">",Visistors= </v>
      </c>
      <c r="AH509" s="11">
        <f>Matchs!Q510</f>
        <v>53400</v>
      </c>
      <c r="AI509" s="11" t="str">
        <f t="shared" si="150"/>
        <v>,Status= "</v>
      </c>
      <c r="AJ509" s="11" t="str">
        <f>Matchs!R510</f>
        <v>Finished</v>
      </c>
      <c r="AK509" t="str">
        <f t="shared" si="151"/>
        <v>" },</v>
      </c>
    </row>
    <row r="510" spans="1:37" x14ac:dyDescent="0.25">
      <c r="A510" t="str">
        <f t="shared" si="133"/>
        <v>new Match { MatchId= "</v>
      </c>
      <c r="B510" t="str">
        <f>Matchs!A511</f>
        <v>FIFAWC1994-46</v>
      </c>
      <c r="C510" t="str">
        <f t="shared" si="134"/>
        <v>",MatchNumer=</v>
      </c>
      <c r="D510">
        <f>Matchs!B511</f>
        <v>46</v>
      </c>
      <c r="E510" t="str">
        <f t="shared" si="135"/>
        <v>,DateMatch=DateTime.Parse("</v>
      </c>
      <c r="F510" s="3">
        <f>Matchs!C511</f>
        <v>34525</v>
      </c>
      <c r="G510" s="10" t="str">
        <f t="shared" si="136"/>
        <v>"),TimeMatch=TimeSpan.Parse("</v>
      </c>
      <c r="H510" s="9">
        <f>Matchs!D511</f>
        <v>0.10416666666666667</v>
      </c>
      <c r="I510" t="str">
        <f t="shared" si="137"/>
        <v>"),MatchYear=</v>
      </c>
      <c r="J510">
        <f>Matchs!E511</f>
        <v>1994</v>
      </c>
      <c r="K510" t="str">
        <f t="shared" si="138"/>
        <v>, SeasonId= "</v>
      </c>
      <c r="L510" t="str">
        <f>Matchs!F511</f>
        <v>FIFAWC1994</v>
      </c>
      <c r="M510" t="str">
        <f t="shared" si="139"/>
        <v>",Round= "</v>
      </c>
      <c r="N510" t="str">
        <f>Matchs!G511</f>
        <v>Final Round</v>
      </c>
      <c r="O510" s="6" t="str">
        <f t="shared" si="140"/>
        <v>",Stage= "</v>
      </c>
      <c r="P510" t="str">
        <f>Matchs!H511</f>
        <v>Knockouts</v>
      </c>
      <c r="Q510" s="6" t="str">
        <f t="shared" si="141"/>
        <v>",SubStage= "</v>
      </c>
      <c r="R510" t="str">
        <f>Matchs!I511</f>
        <v>Quaterfinal</v>
      </c>
      <c r="S510" s="6" t="str">
        <f t="shared" si="142"/>
        <v>",HTeam= "</v>
      </c>
      <c r="T510" t="str">
        <f>Matchs!J511</f>
        <v>Netherlands</v>
      </c>
      <c r="U510" s="6" t="str">
        <f t="shared" si="143"/>
        <v>",HGoal=</v>
      </c>
      <c r="V510">
        <f>Matchs!K511</f>
        <v>2</v>
      </c>
      <c r="W510" s="6" t="str">
        <f t="shared" si="144"/>
        <v>,GGoal=</v>
      </c>
      <c r="X510">
        <f>Matchs!L511</f>
        <v>3</v>
      </c>
      <c r="Y510" s="6" t="str">
        <f t="shared" si="145"/>
        <v>,GTeam= "</v>
      </c>
      <c r="Z510" t="str">
        <f>Matchs!M511</f>
        <v>Brazil</v>
      </c>
      <c r="AA510" s="6" t="str">
        <f t="shared" si="146"/>
        <v>",WinNote="</v>
      </c>
      <c r="AB510" t="str">
        <f>IF(Matchs!N511="","",Matchs!N511)</f>
        <v/>
      </c>
      <c r="AC510" s="6" t="str">
        <f t="shared" si="147"/>
        <v xml:space="preserve">",Stadium=" </v>
      </c>
      <c r="AD510" s="11" t="str">
        <f>Matchs!O511</f>
        <v xml:space="preserve">Cotton Bowl </v>
      </c>
      <c r="AE510" s="6" t="str">
        <f t="shared" si="148"/>
        <v>",Referee= "</v>
      </c>
      <c r="AF510" s="11" t="str">
        <f>Matchs!P511</f>
        <v xml:space="preserve">Rodrigo Badilla </v>
      </c>
      <c r="AG510" s="6" t="str">
        <f t="shared" si="149"/>
        <v xml:space="preserve">",Visistors= </v>
      </c>
      <c r="AH510" s="11">
        <f>Matchs!Q511</f>
        <v>63500</v>
      </c>
      <c r="AI510" s="11" t="str">
        <f t="shared" si="150"/>
        <v>,Status= "</v>
      </c>
      <c r="AJ510" s="11" t="str">
        <f>Matchs!R511</f>
        <v>Finished</v>
      </c>
      <c r="AK510" t="str">
        <f t="shared" si="151"/>
        <v>" },</v>
      </c>
    </row>
    <row r="511" spans="1:37" x14ac:dyDescent="0.25">
      <c r="A511" t="str">
        <f t="shared" si="133"/>
        <v>new Match { MatchId= "</v>
      </c>
      <c r="B511" t="str">
        <f>Matchs!A512</f>
        <v>FIFAWC1994-47</v>
      </c>
      <c r="C511" t="str">
        <f t="shared" si="134"/>
        <v>",MatchNumer=</v>
      </c>
      <c r="D511">
        <f>Matchs!B512</f>
        <v>47</v>
      </c>
      <c r="E511" t="str">
        <f t="shared" si="135"/>
        <v>,DateMatch=DateTime.Parse("</v>
      </c>
      <c r="F511" s="3">
        <f>Matchs!C512</f>
        <v>34525</v>
      </c>
      <c r="G511" s="10" t="str">
        <f t="shared" si="136"/>
        <v>"),TimeMatch=TimeSpan.Parse("</v>
      </c>
      <c r="H511" s="9">
        <f>Matchs!D512</f>
        <v>0.97916666666666663</v>
      </c>
      <c r="I511" t="str">
        <f t="shared" si="137"/>
        <v>"),MatchYear=</v>
      </c>
      <c r="J511">
        <f>Matchs!E512</f>
        <v>1994</v>
      </c>
      <c r="K511" t="str">
        <f t="shared" si="138"/>
        <v>, SeasonId= "</v>
      </c>
      <c r="L511" t="str">
        <f>Matchs!F512</f>
        <v>FIFAWC1994</v>
      </c>
      <c r="M511" t="str">
        <f t="shared" si="139"/>
        <v>",Round= "</v>
      </c>
      <c r="N511" t="str">
        <f>Matchs!G512</f>
        <v>Final Round</v>
      </c>
      <c r="O511" s="6" t="str">
        <f t="shared" si="140"/>
        <v>",Stage= "</v>
      </c>
      <c r="P511" t="str">
        <f>Matchs!H512</f>
        <v>Knockouts</v>
      </c>
      <c r="Q511" s="6" t="str">
        <f t="shared" si="141"/>
        <v>",SubStage= "</v>
      </c>
      <c r="R511" t="str">
        <f>Matchs!I512</f>
        <v>Quaterfinal</v>
      </c>
      <c r="S511" s="6" t="str">
        <f t="shared" si="142"/>
        <v>",HTeam= "</v>
      </c>
      <c r="T511" t="str">
        <f>Matchs!J512</f>
        <v>Bulgaria</v>
      </c>
      <c r="U511" s="6" t="str">
        <f t="shared" si="143"/>
        <v>",HGoal=</v>
      </c>
      <c r="V511">
        <f>Matchs!K512</f>
        <v>2</v>
      </c>
      <c r="W511" s="6" t="str">
        <f t="shared" si="144"/>
        <v>,GGoal=</v>
      </c>
      <c r="X511">
        <f>Matchs!L512</f>
        <v>1</v>
      </c>
      <c r="Y511" s="6" t="str">
        <f t="shared" si="145"/>
        <v>,GTeam= "</v>
      </c>
      <c r="Z511" t="str">
        <f>Matchs!M512</f>
        <v>Germany</v>
      </c>
      <c r="AA511" s="6" t="str">
        <f t="shared" si="146"/>
        <v>",WinNote="</v>
      </c>
      <c r="AB511" t="str">
        <f>IF(Matchs!N512="","",Matchs!N512)</f>
        <v/>
      </c>
      <c r="AC511" s="6" t="str">
        <f t="shared" si="147"/>
        <v xml:space="preserve">",Stadium=" </v>
      </c>
      <c r="AD511" s="11" t="str">
        <f>Matchs!O512</f>
        <v xml:space="preserve">Giants Stadium </v>
      </c>
      <c r="AE511" s="6" t="str">
        <f t="shared" si="148"/>
        <v>",Referee= "</v>
      </c>
      <c r="AF511" s="11" t="str">
        <f>Matchs!P512</f>
        <v xml:space="preserve">Jose Torres Cadena </v>
      </c>
      <c r="AG511" s="6" t="str">
        <f t="shared" si="149"/>
        <v xml:space="preserve">",Visistors= </v>
      </c>
      <c r="AH511" s="11">
        <f>Matchs!Q512</f>
        <v>72000</v>
      </c>
      <c r="AI511" s="11" t="str">
        <f t="shared" si="150"/>
        <v>,Status= "</v>
      </c>
      <c r="AJ511" s="11" t="str">
        <f>Matchs!R512</f>
        <v>Finished</v>
      </c>
      <c r="AK511" t="str">
        <f t="shared" si="151"/>
        <v>" },</v>
      </c>
    </row>
    <row r="512" spans="1:37" x14ac:dyDescent="0.25">
      <c r="A512" t="str">
        <f t="shared" si="133"/>
        <v>new Match { MatchId= "</v>
      </c>
      <c r="B512" t="str">
        <f>Matchs!A513</f>
        <v>FIFAWC1994-48</v>
      </c>
      <c r="C512" t="str">
        <f t="shared" si="134"/>
        <v>",MatchNumer=</v>
      </c>
      <c r="D512">
        <f>Matchs!B513</f>
        <v>48</v>
      </c>
      <c r="E512" t="str">
        <f t="shared" si="135"/>
        <v>,DateMatch=DateTime.Parse("</v>
      </c>
      <c r="F512" s="3">
        <f>Matchs!C513</f>
        <v>34526</v>
      </c>
      <c r="G512" s="10" t="str">
        <f t="shared" si="136"/>
        <v>"),TimeMatch=TimeSpan.Parse("</v>
      </c>
      <c r="H512" s="9">
        <f>Matchs!D513</f>
        <v>0.10416666666666667</v>
      </c>
      <c r="I512" t="str">
        <f t="shared" si="137"/>
        <v>"),MatchYear=</v>
      </c>
      <c r="J512">
        <f>Matchs!E513</f>
        <v>1994</v>
      </c>
      <c r="K512" t="str">
        <f t="shared" si="138"/>
        <v>, SeasonId= "</v>
      </c>
      <c r="L512" t="str">
        <f>Matchs!F513</f>
        <v>FIFAWC1994</v>
      </c>
      <c r="M512" t="str">
        <f t="shared" si="139"/>
        <v>",Round= "</v>
      </c>
      <c r="N512" t="str">
        <f>Matchs!G513</f>
        <v>Final Round</v>
      </c>
      <c r="O512" s="6" t="str">
        <f t="shared" si="140"/>
        <v>",Stage= "</v>
      </c>
      <c r="P512" t="str">
        <f>Matchs!H513</f>
        <v>Knockouts</v>
      </c>
      <c r="Q512" s="6" t="str">
        <f t="shared" si="141"/>
        <v>",SubStage= "</v>
      </c>
      <c r="R512" t="str">
        <f>Matchs!I513</f>
        <v>Quaterfinal</v>
      </c>
      <c r="S512" s="6" t="str">
        <f t="shared" si="142"/>
        <v>",HTeam= "</v>
      </c>
      <c r="T512" t="str">
        <f>Matchs!J513</f>
        <v>Romania</v>
      </c>
      <c r="U512" s="6" t="str">
        <f t="shared" si="143"/>
        <v>",HGoal=</v>
      </c>
      <c r="V512">
        <f>Matchs!K513</f>
        <v>2</v>
      </c>
      <c r="W512" s="6" t="str">
        <f t="shared" si="144"/>
        <v>,GGoal=</v>
      </c>
      <c r="X512">
        <f>Matchs!L513</f>
        <v>2</v>
      </c>
      <c r="Y512" s="6" t="str">
        <f t="shared" si="145"/>
        <v>,GTeam= "</v>
      </c>
      <c r="Z512" t="str">
        <f>Matchs!M513</f>
        <v>Sweden</v>
      </c>
      <c r="AA512" s="6" t="str">
        <f t="shared" si="146"/>
        <v>",WinNote="</v>
      </c>
      <c r="AB512" t="str">
        <f>IF(Matchs!N513="","",Matchs!N513)</f>
        <v>Sweden win 4 - 5 on penalties</v>
      </c>
      <c r="AC512" s="6" t="str">
        <f t="shared" si="147"/>
        <v xml:space="preserve">",Stadium=" </v>
      </c>
      <c r="AD512" s="11" t="str">
        <f>Matchs!O513</f>
        <v xml:space="preserve">Stanford Stadium </v>
      </c>
      <c r="AE512" s="6" t="str">
        <f t="shared" si="148"/>
        <v>",Referee= "</v>
      </c>
      <c r="AF512" s="11" t="str">
        <f>Matchs!P513</f>
        <v xml:space="preserve">Philip Don </v>
      </c>
      <c r="AG512" s="6" t="str">
        <f t="shared" si="149"/>
        <v xml:space="preserve">",Visistors= </v>
      </c>
      <c r="AH512" s="11">
        <f>Matchs!Q513</f>
        <v>83500</v>
      </c>
      <c r="AI512" s="11" t="str">
        <f t="shared" si="150"/>
        <v>,Status= "</v>
      </c>
      <c r="AJ512" s="11" t="str">
        <f>Matchs!R513</f>
        <v>Finished</v>
      </c>
      <c r="AK512" t="str">
        <f t="shared" si="151"/>
        <v>" },</v>
      </c>
    </row>
    <row r="513" spans="1:37" x14ac:dyDescent="0.25">
      <c r="A513" t="str">
        <f t="shared" si="133"/>
        <v>new Match { MatchId= "</v>
      </c>
      <c r="B513" t="str">
        <f>Matchs!A514</f>
        <v>FIFAWC1994-49</v>
      </c>
      <c r="C513" t="str">
        <f t="shared" si="134"/>
        <v>",MatchNumer=</v>
      </c>
      <c r="D513">
        <f>Matchs!B514</f>
        <v>49</v>
      </c>
      <c r="E513" t="str">
        <f t="shared" si="135"/>
        <v>,DateMatch=DateTime.Parse("</v>
      </c>
      <c r="F513" s="3">
        <f>Matchs!C514</f>
        <v>34529</v>
      </c>
      <c r="G513" s="10" t="str">
        <f t="shared" si="136"/>
        <v>"),TimeMatch=TimeSpan.Parse("</v>
      </c>
      <c r="H513" s="9">
        <f>Matchs!D514</f>
        <v>0.14583333333333334</v>
      </c>
      <c r="I513" t="str">
        <f t="shared" si="137"/>
        <v>"),MatchYear=</v>
      </c>
      <c r="J513">
        <f>Matchs!E514</f>
        <v>1994</v>
      </c>
      <c r="K513" t="str">
        <f t="shared" si="138"/>
        <v>, SeasonId= "</v>
      </c>
      <c r="L513" t="str">
        <f>Matchs!F514</f>
        <v>FIFAWC1994</v>
      </c>
      <c r="M513" t="str">
        <f t="shared" si="139"/>
        <v>",Round= "</v>
      </c>
      <c r="N513" t="str">
        <f>Matchs!G514</f>
        <v>Final Round</v>
      </c>
      <c r="O513" s="6" t="str">
        <f t="shared" si="140"/>
        <v>",Stage= "</v>
      </c>
      <c r="P513" t="str">
        <f>Matchs!H514</f>
        <v>Knockouts</v>
      </c>
      <c r="Q513" s="6" t="str">
        <f t="shared" si="141"/>
        <v>",SubStage= "</v>
      </c>
      <c r="R513" t="str">
        <f>Matchs!I514</f>
        <v>Semifinal</v>
      </c>
      <c r="S513" s="6" t="str">
        <f t="shared" si="142"/>
        <v>",HTeam= "</v>
      </c>
      <c r="T513" t="str">
        <f>Matchs!J514</f>
        <v>Italy</v>
      </c>
      <c r="U513" s="6" t="str">
        <f t="shared" si="143"/>
        <v>",HGoal=</v>
      </c>
      <c r="V513">
        <f>Matchs!K514</f>
        <v>2</v>
      </c>
      <c r="W513" s="6" t="str">
        <f t="shared" si="144"/>
        <v>,GGoal=</v>
      </c>
      <c r="X513">
        <f>Matchs!L514</f>
        <v>1</v>
      </c>
      <c r="Y513" s="6" t="str">
        <f t="shared" si="145"/>
        <v>,GTeam= "</v>
      </c>
      <c r="Z513" t="str">
        <f>Matchs!M514</f>
        <v>Bulgaria</v>
      </c>
      <c r="AA513" s="6" t="str">
        <f t="shared" si="146"/>
        <v>",WinNote="</v>
      </c>
      <c r="AB513" t="str">
        <f>IF(Matchs!N514="","",Matchs!N514)</f>
        <v/>
      </c>
      <c r="AC513" s="6" t="str">
        <f t="shared" si="147"/>
        <v xml:space="preserve">",Stadium=" </v>
      </c>
      <c r="AD513" s="11" t="str">
        <f>Matchs!O514</f>
        <v xml:space="preserve">Giants Stadium </v>
      </c>
      <c r="AE513" s="6" t="str">
        <f t="shared" si="148"/>
        <v>",Referee= "</v>
      </c>
      <c r="AF513" s="11" t="str">
        <f>Matchs!P514</f>
        <v xml:space="preserve">Joel Quiniou </v>
      </c>
      <c r="AG513" s="6" t="str">
        <f t="shared" si="149"/>
        <v xml:space="preserve">",Visistors= </v>
      </c>
      <c r="AH513" s="11">
        <f>Matchs!Q514</f>
        <v>74110</v>
      </c>
      <c r="AI513" s="11" t="str">
        <f t="shared" si="150"/>
        <v>,Status= "</v>
      </c>
      <c r="AJ513" s="11" t="str">
        <f>Matchs!R514</f>
        <v>Finished</v>
      </c>
      <c r="AK513" t="str">
        <f t="shared" si="151"/>
        <v>" },</v>
      </c>
    </row>
    <row r="514" spans="1:37" x14ac:dyDescent="0.25">
      <c r="A514" t="str">
        <f t="shared" si="133"/>
        <v>new Match { MatchId= "</v>
      </c>
      <c r="B514" t="str">
        <f>Matchs!A515</f>
        <v>FIFAWC1994-50</v>
      </c>
      <c r="C514" t="str">
        <f t="shared" si="134"/>
        <v>",MatchNumer=</v>
      </c>
      <c r="D514">
        <f>Matchs!B515</f>
        <v>50</v>
      </c>
      <c r="E514" t="str">
        <f t="shared" si="135"/>
        <v>,DateMatch=DateTime.Parse("</v>
      </c>
      <c r="F514" s="3">
        <f>Matchs!C515</f>
        <v>34529</v>
      </c>
      <c r="G514" s="10" t="str">
        <f t="shared" si="136"/>
        <v>"),TimeMatch=TimeSpan.Parse("</v>
      </c>
      <c r="H514" s="9">
        <f>Matchs!D515</f>
        <v>0.27083333333333331</v>
      </c>
      <c r="I514" t="str">
        <f t="shared" si="137"/>
        <v>"),MatchYear=</v>
      </c>
      <c r="J514">
        <f>Matchs!E515</f>
        <v>1994</v>
      </c>
      <c r="K514" t="str">
        <f t="shared" si="138"/>
        <v>, SeasonId= "</v>
      </c>
      <c r="L514" t="str">
        <f>Matchs!F515</f>
        <v>FIFAWC1994</v>
      </c>
      <c r="M514" t="str">
        <f t="shared" si="139"/>
        <v>",Round= "</v>
      </c>
      <c r="N514" t="str">
        <f>Matchs!G515</f>
        <v>Final Round</v>
      </c>
      <c r="O514" s="6" t="str">
        <f t="shared" si="140"/>
        <v>",Stage= "</v>
      </c>
      <c r="P514" t="str">
        <f>Matchs!H515</f>
        <v>Knockouts</v>
      </c>
      <c r="Q514" s="6" t="str">
        <f t="shared" si="141"/>
        <v>",SubStage= "</v>
      </c>
      <c r="R514" t="str">
        <f>Matchs!I515</f>
        <v>Semifinal</v>
      </c>
      <c r="S514" s="6" t="str">
        <f t="shared" si="142"/>
        <v>",HTeam= "</v>
      </c>
      <c r="T514" t="str">
        <f>Matchs!J515</f>
        <v>Sweden</v>
      </c>
      <c r="U514" s="6" t="str">
        <f t="shared" si="143"/>
        <v>",HGoal=</v>
      </c>
      <c r="V514">
        <f>Matchs!K515</f>
        <v>0</v>
      </c>
      <c r="W514" s="6" t="str">
        <f t="shared" si="144"/>
        <v>,GGoal=</v>
      </c>
      <c r="X514">
        <f>Matchs!L515</f>
        <v>1</v>
      </c>
      <c r="Y514" s="6" t="str">
        <f t="shared" si="145"/>
        <v>,GTeam= "</v>
      </c>
      <c r="Z514" t="str">
        <f>Matchs!M515</f>
        <v>Brazil</v>
      </c>
      <c r="AA514" s="6" t="str">
        <f t="shared" si="146"/>
        <v>",WinNote="</v>
      </c>
      <c r="AB514" t="str">
        <f>IF(Matchs!N515="","",Matchs!N515)</f>
        <v/>
      </c>
      <c r="AC514" s="6" t="str">
        <f t="shared" si="147"/>
        <v xml:space="preserve">",Stadium=" </v>
      </c>
      <c r="AD514" s="11" t="str">
        <f>Matchs!O515</f>
        <v xml:space="preserve">Rose Bowl </v>
      </c>
      <c r="AE514" s="6" t="str">
        <f t="shared" si="148"/>
        <v>",Referee= "</v>
      </c>
      <c r="AF514" s="11" t="str">
        <f>Matchs!P515</f>
        <v xml:space="preserve">Jose Torres Cadena </v>
      </c>
      <c r="AG514" s="6" t="str">
        <f t="shared" si="149"/>
        <v xml:space="preserve">",Visistors= </v>
      </c>
      <c r="AH514" s="11">
        <f>Matchs!Q515</f>
        <v>91856</v>
      </c>
      <c r="AI514" s="11" t="str">
        <f t="shared" si="150"/>
        <v>,Status= "</v>
      </c>
      <c r="AJ514" s="11" t="str">
        <f>Matchs!R515</f>
        <v>Finished</v>
      </c>
      <c r="AK514" t="str">
        <f t="shared" si="151"/>
        <v>" },</v>
      </c>
    </row>
    <row r="515" spans="1:37" x14ac:dyDescent="0.25">
      <c r="A515" t="str">
        <f t="shared" ref="A515:A578" si="152">A514</f>
        <v>new Match { MatchId= "</v>
      </c>
      <c r="B515" t="str">
        <f>Matchs!A516</f>
        <v>FIFAWC1994-51</v>
      </c>
      <c r="C515" t="str">
        <f t="shared" ref="C515:C578" si="153">C514</f>
        <v>",MatchNumer=</v>
      </c>
      <c r="D515">
        <f>Matchs!B516</f>
        <v>51</v>
      </c>
      <c r="E515" t="str">
        <f t="shared" ref="E515:E578" si="154">E514</f>
        <v>,DateMatch=DateTime.Parse("</v>
      </c>
      <c r="F515" s="3">
        <f>Matchs!C516</f>
        <v>34532</v>
      </c>
      <c r="G515" s="10" t="str">
        <f t="shared" ref="G515:G578" si="155">G514</f>
        <v>"),TimeMatch=TimeSpan.Parse("</v>
      </c>
      <c r="H515" s="9">
        <f>Matchs!D516</f>
        <v>0.10416666666666667</v>
      </c>
      <c r="I515" t="str">
        <f t="shared" ref="I515:I578" si="156">I514</f>
        <v>"),MatchYear=</v>
      </c>
      <c r="J515">
        <f>Matchs!E516</f>
        <v>1994</v>
      </c>
      <c r="K515" t="str">
        <f t="shared" ref="K515:K578" si="157">K514</f>
        <v>, SeasonId= "</v>
      </c>
      <c r="L515" t="str">
        <f>Matchs!F516</f>
        <v>FIFAWC1994</v>
      </c>
      <c r="M515" t="str">
        <f t="shared" ref="M515:M578" si="158">M514</f>
        <v>",Round= "</v>
      </c>
      <c r="N515" t="str">
        <f>Matchs!G516</f>
        <v>Final Round</v>
      </c>
      <c r="O515" s="6" t="str">
        <f t="shared" ref="O515:O578" si="159">O514</f>
        <v>",Stage= "</v>
      </c>
      <c r="P515" t="str">
        <f>Matchs!H516</f>
        <v>Knockouts</v>
      </c>
      <c r="Q515" s="6" t="str">
        <f t="shared" ref="Q515:Q578" si="160">Q514</f>
        <v>",SubStage= "</v>
      </c>
      <c r="R515" t="str">
        <f>Matchs!I516</f>
        <v>3rd place</v>
      </c>
      <c r="S515" s="6" t="str">
        <f t="shared" ref="S515:S578" si="161">S514</f>
        <v>",HTeam= "</v>
      </c>
      <c r="T515" t="str">
        <f>Matchs!J516</f>
        <v>Sweden</v>
      </c>
      <c r="U515" s="6" t="str">
        <f t="shared" ref="U515:U578" si="162">U514</f>
        <v>",HGoal=</v>
      </c>
      <c r="V515">
        <f>Matchs!K516</f>
        <v>4</v>
      </c>
      <c r="W515" s="6" t="str">
        <f t="shared" ref="W515:W578" si="163">W514</f>
        <v>,GGoal=</v>
      </c>
      <c r="X515">
        <f>Matchs!L516</f>
        <v>0</v>
      </c>
      <c r="Y515" s="6" t="str">
        <f t="shared" ref="Y515:Y578" si="164">Y514</f>
        <v>,GTeam= "</v>
      </c>
      <c r="Z515" t="str">
        <f>Matchs!M516</f>
        <v>Bulgaria</v>
      </c>
      <c r="AA515" s="6" t="str">
        <f t="shared" ref="AA515:AA578" si="165">AA514</f>
        <v>",WinNote="</v>
      </c>
      <c r="AB515" t="str">
        <f>IF(Matchs!N516="","",Matchs!N516)</f>
        <v/>
      </c>
      <c r="AC515" s="6" t="str">
        <f t="shared" ref="AC515:AC578" si="166">AC514</f>
        <v xml:space="preserve">",Stadium=" </v>
      </c>
      <c r="AD515" s="11" t="str">
        <f>Matchs!O516</f>
        <v xml:space="preserve">Rose Bowl </v>
      </c>
      <c r="AE515" s="6" t="str">
        <f t="shared" ref="AE515:AE578" si="167">AE514</f>
        <v>",Referee= "</v>
      </c>
      <c r="AF515" s="11" t="str">
        <f>Matchs!P516</f>
        <v xml:space="preserve">Ali Bujsaim </v>
      </c>
      <c r="AG515" s="6" t="str">
        <f t="shared" ref="AG515:AG578" si="168">AG514</f>
        <v xml:space="preserve">",Visistors= </v>
      </c>
      <c r="AH515" s="11">
        <f>Matchs!Q516</f>
        <v>91500</v>
      </c>
      <c r="AI515" s="11" t="str">
        <f t="shared" ref="AI515:AI578" si="169">AI514</f>
        <v>,Status= "</v>
      </c>
      <c r="AJ515" s="11" t="str">
        <f>Matchs!R516</f>
        <v>Finished</v>
      </c>
      <c r="AK515" t="str">
        <f t="shared" ref="AK515:AK578" si="170">AK514</f>
        <v>" },</v>
      </c>
    </row>
    <row r="516" spans="1:37" x14ac:dyDescent="0.25">
      <c r="A516" t="str">
        <f t="shared" si="152"/>
        <v>new Match { MatchId= "</v>
      </c>
      <c r="B516" t="str">
        <f>Matchs!A517</f>
        <v>FIFAWC1994-52</v>
      </c>
      <c r="C516" t="str">
        <f t="shared" si="153"/>
        <v>",MatchNumer=</v>
      </c>
      <c r="D516">
        <f>Matchs!B517</f>
        <v>52</v>
      </c>
      <c r="E516" t="str">
        <f t="shared" si="154"/>
        <v>,DateMatch=DateTime.Parse("</v>
      </c>
      <c r="F516" s="3">
        <f>Matchs!C517</f>
        <v>34533</v>
      </c>
      <c r="G516" s="10" t="str">
        <f t="shared" si="155"/>
        <v>"),TimeMatch=TimeSpan.Parse("</v>
      </c>
      <c r="H516" s="9">
        <f>Matchs!D517</f>
        <v>0.10416666666666667</v>
      </c>
      <c r="I516" t="str">
        <f t="shared" si="156"/>
        <v>"),MatchYear=</v>
      </c>
      <c r="J516">
        <f>Matchs!E517</f>
        <v>1994</v>
      </c>
      <c r="K516" t="str">
        <f t="shared" si="157"/>
        <v>, SeasonId= "</v>
      </c>
      <c r="L516" t="str">
        <f>Matchs!F517</f>
        <v>FIFAWC1994</v>
      </c>
      <c r="M516" t="str">
        <f t="shared" si="158"/>
        <v>",Round= "</v>
      </c>
      <c r="N516" t="str">
        <f>Matchs!G517</f>
        <v>Final Round</v>
      </c>
      <c r="O516" s="6" t="str">
        <f t="shared" si="159"/>
        <v>",Stage= "</v>
      </c>
      <c r="P516" t="str">
        <f>Matchs!H517</f>
        <v>Knockouts</v>
      </c>
      <c r="Q516" s="6" t="str">
        <f t="shared" si="160"/>
        <v>",SubStage= "</v>
      </c>
      <c r="R516" t="str">
        <f>Matchs!I517</f>
        <v>Final</v>
      </c>
      <c r="S516" s="6" t="str">
        <f t="shared" si="161"/>
        <v>",HTeam= "</v>
      </c>
      <c r="T516" t="str">
        <f>Matchs!J517</f>
        <v>Brazil</v>
      </c>
      <c r="U516" s="6" t="str">
        <f t="shared" si="162"/>
        <v>",HGoal=</v>
      </c>
      <c r="V516">
        <f>Matchs!K517</f>
        <v>0</v>
      </c>
      <c r="W516" s="6" t="str">
        <f t="shared" si="163"/>
        <v>,GGoal=</v>
      </c>
      <c r="X516">
        <f>Matchs!L517</f>
        <v>0</v>
      </c>
      <c r="Y516" s="6" t="str">
        <f t="shared" si="164"/>
        <v>,GTeam= "</v>
      </c>
      <c r="Z516" t="str">
        <f>Matchs!M517</f>
        <v>Italy</v>
      </c>
      <c r="AA516" s="6" t="str">
        <f t="shared" si="165"/>
        <v>",WinNote="</v>
      </c>
      <c r="AB516" t="str">
        <f>IF(Matchs!N517="","",Matchs!N517)</f>
        <v>Brazil win 3 - 2 on penalties</v>
      </c>
      <c r="AC516" s="6" t="str">
        <f t="shared" si="166"/>
        <v xml:space="preserve">",Stadium=" </v>
      </c>
      <c r="AD516" s="11" t="str">
        <f>Matchs!O517</f>
        <v xml:space="preserve">Rose Bowl </v>
      </c>
      <c r="AE516" s="6" t="str">
        <f t="shared" si="167"/>
        <v>",Referee= "</v>
      </c>
      <c r="AF516" s="11" t="str">
        <f>Matchs!P517</f>
        <v xml:space="preserve">Sandor Puhl </v>
      </c>
      <c r="AG516" s="6" t="str">
        <f t="shared" si="168"/>
        <v xml:space="preserve">",Visistors= </v>
      </c>
      <c r="AH516" s="11">
        <f>Matchs!Q517</f>
        <v>94194</v>
      </c>
      <c r="AI516" s="11" t="str">
        <f t="shared" si="169"/>
        <v>,Status= "</v>
      </c>
      <c r="AJ516" s="11" t="str">
        <f>Matchs!R517</f>
        <v>Finished</v>
      </c>
      <c r="AK516" t="str">
        <f t="shared" si="170"/>
        <v>" },</v>
      </c>
    </row>
    <row r="517" spans="1:37" x14ac:dyDescent="0.25">
      <c r="A517" t="str">
        <f t="shared" si="152"/>
        <v>new Match { MatchId= "</v>
      </c>
      <c r="B517" t="str">
        <f>Matchs!A518</f>
        <v>FIFAWC1998-1</v>
      </c>
      <c r="C517" t="str">
        <f t="shared" si="153"/>
        <v>",MatchNumer=</v>
      </c>
      <c r="D517">
        <f>Matchs!B518</f>
        <v>1</v>
      </c>
      <c r="E517" t="str">
        <f t="shared" si="154"/>
        <v>,DateMatch=DateTime.Parse("</v>
      </c>
      <c r="F517" s="3">
        <f>Matchs!C518</f>
        <v>35956</v>
      </c>
      <c r="G517" s="10" t="str">
        <f t="shared" si="155"/>
        <v>"),TimeMatch=TimeSpan.Parse("</v>
      </c>
      <c r="H517" s="9">
        <f>Matchs!D518</f>
        <v>0.9375</v>
      </c>
      <c r="I517" t="str">
        <f t="shared" si="156"/>
        <v>"),MatchYear=</v>
      </c>
      <c r="J517">
        <f>Matchs!E518</f>
        <v>1998</v>
      </c>
      <c r="K517" t="str">
        <f t="shared" si="157"/>
        <v>, SeasonId= "</v>
      </c>
      <c r="L517" t="str">
        <f>Matchs!F518</f>
        <v>FIFAWC1998</v>
      </c>
      <c r="M517" t="str">
        <f t="shared" si="158"/>
        <v>",Round= "</v>
      </c>
      <c r="N517" t="str">
        <f>Matchs!G518</f>
        <v>Final Round</v>
      </c>
      <c r="O517" s="6" t="str">
        <f t="shared" si="159"/>
        <v>",Stage= "</v>
      </c>
      <c r="P517" t="str">
        <f>Matchs!H518</f>
        <v>Group</v>
      </c>
      <c r="Q517" s="6" t="str">
        <f t="shared" si="160"/>
        <v>",SubStage= "</v>
      </c>
      <c r="R517" t="str">
        <f>Matchs!I518</f>
        <v xml:space="preserve">Group A </v>
      </c>
      <c r="S517" s="6" t="str">
        <f t="shared" si="161"/>
        <v>",HTeam= "</v>
      </c>
      <c r="T517" t="str">
        <f>Matchs!J518</f>
        <v>Brazil</v>
      </c>
      <c r="U517" s="6" t="str">
        <f t="shared" si="162"/>
        <v>",HGoal=</v>
      </c>
      <c r="V517">
        <f>Matchs!K518</f>
        <v>2</v>
      </c>
      <c r="W517" s="6" t="str">
        <f t="shared" si="163"/>
        <v>,GGoal=</v>
      </c>
      <c r="X517">
        <f>Matchs!L518</f>
        <v>1</v>
      </c>
      <c r="Y517" s="6" t="str">
        <f t="shared" si="164"/>
        <v>,GTeam= "</v>
      </c>
      <c r="Z517" t="str">
        <f>Matchs!M518</f>
        <v>Scotland</v>
      </c>
      <c r="AA517" s="6" t="str">
        <f t="shared" si="165"/>
        <v>",WinNote="</v>
      </c>
      <c r="AB517" t="str">
        <f>IF(Matchs!N518="","",Matchs!N518)</f>
        <v/>
      </c>
      <c r="AC517" s="6" t="str">
        <f t="shared" si="166"/>
        <v xml:space="preserve">",Stadium=" </v>
      </c>
      <c r="AD517" s="11" t="str">
        <f>Matchs!O518</f>
        <v xml:space="preserve">Stade de France </v>
      </c>
      <c r="AE517" s="6" t="str">
        <f t="shared" si="167"/>
        <v>",Referee= "</v>
      </c>
      <c r="AF517" s="11" t="str">
        <f>Matchs!P518</f>
        <v xml:space="preserve">Jose Garia Aranda </v>
      </c>
      <c r="AG517" s="6" t="str">
        <f t="shared" si="168"/>
        <v xml:space="preserve">",Visistors= </v>
      </c>
      <c r="AH517" s="11">
        <f>Matchs!Q518</f>
        <v>80000</v>
      </c>
      <c r="AI517" s="11" t="str">
        <f t="shared" si="169"/>
        <v>,Status= "</v>
      </c>
      <c r="AJ517" s="11" t="str">
        <f>Matchs!R518</f>
        <v>Finished</v>
      </c>
      <c r="AK517" t="str">
        <f t="shared" si="170"/>
        <v>" },</v>
      </c>
    </row>
    <row r="518" spans="1:37" x14ac:dyDescent="0.25">
      <c r="A518" t="str">
        <f t="shared" si="152"/>
        <v>new Match { MatchId= "</v>
      </c>
      <c r="B518" t="str">
        <f>Matchs!A519</f>
        <v>FIFAWC1998-2</v>
      </c>
      <c r="C518" t="str">
        <f t="shared" si="153"/>
        <v>",MatchNumer=</v>
      </c>
      <c r="D518">
        <f>Matchs!B519</f>
        <v>2</v>
      </c>
      <c r="E518" t="str">
        <f t="shared" si="154"/>
        <v>,DateMatch=DateTime.Parse("</v>
      </c>
      <c r="F518" s="3">
        <f>Matchs!C519</f>
        <v>35957</v>
      </c>
      <c r="G518" s="10" t="str">
        <f t="shared" si="155"/>
        <v>"),TimeMatch=TimeSpan.Parse("</v>
      </c>
      <c r="H518" s="9">
        <f>Matchs!D519</f>
        <v>8.3333333333333329E-2</v>
      </c>
      <c r="I518" t="str">
        <f t="shared" si="156"/>
        <v>"),MatchYear=</v>
      </c>
      <c r="J518">
        <f>Matchs!E519</f>
        <v>1998</v>
      </c>
      <c r="K518" t="str">
        <f t="shared" si="157"/>
        <v>, SeasonId= "</v>
      </c>
      <c r="L518" t="str">
        <f>Matchs!F519</f>
        <v>FIFAWC1998</v>
      </c>
      <c r="M518" t="str">
        <f t="shared" si="158"/>
        <v>",Round= "</v>
      </c>
      <c r="N518" t="str">
        <f>Matchs!G519</f>
        <v>Final Round</v>
      </c>
      <c r="O518" s="6" t="str">
        <f t="shared" si="159"/>
        <v>",Stage= "</v>
      </c>
      <c r="P518" t="str">
        <f>Matchs!H519</f>
        <v>Group</v>
      </c>
      <c r="Q518" s="6" t="str">
        <f t="shared" si="160"/>
        <v>",SubStage= "</v>
      </c>
      <c r="R518" t="str">
        <f>Matchs!I519</f>
        <v xml:space="preserve">Group A </v>
      </c>
      <c r="S518" s="6" t="str">
        <f t="shared" si="161"/>
        <v>",HTeam= "</v>
      </c>
      <c r="T518" t="str">
        <f>Matchs!J519</f>
        <v>Morocco</v>
      </c>
      <c r="U518" s="6" t="str">
        <f t="shared" si="162"/>
        <v>",HGoal=</v>
      </c>
      <c r="V518">
        <f>Matchs!K519</f>
        <v>2</v>
      </c>
      <c r="W518" s="6" t="str">
        <f t="shared" si="163"/>
        <v>,GGoal=</v>
      </c>
      <c r="X518">
        <f>Matchs!L519</f>
        <v>2</v>
      </c>
      <c r="Y518" s="6" t="str">
        <f t="shared" si="164"/>
        <v>,GTeam= "</v>
      </c>
      <c r="Z518" t="str">
        <f>Matchs!M519</f>
        <v>Norway</v>
      </c>
      <c r="AA518" s="6" t="str">
        <f t="shared" si="165"/>
        <v>",WinNote="</v>
      </c>
      <c r="AB518" t="str">
        <f>IF(Matchs!N519="","",Matchs!N519)</f>
        <v/>
      </c>
      <c r="AC518" s="6" t="str">
        <f t="shared" si="166"/>
        <v xml:space="preserve">",Stadium=" </v>
      </c>
      <c r="AD518" s="11" t="str">
        <f>Matchs!O519</f>
        <v xml:space="preserve">Stade de la Mosson </v>
      </c>
      <c r="AE518" s="6" t="str">
        <f t="shared" si="167"/>
        <v>",Referee= "</v>
      </c>
      <c r="AF518" s="11" t="str">
        <f>Matchs!P519</f>
        <v xml:space="preserve">Pirom Un-Prasert </v>
      </c>
      <c r="AG518" s="6" t="str">
        <f t="shared" si="168"/>
        <v xml:space="preserve">",Visistors= </v>
      </c>
      <c r="AH518" s="11">
        <f>Matchs!Q519</f>
        <v>29800</v>
      </c>
      <c r="AI518" s="11" t="str">
        <f t="shared" si="169"/>
        <v>,Status= "</v>
      </c>
      <c r="AJ518" s="11" t="str">
        <f>Matchs!R519</f>
        <v>Finished</v>
      </c>
      <c r="AK518" t="str">
        <f t="shared" si="170"/>
        <v>" },</v>
      </c>
    </row>
    <row r="519" spans="1:37" x14ac:dyDescent="0.25">
      <c r="A519" t="str">
        <f t="shared" si="152"/>
        <v>new Match { MatchId= "</v>
      </c>
      <c r="B519" t="str">
        <f>Matchs!A520</f>
        <v>FIFAWC1998-3</v>
      </c>
      <c r="C519" t="str">
        <f t="shared" si="153"/>
        <v>",MatchNumer=</v>
      </c>
      <c r="D519">
        <f>Matchs!B520</f>
        <v>3</v>
      </c>
      <c r="E519" t="str">
        <f t="shared" si="154"/>
        <v>,DateMatch=DateTime.Parse("</v>
      </c>
      <c r="F519" s="3">
        <f>Matchs!C520</f>
        <v>35957</v>
      </c>
      <c r="G519" s="10" t="str">
        <f t="shared" si="155"/>
        <v>"),TimeMatch=TimeSpan.Parse("</v>
      </c>
      <c r="H519" s="9">
        <f>Matchs!D520</f>
        <v>0.9375</v>
      </c>
      <c r="I519" t="str">
        <f t="shared" si="156"/>
        <v>"),MatchYear=</v>
      </c>
      <c r="J519">
        <f>Matchs!E520</f>
        <v>1998</v>
      </c>
      <c r="K519" t="str">
        <f t="shared" si="157"/>
        <v>, SeasonId= "</v>
      </c>
      <c r="L519" t="str">
        <f>Matchs!F520</f>
        <v>FIFAWC1998</v>
      </c>
      <c r="M519" t="str">
        <f t="shared" si="158"/>
        <v>",Round= "</v>
      </c>
      <c r="N519" t="str">
        <f>Matchs!G520</f>
        <v>Final Round</v>
      </c>
      <c r="O519" s="6" t="str">
        <f t="shared" si="159"/>
        <v>",Stage= "</v>
      </c>
      <c r="P519" t="str">
        <f>Matchs!H520</f>
        <v>Group</v>
      </c>
      <c r="Q519" s="6" t="str">
        <f t="shared" si="160"/>
        <v>",SubStage= "</v>
      </c>
      <c r="R519" t="str">
        <f>Matchs!I520</f>
        <v xml:space="preserve">Group B </v>
      </c>
      <c r="S519" s="6" t="str">
        <f t="shared" si="161"/>
        <v>",HTeam= "</v>
      </c>
      <c r="T519" t="str">
        <f>Matchs!J520</f>
        <v>Italy</v>
      </c>
      <c r="U519" s="6" t="str">
        <f t="shared" si="162"/>
        <v>",HGoal=</v>
      </c>
      <c r="V519">
        <f>Matchs!K520</f>
        <v>2</v>
      </c>
      <c r="W519" s="6" t="str">
        <f t="shared" si="163"/>
        <v>,GGoal=</v>
      </c>
      <c r="X519">
        <f>Matchs!L520</f>
        <v>2</v>
      </c>
      <c r="Y519" s="6" t="str">
        <f t="shared" si="164"/>
        <v>,GTeam= "</v>
      </c>
      <c r="Z519" t="str">
        <f>Matchs!M520</f>
        <v>Chile</v>
      </c>
      <c r="AA519" s="6" t="str">
        <f t="shared" si="165"/>
        <v>",WinNote="</v>
      </c>
      <c r="AB519" t="str">
        <f>IF(Matchs!N520="","",Matchs!N520)</f>
        <v/>
      </c>
      <c r="AC519" s="6" t="str">
        <f t="shared" si="166"/>
        <v xml:space="preserve">",Stadium=" </v>
      </c>
      <c r="AD519" s="11" t="str">
        <f>Matchs!O520</f>
        <v xml:space="preserve">Stade Chaban-Delmas </v>
      </c>
      <c r="AE519" s="6" t="str">
        <f t="shared" si="167"/>
        <v>",Referee= "</v>
      </c>
      <c r="AF519" s="11" t="str">
        <f>Matchs!P520</f>
        <v xml:space="preserve">Lucien Bouchardeau </v>
      </c>
      <c r="AG519" s="6" t="str">
        <f t="shared" si="168"/>
        <v xml:space="preserve">",Visistors= </v>
      </c>
      <c r="AH519" s="11">
        <f>Matchs!Q520</f>
        <v>31800</v>
      </c>
      <c r="AI519" s="11" t="str">
        <f t="shared" si="169"/>
        <v>,Status= "</v>
      </c>
      <c r="AJ519" s="11" t="str">
        <f>Matchs!R520</f>
        <v>Finished</v>
      </c>
      <c r="AK519" t="str">
        <f t="shared" si="170"/>
        <v>" },</v>
      </c>
    </row>
    <row r="520" spans="1:37" x14ac:dyDescent="0.25">
      <c r="A520" t="str">
        <f t="shared" si="152"/>
        <v>new Match { MatchId= "</v>
      </c>
      <c r="B520" t="str">
        <f>Matchs!A521</f>
        <v>FIFAWC1998-4</v>
      </c>
      <c r="C520" t="str">
        <f t="shared" si="153"/>
        <v>",MatchNumer=</v>
      </c>
      <c r="D520">
        <f>Matchs!B521</f>
        <v>4</v>
      </c>
      <c r="E520" t="str">
        <f t="shared" si="154"/>
        <v>,DateMatch=DateTime.Parse("</v>
      </c>
      <c r="F520" s="3">
        <f>Matchs!C521</f>
        <v>35958</v>
      </c>
      <c r="G520" s="10" t="str">
        <f t="shared" si="155"/>
        <v>"),TimeMatch=TimeSpan.Parse("</v>
      </c>
      <c r="H520" s="9">
        <f>Matchs!D521</f>
        <v>8.3333333333333329E-2</v>
      </c>
      <c r="I520" t="str">
        <f t="shared" si="156"/>
        <v>"),MatchYear=</v>
      </c>
      <c r="J520">
        <f>Matchs!E521</f>
        <v>1998</v>
      </c>
      <c r="K520" t="str">
        <f t="shared" si="157"/>
        <v>, SeasonId= "</v>
      </c>
      <c r="L520" t="str">
        <f>Matchs!F521</f>
        <v>FIFAWC1998</v>
      </c>
      <c r="M520" t="str">
        <f t="shared" si="158"/>
        <v>",Round= "</v>
      </c>
      <c r="N520" t="str">
        <f>Matchs!G521</f>
        <v>Final Round</v>
      </c>
      <c r="O520" s="6" t="str">
        <f t="shared" si="159"/>
        <v>",Stage= "</v>
      </c>
      <c r="P520" t="str">
        <f>Matchs!H521</f>
        <v>Group</v>
      </c>
      <c r="Q520" s="6" t="str">
        <f t="shared" si="160"/>
        <v>",SubStage= "</v>
      </c>
      <c r="R520" t="str">
        <f>Matchs!I521</f>
        <v xml:space="preserve">Group B </v>
      </c>
      <c r="S520" s="6" t="str">
        <f t="shared" si="161"/>
        <v>",HTeam= "</v>
      </c>
      <c r="T520" t="str">
        <f>Matchs!J521</f>
        <v>Cameroon</v>
      </c>
      <c r="U520" s="6" t="str">
        <f t="shared" si="162"/>
        <v>",HGoal=</v>
      </c>
      <c r="V520">
        <f>Matchs!K521</f>
        <v>1</v>
      </c>
      <c r="W520" s="6" t="str">
        <f t="shared" si="163"/>
        <v>,GGoal=</v>
      </c>
      <c r="X520">
        <f>Matchs!L521</f>
        <v>1</v>
      </c>
      <c r="Y520" s="6" t="str">
        <f t="shared" si="164"/>
        <v>,GTeam= "</v>
      </c>
      <c r="Z520" t="str">
        <f>Matchs!M521</f>
        <v>Austria</v>
      </c>
      <c r="AA520" s="6" t="str">
        <f t="shared" si="165"/>
        <v>",WinNote="</v>
      </c>
      <c r="AB520" t="str">
        <f>IF(Matchs!N521="","",Matchs!N521)</f>
        <v/>
      </c>
      <c r="AC520" s="6" t="str">
        <f t="shared" si="166"/>
        <v xml:space="preserve">",Stadium=" </v>
      </c>
      <c r="AD520" s="11" t="str">
        <f>Matchs!O521</f>
        <v xml:space="preserve">Stade Municipal de Toulouse </v>
      </c>
      <c r="AE520" s="6" t="str">
        <f t="shared" si="167"/>
        <v>",Referee= "</v>
      </c>
      <c r="AF520" s="11" t="str">
        <f>Matchs!P521</f>
        <v xml:space="preserve">Epifanio González </v>
      </c>
      <c r="AG520" s="6" t="str">
        <f t="shared" si="168"/>
        <v xml:space="preserve">",Visistors= </v>
      </c>
      <c r="AH520" s="11">
        <f>Matchs!Q521</f>
        <v>33460</v>
      </c>
      <c r="AI520" s="11" t="str">
        <f t="shared" si="169"/>
        <v>,Status= "</v>
      </c>
      <c r="AJ520" s="11" t="str">
        <f>Matchs!R521</f>
        <v>Finished</v>
      </c>
      <c r="AK520" t="str">
        <f t="shared" si="170"/>
        <v>" },</v>
      </c>
    </row>
    <row r="521" spans="1:37" x14ac:dyDescent="0.25">
      <c r="A521" t="str">
        <f t="shared" si="152"/>
        <v>new Match { MatchId= "</v>
      </c>
      <c r="B521" t="str">
        <f>Matchs!A522</f>
        <v>FIFAWC1998-5</v>
      </c>
      <c r="C521" t="str">
        <f t="shared" si="153"/>
        <v>",MatchNumer=</v>
      </c>
      <c r="D521">
        <f>Matchs!B522</f>
        <v>5</v>
      </c>
      <c r="E521" t="str">
        <f t="shared" si="154"/>
        <v>,DateMatch=DateTime.Parse("</v>
      </c>
      <c r="F521" s="3">
        <f>Matchs!C522</f>
        <v>35958</v>
      </c>
      <c r="G521" s="10" t="str">
        <f t="shared" si="155"/>
        <v>"),TimeMatch=TimeSpan.Parse("</v>
      </c>
      <c r="H521" s="9">
        <f>Matchs!D522</f>
        <v>0.8125</v>
      </c>
      <c r="I521" t="str">
        <f t="shared" si="156"/>
        <v>"),MatchYear=</v>
      </c>
      <c r="J521">
        <f>Matchs!E522</f>
        <v>1998</v>
      </c>
      <c r="K521" t="str">
        <f t="shared" si="157"/>
        <v>, SeasonId= "</v>
      </c>
      <c r="L521" t="str">
        <f>Matchs!F522</f>
        <v>FIFAWC1998</v>
      </c>
      <c r="M521" t="str">
        <f t="shared" si="158"/>
        <v>",Round= "</v>
      </c>
      <c r="N521" t="str">
        <f>Matchs!G522</f>
        <v>Final Round</v>
      </c>
      <c r="O521" s="6" t="str">
        <f t="shared" si="159"/>
        <v>",Stage= "</v>
      </c>
      <c r="P521" t="str">
        <f>Matchs!H522</f>
        <v>Group</v>
      </c>
      <c r="Q521" s="6" t="str">
        <f t="shared" si="160"/>
        <v>",SubStage= "</v>
      </c>
      <c r="R521" t="str">
        <f>Matchs!I522</f>
        <v xml:space="preserve">Group D </v>
      </c>
      <c r="S521" s="6" t="str">
        <f t="shared" si="161"/>
        <v>",HTeam= "</v>
      </c>
      <c r="T521" t="str">
        <f>Matchs!J522</f>
        <v>Paraguay</v>
      </c>
      <c r="U521" s="6" t="str">
        <f t="shared" si="162"/>
        <v>",HGoal=</v>
      </c>
      <c r="V521">
        <f>Matchs!K522</f>
        <v>0</v>
      </c>
      <c r="W521" s="6" t="str">
        <f t="shared" si="163"/>
        <v>,GGoal=</v>
      </c>
      <c r="X521">
        <f>Matchs!L522</f>
        <v>0</v>
      </c>
      <c r="Y521" s="6" t="str">
        <f t="shared" si="164"/>
        <v>,GTeam= "</v>
      </c>
      <c r="Z521" t="str">
        <f>Matchs!M522</f>
        <v>Bulgaria</v>
      </c>
      <c r="AA521" s="6" t="str">
        <f t="shared" si="165"/>
        <v>",WinNote="</v>
      </c>
      <c r="AB521" t="str">
        <f>IF(Matchs!N522="","",Matchs!N522)</f>
        <v/>
      </c>
      <c r="AC521" s="6" t="str">
        <f t="shared" si="166"/>
        <v xml:space="preserve">",Stadium=" </v>
      </c>
      <c r="AD521" s="11" t="str">
        <f>Matchs!O522</f>
        <v xml:space="preserve">Stade de la Mosson </v>
      </c>
      <c r="AE521" s="6" t="str">
        <f t="shared" si="167"/>
        <v>",Referee= "</v>
      </c>
      <c r="AF521" s="11" t="str">
        <f>Matchs!P522</f>
        <v xml:space="preserve">Abdul Rahman Al-Zeid </v>
      </c>
      <c r="AG521" s="6" t="str">
        <f t="shared" si="168"/>
        <v xml:space="preserve">",Visistors= </v>
      </c>
      <c r="AH521" s="11">
        <f>Matchs!Q522</f>
        <v>27650</v>
      </c>
      <c r="AI521" s="11" t="str">
        <f t="shared" si="169"/>
        <v>,Status= "</v>
      </c>
      <c r="AJ521" s="11" t="str">
        <f>Matchs!R522</f>
        <v>Finished</v>
      </c>
      <c r="AK521" t="str">
        <f t="shared" si="170"/>
        <v>" },</v>
      </c>
    </row>
    <row r="522" spans="1:37" x14ac:dyDescent="0.25">
      <c r="A522" t="str">
        <f t="shared" si="152"/>
        <v>new Match { MatchId= "</v>
      </c>
      <c r="B522" t="str">
        <f>Matchs!A523</f>
        <v>FIFAWC1998-6</v>
      </c>
      <c r="C522" t="str">
        <f t="shared" si="153"/>
        <v>",MatchNumer=</v>
      </c>
      <c r="D522">
        <f>Matchs!B523</f>
        <v>6</v>
      </c>
      <c r="E522" t="str">
        <f t="shared" si="154"/>
        <v>,DateMatch=DateTime.Parse("</v>
      </c>
      <c r="F522" s="3">
        <f>Matchs!C523</f>
        <v>35958</v>
      </c>
      <c r="G522" s="10" t="str">
        <f t="shared" si="155"/>
        <v>"),TimeMatch=TimeSpan.Parse("</v>
      </c>
      <c r="H522" s="9">
        <f>Matchs!D523</f>
        <v>0.9375</v>
      </c>
      <c r="I522" t="str">
        <f t="shared" si="156"/>
        <v>"),MatchYear=</v>
      </c>
      <c r="J522">
        <f>Matchs!E523</f>
        <v>1998</v>
      </c>
      <c r="K522" t="str">
        <f t="shared" si="157"/>
        <v>, SeasonId= "</v>
      </c>
      <c r="L522" t="str">
        <f>Matchs!F523</f>
        <v>FIFAWC1998</v>
      </c>
      <c r="M522" t="str">
        <f t="shared" si="158"/>
        <v>",Round= "</v>
      </c>
      <c r="N522" t="str">
        <f>Matchs!G523</f>
        <v>Final Round</v>
      </c>
      <c r="O522" s="6" t="str">
        <f t="shared" si="159"/>
        <v>",Stage= "</v>
      </c>
      <c r="P522" t="str">
        <f>Matchs!H523</f>
        <v>Group</v>
      </c>
      <c r="Q522" s="6" t="str">
        <f t="shared" si="160"/>
        <v>",SubStage= "</v>
      </c>
      <c r="R522" t="str">
        <f>Matchs!I523</f>
        <v xml:space="preserve">Group C </v>
      </c>
      <c r="S522" s="6" t="str">
        <f t="shared" si="161"/>
        <v>",HTeam= "</v>
      </c>
      <c r="T522" t="str">
        <f>Matchs!J523</f>
        <v>Denmark</v>
      </c>
      <c r="U522" s="6" t="str">
        <f t="shared" si="162"/>
        <v>",HGoal=</v>
      </c>
      <c r="V522">
        <f>Matchs!K523</f>
        <v>1</v>
      </c>
      <c r="W522" s="6" t="str">
        <f t="shared" si="163"/>
        <v>,GGoal=</v>
      </c>
      <c r="X522">
        <f>Matchs!L523</f>
        <v>0</v>
      </c>
      <c r="Y522" s="6" t="str">
        <f t="shared" si="164"/>
        <v>,GTeam= "</v>
      </c>
      <c r="Z522" t="str">
        <f>Matchs!M523</f>
        <v>Saudi Arabia</v>
      </c>
      <c r="AA522" s="6" t="str">
        <f t="shared" si="165"/>
        <v>",WinNote="</v>
      </c>
      <c r="AB522" t="str">
        <f>IF(Matchs!N523="","",Matchs!N523)</f>
        <v/>
      </c>
      <c r="AC522" s="6" t="str">
        <f t="shared" si="166"/>
        <v xml:space="preserve">",Stadium=" </v>
      </c>
      <c r="AD522" s="11" t="str">
        <f>Matchs!O523</f>
        <v xml:space="preserve">Stade Félix-Bollaert </v>
      </c>
      <c r="AE522" s="6" t="str">
        <f t="shared" si="167"/>
        <v>",Referee= "</v>
      </c>
      <c r="AF522" s="11" t="str">
        <f>Matchs!P523</f>
        <v xml:space="preserve">Javier Castrilli </v>
      </c>
      <c r="AG522" s="6" t="str">
        <f t="shared" si="168"/>
        <v xml:space="preserve">",Visistors= </v>
      </c>
      <c r="AH522" s="11">
        <f>Matchs!Q523</f>
        <v>38140</v>
      </c>
      <c r="AI522" s="11" t="str">
        <f t="shared" si="169"/>
        <v>,Status= "</v>
      </c>
      <c r="AJ522" s="11" t="str">
        <f>Matchs!R523</f>
        <v>Finished</v>
      </c>
      <c r="AK522" t="str">
        <f t="shared" si="170"/>
        <v>" },</v>
      </c>
    </row>
    <row r="523" spans="1:37" x14ac:dyDescent="0.25">
      <c r="A523" t="str">
        <f t="shared" si="152"/>
        <v>new Match { MatchId= "</v>
      </c>
      <c r="B523" t="str">
        <f>Matchs!A524</f>
        <v>FIFAWC1998-7</v>
      </c>
      <c r="C523" t="str">
        <f t="shared" si="153"/>
        <v>",MatchNumer=</v>
      </c>
      <c r="D523">
        <f>Matchs!B524</f>
        <v>7</v>
      </c>
      <c r="E523" t="str">
        <f t="shared" si="154"/>
        <v>,DateMatch=DateTime.Parse("</v>
      </c>
      <c r="F523" s="3">
        <f>Matchs!C524</f>
        <v>35959</v>
      </c>
      <c r="G523" s="10" t="str">
        <f t="shared" si="155"/>
        <v>"),TimeMatch=TimeSpan.Parse("</v>
      </c>
      <c r="H523" s="9">
        <f>Matchs!D524</f>
        <v>8.3333333333333329E-2</v>
      </c>
      <c r="I523" t="str">
        <f t="shared" si="156"/>
        <v>"),MatchYear=</v>
      </c>
      <c r="J523">
        <f>Matchs!E524</f>
        <v>1998</v>
      </c>
      <c r="K523" t="str">
        <f t="shared" si="157"/>
        <v>, SeasonId= "</v>
      </c>
      <c r="L523" t="str">
        <f>Matchs!F524</f>
        <v>FIFAWC1998</v>
      </c>
      <c r="M523" t="str">
        <f t="shared" si="158"/>
        <v>",Round= "</v>
      </c>
      <c r="N523" t="str">
        <f>Matchs!G524</f>
        <v>Final Round</v>
      </c>
      <c r="O523" s="6" t="str">
        <f t="shared" si="159"/>
        <v>",Stage= "</v>
      </c>
      <c r="P523" t="str">
        <f>Matchs!H524</f>
        <v>Group</v>
      </c>
      <c r="Q523" s="6" t="str">
        <f t="shared" si="160"/>
        <v>",SubStage= "</v>
      </c>
      <c r="R523" t="str">
        <f>Matchs!I524</f>
        <v xml:space="preserve">Group C </v>
      </c>
      <c r="S523" s="6" t="str">
        <f t="shared" si="161"/>
        <v>",HTeam= "</v>
      </c>
      <c r="T523" t="str">
        <f>Matchs!J524</f>
        <v>France</v>
      </c>
      <c r="U523" s="6" t="str">
        <f t="shared" si="162"/>
        <v>",HGoal=</v>
      </c>
      <c r="V523">
        <f>Matchs!K524</f>
        <v>3</v>
      </c>
      <c r="W523" s="6" t="str">
        <f t="shared" si="163"/>
        <v>,GGoal=</v>
      </c>
      <c r="X523">
        <f>Matchs!L524</f>
        <v>0</v>
      </c>
      <c r="Y523" s="6" t="str">
        <f t="shared" si="164"/>
        <v>,GTeam= "</v>
      </c>
      <c r="Z523" t="str">
        <f>Matchs!M524</f>
        <v>South Africa</v>
      </c>
      <c r="AA523" s="6" t="str">
        <f t="shared" si="165"/>
        <v>",WinNote="</v>
      </c>
      <c r="AB523" t="str">
        <f>IF(Matchs!N524="","",Matchs!N524)</f>
        <v/>
      </c>
      <c r="AC523" s="6" t="str">
        <f t="shared" si="166"/>
        <v xml:space="preserve">",Stadium=" </v>
      </c>
      <c r="AD523" s="11" t="str">
        <f>Matchs!O524</f>
        <v xml:space="preserve">Stade Vélodrome </v>
      </c>
      <c r="AE523" s="6" t="str">
        <f t="shared" si="167"/>
        <v>",Referee= "</v>
      </c>
      <c r="AF523" s="11" t="str">
        <f>Matchs!P524</f>
        <v xml:space="preserve">Márcio Rezende de Freitas </v>
      </c>
      <c r="AG523" s="6" t="str">
        <f t="shared" si="168"/>
        <v xml:space="preserve">",Visistors= </v>
      </c>
      <c r="AH523" s="11">
        <f>Matchs!Q524</f>
        <v>55000</v>
      </c>
      <c r="AI523" s="11" t="str">
        <f t="shared" si="169"/>
        <v>,Status= "</v>
      </c>
      <c r="AJ523" s="11" t="str">
        <f>Matchs!R524</f>
        <v>Finished</v>
      </c>
      <c r="AK523" t="str">
        <f t="shared" si="170"/>
        <v>" },</v>
      </c>
    </row>
    <row r="524" spans="1:37" x14ac:dyDescent="0.25">
      <c r="A524" t="str">
        <f t="shared" si="152"/>
        <v>new Match { MatchId= "</v>
      </c>
      <c r="B524" t="str">
        <f>Matchs!A525</f>
        <v>FIFAWC1998-8</v>
      </c>
      <c r="C524" t="str">
        <f t="shared" si="153"/>
        <v>",MatchNumer=</v>
      </c>
      <c r="D524">
        <f>Matchs!B525</f>
        <v>8</v>
      </c>
      <c r="E524" t="str">
        <f t="shared" si="154"/>
        <v>,DateMatch=DateTime.Parse("</v>
      </c>
      <c r="F524" s="3">
        <f>Matchs!C525</f>
        <v>35959</v>
      </c>
      <c r="G524" s="10" t="str">
        <f t="shared" si="155"/>
        <v>"),TimeMatch=TimeSpan.Parse("</v>
      </c>
      <c r="H524" s="9">
        <f>Matchs!D525</f>
        <v>0.8125</v>
      </c>
      <c r="I524" t="str">
        <f t="shared" si="156"/>
        <v>"),MatchYear=</v>
      </c>
      <c r="J524">
        <f>Matchs!E525</f>
        <v>1998</v>
      </c>
      <c r="K524" t="str">
        <f t="shared" si="157"/>
        <v>, SeasonId= "</v>
      </c>
      <c r="L524" t="str">
        <f>Matchs!F525</f>
        <v>FIFAWC1998</v>
      </c>
      <c r="M524" t="str">
        <f t="shared" si="158"/>
        <v>",Round= "</v>
      </c>
      <c r="N524" t="str">
        <f>Matchs!G525</f>
        <v>Final Round</v>
      </c>
      <c r="O524" s="6" t="str">
        <f t="shared" si="159"/>
        <v>",Stage= "</v>
      </c>
      <c r="P524" t="str">
        <f>Matchs!H525</f>
        <v>Group</v>
      </c>
      <c r="Q524" s="6" t="str">
        <f t="shared" si="160"/>
        <v>",SubStage= "</v>
      </c>
      <c r="R524" t="str">
        <f>Matchs!I525</f>
        <v xml:space="preserve">Group D </v>
      </c>
      <c r="S524" s="6" t="str">
        <f t="shared" si="161"/>
        <v>",HTeam= "</v>
      </c>
      <c r="T524" t="str">
        <f>Matchs!J525</f>
        <v>Spain</v>
      </c>
      <c r="U524" s="6" t="str">
        <f t="shared" si="162"/>
        <v>",HGoal=</v>
      </c>
      <c r="V524">
        <f>Matchs!K525</f>
        <v>2</v>
      </c>
      <c r="W524" s="6" t="str">
        <f t="shared" si="163"/>
        <v>,GGoal=</v>
      </c>
      <c r="X524">
        <f>Matchs!L525</f>
        <v>3</v>
      </c>
      <c r="Y524" s="6" t="str">
        <f t="shared" si="164"/>
        <v>,GTeam= "</v>
      </c>
      <c r="Z524" t="str">
        <f>Matchs!M525</f>
        <v>Nigeria</v>
      </c>
      <c r="AA524" s="6" t="str">
        <f t="shared" si="165"/>
        <v>",WinNote="</v>
      </c>
      <c r="AB524" t="str">
        <f>IF(Matchs!N525="","",Matchs!N525)</f>
        <v/>
      </c>
      <c r="AC524" s="6" t="str">
        <f t="shared" si="166"/>
        <v xml:space="preserve">",Stadium=" </v>
      </c>
      <c r="AD524" s="11" t="str">
        <f>Matchs!O525</f>
        <v xml:space="preserve">Stade de la Beaujoire </v>
      </c>
      <c r="AE524" s="6" t="str">
        <f t="shared" si="167"/>
        <v>",Referee= "</v>
      </c>
      <c r="AF524" s="11" t="str">
        <f>Matchs!P525</f>
        <v xml:space="preserve">Esfandiar Baharmast </v>
      </c>
      <c r="AG524" s="6" t="str">
        <f t="shared" si="168"/>
        <v xml:space="preserve">",Visistors= </v>
      </c>
      <c r="AH524" s="11">
        <f>Matchs!Q525</f>
        <v>33257</v>
      </c>
      <c r="AI524" s="11" t="str">
        <f t="shared" si="169"/>
        <v>,Status= "</v>
      </c>
      <c r="AJ524" s="11" t="str">
        <f>Matchs!R525</f>
        <v>Finished</v>
      </c>
      <c r="AK524" t="str">
        <f t="shared" si="170"/>
        <v>" },</v>
      </c>
    </row>
    <row r="525" spans="1:37" x14ac:dyDescent="0.25">
      <c r="A525" t="str">
        <f t="shared" si="152"/>
        <v>new Match { MatchId= "</v>
      </c>
      <c r="B525" t="str">
        <f>Matchs!A526</f>
        <v>FIFAWC1998-9</v>
      </c>
      <c r="C525" t="str">
        <f t="shared" si="153"/>
        <v>",MatchNumer=</v>
      </c>
      <c r="D525">
        <f>Matchs!B526</f>
        <v>9</v>
      </c>
      <c r="E525" t="str">
        <f t="shared" si="154"/>
        <v>,DateMatch=DateTime.Parse("</v>
      </c>
      <c r="F525" s="3">
        <f>Matchs!C526</f>
        <v>35959</v>
      </c>
      <c r="G525" s="10" t="str">
        <f t="shared" si="155"/>
        <v>"),TimeMatch=TimeSpan.Parse("</v>
      </c>
      <c r="H525" s="9">
        <f>Matchs!D526</f>
        <v>0.9375</v>
      </c>
      <c r="I525" t="str">
        <f t="shared" si="156"/>
        <v>"),MatchYear=</v>
      </c>
      <c r="J525">
        <f>Matchs!E526</f>
        <v>1998</v>
      </c>
      <c r="K525" t="str">
        <f t="shared" si="157"/>
        <v>, SeasonId= "</v>
      </c>
      <c r="L525" t="str">
        <f>Matchs!F526</f>
        <v>FIFAWC1998</v>
      </c>
      <c r="M525" t="str">
        <f t="shared" si="158"/>
        <v>",Round= "</v>
      </c>
      <c r="N525" t="str">
        <f>Matchs!G526</f>
        <v>Final Round</v>
      </c>
      <c r="O525" s="6" t="str">
        <f t="shared" si="159"/>
        <v>",Stage= "</v>
      </c>
      <c r="P525" t="str">
        <f>Matchs!H526</f>
        <v>Group</v>
      </c>
      <c r="Q525" s="6" t="str">
        <f t="shared" si="160"/>
        <v>",SubStage= "</v>
      </c>
      <c r="R525" t="str">
        <f>Matchs!I526</f>
        <v xml:space="preserve">Group E </v>
      </c>
      <c r="S525" s="6" t="str">
        <f t="shared" si="161"/>
        <v>",HTeam= "</v>
      </c>
      <c r="T525" t="str">
        <f>Matchs!J526</f>
        <v>South Korea</v>
      </c>
      <c r="U525" s="6" t="str">
        <f t="shared" si="162"/>
        <v>",HGoal=</v>
      </c>
      <c r="V525">
        <f>Matchs!K526</f>
        <v>1</v>
      </c>
      <c r="W525" s="6" t="str">
        <f t="shared" si="163"/>
        <v>,GGoal=</v>
      </c>
      <c r="X525">
        <f>Matchs!L526</f>
        <v>3</v>
      </c>
      <c r="Y525" s="6" t="str">
        <f t="shared" si="164"/>
        <v>,GTeam= "</v>
      </c>
      <c r="Z525" t="str">
        <f>Matchs!M526</f>
        <v>Mexico</v>
      </c>
      <c r="AA525" s="6" t="str">
        <f t="shared" si="165"/>
        <v>",WinNote="</v>
      </c>
      <c r="AB525" t="str">
        <f>IF(Matchs!N526="","",Matchs!N526)</f>
        <v/>
      </c>
      <c r="AC525" s="6" t="str">
        <f t="shared" si="166"/>
        <v xml:space="preserve">",Stadium=" </v>
      </c>
      <c r="AD525" s="11" t="str">
        <f>Matchs!O526</f>
        <v xml:space="preserve">Stade de Gerland </v>
      </c>
      <c r="AE525" s="6" t="str">
        <f t="shared" si="167"/>
        <v>",Referee= "</v>
      </c>
      <c r="AF525" s="11" t="str">
        <f>Matchs!P526</f>
        <v xml:space="preserve">Gunter Benko </v>
      </c>
      <c r="AG525" s="6" t="str">
        <f t="shared" si="168"/>
        <v xml:space="preserve">",Visistors= </v>
      </c>
      <c r="AH525" s="11">
        <f>Matchs!Q526</f>
        <v>39100</v>
      </c>
      <c r="AI525" s="11" t="str">
        <f t="shared" si="169"/>
        <v>,Status= "</v>
      </c>
      <c r="AJ525" s="11" t="str">
        <f>Matchs!R526</f>
        <v>Finished</v>
      </c>
      <c r="AK525" t="str">
        <f t="shared" si="170"/>
        <v>" },</v>
      </c>
    </row>
    <row r="526" spans="1:37" x14ac:dyDescent="0.25">
      <c r="A526" t="str">
        <f t="shared" si="152"/>
        <v>new Match { MatchId= "</v>
      </c>
      <c r="B526" t="str">
        <f>Matchs!A527</f>
        <v>FIFAWC1998-10</v>
      </c>
      <c r="C526" t="str">
        <f t="shared" si="153"/>
        <v>",MatchNumer=</v>
      </c>
      <c r="D526">
        <f>Matchs!B527</f>
        <v>10</v>
      </c>
      <c r="E526" t="str">
        <f t="shared" si="154"/>
        <v>,DateMatch=DateTime.Parse("</v>
      </c>
      <c r="F526" s="3">
        <f>Matchs!C527</f>
        <v>35960</v>
      </c>
      <c r="G526" s="10" t="str">
        <f t="shared" si="155"/>
        <v>"),TimeMatch=TimeSpan.Parse("</v>
      </c>
      <c r="H526" s="9">
        <f>Matchs!D527</f>
        <v>8.3333333333333329E-2</v>
      </c>
      <c r="I526" t="str">
        <f t="shared" si="156"/>
        <v>"),MatchYear=</v>
      </c>
      <c r="J526">
        <f>Matchs!E527</f>
        <v>1998</v>
      </c>
      <c r="K526" t="str">
        <f t="shared" si="157"/>
        <v>, SeasonId= "</v>
      </c>
      <c r="L526" t="str">
        <f>Matchs!F527</f>
        <v>FIFAWC1998</v>
      </c>
      <c r="M526" t="str">
        <f t="shared" si="158"/>
        <v>",Round= "</v>
      </c>
      <c r="N526" t="str">
        <f>Matchs!G527</f>
        <v>Final Round</v>
      </c>
      <c r="O526" s="6" t="str">
        <f t="shared" si="159"/>
        <v>",Stage= "</v>
      </c>
      <c r="P526" t="str">
        <f>Matchs!H527</f>
        <v>Group</v>
      </c>
      <c r="Q526" s="6" t="str">
        <f t="shared" si="160"/>
        <v>",SubStage= "</v>
      </c>
      <c r="R526" t="str">
        <f>Matchs!I527</f>
        <v xml:space="preserve">Group E </v>
      </c>
      <c r="S526" s="6" t="str">
        <f t="shared" si="161"/>
        <v>",HTeam= "</v>
      </c>
      <c r="T526" t="str">
        <f>Matchs!J527</f>
        <v>Netherlands</v>
      </c>
      <c r="U526" s="6" t="str">
        <f t="shared" si="162"/>
        <v>",HGoal=</v>
      </c>
      <c r="V526">
        <f>Matchs!K527</f>
        <v>0</v>
      </c>
      <c r="W526" s="6" t="str">
        <f t="shared" si="163"/>
        <v>,GGoal=</v>
      </c>
      <c r="X526">
        <f>Matchs!L527</f>
        <v>0</v>
      </c>
      <c r="Y526" s="6" t="str">
        <f t="shared" si="164"/>
        <v>,GTeam= "</v>
      </c>
      <c r="Z526" t="str">
        <f>Matchs!M527</f>
        <v>Belgium</v>
      </c>
      <c r="AA526" s="6" t="str">
        <f t="shared" si="165"/>
        <v>",WinNote="</v>
      </c>
      <c r="AB526" t="str">
        <f>IF(Matchs!N527="","",Matchs!N527)</f>
        <v/>
      </c>
      <c r="AC526" s="6" t="str">
        <f t="shared" si="166"/>
        <v xml:space="preserve">",Stadium=" </v>
      </c>
      <c r="AD526" s="11" t="str">
        <f>Matchs!O527</f>
        <v xml:space="preserve">Stade de France </v>
      </c>
      <c r="AE526" s="6" t="str">
        <f t="shared" si="167"/>
        <v>",Referee= "</v>
      </c>
      <c r="AF526" s="11" t="str">
        <f>Matchs!P527</f>
        <v xml:space="preserve">Pierluigi Collina </v>
      </c>
      <c r="AG526" s="6" t="str">
        <f t="shared" si="168"/>
        <v xml:space="preserve">",Visistors= </v>
      </c>
      <c r="AH526" s="11">
        <f>Matchs!Q527</f>
        <v>75000</v>
      </c>
      <c r="AI526" s="11" t="str">
        <f t="shared" si="169"/>
        <v>,Status= "</v>
      </c>
      <c r="AJ526" s="11" t="str">
        <f>Matchs!R527</f>
        <v>Finished</v>
      </c>
      <c r="AK526" t="str">
        <f t="shared" si="170"/>
        <v>" },</v>
      </c>
    </row>
    <row r="527" spans="1:37" x14ac:dyDescent="0.25">
      <c r="A527" t="str">
        <f t="shared" si="152"/>
        <v>new Match { MatchId= "</v>
      </c>
      <c r="B527" t="str">
        <f>Matchs!A528</f>
        <v>FIFAWC1998-11</v>
      </c>
      <c r="C527" t="str">
        <f t="shared" si="153"/>
        <v>",MatchNumer=</v>
      </c>
      <c r="D527">
        <f>Matchs!B528</f>
        <v>11</v>
      </c>
      <c r="E527" t="str">
        <f t="shared" si="154"/>
        <v>,DateMatch=DateTime.Parse("</v>
      </c>
      <c r="F527" s="3">
        <f>Matchs!C528</f>
        <v>35960</v>
      </c>
      <c r="G527" s="10" t="str">
        <f t="shared" si="155"/>
        <v>"),TimeMatch=TimeSpan.Parse("</v>
      </c>
      <c r="H527" s="9">
        <f>Matchs!D528</f>
        <v>0.8125</v>
      </c>
      <c r="I527" t="str">
        <f t="shared" si="156"/>
        <v>"),MatchYear=</v>
      </c>
      <c r="J527">
        <f>Matchs!E528</f>
        <v>1998</v>
      </c>
      <c r="K527" t="str">
        <f t="shared" si="157"/>
        <v>, SeasonId= "</v>
      </c>
      <c r="L527" t="str">
        <f>Matchs!F528</f>
        <v>FIFAWC1998</v>
      </c>
      <c r="M527" t="str">
        <f t="shared" si="158"/>
        <v>",Round= "</v>
      </c>
      <c r="N527" t="str">
        <f>Matchs!G528</f>
        <v>Final Round</v>
      </c>
      <c r="O527" s="6" t="str">
        <f t="shared" si="159"/>
        <v>",Stage= "</v>
      </c>
      <c r="P527" t="str">
        <f>Matchs!H528</f>
        <v>Group</v>
      </c>
      <c r="Q527" s="6" t="str">
        <f t="shared" si="160"/>
        <v>",SubStage= "</v>
      </c>
      <c r="R527" t="str">
        <f>Matchs!I528</f>
        <v xml:space="preserve">Group H </v>
      </c>
      <c r="S527" s="6" t="str">
        <f t="shared" si="161"/>
        <v>",HTeam= "</v>
      </c>
      <c r="T527" t="str">
        <f>Matchs!J528</f>
        <v>Argentina</v>
      </c>
      <c r="U527" s="6" t="str">
        <f t="shared" si="162"/>
        <v>",HGoal=</v>
      </c>
      <c r="V527">
        <f>Matchs!K528</f>
        <v>1</v>
      </c>
      <c r="W527" s="6" t="str">
        <f t="shared" si="163"/>
        <v>,GGoal=</v>
      </c>
      <c r="X527">
        <f>Matchs!L528</f>
        <v>0</v>
      </c>
      <c r="Y527" s="6" t="str">
        <f t="shared" si="164"/>
        <v>,GTeam= "</v>
      </c>
      <c r="Z527" t="str">
        <f>Matchs!M528</f>
        <v>Japan</v>
      </c>
      <c r="AA527" s="6" t="str">
        <f t="shared" si="165"/>
        <v>",WinNote="</v>
      </c>
      <c r="AB527" t="str">
        <f>IF(Matchs!N528="","",Matchs!N528)</f>
        <v/>
      </c>
      <c r="AC527" s="6" t="str">
        <f t="shared" si="166"/>
        <v xml:space="preserve">",Stadium=" </v>
      </c>
      <c r="AD527" s="11" t="str">
        <f>Matchs!O528</f>
        <v xml:space="preserve">Stade Municipal de Toulouse </v>
      </c>
      <c r="AE527" s="6" t="str">
        <f t="shared" si="167"/>
        <v>",Referee= "</v>
      </c>
      <c r="AF527" s="11" t="str">
        <f>Matchs!P528</f>
        <v xml:space="preserve">Mario van der Ende </v>
      </c>
      <c r="AG527" s="6" t="str">
        <f t="shared" si="168"/>
        <v xml:space="preserve">",Visistors= </v>
      </c>
      <c r="AH527" s="11">
        <f>Matchs!Q528</f>
        <v>33400</v>
      </c>
      <c r="AI527" s="11" t="str">
        <f t="shared" si="169"/>
        <v>,Status= "</v>
      </c>
      <c r="AJ527" s="11" t="str">
        <f>Matchs!R528</f>
        <v>Finished</v>
      </c>
      <c r="AK527" t="str">
        <f t="shared" si="170"/>
        <v>" },</v>
      </c>
    </row>
    <row r="528" spans="1:37" x14ac:dyDescent="0.25">
      <c r="A528" t="str">
        <f t="shared" si="152"/>
        <v>new Match { MatchId= "</v>
      </c>
      <c r="B528" t="str">
        <f>Matchs!A529</f>
        <v>FIFAWC1998-12</v>
      </c>
      <c r="C528" t="str">
        <f t="shared" si="153"/>
        <v>",MatchNumer=</v>
      </c>
      <c r="D528">
        <f>Matchs!B529</f>
        <v>12</v>
      </c>
      <c r="E528" t="str">
        <f t="shared" si="154"/>
        <v>,DateMatch=DateTime.Parse("</v>
      </c>
      <c r="F528" s="3">
        <f>Matchs!C529</f>
        <v>35960</v>
      </c>
      <c r="G528" s="10" t="str">
        <f t="shared" si="155"/>
        <v>"),TimeMatch=TimeSpan.Parse("</v>
      </c>
      <c r="H528" s="9">
        <f>Matchs!D529</f>
        <v>0.9375</v>
      </c>
      <c r="I528" t="str">
        <f t="shared" si="156"/>
        <v>"),MatchYear=</v>
      </c>
      <c r="J528">
        <f>Matchs!E529</f>
        <v>1998</v>
      </c>
      <c r="K528" t="str">
        <f t="shared" si="157"/>
        <v>, SeasonId= "</v>
      </c>
      <c r="L528" t="str">
        <f>Matchs!F529</f>
        <v>FIFAWC1998</v>
      </c>
      <c r="M528" t="str">
        <f t="shared" si="158"/>
        <v>",Round= "</v>
      </c>
      <c r="N528" t="str">
        <f>Matchs!G529</f>
        <v>Final Round</v>
      </c>
      <c r="O528" s="6" t="str">
        <f t="shared" si="159"/>
        <v>",Stage= "</v>
      </c>
      <c r="P528" t="str">
        <f>Matchs!H529</f>
        <v>Group</v>
      </c>
      <c r="Q528" s="6" t="str">
        <f t="shared" si="160"/>
        <v>",SubStage= "</v>
      </c>
      <c r="R528" t="str">
        <f>Matchs!I529</f>
        <v xml:space="preserve">Group F </v>
      </c>
      <c r="S528" s="6" t="str">
        <f t="shared" si="161"/>
        <v>",HTeam= "</v>
      </c>
      <c r="T528" t="str">
        <f>Matchs!J529</f>
        <v>Yugoslavia</v>
      </c>
      <c r="U528" s="6" t="str">
        <f t="shared" si="162"/>
        <v>",HGoal=</v>
      </c>
      <c r="V528">
        <f>Matchs!K529</f>
        <v>1</v>
      </c>
      <c r="W528" s="6" t="str">
        <f t="shared" si="163"/>
        <v>,GGoal=</v>
      </c>
      <c r="X528">
        <f>Matchs!L529</f>
        <v>0</v>
      </c>
      <c r="Y528" s="6" t="str">
        <f t="shared" si="164"/>
        <v>,GTeam= "</v>
      </c>
      <c r="Z528" t="str">
        <f>Matchs!M529</f>
        <v>Iran</v>
      </c>
      <c r="AA528" s="6" t="str">
        <f t="shared" si="165"/>
        <v>",WinNote="</v>
      </c>
      <c r="AB528" t="str">
        <f>IF(Matchs!N529="","",Matchs!N529)</f>
        <v/>
      </c>
      <c r="AC528" s="6" t="str">
        <f t="shared" si="166"/>
        <v xml:space="preserve">",Stadium=" </v>
      </c>
      <c r="AD528" s="11" t="str">
        <f>Matchs!O529</f>
        <v xml:space="preserve">Stade Geoffroy-Guichard </v>
      </c>
      <c r="AE528" s="6" t="str">
        <f t="shared" si="167"/>
        <v>",Referee= "</v>
      </c>
      <c r="AF528" s="11" t="str">
        <f>Matchs!P529</f>
        <v xml:space="preserve">Alberto Tejada </v>
      </c>
      <c r="AG528" s="6" t="str">
        <f t="shared" si="168"/>
        <v xml:space="preserve">",Visistors= </v>
      </c>
      <c r="AH528" s="11">
        <f>Matchs!Q529</f>
        <v>30392</v>
      </c>
      <c r="AI528" s="11" t="str">
        <f t="shared" si="169"/>
        <v>,Status= "</v>
      </c>
      <c r="AJ528" s="11" t="str">
        <f>Matchs!R529</f>
        <v>Finished</v>
      </c>
      <c r="AK528" t="str">
        <f t="shared" si="170"/>
        <v>" },</v>
      </c>
    </row>
    <row r="529" spans="1:37" x14ac:dyDescent="0.25">
      <c r="A529" t="str">
        <f t="shared" si="152"/>
        <v>new Match { MatchId= "</v>
      </c>
      <c r="B529" t="str">
        <f>Matchs!A530</f>
        <v>FIFAWC1998-13</v>
      </c>
      <c r="C529" t="str">
        <f t="shared" si="153"/>
        <v>",MatchNumer=</v>
      </c>
      <c r="D529">
        <f>Matchs!B530</f>
        <v>13</v>
      </c>
      <c r="E529" t="str">
        <f t="shared" si="154"/>
        <v>,DateMatch=DateTime.Parse("</v>
      </c>
      <c r="F529" s="3">
        <f>Matchs!C530</f>
        <v>35961</v>
      </c>
      <c r="G529" s="10" t="str">
        <f t="shared" si="155"/>
        <v>"),TimeMatch=TimeSpan.Parse("</v>
      </c>
      <c r="H529" s="9">
        <f>Matchs!D530</f>
        <v>8.3333333333333329E-2</v>
      </c>
      <c r="I529" t="str">
        <f t="shared" si="156"/>
        <v>"),MatchYear=</v>
      </c>
      <c r="J529">
        <f>Matchs!E530</f>
        <v>1998</v>
      </c>
      <c r="K529" t="str">
        <f t="shared" si="157"/>
        <v>, SeasonId= "</v>
      </c>
      <c r="L529" t="str">
        <f>Matchs!F530</f>
        <v>FIFAWC1998</v>
      </c>
      <c r="M529" t="str">
        <f t="shared" si="158"/>
        <v>",Round= "</v>
      </c>
      <c r="N529" t="str">
        <f>Matchs!G530</f>
        <v>Final Round</v>
      </c>
      <c r="O529" s="6" t="str">
        <f t="shared" si="159"/>
        <v>",Stage= "</v>
      </c>
      <c r="P529" t="str">
        <f>Matchs!H530</f>
        <v>Group</v>
      </c>
      <c r="Q529" s="6" t="str">
        <f t="shared" si="160"/>
        <v>",SubStage= "</v>
      </c>
      <c r="R529" t="str">
        <f>Matchs!I530</f>
        <v xml:space="preserve">Group H </v>
      </c>
      <c r="S529" s="6" t="str">
        <f t="shared" si="161"/>
        <v>",HTeam= "</v>
      </c>
      <c r="T529" t="str">
        <f>Matchs!J530</f>
        <v>Jamaica</v>
      </c>
      <c r="U529" s="6" t="str">
        <f t="shared" si="162"/>
        <v>",HGoal=</v>
      </c>
      <c r="V529">
        <f>Matchs!K530</f>
        <v>1</v>
      </c>
      <c r="W529" s="6" t="str">
        <f t="shared" si="163"/>
        <v>,GGoal=</v>
      </c>
      <c r="X529">
        <f>Matchs!L530</f>
        <v>3</v>
      </c>
      <c r="Y529" s="6" t="str">
        <f t="shared" si="164"/>
        <v>,GTeam= "</v>
      </c>
      <c r="Z529" t="str">
        <f>Matchs!M530</f>
        <v>Croatia</v>
      </c>
      <c r="AA529" s="6" t="str">
        <f t="shared" si="165"/>
        <v>",WinNote="</v>
      </c>
      <c r="AB529" t="str">
        <f>IF(Matchs!N530="","",Matchs!N530)</f>
        <v/>
      </c>
      <c r="AC529" s="6" t="str">
        <f t="shared" si="166"/>
        <v xml:space="preserve">",Stadium=" </v>
      </c>
      <c r="AD529" s="11" t="str">
        <f>Matchs!O530</f>
        <v xml:space="preserve">Stade Félix-Bollaert </v>
      </c>
      <c r="AE529" s="6" t="str">
        <f t="shared" si="167"/>
        <v>",Referee= "</v>
      </c>
      <c r="AF529" s="11" t="str">
        <f>Matchs!P530</f>
        <v xml:space="preserve">Vitor Melo Pereira </v>
      </c>
      <c r="AG529" s="6" t="str">
        <f t="shared" si="168"/>
        <v xml:space="preserve">",Visistors= </v>
      </c>
      <c r="AH529" s="11">
        <f>Matchs!Q530</f>
        <v>38058</v>
      </c>
      <c r="AI529" s="11" t="str">
        <f t="shared" si="169"/>
        <v>,Status= "</v>
      </c>
      <c r="AJ529" s="11" t="str">
        <f>Matchs!R530</f>
        <v>Finished</v>
      </c>
      <c r="AK529" t="str">
        <f t="shared" si="170"/>
        <v>" },</v>
      </c>
    </row>
    <row r="530" spans="1:37" x14ac:dyDescent="0.25">
      <c r="A530" t="str">
        <f t="shared" si="152"/>
        <v>new Match { MatchId= "</v>
      </c>
      <c r="B530" t="str">
        <f>Matchs!A531</f>
        <v>FIFAWC1998-14</v>
      </c>
      <c r="C530" t="str">
        <f t="shared" si="153"/>
        <v>",MatchNumer=</v>
      </c>
      <c r="D530">
        <f>Matchs!B531</f>
        <v>14</v>
      </c>
      <c r="E530" t="str">
        <f t="shared" si="154"/>
        <v>,DateMatch=DateTime.Parse("</v>
      </c>
      <c r="F530" s="3">
        <f>Matchs!C531</f>
        <v>35961</v>
      </c>
      <c r="G530" s="10" t="str">
        <f t="shared" si="155"/>
        <v>"),TimeMatch=TimeSpan.Parse("</v>
      </c>
      <c r="H530" s="9">
        <f>Matchs!D531</f>
        <v>0.8125</v>
      </c>
      <c r="I530" t="str">
        <f t="shared" si="156"/>
        <v>"),MatchYear=</v>
      </c>
      <c r="J530">
        <f>Matchs!E531</f>
        <v>1998</v>
      </c>
      <c r="K530" t="str">
        <f t="shared" si="157"/>
        <v>, SeasonId= "</v>
      </c>
      <c r="L530" t="str">
        <f>Matchs!F531</f>
        <v>FIFAWC1998</v>
      </c>
      <c r="M530" t="str">
        <f t="shared" si="158"/>
        <v>",Round= "</v>
      </c>
      <c r="N530" t="str">
        <f>Matchs!G531</f>
        <v>Final Round</v>
      </c>
      <c r="O530" s="6" t="str">
        <f t="shared" si="159"/>
        <v>",Stage= "</v>
      </c>
      <c r="P530" t="str">
        <f>Matchs!H531</f>
        <v>Group</v>
      </c>
      <c r="Q530" s="6" t="str">
        <f t="shared" si="160"/>
        <v>",SubStage= "</v>
      </c>
      <c r="R530" t="str">
        <f>Matchs!I531</f>
        <v xml:space="preserve">Group G </v>
      </c>
      <c r="S530" s="6" t="str">
        <f t="shared" si="161"/>
        <v>",HTeam= "</v>
      </c>
      <c r="T530" t="str">
        <f>Matchs!J531</f>
        <v>England</v>
      </c>
      <c r="U530" s="6" t="str">
        <f t="shared" si="162"/>
        <v>",HGoal=</v>
      </c>
      <c r="V530">
        <f>Matchs!K531</f>
        <v>2</v>
      </c>
      <c r="W530" s="6" t="str">
        <f t="shared" si="163"/>
        <v>,GGoal=</v>
      </c>
      <c r="X530">
        <f>Matchs!L531</f>
        <v>0</v>
      </c>
      <c r="Y530" s="6" t="str">
        <f t="shared" si="164"/>
        <v>,GTeam= "</v>
      </c>
      <c r="Z530" t="str">
        <f>Matchs!M531</f>
        <v>Tunisia</v>
      </c>
      <c r="AA530" s="6" t="str">
        <f t="shared" si="165"/>
        <v>",WinNote="</v>
      </c>
      <c r="AB530" t="str">
        <f>IF(Matchs!N531="","",Matchs!N531)</f>
        <v/>
      </c>
      <c r="AC530" s="6" t="str">
        <f t="shared" si="166"/>
        <v xml:space="preserve">",Stadium=" </v>
      </c>
      <c r="AD530" s="11" t="str">
        <f>Matchs!O531</f>
        <v xml:space="preserve">Stade Vélodrome </v>
      </c>
      <c r="AE530" s="6" t="str">
        <f t="shared" si="167"/>
        <v>",Referee= "</v>
      </c>
      <c r="AF530" s="11" t="str">
        <f>Matchs!P531</f>
        <v xml:space="preserve">Masayoshi Okada </v>
      </c>
      <c r="AG530" s="6" t="str">
        <f t="shared" si="168"/>
        <v xml:space="preserve">",Visistors= </v>
      </c>
      <c r="AH530" s="11">
        <f>Matchs!Q531</f>
        <v>54587</v>
      </c>
      <c r="AI530" s="11" t="str">
        <f t="shared" si="169"/>
        <v>,Status= "</v>
      </c>
      <c r="AJ530" s="11" t="str">
        <f>Matchs!R531</f>
        <v>Finished</v>
      </c>
      <c r="AK530" t="str">
        <f t="shared" si="170"/>
        <v>" },</v>
      </c>
    </row>
    <row r="531" spans="1:37" x14ac:dyDescent="0.25">
      <c r="A531" t="str">
        <f t="shared" si="152"/>
        <v>new Match { MatchId= "</v>
      </c>
      <c r="B531" t="str">
        <f>Matchs!A532</f>
        <v>FIFAWC1998-15</v>
      </c>
      <c r="C531" t="str">
        <f t="shared" si="153"/>
        <v>",MatchNumer=</v>
      </c>
      <c r="D531">
        <f>Matchs!B532</f>
        <v>15</v>
      </c>
      <c r="E531" t="str">
        <f t="shared" si="154"/>
        <v>,DateMatch=DateTime.Parse("</v>
      </c>
      <c r="F531" s="3">
        <f>Matchs!C532</f>
        <v>35961</v>
      </c>
      <c r="G531" s="10" t="str">
        <f t="shared" si="155"/>
        <v>"),TimeMatch=TimeSpan.Parse("</v>
      </c>
      <c r="H531" s="9">
        <f>Matchs!D532</f>
        <v>0.9375</v>
      </c>
      <c r="I531" t="str">
        <f t="shared" si="156"/>
        <v>"),MatchYear=</v>
      </c>
      <c r="J531">
        <f>Matchs!E532</f>
        <v>1998</v>
      </c>
      <c r="K531" t="str">
        <f t="shared" si="157"/>
        <v>, SeasonId= "</v>
      </c>
      <c r="L531" t="str">
        <f>Matchs!F532</f>
        <v>FIFAWC1998</v>
      </c>
      <c r="M531" t="str">
        <f t="shared" si="158"/>
        <v>",Round= "</v>
      </c>
      <c r="N531" t="str">
        <f>Matchs!G532</f>
        <v>Final Round</v>
      </c>
      <c r="O531" s="6" t="str">
        <f t="shared" si="159"/>
        <v>",Stage= "</v>
      </c>
      <c r="P531" t="str">
        <f>Matchs!H532</f>
        <v>Group</v>
      </c>
      <c r="Q531" s="6" t="str">
        <f t="shared" si="160"/>
        <v>",SubStage= "</v>
      </c>
      <c r="R531" t="str">
        <f>Matchs!I532</f>
        <v xml:space="preserve">Group G </v>
      </c>
      <c r="S531" s="6" t="str">
        <f t="shared" si="161"/>
        <v>",HTeam= "</v>
      </c>
      <c r="T531" t="str">
        <f>Matchs!J532</f>
        <v>Romania</v>
      </c>
      <c r="U531" s="6" t="str">
        <f t="shared" si="162"/>
        <v>",HGoal=</v>
      </c>
      <c r="V531">
        <f>Matchs!K532</f>
        <v>1</v>
      </c>
      <c r="W531" s="6" t="str">
        <f t="shared" si="163"/>
        <v>,GGoal=</v>
      </c>
      <c r="X531">
        <f>Matchs!L532</f>
        <v>0</v>
      </c>
      <c r="Y531" s="6" t="str">
        <f t="shared" si="164"/>
        <v>,GTeam= "</v>
      </c>
      <c r="Z531" t="str">
        <f>Matchs!M532</f>
        <v>Colombia</v>
      </c>
      <c r="AA531" s="6" t="str">
        <f t="shared" si="165"/>
        <v>",WinNote="</v>
      </c>
      <c r="AB531" t="str">
        <f>IF(Matchs!N532="","",Matchs!N532)</f>
        <v/>
      </c>
      <c r="AC531" s="6" t="str">
        <f t="shared" si="166"/>
        <v xml:space="preserve">",Stadium=" </v>
      </c>
      <c r="AD531" s="11" t="str">
        <f>Matchs!O532</f>
        <v xml:space="preserve">Stade de Gerland </v>
      </c>
      <c r="AE531" s="6" t="str">
        <f t="shared" si="167"/>
        <v>",Referee= "</v>
      </c>
      <c r="AF531" s="11" t="str">
        <f>Matchs!P532</f>
        <v xml:space="preserve">Lim Kee Chong </v>
      </c>
      <c r="AG531" s="6" t="str">
        <f t="shared" si="168"/>
        <v xml:space="preserve">",Visistors= </v>
      </c>
      <c r="AH531" s="11">
        <f>Matchs!Q532</f>
        <v>37572</v>
      </c>
      <c r="AI531" s="11" t="str">
        <f t="shared" si="169"/>
        <v>,Status= "</v>
      </c>
      <c r="AJ531" s="11" t="str">
        <f>Matchs!R532</f>
        <v>Finished</v>
      </c>
      <c r="AK531" t="str">
        <f t="shared" si="170"/>
        <v>" },</v>
      </c>
    </row>
    <row r="532" spans="1:37" x14ac:dyDescent="0.25">
      <c r="A532" t="str">
        <f t="shared" si="152"/>
        <v>new Match { MatchId= "</v>
      </c>
      <c r="B532" t="str">
        <f>Matchs!A533</f>
        <v>FIFAWC1998-16</v>
      </c>
      <c r="C532" t="str">
        <f t="shared" si="153"/>
        <v>",MatchNumer=</v>
      </c>
      <c r="D532">
        <f>Matchs!B533</f>
        <v>16</v>
      </c>
      <c r="E532" t="str">
        <f t="shared" si="154"/>
        <v>,DateMatch=DateTime.Parse("</v>
      </c>
      <c r="F532" s="3">
        <f>Matchs!C533</f>
        <v>35962</v>
      </c>
      <c r="G532" s="10" t="str">
        <f t="shared" si="155"/>
        <v>"),TimeMatch=TimeSpan.Parse("</v>
      </c>
      <c r="H532" s="9">
        <f>Matchs!D533</f>
        <v>8.3333333333333329E-2</v>
      </c>
      <c r="I532" t="str">
        <f t="shared" si="156"/>
        <v>"),MatchYear=</v>
      </c>
      <c r="J532">
        <f>Matchs!E533</f>
        <v>1998</v>
      </c>
      <c r="K532" t="str">
        <f t="shared" si="157"/>
        <v>, SeasonId= "</v>
      </c>
      <c r="L532" t="str">
        <f>Matchs!F533</f>
        <v>FIFAWC1998</v>
      </c>
      <c r="M532" t="str">
        <f t="shared" si="158"/>
        <v>",Round= "</v>
      </c>
      <c r="N532" t="str">
        <f>Matchs!G533</f>
        <v>Final Round</v>
      </c>
      <c r="O532" s="6" t="str">
        <f t="shared" si="159"/>
        <v>",Stage= "</v>
      </c>
      <c r="P532" t="str">
        <f>Matchs!H533</f>
        <v>Group</v>
      </c>
      <c r="Q532" s="6" t="str">
        <f t="shared" si="160"/>
        <v>",SubStage= "</v>
      </c>
      <c r="R532" t="str">
        <f>Matchs!I533</f>
        <v xml:space="preserve">Group F </v>
      </c>
      <c r="S532" s="6" t="str">
        <f t="shared" si="161"/>
        <v>",HTeam= "</v>
      </c>
      <c r="T532" t="str">
        <f>Matchs!J533</f>
        <v>Germany</v>
      </c>
      <c r="U532" s="6" t="str">
        <f t="shared" si="162"/>
        <v>",HGoal=</v>
      </c>
      <c r="V532">
        <f>Matchs!K533</f>
        <v>2</v>
      </c>
      <c r="W532" s="6" t="str">
        <f t="shared" si="163"/>
        <v>,GGoal=</v>
      </c>
      <c r="X532">
        <f>Matchs!L533</f>
        <v>0</v>
      </c>
      <c r="Y532" s="6" t="str">
        <f t="shared" si="164"/>
        <v>,GTeam= "</v>
      </c>
      <c r="Z532" t="str">
        <f>Matchs!M533</f>
        <v>United States</v>
      </c>
      <c r="AA532" s="6" t="str">
        <f t="shared" si="165"/>
        <v>",WinNote="</v>
      </c>
      <c r="AB532" t="str">
        <f>IF(Matchs!N533="","",Matchs!N533)</f>
        <v/>
      </c>
      <c r="AC532" s="6" t="str">
        <f t="shared" si="166"/>
        <v xml:space="preserve">",Stadium=" </v>
      </c>
      <c r="AD532" s="11" t="str">
        <f>Matchs!O533</f>
        <v xml:space="preserve">Parc des Princes </v>
      </c>
      <c r="AE532" s="6" t="str">
        <f t="shared" si="167"/>
        <v>",Referee= "</v>
      </c>
      <c r="AF532" s="11" t="str">
        <f>Matchs!P533</f>
        <v xml:space="preserve">Said Belqola </v>
      </c>
      <c r="AG532" s="6" t="str">
        <f t="shared" si="168"/>
        <v xml:space="preserve">",Visistors= </v>
      </c>
      <c r="AH532" s="11">
        <f>Matchs!Q533</f>
        <v>43815</v>
      </c>
      <c r="AI532" s="11" t="str">
        <f t="shared" si="169"/>
        <v>,Status= "</v>
      </c>
      <c r="AJ532" s="11" t="str">
        <f>Matchs!R533</f>
        <v>Finished</v>
      </c>
      <c r="AK532" t="str">
        <f t="shared" si="170"/>
        <v>" },</v>
      </c>
    </row>
    <row r="533" spans="1:37" x14ac:dyDescent="0.25">
      <c r="A533" t="str">
        <f t="shared" si="152"/>
        <v>new Match { MatchId= "</v>
      </c>
      <c r="B533" t="str">
        <f>Matchs!A534</f>
        <v>FIFAWC1998-17</v>
      </c>
      <c r="C533" t="str">
        <f t="shared" si="153"/>
        <v>",MatchNumer=</v>
      </c>
      <c r="D533">
        <f>Matchs!B534</f>
        <v>17</v>
      </c>
      <c r="E533" t="str">
        <f t="shared" si="154"/>
        <v>,DateMatch=DateTime.Parse("</v>
      </c>
      <c r="F533" s="3">
        <f>Matchs!C534</f>
        <v>35962</v>
      </c>
      <c r="G533" s="10" t="str">
        <f t="shared" si="155"/>
        <v>"),TimeMatch=TimeSpan.Parse("</v>
      </c>
      <c r="H533" s="9">
        <f>Matchs!D534</f>
        <v>0.9375</v>
      </c>
      <c r="I533" t="str">
        <f t="shared" si="156"/>
        <v>"),MatchYear=</v>
      </c>
      <c r="J533">
        <f>Matchs!E534</f>
        <v>1998</v>
      </c>
      <c r="K533" t="str">
        <f t="shared" si="157"/>
        <v>, SeasonId= "</v>
      </c>
      <c r="L533" t="str">
        <f>Matchs!F534</f>
        <v>FIFAWC1998</v>
      </c>
      <c r="M533" t="str">
        <f t="shared" si="158"/>
        <v>",Round= "</v>
      </c>
      <c r="N533" t="str">
        <f>Matchs!G534</f>
        <v>Final Round</v>
      </c>
      <c r="O533" s="6" t="str">
        <f t="shared" si="159"/>
        <v>",Stage= "</v>
      </c>
      <c r="P533" t="str">
        <f>Matchs!H534</f>
        <v>Group</v>
      </c>
      <c r="Q533" s="6" t="str">
        <f t="shared" si="160"/>
        <v>",SubStage= "</v>
      </c>
      <c r="R533" t="str">
        <f>Matchs!I534</f>
        <v xml:space="preserve">Group A </v>
      </c>
      <c r="S533" s="6" t="str">
        <f t="shared" si="161"/>
        <v>",HTeam= "</v>
      </c>
      <c r="T533" t="str">
        <f>Matchs!J534</f>
        <v>Scotland</v>
      </c>
      <c r="U533" s="6" t="str">
        <f t="shared" si="162"/>
        <v>",HGoal=</v>
      </c>
      <c r="V533">
        <f>Matchs!K534</f>
        <v>1</v>
      </c>
      <c r="W533" s="6" t="str">
        <f t="shared" si="163"/>
        <v>,GGoal=</v>
      </c>
      <c r="X533">
        <f>Matchs!L534</f>
        <v>1</v>
      </c>
      <c r="Y533" s="6" t="str">
        <f t="shared" si="164"/>
        <v>,GTeam= "</v>
      </c>
      <c r="Z533" t="str">
        <f>Matchs!M534</f>
        <v>Norway</v>
      </c>
      <c r="AA533" s="6" t="str">
        <f t="shared" si="165"/>
        <v>",WinNote="</v>
      </c>
      <c r="AB533" t="str">
        <f>IF(Matchs!N534="","",Matchs!N534)</f>
        <v/>
      </c>
      <c r="AC533" s="6" t="str">
        <f t="shared" si="166"/>
        <v xml:space="preserve">",Stadium=" </v>
      </c>
      <c r="AD533" s="11" t="str">
        <f>Matchs!O534</f>
        <v xml:space="preserve">Stade Chaban-Delmas </v>
      </c>
      <c r="AE533" s="6" t="str">
        <f t="shared" si="167"/>
        <v>",Referee= "</v>
      </c>
      <c r="AF533" s="11" t="str">
        <f>Matchs!P534</f>
        <v xml:space="preserve">Laszlo Vagner </v>
      </c>
      <c r="AG533" s="6" t="str">
        <f t="shared" si="168"/>
        <v xml:space="preserve">",Visistors= </v>
      </c>
      <c r="AH533" s="11">
        <f>Matchs!Q534</f>
        <v>31800</v>
      </c>
      <c r="AI533" s="11" t="str">
        <f t="shared" si="169"/>
        <v>,Status= "</v>
      </c>
      <c r="AJ533" s="11" t="str">
        <f>Matchs!R534</f>
        <v>Finished</v>
      </c>
      <c r="AK533" t="str">
        <f t="shared" si="170"/>
        <v>" },</v>
      </c>
    </row>
    <row r="534" spans="1:37" x14ac:dyDescent="0.25">
      <c r="A534" t="str">
        <f t="shared" si="152"/>
        <v>new Match { MatchId= "</v>
      </c>
      <c r="B534" t="str">
        <f>Matchs!A535</f>
        <v>FIFAWC1998-18</v>
      </c>
      <c r="C534" t="str">
        <f t="shared" si="153"/>
        <v>",MatchNumer=</v>
      </c>
      <c r="D534">
        <f>Matchs!B535</f>
        <v>18</v>
      </c>
      <c r="E534" t="str">
        <f t="shared" si="154"/>
        <v>,DateMatch=DateTime.Parse("</v>
      </c>
      <c r="F534" s="3">
        <f>Matchs!C535</f>
        <v>35963</v>
      </c>
      <c r="G534" s="10" t="str">
        <f t="shared" si="155"/>
        <v>"),TimeMatch=TimeSpan.Parse("</v>
      </c>
      <c r="H534" s="9">
        <f>Matchs!D535</f>
        <v>8.3333333333333329E-2</v>
      </c>
      <c r="I534" t="str">
        <f t="shared" si="156"/>
        <v>"),MatchYear=</v>
      </c>
      <c r="J534">
        <f>Matchs!E535</f>
        <v>1998</v>
      </c>
      <c r="K534" t="str">
        <f t="shared" si="157"/>
        <v>, SeasonId= "</v>
      </c>
      <c r="L534" t="str">
        <f>Matchs!F535</f>
        <v>FIFAWC1998</v>
      </c>
      <c r="M534" t="str">
        <f t="shared" si="158"/>
        <v>",Round= "</v>
      </c>
      <c r="N534" t="str">
        <f>Matchs!G535</f>
        <v>Final Round</v>
      </c>
      <c r="O534" s="6" t="str">
        <f t="shared" si="159"/>
        <v>",Stage= "</v>
      </c>
      <c r="P534" t="str">
        <f>Matchs!H535</f>
        <v>Group</v>
      </c>
      <c r="Q534" s="6" t="str">
        <f t="shared" si="160"/>
        <v>",SubStage= "</v>
      </c>
      <c r="R534" t="str">
        <f>Matchs!I535</f>
        <v xml:space="preserve">Group A </v>
      </c>
      <c r="S534" s="6" t="str">
        <f t="shared" si="161"/>
        <v>",HTeam= "</v>
      </c>
      <c r="T534" t="str">
        <f>Matchs!J535</f>
        <v>Brazil</v>
      </c>
      <c r="U534" s="6" t="str">
        <f t="shared" si="162"/>
        <v>",HGoal=</v>
      </c>
      <c r="V534">
        <f>Matchs!K535</f>
        <v>3</v>
      </c>
      <c r="W534" s="6" t="str">
        <f t="shared" si="163"/>
        <v>,GGoal=</v>
      </c>
      <c r="X534">
        <f>Matchs!L535</f>
        <v>0</v>
      </c>
      <c r="Y534" s="6" t="str">
        <f t="shared" si="164"/>
        <v>,GTeam= "</v>
      </c>
      <c r="Z534" t="str">
        <f>Matchs!M535</f>
        <v>Morocco</v>
      </c>
      <c r="AA534" s="6" t="str">
        <f t="shared" si="165"/>
        <v>",WinNote="</v>
      </c>
      <c r="AB534" t="str">
        <f>IF(Matchs!N535="","",Matchs!N535)</f>
        <v/>
      </c>
      <c r="AC534" s="6" t="str">
        <f t="shared" si="166"/>
        <v xml:space="preserve">",Stadium=" </v>
      </c>
      <c r="AD534" s="11" t="str">
        <f>Matchs!O535</f>
        <v xml:space="preserve">Stade de la Beaujoire </v>
      </c>
      <c r="AE534" s="6" t="str">
        <f t="shared" si="167"/>
        <v>",Referee= "</v>
      </c>
      <c r="AF534" s="11" t="str">
        <f>Matchs!P535</f>
        <v xml:space="preserve">Nikolai Levnikov </v>
      </c>
      <c r="AG534" s="6" t="str">
        <f t="shared" si="168"/>
        <v xml:space="preserve">",Visistors= </v>
      </c>
      <c r="AH534" s="11">
        <f>Matchs!Q535</f>
        <v>35500</v>
      </c>
      <c r="AI534" s="11" t="str">
        <f t="shared" si="169"/>
        <v>,Status= "</v>
      </c>
      <c r="AJ534" s="11" t="str">
        <f>Matchs!R535</f>
        <v>Finished</v>
      </c>
      <c r="AK534" t="str">
        <f t="shared" si="170"/>
        <v>" },</v>
      </c>
    </row>
    <row r="535" spans="1:37" x14ac:dyDescent="0.25">
      <c r="A535" t="str">
        <f t="shared" si="152"/>
        <v>new Match { MatchId= "</v>
      </c>
      <c r="B535" t="str">
        <f>Matchs!A536</f>
        <v>FIFAWC1998-19</v>
      </c>
      <c r="C535" t="str">
        <f t="shared" si="153"/>
        <v>",MatchNumer=</v>
      </c>
      <c r="D535">
        <f>Matchs!B536</f>
        <v>19</v>
      </c>
      <c r="E535" t="str">
        <f t="shared" si="154"/>
        <v>,DateMatch=DateTime.Parse("</v>
      </c>
      <c r="F535" s="3">
        <f>Matchs!C536</f>
        <v>35963</v>
      </c>
      <c r="G535" s="10" t="str">
        <f t="shared" si="155"/>
        <v>"),TimeMatch=TimeSpan.Parse("</v>
      </c>
      <c r="H535" s="9">
        <f>Matchs!D536</f>
        <v>0.9375</v>
      </c>
      <c r="I535" t="str">
        <f t="shared" si="156"/>
        <v>"),MatchYear=</v>
      </c>
      <c r="J535">
        <f>Matchs!E536</f>
        <v>1998</v>
      </c>
      <c r="K535" t="str">
        <f t="shared" si="157"/>
        <v>, SeasonId= "</v>
      </c>
      <c r="L535" t="str">
        <f>Matchs!F536</f>
        <v>FIFAWC1998</v>
      </c>
      <c r="M535" t="str">
        <f t="shared" si="158"/>
        <v>",Round= "</v>
      </c>
      <c r="N535" t="str">
        <f>Matchs!G536</f>
        <v>Final Round</v>
      </c>
      <c r="O535" s="6" t="str">
        <f t="shared" si="159"/>
        <v>",Stage= "</v>
      </c>
      <c r="P535" t="str">
        <f>Matchs!H536</f>
        <v>Group</v>
      </c>
      <c r="Q535" s="6" t="str">
        <f t="shared" si="160"/>
        <v>",SubStage= "</v>
      </c>
      <c r="R535" t="str">
        <f>Matchs!I536</f>
        <v xml:space="preserve">Group B </v>
      </c>
      <c r="S535" s="6" t="str">
        <f t="shared" si="161"/>
        <v>",HTeam= "</v>
      </c>
      <c r="T535" t="str">
        <f>Matchs!J536</f>
        <v>Chile</v>
      </c>
      <c r="U535" s="6" t="str">
        <f t="shared" si="162"/>
        <v>",HGoal=</v>
      </c>
      <c r="V535">
        <f>Matchs!K536</f>
        <v>1</v>
      </c>
      <c r="W535" s="6" t="str">
        <f t="shared" si="163"/>
        <v>,GGoal=</v>
      </c>
      <c r="X535">
        <f>Matchs!L536</f>
        <v>1</v>
      </c>
      <c r="Y535" s="6" t="str">
        <f t="shared" si="164"/>
        <v>,GTeam= "</v>
      </c>
      <c r="Z535" t="str">
        <f>Matchs!M536</f>
        <v>Austria</v>
      </c>
      <c r="AA535" s="6" t="str">
        <f t="shared" si="165"/>
        <v>",WinNote="</v>
      </c>
      <c r="AB535" t="str">
        <f>IF(Matchs!N536="","",Matchs!N536)</f>
        <v/>
      </c>
      <c r="AC535" s="6" t="str">
        <f t="shared" si="166"/>
        <v xml:space="preserve">",Stadium=" </v>
      </c>
      <c r="AD535" s="11" t="str">
        <f>Matchs!O536</f>
        <v xml:space="preserve">Stade Geoffroy-Guichard </v>
      </c>
      <c r="AE535" s="6" t="str">
        <f t="shared" si="167"/>
        <v>",Referee= "</v>
      </c>
      <c r="AF535" s="11" t="str">
        <f>Matchs!P536</f>
        <v xml:space="preserve">Gamal Al-Ghandour </v>
      </c>
      <c r="AG535" s="6" t="str">
        <f t="shared" si="168"/>
        <v xml:space="preserve">",Visistors= </v>
      </c>
      <c r="AH535" s="11">
        <f>Matchs!Q536</f>
        <v>30600</v>
      </c>
      <c r="AI535" s="11" t="str">
        <f t="shared" si="169"/>
        <v>,Status= "</v>
      </c>
      <c r="AJ535" s="11" t="str">
        <f>Matchs!R536</f>
        <v>Finished</v>
      </c>
      <c r="AK535" t="str">
        <f t="shared" si="170"/>
        <v>" },</v>
      </c>
    </row>
    <row r="536" spans="1:37" x14ac:dyDescent="0.25">
      <c r="A536" t="str">
        <f t="shared" si="152"/>
        <v>new Match { MatchId= "</v>
      </c>
      <c r="B536" t="str">
        <f>Matchs!A537</f>
        <v>FIFAWC1998-20</v>
      </c>
      <c r="C536" t="str">
        <f t="shared" si="153"/>
        <v>",MatchNumer=</v>
      </c>
      <c r="D536">
        <f>Matchs!B537</f>
        <v>20</v>
      </c>
      <c r="E536" t="str">
        <f t="shared" si="154"/>
        <v>,DateMatch=DateTime.Parse("</v>
      </c>
      <c r="F536" s="3">
        <f>Matchs!C537</f>
        <v>35964</v>
      </c>
      <c r="G536" s="10" t="str">
        <f t="shared" si="155"/>
        <v>"),TimeMatch=TimeSpan.Parse("</v>
      </c>
      <c r="H536" s="9">
        <f>Matchs!D537</f>
        <v>8.3333333333333329E-2</v>
      </c>
      <c r="I536" t="str">
        <f t="shared" si="156"/>
        <v>"),MatchYear=</v>
      </c>
      <c r="J536">
        <f>Matchs!E537</f>
        <v>1998</v>
      </c>
      <c r="K536" t="str">
        <f t="shared" si="157"/>
        <v>, SeasonId= "</v>
      </c>
      <c r="L536" t="str">
        <f>Matchs!F537</f>
        <v>FIFAWC1998</v>
      </c>
      <c r="M536" t="str">
        <f t="shared" si="158"/>
        <v>",Round= "</v>
      </c>
      <c r="N536" t="str">
        <f>Matchs!G537</f>
        <v>Final Round</v>
      </c>
      <c r="O536" s="6" t="str">
        <f t="shared" si="159"/>
        <v>",Stage= "</v>
      </c>
      <c r="P536" t="str">
        <f>Matchs!H537</f>
        <v>Group</v>
      </c>
      <c r="Q536" s="6" t="str">
        <f t="shared" si="160"/>
        <v>",SubStage= "</v>
      </c>
      <c r="R536" t="str">
        <f>Matchs!I537</f>
        <v xml:space="preserve">Group B </v>
      </c>
      <c r="S536" s="6" t="str">
        <f t="shared" si="161"/>
        <v>",HTeam= "</v>
      </c>
      <c r="T536" t="str">
        <f>Matchs!J537</f>
        <v>Italy</v>
      </c>
      <c r="U536" s="6" t="str">
        <f t="shared" si="162"/>
        <v>",HGoal=</v>
      </c>
      <c r="V536">
        <f>Matchs!K537</f>
        <v>3</v>
      </c>
      <c r="W536" s="6" t="str">
        <f t="shared" si="163"/>
        <v>,GGoal=</v>
      </c>
      <c r="X536">
        <f>Matchs!L537</f>
        <v>0</v>
      </c>
      <c r="Y536" s="6" t="str">
        <f t="shared" si="164"/>
        <v>,GTeam= "</v>
      </c>
      <c r="Z536" t="str">
        <f>Matchs!M537</f>
        <v>Cameroon</v>
      </c>
      <c r="AA536" s="6" t="str">
        <f t="shared" si="165"/>
        <v>",WinNote="</v>
      </c>
      <c r="AB536" t="str">
        <f>IF(Matchs!N537="","",Matchs!N537)</f>
        <v/>
      </c>
      <c r="AC536" s="6" t="str">
        <f t="shared" si="166"/>
        <v xml:space="preserve">",Stadium=" </v>
      </c>
      <c r="AD536" s="11" t="str">
        <f>Matchs!O537</f>
        <v xml:space="preserve">Stade de la Mosson </v>
      </c>
      <c r="AE536" s="6" t="str">
        <f t="shared" si="167"/>
        <v>",Referee= "</v>
      </c>
      <c r="AF536" s="11" t="str">
        <f>Matchs!P537</f>
        <v xml:space="preserve">Edward Lennie </v>
      </c>
      <c r="AG536" s="6" t="str">
        <f t="shared" si="168"/>
        <v xml:space="preserve">",Visistors= </v>
      </c>
      <c r="AH536" s="11">
        <f>Matchs!Q537</f>
        <v>29800</v>
      </c>
      <c r="AI536" s="11" t="str">
        <f t="shared" si="169"/>
        <v>,Status= "</v>
      </c>
      <c r="AJ536" s="11" t="str">
        <f>Matchs!R537</f>
        <v>Finished</v>
      </c>
      <c r="AK536" t="str">
        <f t="shared" si="170"/>
        <v>" },</v>
      </c>
    </row>
    <row r="537" spans="1:37" x14ac:dyDescent="0.25">
      <c r="A537" t="str">
        <f t="shared" si="152"/>
        <v>new Match { MatchId= "</v>
      </c>
      <c r="B537" t="str">
        <f>Matchs!A538</f>
        <v>FIFAWC1998-21</v>
      </c>
      <c r="C537" t="str">
        <f t="shared" si="153"/>
        <v>",MatchNumer=</v>
      </c>
      <c r="D537">
        <f>Matchs!B538</f>
        <v>21</v>
      </c>
      <c r="E537" t="str">
        <f t="shared" si="154"/>
        <v>,DateMatch=DateTime.Parse("</v>
      </c>
      <c r="F537" s="3">
        <f>Matchs!C538</f>
        <v>35964</v>
      </c>
      <c r="G537" s="10" t="str">
        <f t="shared" si="155"/>
        <v>"),TimeMatch=TimeSpan.Parse("</v>
      </c>
      <c r="H537" s="9">
        <f>Matchs!D538</f>
        <v>0.9375</v>
      </c>
      <c r="I537" t="str">
        <f t="shared" si="156"/>
        <v>"),MatchYear=</v>
      </c>
      <c r="J537">
        <f>Matchs!E538</f>
        <v>1998</v>
      </c>
      <c r="K537" t="str">
        <f t="shared" si="157"/>
        <v>, SeasonId= "</v>
      </c>
      <c r="L537" t="str">
        <f>Matchs!F538</f>
        <v>FIFAWC1998</v>
      </c>
      <c r="M537" t="str">
        <f t="shared" si="158"/>
        <v>",Round= "</v>
      </c>
      <c r="N537" t="str">
        <f>Matchs!G538</f>
        <v>Final Round</v>
      </c>
      <c r="O537" s="6" t="str">
        <f t="shared" si="159"/>
        <v>",Stage= "</v>
      </c>
      <c r="P537" t="str">
        <f>Matchs!H538</f>
        <v>Group</v>
      </c>
      <c r="Q537" s="6" t="str">
        <f t="shared" si="160"/>
        <v>",SubStage= "</v>
      </c>
      <c r="R537" t="str">
        <f>Matchs!I538</f>
        <v xml:space="preserve">Group C </v>
      </c>
      <c r="S537" s="6" t="str">
        <f t="shared" si="161"/>
        <v>",HTeam= "</v>
      </c>
      <c r="T537" t="str">
        <f>Matchs!J538</f>
        <v>South Africa</v>
      </c>
      <c r="U537" s="6" t="str">
        <f t="shared" si="162"/>
        <v>",HGoal=</v>
      </c>
      <c r="V537">
        <f>Matchs!K538</f>
        <v>1</v>
      </c>
      <c r="W537" s="6" t="str">
        <f t="shared" si="163"/>
        <v>,GGoal=</v>
      </c>
      <c r="X537">
        <f>Matchs!L538</f>
        <v>1</v>
      </c>
      <c r="Y537" s="6" t="str">
        <f t="shared" si="164"/>
        <v>,GTeam= "</v>
      </c>
      <c r="Z537" t="str">
        <f>Matchs!M538</f>
        <v>Denmark</v>
      </c>
      <c r="AA537" s="6" t="str">
        <f t="shared" si="165"/>
        <v>",WinNote="</v>
      </c>
      <c r="AB537" t="str">
        <f>IF(Matchs!N538="","",Matchs!N538)</f>
        <v/>
      </c>
      <c r="AC537" s="6" t="str">
        <f t="shared" si="166"/>
        <v xml:space="preserve">",Stadium=" </v>
      </c>
      <c r="AD537" s="11" t="str">
        <f>Matchs!O538</f>
        <v xml:space="preserve">Stade Municipal de Toulouse </v>
      </c>
      <c r="AE537" s="6" t="str">
        <f t="shared" si="167"/>
        <v>",Referee= "</v>
      </c>
      <c r="AF537" s="11" t="str">
        <f>Matchs!P538</f>
        <v xml:space="preserve">John Toro Rendon </v>
      </c>
      <c r="AG537" s="6" t="str">
        <f t="shared" si="168"/>
        <v xml:space="preserve">",Visistors= </v>
      </c>
      <c r="AH537" s="11">
        <f>Matchs!Q538</f>
        <v>33300</v>
      </c>
      <c r="AI537" s="11" t="str">
        <f t="shared" si="169"/>
        <v>,Status= "</v>
      </c>
      <c r="AJ537" s="11" t="str">
        <f>Matchs!R538</f>
        <v>Finished</v>
      </c>
      <c r="AK537" t="str">
        <f t="shared" si="170"/>
        <v>" },</v>
      </c>
    </row>
    <row r="538" spans="1:37" x14ac:dyDescent="0.25">
      <c r="A538" t="str">
        <f t="shared" si="152"/>
        <v>new Match { MatchId= "</v>
      </c>
      <c r="B538" t="str">
        <f>Matchs!A539</f>
        <v>FIFAWC1998-22</v>
      </c>
      <c r="C538" t="str">
        <f t="shared" si="153"/>
        <v>",MatchNumer=</v>
      </c>
      <c r="D538">
        <f>Matchs!B539</f>
        <v>22</v>
      </c>
      <c r="E538" t="str">
        <f t="shared" si="154"/>
        <v>,DateMatch=DateTime.Parse("</v>
      </c>
      <c r="F538" s="3">
        <f>Matchs!C539</f>
        <v>35965</v>
      </c>
      <c r="G538" s="10" t="str">
        <f t="shared" si="155"/>
        <v>"),TimeMatch=TimeSpan.Parse("</v>
      </c>
      <c r="H538" s="9">
        <f>Matchs!D539</f>
        <v>8.3333333333333329E-2</v>
      </c>
      <c r="I538" t="str">
        <f t="shared" si="156"/>
        <v>"),MatchYear=</v>
      </c>
      <c r="J538">
        <f>Matchs!E539</f>
        <v>1998</v>
      </c>
      <c r="K538" t="str">
        <f t="shared" si="157"/>
        <v>, SeasonId= "</v>
      </c>
      <c r="L538" t="str">
        <f>Matchs!F539</f>
        <v>FIFAWC1998</v>
      </c>
      <c r="M538" t="str">
        <f t="shared" si="158"/>
        <v>",Round= "</v>
      </c>
      <c r="N538" t="str">
        <f>Matchs!G539</f>
        <v>Final Round</v>
      </c>
      <c r="O538" s="6" t="str">
        <f t="shared" si="159"/>
        <v>",Stage= "</v>
      </c>
      <c r="P538" t="str">
        <f>Matchs!H539</f>
        <v>Group</v>
      </c>
      <c r="Q538" s="6" t="str">
        <f t="shared" si="160"/>
        <v>",SubStage= "</v>
      </c>
      <c r="R538" t="str">
        <f>Matchs!I539</f>
        <v xml:space="preserve">Group C </v>
      </c>
      <c r="S538" s="6" t="str">
        <f t="shared" si="161"/>
        <v>",HTeam= "</v>
      </c>
      <c r="T538" t="str">
        <f>Matchs!J539</f>
        <v>France</v>
      </c>
      <c r="U538" s="6" t="str">
        <f t="shared" si="162"/>
        <v>",HGoal=</v>
      </c>
      <c r="V538">
        <f>Matchs!K539</f>
        <v>4</v>
      </c>
      <c r="W538" s="6" t="str">
        <f t="shared" si="163"/>
        <v>,GGoal=</v>
      </c>
      <c r="X538">
        <f>Matchs!L539</f>
        <v>0</v>
      </c>
      <c r="Y538" s="6" t="str">
        <f t="shared" si="164"/>
        <v>,GTeam= "</v>
      </c>
      <c r="Z538" t="str">
        <f>Matchs!M539</f>
        <v>Saudi Arabia</v>
      </c>
      <c r="AA538" s="6" t="str">
        <f t="shared" si="165"/>
        <v>",WinNote="</v>
      </c>
      <c r="AB538" t="str">
        <f>IF(Matchs!N539="","",Matchs!N539)</f>
        <v/>
      </c>
      <c r="AC538" s="6" t="str">
        <f t="shared" si="166"/>
        <v xml:space="preserve">",Stadium=" </v>
      </c>
      <c r="AD538" s="11" t="str">
        <f>Matchs!O539</f>
        <v xml:space="preserve">Stade de France </v>
      </c>
      <c r="AE538" s="6" t="str">
        <f t="shared" si="167"/>
        <v>",Referee= "</v>
      </c>
      <c r="AF538" s="11" t="str">
        <f>Matchs!P539</f>
        <v xml:space="preserve">Arturo Brizio Carter </v>
      </c>
      <c r="AG538" s="6" t="str">
        <f t="shared" si="168"/>
        <v xml:space="preserve">",Visistors= </v>
      </c>
      <c r="AH538" s="11">
        <f>Matchs!Q539</f>
        <v>80000</v>
      </c>
      <c r="AI538" s="11" t="str">
        <f t="shared" si="169"/>
        <v>,Status= "</v>
      </c>
      <c r="AJ538" s="11" t="str">
        <f>Matchs!R539</f>
        <v>Finished</v>
      </c>
      <c r="AK538" t="str">
        <f t="shared" si="170"/>
        <v>" },</v>
      </c>
    </row>
    <row r="539" spans="1:37" x14ac:dyDescent="0.25">
      <c r="A539" t="str">
        <f t="shared" si="152"/>
        <v>new Match { MatchId= "</v>
      </c>
      <c r="B539" t="str">
        <f>Matchs!A540</f>
        <v>FIFAWC1998-23</v>
      </c>
      <c r="C539" t="str">
        <f t="shared" si="153"/>
        <v>",MatchNumer=</v>
      </c>
      <c r="D539">
        <f>Matchs!B540</f>
        <v>23</v>
      </c>
      <c r="E539" t="str">
        <f t="shared" si="154"/>
        <v>,DateMatch=DateTime.Parse("</v>
      </c>
      <c r="F539" s="3">
        <f>Matchs!C540</f>
        <v>35965</v>
      </c>
      <c r="G539" s="10" t="str">
        <f t="shared" si="155"/>
        <v>"),TimeMatch=TimeSpan.Parse("</v>
      </c>
      <c r="H539" s="9">
        <f>Matchs!D540</f>
        <v>0.9375</v>
      </c>
      <c r="I539" t="str">
        <f t="shared" si="156"/>
        <v>"),MatchYear=</v>
      </c>
      <c r="J539">
        <f>Matchs!E540</f>
        <v>1998</v>
      </c>
      <c r="K539" t="str">
        <f t="shared" si="157"/>
        <v>, SeasonId= "</v>
      </c>
      <c r="L539" t="str">
        <f>Matchs!F540</f>
        <v>FIFAWC1998</v>
      </c>
      <c r="M539" t="str">
        <f t="shared" si="158"/>
        <v>",Round= "</v>
      </c>
      <c r="N539" t="str">
        <f>Matchs!G540</f>
        <v>Final Round</v>
      </c>
      <c r="O539" s="6" t="str">
        <f t="shared" si="159"/>
        <v>",Stage= "</v>
      </c>
      <c r="P539" t="str">
        <f>Matchs!H540</f>
        <v>Group</v>
      </c>
      <c r="Q539" s="6" t="str">
        <f t="shared" si="160"/>
        <v>",SubStage= "</v>
      </c>
      <c r="R539" t="str">
        <f>Matchs!I540</f>
        <v xml:space="preserve">Group D </v>
      </c>
      <c r="S539" s="6" t="str">
        <f t="shared" si="161"/>
        <v>",HTeam= "</v>
      </c>
      <c r="T539" t="str">
        <f>Matchs!J540</f>
        <v>Nigeria</v>
      </c>
      <c r="U539" s="6" t="str">
        <f t="shared" si="162"/>
        <v>",HGoal=</v>
      </c>
      <c r="V539">
        <f>Matchs!K540</f>
        <v>1</v>
      </c>
      <c r="W539" s="6" t="str">
        <f t="shared" si="163"/>
        <v>,GGoal=</v>
      </c>
      <c r="X539">
        <f>Matchs!L540</f>
        <v>0</v>
      </c>
      <c r="Y539" s="6" t="str">
        <f t="shared" si="164"/>
        <v>,GTeam= "</v>
      </c>
      <c r="Z539" t="str">
        <f>Matchs!M540</f>
        <v>Bulgaria</v>
      </c>
      <c r="AA539" s="6" t="str">
        <f t="shared" si="165"/>
        <v>",WinNote="</v>
      </c>
      <c r="AB539" t="str">
        <f>IF(Matchs!N540="","",Matchs!N540)</f>
        <v/>
      </c>
      <c r="AC539" s="6" t="str">
        <f t="shared" si="166"/>
        <v xml:space="preserve">",Stadium=" </v>
      </c>
      <c r="AD539" s="11" t="str">
        <f>Matchs!O540</f>
        <v xml:space="preserve">Parc des Princes </v>
      </c>
      <c r="AE539" s="6" t="str">
        <f t="shared" si="167"/>
        <v>",Referee= "</v>
      </c>
      <c r="AF539" s="11" t="str">
        <f>Matchs!P540</f>
        <v xml:space="preserve">Mario Sanchez Yanten </v>
      </c>
      <c r="AG539" s="6" t="str">
        <f t="shared" si="168"/>
        <v xml:space="preserve">",Visistors= </v>
      </c>
      <c r="AH539" s="11">
        <f>Matchs!Q540</f>
        <v>45500</v>
      </c>
      <c r="AI539" s="11" t="str">
        <f t="shared" si="169"/>
        <v>,Status= "</v>
      </c>
      <c r="AJ539" s="11" t="str">
        <f>Matchs!R540</f>
        <v>Finished</v>
      </c>
      <c r="AK539" t="str">
        <f t="shared" si="170"/>
        <v>" },</v>
      </c>
    </row>
    <row r="540" spans="1:37" x14ac:dyDescent="0.25">
      <c r="A540" t="str">
        <f t="shared" si="152"/>
        <v>new Match { MatchId= "</v>
      </c>
      <c r="B540" t="str">
        <f>Matchs!A541</f>
        <v>FIFAWC1998-24</v>
      </c>
      <c r="C540" t="str">
        <f t="shared" si="153"/>
        <v>",MatchNumer=</v>
      </c>
      <c r="D540">
        <f>Matchs!B541</f>
        <v>24</v>
      </c>
      <c r="E540" t="str">
        <f t="shared" si="154"/>
        <v>,DateMatch=DateTime.Parse("</v>
      </c>
      <c r="F540" s="3">
        <f>Matchs!C541</f>
        <v>35966</v>
      </c>
      <c r="G540" s="10" t="str">
        <f t="shared" si="155"/>
        <v>"),TimeMatch=TimeSpan.Parse("</v>
      </c>
      <c r="H540" s="9">
        <f>Matchs!D541</f>
        <v>8.3333333333333329E-2</v>
      </c>
      <c r="I540" t="str">
        <f t="shared" si="156"/>
        <v>"),MatchYear=</v>
      </c>
      <c r="J540">
        <f>Matchs!E541</f>
        <v>1998</v>
      </c>
      <c r="K540" t="str">
        <f t="shared" si="157"/>
        <v>, SeasonId= "</v>
      </c>
      <c r="L540" t="str">
        <f>Matchs!F541</f>
        <v>FIFAWC1998</v>
      </c>
      <c r="M540" t="str">
        <f t="shared" si="158"/>
        <v>",Round= "</v>
      </c>
      <c r="N540" t="str">
        <f>Matchs!G541</f>
        <v>Final Round</v>
      </c>
      <c r="O540" s="6" t="str">
        <f t="shared" si="159"/>
        <v>",Stage= "</v>
      </c>
      <c r="P540" t="str">
        <f>Matchs!H541</f>
        <v>Group</v>
      </c>
      <c r="Q540" s="6" t="str">
        <f t="shared" si="160"/>
        <v>",SubStage= "</v>
      </c>
      <c r="R540" t="str">
        <f>Matchs!I541</f>
        <v xml:space="preserve">Group D </v>
      </c>
      <c r="S540" s="6" t="str">
        <f t="shared" si="161"/>
        <v>",HTeam= "</v>
      </c>
      <c r="T540" t="str">
        <f>Matchs!J541</f>
        <v>Spain</v>
      </c>
      <c r="U540" s="6" t="str">
        <f t="shared" si="162"/>
        <v>",HGoal=</v>
      </c>
      <c r="V540">
        <f>Matchs!K541</f>
        <v>0</v>
      </c>
      <c r="W540" s="6" t="str">
        <f t="shared" si="163"/>
        <v>,GGoal=</v>
      </c>
      <c r="X540">
        <f>Matchs!L541</f>
        <v>0</v>
      </c>
      <c r="Y540" s="6" t="str">
        <f t="shared" si="164"/>
        <v>,GTeam= "</v>
      </c>
      <c r="Z540" t="str">
        <f>Matchs!M541</f>
        <v>Paraguay</v>
      </c>
      <c r="AA540" s="6" t="str">
        <f t="shared" si="165"/>
        <v>",WinNote="</v>
      </c>
      <c r="AB540" t="str">
        <f>IF(Matchs!N541="","",Matchs!N541)</f>
        <v/>
      </c>
      <c r="AC540" s="6" t="str">
        <f t="shared" si="166"/>
        <v xml:space="preserve">",Stadium=" </v>
      </c>
      <c r="AD540" s="11" t="str">
        <f>Matchs!O541</f>
        <v xml:space="preserve">Stade Geoffroy-Guichard </v>
      </c>
      <c r="AE540" s="6" t="str">
        <f t="shared" si="167"/>
        <v>",Referee= "</v>
      </c>
      <c r="AF540" s="11" t="str">
        <f>Matchs!P541</f>
        <v xml:space="preserve">Ian McLeod </v>
      </c>
      <c r="AG540" s="6" t="str">
        <f t="shared" si="168"/>
        <v xml:space="preserve">",Visistors= </v>
      </c>
      <c r="AH540" s="11">
        <f>Matchs!Q541</f>
        <v>30600</v>
      </c>
      <c r="AI540" s="11" t="str">
        <f t="shared" si="169"/>
        <v>,Status= "</v>
      </c>
      <c r="AJ540" s="11" t="str">
        <f>Matchs!R541</f>
        <v>Finished</v>
      </c>
      <c r="AK540" t="str">
        <f t="shared" si="170"/>
        <v>" },</v>
      </c>
    </row>
    <row r="541" spans="1:37" x14ac:dyDescent="0.25">
      <c r="A541" t="str">
        <f t="shared" si="152"/>
        <v>new Match { MatchId= "</v>
      </c>
      <c r="B541" t="str">
        <f>Matchs!A542</f>
        <v>FIFAWC1998-25</v>
      </c>
      <c r="C541" t="str">
        <f t="shared" si="153"/>
        <v>",MatchNumer=</v>
      </c>
      <c r="D541">
        <f>Matchs!B542</f>
        <v>25</v>
      </c>
      <c r="E541" t="str">
        <f t="shared" si="154"/>
        <v>,DateMatch=DateTime.Parse("</v>
      </c>
      <c r="F541" s="3">
        <f>Matchs!C542</f>
        <v>35966</v>
      </c>
      <c r="G541" s="10" t="str">
        <f t="shared" si="155"/>
        <v>"),TimeMatch=TimeSpan.Parse("</v>
      </c>
      <c r="H541" s="9">
        <f>Matchs!D542</f>
        <v>0.8125</v>
      </c>
      <c r="I541" t="str">
        <f t="shared" si="156"/>
        <v>"),MatchYear=</v>
      </c>
      <c r="J541">
        <f>Matchs!E542</f>
        <v>1998</v>
      </c>
      <c r="K541" t="str">
        <f t="shared" si="157"/>
        <v>, SeasonId= "</v>
      </c>
      <c r="L541" t="str">
        <f>Matchs!F542</f>
        <v>FIFAWC1998</v>
      </c>
      <c r="M541" t="str">
        <f t="shared" si="158"/>
        <v>",Round= "</v>
      </c>
      <c r="N541" t="str">
        <f>Matchs!G542</f>
        <v>Final Round</v>
      </c>
      <c r="O541" s="6" t="str">
        <f t="shared" si="159"/>
        <v>",Stage= "</v>
      </c>
      <c r="P541" t="str">
        <f>Matchs!H542</f>
        <v>Group</v>
      </c>
      <c r="Q541" s="6" t="str">
        <f t="shared" si="160"/>
        <v>",SubStage= "</v>
      </c>
      <c r="R541" t="str">
        <f>Matchs!I542</f>
        <v xml:space="preserve">Group H </v>
      </c>
      <c r="S541" s="6" t="str">
        <f t="shared" si="161"/>
        <v>",HTeam= "</v>
      </c>
      <c r="T541" t="str">
        <f>Matchs!J542</f>
        <v>Japan</v>
      </c>
      <c r="U541" s="6" t="str">
        <f t="shared" si="162"/>
        <v>",HGoal=</v>
      </c>
      <c r="V541">
        <f>Matchs!K542</f>
        <v>0</v>
      </c>
      <c r="W541" s="6" t="str">
        <f t="shared" si="163"/>
        <v>,GGoal=</v>
      </c>
      <c r="X541">
        <f>Matchs!L542</f>
        <v>1</v>
      </c>
      <c r="Y541" s="6" t="str">
        <f t="shared" si="164"/>
        <v>,GTeam= "</v>
      </c>
      <c r="Z541" t="str">
        <f>Matchs!M542</f>
        <v>Croatia</v>
      </c>
      <c r="AA541" s="6" t="str">
        <f t="shared" si="165"/>
        <v>",WinNote="</v>
      </c>
      <c r="AB541" t="str">
        <f>IF(Matchs!N542="","",Matchs!N542)</f>
        <v/>
      </c>
      <c r="AC541" s="6" t="str">
        <f t="shared" si="166"/>
        <v xml:space="preserve">",Stadium=" </v>
      </c>
      <c r="AD541" s="11" t="str">
        <f>Matchs!O542</f>
        <v xml:space="preserve">Stade de la Beaujoire </v>
      </c>
      <c r="AE541" s="6" t="str">
        <f t="shared" si="167"/>
        <v>",Referee= "</v>
      </c>
      <c r="AF541" s="11" t="str">
        <f>Matchs!P542</f>
        <v xml:space="preserve">Ramesh Ramdhan </v>
      </c>
      <c r="AG541" s="6" t="str">
        <f t="shared" si="168"/>
        <v xml:space="preserve">",Visistors= </v>
      </c>
      <c r="AH541" s="11">
        <f>Matchs!Q542</f>
        <v>35500</v>
      </c>
      <c r="AI541" s="11" t="str">
        <f t="shared" si="169"/>
        <v>,Status= "</v>
      </c>
      <c r="AJ541" s="11" t="str">
        <f>Matchs!R542</f>
        <v>Finished</v>
      </c>
      <c r="AK541" t="str">
        <f t="shared" si="170"/>
        <v>" },</v>
      </c>
    </row>
    <row r="542" spans="1:37" x14ac:dyDescent="0.25">
      <c r="A542" t="str">
        <f t="shared" si="152"/>
        <v>new Match { MatchId= "</v>
      </c>
      <c r="B542" t="str">
        <f>Matchs!A543</f>
        <v>FIFAWC1998-26</v>
      </c>
      <c r="C542" t="str">
        <f t="shared" si="153"/>
        <v>",MatchNumer=</v>
      </c>
      <c r="D542">
        <f>Matchs!B543</f>
        <v>26</v>
      </c>
      <c r="E542" t="str">
        <f t="shared" si="154"/>
        <v>,DateMatch=DateTime.Parse("</v>
      </c>
      <c r="F542" s="3">
        <f>Matchs!C543</f>
        <v>35966</v>
      </c>
      <c r="G542" s="10" t="str">
        <f t="shared" si="155"/>
        <v>"),TimeMatch=TimeSpan.Parse("</v>
      </c>
      <c r="H542" s="9">
        <f>Matchs!D543</f>
        <v>0.9375</v>
      </c>
      <c r="I542" t="str">
        <f t="shared" si="156"/>
        <v>"),MatchYear=</v>
      </c>
      <c r="J542">
        <f>Matchs!E543</f>
        <v>1998</v>
      </c>
      <c r="K542" t="str">
        <f t="shared" si="157"/>
        <v>, SeasonId= "</v>
      </c>
      <c r="L542" t="str">
        <f>Matchs!F543</f>
        <v>FIFAWC1998</v>
      </c>
      <c r="M542" t="str">
        <f t="shared" si="158"/>
        <v>",Round= "</v>
      </c>
      <c r="N542" t="str">
        <f>Matchs!G543</f>
        <v>Final Round</v>
      </c>
      <c r="O542" s="6" t="str">
        <f t="shared" si="159"/>
        <v>",Stage= "</v>
      </c>
      <c r="P542" t="str">
        <f>Matchs!H543</f>
        <v>Group</v>
      </c>
      <c r="Q542" s="6" t="str">
        <f t="shared" si="160"/>
        <v>",SubStage= "</v>
      </c>
      <c r="R542" t="str">
        <f>Matchs!I543</f>
        <v xml:space="preserve">Group E </v>
      </c>
      <c r="S542" s="6" t="str">
        <f t="shared" si="161"/>
        <v>",HTeam= "</v>
      </c>
      <c r="T542" t="str">
        <f>Matchs!J543</f>
        <v>Belgium</v>
      </c>
      <c r="U542" s="6" t="str">
        <f t="shared" si="162"/>
        <v>",HGoal=</v>
      </c>
      <c r="V542">
        <f>Matchs!K543</f>
        <v>2</v>
      </c>
      <c r="W542" s="6" t="str">
        <f t="shared" si="163"/>
        <v>,GGoal=</v>
      </c>
      <c r="X542">
        <f>Matchs!L543</f>
        <v>2</v>
      </c>
      <c r="Y542" s="6" t="str">
        <f t="shared" si="164"/>
        <v>,GTeam= "</v>
      </c>
      <c r="Z542" t="str">
        <f>Matchs!M543</f>
        <v>Mexico</v>
      </c>
      <c r="AA542" s="6" t="str">
        <f t="shared" si="165"/>
        <v>",WinNote="</v>
      </c>
      <c r="AB542" t="str">
        <f>IF(Matchs!N543="","",Matchs!N543)</f>
        <v/>
      </c>
      <c r="AC542" s="6" t="str">
        <f t="shared" si="166"/>
        <v xml:space="preserve">",Stadium=" </v>
      </c>
      <c r="AD542" s="11" t="str">
        <f>Matchs!O543</f>
        <v xml:space="preserve">Stade Chaban-Delmas </v>
      </c>
      <c r="AE542" s="6" t="str">
        <f t="shared" si="167"/>
        <v>",Referee= "</v>
      </c>
      <c r="AF542" s="11" t="str">
        <f>Matchs!P543</f>
        <v xml:space="preserve">Hugh Dallas </v>
      </c>
      <c r="AG542" s="6" t="str">
        <f t="shared" si="168"/>
        <v xml:space="preserve">",Visistors= </v>
      </c>
      <c r="AH542" s="11">
        <f>Matchs!Q543</f>
        <v>31800</v>
      </c>
      <c r="AI542" s="11" t="str">
        <f t="shared" si="169"/>
        <v>,Status= "</v>
      </c>
      <c r="AJ542" s="11" t="str">
        <f>Matchs!R543</f>
        <v>Finished</v>
      </c>
      <c r="AK542" t="str">
        <f t="shared" si="170"/>
        <v>" },</v>
      </c>
    </row>
    <row r="543" spans="1:37" x14ac:dyDescent="0.25">
      <c r="A543" t="str">
        <f t="shared" si="152"/>
        <v>new Match { MatchId= "</v>
      </c>
      <c r="B543" t="str">
        <f>Matchs!A544</f>
        <v>FIFAWC1998-27</v>
      </c>
      <c r="C543" t="str">
        <f t="shared" si="153"/>
        <v>",MatchNumer=</v>
      </c>
      <c r="D543">
        <f>Matchs!B544</f>
        <v>27</v>
      </c>
      <c r="E543" t="str">
        <f t="shared" si="154"/>
        <v>,DateMatch=DateTime.Parse("</v>
      </c>
      <c r="F543" s="3">
        <f>Matchs!C544</f>
        <v>35967</v>
      </c>
      <c r="G543" s="10" t="str">
        <f t="shared" si="155"/>
        <v>"),TimeMatch=TimeSpan.Parse("</v>
      </c>
      <c r="H543" s="9">
        <f>Matchs!D544</f>
        <v>8.3333333333333329E-2</v>
      </c>
      <c r="I543" t="str">
        <f t="shared" si="156"/>
        <v>"),MatchYear=</v>
      </c>
      <c r="J543">
        <f>Matchs!E544</f>
        <v>1998</v>
      </c>
      <c r="K543" t="str">
        <f t="shared" si="157"/>
        <v>, SeasonId= "</v>
      </c>
      <c r="L543" t="str">
        <f>Matchs!F544</f>
        <v>FIFAWC1998</v>
      </c>
      <c r="M543" t="str">
        <f t="shared" si="158"/>
        <v>",Round= "</v>
      </c>
      <c r="N543" t="str">
        <f>Matchs!G544</f>
        <v>Final Round</v>
      </c>
      <c r="O543" s="6" t="str">
        <f t="shared" si="159"/>
        <v>",Stage= "</v>
      </c>
      <c r="P543" t="str">
        <f>Matchs!H544</f>
        <v>Group</v>
      </c>
      <c r="Q543" s="6" t="str">
        <f t="shared" si="160"/>
        <v>",SubStage= "</v>
      </c>
      <c r="R543" t="str">
        <f>Matchs!I544</f>
        <v xml:space="preserve">Group E </v>
      </c>
      <c r="S543" s="6" t="str">
        <f t="shared" si="161"/>
        <v>",HTeam= "</v>
      </c>
      <c r="T543" t="str">
        <f>Matchs!J544</f>
        <v>Netherlands</v>
      </c>
      <c r="U543" s="6" t="str">
        <f t="shared" si="162"/>
        <v>",HGoal=</v>
      </c>
      <c r="V543">
        <f>Matchs!K544</f>
        <v>5</v>
      </c>
      <c r="W543" s="6" t="str">
        <f t="shared" si="163"/>
        <v>,GGoal=</v>
      </c>
      <c r="X543">
        <f>Matchs!L544</f>
        <v>0</v>
      </c>
      <c r="Y543" s="6" t="str">
        <f t="shared" si="164"/>
        <v>,GTeam= "</v>
      </c>
      <c r="Z543" t="str">
        <f>Matchs!M544</f>
        <v>South Korea</v>
      </c>
      <c r="AA543" s="6" t="str">
        <f t="shared" si="165"/>
        <v>",WinNote="</v>
      </c>
      <c r="AB543" t="str">
        <f>IF(Matchs!N544="","",Matchs!N544)</f>
        <v/>
      </c>
      <c r="AC543" s="6" t="str">
        <f t="shared" si="166"/>
        <v xml:space="preserve">",Stadium=" </v>
      </c>
      <c r="AD543" s="11" t="str">
        <f>Matchs!O544</f>
        <v xml:space="preserve">Stade Vélodrome </v>
      </c>
      <c r="AE543" s="6" t="str">
        <f t="shared" si="167"/>
        <v>",Referee= "</v>
      </c>
      <c r="AF543" s="11" t="str">
        <f>Matchs!P544</f>
        <v xml:space="preserve">Ryszard Wojcik </v>
      </c>
      <c r="AG543" s="6" t="str">
        <f t="shared" si="168"/>
        <v xml:space="preserve">",Visistors= </v>
      </c>
      <c r="AH543" s="11">
        <f>Matchs!Q544</f>
        <v>55000</v>
      </c>
      <c r="AI543" s="11" t="str">
        <f t="shared" si="169"/>
        <v>,Status= "</v>
      </c>
      <c r="AJ543" s="11" t="str">
        <f>Matchs!R544</f>
        <v>Finished</v>
      </c>
      <c r="AK543" t="str">
        <f t="shared" si="170"/>
        <v>" },</v>
      </c>
    </row>
    <row r="544" spans="1:37" x14ac:dyDescent="0.25">
      <c r="A544" t="str">
        <f t="shared" si="152"/>
        <v>new Match { MatchId= "</v>
      </c>
      <c r="B544" t="str">
        <f>Matchs!A545</f>
        <v>FIFAWC1998-28</v>
      </c>
      <c r="C544" t="str">
        <f t="shared" si="153"/>
        <v>",MatchNumer=</v>
      </c>
      <c r="D544">
        <f>Matchs!B545</f>
        <v>28</v>
      </c>
      <c r="E544" t="str">
        <f t="shared" si="154"/>
        <v>,DateMatch=DateTime.Parse("</v>
      </c>
      <c r="F544" s="3">
        <f>Matchs!C545</f>
        <v>35967</v>
      </c>
      <c r="G544" s="10" t="str">
        <f t="shared" si="155"/>
        <v>"),TimeMatch=TimeSpan.Parse("</v>
      </c>
      <c r="H544" s="9">
        <f>Matchs!D545</f>
        <v>0.8125</v>
      </c>
      <c r="I544" t="str">
        <f t="shared" si="156"/>
        <v>"),MatchYear=</v>
      </c>
      <c r="J544">
        <f>Matchs!E545</f>
        <v>1998</v>
      </c>
      <c r="K544" t="str">
        <f t="shared" si="157"/>
        <v>, SeasonId= "</v>
      </c>
      <c r="L544" t="str">
        <f>Matchs!F545</f>
        <v>FIFAWC1998</v>
      </c>
      <c r="M544" t="str">
        <f t="shared" si="158"/>
        <v>",Round= "</v>
      </c>
      <c r="N544" t="str">
        <f>Matchs!G545</f>
        <v>Final Round</v>
      </c>
      <c r="O544" s="6" t="str">
        <f t="shared" si="159"/>
        <v>",Stage= "</v>
      </c>
      <c r="P544" t="str">
        <f>Matchs!H545</f>
        <v>Group</v>
      </c>
      <c r="Q544" s="6" t="str">
        <f t="shared" si="160"/>
        <v>",SubStage= "</v>
      </c>
      <c r="R544" t="str">
        <f>Matchs!I545</f>
        <v xml:space="preserve">Group F </v>
      </c>
      <c r="S544" s="6" t="str">
        <f t="shared" si="161"/>
        <v>",HTeam= "</v>
      </c>
      <c r="T544" t="str">
        <f>Matchs!J545</f>
        <v>Germany</v>
      </c>
      <c r="U544" s="6" t="str">
        <f t="shared" si="162"/>
        <v>",HGoal=</v>
      </c>
      <c r="V544">
        <f>Matchs!K545</f>
        <v>2</v>
      </c>
      <c r="W544" s="6" t="str">
        <f t="shared" si="163"/>
        <v>,GGoal=</v>
      </c>
      <c r="X544">
        <f>Matchs!L545</f>
        <v>2</v>
      </c>
      <c r="Y544" s="6" t="str">
        <f t="shared" si="164"/>
        <v>,GTeam= "</v>
      </c>
      <c r="Z544" t="str">
        <f>Matchs!M545</f>
        <v>Yugoslavia</v>
      </c>
      <c r="AA544" s="6" t="str">
        <f t="shared" si="165"/>
        <v>",WinNote="</v>
      </c>
      <c r="AB544" t="str">
        <f>IF(Matchs!N545="","",Matchs!N545)</f>
        <v/>
      </c>
      <c r="AC544" s="6" t="str">
        <f t="shared" si="166"/>
        <v xml:space="preserve">",Stadium=" </v>
      </c>
      <c r="AD544" s="11" t="str">
        <f>Matchs!O545</f>
        <v xml:space="preserve">Stade Félix-Bollaert </v>
      </c>
      <c r="AE544" s="6" t="str">
        <f t="shared" si="167"/>
        <v>",Referee= "</v>
      </c>
      <c r="AF544" s="11" t="str">
        <f>Matchs!P545</f>
        <v xml:space="preserve">Kim Milton Nielsen </v>
      </c>
      <c r="AG544" s="6" t="str">
        <f t="shared" si="168"/>
        <v xml:space="preserve">",Visistors= </v>
      </c>
      <c r="AH544" s="11">
        <f>Matchs!Q545</f>
        <v>38100</v>
      </c>
      <c r="AI544" s="11" t="str">
        <f t="shared" si="169"/>
        <v>,Status= "</v>
      </c>
      <c r="AJ544" s="11" t="str">
        <f>Matchs!R545</f>
        <v>Finished</v>
      </c>
      <c r="AK544" t="str">
        <f t="shared" si="170"/>
        <v>" },</v>
      </c>
    </row>
    <row r="545" spans="1:37" x14ac:dyDescent="0.25">
      <c r="A545" t="str">
        <f t="shared" si="152"/>
        <v>new Match { MatchId= "</v>
      </c>
      <c r="B545" t="str">
        <f>Matchs!A546</f>
        <v>FIFAWC1998-29</v>
      </c>
      <c r="C545" t="str">
        <f t="shared" si="153"/>
        <v>",MatchNumer=</v>
      </c>
      <c r="D545">
        <f>Matchs!B546</f>
        <v>29</v>
      </c>
      <c r="E545" t="str">
        <f t="shared" si="154"/>
        <v>,DateMatch=DateTime.Parse("</v>
      </c>
      <c r="F545" s="3">
        <f>Matchs!C546</f>
        <v>35967</v>
      </c>
      <c r="G545" s="10" t="str">
        <f t="shared" si="155"/>
        <v>"),TimeMatch=TimeSpan.Parse("</v>
      </c>
      <c r="H545" s="9">
        <f>Matchs!D546</f>
        <v>0.9375</v>
      </c>
      <c r="I545" t="str">
        <f t="shared" si="156"/>
        <v>"),MatchYear=</v>
      </c>
      <c r="J545">
        <f>Matchs!E546</f>
        <v>1998</v>
      </c>
      <c r="K545" t="str">
        <f t="shared" si="157"/>
        <v>, SeasonId= "</v>
      </c>
      <c r="L545" t="str">
        <f>Matchs!F546</f>
        <v>FIFAWC1998</v>
      </c>
      <c r="M545" t="str">
        <f t="shared" si="158"/>
        <v>",Round= "</v>
      </c>
      <c r="N545" t="str">
        <f>Matchs!G546</f>
        <v>Final Round</v>
      </c>
      <c r="O545" s="6" t="str">
        <f t="shared" si="159"/>
        <v>",Stage= "</v>
      </c>
      <c r="P545" t="str">
        <f>Matchs!H546</f>
        <v>Group</v>
      </c>
      <c r="Q545" s="6" t="str">
        <f t="shared" si="160"/>
        <v>",SubStage= "</v>
      </c>
      <c r="R545" t="str">
        <f>Matchs!I546</f>
        <v xml:space="preserve">Group H </v>
      </c>
      <c r="S545" s="6" t="str">
        <f t="shared" si="161"/>
        <v>",HTeam= "</v>
      </c>
      <c r="T545" t="str">
        <f>Matchs!J546</f>
        <v>Argentina</v>
      </c>
      <c r="U545" s="6" t="str">
        <f t="shared" si="162"/>
        <v>",HGoal=</v>
      </c>
      <c r="V545">
        <f>Matchs!K546</f>
        <v>5</v>
      </c>
      <c r="W545" s="6" t="str">
        <f t="shared" si="163"/>
        <v>,GGoal=</v>
      </c>
      <c r="X545">
        <f>Matchs!L546</f>
        <v>0</v>
      </c>
      <c r="Y545" s="6" t="str">
        <f t="shared" si="164"/>
        <v>,GTeam= "</v>
      </c>
      <c r="Z545" t="str">
        <f>Matchs!M546</f>
        <v>Jamaica</v>
      </c>
      <c r="AA545" s="6" t="str">
        <f t="shared" si="165"/>
        <v>",WinNote="</v>
      </c>
      <c r="AB545" t="str">
        <f>IF(Matchs!N546="","",Matchs!N546)</f>
        <v/>
      </c>
      <c r="AC545" s="6" t="str">
        <f t="shared" si="166"/>
        <v xml:space="preserve">",Stadium=" </v>
      </c>
      <c r="AD545" s="11" t="str">
        <f>Matchs!O546</f>
        <v xml:space="preserve">Parc des Princes </v>
      </c>
      <c r="AE545" s="6" t="str">
        <f t="shared" si="167"/>
        <v>",Referee= "</v>
      </c>
      <c r="AF545" s="11" t="str">
        <f>Matchs!P546</f>
        <v xml:space="preserve">Rune Pedersen </v>
      </c>
      <c r="AG545" s="6" t="str">
        <f t="shared" si="168"/>
        <v xml:space="preserve">",Visistors= </v>
      </c>
      <c r="AH545" s="11">
        <f>Matchs!Q546</f>
        <v>45000</v>
      </c>
      <c r="AI545" s="11" t="str">
        <f t="shared" si="169"/>
        <v>,Status= "</v>
      </c>
      <c r="AJ545" s="11" t="str">
        <f>Matchs!R546</f>
        <v>Finished</v>
      </c>
      <c r="AK545" t="str">
        <f t="shared" si="170"/>
        <v>" },</v>
      </c>
    </row>
    <row r="546" spans="1:37" x14ac:dyDescent="0.25">
      <c r="A546" t="str">
        <f t="shared" si="152"/>
        <v>new Match { MatchId= "</v>
      </c>
      <c r="B546" t="str">
        <f>Matchs!A547</f>
        <v>FIFAWC1998-30</v>
      </c>
      <c r="C546" t="str">
        <f t="shared" si="153"/>
        <v>",MatchNumer=</v>
      </c>
      <c r="D546">
        <f>Matchs!B547</f>
        <v>30</v>
      </c>
      <c r="E546" t="str">
        <f t="shared" si="154"/>
        <v>,DateMatch=DateTime.Parse("</v>
      </c>
      <c r="F546" s="3">
        <f>Matchs!C547</f>
        <v>35968</v>
      </c>
      <c r="G546" s="10" t="str">
        <f t="shared" si="155"/>
        <v>"),TimeMatch=TimeSpan.Parse("</v>
      </c>
      <c r="H546" s="9">
        <f>Matchs!D547</f>
        <v>8.3333333333333329E-2</v>
      </c>
      <c r="I546" t="str">
        <f t="shared" si="156"/>
        <v>"),MatchYear=</v>
      </c>
      <c r="J546">
        <f>Matchs!E547</f>
        <v>1998</v>
      </c>
      <c r="K546" t="str">
        <f t="shared" si="157"/>
        <v>, SeasonId= "</v>
      </c>
      <c r="L546" t="str">
        <f>Matchs!F547</f>
        <v>FIFAWC1998</v>
      </c>
      <c r="M546" t="str">
        <f t="shared" si="158"/>
        <v>",Round= "</v>
      </c>
      <c r="N546" t="str">
        <f>Matchs!G547</f>
        <v>Final Round</v>
      </c>
      <c r="O546" s="6" t="str">
        <f t="shared" si="159"/>
        <v>",Stage= "</v>
      </c>
      <c r="P546" t="str">
        <f>Matchs!H547</f>
        <v>Group</v>
      </c>
      <c r="Q546" s="6" t="str">
        <f t="shared" si="160"/>
        <v>",SubStage= "</v>
      </c>
      <c r="R546" t="str">
        <f>Matchs!I547</f>
        <v xml:space="preserve">Group F </v>
      </c>
      <c r="S546" s="6" t="str">
        <f t="shared" si="161"/>
        <v>",HTeam= "</v>
      </c>
      <c r="T546" t="str">
        <f>Matchs!J547</f>
        <v>USA</v>
      </c>
      <c r="U546" s="6" t="str">
        <f t="shared" si="162"/>
        <v>",HGoal=</v>
      </c>
      <c r="V546">
        <f>Matchs!K547</f>
        <v>1</v>
      </c>
      <c r="W546" s="6" t="str">
        <f t="shared" si="163"/>
        <v>,GGoal=</v>
      </c>
      <c r="X546">
        <f>Matchs!L547</f>
        <v>2</v>
      </c>
      <c r="Y546" s="6" t="str">
        <f t="shared" si="164"/>
        <v>,GTeam= "</v>
      </c>
      <c r="Z546" t="str">
        <f>Matchs!M547</f>
        <v>Iran</v>
      </c>
      <c r="AA546" s="6" t="str">
        <f t="shared" si="165"/>
        <v>",WinNote="</v>
      </c>
      <c r="AB546" t="str">
        <f>IF(Matchs!N547="","",Matchs!N547)</f>
        <v/>
      </c>
      <c r="AC546" s="6" t="str">
        <f t="shared" si="166"/>
        <v xml:space="preserve">",Stadium=" </v>
      </c>
      <c r="AD546" s="11" t="str">
        <f>Matchs!O547</f>
        <v xml:space="preserve">Stade de Gerland </v>
      </c>
      <c r="AE546" s="6" t="str">
        <f t="shared" si="167"/>
        <v>",Referee= "</v>
      </c>
      <c r="AF546" s="11" t="str">
        <f>Matchs!P547</f>
        <v xml:space="preserve">Urs Meier </v>
      </c>
      <c r="AG546" s="6" t="str">
        <f t="shared" si="168"/>
        <v xml:space="preserve">",Visistors= </v>
      </c>
      <c r="AH546" s="11">
        <f>Matchs!Q547</f>
        <v>39100</v>
      </c>
      <c r="AI546" s="11" t="str">
        <f t="shared" si="169"/>
        <v>,Status= "</v>
      </c>
      <c r="AJ546" s="11" t="str">
        <f>Matchs!R547</f>
        <v>Finished</v>
      </c>
      <c r="AK546" t="str">
        <f t="shared" si="170"/>
        <v>" },</v>
      </c>
    </row>
    <row r="547" spans="1:37" x14ac:dyDescent="0.25">
      <c r="A547" t="str">
        <f t="shared" si="152"/>
        <v>new Match { MatchId= "</v>
      </c>
      <c r="B547" t="str">
        <f>Matchs!A548</f>
        <v>FIFAWC1998-31</v>
      </c>
      <c r="C547" t="str">
        <f t="shared" si="153"/>
        <v>",MatchNumer=</v>
      </c>
      <c r="D547">
        <f>Matchs!B548</f>
        <v>31</v>
      </c>
      <c r="E547" t="str">
        <f t="shared" si="154"/>
        <v>,DateMatch=DateTime.Parse("</v>
      </c>
      <c r="F547" s="3">
        <f>Matchs!C548</f>
        <v>35968</v>
      </c>
      <c r="G547" s="10" t="str">
        <f t="shared" si="155"/>
        <v>"),TimeMatch=TimeSpan.Parse("</v>
      </c>
      <c r="H547" s="9">
        <f>Matchs!D548</f>
        <v>0.9375</v>
      </c>
      <c r="I547" t="str">
        <f t="shared" si="156"/>
        <v>"),MatchYear=</v>
      </c>
      <c r="J547">
        <f>Matchs!E548</f>
        <v>1998</v>
      </c>
      <c r="K547" t="str">
        <f t="shared" si="157"/>
        <v>, SeasonId= "</v>
      </c>
      <c r="L547" t="str">
        <f>Matchs!F548</f>
        <v>FIFAWC1998</v>
      </c>
      <c r="M547" t="str">
        <f t="shared" si="158"/>
        <v>",Round= "</v>
      </c>
      <c r="N547" t="str">
        <f>Matchs!G548</f>
        <v>Final Round</v>
      </c>
      <c r="O547" s="6" t="str">
        <f t="shared" si="159"/>
        <v>",Stage= "</v>
      </c>
      <c r="P547" t="str">
        <f>Matchs!H548</f>
        <v>Group</v>
      </c>
      <c r="Q547" s="6" t="str">
        <f t="shared" si="160"/>
        <v>",SubStage= "</v>
      </c>
      <c r="R547" t="str">
        <f>Matchs!I548</f>
        <v xml:space="preserve">Group G </v>
      </c>
      <c r="S547" s="6" t="str">
        <f t="shared" si="161"/>
        <v>",HTeam= "</v>
      </c>
      <c r="T547" t="str">
        <f>Matchs!J548</f>
        <v>Colombia</v>
      </c>
      <c r="U547" s="6" t="str">
        <f t="shared" si="162"/>
        <v>",HGoal=</v>
      </c>
      <c r="V547">
        <f>Matchs!K548</f>
        <v>1</v>
      </c>
      <c r="W547" s="6" t="str">
        <f t="shared" si="163"/>
        <v>,GGoal=</v>
      </c>
      <c r="X547">
        <f>Matchs!L548</f>
        <v>0</v>
      </c>
      <c r="Y547" s="6" t="str">
        <f t="shared" si="164"/>
        <v>,GTeam= "</v>
      </c>
      <c r="Z547" t="str">
        <f>Matchs!M548</f>
        <v>Tunisia</v>
      </c>
      <c r="AA547" s="6" t="str">
        <f t="shared" si="165"/>
        <v>",WinNote="</v>
      </c>
      <c r="AB547" t="str">
        <f>IF(Matchs!N548="","",Matchs!N548)</f>
        <v/>
      </c>
      <c r="AC547" s="6" t="str">
        <f t="shared" si="166"/>
        <v xml:space="preserve">",Stadium=" </v>
      </c>
      <c r="AD547" s="11" t="str">
        <f>Matchs!O548</f>
        <v xml:space="preserve">Stade de la Mosson </v>
      </c>
      <c r="AE547" s="6" t="str">
        <f t="shared" si="167"/>
        <v>",Referee= "</v>
      </c>
      <c r="AF547" s="11" t="str">
        <f>Matchs!P548</f>
        <v xml:space="preserve">Bernd Heynemann </v>
      </c>
      <c r="AG547" s="6" t="str">
        <f t="shared" si="168"/>
        <v xml:space="preserve">",Visistors= </v>
      </c>
      <c r="AH547" s="11">
        <f>Matchs!Q548</f>
        <v>29800</v>
      </c>
      <c r="AI547" s="11" t="str">
        <f t="shared" si="169"/>
        <v>,Status= "</v>
      </c>
      <c r="AJ547" s="11" t="str">
        <f>Matchs!R548</f>
        <v>Finished</v>
      </c>
      <c r="AK547" t="str">
        <f t="shared" si="170"/>
        <v>" },</v>
      </c>
    </row>
    <row r="548" spans="1:37" x14ac:dyDescent="0.25">
      <c r="A548" t="str">
        <f t="shared" si="152"/>
        <v>new Match { MatchId= "</v>
      </c>
      <c r="B548" t="str">
        <f>Matchs!A549</f>
        <v>FIFAWC1998-32</v>
      </c>
      <c r="C548" t="str">
        <f t="shared" si="153"/>
        <v>",MatchNumer=</v>
      </c>
      <c r="D548">
        <f>Matchs!B549</f>
        <v>32</v>
      </c>
      <c r="E548" t="str">
        <f t="shared" si="154"/>
        <v>,DateMatch=DateTime.Parse("</v>
      </c>
      <c r="F548" s="3">
        <f>Matchs!C549</f>
        <v>35969</v>
      </c>
      <c r="G548" s="10" t="str">
        <f t="shared" si="155"/>
        <v>"),TimeMatch=TimeSpan.Parse("</v>
      </c>
      <c r="H548" s="9">
        <f>Matchs!D549</f>
        <v>8.3333333333333329E-2</v>
      </c>
      <c r="I548" t="str">
        <f t="shared" si="156"/>
        <v>"),MatchYear=</v>
      </c>
      <c r="J548">
        <f>Matchs!E549</f>
        <v>1998</v>
      </c>
      <c r="K548" t="str">
        <f t="shared" si="157"/>
        <v>, SeasonId= "</v>
      </c>
      <c r="L548" t="str">
        <f>Matchs!F549</f>
        <v>FIFAWC1998</v>
      </c>
      <c r="M548" t="str">
        <f t="shared" si="158"/>
        <v>",Round= "</v>
      </c>
      <c r="N548" t="str">
        <f>Matchs!G549</f>
        <v>Final Round</v>
      </c>
      <c r="O548" s="6" t="str">
        <f t="shared" si="159"/>
        <v>",Stage= "</v>
      </c>
      <c r="P548" t="str">
        <f>Matchs!H549</f>
        <v>Group</v>
      </c>
      <c r="Q548" s="6" t="str">
        <f t="shared" si="160"/>
        <v>",SubStage= "</v>
      </c>
      <c r="R548" t="str">
        <f>Matchs!I549</f>
        <v xml:space="preserve">Group G </v>
      </c>
      <c r="S548" s="6" t="str">
        <f t="shared" si="161"/>
        <v>",HTeam= "</v>
      </c>
      <c r="T548" t="str">
        <f>Matchs!J549</f>
        <v>Romania</v>
      </c>
      <c r="U548" s="6" t="str">
        <f t="shared" si="162"/>
        <v>",HGoal=</v>
      </c>
      <c r="V548">
        <f>Matchs!K549</f>
        <v>2</v>
      </c>
      <c r="W548" s="6" t="str">
        <f t="shared" si="163"/>
        <v>,GGoal=</v>
      </c>
      <c r="X548">
        <f>Matchs!L549</f>
        <v>1</v>
      </c>
      <c r="Y548" s="6" t="str">
        <f t="shared" si="164"/>
        <v>,GTeam= "</v>
      </c>
      <c r="Z548" t="str">
        <f>Matchs!M549</f>
        <v>England</v>
      </c>
      <c r="AA548" s="6" t="str">
        <f t="shared" si="165"/>
        <v>",WinNote="</v>
      </c>
      <c r="AB548" t="str">
        <f>IF(Matchs!N549="","",Matchs!N549)</f>
        <v/>
      </c>
      <c r="AC548" s="6" t="str">
        <f t="shared" si="166"/>
        <v xml:space="preserve">",Stadium=" </v>
      </c>
      <c r="AD548" s="11" t="str">
        <f>Matchs!O549</f>
        <v xml:space="preserve">Stade Municipal de Toulouse </v>
      </c>
      <c r="AE548" s="6" t="str">
        <f t="shared" si="167"/>
        <v>",Referee= "</v>
      </c>
      <c r="AF548" s="11" t="str">
        <f>Matchs!P549</f>
        <v xml:space="preserve">Marc Batta </v>
      </c>
      <c r="AG548" s="6" t="str">
        <f t="shared" si="168"/>
        <v xml:space="preserve">",Visistors= </v>
      </c>
      <c r="AH548" s="11">
        <f>Matchs!Q549</f>
        <v>33500</v>
      </c>
      <c r="AI548" s="11" t="str">
        <f t="shared" si="169"/>
        <v>,Status= "</v>
      </c>
      <c r="AJ548" s="11" t="str">
        <f>Matchs!R549</f>
        <v>Finished</v>
      </c>
      <c r="AK548" t="str">
        <f t="shared" si="170"/>
        <v>" },</v>
      </c>
    </row>
    <row r="549" spans="1:37" x14ac:dyDescent="0.25">
      <c r="A549" t="str">
        <f t="shared" si="152"/>
        <v>new Match { MatchId= "</v>
      </c>
      <c r="B549" t="str">
        <f>Matchs!A550</f>
        <v>FIFAWC1998-33</v>
      </c>
      <c r="C549" t="str">
        <f t="shared" si="153"/>
        <v>",MatchNumer=</v>
      </c>
      <c r="D549">
        <f>Matchs!B550</f>
        <v>33</v>
      </c>
      <c r="E549" t="str">
        <f t="shared" si="154"/>
        <v>,DateMatch=DateTime.Parse("</v>
      </c>
      <c r="F549" s="3">
        <f>Matchs!C550</f>
        <v>35969</v>
      </c>
      <c r="G549" s="10" t="str">
        <f t="shared" si="155"/>
        <v>"),TimeMatch=TimeSpan.Parse("</v>
      </c>
      <c r="H549" s="9">
        <f>Matchs!D550</f>
        <v>0.875</v>
      </c>
      <c r="I549" t="str">
        <f t="shared" si="156"/>
        <v>"),MatchYear=</v>
      </c>
      <c r="J549">
        <f>Matchs!E550</f>
        <v>1998</v>
      </c>
      <c r="K549" t="str">
        <f t="shared" si="157"/>
        <v>, SeasonId= "</v>
      </c>
      <c r="L549" t="str">
        <f>Matchs!F550</f>
        <v>FIFAWC1998</v>
      </c>
      <c r="M549" t="str">
        <f t="shared" si="158"/>
        <v>",Round= "</v>
      </c>
      <c r="N549" t="str">
        <f>Matchs!G550</f>
        <v>Final Round</v>
      </c>
      <c r="O549" s="6" t="str">
        <f t="shared" si="159"/>
        <v>",Stage= "</v>
      </c>
      <c r="P549" t="str">
        <f>Matchs!H550</f>
        <v>Group</v>
      </c>
      <c r="Q549" s="6" t="str">
        <f t="shared" si="160"/>
        <v>",SubStage= "</v>
      </c>
      <c r="R549" t="str">
        <f>Matchs!I550</f>
        <v xml:space="preserve">Group B </v>
      </c>
      <c r="S549" s="6" t="str">
        <f t="shared" si="161"/>
        <v>",HTeam= "</v>
      </c>
      <c r="T549" t="str">
        <f>Matchs!J550</f>
        <v>Italy</v>
      </c>
      <c r="U549" s="6" t="str">
        <f t="shared" si="162"/>
        <v>",HGoal=</v>
      </c>
      <c r="V549">
        <f>Matchs!K550</f>
        <v>2</v>
      </c>
      <c r="W549" s="6" t="str">
        <f t="shared" si="163"/>
        <v>,GGoal=</v>
      </c>
      <c r="X549">
        <f>Matchs!L550</f>
        <v>1</v>
      </c>
      <c r="Y549" s="6" t="str">
        <f t="shared" si="164"/>
        <v>,GTeam= "</v>
      </c>
      <c r="Z549" t="str">
        <f>Matchs!M550</f>
        <v>Austria</v>
      </c>
      <c r="AA549" s="6" t="str">
        <f t="shared" si="165"/>
        <v>",WinNote="</v>
      </c>
      <c r="AB549" t="str">
        <f>IF(Matchs!N550="","",Matchs!N550)</f>
        <v/>
      </c>
      <c r="AC549" s="6" t="str">
        <f t="shared" si="166"/>
        <v xml:space="preserve">",Stadium=" </v>
      </c>
      <c r="AD549" s="11" t="str">
        <f>Matchs!O550</f>
        <v xml:space="preserve">Stade de France </v>
      </c>
      <c r="AE549" s="6" t="str">
        <f t="shared" si="167"/>
        <v>",Referee= "</v>
      </c>
      <c r="AF549" s="11" t="str">
        <f>Matchs!P550</f>
        <v xml:space="preserve">Paul Durkin </v>
      </c>
      <c r="AG549" s="6" t="str">
        <f t="shared" si="168"/>
        <v xml:space="preserve">",Visistors= </v>
      </c>
      <c r="AH549" s="11">
        <f>Matchs!Q550</f>
        <v>80000</v>
      </c>
      <c r="AI549" s="11" t="str">
        <f t="shared" si="169"/>
        <v>,Status= "</v>
      </c>
      <c r="AJ549" s="11" t="str">
        <f>Matchs!R550</f>
        <v>Finished</v>
      </c>
      <c r="AK549" t="str">
        <f t="shared" si="170"/>
        <v>" },</v>
      </c>
    </row>
    <row r="550" spans="1:37" x14ac:dyDescent="0.25">
      <c r="A550" t="str">
        <f t="shared" si="152"/>
        <v>new Match { MatchId= "</v>
      </c>
      <c r="B550" t="str">
        <f>Matchs!A551</f>
        <v>FIFAWC1998-34</v>
      </c>
      <c r="C550" t="str">
        <f t="shared" si="153"/>
        <v>",MatchNumer=</v>
      </c>
      <c r="D550">
        <f>Matchs!B551</f>
        <v>34</v>
      </c>
      <c r="E550" t="str">
        <f t="shared" si="154"/>
        <v>,DateMatch=DateTime.Parse("</v>
      </c>
      <c r="F550" s="3">
        <f>Matchs!C551</f>
        <v>35970</v>
      </c>
      <c r="G550" s="10" t="str">
        <f t="shared" si="155"/>
        <v>"),TimeMatch=TimeSpan.Parse("</v>
      </c>
      <c r="H550" s="9">
        <f>Matchs!D551</f>
        <v>0.875</v>
      </c>
      <c r="I550" t="str">
        <f t="shared" si="156"/>
        <v>"),MatchYear=</v>
      </c>
      <c r="J550">
        <f>Matchs!E551</f>
        <v>1998</v>
      </c>
      <c r="K550" t="str">
        <f t="shared" si="157"/>
        <v>, SeasonId= "</v>
      </c>
      <c r="L550" t="str">
        <f>Matchs!F551</f>
        <v>FIFAWC1998</v>
      </c>
      <c r="M550" t="str">
        <f t="shared" si="158"/>
        <v>",Round= "</v>
      </c>
      <c r="N550" t="str">
        <f>Matchs!G551</f>
        <v>Final Round</v>
      </c>
      <c r="O550" s="6" t="str">
        <f t="shared" si="159"/>
        <v>",Stage= "</v>
      </c>
      <c r="P550" t="str">
        <f>Matchs!H551</f>
        <v>Group</v>
      </c>
      <c r="Q550" s="6" t="str">
        <f t="shared" si="160"/>
        <v>",SubStage= "</v>
      </c>
      <c r="R550" t="str">
        <f>Matchs!I551</f>
        <v xml:space="preserve">Group B </v>
      </c>
      <c r="S550" s="6" t="str">
        <f t="shared" si="161"/>
        <v>",HTeam= "</v>
      </c>
      <c r="T550" t="str">
        <f>Matchs!J551</f>
        <v>Chile</v>
      </c>
      <c r="U550" s="6" t="str">
        <f t="shared" si="162"/>
        <v>",HGoal=</v>
      </c>
      <c r="V550">
        <f>Matchs!K551</f>
        <v>1</v>
      </c>
      <c r="W550" s="6" t="str">
        <f t="shared" si="163"/>
        <v>,GGoal=</v>
      </c>
      <c r="X550">
        <f>Matchs!L551</f>
        <v>1</v>
      </c>
      <c r="Y550" s="6" t="str">
        <f t="shared" si="164"/>
        <v>,GTeam= "</v>
      </c>
      <c r="Z550" t="str">
        <f>Matchs!M551</f>
        <v>Cameroon</v>
      </c>
      <c r="AA550" s="6" t="str">
        <f t="shared" si="165"/>
        <v>",WinNote="</v>
      </c>
      <c r="AB550" t="str">
        <f>IF(Matchs!N551="","",Matchs!N551)</f>
        <v/>
      </c>
      <c r="AC550" s="6" t="str">
        <f t="shared" si="166"/>
        <v xml:space="preserve">",Stadium=" </v>
      </c>
      <c r="AD550" s="11" t="str">
        <f>Matchs!O551</f>
        <v xml:space="preserve">Stade de la Beaujoire </v>
      </c>
      <c r="AE550" s="6" t="str">
        <f t="shared" si="167"/>
        <v>",Referee= "</v>
      </c>
      <c r="AF550" s="11" t="str">
        <f>Matchs!P551</f>
        <v xml:space="preserve">Laszlo Vagner </v>
      </c>
      <c r="AG550" s="6" t="str">
        <f t="shared" si="168"/>
        <v xml:space="preserve">",Visistors= </v>
      </c>
      <c r="AH550" s="11">
        <f>Matchs!Q551</f>
        <v>35500</v>
      </c>
      <c r="AI550" s="11" t="str">
        <f t="shared" si="169"/>
        <v>,Status= "</v>
      </c>
      <c r="AJ550" s="11" t="str">
        <f>Matchs!R551</f>
        <v>Finished</v>
      </c>
      <c r="AK550" t="str">
        <f t="shared" si="170"/>
        <v>" },</v>
      </c>
    </row>
    <row r="551" spans="1:37" x14ac:dyDescent="0.25">
      <c r="A551" t="str">
        <f t="shared" si="152"/>
        <v>new Match { MatchId= "</v>
      </c>
      <c r="B551" t="str">
        <f>Matchs!A552</f>
        <v>FIFAWC1998-35</v>
      </c>
      <c r="C551" t="str">
        <f t="shared" si="153"/>
        <v>",MatchNumer=</v>
      </c>
      <c r="D551">
        <f>Matchs!B552</f>
        <v>35</v>
      </c>
      <c r="E551" t="str">
        <f t="shared" si="154"/>
        <v>,DateMatch=DateTime.Parse("</v>
      </c>
      <c r="F551" s="3">
        <f>Matchs!C552</f>
        <v>35970</v>
      </c>
      <c r="G551" s="10" t="str">
        <f t="shared" si="155"/>
        <v>"),TimeMatch=TimeSpan.Parse("</v>
      </c>
      <c r="H551" s="9">
        <f>Matchs!D552</f>
        <v>8.3333333333333329E-2</v>
      </c>
      <c r="I551" t="str">
        <f t="shared" si="156"/>
        <v>"),MatchYear=</v>
      </c>
      <c r="J551">
        <f>Matchs!E552</f>
        <v>1998</v>
      </c>
      <c r="K551" t="str">
        <f t="shared" si="157"/>
        <v>, SeasonId= "</v>
      </c>
      <c r="L551" t="str">
        <f>Matchs!F552</f>
        <v>FIFAWC1998</v>
      </c>
      <c r="M551" t="str">
        <f t="shared" si="158"/>
        <v>",Round= "</v>
      </c>
      <c r="N551" t="str">
        <f>Matchs!G552</f>
        <v>Final Round</v>
      </c>
      <c r="O551" s="6" t="str">
        <f t="shared" si="159"/>
        <v>",Stage= "</v>
      </c>
      <c r="P551" t="str">
        <f>Matchs!H552</f>
        <v>Group</v>
      </c>
      <c r="Q551" s="6" t="str">
        <f t="shared" si="160"/>
        <v>",SubStage= "</v>
      </c>
      <c r="R551" t="str">
        <f>Matchs!I552</f>
        <v xml:space="preserve">Group A </v>
      </c>
      <c r="S551" s="6" t="str">
        <f t="shared" si="161"/>
        <v>",HTeam= "</v>
      </c>
      <c r="T551" t="str">
        <f>Matchs!J552</f>
        <v>Scotland</v>
      </c>
      <c r="U551" s="6" t="str">
        <f t="shared" si="162"/>
        <v>",HGoal=</v>
      </c>
      <c r="V551">
        <f>Matchs!K552</f>
        <v>0</v>
      </c>
      <c r="W551" s="6" t="str">
        <f t="shared" si="163"/>
        <v>,GGoal=</v>
      </c>
      <c r="X551">
        <f>Matchs!L552</f>
        <v>3</v>
      </c>
      <c r="Y551" s="6" t="str">
        <f t="shared" si="164"/>
        <v>,GTeam= "</v>
      </c>
      <c r="Z551" t="str">
        <f>Matchs!M552</f>
        <v>Morocco</v>
      </c>
      <c r="AA551" s="6" t="str">
        <f t="shared" si="165"/>
        <v>",WinNote="</v>
      </c>
      <c r="AB551" t="str">
        <f>IF(Matchs!N552="","",Matchs!N552)</f>
        <v/>
      </c>
      <c r="AC551" s="6" t="str">
        <f t="shared" si="166"/>
        <v xml:space="preserve">",Stadium=" </v>
      </c>
      <c r="AD551" s="11" t="str">
        <f>Matchs!O552</f>
        <v xml:space="preserve">Stade Geoffroy-Guichard </v>
      </c>
      <c r="AE551" s="6" t="str">
        <f t="shared" si="167"/>
        <v>",Referee= "</v>
      </c>
      <c r="AF551" s="11" t="str">
        <f>Matchs!P552</f>
        <v xml:space="preserve">Ali Bujsaim </v>
      </c>
      <c r="AG551" s="6" t="str">
        <f t="shared" si="168"/>
        <v xml:space="preserve">",Visistors= </v>
      </c>
      <c r="AH551" s="11">
        <f>Matchs!Q552</f>
        <v>30600</v>
      </c>
      <c r="AI551" s="11" t="str">
        <f t="shared" si="169"/>
        <v>,Status= "</v>
      </c>
      <c r="AJ551" s="11" t="str">
        <f>Matchs!R552</f>
        <v>Finished</v>
      </c>
      <c r="AK551" t="str">
        <f t="shared" si="170"/>
        <v>" },</v>
      </c>
    </row>
    <row r="552" spans="1:37" x14ac:dyDescent="0.25">
      <c r="A552" t="str">
        <f t="shared" si="152"/>
        <v>new Match { MatchId= "</v>
      </c>
      <c r="B552" t="str">
        <f>Matchs!A553</f>
        <v>FIFAWC1998-36</v>
      </c>
      <c r="C552" t="str">
        <f t="shared" si="153"/>
        <v>",MatchNumer=</v>
      </c>
      <c r="D552">
        <f>Matchs!B553</f>
        <v>36</v>
      </c>
      <c r="E552" t="str">
        <f t="shared" si="154"/>
        <v>,DateMatch=DateTime.Parse("</v>
      </c>
      <c r="F552" s="3">
        <f>Matchs!C553</f>
        <v>35970</v>
      </c>
      <c r="G552" s="10" t="str">
        <f t="shared" si="155"/>
        <v>"),TimeMatch=TimeSpan.Parse("</v>
      </c>
      <c r="H552" s="9">
        <f>Matchs!D553</f>
        <v>8.3333333333333329E-2</v>
      </c>
      <c r="I552" t="str">
        <f t="shared" si="156"/>
        <v>"),MatchYear=</v>
      </c>
      <c r="J552">
        <f>Matchs!E553</f>
        <v>1998</v>
      </c>
      <c r="K552" t="str">
        <f t="shared" si="157"/>
        <v>, SeasonId= "</v>
      </c>
      <c r="L552" t="str">
        <f>Matchs!F553</f>
        <v>FIFAWC1998</v>
      </c>
      <c r="M552" t="str">
        <f t="shared" si="158"/>
        <v>",Round= "</v>
      </c>
      <c r="N552" t="str">
        <f>Matchs!G553</f>
        <v>Final Round</v>
      </c>
      <c r="O552" s="6" t="str">
        <f t="shared" si="159"/>
        <v>",Stage= "</v>
      </c>
      <c r="P552" t="str">
        <f>Matchs!H553</f>
        <v>Group</v>
      </c>
      <c r="Q552" s="6" t="str">
        <f t="shared" si="160"/>
        <v>",SubStage= "</v>
      </c>
      <c r="R552" t="str">
        <f>Matchs!I553</f>
        <v xml:space="preserve">Group A </v>
      </c>
      <c r="S552" s="6" t="str">
        <f t="shared" si="161"/>
        <v>",HTeam= "</v>
      </c>
      <c r="T552" t="str">
        <f>Matchs!J553</f>
        <v>Brazil</v>
      </c>
      <c r="U552" s="6" t="str">
        <f t="shared" si="162"/>
        <v>",HGoal=</v>
      </c>
      <c r="V552">
        <f>Matchs!K553</f>
        <v>1</v>
      </c>
      <c r="W552" s="6" t="str">
        <f t="shared" si="163"/>
        <v>,GGoal=</v>
      </c>
      <c r="X552">
        <f>Matchs!L553</f>
        <v>2</v>
      </c>
      <c r="Y552" s="6" t="str">
        <f t="shared" si="164"/>
        <v>,GTeam= "</v>
      </c>
      <c r="Z552" t="str">
        <f>Matchs!M553</f>
        <v>Norway</v>
      </c>
      <c r="AA552" s="6" t="str">
        <f t="shared" si="165"/>
        <v>",WinNote="</v>
      </c>
      <c r="AB552" t="str">
        <f>IF(Matchs!N553="","",Matchs!N553)</f>
        <v/>
      </c>
      <c r="AC552" s="6" t="str">
        <f t="shared" si="166"/>
        <v xml:space="preserve">",Stadium=" </v>
      </c>
      <c r="AD552" s="11" t="str">
        <f>Matchs!O553</f>
        <v xml:space="preserve">Stade Vélodrome </v>
      </c>
      <c r="AE552" s="6" t="str">
        <f t="shared" si="167"/>
        <v>",Referee= "</v>
      </c>
      <c r="AF552" s="11" t="str">
        <f>Matchs!P553</f>
        <v xml:space="preserve">Esfandiar Baharmast </v>
      </c>
      <c r="AG552" s="6" t="str">
        <f t="shared" si="168"/>
        <v xml:space="preserve">",Visistors= </v>
      </c>
      <c r="AH552" s="11">
        <f>Matchs!Q553</f>
        <v>55000</v>
      </c>
      <c r="AI552" s="11" t="str">
        <f t="shared" si="169"/>
        <v>,Status= "</v>
      </c>
      <c r="AJ552" s="11" t="str">
        <f>Matchs!R553</f>
        <v>Finished</v>
      </c>
      <c r="AK552" t="str">
        <f t="shared" si="170"/>
        <v>" },</v>
      </c>
    </row>
    <row r="553" spans="1:37" x14ac:dyDescent="0.25">
      <c r="A553" t="str">
        <f t="shared" si="152"/>
        <v>new Match { MatchId= "</v>
      </c>
      <c r="B553" t="str">
        <f>Matchs!A554</f>
        <v>FIFAWC1998-37</v>
      </c>
      <c r="C553" t="str">
        <f t="shared" si="153"/>
        <v>",MatchNumer=</v>
      </c>
      <c r="D553">
        <f>Matchs!B554</f>
        <v>37</v>
      </c>
      <c r="E553" t="str">
        <f t="shared" si="154"/>
        <v>,DateMatch=DateTime.Parse("</v>
      </c>
      <c r="F553" s="3">
        <f>Matchs!C554</f>
        <v>35970</v>
      </c>
      <c r="G553" s="10" t="str">
        <f t="shared" si="155"/>
        <v>"),TimeMatch=TimeSpan.Parse("</v>
      </c>
      <c r="H553" s="9">
        <f>Matchs!D554</f>
        <v>0.875</v>
      </c>
      <c r="I553" t="str">
        <f t="shared" si="156"/>
        <v>"),MatchYear=</v>
      </c>
      <c r="J553">
        <f>Matchs!E554</f>
        <v>1998</v>
      </c>
      <c r="K553" t="str">
        <f t="shared" si="157"/>
        <v>, SeasonId= "</v>
      </c>
      <c r="L553" t="str">
        <f>Matchs!F554</f>
        <v>FIFAWC1998</v>
      </c>
      <c r="M553" t="str">
        <f t="shared" si="158"/>
        <v>",Round= "</v>
      </c>
      <c r="N553" t="str">
        <f>Matchs!G554</f>
        <v>Final Round</v>
      </c>
      <c r="O553" s="6" t="str">
        <f t="shared" si="159"/>
        <v>",Stage= "</v>
      </c>
      <c r="P553" t="str">
        <f>Matchs!H554</f>
        <v>Group</v>
      </c>
      <c r="Q553" s="6" t="str">
        <f t="shared" si="160"/>
        <v>",SubStage= "</v>
      </c>
      <c r="R553" t="str">
        <f>Matchs!I554</f>
        <v xml:space="preserve">Group C </v>
      </c>
      <c r="S553" s="6" t="str">
        <f t="shared" si="161"/>
        <v>",HTeam= "</v>
      </c>
      <c r="T553" t="str">
        <f>Matchs!J554</f>
        <v>South Africa</v>
      </c>
      <c r="U553" s="6" t="str">
        <f t="shared" si="162"/>
        <v>",HGoal=</v>
      </c>
      <c r="V553">
        <f>Matchs!K554</f>
        <v>2</v>
      </c>
      <c r="W553" s="6" t="str">
        <f t="shared" si="163"/>
        <v>,GGoal=</v>
      </c>
      <c r="X553">
        <f>Matchs!L554</f>
        <v>2</v>
      </c>
      <c r="Y553" s="6" t="str">
        <f t="shared" si="164"/>
        <v>,GTeam= "</v>
      </c>
      <c r="Z553" t="str">
        <f>Matchs!M554</f>
        <v>Saudi Arabia</v>
      </c>
      <c r="AA553" s="6" t="str">
        <f t="shared" si="165"/>
        <v>",WinNote="</v>
      </c>
      <c r="AB553" t="str">
        <f>IF(Matchs!N554="","",Matchs!N554)</f>
        <v/>
      </c>
      <c r="AC553" s="6" t="str">
        <f t="shared" si="166"/>
        <v xml:space="preserve">",Stadium=" </v>
      </c>
      <c r="AD553" s="11" t="str">
        <f>Matchs!O554</f>
        <v xml:space="preserve">Stade Chaban-Delmas </v>
      </c>
      <c r="AE553" s="6" t="str">
        <f t="shared" si="167"/>
        <v>",Referee= "</v>
      </c>
      <c r="AF553" s="11" t="str">
        <f>Matchs!P554</f>
        <v xml:space="preserve">Mario Sánchez </v>
      </c>
      <c r="AG553" s="6" t="str">
        <f t="shared" si="168"/>
        <v xml:space="preserve">",Visistors= </v>
      </c>
      <c r="AH553" s="11">
        <f>Matchs!Q554</f>
        <v>31800</v>
      </c>
      <c r="AI553" s="11" t="str">
        <f t="shared" si="169"/>
        <v>,Status= "</v>
      </c>
      <c r="AJ553" s="11" t="str">
        <f>Matchs!R554</f>
        <v>Finished</v>
      </c>
      <c r="AK553" t="str">
        <f t="shared" si="170"/>
        <v>" },</v>
      </c>
    </row>
    <row r="554" spans="1:37" x14ac:dyDescent="0.25">
      <c r="A554" t="str">
        <f t="shared" si="152"/>
        <v>new Match { MatchId= "</v>
      </c>
      <c r="B554" t="str">
        <f>Matchs!A555</f>
        <v>FIFAWC1998-38</v>
      </c>
      <c r="C554" t="str">
        <f t="shared" si="153"/>
        <v>",MatchNumer=</v>
      </c>
      <c r="D554">
        <f>Matchs!B555</f>
        <v>38</v>
      </c>
      <c r="E554" t="str">
        <f t="shared" si="154"/>
        <v>,DateMatch=DateTime.Parse("</v>
      </c>
      <c r="F554" s="3">
        <f>Matchs!C555</f>
        <v>35970</v>
      </c>
      <c r="G554" s="10" t="str">
        <f t="shared" si="155"/>
        <v>"),TimeMatch=TimeSpan.Parse("</v>
      </c>
      <c r="H554" s="9">
        <f>Matchs!D555</f>
        <v>0.875</v>
      </c>
      <c r="I554" t="str">
        <f t="shared" si="156"/>
        <v>"),MatchYear=</v>
      </c>
      <c r="J554">
        <f>Matchs!E555</f>
        <v>1998</v>
      </c>
      <c r="K554" t="str">
        <f t="shared" si="157"/>
        <v>, SeasonId= "</v>
      </c>
      <c r="L554" t="str">
        <f>Matchs!F555</f>
        <v>FIFAWC1998</v>
      </c>
      <c r="M554" t="str">
        <f t="shared" si="158"/>
        <v>",Round= "</v>
      </c>
      <c r="N554" t="str">
        <f>Matchs!G555</f>
        <v>Final Round</v>
      </c>
      <c r="O554" s="6" t="str">
        <f t="shared" si="159"/>
        <v>",Stage= "</v>
      </c>
      <c r="P554" t="str">
        <f>Matchs!H555</f>
        <v>Group</v>
      </c>
      <c r="Q554" s="6" t="str">
        <f t="shared" si="160"/>
        <v>",SubStage= "</v>
      </c>
      <c r="R554" t="str">
        <f>Matchs!I555</f>
        <v xml:space="preserve">Group C </v>
      </c>
      <c r="S554" s="6" t="str">
        <f t="shared" si="161"/>
        <v>",HTeam= "</v>
      </c>
      <c r="T554" t="str">
        <f>Matchs!J555</f>
        <v>France</v>
      </c>
      <c r="U554" s="6" t="str">
        <f t="shared" si="162"/>
        <v>",HGoal=</v>
      </c>
      <c r="V554">
        <f>Matchs!K555</f>
        <v>2</v>
      </c>
      <c r="W554" s="6" t="str">
        <f t="shared" si="163"/>
        <v>,GGoal=</v>
      </c>
      <c r="X554">
        <f>Matchs!L555</f>
        <v>1</v>
      </c>
      <c r="Y554" s="6" t="str">
        <f t="shared" si="164"/>
        <v>,GTeam= "</v>
      </c>
      <c r="Z554" t="str">
        <f>Matchs!M555</f>
        <v>Denmark</v>
      </c>
      <c r="AA554" s="6" t="str">
        <f t="shared" si="165"/>
        <v>",WinNote="</v>
      </c>
      <c r="AB554" t="str">
        <f>IF(Matchs!N555="","",Matchs!N555)</f>
        <v/>
      </c>
      <c r="AC554" s="6" t="str">
        <f t="shared" si="166"/>
        <v xml:space="preserve">",Stadium=" </v>
      </c>
      <c r="AD554" s="11" t="str">
        <f>Matchs!O555</f>
        <v xml:space="preserve">Stade de Gerland </v>
      </c>
      <c r="AE554" s="6" t="str">
        <f t="shared" si="167"/>
        <v>",Referee= "</v>
      </c>
      <c r="AF554" s="11" t="str">
        <f>Matchs!P555</f>
        <v xml:space="preserve">Pierluigi Collina </v>
      </c>
      <c r="AG554" s="6" t="str">
        <f t="shared" si="168"/>
        <v xml:space="preserve">",Visistors= </v>
      </c>
      <c r="AH554" s="11">
        <f>Matchs!Q555</f>
        <v>39100</v>
      </c>
      <c r="AI554" s="11" t="str">
        <f t="shared" si="169"/>
        <v>,Status= "</v>
      </c>
      <c r="AJ554" s="11" t="str">
        <f>Matchs!R555</f>
        <v>Finished</v>
      </c>
      <c r="AK554" t="str">
        <f t="shared" si="170"/>
        <v>" },</v>
      </c>
    </row>
    <row r="555" spans="1:37" x14ac:dyDescent="0.25">
      <c r="A555" t="str">
        <f t="shared" si="152"/>
        <v>new Match { MatchId= "</v>
      </c>
      <c r="B555" t="str">
        <f>Matchs!A556</f>
        <v>FIFAWC1998-39</v>
      </c>
      <c r="C555" t="str">
        <f t="shared" si="153"/>
        <v>",MatchNumer=</v>
      </c>
      <c r="D555">
        <f>Matchs!B556</f>
        <v>39</v>
      </c>
      <c r="E555" t="str">
        <f t="shared" si="154"/>
        <v>,DateMatch=DateTime.Parse("</v>
      </c>
      <c r="F555" s="3">
        <f>Matchs!C556</f>
        <v>35971</v>
      </c>
      <c r="G555" s="10" t="str">
        <f t="shared" si="155"/>
        <v>"),TimeMatch=TimeSpan.Parse("</v>
      </c>
      <c r="H555" s="9">
        <f>Matchs!D556</f>
        <v>8.3333333333333329E-2</v>
      </c>
      <c r="I555" t="str">
        <f t="shared" si="156"/>
        <v>"),MatchYear=</v>
      </c>
      <c r="J555">
        <f>Matchs!E556</f>
        <v>1998</v>
      </c>
      <c r="K555" t="str">
        <f t="shared" si="157"/>
        <v>, SeasonId= "</v>
      </c>
      <c r="L555" t="str">
        <f>Matchs!F556</f>
        <v>FIFAWC1998</v>
      </c>
      <c r="M555" t="str">
        <f t="shared" si="158"/>
        <v>",Round= "</v>
      </c>
      <c r="N555" t="str">
        <f>Matchs!G556</f>
        <v>Final Round</v>
      </c>
      <c r="O555" s="6" t="str">
        <f t="shared" si="159"/>
        <v>",Stage= "</v>
      </c>
      <c r="P555" t="str">
        <f>Matchs!H556</f>
        <v>Group</v>
      </c>
      <c r="Q555" s="6" t="str">
        <f t="shared" si="160"/>
        <v>",SubStage= "</v>
      </c>
      <c r="R555" t="str">
        <f>Matchs!I556</f>
        <v xml:space="preserve">Group D </v>
      </c>
      <c r="S555" s="6" t="str">
        <f t="shared" si="161"/>
        <v>",HTeam= "</v>
      </c>
      <c r="T555" t="str">
        <f>Matchs!J556</f>
        <v>Nigeria</v>
      </c>
      <c r="U555" s="6" t="str">
        <f t="shared" si="162"/>
        <v>",HGoal=</v>
      </c>
      <c r="V555">
        <f>Matchs!K556</f>
        <v>1</v>
      </c>
      <c r="W555" s="6" t="str">
        <f t="shared" si="163"/>
        <v>,GGoal=</v>
      </c>
      <c r="X555">
        <f>Matchs!L556</f>
        <v>3</v>
      </c>
      <c r="Y555" s="6" t="str">
        <f t="shared" si="164"/>
        <v>,GTeam= "</v>
      </c>
      <c r="Z555" t="str">
        <f>Matchs!M556</f>
        <v>Paraguay</v>
      </c>
      <c r="AA555" s="6" t="str">
        <f t="shared" si="165"/>
        <v>",WinNote="</v>
      </c>
      <c r="AB555" t="str">
        <f>IF(Matchs!N556="","",Matchs!N556)</f>
        <v/>
      </c>
      <c r="AC555" s="6" t="str">
        <f t="shared" si="166"/>
        <v xml:space="preserve">",Stadium=" </v>
      </c>
      <c r="AD555" s="11" t="str">
        <f>Matchs!O556</f>
        <v xml:space="preserve">Stade Municipal de Toulouse </v>
      </c>
      <c r="AE555" s="6" t="str">
        <f t="shared" si="167"/>
        <v>",Referee= "</v>
      </c>
      <c r="AF555" s="11" t="str">
        <f>Matchs!P556</f>
        <v xml:space="preserve">Pirom Un-Prasert </v>
      </c>
      <c r="AG555" s="6" t="str">
        <f t="shared" si="168"/>
        <v xml:space="preserve">",Visistors= </v>
      </c>
      <c r="AH555" s="11">
        <f>Matchs!Q556</f>
        <v>33500</v>
      </c>
      <c r="AI555" s="11" t="str">
        <f t="shared" si="169"/>
        <v>,Status= "</v>
      </c>
      <c r="AJ555" s="11" t="str">
        <f>Matchs!R556</f>
        <v>Finished</v>
      </c>
      <c r="AK555" t="str">
        <f t="shared" si="170"/>
        <v>" },</v>
      </c>
    </row>
    <row r="556" spans="1:37" x14ac:dyDescent="0.25">
      <c r="A556" t="str">
        <f t="shared" si="152"/>
        <v>new Match { MatchId= "</v>
      </c>
      <c r="B556" t="str">
        <f>Matchs!A557</f>
        <v>FIFAWC1998-40</v>
      </c>
      <c r="C556" t="str">
        <f t="shared" si="153"/>
        <v>",MatchNumer=</v>
      </c>
      <c r="D556">
        <f>Matchs!B557</f>
        <v>40</v>
      </c>
      <c r="E556" t="str">
        <f t="shared" si="154"/>
        <v>,DateMatch=DateTime.Parse("</v>
      </c>
      <c r="F556" s="3">
        <f>Matchs!C557</f>
        <v>35971</v>
      </c>
      <c r="G556" s="10" t="str">
        <f t="shared" si="155"/>
        <v>"),TimeMatch=TimeSpan.Parse("</v>
      </c>
      <c r="H556" s="9">
        <f>Matchs!D557</f>
        <v>8.3333333333333329E-2</v>
      </c>
      <c r="I556" t="str">
        <f t="shared" si="156"/>
        <v>"),MatchYear=</v>
      </c>
      <c r="J556">
        <f>Matchs!E557</f>
        <v>1998</v>
      </c>
      <c r="K556" t="str">
        <f t="shared" si="157"/>
        <v>, SeasonId= "</v>
      </c>
      <c r="L556" t="str">
        <f>Matchs!F557</f>
        <v>FIFAWC1998</v>
      </c>
      <c r="M556" t="str">
        <f t="shared" si="158"/>
        <v>",Round= "</v>
      </c>
      <c r="N556" t="str">
        <f>Matchs!G557</f>
        <v>Final Round</v>
      </c>
      <c r="O556" s="6" t="str">
        <f t="shared" si="159"/>
        <v>",Stage= "</v>
      </c>
      <c r="P556" t="str">
        <f>Matchs!H557</f>
        <v>Group</v>
      </c>
      <c r="Q556" s="6" t="str">
        <f t="shared" si="160"/>
        <v>",SubStage= "</v>
      </c>
      <c r="R556" t="str">
        <f>Matchs!I557</f>
        <v xml:space="preserve">Group D </v>
      </c>
      <c r="S556" s="6" t="str">
        <f t="shared" si="161"/>
        <v>",HTeam= "</v>
      </c>
      <c r="T556" t="str">
        <f>Matchs!J557</f>
        <v>Spain</v>
      </c>
      <c r="U556" s="6" t="str">
        <f t="shared" si="162"/>
        <v>",HGoal=</v>
      </c>
      <c r="V556">
        <f>Matchs!K557</f>
        <v>6</v>
      </c>
      <c r="W556" s="6" t="str">
        <f t="shared" si="163"/>
        <v>,GGoal=</v>
      </c>
      <c r="X556">
        <f>Matchs!L557</f>
        <v>1</v>
      </c>
      <c r="Y556" s="6" t="str">
        <f t="shared" si="164"/>
        <v>,GTeam= "</v>
      </c>
      <c r="Z556" t="str">
        <f>Matchs!M557</f>
        <v>Bulgaria</v>
      </c>
      <c r="AA556" s="6" t="str">
        <f t="shared" si="165"/>
        <v>",WinNote="</v>
      </c>
      <c r="AB556" t="str">
        <f>IF(Matchs!N557="","",Matchs!N557)</f>
        <v/>
      </c>
      <c r="AC556" s="6" t="str">
        <f t="shared" si="166"/>
        <v xml:space="preserve">",Stadium=" </v>
      </c>
      <c r="AD556" s="11" t="str">
        <f>Matchs!O557</f>
        <v xml:space="preserve">Stade Félix-Bollaert </v>
      </c>
      <c r="AE556" s="6" t="str">
        <f t="shared" si="167"/>
        <v>",Referee= "</v>
      </c>
      <c r="AF556" s="11" t="str">
        <f>Matchs!P557</f>
        <v xml:space="preserve">Mario van der Ende </v>
      </c>
      <c r="AG556" s="6" t="str">
        <f t="shared" si="168"/>
        <v xml:space="preserve">",Visistors= </v>
      </c>
      <c r="AH556" s="11">
        <f>Matchs!Q557</f>
        <v>38100</v>
      </c>
      <c r="AI556" s="11" t="str">
        <f t="shared" si="169"/>
        <v>,Status= "</v>
      </c>
      <c r="AJ556" s="11" t="str">
        <f>Matchs!R557</f>
        <v>Finished</v>
      </c>
      <c r="AK556" t="str">
        <f t="shared" si="170"/>
        <v>" },</v>
      </c>
    </row>
    <row r="557" spans="1:37" x14ac:dyDescent="0.25">
      <c r="A557" t="str">
        <f t="shared" si="152"/>
        <v>new Match { MatchId= "</v>
      </c>
      <c r="B557" t="str">
        <f>Matchs!A558</f>
        <v>FIFAWC1998-41</v>
      </c>
      <c r="C557" t="str">
        <f t="shared" si="153"/>
        <v>",MatchNumer=</v>
      </c>
      <c r="D557">
        <f>Matchs!B558</f>
        <v>41</v>
      </c>
      <c r="E557" t="str">
        <f t="shared" si="154"/>
        <v>,DateMatch=DateTime.Parse("</v>
      </c>
      <c r="F557" s="3">
        <f>Matchs!C558</f>
        <v>35971</v>
      </c>
      <c r="G557" s="10" t="str">
        <f t="shared" si="155"/>
        <v>"),TimeMatch=TimeSpan.Parse("</v>
      </c>
      <c r="H557" s="9">
        <f>Matchs!D558</f>
        <v>0.875</v>
      </c>
      <c r="I557" t="str">
        <f t="shared" si="156"/>
        <v>"),MatchYear=</v>
      </c>
      <c r="J557">
        <f>Matchs!E558</f>
        <v>1998</v>
      </c>
      <c r="K557" t="str">
        <f t="shared" si="157"/>
        <v>, SeasonId= "</v>
      </c>
      <c r="L557" t="str">
        <f>Matchs!F558</f>
        <v>FIFAWC1998</v>
      </c>
      <c r="M557" t="str">
        <f t="shared" si="158"/>
        <v>",Round= "</v>
      </c>
      <c r="N557" t="str">
        <f>Matchs!G558</f>
        <v>Final Round</v>
      </c>
      <c r="O557" s="6" t="str">
        <f t="shared" si="159"/>
        <v>",Stage= "</v>
      </c>
      <c r="P557" t="str">
        <f>Matchs!H558</f>
        <v>Group</v>
      </c>
      <c r="Q557" s="6" t="str">
        <f t="shared" si="160"/>
        <v>",SubStage= "</v>
      </c>
      <c r="R557" t="str">
        <f>Matchs!I558</f>
        <v xml:space="preserve">Group E </v>
      </c>
      <c r="S557" s="6" t="str">
        <f t="shared" si="161"/>
        <v>",HTeam= "</v>
      </c>
      <c r="T557" t="str">
        <f>Matchs!J558</f>
        <v>Belgium</v>
      </c>
      <c r="U557" s="6" t="str">
        <f t="shared" si="162"/>
        <v>",HGoal=</v>
      </c>
      <c r="V557">
        <f>Matchs!K558</f>
        <v>1</v>
      </c>
      <c r="W557" s="6" t="str">
        <f t="shared" si="163"/>
        <v>,GGoal=</v>
      </c>
      <c r="X557">
        <f>Matchs!L558</f>
        <v>1</v>
      </c>
      <c r="Y557" s="6" t="str">
        <f t="shared" si="164"/>
        <v>,GTeam= "</v>
      </c>
      <c r="Z557" t="str">
        <f>Matchs!M558</f>
        <v>South Korea</v>
      </c>
      <c r="AA557" s="6" t="str">
        <f t="shared" si="165"/>
        <v>",WinNote="</v>
      </c>
      <c r="AB557" t="str">
        <f>IF(Matchs!N558="","",Matchs!N558)</f>
        <v/>
      </c>
      <c r="AC557" s="6" t="str">
        <f t="shared" si="166"/>
        <v xml:space="preserve">",Stadium=" </v>
      </c>
      <c r="AD557" s="11" t="str">
        <f>Matchs!O558</f>
        <v xml:space="preserve">Parc des Princes </v>
      </c>
      <c r="AE557" s="6" t="str">
        <f t="shared" si="167"/>
        <v>",Referee= "</v>
      </c>
      <c r="AF557" s="11" t="str">
        <f>Matchs!P558</f>
        <v xml:space="preserve">Márcio Rezende de Freitas </v>
      </c>
      <c r="AG557" s="6" t="str">
        <f t="shared" si="168"/>
        <v xml:space="preserve">",Visistors= </v>
      </c>
      <c r="AH557" s="11">
        <f>Matchs!Q558</f>
        <v>45500</v>
      </c>
      <c r="AI557" s="11" t="str">
        <f t="shared" si="169"/>
        <v>,Status= "</v>
      </c>
      <c r="AJ557" s="11" t="str">
        <f>Matchs!R558</f>
        <v>Finished</v>
      </c>
      <c r="AK557" t="str">
        <f t="shared" si="170"/>
        <v>" },</v>
      </c>
    </row>
    <row r="558" spans="1:37" x14ac:dyDescent="0.25">
      <c r="A558" t="str">
        <f t="shared" si="152"/>
        <v>new Match { MatchId= "</v>
      </c>
      <c r="B558" t="str">
        <f>Matchs!A559</f>
        <v>FIFAWC1998-42</v>
      </c>
      <c r="C558" t="str">
        <f t="shared" si="153"/>
        <v>",MatchNumer=</v>
      </c>
      <c r="D558">
        <f>Matchs!B559</f>
        <v>42</v>
      </c>
      <c r="E558" t="str">
        <f t="shared" si="154"/>
        <v>,DateMatch=DateTime.Parse("</v>
      </c>
      <c r="F558" s="3">
        <f>Matchs!C559</f>
        <v>35971</v>
      </c>
      <c r="G558" s="10" t="str">
        <f t="shared" si="155"/>
        <v>"),TimeMatch=TimeSpan.Parse("</v>
      </c>
      <c r="H558" s="9">
        <f>Matchs!D559</f>
        <v>0.875</v>
      </c>
      <c r="I558" t="str">
        <f t="shared" si="156"/>
        <v>"),MatchYear=</v>
      </c>
      <c r="J558">
        <f>Matchs!E559</f>
        <v>1998</v>
      </c>
      <c r="K558" t="str">
        <f t="shared" si="157"/>
        <v>, SeasonId= "</v>
      </c>
      <c r="L558" t="str">
        <f>Matchs!F559</f>
        <v>FIFAWC1998</v>
      </c>
      <c r="M558" t="str">
        <f t="shared" si="158"/>
        <v>",Round= "</v>
      </c>
      <c r="N558" t="str">
        <f>Matchs!G559</f>
        <v>Final Round</v>
      </c>
      <c r="O558" s="6" t="str">
        <f t="shared" si="159"/>
        <v>",Stage= "</v>
      </c>
      <c r="P558" t="str">
        <f>Matchs!H559</f>
        <v>Group</v>
      </c>
      <c r="Q558" s="6" t="str">
        <f t="shared" si="160"/>
        <v>",SubStage= "</v>
      </c>
      <c r="R558" t="str">
        <f>Matchs!I559</f>
        <v xml:space="preserve">Group E </v>
      </c>
      <c r="S558" s="6" t="str">
        <f t="shared" si="161"/>
        <v>",HTeam= "</v>
      </c>
      <c r="T558" t="str">
        <f>Matchs!J559</f>
        <v>Netherlands</v>
      </c>
      <c r="U558" s="6" t="str">
        <f t="shared" si="162"/>
        <v>",HGoal=</v>
      </c>
      <c r="V558">
        <f>Matchs!K559</f>
        <v>2</v>
      </c>
      <c r="W558" s="6" t="str">
        <f t="shared" si="163"/>
        <v>,GGoal=</v>
      </c>
      <c r="X558">
        <f>Matchs!L559</f>
        <v>2</v>
      </c>
      <c r="Y558" s="6" t="str">
        <f t="shared" si="164"/>
        <v>,GTeam= "</v>
      </c>
      <c r="Z558" t="str">
        <f>Matchs!M559</f>
        <v>Mexico</v>
      </c>
      <c r="AA558" s="6" t="str">
        <f t="shared" si="165"/>
        <v>",WinNote="</v>
      </c>
      <c r="AB558" t="str">
        <f>IF(Matchs!N559="","",Matchs!N559)</f>
        <v/>
      </c>
      <c r="AC558" s="6" t="str">
        <f t="shared" si="166"/>
        <v xml:space="preserve">",Stadium=" </v>
      </c>
      <c r="AD558" s="11" t="str">
        <f>Matchs!O559</f>
        <v xml:space="preserve">Stade Geoffroy-Guichard </v>
      </c>
      <c r="AE558" s="6" t="str">
        <f t="shared" si="167"/>
        <v>",Referee= "</v>
      </c>
      <c r="AF558" s="11" t="str">
        <f>Matchs!P559</f>
        <v xml:space="preserve">Abdul Rahman Al-Zeid </v>
      </c>
      <c r="AG558" s="6" t="str">
        <f t="shared" si="168"/>
        <v xml:space="preserve">",Visistors= </v>
      </c>
      <c r="AH558" s="11">
        <f>Matchs!Q559</f>
        <v>30600</v>
      </c>
      <c r="AI558" s="11" t="str">
        <f t="shared" si="169"/>
        <v>,Status= "</v>
      </c>
      <c r="AJ558" s="11" t="str">
        <f>Matchs!R559</f>
        <v>Finished</v>
      </c>
      <c r="AK558" t="str">
        <f t="shared" si="170"/>
        <v>" },</v>
      </c>
    </row>
    <row r="559" spans="1:37" x14ac:dyDescent="0.25">
      <c r="A559" t="str">
        <f t="shared" si="152"/>
        <v>new Match { MatchId= "</v>
      </c>
      <c r="B559" t="str">
        <f>Matchs!A560</f>
        <v>FIFAWC1998-43</v>
      </c>
      <c r="C559" t="str">
        <f t="shared" si="153"/>
        <v>",MatchNumer=</v>
      </c>
      <c r="D559">
        <f>Matchs!B560</f>
        <v>43</v>
      </c>
      <c r="E559" t="str">
        <f t="shared" si="154"/>
        <v>,DateMatch=DateTime.Parse("</v>
      </c>
      <c r="F559" s="3">
        <f>Matchs!C560</f>
        <v>35972</v>
      </c>
      <c r="G559" s="10" t="str">
        <f t="shared" si="155"/>
        <v>"),TimeMatch=TimeSpan.Parse("</v>
      </c>
      <c r="H559" s="9">
        <f>Matchs!D560</f>
        <v>8.3333333333333329E-2</v>
      </c>
      <c r="I559" t="str">
        <f t="shared" si="156"/>
        <v>"),MatchYear=</v>
      </c>
      <c r="J559">
        <f>Matchs!E560</f>
        <v>1998</v>
      </c>
      <c r="K559" t="str">
        <f t="shared" si="157"/>
        <v>, SeasonId= "</v>
      </c>
      <c r="L559" t="str">
        <f>Matchs!F560</f>
        <v>FIFAWC1998</v>
      </c>
      <c r="M559" t="str">
        <f t="shared" si="158"/>
        <v>",Round= "</v>
      </c>
      <c r="N559" t="str">
        <f>Matchs!G560</f>
        <v>Final Round</v>
      </c>
      <c r="O559" s="6" t="str">
        <f t="shared" si="159"/>
        <v>",Stage= "</v>
      </c>
      <c r="P559" t="str">
        <f>Matchs!H560</f>
        <v>Group</v>
      </c>
      <c r="Q559" s="6" t="str">
        <f t="shared" si="160"/>
        <v>",SubStage= "</v>
      </c>
      <c r="R559" t="str">
        <f>Matchs!I560</f>
        <v xml:space="preserve">Group F </v>
      </c>
      <c r="S559" s="6" t="str">
        <f t="shared" si="161"/>
        <v>",HTeam= "</v>
      </c>
      <c r="T559" t="str">
        <f>Matchs!J560</f>
        <v>Germany</v>
      </c>
      <c r="U559" s="6" t="str">
        <f t="shared" si="162"/>
        <v>",HGoal=</v>
      </c>
      <c r="V559">
        <f>Matchs!K560</f>
        <v>2</v>
      </c>
      <c r="W559" s="6" t="str">
        <f t="shared" si="163"/>
        <v>,GGoal=</v>
      </c>
      <c r="X559">
        <f>Matchs!L560</f>
        <v>0</v>
      </c>
      <c r="Y559" s="6" t="str">
        <f t="shared" si="164"/>
        <v>,GTeam= "</v>
      </c>
      <c r="Z559" t="str">
        <f>Matchs!M560</f>
        <v>Iran</v>
      </c>
      <c r="AA559" s="6" t="str">
        <f t="shared" si="165"/>
        <v>",WinNote="</v>
      </c>
      <c r="AB559" t="str">
        <f>IF(Matchs!N560="","",Matchs!N560)</f>
        <v/>
      </c>
      <c r="AC559" s="6" t="str">
        <f t="shared" si="166"/>
        <v xml:space="preserve">",Stadium=" </v>
      </c>
      <c r="AD559" s="11" t="str">
        <f>Matchs!O560</f>
        <v xml:space="preserve">Stade de la Mosson </v>
      </c>
      <c r="AE559" s="6" t="str">
        <f t="shared" si="167"/>
        <v>",Referee= "</v>
      </c>
      <c r="AF559" s="11" t="str">
        <f>Matchs!P560</f>
        <v xml:space="preserve">Epifanio González </v>
      </c>
      <c r="AG559" s="6" t="str">
        <f t="shared" si="168"/>
        <v xml:space="preserve">",Visistors= </v>
      </c>
      <c r="AH559" s="11">
        <f>Matchs!Q560</f>
        <v>29800</v>
      </c>
      <c r="AI559" s="11" t="str">
        <f t="shared" si="169"/>
        <v>,Status= "</v>
      </c>
      <c r="AJ559" s="11" t="str">
        <f>Matchs!R560</f>
        <v>Finished</v>
      </c>
      <c r="AK559" t="str">
        <f t="shared" si="170"/>
        <v>" },</v>
      </c>
    </row>
    <row r="560" spans="1:37" x14ac:dyDescent="0.25">
      <c r="A560" t="str">
        <f t="shared" si="152"/>
        <v>new Match { MatchId= "</v>
      </c>
      <c r="B560" t="str">
        <f>Matchs!A561</f>
        <v>FIFAWC1998-44</v>
      </c>
      <c r="C560" t="str">
        <f t="shared" si="153"/>
        <v>",MatchNumer=</v>
      </c>
      <c r="D560">
        <f>Matchs!B561</f>
        <v>44</v>
      </c>
      <c r="E560" t="str">
        <f t="shared" si="154"/>
        <v>,DateMatch=DateTime.Parse("</v>
      </c>
      <c r="F560" s="3">
        <f>Matchs!C561</f>
        <v>35972</v>
      </c>
      <c r="G560" s="10" t="str">
        <f t="shared" si="155"/>
        <v>"),TimeMatch=TimeSpan.Parse("</v>
      </c>
      <c r="H560" s="9">
        <f>Matchs!D561</f>
        <v>8.3333333333333329E-2</v>
      </c>
      <c r="I560" t="str">
        <f t="shared" si="156"/>
        <v>"),MatchYear=</v>
      </c>
      <c r="J560">
        <f>Matchs!E561</f>
        <v>1998</v>
      </c>
      <c r="K560" t="str">
        <f t="shared" si="157"/>
        <v>, SeasonId= "</v>
      </c>
      <c r="L560" t="str">
        <f>Matchs!F561</f>
        <v>FIFAWC1998</v>
      </c>
      <c r="M560" t="str">
        <f t="shared" si="158"/>
        <v>",Round= "</v>
      </c>
      <c r="N560" t="str">
        <f>Matchs!G561</f>
        <v>Final Round</v>
      </c>
      <c r="O560" s="6" t="str">
        <f t="shared" si="159"/>
        <v>",Stage= "</v>
      </c>
      <c r="P560" t="str">
        <f>Matchs!H561</f>
        <v>Group</v>
      </c>
      <c r="Q560" s="6" t="str">
        <f t="shared" si="160"/>
        <v>",SubStage= "</v>
      </c>
      <c r="R560" t="str">
        <f>Matchs!I561</f>
        <v xml:space="preserve">Group F </v>
      </c>
      <c r="S560" s="6" t="str">
        <f t="shared" si="161"/>
        <v>",HTeam= "</v>
      </c>
      <c r="T560" t="str">
        <f>Matchs!J561</f>
        <v>USA</v>
      </c>
      <c r="U560" s="6" t="str">
        <f t="shared" si="162"/>
        <v>",HGoal=</v>
      </c>
      <c r="V560">
        <f>Matchs!K561</f>
        <v>0</v>
      </c>
      <c r="W560" s="6" t="str">
        <f t="shared" si="163"/>
        <v>,GGoal=</v>
      </c>
      <c r="X560">
        <f>Matchs!L561</f>
        <v>1</v>
      </c>
      <c r="Y560" s="6" t="str">
        <f t="shared" si="164"/>
        <v>,GTeam= "</v>
      </c>
      <c r="Z560" t="str">
        <f>Matchs!M561</f>
        <v>Yugoslavia</v>
      </c>
      <c r="AA560" s="6" t="str">
        <f t="shared" si="165"/>
        <v>",WinNote="</v>
      </c>
      <c r="AB560" t="str">
        <f>IF(Matchs!N561="","",Matchs!N561)</f>
        <v/>
      </c>
      <c r="AC560" s="6" t="str">
        <f t="shared" si="166"/>
        <v xml:space="preserve">",Stadium=" </v>
      </c>
      <c r="AD560" s="11" t="str">
        <f>Matchs!O561</f>
        <v xml:space="preserve">Stade de la Beaujoire </v>
      </c>
      <c r="AE560" s="6" t="str">
        <f t="shared" si="167"/>
        <v>",Referee= "</v>
      </c>
      <c r="AF560" s="11" t="str">
        <f>Matchs!P561</f>
        <v xml:space="preserve">Gamal Al-Ghandour </v>
      </c>
      <c r="AG560" s="6" t="str">
        <f t="shared" si="168"/>
        <v xml:space="preserve">",Visistors= </v>
      </c>
      <c r="AH560" s="11">
        <f>Matchs!Q561</f>
        <v>35500</v>
      </c>
      <c r="AI560" s="11" t="str">
        <f t="shared" si="169"/>
        <v>,Status= "</v>
      </c>
      <c r="AJ560" s="11" t="str">
        <f>Matchs!R561</f>
        <v>Finished</v>
      </c>
      <c r="AK560" t="str">
        <f t="shared" si="170"/>
        <v>" },</v>
      </c>
    </row>
    <row r="561" spans="1:37" x14ac:dyDescent="0.25">
      <c r="A561" t="str">
        <f t="shared" si="152"/>
        <v>new Match { MatchId= "</v>
      </c>
      <c r="B561" t="str">
        <f>Matchs!A562</f>
        <v>FIFAWC1998-45</v>
      </c>
      <c r="C561" t="str">
        <f t="shared" si="153"/>
        <v>",MatchNumer=</v>
      </c>
      <c r="D561">
        <f>Matchs!B562</f>
        <v>45</v>
      </c>
      <c r="E561" t="str">
        <f t="shared" si="154"/>
        <v>,DateMatch=DateTime.Parse("</v>
      </c>
      <c r="F561" s="3">
        <f>Matchs!C562</f>
        <v>35972</v>
      </c>
      <c r="G561" s="10" t="str">
        <f t="shared" si="155"/>
        <v>"),TimeMatch=TimeSpan.Parse("</v>
      </c>
      <c r="H561" s="9">
        <f>Matchs!D562</f>
        <v>0.875</v>
      </c>
      <c r="I561" t="str">
        <f t="shared" si="156"/>
        <v>"),MatchYear=</v>
      </c>
      <c r="J561">
        <f>Matchs!E562</f>
        <v>1998</v>
      </c>
      <c r="K561" t="str">
        <f t="shared" si="157"/>
        <v>, SeasonId= "</v>
      </c>
      <c r="L561" t="str">
        <f>Matchs!F562</f>
        <v>FIFAWC1998</v>
      </c>
      <c r="M561" t="str">
        <f t="shared" si="158"/>
        <v>",Round= "</v>
      </c>
      <c r="N561" t="str">
        <f>Matchs!G562</f>
        <v>Final Round</v>
      </c>
      <c r="O561" s="6" t="str">
        <f t="shared" si="159"/>
        <v>",Stage= "</v>
      </c>
      <c r="P561" t="str">
        <f>Matchs!H562</f>
        <v>Group</v>
      </c>
      <c r="Q561" s="6" t="str">
        <f t="shared" si="160"/>
        <v>",SubStage= "</v>
      </c>
      <c r="R561" t="str">
        <f>Matchs!I562</f>
        <v xml:space="preserve">Group H </v>
      </c>
      <c r="S561" s="6" t="str">
        <f t="shared" si="161"/>
        <v>",HTeam= "</v>
      </c>
      <c r="T561" t="str">
        <f>Matchs!J562</f>
        <v>Jamaica</v>
      </c>
      <c r="U561" s="6" t="str">
        <f t="shared" si="162"/>
        <v>",HGoal=</v>
      </c>
      <c r="V561">
        <f>Matchs!K562</f>
        <v>2</v>
      </c>
      <c r="W561" s="6" t="str">
        <f t="shared" si="163"/>
        <v>,GGoal=</v>
      </c>
      <c r="X561">
        <f>Matchs!L562</f>
        <v>1</v>
      </c>
      <c r="Y561" s="6" t="str">
        <f t="shared" si="164"/>
        <v>,GTeam= "</v>
      </c>
      <c r="Z561" t="str">
        <f>Matchs!M562</f>
        <v>Japan</v>
      </c>
      <c r="AA561" s="6" t="str">
        <f t="shared" si="165"/>
        <v>",WinNote="</v>
      </c>
      <c r="AB561" t="str">
        <f>IF(Matchs!N562="","",Matchs!N562)</f>
        <v/>
      </c>
      <c r="AC561" s="6" t="str">
        <f t="shared" si="166"/>
        <v xml:space="preserve">",Stadium=" </v>
      </c>
      <c r="AD561" s="11" t="str">
        <f>Matchs!O562</f>
        <v xml:space="preserve">Stade de Gerland </v>
      </c>
      <c r="AE561" s="6" t="str">
        <f t="shared" si="167"/>
        <v>",Referee= "</v>
      </c>
      <c r="AF561" s="11" t="str">
        <f>Matchs!P562</f>
        <v xml:space="preserve">Gunter Benko </v>
      </c>
      <c r="AG561" s="6" t="str">
        <f t="shared" si="168"/>
        <v xml:space="preserve">",Visistors= </v>
      </c>
      <c r="AH561" s="11">
        <f>Matchs!Q562</f>
        <v>39100</v>
      </c>
      <c r="AI561" s="11" t="str">
        <f t="shared" si="169"/>
        <v>,Status= "</v>
      </c>
      <c r="AJ561" s="11" t="str">
        <f>Matchs!R562</f>
        <v>Finished</v>
      </c>
      <c r="AK561" t="str">
        <f t="shared" si="170"/>
        <v>" },</v>
      </c>
    </row>
    <row r="562" spans="1:37" x14ac:dyDescent="0.25">
      <c r="A562" t="str">
        <f t="shared" si="152"/>
        <v>new Match { MatchId= "</v>
      </c>
      <c r="B562" t="str">
        <f>Matchs!A563</f>
        <v>FIFAWC1998-46</v>
      </c>
      <c r="C562" t="str">
        <f t="shared" si="153"/>
        <v>",MatchNumer=</v>
      </c>
      <c r="D562">
        <f>Matchs!B563</f>
        <v>46</v>
      </c>
      <c r="E562" t="str">
        <f t="shared" si="154"/>
        <v>,DateMatch=DateTime.Parse("</v>
      </c>
      <c r="F562" s="3">
        <f>Matchs!C563</f>
        <v>35972</v>
      </c>
      <c r="G562" s="10" t="str">
        <f t="shared" si="155"/>
        <v>"),TimeMatch=TimeSpan.Parse("</v>
      </c>
      <c r="H562" s="9">
        <f>Matchs!D563</f>
        <v>0.875</v>
      </c>
      <c r="I562" t="str">
        <f t="shared" si="156"/>
        <v>"),MatchYear=</v>
      </c>
      <c r="J562">
        <f>Matchs!E563</f>
        <v>1998</v>
      </c>
      <c r="K562" t="str">
        <f t="shared" si="157"/>
        <v>, SeasonId= "</v>
      </c>
      <c r="L562" t="str">
        <f>Matchs!F563</f>
        <v>FIFAWC1998</v>
      </c>
      <c r="M562" t="str">
        <f t="shared" si="158"/>
        <v>",Round= "</v>
      </c>
      <c r="N562" t="str">
        <f>Matchs!G563</f>
        <v>Final Round</v>
      </c>
      <c r="O562" s="6" t="str">
        <f t="shared" si="159"/>
        <v>",Stage= "</v>
      </c>
      <c r="P562" t="str">
        <f>Matchs!H563</f>
        <v>Group</v>
      </c>
      <c r="Q562" s="6" t="str">
        <f t="shared" si="160"/>
        <v>",SubStage= "</v>
      </c>
      <c r="R562" t="str">
        <f>Matchs!I563</f>
        <v xml:space="preserve">Group H </v>
      </c>
      <c r="S562" s="6" t="str">
        <f t="shared" si="161"/>
        <v>",HTeam= "</v>
      </c>
      <c r="T562" t="str">
        <f>Matchs!J563</f>
        <v>Argentina</v>
      </c>
      <c r="U562" s="6" t="str">
        <f t="shared" si="162"/>
        <v>",HGoal=</v>
      </c>
      <c r="V562">
        <f>Matchs!K563</f>
        <v>1</v>
      </c>
      <c r="W562" s="6" t="str">
        <f t="shared" si="163"/>
        <v>,GGoal=</v>
      </c>
      <c r="X562">
        <f>Matchs!L563</f>
        <v>0</v>
      </c>
      <c r="Y562" s="6" t="str">
        <f t="shared" si="164"/>
        <v>,GTeam= "</v>
      </c>
      <c r="Z562" t="str">
        <f>Matchs!M563</f>
        <v>Croatia</v>
      </c>
      <c r="AA562" s="6" t="str">
        <f t="shared" si="165"/>
        <v>",WinNote="</v>
      </c>
      <c r="AB562" t="str">
        <f>IF(Matchs!N563="","",Matchs!N563)</f>
        <v/>
      </c>
      <c r="AC562" s="6" t="str">
        <f t="shared" si="166"/>
        <v xml:space="preserve">",Stadium=" </v>
      </c>
      <c r="AD562" s="11" t="str">
        <f>Matchs!O563</f>
        <v xml:space="preserve">Stade Chaban-Delmas </v>
      </c>
      <c r="AE562" s="6" t="str">
        <f t="shared" si="167"/>
        <v>",Referee= "</v>
      </c>
      <c r="AF562" s="11" t="str">
        <f>Matchs!P563</f>
        <v xml:space="preserve">Said Belqola </v>
      </c>
      <c r="AG562" s="6" t="str">
        <f t="shared" si="168"/>
        <v xml:space="preserve">",Visistors= </v>
      </c>
      <c r="AH562" s="11">
        <f>Matchs!Q563</f>
        <v>31800</v>
      </c>
      <c r="AI562" s="11" t="str">
        <f t="shared" si="169"/>
        <v>,Status= "</v>
      </c>
      <c r="AJ562" s="11" t="str">
        <f>Matchs!R563</f>
        <v>Finished</v>
      </c>
      <c r="AK562" t="str">
        <f t="shared" si="170"/>
        <v>" },</v>
      </c>
    </row>
    <row r="563" spans="1:37" x14ac:dyDescent="0.25">
      <c r="A563" t="str">
        <f t="shared" si="152"/>
        <v>new Match { MatchId= "</v>
      </c>
      <c r="B563" t="str">
        <f>Matchs!A564</f>
        <v>FIFAWC1998-47</v>
      </c>
      <c r="C563" t="str">
        <f t="shared" si="153"/>
        <v>",MatchNumer=</v>
      </c>
      <c r="D563">
        <f>Matchs!B564</f>
        <v>47</v>
      </c>
      <c r="E563" t="str">
        <f t="shared" si="154"/>
        <v>,DateMatch=DateTime.Parse("</v>
      </c>
      <c r="F563" s="3">
        <f>Matchs!C564</f>
        <v>35973</v>
      </c>
      <c r="G563" s="10" t="str">
        <f t="shared" si="155"/>
        <v>"),TimeMatch=TimeSpan.Parse("</v>
      </c>
      <c r="H563" s="9">
        <f>Matchs!D564</f>
        <v>8.3333333333333329E-2</v>
      </c>
      <c r="I563" t="str">
        <f t="shared" si="156"/>
        <v>"),MatchYear=</v>
      </c>
      <c r="J563">
        <f>Matchs!E564</f>
        <v>1998</v>
      </c>
      <c r="K563" t="str">
        <f t="shared" si="157"/>
        <v>, SeasonId= "</v>
      </c>
      <c r="L563" t="str">
        <f>Matchs!F564</f>
        <v>FIFAWC1998</v>
      </c>
      <c r="M563" t="str">
        <f t="shared" si="158"/>
        <v>",Round= "</v>
      </c>
      <c r="N563" t="str">
        <f>Matchs!G564</f>
        <v>Final Round</v>
      </c>
      <c r="O563" s="6" t="str">
        <f t="shared" si="159"/>
        <v>",Stage= "</v>
      </c>
      <c r="P563" t="str">
        <f>Matchs!H564</f>
        <v>Group</v>
      </c>
      <c r="Q563" s="6" t="str">
        <f t="shared" si="160"/>
        <v>",SubStage= "</v>
      </c>
      <c r="R563" t="str">
        <f>Matchs!I564</f>
        <v xml:space="preserve">Group G </v>
      </c>
      <c r="S563" s="6" t="str">
        <f t="shared" si="161"/>
        <v>",HTeam= "</v>
      </c>
      <c r="T563" t="str">
        <f>Matchs!J564</f>
        <v>Romania</v>
      </c>
      <c r="U563" s="6" t="str">
        <f t="shared" si="162"/>
        <v>",HGoal=</v>
      </c>
      <c r="V563">
        <f>Matchs!K564</f>
        <v>1</v>
      </c>
      <c r="W563" s="6" t="str">
        <f t="shared" si="163"/>
        <v>,GGoal=</v>
      </c>
      <c r="X563">
        <f>Matchs!L564</f>
        <v>1</v>
      </c>
      <c r="Y563" s="6" t="str">
        <f t="shared" si="164"/>
        <v>,GTeam= "</v>
      </c>
      <c r="Z563" t="str">
        <f>Matchs!M564</f>
        <v>Tunisia</v>
      </c>
      <c r="AA563" s="6" t="str">
        <f t="shared" si="165"/>
        <v>",WinNote="</v>
      </c>
      <c r="AB563" t="str">
        <f>IF(Matchs!N564="","",Matchs!N564)</f>
        <v/>
      </c>
      <c r="AC563" s="6" t="str">
        <f t="shared" si="166"/>
        <v xml:space="preserve">",Stadium=" </v>
      </c>
      <c r="AD563" s="11" t="str">
        <f>Matchs!O564</f>
        <v xml:space="preserve">Stade de France </v>
      </c>
      <c r="AE563" s="6" t="str">
        <f t="shared" si="167"/>
        <v>",Referee= "</v>
      </c>
      <c r="AF563" s="11" t="str">
        <f>Matchs!P564</f>
        <v xml:space="preserve">Edward Lennie </v>
      </c>
      <c r="AG563" s="6" t="str">
        <f t="shared" si="168"/>
        <v xml:space="preserve">",Visistors= </v>
      </c>
      <c r="AH563" s="11">
        <f>Matchs!Q564</f>
        <v>77000</v>
      </c>
      <c r="AI563" s="11" t="str">
        <f t="shared" si="169"/>
        <v>,Status= "</v>
      </c>
      <c r="AJ563" s="11" t="str">
        <f>Matchs!R564</f>
        <v>Finished</v>
      </c>
      <c r="AK563" t="str">
        <f t="shared" si="170"/>
        <v>" },</v>
      </c>
    </row>
    <row r="564" spans="1:37" x14ac:dyDescent="0.25">
      <c r="A564" t="str">
        <f t="shared" si="152"/>
        <v>new Match { MatchId= "</v>
      </c>
      <c r="B564" t="str">
        <f>Matchs!A565</f>
        <v>FIFAWC1998-48</v>
      </c>
      <c r="C564" t="str">
        <f t="shared" si="153"/>
        <v>",MatchNumer=</v>
      </c>
      <c r="D564">
        <f>Matchs!B565</f>
        <v>48</v>
      </c>
      <c r="E564" t="str">
        <f t="shared" si="154"/>
        <v>,DateMatch=DateTime.Parse("</v>
      </c>
      <c r="F564" s="3">
        <f>Matchs!C565</f>
        <v>35973</v>
      </c>
      <c r="G564" s="10" t="str">
        <f t="shared" si="155"/>
        <v>"),TimeMatch=TimeSpan.Parse("</v>
      </c>
      <c r="H564" s="9">
        <f>Matchs!D565</f>
        <v>8.3333333333333329E-2</v>
      </c>
      <c r="I564" t="str">
        <f t="shared" si="156"/>
        <v>"),MatchYear=</v>
      </c>
      <c r="J564">
        <f>Matchs!E565</f>
        <v>1998</v>
      </c>
      <c r="K564" t="str">
        <f t="shared" si="157"/>
        <v>, SeasonId= "</v>
      </c>
      <c r="L564" t="str">
        <f>Matchs!F565</f>
        <v>FIFAWC1998</v>
      </c>
      <c r="M564" t="str">
        <f t="shared" si="158"/>
        <v>",Round= "</v>
      </c>
      <c r="N564" t="str">
        <f>Matchs!G565</f>
        <v>Final Round</v>
      </c>
      <c r="O564" s="6" t="str">
        <f t="shared" si="159"/>
        <v>",Stage= "</v>
      </c>
      <c r="P564" t="str">
        <f>Matchs!H565</f>
        <v>Group</v>
      </c>
      <c r="Q564" s="6" t="str">
        <f t="shared" si="160"/>
        <v>",SubStage= "</v>
      </c>
      <c r="R564" t="str">
        <f>Matchs!I565</f>
        <v xml:space="preserve">Group G </v>
      </c>
      <c r="S564" s="6" t="str">
        <f t="shared" si="161"/>
        <v>",HTeam= "</v>
      </c>
      <c r="T564" t="str">
        <f>Matchs!J565</f>
        <v>Colombia</v>
      </c>
      <c r="U564" s="6" t="str">
        <f t="shared" si="162"/>
        <v>",HGoal=</v>
      </c>
      <c r="V564">
        <f>Matchs!K565</f>
        <v>0</v>
      </c>
      <c r="W564" s="6" t="str">
        <f t="shared" si="163"/>
        <v>,GGoal=</v>
      </c>
      <c r="X564">
        <f>Matchs!L565</f>
        <v>2</v>
      </c>
      <c r="Y564" s="6" t="str">
        <f t="shared" si="164"/>
        <v>,GTeam= "</v>
      </c>
      <c r="Z564" t="str">
        <f>Matchs!M565</f>
        <v>England</v>
      </c>
      <c r="AA564" s="6" t="str">
        <f t="shared" si="165"/>
        <v>",WinNote="</v>
      </c>
      <c r="AB564" t="str">
        <f>IF(Matchs!N565="","",Matchs!N565)</f>
        <v/>
      </c>
      <c r="AC564" s="6" t="str">
        <f t="shared" si="166"/>
        <v xml:space="preserve">",Stadium=" </v>
      </c>
      <c r="AD564" s="11" t="str">
        <f>Matchs!O565</f>
        <v xml:space="preserve">Stade Félix-Bollaert </v>
      </c>
      <c r="AE564" s="6" t="str">
        <f t="shared" si="167"/>
        <v>",Referee= "</v>
      </c>
      <c r="AF564" s="11" t="str">
        <f>Matchs!P565</f>
        <v xml:space="preserve">Arturo Brizio Carter </v>
      </c>
      <c r="AG564" s="6" t="str">
        <f t="shared" si="168"/>
        <v xml:space="preserve">",Visistors= </v>
      </c>
      <c r="AH564" s="11">
        <f>Matchs!Q565</f>
        <v>38100</v>
      </c>
      <c r="AI564" s="11" t="str">
        <f t="shared" si="169"/>
        <v>,Status= "</v>
      </c>
      <c r="AJ564" s="11" t="str">
        <f>Matchs!R565</f>
        <v>Finished</v>
      </c>
      <c r="AK564" t="str">
        <f t="shared" si="170"/>
        <v>" },</v>
      </c>
    </row>
    <row r="565" spans="1:37" x14ac:dyDescent="0.25">
      <c r="A565" t="str">
        <f t="shared" si="152"/>
        <v>new Match { MatchId= "</v>
      </c>
      <c r="B565" t="str">
        <f>Matchs!A566</f>
        <v>FIFAWC1998-49</v>
      </c>
      <c r="C565" t="str">
        <f t="shared" si="153"/>
        <v>",MatchNumer=</v>
      </c>
      <c r="D565">
        <f>Matchs!B566</f>
        <v>49</v>
      </c>
      <c r="E565" t="str">
        <f t="shared" si="154"/>
        <v>,DateMatch=DateTime.Parse("</v>
      </c>
      <c r="F565" s="3">
        <f>Matchs!C566</f>
        <v>35973</v>
      </c>
      <c r="G565" s="10" t="str">
        <f t="shared" si="155"/>
        <v>"),TimeMatch=TimeSpan.Parse("</v>
      </c>
      <c r="H565" s="9">
        <f>Matchs!D566</f>
        <v>0.89583333333333337</v>
      </c>
      <c r="I565" t="str">
        <f t="shared" si="156"/>
        <v>"),MatchYear=</v>
      </c>
      <c r="J565">
        <f>Matchs!E566</f>
        <v>1998</v>
      </c>
      <c r="K565" t="str">
        <f t="shared" si="157"/>
        <v>, SeasonId= "</v>
      </c>
      <c r="L565" t="str">
        <f>Matchs!F566</f>
        <v>FIFAWC1998</v>
      </c>
      <c r="M565" t="str">
        <f t="shared" si="158"/>
        <v>",Round= "</v>
      </c>
      <c r="N565" t="str">
        <f>Matchs!G566</f>
        <v>Final Round</v>
      </c>
      <c r="O565" s="6" t="str">
        <f t="shared" si="159"/>
        <v>",Stage= "</v>
      </c>
      <c r="P565" t="str">
        <f>Matchs!H566</f>
        <v>Knockouts</v>
      </c>
      <c r="Q565" s="6" t="str">
        <f t="shared" si="160"/>
        <v>",SubStage= "</v>
      </c>
      <c r="R565" t="str">
        <f>Matchs!I566</f>
        <v xml:space="preserve">Round of 16 </v>
      </c>
      <c r="S565" s="6" t="str">
        <f t="shared" si="161"/>
        <v>",HTeam= "</v>
      </c>
      <c r="T565" t="str">
        <f>Matchs!J566</f>
        <v>Italy</v>
      </c>
      <c r="U565" s="6" t="str">
        <f t="shared" si="162"/>
        <v>",HGoal=</v>
      </c>
      <c r="V565">
        <f>Matchs!K566</f>
        <v>1</v>
      </c>
      <c r="W565" s="6" t="str">
        <f t="shared" si="163"/>
        <v>,GGoal=</v>
      </c>
      <c r="X565">
        <f>Matchs!L566</f>
        <v>0</v>
      </c>
      <c r="Y565" s="6" t="str">
        <f t="shared" si="164"/>
        <v>,GTeam= "</v>
      </c>
      <c r="Z565" t="str">
        <f>Matchs!M566</f>
        <v>Norway</v>
      </c>
      <c r="AA565" s="6" t="str">
        <f t="shared" si="165"/>
        <v>",WinNote="</v>
      </c>
      <c r="AB565" t="str">
        <f>IF(Matchs!N566="","",Matchs!N566)</f>
        <v/>
      </c>
      <c r="AC565" s="6" t="str">
        <f t="shared" si="166"/>
        <v xml:space="preserve">",Stadium=" </v>
      </c>
      <c r="AD565" s="11" t="str">
        <f>Matchs!O566</f>
        <v xml:space="preserve">Stade Vélodrome </v>
      </c>
      <c r="AE565" s="6" t="str">
        <f t="shared" si="167"/>
        <v>",Referee= "</v>
      </c>
      <c r="AF565" s="11" t="str">
        <f>Matchs!P566</f>
        <v xml:space="preserve">Bernd Heynemann </v>
      </c>
      <c r="AG565" s="6" t="str">
        <f t="shared" si="168"/>
        <v xml:space="preserve">",Visistors= </v>
      </c>
      <c r="AH565" s="11">
        <f>Matchs!Q566</f>
        <v>55000</v>
      </c>
      <c r="AI565" s="11" t="str">
        <f t="shared" si="169"/>
        <v>,Status= "</v>
      </c>
      <c r="AJ565" s="11" t="str">
        <f>Matchs!R566</f>
        <v>Finished</v>
      </c>
      <c r="AK565" t="str">
        <f t="shared" si="170"/>
        <v>" },</v>
      </c>
    </row>
    <row r="566" spans="1:37" x14ac:dyDescent="0.25">
      <c r="A566" t="str">
        <f t="shared" si="152"/>
        <v>new Match { MatchId= "</v>
      </c>
      <c r="B566" t="str">
        <f>Matchs!A567</f>
        <v>FIFAWC1998-50</v>
      </c>
      <c r="C566" t="str">
        <f t="shared" si="153"/>
        <v>",MatchNumer=</v>
      </c>
      <c r="D566">
        <f>Matchs!B567</f>
        <v>50</v>
      </c>
      <c r="E566" t="str">
        <f t="shared" si="154"/>
        <v>,DateMatch=DateTime.Parse("</v>
      </c>
      <c r="F566" s="3">
        <f>Matchs!C567</f>
        <v>35974</v>
      </c>
      <c r="G566" s="10" t="str">
        <f t="shared" si="155"/>
        <v>"),TimeMatch=TimeSpan.Parse("</v>
      </c>
      <c r="H566" s="9">
        <f>Matchs!D567</f>
        <v>8.3333333333333329E-2</v>
      </c>
      <c r="I566" t="str">
        <f t="shared" si="156"/>
        <v>"),MatchYear=</v>
      </c>
      <c r="J566">
        <f>Matchs!E567</f>
        <v>1998</v>
      </c>
      <c r="K566" t="str">
        <f t="shared" si="157"/>
        <v>, SeasonId= "</v>
      </c>
      <c r="L566" t="str">
        <f>Matchs!F567</f>
        <v>FIFAWC1998</v>
      </c>
      <c r="M566" t="str">
        <f t="shared" si="158"/>
        <v>",Round= "</v>
      </c>
      <c r="N566" t="str">
        <f>Matchs!G567</f>
        <v>Final Round</v>
      </c>
      <c r="O566" s="6" t="str">
        <f t="shared" si="159"/>
        <v>",Stage= "</v>
      </c>
      <c r="P566" t="str">
        <f>Matchs!H567</f>
        <v>Knockouts</v>
      </c>
      <c r="Q566" s="6" t="str">
        <f t="shared" si="160"/>
        <v>",SubStage= "</v>
      </c>
      <c r="R566" t="str">
        <f>Matchs!I567</f>
        <v xml:space="preserve">Round of 16 </v>
      </c>
      <c r="S566" s="6" t="str">
        <f t="shared" si="161"/>
        <v>",HTeam= "</v>
      </c>
      <c r="T566" t="str">
        <f>Matchs!J567</f>
        <v>Brazil</v>
      </c>
      <c r="U566" s="6" t="str">
        <f t="shared" si="162"/>
        <v>",HGoal=</v>
      </c>
      <c r="V566">
        <f>Matchs!K567</f>
        <v>4</v>
      </c>
      <c r="W566" s="6" t="str">
        <f t="shared" si="163"/>
        <v>,GGoal=</v>
      </c>
      <c r="X566">
        <f>Matchs!L567</f>
        <v>1</v>
      </c>
      <c r="Y566" s="6" t="str">
        <f t="shared" si="164"/>
        <v>,GTeam= "</v>
      </c>
      <c r="Z566" t="str">
        <f>Matchs!M567</f>
        <v>Chile</v>
      </c>
      <c r="AA566" s="6" t="str">
        <f t="shared" si="165"/>
        <v>",WinNote="</v>
      </c>
      <c r="AB566" t="str">
        <f>IF(Matchs!N567="","",Matchs!N567)</f>
        <v/>
      </c>
      <c r="AC566" s="6" t="str">
        <f t="shared" si="166"/>
        <v xml:space="preserve">",Stadium=" </v>
      </c>
      <c r="AD566" s="11" t="str">
        <f>Matchs!O567</f>
        <v xml:space="preserve">Parc des Princes </v>
      </c>
      <c r="AE566" s="6" t="str">
        <f t="shared" si="167"/>
        <v>",Referee= "</v>
      </c>
      <c r="AF566" s="11" t="str">
        <f>Matchs!P567</f>
        <v xml:space="preserve">Marc Batta </v>
      </c>
      <c r="AG566" s="6" t="str">
        <f t="shared" si="168"/>
        <v xml:space="preserve">",Visistors= </v>
      </c>
      <c r="AH566" s="11">
        <f>Matchs!Q567</f>
        <v>45000</v>
      </c>
      <c r="AI566" s="11" t="str">
        <f t="shared" si="169"/>
        <v>,Status= "</v>
      </c>
      <c r="AJ566" s="11" t="str">
        <f>Matchs!R567</f>
        <v>Finished</v>
      </c>
      <c r="AK566" t="str">
        <f t="shared" si="170"/>
        <v>" },</v>
      </c>
    </row>
    <row r="567" spans="1:37" x14ac:dyDescent="0.25">
      <c r="A567" t="str">
        <f t="shared" si="152"/>
        <v>new Match { MatchId= "</v>
      </c>
      <c r="B567" t="str">
        <f>Matchs!A568</f>
        <v>FIFAWC1998-51</v>
      </c>
      <c r="C567" t="str">
        <f t="shared" si="153"/>
        <v>",MatchNumer=</v>
      </c>
      <c r="D567">
        <f>Matchs!B568</f>
        <v>51</v>
      </c>
      <c r="E567" t="str">
        <f t="shared" si="154"/>
        <v>,DateMatch=DateTime.Parse("</v>
      </c>
      <c r="F567" s="3">
        <f>Matchs!C568</f>
        <v>35974</v>
      </c>
      <c r="G567" s="10" t="str">
        <f t="shared" si="155"/>
        <v>"),TimeMatch=TimeSpan.Parse("</v>
      </c>
      <c r="H567" s="9">
        <f>Matchs!D568</f>
        <v>0.89583333333333337</v>
      </c>
      <c r="I567" t="str">
        <f t="shared" si="156"/>
        <v>"),MatchYear=</v>
      </c>
      <c r="J567">
        <f>Matchs!E568</f>
        <v>1998</v>
      </c>
      <c r="K567" t="str">
        <f t="shared" si="157"/>
        <v>, SeasonId= "</v>
      </c>
      <c r="L567" t="str">
        <f>Matchs!F568</f>
        <v>FIFAWC1998</v>
      </c>
      <c r="M567" t="str">
        <f t="shared" si="158"/>
        <v>",Round= "</v>
      </c>
      <c r="N567" t="str">
        <f>Matchs!G568</f>
        <v>Final Round</v>
      </c>
      <c r="O567" s="6" t="str">
        <f t="shared" si="159"/>
        <v>",Stage= "</v>
      </c>
      <c r="P567" t="str">
        <f>Matchs!H568</f>
        <v>Knockouts</v>
      </c>
      <c r="Q567" s="6" t="str">
        <f t="shared" si="160"/>
        <v>",SubStage= "</v>
      </c>
      <c r="R567" t="str">
        <f>Matchs!I568</f>
        <v xml:space="preserve">Round of 16 </v>
      </c>
      <c r="S567" s="6" t="str">
        <f t="shared" si="161"/>
        <v>",HTeam= "</v>
      </c>
      <c r="T567" t="str">
        <f>Matchs!J568</f>
        <v>France</v>
      </c>
      <c r="U567" s="6" t="str">
        <f t="shared" si="162"/>
        <v>",HGoal=</v>
      </c>
      <c r="V567">
        <f>Matchs!K568</f>
        <v>1</v>
      </c>
      <c r="W567" s="6" t="str">
        <f t="shared" si="163"/>
        <v>,GGoal=</v>
      </c>
      <c r="X567">
        <f>Matchs!L568</f>
        <v>0</v>
      </c>
      <c r="Y567" s="6" t="str">
        <f t="shared" si="164"/>
        <v>,GTeam= "</v>
      </c>
      <c r="Z567" t="str">
        <f>Matchs!M568</f>
        <v>Paraguay</v>
      </c>
      <c r="AA567" s="6" t="str">
        <f t="shared" si="165"/>
        <v>",WinNote="</v>
      </c>
      <c r="AB567" t="str">
        <f>IF(Matchs!N568="","",Matchs!N568)</f>
        <v/>
      </c>
      <c r="AC567" s="6" t="str">
        <f t="shared" si="166"/>
        <v xml:space="preserve">",Stadium=" </v>
      </c>
      <c r="AD567" s="11" t="str">
        <f>Matchs!O568</f>
        <v xml:space="preserve">Stade Félix-Bollaert </v>
      </c>
      <c r="AE567" s="6" t="str">
        <f t="shared" si="167"/>
        <v>",Referee= "</v>
      </c>
      <c r="AF567" s="11" t="str">
        <f>Matchs!P568</f>
        <v xml:space="preserve">Ali Bujsaim </v>
      </c>
      <c r="AG567" s="6" t="str">
        <f t="shared" si="168"/>
        <v xml:space="preserve">",Visistors= </v>
      </c>
      <c r="AH567" s="11">
        <f>Matchs!Q568</f>
        <v>38100</v>
      </c>
      <c r="AI567" s="11" t="str">
        <f t="shared" si="169"/>
        <v>,Status= "</v>
      </c>
      <c r="AJ567" s="11" t="str">
        <f>Matchs!R568</f>
        <v>Finished</v>
      </c>
      <c r="AK567" t="str">
        <f t="shared" si="170"/>
        <v>" },</v>
      </c>
    </row>
    <row r="568" spans="1:37" x14ac:dyDescent="0.25">
      <c r="A568" t="str">
        <f t="shared" si="152"/>
        <v>new Match { MatchId= "</v>
      </c>
      <c r="B568" t="str">
        <f>Matchs!A569</f>
        <v>FIFAWC1998-52</v>
      </c>
      <c r="C568" t="str">
        <f t="shared" si="153"/>
        <v>",MatchNumer=</v>
      </c>
      <c r="D568">
        <f>Matchs!B569</f>
        <v>52</v>
      </c>
      <c r="E568" t="str">
        <f t="shared" si="154"/>
        <v>,DateMatch=DateTime.Parse("</v>
      </c>
      <c r="F568" s="3">
        <f>Matchs!C569</f>
        <v>35975</v>
      </c>
      <c r="G568" s="10" t="str">
        <f t="shared" si="155"/>
        <v>"),TimeMatch=TimeSpan.Parse("</v>
      </c>
      <c r="H568" s="9">
        <f>Matchs!D569</f>
        <v>8.3333333333333329E-2</v>
      </c>
      <c r="I568" t="str">
        <f t="shared" si="156"/>
        <v>"),MatchYear=</v>
      </c>
      <c r="J568">
        <f>Matchs!E569</f>
        <v>1998</v>
      </c>
      <c r="K568" t="str">
        <f t="shared" si="157"/>
        <v>, SeasonId= "</v>
      </c>
      <c r="L568" t="str">
        <f>Matchs!F569</f>
        <v>FIFAWC1998</v>
      </c>
      <c r="M568" t="str">
        <f t="shared" si="158"/>
        <v>",Round= "</v>
      </c>
      <c r="N568" t="str">
        <f>Matchs!G569</f>
        <v>Final Round</v>
      </c>
      <c r="O568" s="6" t="str">
        <f t="shared" si="159"/>
        <v>",Stage= "</v>
      </c>
      <c r="P568" t="str">
        <f>Matchs!H569</f>
        <v>Knockouts</v>
      </c>
      <c r="Q568" s="6" t="str">
        <f t="shared" si="160"/>
        <v>",SubStage= "</v>
      </c>
      <c r="R568" t="str">
        <f>Matchs!I569</f>
        <v xml:space="preserve">Round of 16 </v>
      </c>
      <c r="S568" s="6" t="str">
        <f t="shared" si="161"/>
        <v>",HTeam= "</v>
      </c>
      <c r="T568" t="str">
        <f>Matchs!J569</f>
        <v>Nigeria</v>
      </c>
      <c r="U568" s="6" t="str">
        <f t="shared" si="162"/>
        <v>",HGoal=</v>
      </c>
      <c r="V568">
        <f>Matchs!K569</f>
        <v>1</v>
      </c>
      <c r="W568" s="6" t="str">
        <f t="shared" si="163"/>
        <v>,GGoal=</v>
      </c>
      <c r="X568">
        <f>Matchs!L569</f>
        <v>4</v>
      </c>
      <c r="Y568" s="6" t="str">
        <f t="shared" si="164"/>
        <v>,GTeam= "</v>
      </c>
      <c r="Z568" t="str">
        <f>Matchs!M569</f>
        <v>Denmark</v>
      </c>
      <c r="AA568" s="6" t="str">
        <f t="shared" si="165"/>
        <v>",WinNote="</v>
      </c>
      <c r="AB568" t="str">
        <f>IF(Matchs!N569="","",Matchs!N569)</f>
        <v/>
      </c>
      <c r="AC568" s="6" t="str">
        <f t="shared" si="166"/>
        <v xml:space="preserve">",Stadium=" </v>
      </c>
      <c r="AD568" s="11" t="str">
        <f>Matchs!O569</f>
        <v xml:space="preserve">Stade de France </v>
      </c>
      <c r="AE568" s="6" t="str">
        <f t="shared" si="167"/>
        <v>",Referee= "</v>
      </c>
      <c r="AF568" s="11" t="str">
        <f>Matchs!P569</f>
        <v xml:space="preserve">Urs Meier </v>
      </c>
      <c r="AG568" s="6" t="str">
        <f t="shared" si="168"/>
        <v xml:space="preserve">",Visistors= </v>
      </c>
      <c r="AH568" s="11">
        <f>Matchs!Q569</f>
        <v>77000</v>
      </c>
      <c r="AI568" s="11" t="str">
        <f t="shared" si="169"/>
        <v>,Status= "</v>
      </c>
      <c r="AJ568" s="11" t="str">
        <f>Matchs!R569</f>
        <v>Finished</v>
      </c>
      <c r="AK568" t="str">
        <f t="shared" si="170"/>
        <v>" },</v>
      </c>
    </row>
    <row r="569" spans="1:37" x14ac:dyDescent="0.25">
      <c r="A569" t="str">
        <f t="shared" si="152"/>
        <v>new Match { MatchId= "</v>
      </c>
      <c r="B569" t="str">
        <f>Matchs!A570</f>
        <v>FIFAWC1998-53</v>
      </c>
      <c r="C569" t="str">
        <f t="shared" si="153"/>
        <v>",MatchNumer=</v>
      </c>
      <c r="D569">
        <f>Matchs!B570</f>
        <v>53</v>
      </c>
      <c r="E569" t="str">
        <f t="shared" si="154"/>
        <v>,DateMatch=DateTime.Parse("</v>
      </c>
      <c r="F569" s="3">
        <f>Matchs!C570</f>
        <v>35975</v>
      </c>
      <c r="G569" s="10" t="str">
        <f t="shared" si="155"/>
        <v>"),TimeMatch=TimeSpan.Parse("</v>
      </c>
      <c r="H569" s="9">
        <f>Matchs!D570</f>
        <v>0.89583333333333337</v>
      </c>
      <c r="I569" t="str">
        <f t="shared" si="156"/>
        <v>"),MatchYear=</v>
      </c>
      <c r="J569">
        <f>Matchs!E570</f>
        <v>1998</v>
      </c>
      <c r="K569" t="str">
        <f t="shared" si="157"/>
        <v>, SeasonId= "</v>
      </c>
      <c r="L569" t="str">
        <f>Matchs!F570</f>
        <v>FIFAWC1998</v>
      </c>
      <c r="M569" t="str">
        <f t="shared" si="158"/>
        <v>",Round= "</v>
      </c>
      <c r="N569" t="str">
        <f>Matchs!G570</f>
        <v>Final Round</v>
      </c>
      <c r="O569" s="6" t="str">
        <f t="shared" si="159"/>
        <v>",Stage= "</v>
      </c>
      <c r="P569" t="str">
        <f>Matchs!H570</f>
        <v>Knockouts</v>
      </c>
      <c r="Q569" s="6" t="str">
        <f t="shared" si="160"/>
        <v>",SubStage= "</v>
      </c>
      <c r="R569" t="str">
        <f>Matchs!I570</f>
        <v xml:space="preserve">Round of 16 </v>
      </c>
      <c r="S569" s="6" t="str">
        <f t="shared" si="161"/>
        <v>",HTeam= "</v>
      </c>
      <c r="T569" t="str">
        <f>Matchs!J570</f>
        <v>Germany</v>
      </c>
      <c r="U569" s="6" t="str">
        <f t="shared" si="162"/>
        <v>",HGoal=</v>
      </c>
      <c r="V569">
        <f>Matchs!K570</f>
        <v>2</v>
      </c>
      <c r="W569" s="6" t="str">
        <f t="shared" si="163"/>
        <v>,GGoal=</v>
      </c>
      <c r="X569">
        <f>Matchs!L570</f>
        <v>1</v>
      </c>
      <c r="Y569" s="6" t="str">
        <f t="shared" si="164"/>
        <v>,GTeam= "</v>
      </c>
      <c r="Z569" t="str">
        <f>Matchs!M570</f>
        <v>Mexico</v>
      </c>
      <c r="AA569" s="6" t="str">
        <f t="shared" si="165"/>
        <v>",WinNote="</v>
      </c>
      <c r="AB569" t="str">
        <f>IF(Matchs!N570="","",Matchs!N570)</f>
        <v/>
      </c>
      <c r="AC569" s="6" t="str">
        <f t="shared" si="166"/>
        <v xml:space="preserve">",Stadium=" </v>
      </c>
      <c r="AD569" s="11" t="str">
        <f>Matchs!O570</f>
        <v xml:space="preserve">Stade de la Mosson </v>
      </c>
      <c r="AE569" s="6" t="str">
        <f t="shared" si="167"/>
        <v>",Referee= "</v>
      </c>
      <c r="AF569" s="11" t="str">
        <f>Matchs!P570</f>
        <v xml:space="preserve">Vitor Melo Pereira </v>
      </c>
      <c r="AG569" s="6" t="str">
        <f t="shared" si="168"/>
        <v xml:space="preserve">",Visistors= </v>
      </c>
      <c r="AH569" s="11">
        <f>Matchs!Q570</f>
        <v>29800</v>
      </c>
      <c r="AI569" s="11" t="str">
        <f t="shared" si="169"/>
        <v>,Status= "</v>
      </c>
      <c r="AJ569" s="11" t="str">
        <f>Matchs!R570</f>
        <v>Finished</v>
      </c>
      <c r="AK569" t="str">
        <f t="shared" si="170"/>
        <v>" },</v>
      </c>
    </row>
    <row r="570" spans="1:37" x14ac:dyDescent="0.25">
      <c r="A570" t="str">
        <f t="shared" si="152"/>
        <v>new Match { MatchId= "</v>
      </c>
      <c r="B570" t="str">
        <f>Matchs!A571</f>
        <v>FIFAWC1998-54</v>
      </c>
      <c r="C570" t="str">
        <f t="shared" si="153"/>
        <v>",MatchNumer=</v>
      </c>
      <c r="D570">
        <f>Matchs!B571</f>
        <v>54</v>
      </c>
      <c r="E570" t="str">
        <f t="shared" si="154"/>
        <v>,DateMatch=DateTime.Parse("</v>
      </c>
      <c r="F570" s="3">
        <f>Matchs!C571</f>
        <v>35976</v>
      </c>
      <c r="G570" s="10" t="str">
        <f t="shared" si="155"/>
        <v>"),TimeMatch=TimeSpan.Parse("</v>
      </c>
      <c r="H570" s="9">
        <f>Matchs!D571</f>
        <v>8.3333333333333329E-2</v>
      </c>
      <c r="I570" t="str">
        <f t="shared" si="156"/>
        <v>"),MatchYear=</v>
      </c>
      <c r="J570">
        <f>Matchs!E571</f>
        <v>1998</v>
      </c>
      <c r="K570" t="str">
        <f t="shared" si="157"/>
        <v>, SeasonId= "</v>
      </c>
      <c r="L570" t="str">
        <f>Matchs!F571</f>
        <v>FIFAWC1998</v>
      </c>
      <c r="M570" t="str">
        <f t="shared" si="158"/>
        <v>",Round= "</v>
      </c>
      <c r="N570" t="str">
        <f>Matchs!G571</f>
        <v>Final Round</v>
      </c>
      <c r="O570" s="6" t="str">
        <f t="shared" si="159"/>
        <v>",Stage= "</v>
      </c>
      <c r="P570" t="str">
        <f>Matchs!H571</f>
        <v>Knockouts</v>
      </c>
      <c r="Q570" s="6" t="str">
        <f t="shared" si="160"/>
        <v>",SubStage= "</v>
      </c>
      <c r="R570" t="str">
        <f>Matchs!I571</f>
        <v xml:space="preserve">Round of 16 </v>
      </c>
      <c r="S570" s="6" t="str">
        <f t="shared" si="161"/>
        <v>",HTeam= "</v>
      </c>
      <c r="T570" t="str">
        <f>Matchs!J571</f>
        <v>Netherlands</v>
      </c>
      <c r="U570" s="6" t="str">
        <f t="shared" si="162"/>
        <v>",HGoal=</v>
      </c>
      <c r="V570">
        <f>Matchs!K571</f>
        <v>2</v>
      </c>
      <c r="W570" s="6" t="str">
        <f t="shared" si="163"/>
        <v>,GGoal=</v>
      </c>
      <c r="X570">
        <f>Matchs!L571</f>
        <v>1</v>
      </c>
      <c r="Y570" s="6" t="str">
        <f t="shared" si="164"/>
        <v>,GTeam= "</v>
      </c>
      <c r="Z570" t="str">
        <f>Matchs!M571</f>
        <v>Yugoslavia</v>
      </c>
      <c r="AA570" s="6" t="str">
        <f t="shared" si="165"/>
        <v>",WinNote="</v>
      </c>
      <c r="AB570" t="str">
        <f>IF(Matchs!N571="","",Matchs!N571)</f>
        <v/>
      </c>
      <c r="AC570" s="6" t="str">
        <f t="shared" si="166"/>
        <v xml:space="preserve">",Stadium=" </v>
      </c>
      <c r="AD570" s="11" t="str">
        <f>Matchs!O571</f>
        <v xml:space="preserve">Stade Municipal de Toulouse </v>
      </c>
      <c r="AE570" s="6" t="str">
        <f t="shared" si="167"/>
        <v>",Referee= "</v>
      </c>
      <c r="AF570" s="11" t="str">
        <f>Matchs!P571</f>
        <v xml:space="preserve">Jose Garcia-Aranda </v>
      </c>
      <c r="AG570" s="6" t="str">
        <f t="shared" si="168"/>
        <v xml:space="preserve">",Visistors= </v>
      </c>
      <c r="AH570" s="11">
        <f>Matchs!Q571</f>
        <v>33500</v>
      </c>
      <c r="AI570" s="11" t="str">
        <f t="shared" si="169"/>
        <v>,Status= "</v>
      </c>
      <c r="AJ570" s="11" t="str">
        <f>Matchs!R571</f>
        <v>Finished</v>
      </c>
      <c r="AK570" t="str">
        <f t="shared" si="170"/>
        <v>" },</v>
      </c>
    </row>
    <row r="571" spans="1:37" x14ac:dyDescent="0.25">
      <c r="A571" t="str">
        <f t="shared" si="152"/>
        <v>new Match { MatchId= "</v>
      </c>
      <c r="B571" t="str">
        <f>Matchs!A572</f>
        <v>FIFAWC1998-55</v>
      </c>
      <c r="C571" t="str">
        <f t="shared" si="153"/>
        <v>",MatchNumer=</v>
      </c>
      <c r="D571">
        <f>Matchs!B572</f>
        <v>55</v>
      </c>
      <c r="E571" t="str">
        <f t="shared" si="154"/>
        <v>,DateMatch=DateTime.Parse("</v>
      </c>
      <c r="F571" s="3">
        <f>Matchs!C572</f>
        <v>35976</v>
      </c>
      <c r="G571" s="10" t="str">
        <f t="shared" si="155"/>
        <v>"),TimeMatch=TimeSpan.Parse("</v>
      </c>
      <c r="H571" s="9">
        <f>Matchs!D572</f>
        <v>0.89583333333333337</v>
      </c>
      <c r="I571" t="str">
        <f t="shared" si="156"/>
        <v>"),MatchYear=</v>
      </c>
      <c r="J571">
        <f>Matchs!E572</f>
        <v>1998</v>
      </c>
      <c r="K571" t="str">
        <f t="shared" si="157"/>
        <v>, SeasonId= "</v>
      </c>
      <c r="L571" t="str">
        <f>Matchs!F572</f>
        <v>FIFAWC1998</v>
      </c>
      <c r="M571" t="str">
        <f t="shared" si="158"/>
        <v>",Round= "</v>
      </c>
      <c r="N571" t="str">
        <f>Matchs!G572</f>
        <v>Final Round</v>
      </c>
      <c r="O571" s="6" t="str">
        <f t="shared" si="159"/>
        <v>",Stage= "</v>
      </c>
      <c r="P571" t="str">
        <f>Matchs!H572</f>
        <v>Knockouts</v>
      </c>
      <c r="Q571" s="6" t="str">
        <f t="shared" si="160"/>
        <v>",SubStage= "</v>
      </c>
      <c r="R571" t="str">
        <f>Matchs!I572</f>
        <v xml:space="preserve">Round of 16 </v>
      </c>
      <c r="S571" s="6" t="str">
        <f t="shared" si="161"/>
        <v>",HTeam= "</v>
      </c>
      <c r="T571" t="str">
        <f>Matchs!J572</f>
        <v>Romania</v>
      </c>
      <c r="U571" s="6" t="str">
        <f t="shared" si="162"/>
        <v>",HGoal=</v>
      </c>
      <c r="V571">
        <f>Matchs!K572</f>
        <v>0</v>
      </c>
      <c r="W571" s="6" t="str">
        <f t="shared" si="163"/>
        <v>,GGoal=</v>
      </c>
      <c r="X571">
        <f>Matchs!L572</f>
        <v>1</v>
      </c>
      <c r="Y571" s="6" t="str">
        <f t="shared" si="164"/>
        <v>,GTeam= "</v>
      </c>
      <c r="Z571" t="str">
        <f>Matchs!M572</f>
        <v>Croatia</v>
      </c>
      <c r="AA571" s="6" t="str">
        <f t="shared" si="165"/>
        <v>",WinNote="</v>
      </c>
      <c r="AB571" t="str">
        <f>IF(Matchs!N572="","",Matchs!N572)</f>
        <v/>
      </c>
      <c r="AC571" s="6" t="str">
        <f t="shared" si="166"/>
        <v xml:space="preserve">",Stadium=" </v>
      </c>
      <c r="AD571" s="11" t="str">
        <f>Matchs!O572</f>
        <v xml:space="preserve">Stade Chaban-Delmas </v>
      </c>
      <c r="AE571" s="6" t="str">
        <f t="shared" si="167"/>
        <v>",Referee= "</v>
      </c>
      <c r="AF571" s="11" t="str">
        <f>Matchs!P572</f>
        <v xml:space="preserve">Javier Castrilli </v>
      </c>
      <c r="AG571" s="6" t="str">
        <f t="shared" si="168"/>
        <v xml:space="preserve">",Visistors= </v>
      </c>
      <c r="AH571" s="11">
        <f>Matchs!Q572</f>
        <v>31800</v>
      </c>
      <c r="AI571" s="11" t="str">
        <f t="shared" si="169"/>
        <v>,Status= "</v>
      </c>
      <c r="AJ571" s="11" t="str">
        <f>Matchs!R572</f>
        <v>Finished</v>
      </c>
      <c r="AK571" t="str">
        <f t="shared" si="170"/>
        <v>" },</v>
      </c>
    </row>
    <row r="572" spans="1:37" x14ac:dyDescent="0.25">
      <c r="A572" t="str">
        <f t="shared" si="152"/>
        <v>new Match { MatchId= "</v>
      </c>
      <c r="B572" t="str">
        <f>Matchs!A573</f>
        <v>FIFAWC1998-56</v>
      </c>
      <c r="C572" t="str">
        <f t="shared" si="153"/>
        <v>",MatchNumer=</v>
      </c>
      <c r="D572">
        <f>Matchs!B573</f>
        <v>56</v>
      </c>
      <c r="E572" t="str">
        <f t="shared" si="154"/>
        <v>,DateMatch=DateTime.Parse("</v>
      </c>
      <c r="F572" s="3">
        <f>Matchs!C573</f>
        <v>35977</v>
      </c>
      <c r="G572" s="10" t="str">
        <f t="shared" si="155"/>
        <v>"),TimeMatch=TimeSpan.Parse("</v>
      </c>
      <c r="H572" s="9">
        <f>Matchs!D573</f>
        <v>8.3333333333333329E-2</v>
      </c>
      <c r="I572" t="str">
        <f t="shared" si="156"/>
        <v>"),MatchYear=</v>
      </c>
      <c r="J572">
        <f>Matchs!E573</f>
        <v>1998</v>
      </c>
      <c r="K572" t="str">
        <f t="shared" si="157"/>
        <v>, SeasonId= "</v>
      </c>
      <c r="L572" t="str">
        <f>Matchs!F573</f>
        <v>FIFAWC1998</v>
      </c>
      <c r="M572" t="str">
        <f t="shared" si="158"/>
        <v>",Round= "</v>
      </c>
      <c r="N572" t="str">
        <f>Matchs!G573</f>
        <v>Final Round</v>
      </c>
      <c r="O572" s="6" t="str">
        <f t="shared" si="159"/>
        <v>",Stage= "</v>
      </c>
      <c r="P572" t="str">
        <f>Matchs!H573</f>
        <v>Knockouts</v>
      </c>
      <c r="Q572" s="6" t="str">
        <f t="shared" si="160"/>
        <v>",SubStage= "</v>
      </c>
      <c r="R572" t="str">
        <f>Matchs!I573</f>
        <v xml:space="preserve">Round of 16 </v>
      </c>
      <c r="S572" s="6" t="str">
        <f t="shared" si="161"/>
        <v>",HTeam= "</v>
      </c>
      <c r="T572" t="str">
        <f>Matchs!J573</f>
        <v>Argentina</v>
      </c>
      <c r="U572" s="6" t="str">
        <f t="shared" si="162"/>
        <v>",HGoal=</v>
      </c>
      <c r="V572">
        <f>Matchs!K573</f>
        <v>2</v>
      </c>
      <c r="W572" s="6" t="str">
        <f t="shared" si="163"/>
        <v>,GGoal=</v>
      </c>
      <c r="X572">
        <f>Matchs!L573</f>
        <v>2</v>
      </c>
      <c r="Y572" s="6" t="str">
        <f t="shared" si="164"/>
        <v>,GTeam= "</v>
      </c>
      <c r="Z572" t="str">
        <f>Matchs!M573</f>
        <v>England</v>
      </c>
      <c r="AA572" s="6" t="str">
        <f t="shared" si="165"/>
        <v>",WinNote="</v>
      </c>
      <c r="AB572" t="str">
        <f>IF(Matchs!N573="","",Matchs!N573)</f>
        <v/>
      </c>
      <c r="AC572" s="6" t="str">
        <f t="shared" si="166"/>
        <v xml:space="preserve">",Stadium=" </v>
      </c>
      <c r="AD572" s="11" t="str">
        <f>Matchs!O573</f>
        <v xml:space="preserve">Stade Geoffroy-Guichard </v>
      </c>
      <c r="AE572" s="6" t="str">
        <f t="shared" si="167"/>
        <v>",Referee= "</v>
      </c>
      <c r="AF572" s="11" t="str">
        <f>Matchs!P573</f>
        <v xml:space="preserve">Kim Milton Nielsen </v>
      </c>
      <c r="AG572" s="6" t="str">
        <f t="shared" si="168"/>
        <v xml:space="preserve">",Visistors= </v>
      </c>
      <c r="AH572" s="11">
        <f>Matchs!Q573</f>
        <v>30600</v>
      </c>
      <c r="AI572" s="11" t="str">
        <f t="shared" si="169"/>
        <v>,Status= "</v>
      </c>
      <c r="AJ572" s="11" t="str">
        <f>Matchs!R573</f>
        <v>Finished</v>
      </c>
      <c r="AK572" t="str">
        <f t="shared" si="170"/>
        <v>" },</v>
      </c>
    </row>
    <row r="573" spans="1:37" x14ac:dyDescent="0.25">
      <c r="A573" t="str">
        <f t="shared" si="152"/>
        <v>new Match { MatchId= "</v>
      </c>
      <c r="B573" t="str">
        <f>Matchs!A574</f>
        <v>FIFAWC1998-57</v>
      </c>
      <c r="C573" t="str">
        <f t="shared" si="153"/>
        <v>",MatchNumer=</v>
      </c>
      <c r="D573">
        <f>Matchs!B574</f>
        <v>57</v>
      </c>
      <c r="E573" t="str">
        <f t="shared" si="154"/>
        <v>,DateMatch=DateTime.Parse("</v>
      </c>
      <c r="F573" s="3">
        <f>Matchs!C574</f>
        <v>35979</v>
      </c>
      <c r="G573" s="10" t="str">
        <f t="shared" si="155"/>
        <v>"),TimeMatch=TimeSpan.Parse("</v>
      </c>
      <c r="H573" s="9">
        <f>Matchs!D574</f>
        <v>0.89583333333333337</v>
      </c>
      <c r="I573" t="str">
        <f t="shared" si="156"/>
        <v>"),MatchYear=</v>
      </c>
      <c r="J573">
        <f>Matchs!E574</f>
        <v>1998</v>
      </c>
      <c r="K573" t="str">
        <f t="shared" si="157"/>
        <v>, SeasonId= "</v>
      </c>
      <c r="L573" t="str">
        <f>Matchs!F574</f>
        <v>FIFAWC1998</v>
      </c>
      <c r="M573" t="str">
        <f t="shared" si="158"/>
        <v>",Round= "</v>
      </c>
      <c r="N573" t="str">
        <f>Matchs!G574</f>
        <v>Final Round</v>
      </c>
      <c r="O573" s="6" t="str">
        <f t="shared" si="159"/>
        <v>",Stage= "</v>
      </c>
      <c r="P573" t="str">
        <f>Matchs!H574</f>
        <v>Knockouts</v>
      </c>
      <c r="Q573" s="6" t="str">
        <f t="shared" si="160"/>
        <v>",SubStage= "</v>
      </c>
      <c r="R573" t="str">
        <f>Matchs!I574</f>
        <v>Quaterfinal</v>
      </c>
      <c r="S573" s="6" t="str">
        <f t="shared" si="161"/>
        <v>",HTeam= "</v>
      </c>
      <c r="T573" t="str">
        <f>Matchs!J574</f>
        <v>Italy</v>
      </c>
      <c r="U573" s="6" t="str">
        <f t="shared" si="162"/>
        <v>",HGoal=</v>
      </c>
      <c r="V573">
        <f>Matchs!K574</f>
        <v>0</v>
      </c>
      <c r="W573" s="6" t="str">
        <f t="shared" si="163"/>
        <v>,GGoal=</v>
      </c>
      <c r="X573">
        <f>Matchs!L574</f>
        <v>0</v>
      </c>
      <c r="Y573" s="6" t="str">
        <f t="shared" si="164"/>
        <v>,GTeam= "</v>
      </c>
      <c r="Z573" t="str">
        <f>Matchs!M574</f>
        <v>France</v>
      </c>
      <c r="AA573" s="6" t="str">
        <f t="shared" si="165"/>
        <v>",WinNote="</v>
      </c>
      <c r="AB573" t="str">
        <f>IF(Matchs!N574="","",Matchs!N574)</f>
        <v/>
      </c>
      <c r="AC573" s="6" t="str">
        <f t="shared" si="166"/>
        <v xml:space="preserve">",Stadium=" </v>
      </c>
      <c r="AD573" s="11" t="str">
        <f>Matchs!O574</f>
        <v xml:space="preserve">Stade de France </v>
      </c>
      <c r="AE573" s="6" t="str">
        <f t="shared" si="167"/>
        <v>",Referee= "</v>
      </c>
      <c r="AF573" s="11" t="str">
        <f>Matchs!P574</f>
        <v xml:space="preserve">Hugh Dallas </v>
      </c>
      <c r="AG573" s="6" t="str">
        <f t="shared" si="168"/>
        <v xml:space="preserve">",Visistors= </v>
      </c>
      <c r="AH573" s="11">
        <f>Matchs!Q574</f>
        <v>77000</v>
      </c>
      <c r="AI573" s="11" t="str">
        <f t="shared" si="169"/>
        <v>,Status= "</v>
      </c>
      <c r="AJ573" s="11" t="str">
        <f>Matchs!R574</f>
        <v>Finished</v>
      </c>
      <c r="AK573" t="str">
        <f t="shared" si="170"/>
        <v>" },</v>
      </c>
    </row>
    <row r="574" spans="1:37" x14ac:dyDescent="0.25">
      <c r="A574" t="str">
        <f t="shared" si="152"/>
        <v>new Match { MatchId= "</v>
      </c>
      <c r="B574" t="str">
        <f>Matchs!A575</f>
        <v>FIFAWC1998-58</v>
      </c>
      <c r="C574" t="str">
        <f t="shared" si="153"/>
        <v>",MatchNumer=</v>
      </c>
      <c r="D574">
        <f>Matchs!B575</f>
        <v>58</v>
      </c>
      <c r="E574" t="str">
        <f t="shared" si="154"/>
        <v>,DateMatch=DateTime.Parse("</v>
      </c>
      <c r="F574" s="3">
        <f>Matchs!C575</f>
        <v>35980</v>
      </c>
      <c r="G574" s="10" t="str">
        <f t="shared" si="155"/>
        <v>"),TimeMatch=TimeSpan.Parse("</v>
      </c>
      <c r="H574" s="9">
        <f>Matchs!D575</f>
        <v>8.3333333333333329E-2</v>
      </c>
      <c r="I574" t="str">
        <f t="shared" si="156"/>
        <v>"),MatchYear=</v>
      </c>
      <c r="J574">
        <f>Matchs!E575</f>
        <v>1998</v>
      </c>
      <c r="K574" t="str">
        <f t="shared" si="157"/>
        <v>, SeasonId= "</v>
      </c>
      <c r="L574" t="str">
        <f>Matchs!F575</f>
        <v>FIFAWC1998</v>
      </c>
      <c r="M574" t="str">
        <f t="shared" si="158"/>
        <v>",Round= "</v>
      </c>
      <c r="N574" t="str">
        <f>Matchs!G575</f>
        <v>Final Round</v>
      </c>
      <c r="O574" s="6" t="str">
        <f t="shared" si="159"/>
        <v>",Stage= "</v>
      </c>
      <c r="P574" t="str">
        <f>Matchs!H575</f>
        <v>Knockouts</v>
      </c>
      <c r="Q574" s="6" t="str">
        <f t="shared" si="160"/>
        <v>",SubStage= "</v>
      </c>
      <c r="R574" t="str">
        <f>Matchs!I575</f>
        <v>Quaterfinal</v>
      </c>
      <c r="S574" s="6" t="str">
        <f t="shared" si="161"/>
        <v>",HTeam= "</v>
      </c>
      <c r="T574" t="str">
        <f>Matchs!J575</f>
        <v>Brazil</v>
      </c>
      <c r="U574" s="6" t="str">
        <f t="shared" si="162"/>
        <v>",HGoal=</v>
      </c>
      <c r="V574">
        <f>Matchs!K575</f>
        <v>3</v>
      </c>
      <c r="W574" s="6" t="str">
        <f t="shared" si="163"/>
        <v>,GGoal=</v>
      </c>
      <c r="X574">
        <f>Matchs!L575</f>
        <v>2</v>
      </c>
      <c r="Y574" s="6" t="str">
        <f t="shared" si="164"/>
        <v>,GTeam= "</v>
      </c>
      <c r="Z574" t="str">
        <f>Matchs!M575</f>
        <v>Denmark</v>
      </c>
      <c r="AA574" s="6" t="str">
        <f t="shared" si="165"/>
        <v>",WinNote="</v>
      </c>
      <c r="AB574" t="str">
        <f>IF(Matchs!N575="","",Matchs!N575)</f>
        <v/>
      </c>
      <c r="AC574" s="6" t="str">
        <f t="shared" si="166"/>
        <v xml:space="preserve">",Stadium=" </v>
      </c>
      <c r="AD574" s="11" t="str">
        <f>Matchs!O575</f>
        <v xml:space="preserve">Stade de la Beaujoire </v>
      </c>
      <c r="AE574" s="6" t="str">
        <f t="shared" si="167"/>
        <v>",Referee= "</v>
      </c>
      <c r="AF574" s="11" t="str">
        <f>Matchs!P575</f>
        <v xml:space="preserve">Gamal Al-Ghandour </v>
      </c>
      <c r="AG574" s="6" t="str">
        <f t="shared" si="168"/>
        <v xml:space="preserve">",Visistors= </v>
      </c>
      <c r="AH574" s="11">
        <f>Matchs!Q575</f>
        <v>35500</v>
      </c>
      <c r="AI574" s="11" t="str">
        <f t="shared" si="169"/>
        <v>,Status= "</v>
      </c>
      <c r="AJ574" s="11" t="str">
        <f>Matchs!R575</f>
        <v>Finished</v>
      </c>
      <c r="AK574" t="str">
        <f t="shared" si="170"/>
        <v>" },</v>
      </c>
    </row>
    <row r="575" spans="1:37" x14ac:dyDescent="0.25">
      <c r="A575" t="str">
        <f t="shared" si="152"/>
        <v>new Match { MatchId= "</v>
      </c>
      <c r="B575" t="str">
        <f>Matchs!A576</f>
        <v>FIFAWC1998-59</v>
      </c>
      <c r="C575" t="str">
        <f t="shared" si="153"/>
        <v>",MatchNumer=</v>
      </c>
      <c r="D575">
        <f>Matchs!B576</f>
        <v>59</v>
      </c>
      <c r="E575" t="str">
        <f t="shared" si="154"/>
        <v>,DateMatch=DateTime.Parse("</v>
      </c>
      <c r="F575" s="3">
        <f>Matchs!C576</f>
        <v>35980</v>
      </c>
      <c r="G575" s="10" t="str">
        <f t="shared" si="155"/>
        <v>"),TimeMatch=TimeSpan.Parse("</v>
      </c>
      <c r="H575" s="9">
        <f>Matchs!D576</f>
        <v>0.89583333333333337</v>
      </c>
      <c r="I575" t="str">
        <f t="shared" si="156"/>
        <v>"),MatchYear=</v>
      </c>
      <c r="J575">
        <f>Matchs!E576</f>
        <v>1998</v>
      </c>
      <c r="K575" t="str">
        <f t="shared" si="157"/>
        <v>, SeasonId= "</v>
      </c>
      <c r="L575" t="str">
        <f>Matchs!F576</f>
        <v>FIFAWC1998</v>
      </c>
      <c r="M575" t="str">
        <f t="shared" si="158"/>
        <v>",Round= "</v>
      </c>
      <c r="N575" t="str">
        <f>Matchs!G576</f>
        <v>Final Round</v>
      </c>
      <c r="O575" s="6" t="str">
        <f t="shared" si="159"/>
        <v>",Stage= "</v>
      </c>
      <c r="P575" t="str">
        <f>Matchs!H576</f>
        <v>Knockouts</v>
      </c>
      <c r="Q575" s="6" t="str">
        <f t="shared" si="160"/>
        <v>",SubStage= "</v>
      </c>
      <c r="R575" t="str">
        <f>Matchs!I576</f>
        <v>Quaterfinal</v>
      </c>
      <c r="S575" s="6" t="str">
        <f t="shared" si="161"/>
        <v>",HTeam= "</v>
      </c>
      <c r="T575" t="str">
        <f>Matchs!J576</f>
        <v>Netherlands</v>
      </c>
      <c r="U575" s="6" t="str">
        <f t="shared" si="162"/>
        <v>",HGoal=</v>
      </c>
      <c r="V575">
        <f>Matchs!K576</f>
        <v>2</v>
      </c>
      <c r="W575" s="6" t="str">
        <f t="shared" si="163"/>
        <v>,GGoal=</v>
      </c>
      <c r="X575">
        <f>Matchs!L576</f>
        <v>1</v>
      </c>
      <c r="Y575" s="6" t="str">
        <f t="shared" si="164"/>
        <v>,GTeam= "</v>
      </c>
      <c r="Z575" t="str">
        <f>Matchs!M576</f>
        <v>Argentina</v>
      </c>
      <c r="AA575" s="6" t="str">
        <f t="shared" si="165"/>
        <v>",WinNote="</v>
      </c>
      <c r="AB575" t="str">
        <f>IF(Matchs!N576="","",Matchs!N576)</f>
        <v/>
      </c>
      <c r="AC575" s="6" t="str">
        <f t="shared" si="166"/>
        <v xml:space="preserve">",Stadium=" </v>
      </c>
      <c r="AD575" s="11" t="str">
        <f>Matchs!O576</f>
        <v xml:space="preserve">Stade Vélodrome </v>
      </c>
      <c r="AE575" s="6" t="str">
        <f t="shared" si="167"/>
        <v>",Referee= "</v>
      </c>
      <c r="AF575" s="11" t="str">
        <f>Matchs!P576</f>
        <v xml:space="preserve">Arturo Brizio Carter </v>
      </c>
      <c r="AG575" s="6" t="str">
        <f t="shared" si="168"/>
        <v xml:space="preserve">",Visistors= </v>
      </c>
      <c r="AH575" s="11">
        <f>Matchs!Q576</f>
        <v>55000</v>
      </c>
      <c r="AI575" s="11" t="str">
        <f t="shared" si="169"/>
        <v>,Status= "</v>
      </c>
      <c r="AJ575" s="11" t="str">
        <f>Matchs!R576</f>
        <v>Finished</v>
      </c>
      <c r="AK575" t="str">
        <f t="shared" si="170"/>
        <v>" },</v>
      </c>
    </row>
    <row r="576" spans="1:37" x14ac:dyDescent="0.25">
      <c r="A576" t="str">
        <f t="shared" si="152"/>
        <v>new Match { MatchId= "</v>
      </c>
      <c r="B576" t="str">
        <f>Matchs!A577</f>
        <v>FIFAWC1998-60</v>
      </c>
      <c r="C576" t="str">
        <f t="shared" si="153"/>
        <v>",MatchNumer=</v>
      </c>
      <c r="D576">
        <f>Matchs!B577</f>
        <v>60</v>
      </c>
      <c r="E576" t="str">
        <f t="shared" si="154"/>
        <v>,DateMatch=DateTime.Parse("</v>
      </c>
      <c r="F576" s="3">
        <f>Matchs!C577</f>
        <v>35981</v>
      </c>
      <c r="G576" s="10" t="str">
        <f t="shared" si="155"/>
        <v>"),TimeMatch=TimeSpan.Parse("</v>
      </c>
      <c r="H576" s="9">
        <f>Matchs!D577</f>
        <v>8.3333333333333329E-2</v>
      </c>
      <c r="I576" t="str">
        <f t="shared" si="156"/>
        <v>"),MatchYear=</v>
      </c>
      <c r="J576">
        <f>Matchs!E577</f>
        <v>1998</v>
      </c>
      <c r="K576" t="str">
        <f t="shared" si="157"/>
        <v>, SeasonId= "</v>
      </c>
      <c r="L576" t="str">
        <f>Matchs!F577</f>
        <v>FIFAWC1998</v>
      </c>
      <c r="M576" t="str">
        <f t="shared" si="158"/>
        <v>",Round= "</v>
      </c>
      <c r="N576" t="str">
        <f>Matchs!G577</f>
        <v>Final Round</v>
      </c>
      <c r="O576" s="6" t="str">
        <f t="shared" si="159"/>
        <v>",Stage= "</v>
      </c>
      <c r="P576" t="str">
        <f>Matchs!H577</f>
        <v>Knockouts</v>
      </c>
      <c r="Q576" s="6" t="str">
        <f t="shared" si="160"/>
        <v>",SubStage= "</v>
      </c>
      <c r="R576" t="str">
        <f>Matchs!I577</f>
        <v>Quaterfinal</v>
      </c>
      <c r="S576" s="6" t="str">
        <f t="shared" si="161"/>
        <v>",HTeam= "</v>
      </c>
      <c r="T576" t="str">
        <f>Matchs!J577</f>
        <v>Germany</v>
      </c>
      <c r="U576" s="6" t="str">
        <f t="shared" si="162"/>
        <v>",HGoal=</v>
      </c>
      <c r="V576">
        <f>Matchs!K577</f>
        <v>0</v>
      </c>
      <c r="W576" s="6" t="str">
        <f t="shared" si="163"/>
        <v>,GGoal=</v>
      </c>
      <c r="X576">
        <f>Matchs!L577</f>
        <v>3</v>
      </c>
      <c r="Y576" s="6" t="str">
        <f t="shared" si="164"/>
        <v>,GTeam= "</v>
      </c>
      <c r="Z576" t="str">
        <f>Matchs!M577</f>
        <v>Croatia</v>
      </c>
      <c r="AA576" s="6" t="str">
        <f t="shared" si="165"/>
        <v>",WinNote="</v>
      </c>
      <c r="AB576" t="str">
        <f>IF(Matchs!N577="","",Matchs!N577)</f>
        <v/>
      </c>
      <c r="AC576" s="6" t="str">
        <f t="shared" si="166"/>
        <v xml:space="preserve">",Stadium=" </v>
      </c>
      <c r="AD576" s="11" t="str">
        <f>Matchs!O577</f>
        <v xml:space="preserve">Stade de Gerland </v>
      </c>
      <c r="AE576" s="6" t="str">
        <f t="shared" si="167"/>
        <v>",Referee= "</v>
      </c>
      <c r="AF576" s="11" t="str">
        <f>Matchs!P577</f>
        <v xml:space="preserve">Rune Pedersen </v>
      </c>
      <c r="AG576" s="6" t="str">
        <f t="shared" si="168"/>
        <v xml:space="preserve">",Visistors= </v>
      </c>
      <c r="AH576" s="11">
        <f>Matchs!Q577</f>
        <v>39100</v>
      </c>
      <c r="AI576" s="11" t="str">
        <f t="shared" si="169"/>
        <v>,Status= "</v>
      </c>
      <c r="AJ576" s="11" t="str">
        <f>Matchs!R577</f>
        <v>Finished</v>
      </c>
      <c r="AK576" t="str">
        <f t="shared" si="170"/>
        <v>" },</v>
      </c>
    </row>
    <row r="577" spans="1:37" x14ac:dyDescent="0.25">
      <c r="A577" t="str">
        <f t="shared" si="152"/>
        <v>new Match { MatchId= "</v>
      </c>
      <c r="B577" t="str">
        <f>Matchs!A578</f>
        <v>FIFAWC1998-61</v>
      </c>
      <c r="C577" t="str">
        <f t="shared" si="153"/>
        <v>",MatchNumer=</v>
      </c>
      <c r="D577">
        <f>Matchs!B578</f>
        <v>61</v>
      </c>
      <c r="E577" t="str">
        <f t="shared" si="154"/>
        <v>,DateMatch=DateTime.Parse("</v>
      </c>
      <c r="F577" s="3">
        <f>Matchs!C578</f>
        <v>35984</v>
      </c>
      <c r="G577" s="10" t="str">
        <f t="shared" si="155"/>
        <v>"),TimeMatch=TimeSpan.Parse("</v>
      </c>
      <c r="H577" s="9">
        <f>Matchs!D578</f>
        <v>8.3333333333333329E-2</v>
      </c>
      <c r="I577" t="str">
        <f t="shared" si="156"/>
        <v>"),MatchYear=</v>
      </c>
      <c r="J577">
        <f>Matchs!E578</f>
        <v>1998</v>
      </c>
      <c r="K577" t="str">
        <f t="shared" si="157"/>
        <v>, SeasonId= "</v>
      </c>
      <c r="L577" t="str">
        <f>Matchs!F578</f>
        <v>FIFAWC1998</v>
      </c>
      <c r="M577" t="str">
        <f t="shared" si="158"/>
        <v>",Round= "</v>
      </c>
      <c r="N577" t="str">
        <f>Matchs!G578</f>
        <v>Final Round</v>
      </c>
      <c r="O577" s="6" t="str">
        <f t="shared" si="159"/>
        <v>",Stage= "</v>
      </c>
      <c r="P577" t="str">
        <f>Matchs!H578</f>
        <v>Knockouts</v>
      </c>
      <c r="Q577" s="6" t="str">
        <f t="shared" si="160"/>
        <v>",SubStage= "</v>
      </c>
      <c r="R577" t="str">
        <f>Matchs!I578</f>
        <v>Semifinal</v>
      </c>
      <c r="S577" s="6" t="str">
        <f t="shared" si="161"/>
        <v>",HTeam= "</v>
      </c>
      <c r="T577" t="str">
        <f>Matchs!J578</f>
        <v>Brazil</v>
      </c>
      <c r="U577" s="6" t="str">
        <f t="shared" si="162"/>
        <v>",HGoal=</v>
      </c>
      <c r="V577">
        <f>Matchs!K578</f>
        <v>1</v>
      </c>
      <c r="W577" s="6" t="str">
        <f t="shared" si="163"/>
        <v>,GGoal=</v>
      </c>
      <c r="X577">
        <f>Matchs!L578</f>
        <v>1</v>
      </c>
      <c r="Y577" s="6" t="str">
        <f t="shared" si="164"/>
        <v>,GTeam= "</v>
      </c>
      <c r="Z577" t="str">
        <f>Matchs!M578</f>
        <v>Netherlands</v>
      </c>
      <c r="AA577" s="6" t="str">
        <f t="shared" si="165"/>
        <v>",WinNote="</v>
      </c>
      <c r="AB577" t="str">
        <f>IF(Matchs!N578="","",Matchs!N578)</f>
        <v>Brazil win 4 - 2 on penalties</v>
      </c>
      <c r="AC577" s="6" t="str">
        <f t="shared" si="166"/>
        <v xml:space="preserve">",Stadium=" </v>
      </c>
      <c r="AD577" s="11" t="str">
        <f>Matchs!O578</f>
        <v xml:space="preserve">Stade Vélodrome </v>
      </c>
      <c r="AE577" s="6" t="str">
        <f t="shared" si="167"/>
        <v>",Referee= "</v>
      </c>
      <c r="AF577" s="11" t="str">
        <f>Matchs!P578</f>
        <v xml:space="preserve">Ali Bujsaim </v>
      </c>
      <c r="AG577" s="6" t="str">
        <f t="shared" si="168"/>
        <v xml:space="preserve">",Visistors= </v>
      </c>
      <c r="AH577" s="11">
        <f>Matchs!Q578</f>
        <v>54000</v>
      </c>
      <c r="AI577" s="11" t="str">
        <f t="shared" si="169"/>
        <v>,Status= "</v>
      </c>
      <c r="AJ577" s="11" t="str">
        <f>Matchs!R578</f>
        <v>Finished</v>
      </c>
      <c r="AK577" t="str">
        <f t="shared" si="170"/>
        <v>" },</v>
      </c>
    </row>
    <row r="578" spans="1:37" x14ac:dyDescent="0.25">
      <c r="A578" t="str">
        <f t="shared" si="152"/>
        <v>new Match { MatchId= "</v>
      </c>
      <c r="B578" t="str">
        <f>Matchs!A579</f>
        <v>FIFAWC1998-62</v>
      </c>
      <c r="C578" t="str">
        <f t="shared" si="153"/>
        <v>",MatchNumer=</v>
      </c>
      <c r="D578">
        <f>Matchs!B579</f>
        <v>62</v>
      </c>
      <c r="E578" t="str">
        <f t="shared" si="154"/>
        <v>,DateMatch=DateTime.Parse("</v>
      </c>
      <c r="F578" s="3">
        <f>Matchs!C579</f>
        <v>35985</v>
      </c>
      <c r="G578" s="10" t="str">
        <f t="shared" si="155"/>
        <v>"),TimeMatch=TimeSpan.Parse("</v>
      </c>
      <c r="H578" s="9">
        <f>Matchs!D579</f>
        <v>8.3333333333333329E-2</v>
      </c>
      <c r="I578" t="str">
        <f t="shared" si="156"/>
        <v>"),MatchYear=</v>
      </c>
      <c r="J578">
        <f>Matchs!E579</f>
        <v>1998</v>
      </c>
      <c r="K578" t="str">
        <f t="shared" si="157"/>
        <v>, SeasonId= "</v>
      </c>
      <c r="L578" t="str">
        <f>Matchs!F579</f>
        <v>FIFAWC1998</v>
      </c>
      <c r="M578" t="str">
        <f t="shared" si="158"/>
        <v>",Round= "</v>
      </c>
      <c r="N578" t="str">
        <f>Matchs!G579</f>
        <v>Final Round</v>
      </c>
      <c r="O578" s="6" t="str">
        <f t="shared" si="159"/>
        <v>",Stage= "</v>
      </c>
      <c r="P578" t="str">
        <f>Matchs!H579</f>
        <v>Knockouts</v>
      </c>
      <c r="Q578" s="6" t="str">
        <f t="shared" si="160"/>
        <v>",SubStage= "</v>
      </c>
      <c r="R578" t="str">
        <f>Matchs!I579</f>
        <v>Semifinal</v>
      </c>
      <c r="S578" s="6" t="str">
        <f t="shared" si="161"/>
        <v>",HTeam= "</v>
      </c>
      <c r="T578" t="str">
        <f>Matchs!J579</f>
        <v>France</v>
      </c>
      <c r="U578" s="6" t="str">
        <f t="shared" si="162"/>
        <v>",HGoal=</v>
      </c>
      <c r="V578">
        <f>Matchs!K579</f>
        <v>2</v>
      </c>
      <c r="W578" s="6" t="str">
        <f t="shared" si="163"/>
        <v>,GGoal=</v>
      </c>
      <c r="X578">
        <f>Matchs!L579</f>
        <v>1</v>
      </c>
      <c r="Y578" s="6" t="str">
        <f t="shared" si="164"/>
        <v>,GTeam= "</v>
      </c>
      <c r="Z578" t="str">
        <f>Matchs!M579</f>
        <v>Croatia</v>
      </c>
      <c r="AA578" s="6" t="str">
        <f t="shared" si="165"/>
        <v>",WinNote="</v>
      </c>
      <c r="AB578" t="str">
        <f>IF(Matchs!N579="","",Matchs!N579)</f>
        <v/>
      </c>
      <c r="AC578" s="6" t="str">
        <f t="shared" si="166"/>
        <v xml:space="preserve">",Stadium=" </v>
      </c>
      <c r="AD578" s="11" t="str">
        <f>Matchs!O579</f>
        <v xml:space="preserve">Stade de France </v>
      </c>
      <c r="AE578" s="6" t="str">
        <f t="shared" si="167"/>
        <v>",Referee= "</v>
      </c>
      <c r="AF578" s="11" t="str">
        <f>Matchs!P579</f>
        <v xml:space="preserve">Jose Garcia-Aranda </v>
      </c>
      <c r="AG578" s="6" t="str">
        <f t="shared" si="168"/>
        <v xml:space="preserve">",Visistors= </v>
      </c>
      <c r="AH578" s="11">
        <f>Matchs!Q579</f>
        <v>76000</v>
      </c>
      <c r="AI578" s="11" t="str">
        <f t="shared" si="169"/>
        <v>,Status= "</v>
      </c>
      <c r="AJ578" s="11" t="str">
        <f>Matchs!R579</f>
        <v>Finished</v>
      </c>
      <c r="AK578" t="str">
        <f t="shared" si="170"/>
        <v>" },</v>
      </c>
    </row>
    <row r="579" spans="1:37" x14ac:dyDescent="0.25">
      <c r="A579" t="str">
        <f t="shared" ref="A579:A642" si="171">A578</f>
        <v>new Match { MatchId= "</v>
      </c>
      <c r="B579" t="str">
        <f>Matchs!A580</f>
        <v>FIFAWC1998-63</v>
      </c>
      <c r="C579" t="str">
        <f t="shared" ref="C579:C642" si="172">C578</f>
        <v>",MatchNumer=</v>
      </c>
      <c r="D579">
        <f>Matchs!B580</f>
        <v>63</v>
      </c>
      <c r="E579" t="str">
        <f t="shared" ref="E579:E642" si="173">E578</f>
        <v>,DateMatch=DateTime.Parse("</v>
      </c>
      <c r="F579" s="3">
        <f>Matchs!C580</f>
        <v>35988</v>
      </c>
      <c r="G579" s="10" t="str">
        <f t="shared" ref="G579:G642" si="174">G578</f>
        <v>"),TimeMatch=TimeSpan.Parse("</v>
      </c>
      <c r="H579" s="9">
        <f>Matchs!D580</f>
        <v>8.3333333333333329E-2</v>
      </c>
      <c r="I579" t="str">
        <f t="shared" ref="I579:I642" si="175">I578</f>
        <v>"),MatchYear=</v>
      </c>
      <c r="J579">
        <f>Matchs!E580</f>
        <v>1998</v>
      </c>
      <c r="K579" t="str">
        <f t="shared" ref="K579:K642" si="176">K578</f>
        <v>, SeasonId= "</v>
      </c>
      <c r="L579" t="str">
        <f>Matchs!F580</f>
        <v>FIFAWC1998</v>
      </c>
      <c r="M579" t="str">
        <f t="shared" ref="M579:M642" si="177">M578</f>
        <v>",Round= "</v>
      </c>
      <c r="N579" t="str">
        <f>Matchs!G580</f>
        <v>Final Round</v>
      </c>
      <c r="O579" s="6" t="str">
        <f t="shared" ref="O579:O642" si="178">O578</f>
        <v>",Stage= "</v>
      </c>
      <c r="P579" t="str">
        <f>Matchs!H580</f>
        <v>Knockouts</v>
      </c>
      <c r="Q579" s="6" t="str">
        <f t="shared" ref="Q579:Q642" si="179">Q578</f>
        <v>",SubStage= "</v>
      </c>
      <c r="R579" t="str">
        <f>Matchs!I580</f>
        <v>3rd place</v>
      </c>
      <c r="S579" s="6" t="str">
        <f t="shared" ref="S579:S642" si="180">S578</f>
        <v>",HTeam= "</v>
      </c>
      <c r="T579" t="str">
        <f>Matchs!J580</f>
        <v>Netherlands</v>
      </c>
      <c r="U579" s="6" t="str">
        <f t="shared" ref="U579:U642" si="181">U578</f>
        <v>",HGoal=</v>
      </c>
      <c r="V579">
        <f>Matchs!K580</f>
        <v>1</v>
      </c>
      <c r="W579" s="6" t="str">
        <f t="shared" ref="W579:W642" si="182">W578</f>
        <v>,GGoal=</v>
      </c>
      <c r="X579">
        <f>Matchs!L580</f>
        <v>2</v>
      </c>
      <c r="Y579" s="6" t="str">
        <f t="shared" ref="Y579:Y642" si="183">Y578</f>
        <v>,GTeam= "</v>
      </c>
      <c r="Z579" t="str">
        <f>Matchs!M580</f>
        <v>Croatia</v>
      </c>
      <c r="AA579" s="6" t="str">
        <f t="shared" ref="AA579:AA642" si="184">AA578</f>
        <v>",WinNote="</v>
      </c>
      <c r="AB579" t="str">
        <f>IF(Matchs!N580="","",Matchs!N580)</f>
        <v/>
      </c>
      <c r="AC579" s="6" t="str">
        <f t="shared" ref="AC579:AC642" si="185">AC578</f>
        <v xml:space="preserve">",Stadium=" </v>
      </c>
      <c r="AD579" s="11" t="str">
        <f>Matchs!O580</f>
        <v xml:space="preserve">Parc des Princes </v>
      </c>
      <c r="AE579" s="6" t="str">
        <f t="shared" ref="AE579:AE642" si="186">AE578</f>
        <v>",Referee= "</v>
      </c>
      <c r="AF579" s="11" t="str">
        <f>Matchs!P580</f>
        <v xml:space="preserve">Epifanio González </v>
      </c>
      <c r="AG579" s="6" t="str">
        <f t="shared" ref="AG579:AG642" si="187">AG578</f>
        <v xml:space="preserve">",Visistors= </v>
      </c>
      <c r="AH579" s="11">
        <f>Matchs!Q580</f>
        <v>45500</v>
      </c>
      <c r="AI579" s="11" t="str">
        <f t="shared" ref="AI579:AI642" si="188">AI578</f>
        <v>,Status= "</v>
      </c>
      <c r="AJ579" s="11" t="str">
        <f>Matchs!R580</f>
        <v>Finished</v>
      </c>
      <c r="AK579" t="str">
        <f t="shared" ref="AK579:AK642" si="189">AK578</f>
        <v>" },</v>
      </c>
    </row>
    <row r="580" spans="1:37" x14ac:dyDescent="0.25">
      <c r="A580" t="str">
        <f t="shared" si="171"/>
        <v>new Match { MatchId= "</v>
      </c>
      <c r="B580" t="str">
        <f>Matchs!A581</f>
        <v>FIFAWC1998-64</v>
      </c>
      <c r="C580" t="str">
        <f t="shared" si="172"/>
        <v>",MatchNumer=</v>
      </c>
      <c r="D580">
        <f>Matchs!B581</f>
        <v>64</v>
      </c>
      <c r="E580" t="str">
        <f t="shared" si="173"/>
        <v>,DateMatch=DateTime.Parse("</v>
      </c>
      <c r="F580" s="3">
        <f>Matchs!C581</f>
        <v>35989</v>
      </c>
      <c r="G580" s="10" t="str">
        <f t="shared" si="174"/>
        <v>"),TimeMatch=TimeSpan.Parse("</v>
      </c>
      <c r="H580" s="9">
        <f>Matchs!D581</f>
        <v>8.3333333333333329E-2</v>
      </c>
      <c r="I580" t="str">
        <f t="shared" si="175"/>
        <v>"),MatchYear=</v>
      </c>
      <c r="J580">
        <f>Matchs!E581</f>
        <v>1998</v>
      </c>
      <c r="K580" t="str">
        <f t="shared" si="176"/>
        <v>, SeasonId= "</v>
      </c>
      <c r="L580" t="str">
        <f>Matchs!F581</f>
        <v>FIFAWC1998</v>
      </c>
      <c r="M580" t="str">
        <f t="shared" si="177"/>
        <v>",Round= "</v>
      </c>
      <c r="N580" t="str">
        <f>Matchs!G581</f>
        <v>Final Round</v>
      </c>
      <c r="O580" s="6" t="str">
        <f t="shared" si="178"/>
        <v>",Stage= "</v>
      </c>
      <c r="P580" t="str">
        <f>Matchs!H581</f>
        <v>Knockouts</v>
      </c>
      <c r="Q580" s="6" t="str">
        <f t="shared" si="179"/>
        <v>",SubStage= "</v>
      </c>
      <c r="R580" t="str">
        <f>Matchs!I581</f>
        <v>Final</v>
      </c>
      <c r="S580" s="6" t="str">
        <f t="shared" si="180"/>
        <v>",HTeam= "</v>
      </c>
      <c r="T580" t="str">
        <f>Matchs!J581</f>
        <v>Brazil</v>
      </c>
      <c r="U580" s="6" t="str">
        <f t="shared" si="181"/>
        <v>",HGoal=</v>
      </c>
      <c r="V580">
        <f>Matchs!K581</f>
        <v>0</v>
      </c>
      <c r="W580" s="6" t="str">
        <f t="shared" si="182"/>
        <v>,GGoal=</v>
      </c>
      <c r="X580">
        <f>Matchs!L581</f>
        <v>3</v>
      </c>
      <c r="Y580" s="6" t="str">
        <f t="shared" si="183"/>
        <v>,GTeam= "</v>
      </c>
      <c r="Z580" t="str">
        <f>Matchs!M581</f>
        <v>France</v>
      </c>
      <c r="AA580" s="6" t="str">
        <f t="shared" si="184"/>
        <v>",WinNote="</v>
      </c>
      <c r="AB580" t="str">
        <f>IF(Matchs!N581="","",Matchs!N581)</f>
        <v/>
      </c>
      <c r="AC580" s="6" t="str">
        <f t="shared" si="185"/>
        <v xml:space="preserve">",Stadium=" </v>
      </c>
      <c r="AD580" s="11" t="str">
        <f>Matchs!O581</f>
        <v xml:space="preserve">Stade de France </v>
      </c>
      <c r="AE580" s="6" t="str">
        <f t="shared" si="186"/>
        <v>",Referee= "</v>
      </c>
      <c r="AF580" s="11" t="str">
        <f>Matchs!P581</f>
        <v xml:space="preserve">Said Belqola </v>
      </c>
      <c r="AG580" s="6" t="str">
        <f t="shared" si="187"/>
        <v xml:space="preserve">",Visistors= </v>
      </c>
      <c r="AH580" s="11">
        <f>Matchs!Q581</f>
        <v>80000</v>
      </c>
      <c r="AI580" s="11" t="str">
        <f t="shared" si="188"/>
        <v>,Status= "</v>
      </c>
      <c r="AJ580" s="11" t="str">
        <f>Matchs!R581</f>
        <v>Finished</v>
      </c>
      <c r="AK580" t="str">
        <f t="shared" si="189"/>
        <v>" },</v>
      </c>
    </row>
    <row r="581" spans="1:37" x14ac:dyDescent="0.25">
      <c r="A581" t="str">
        <f t="shared" si="171"/>
        <v>new Match { MatchId= "</v>
      </c>
      <c r="B581" t="str">
        <f>Matchs!A582</f>
        <v>FIFAWC2002-1</v>
      </c>
      <c r="C581" t="str">
        <f t="shared" si="172"/>
        <v>",MatchNumer=</v>
      </c>
      <c r="D581">
        <f>Matchs!B582</f>
        <v>1</v>
      </c>
      <c r="E581" t="str">
        <f t="shared" si="173"/>
        <v>,DateMatch=DateTime.Parse("</v>
      </c>
      <c r="F581" s="3">
        <f>Matchs!C582</f>
        <v>37407</v>
      </c>
      <c r="G581" s="10" t="str">
        <f t="shared" si="174"/>
        <v>"),TimeMatch=TimeSpan.Parse("</v>
      </c>
      <c r="H581" s="9">
        <f>Matchs!D582</f>
        <v>0.77083333333333337</v>
      </c>
      <c r="I581" t="str">
        <f t="shared" si="175"/>
        <v>"),MatchYear=</v>
      </c>
      <c r="J581">
        <f>Matchs!E582</f>
        <v>2002</v>
      </c>
      <c r="K581" t="str">
        <f t="shared" si="176"/>
        <v>, SeasonId= "</v>
      </c>
      <c r="L581" t="str">
        <f>Matchs!F582</f>
        <v>FIFAWC2002</v>
      </c>
      <c r="M581" t="str">
        <f t="shared" si="177"/>
        <v>",Round= "</v>
      </c>
      <c r="N581" t="str">
        <f>Matchs!G582</f>
        <v>Final Round</v>
      </c>
      <c r="O581" s="6" t="str">
        <f t="shared" si="178"/>
        <v>",Stage= "</v>
      </c>
      <c r="P581" t="str">
        <f>Matchs!H582</f>
        <v>Group</v>
      </c>
      <c r="Q581" s="6" t="str">
        <f t="shared" si="179"/>
        <v>",SubStage= "</v>
      </c>
      <c r="R581" t="str">
        <f>Matchs!I582</f>
        <v xml:space="preserve">Group A </v>
      </c>
      <c r="S581" s="6" t="str">
        <f t="shared" si="180"/>
        <v>",HTeam= "</v>
      </c>
      <c r="T581" t="str">
        <f>Matchs!J582</f>
        <v>France</v>
      </c>
      <c r="U581" s="6" t="str">
        <f t="shared" si="181"/>
        <v>",HGoal=</v>
      </c>
      <c r="V581">
        <f>Matchs!K582</f>
        <v>0</v>
      </c>
      <c r="W581" s="6" t="str">
        <f t="shared" si="182"/>
        <v>,GGoal=</v>
      </c>
      <c r="X581">
        <f>Matchs!L582</f>
        <v>1</v>
      </c>
      <c r="Y581" s="6" t="str">
        <f t="shared" si="183"/>
        <v>,GTeam= "</v>
      </c>
      <c r="Z581" t="str">
        <f>Matchs!M582</f>
        <v>Senegal</v>
      </c>
      <c r="AA581" s="6" t="str">
        <f t="shared" si="184"/>
        <v>",WinNote="</v>
      </c>
      <c r="AB581" t="str">
        <f>IF(Matchs!N582="","",Matchs!N582)</f>
        <v/>
      </c>
      <c r="AC581" s="6" t="str">
        <f t="shared" si="185"/>
        <v xml:space="preserve">",Stadium=" </v>
      </c>
      <c r="AD581" s="11" t="str">
        <f>Matchs!O582</f>
        <v xml:space="preserve">Seoul World Cup Stadium </v>
      </c>
      <c r="AE581" s="6" t="str">
        <f t="shared" si="186"/>
        <v>",Referee= "</v>
      </c>
      <c r="AF581" s="11" t="str">
        <f>Matchs!P582</f>
        <v xml:space="preserve">Ali Bujsaim </v>
      </c>
      <c r="AG581" s="6" t="str">
        <f t="shared" si="187"/>
        <v xml:space="preserve">",Visistors= </v>
      </c>
      <c r="AH581" s="11">
        <f>Matchs!Q582</f>
        <v>62561</v>
      </c>
      <c r="AI581" s="11" t="str">
        <f t="shared" si="188"/>
        <v>,Status= "</v>
      </c>
      <c r="AJ581" s="11" t="str">
        <f>Matchs!R582</f>
        <v>Finished</v>
      </c>
      <c r="AK581" t="str">
        <f t="shared" si="189"/>
        <v>" },</v>
      </c>
    </row>
    <row r="582" spans="1:37" x14ac:dyDescent="0.25">
      <c r="A582" t="str">
        <f t="shared" si="171"/>
        <v>new Match { MatchId= "</v>
      </c>
      <c r="B582" t="str">
        <f>Matchs!A583</f>
        <v>FIFAWC2002-2</v>
      </c>
      <c r="C582" t="str">
        <f t="shared" si="172"/>
        <v>",MatchNumer=</v>
      </c>
      <c r="D582">
        <f>Matchs!B583</f>
        <v>2</v>
      </c>
      <c r="E582" t="str">
        <f t="shared" si="173"/>
        <v>,DateMatch=DateTime.Parse("</v>
      </c>
      <c r="F582" s="3">
        <f>Matchs!C583</f>
        <v>37408</v>
      </c>
      <c r="G582" s="10" t="str">
        <f t="shared" si="174"/>
        <v>"),TimeMatch=TimeSpan.Parse("</v>
      </c>
      <c r="H582" s="9">
        <f>Matchs!D583</f>
        <v>0.5625</v>
      </c>
      <c r="I582" t="str">
        <f t="shared" si="175"/>
        <v>"),MatchYear=</v>
      </c>
      <c r="J582">
        <f>Matchs!E583</f>
        <v>2002</v>
      </c>
      <c r="K582" t="str">
        <f t="shared" si="176"/>
        <v>, SeasonId= "</v>
      </c>
      <c r="L582" t="str">
        <f>Matchs!F583</f>
        <v>FIFAWC2002</v>
      </c>
      <c r="M582" t="str">
        <f t="shared" si="177"/>
        <v>",Round= "</v>
      </c>
      <c r="N582" t="str">
        <f>Matchs!G583</f>
        <v>Final Round</v>
      </c>
      <c r="O582" s="6" t="str">
        <f t="shared" si="178"/>
        <v>",Stage= "</v>
      </c>
      <c r="P582" t="str">
        <f>Matchs!H583</f>
        <v>Group</v>
      </c>
      <c r="Q582" s="6" t="str">
        <f t="shared" si="179"/>
        <v>",SubStage= "</v>
      </c>
      <c r="R582" t="str">
        <f>Matchs!I583</f>
        <v xml:space="preserve">Group E </v>
      </c>
      <c r="S582" s="6" t="str">
        <f t="shared" si="180"/>
        <v>",HTeam= "</v>
      </c>
      <c r="T582" t="str">
        <f>Matchs!J583</f>
        <v>Republic of Ireland</v>
      </c>
      <c r="U582" s="6" t="str">
        <f t="shared" si="181"/>
        <v>",HGoal=</v>
      </c>
      <c r="V582">
        <f>Matchs!K583</f>
        <v>1</v>
      </c>
      <c r="W582" s="6" t="str">
        <f t="shared" si="182"/>
        <v>,GGoal=</v>
      </c>
      <c r="X582">
        <f>Matchs!L583</f>
        <v>1</v>
      </c>
      <c r="Y582" s="6" t="str">
        <f t="shared" si="183"/>
        <v>,GTeam= "</v>
      </c>
      <c r="Z582" t="str">
        <f>Matchs!M583</f>
        <v>Cameroon</v>
      </c>
      <c r="AA582" s="6" t="str">
        <f t="shared" si="184"/>
        <v>",WinNote="</v>
      </c>
      <c r="AB582" t="str">
        <f>IF(Matchs!N583="","",Matchs!N583)</f>
        <v/>
      </c>
      <c r="AC582" s="6" t="str">
        <f t="shared" si="185"/>
        <v xml:space="preserve">",Stadium=" </v>
      </c>
      <c r="AD582" s="11" t="str">
        <f>Matchs!O583</f>
        <v xml:space="preserve">Tohoku Electric Power Big S... </v>
      </c>
      <c r="AE582" s="6" t="str">
        <f t="shared" si="186"/>
        <v>",Referee= "</v>
      </c>
      <c r="AF582" s="11" t="str">
        <f>Matchs!P583</f>
        <v xml:space="preserve">Toru Kamikawa </v>
      </c>
      <c r="AG582" s="6" t="str">
        <f t="shared" si="187"/>
        <v xml:space="preserve">",Visistors= </v>
      </c>
      <c r="AH582" s="11">
        <f>Matchs!Q583</f>
        <v>33679</v>
      </c>
      <c r="AI582" s="11" t="str">
        <f t="shared" si="188"/>
        <v>,Status= "</v>
      </c>
      <c r="AJ582" s="11" t="str">
        <f>Matchs!R583</f>
        <v>Finished</v>
      </c>
      <c r="AK582" t="str">
        <f t="shared" si="189"/>
        <v>" },</v>
      </c>
    </row>
    <row r="583" spans="1:37" x14ac:dyDescent="0.25">
      <c r="A583" t="str">
        <f t="shared" si="171"/>
        <v>new Match { MatchId= "</v>
      </c>
      <c r="B583" t="str">
        <f>Matchs!A584</f>
        <v>FIFAWC2002-3</v>
      </c>
      <c r="C583" t="str">
        <f t="shared" si="172"/>
        <v>",MatchNumer=</v>
      </c>
      <c r="D583">
        <f>Matchs!B584</f>
        <v>3</v>
      </c>
      <c r="E583" t="str">
        <f t="shared" si="173"/>
        <v>,DateMatch=DateTime.Parse("</v>
      </c>
      <c r="F583" s="3">
        <f>Matchs!C584</f>
        <v>37408</v>
      </c>
      <c r="G583" s="10" t="str">
        <f t="shared" si="174"/>
        <v>"),TimeMatch=TimeSpan.Parse("</v>
      </c>
      <c r="H583" s="9">
        <f>Matchs!D584</f>
        <v>0.66666666666666663</v>
      </c>
      <c r="I583" t="str">
        <f t="shared" si="175"/>
        <v>"),MatchYear=</v>
      </c>
      <c r="J583">
        <f>Matchs!E584</f>
        <v>2002</v>
      </c>
      <c r="K583" t="str">
        <f t="shared" si="176"/>
        <v>, SeasonId= "</v>
      </c>
      <c r="L583" t="str">
        <f>Matchs!F584</f>
        <v>FIFAWC2002</v>
      </c>
      <c r="M583" t="str">
        <f t="shared" si="177"/>
        <v>",Round= "</v>
      </c>
      <c r="N583" t="str">
        <f>Matchs!G584</f>
        <v>Final Round</v>
      </c>
      <c r="O583" s="6" t="str">
        <f t="shared" si="178"/>
        <v>",Stage= "</v>
      </c>
      <c r="P583" t="str">
        <f>Matchs!H584</f>
        <v>Group</v>
      </c>
      <c r="Q583" s="6" t="str">
        <f t="shared" si="179"/>
        <v>",SubStage= "</v>
      </c>
      <c r="R583" t="str">
        <f>Matchs!I584</f>
        <v xml:space="preserve">Group A </v>
      </c>
      <c r="S583" s="6" t="str">
        <f t="shared" si="180"/>
        <v>",HTeam= "</v>
      </c>
      <c r="T583" t="str">
        <f>Matchs!J584</f>
        <v>Uruguay</v>
      </c>
      <c r="U583" s="6" t="str">
        <f t="shared" si="181"/>
        <v>",HGoal=</v>
      </c>
      <c r="V583">
        <f>Matchs!K584</f>
        <v>1</v>
      </c>
      <c r="W583" s="6" t="str">
        <f t="shared" si="182"/>
        <v>,GGoal=</v>
      </c>
      <c r="X583">
        <f>Matchs!L584</f>
        <v>2</v>
      </c>
      <c r="Y583" s="6" t="str">
        <f t="shared" si="183"/>
        <v>,GTeam= "</v>
      </c>
      <c r="Z583" t="str">
        <f>Matchs!M584</f>
        <v>Denmark</v>
      </c>
      <c r="AA583" s="6" t="str">
        <f t="shared" si="184"/>
        <v>",WinNote="</v>
      </c>
      <c r="AB583" t="str">
        <f>IF(Matchs!N584="","",Matchs!N584)</f>
        <v/>
      </c>
      <c r="AC583" s="6" t="str">
        <f t="shared" si="185"/>
        <v xml:space="preserve">",Stadium=" </v>
      </c>
      <c r="AD583" s="11" t="str">
        <f>Matchs!O584</f>
        <v xml:space="preserve">Ulsan Munsu Football Stadium </v>
      </c>
      <c r="AE583" s="6" t="str">
        <f t="shared" si="186"/>
        <v>",Referee= "</v>
      </c>
      <c r="AF583" s="11" t="str">
        <f>Matchs!P584</f>
        <v xml:space="preserve">Saad Mane </v>
      </c>
      <c r="AG583" s="6" t="str">
        <f t="shared" si="187"/>
        <v xml:space="preserve">",Visistors= </v>
      </c>
      <c r="AH583" s="11">
        <f>Matchs!Q584</f>
        <v>30157</v>
      </c>
      <c r="AI583" s="11" t="str">
        <f t="shared" si="188"/>
        <v>,Status= "</v>
      </c>
      <c r="AJ583" s="11" t="str">
        <f>Matchs!R584</f>
        <v>Finished</v>
      </c>
      <c r="AK583" t="str">
        <f t="shared" si="189"/>
        <v>" },</v>
      </c>
    </row>
    <row r="584" spans="1:37" x14ac:dyDescent="0.25">
      <c r="A584" t="str">
        <f t="shared" si="171"/>
        <v>new Match { MatchId= "</v>
      </c>
      <c r="B584" t="str">
        <f>Matchs!A585</f>
        <v>FIFAWC2002-4</v>
      </c>
      <c r="C584" t="str">
        <f t="shared" si="172"/>
        <v>",MatchNumer=</v>
      </c>
      <c r="D584">
        <f>Matchs!B585</f>
        <v>4</v>
      </c>
      <c r="E584" t="str">
        <f t="shared" si="173"/>
        <v>,DateMatch=DateTime.Parse("</v>
      </c>
      <c r="F584" s="3">
        <f>Matchs!C585</f>
        <v>37408</v>
      </c>
      <c r="G584" s="10" t="str">
        <f t="shared" si="174"/>
        <v>"),TimeMatch=TimeSpan.Parse("</v>
      </c>
      <c r="H584" s="9">
        <f>Matchs!D585</f>
        <v>0.77083333333333337</v>
      </c>
      <c r="I584" t="str">
        <f t="shared" si="175"/>
        <v>"),MatchYear=</v>
      </c>
      <c r="J584">
        <f>Matchs!E585</f>
        <v>2002</v>
      </c>
      <c r="K584" t="str">
        <f t="shared" si="176"/>
        <v>, SeasonId= "</v>
      </c>
      <c r="L584" t="str">
        <f>Matchs!F585</f>
        <v>FIFAWC2002</v>
      </c>
      <c r="M584" t="str">
        <f t="shared" si="177"/>
        <v>",Round= "</v>
      </c>
      <c r="N584" t="str">
        <f>Matchs!G585</f>
        <v>Final Round</v>
      </c>
      <c r="O584" s="6" t="str">
        <f t="shared" si="178"/>
        <v>",Stage= "</v>
      </c>
      <c r="P584" t="str">
        <f>Matchs!H585</f>
        <v>Group</v>
      </c>
      <c r="Q584" s="6" t="str">
        <f t="shared" si="179"/>
        <v>",SubStage= "</v>
      </c>
      <c r="R584" t="str">
        <f>Matchs!I585</f>
        <v xml:space="preserve">Group E </v>
      </c>
      <c r="S584" s="6" t="str">
        <f t="shared" si="180"/>
        <v>",HTeam= "</v>
      </c>
      <c r="T584" t="str">
        <f>Matchs!J585</f>
        <v>Germany</v>
      </c>
      <c r="U584" s="6" t="str">
        <f t="shared" si="181"/>
        <v>",HGoal=</v>
      </c>
      <c r="V584">
        <f>Matchs!K585</f>
        <v>8</v>
      </c>
      <c r="W584" s="6" t="str">
        <f t="shared" si="182"/>
        <v>,GGoal=</v>
      </c>
      <c r="X584">
        <f>Matchs!L585</f>
        <v>0</v>
      </c>
      <c r="Y584" s="6" t="str">
        <f t="shared" si="183"/>
        <v>,GTeam= "</v>
      </c>
      <c r="Z584" t="str">
        <f>Matchs!M585</f>
        <v>Saudi Arabia</v>
      </c>
      <c r="AA584" s="6" t="str">
        <f t="shared" si="184"/>
        <v>",WinNote="</v>
      </c>
      <c r="AB584" t="str">
        <f>IF(Matchs!N585="","",Matchs!N585)</f>
        <v/>
      </c>
      <c r="AC584" s="6" t="str">
        <f t="shared" si="185"/>
        <v xml:space="preserve">",Stadium=" </v>
      </c>
      <c r="AD584" s="11" t="str">
        <f>Matchs!O585</f>
        <v xml:space="preserve">Sapporo Dome </v>
      </c>
      <c r="AE584" s="6" t="str">
        <f t="shared" si="186"/>
        <v>",Referee= "</v>
      </c>
      <c r="AF584" s="11" t="str">
        <f>Matchs!P585</f>
        <v xml:space="preserve">Ubaldo Aquino </v>
      </c>
      <c r="AG584" s="6" t="str">
        <f t="shared" si="187"/>
        <v xml:space="preserve">",Visistors= </v>
      </c>
      <c r="AH584" s="11">
        <f>Matchs!Q585</f>
        <v>32218</v>
      </c>
      <c r="AI584" s="11" t="str">
        <f t="shared" si="188"/>
        <v>,Status= "</v>
      </c>
      <c r="AJ584" s="11" t="str">
        <f>Matchs!R585</f>
        <v>Finished</v>
      </c>
      <c r="AK584" t="str">
        <f t="shared" si="189"/>
        <v>" },</v>
      </c>
    </row>
    <row r="585" spans="1:37" x14ac:dyDescent="0.25">
      <c r="A585" t="str">
        <f t="shared" si="171"/>
        <v>new Match { MatchId= "</v>
      </c>
      <c r="B585" t="str">
        <f>Matchs!A586</f>
        <v>FIFAWC2002-5</v>
      </c>
      <c r="C585" t="str">
        <f t="shared" si="172"/>
        <v>",MatchNumer=</v>
      </c>
      <c r="D585">
        <f>Matchs!B586</f>
        <v>5</v>
      </c>
      <c r="E585" t="str">
        <f t="shared" si="173"/>
        <v>,DateMatch=DateTime.Parse("</v>
      </c>
      <c r="F585" s="3">
        <f>Matchs!C586</f>
        <v>37409</v>
      </c>
      <c r="G585" s="10" t="str">
        <f t="shared" si="174"/>
        <v>"),TimeMatch=TimeSpan.Parse("</v>
      </c>
      <c r="H585" s="9">
        <f>Matchs!D586</f>
        <v>0.52083333333333337</v>
      </c>
      <c r="I585" t="str">
        <f t="shared" si="175"/>
        <v>"),MatchYear=</v>
      </c>
      <c r="J585">
        <f>Matchs!E586</f>
        <v>2002</v>
      </c>
      <c r="K585" t="str">
        <f t="shared" si="176"/>
        <v>, SeasonId= "</v>
      </c>
      <c r="L585" t="str">
        <f>Matchs!F586</f>
        <v>FIFAWC2002</v>
      </c>
      <c r="M585" t="str">
        <f t="shared" si="177"/>
        <v>",Round= "</v>
      </c>
      <c r="N585" t="str">
        <f>Matchs!G586</f>
        <v>Final Round</v>
      </c>
      <c r="O585" s="6" t="str">
        <f t="shared" si="178"/>
        <v>",Stage= "</v>
      </c>
      <c r="P585" t="str">
        <f>Matchs!H586</f>
        <v>Group</v>
      </c>
      <c r="Q585" s="6" t="str">
        <f t="shared" si="179"/>
        <v>",SubStage= "</v>
      </c>
      <c r="R585" t="str">
        <f>Matchs!I586</f>
        <v xml:space="preserve">Group F </v>
      </c>
      <c r="S585" s="6" t="str">
        <f t="shared" si="180"/>
        <v>",HTeam= "</v>
      </c>
      <c r="T585" t="str">
        <f>Matchs!J586</f>
        <v>Argentina</v>
      </c>
      <c r="U585" s="6" t="str">
        <f t="shared" si="181"/>
        <v>",HGoal=</v>
      </c>
      <c r="V585">
        <f>Matchs!K586</f>
        <v>1</v>
      </c>
      <c r="W585" s="6" t="str">
        <f t="shared" si="182"/>
        <v>,GGoal=</v>
      </c>
      <c r="X585">
        <f>Matchs!L586</f>
        <v>0</v>
      </c>
      <c r="Y585" s="6" t="str">
        <f t="shared" si="183"/>
        <v>,GTeam= "</v>
      </c>
      <c r="Z585" t="str">
        <f>Matchs!M586</f>
        <v>Nigeria</v>
      </c>
      <c r="AA585" s="6" t="str">
        <f t="shared" si="184"/>
        <v>",WinNote="</v>
      </c>
      <c r="AB585" t="str">
        <f>IF(Matchs!N586="","",Matchs!N586)</f>
        <v/>
      </c>
      <c r="AC585" s="6" t="str">
        <f t="shared" si="185"/>
        <v xml:space="preserve">",Stadium=" </v>
      </c>
      <c r="AD585" s="11" t="str">
        <f>Matchs!O586</f>
        <v xml:space="preserve">Kashima Soccer Stadium </v>
      </c>
      <c r="AE585" s="6" t="str">
        <f t="shared" si="186"/>
        <v>",Referee= "</v>
      </c>
      <c r="AF585" s="11" t="str">
        <f>Matchs!P586</f>
        <v xml:space="preserve">Gilles Veissiere </v>
      </c>
      <c r="AG585" s="6" t="str">
        <f t="shared" si="187"/>
        <v xml:space="preserve">",Visistors= </v>
      </c>
      <c r="AH585" s="11">
        <f>Matchs!Q586</f>
        <v>34050</v>
      </c>
      <c r="AI585" s="11" t="str">
        <f t="shared" si="188"/>
        <v>,Status= "</v>
      </c>
      <c r="AJ585" s="11" t="str">
        <f>Matchs!R586</f>
        <v>Finished</v>
      </c>
      <c r="AK585" t="str">
        <f t="shared" si="189"/>
        <v>" },</v>
      </c>
    </row>
    <row r="586" spans="1:37" x14ac:dyDescent="0.25">
      <c r="A586" t="str">
        <f t="shared" si="171"/>
        <v>new Match { MatchId= "</v>
      </c>
      <c r="B586" t="str">
        <f>Matchs!A587</f>
        <v>FIFAWC2002-6</v>
      </c>
      <c r="C586" t="str">
        <f t="shared" si="172"/>
        <v>",MatchNumer=</v>
      </c>
      <c r="D586">
        <f>Matchs!B587</f>
        <v>6</v>
      </c>
      <c r="E586" t="str">
        <f t="shared" si="173"/>
        <v>,DateMatch=DateTime.Parse("</v>
      </c>
      <c r="F586" s="3">
        <f>Matchs!C587</f>
        <v>37409</v>
      </c>
      <c r="G586" s="10" t="str">
        <f t="shared" si="174"/>
        <v>"),TimeMatch=TimeSpan.Parse("</v>
      </c>
      <c r="H586" s="9">
        <f>Matchs!D587</f>
        <v>0.60416666666666663</v>
      </c>
      <c r="I586" t="str">
        <f t="shared" si="175"/>
        <v>"),MatchYear=</v>
      </c>
      <c r="J586">
        <f>Matchs!E587</f>
        <v>2002</v>
      </c>
      <c r="K586" t="str">
        <f t="shared" si="176"/>
        <v>, SeasonId= "</v>
      </c>
      <c r="L586" t="str">
        <f>Matchs!F587</f>
        <v>FIFAWC2002</v>
      </c>
      <c r="M586" t="str">
        <f t="shared" si="177"/>
        <v>",Round= "</v>
      </c>
      <c r="N586" t="str">
        <f>Matchs!G587</f>
        <v>Final Round</v>
      </c>
      <c r="O586" s="6" t="str">
        <f t="shared" si="178"/>
        <v>",Stage= "</v>
      </c>
      <c r="P586" t="str">
        <f>Matchs!H587</f>
        <v>Group</v>
      </c>
      <c r="Q586" s="6" t="str">
        <f t="shared" si="179"/>
        <v>",SubStage= "</v>
      </c>
      <c r="R586" t="str">
        <f>Matchs!I587</f>
        <v xml:space="preserve">Group B </v>
      </c>
      <c r="S586" s="6" t="str">
        <f t="shared" si="180"/>
        <v>",HTeam= "</v>
      </c>
      <c r="T586" t="str">
        <f>Matchs!J587</f>
        <v>Paraguay</v>
      </c>
      <c r="U586" s="6" t="str">
        <f t="shared" si="181"/>
        <v>",HGoal=</v>
      </c>
      <c r="V586">
        <f>Matchs!K587</f>
        <v>2</v>
      </c>
      <c r="W586" s="6" t="str">
        <f t="shared" si="182"/>
        <v>,GGoal=</v>
      </c>
      <c r="X586">
        <f>Matchs!L587</f>
        <v>2</v>
      </c>
      <c r="Y586" s="6" t="str">
        <f t="shared" si="183"/>
        <v>,GTeam= "</v>
      </c>
      <c r="Z586" t="str">
        <f>Matchs!M587</f>
        <v>South Africa</v>
      </c>
      <c r="AA586" s="6" t="str">
        <f t="shared" si="184"/>
        <v>",WinNote="</v>
      </c>
      <c r="AB586" t="str">
        <f>IF(Matchs!N587="","",Matchs!N587)</f>
        <v/>
      </c>
      <c r="AC586" s="6" t="str">
        <f t="shared" si="185"/>
        <v xml:space="preserve">",Stadium=" </v>
      </c>
      <c r="AD586" s="11" t="str">
        <f>Matchs!O587</f>
        <v xml:space="preserve">Busan Asiad Main Stadium </v>
      </c>
      <c r="AE586" s="6" t="str">
        <f t="shared" si="186"/>
        <v>",Referee= "</v>
      </c>
      <c r="AF586" s="11" t="str">
        <f>Matchs!P587</f>
        <v xml:space="preserve">Lubos Michel </v>
      </c>
      <c r="AG586" s="6" t="str">
        <f t="shared" si="187"/>
        <v xml:space="preserve">",Visistors= </v>
      </c>
      <c r="AH586" s="11">
        <f>Matchs!Q587</f>
        <v>25186</v>
      </c>
      <c r="AI586" s="11" t="str">
        <f t="shared" si="188"/>
        <v>,Status= "</v>
      </c>
      <c r="AJ586" s="11" t="str">
        <f>Matchs!R587</f>
        <v>Finished</v>
      </c>
      <c r="AK586" t="str">
        <f t="shared" si="189"/>
        <v>" },</v>
      </c>
    </row>
    <row r="587" spans="1:37" x14ac:dyDescent="0.25">
      <c r="A587" t="str">
        <f t="shared" si="171"/>
        <v>new Match { MatchId= "</v>
      </c>
      <c r="B587" t="str">
        <f>Matchs!A588</f>
        <v>FIFAWC2002-7</v>
      </c>
      <c r="C587" t="str">
        <f t="shared" si="172"/>
        <v>",MatchNumer=</v>
      </c>
      <c r="D587">
        <f>Matchs!B588</f>
        <v>7</v>
      </c>
      <c r="E587" t="str">
        <f t="shared" si="173"/>
        <v>,DateMatch=DateTime.Parse("</v>
      </c>
      <c r="F587" s="3">
        <f>Matchs!C588</f>
        <v>37409</v>
      </c>
      <c r="G587" s="10" t="str">
        <f t="shared" si="174"/>
        <v>"),TimeMatch=TimeSpan.Parse("</v>
      </c>
      <c r="H587" s="9">
        <f>Matchs!D588</f>
        <v>0.6875</v>
      </c>
      <c r="I587" t="str">
        <f t="shared" si="175"/>
        <v>"),MatchYear=</v>
      </c>
      <c r="J587">
        <f>Matchs!E588</f>
        <v>2002</v>
      </c>
      <c r="K587" t="str">
        <f t="shared" si="176"/>
        <v>, SeasonId= "</v>
      </c>
      <c r="L587" t="str">
        <f>Matchs!F588</f>
        <v>FIFAWC2002</v>
      </c>
      <c r="M587" t="str">
        <f t="shared" si="177"/>
        <v>",Round= "</v>
      </c>
      <c r="N587" t="str">
        <f>Matchs!G588</f>
        <v>Final Round</v>
      </c>
      <c r="O587" s="6" t="str">
        <f t="shared" si="178"/>
        <v>",Stage= "</v>
      </c>
      <c r="P587" t="str">
        <f>Matchs!H588</f>
        <v>Group</v>
      </c>
      <c r="Q587" s="6" t="str">
        <f t="shared" si="179"/>
        <v>",SubStage= "</v>
      </c>
      <c r="R587" t="str">
        <f>Matchs!I588</f>
        <v xml:space="preserve">Group F </v>
      </c>
      <c r="S587" s="6" t="str">
        <f t="shared" si="180"/>
        <v>",HTeam= "</v>
      </c>
      <c r="T587" t="str">
        <f>Matchs!J588</f>
        <v>England</v>
      </c>
      <c r="U587" s="6" t="str">
        <f t="shared" si="181"/>
        <v>",HGoal=</v>
      </c>
      <c r="V587">
        <f>Matchs!K588</f>
        <v>1</v>
      </c>
      <c r="W587" s="6" t="str">
        <f t="shared" si="182"/>
        <v>,GGoal=</v>
      </c>
      <c r="X587">
        <f>Matchs!L588</f>
        <v>1</v>
      </c>
      <c r="Y587" s="6" t="str">
        <f t="shared" si="183"/>
        <v>,GTeam= "</v>
      </c>
      <c r="Z587" t="str">
        <f>Matchs!M588</f>
        <v>Sweden</v>
      </c>
      <c r="AA587" s="6" t="str">
        <f t="shared" si="184"/>
        <v>",WinNote="</v>
      </c>
      <c r="AB587" t="str">
        <f>IF(Matchs!N588="","",Matchs!N588)</f>
        <v/>
      </c>
      <c r="AC587" s="6" t="str">
        <f t="shared" si="185"/>
        <v xml:space="preserve">",Stadium=" </v>
      </c>
      <c r="AD587" s="11" t="str">
        <f>Matchs!O588</f>
        <v xml:space="preserve">Saitama Stadium 2002 </v>
      </c>
      <c r="AE587" s="6" t="str">
        <f t="shared" si="186"/>
        <v>",Referee= "</v>
      </c>
      <c r="AF587" s="11" t="str">
        <f>Matchs!P588</f>
        <v xml:space="preserve">Carlos Simon </v>
      </c>
      <c r="AG587" s="6" t="str">
        <f t="shared" si="187"/>
        <v xml:space="preserve">",Visistors= </v>
      </c>
      <c r="AH587" s="11">
        <f>Matchs!Q588</f>
        <v>52721</v>
      </c>
      <c r="AI587" s="11" t="str">
        <f t="shared" si="188"/>
        <v>,Status= "</v>
      </c>
      <c r="AJ587" s="11" t="str">
        <f>Matchs!R588</f>
        <v>Finished</v>
      </c>
      <c r="AK587" t="str">
        <f t="shared" si="189"/>
        <v>" },</v>
      </c>
    </row>
    <row r="588" spans="1:37" x14ac:dyDescent="0.25">
      <c r="A588" t="str">
        <f t="shared" si="171"/>
        <v>new Match { MatchId= "</v>
      </c>
      <c r="B588" t="str">
        <f>Matchs!A589</f>
        <v>FIFAWC2002-8</v>
      </c>
      <c r="C588" t="str">
        <f t="shared" si="172"/>
        <v>",MatchNumer=</v>
      </c>
      <c r="D588">
        <f>Matchs!B589</f>
        <v>8</v>
      </c>
      <c r="E588" t="str">
        <f t="shared" si="173"/>
        <v>,DateMatch=DateTime.Parse("</v>
      </c>
      <c r="F588" s="3">
        <f>Matchs!C589</f>
        <v>37409</v>
      </c>
      <c r="G588" s="10" t="str">
        <f t="shared" si="174"/>
        <v>"),TimeMatch=TimeSpan.Parse("</v>
      </c>
      <c r="H588" s="9">
        <f>Matchs!D589</f>
        <v>0.77083333333333337</v>
      </c>
      <c r="I588" t="str">
        <f t="shared" si="175"/>
        <v>"),MatchYear=</v>
      </c>
      <c r="J588">
        <f>Matchs!E589</f>
        <v>2002</v>
      </c>
      <c r="K588" t="str">
        <f t="shared" si="176"/>
        <v>, SeasonId= "</v>
      </c>
      <c r="L588" t="str">
        <f>Matchs!F589</f>
        <v>FIFAWC2002</v>
      </c>
      <c r="M588" t="str">
        <f t="shared" si="177"/>
        <v>",Round= "</v>
      </c>
      <c r="N588" t="str">
        <f>Matchs!G589</f>
        <v>Final Round</v>
      </c>
      <c r="O588" s="6" t="str">
        <f t="shared" si="178"/>
        <v>",Stage= "</v>
      </c>
      <c r="P588" t="str">
        <f>Matchs!H589</f>
        <v>Group</v>
      </c>
      <c r="Q588" s="6" t="str">
        <f t="shared" si="179"/>
        <v>",SubStage= "</v>
      </c>
      <c r="R588" t="str">
        <f>Matchs!I589</f>
        <v xml:space="preserve">Group B </v>
      </c>
      <c r="S588" s="6" t="str">
        <f t="shared" si="180"/>
        <v>",HTeam= "</v>
      </c>
      <c r="T588" t="str">
        <f>Matchs!J589</f>
        <v>Spain</v>
      </c>
      <c r="U588" s="6" t="str">
        <f t="shared" si="181"/>
        <v>",HGoal=</v>
      </c>
      <c r="V588">
        <f>Matchs!K589</f>
        <v>3</v>
      </c>
      <c r="W588" s="6" t="str">
        <f t="shared" si="182"/>
        <v>,GGoal=</v>
      </c>
      <c r="X588">
        <f>Matchs!L589</f>
        <v>1</v>
      </c>
      <c r="Y588" s="6" t="str">
        <f t="shared" si="183"/>
        <v>,GTeam= "</v>
      </c>
      <c r="Z588" t="str">
        <f>Matchs!M589</f>
        <v>Slovenia</v>
      </c>
      <c r="AA588" s="6" t="str">
        <f t="shared" si="184"/>
        <v>",WinNote="</v>
      </c>
      <c r="AB588" t="str">
        <f>IF(Matchs!N589="","",Matchs!N589)</f>
        <v/>
      </c>
      <c r="AC588" s="6" t="str">
        <f t="shared" si="185"/>
        <v xml:space="preserve">",Stadium=" </v>
      </c>
      <c r="AD588" s="11" t="str">
        <f>Matchs!O589</f>
        <v xml:space="preserve">Gwangju World Cup Stadium </v>
      </c>
      <c r="AE588" s="6" t="str">
        <f t="shared" si="186"/>
        <v>",Referee= "</v>
      </c>
      <c r="AF588" s="11" t="str">
        <f>Matchs!P589</f>
        <v xml:space="preserve">Mohamed Guezzaz </v>
      </c>
      <c r="AG588" s="6" t="str">
        <f t="shared" si="187"/>
        <v xml:space="preserve">",Visistors= </v>
      </c>
      <c r="AH588" s="11">
        <f>Matchs!Q589</f>
        <v>28598</v>
      </c>
      <c r="AI588" s="11" t="str">
        <f t="shared" si="188"/>
        <v>,Status= "</v>
      </c>
      <c r="AJ588" s="11" t="str">
        <f>Matchs!R589</f>
        <v>Finished</v>
      </c>
      <c r="AK588" t="str">
        <f t="shared" si="189"/>
        <v>" },</v>
      </c>
    </row>
    <row r="589" spans="1:37" x14ac:dyDescent="0.25">
      <c r="A589" t="str">
        <f t="shared" si="171"/>
        <v>new Match { MatchId= "</v>
      </c>
      <c r="B589" t="str">
        <f>Matchs!A590</f>
        <v>FIFAWC2002-9</v>
      </c>
      <c r="C589" t="str">
        <f t="shared" si="172"/>
        <v>",MatchNumer=</v>
      </c>
      <c r="D589">
        <f>Matchs!B590</f>
        <v>9</v>
      </c>
      <c r="E589" t="str">
        <f t="shared" si="173"/>
        <v>,DateMatch=DateTime.Parse("</v>
      </c>
      <c r="F589" s="3">
        <f>Matchs!C590</f>
        <v>37410</v>
      </c>
      <c r="G589" s="10" t="str">
        <f t="shared" si="174"/>
        <v>"),TimeMatch=TimeSpan.Parse("</v>
      </c>
      <c r="H589" s="9">
        <f>Matchs!D590</f>
        <v>0.5625</v>
      </c>
      <c r="I589" t="str">
        <f t="shared" si="175"/>
        <v>"),MatchYear=</v>
      </c>
      <c r="J589">
        <f>Matchs!E590</f>
        <v>2002</v>
      </c>
      <c r="K589" t="str">
        <f t="shared" si="176"/>
        <v>, SeasonId= "</v>
      </c>
      <c r="L589" t="str">
        <f>Matchs!F590</f>
        <v>FIFAWC2002</v>
      </c>
      <c r="M589" t="str">
        <f t="shared" si="177"/>
        <v>",Round= "</v>
      </c>
      <c r="N589" t="str">
        <f>Matchs!G590</f>
        <v>Final Round</v>
      </c>
      <c r="O589" s="6" t="str">
        <f t="shared" si="178"/>
        <v>",Stage= "</v>
      </c>
      <c r="P589" t="str">
        <f>Matchs!H590</f>
        <v>Group</v>
      </c>
      <c r="Q589" s="6" t="str">
        <f t="shared" si="179"/>
        <v>",SubStage= "</v>
      </c>
      <c r="R589" t="str">
        <f>Matchs!I590</f>
        <v xml:space="preserve">Group G </v>
      </c>
      <c r="S589" s="6" t="str">
        <f t="shared" si="180"/>
        <v>",HTeam= "</v>
      </c>
      <c r="T589" t="str">
        <f>Matchs!J590</f>
        <v>Croatia</v>
      </c>
      <c r="U589" s="6" t="str">
        <f t="shared" si="181"/>
        <v>",HGoal=</v>
      </c>
      <c r="V589">
        <f>Matchs!K590</f>
        <v>0</v>
      </c>
      <c r="W589" s="6" t="str">
        <f t="shared" si="182"/>
        <v>,GGoal=</v>
      </c>
      <c r="X589">
        <f>Matchs!L590</f>
        <v>1</v>
      </c>
      <c r="Y589" s="6" t="str">
        <f t="shared" si="183"/>
        <v>,GTeam= "</v>
      </c>
      <c r="Z589" t="str">
        <f>Matchs!M590</f>
        <v>Mexico</v>
      </c>
      <c r="AA589" s="6" t="str">
        <f t="shared" si="184"/>
        <v>",WinNote="</v>
      </c>
      <c r="AB589" t="str">
        <f>IF(Matchs!N590="","",Matchs!N590)</f>
        <v/>
      </c>
      <c r="AC589" s="6" t="str">
        <f t="shared" si="185"/>
        <v xml:space="preserve">",Stadium=" </v>
      </c>
      <c r="AD589" s="11" t="str">
        <f>Matchs!O590</f>
        <v xml:space="preserve">Tohoku Electric Power Big S... </v>
      </c>
      <c r="AE589" s="6" t="str">
        <f t="shared" si="186"/>
        <v>",Referee= "</v>
      </c>
      <c r="AF589" s="11" t="str">
        <f>Matchs!P590</f>
        <v xml:space="preserve">Lu Jun </v>
      </c>
      <c r="AG589" s="6" t="str">
        <f t="shared" si="187"/>
        <v xml:space="preserve">",Visistors= </v>
      </c>
      <c r="AH589" s="11">
        <f>Matchs!Q590</f>
        <v>32239</v>
      </c>
      <c r="AI589" s="11" t="str">
        <f t="shared" si="188"/>
        <v>,Status= "</v>
      </c>
      <c r="AJ589" s="11" t="str">
        <f>Matchs!R590</f>
        <v>Finished</v>
      </c>
      <c r="AK589" t="str">
        <f t="shared" si="189"/>
        <v>" },</v>
      </c>
    </row>
    <row r="590" spans="1:37" x14ac:dyDescent="0.25">
      <c r="A590" t="str">
        <f t="shared" si="171"/>
        <v>new Match { MatchId= "</v>
      </c>
      <c r="B590" t="str">
        <f>Matchs!A591</f>
        <v>FIFAWC2002-10</v>
      </c>
      <c r="C590" t="str">
        <f t="shared" si="172"/>
        <v>",MatchNumer=</v>
      </c>
      <c r="D590">
        <f>Matchs!B591</f>
        <v>10</v>
      </c>
      <c r="E590" t="str">
        <f t="shared" si="173"/>
        <v>,DateMatch=DateTime.Parse("</v>
      </c>
      <c r="F590" s="3">
        <f>Matchs!C591</f>
        <v>37410</v>
      </c>
      <c r="G590" s="10" t="str">
        <f t="shared" si="174"/>
        <v>"),TimeMatch=TimeSpan.Parse("</v>
      </c>
      <c r="H590" s="9">
        <f>Matchs!D591</f>
        <v>0.66666666666666663</v>
      </c>
      <c r="I590" t="str">
        <f t="shared" si="175"/>
        <v>"),MatchYear=</v>
      </c>
      <c r="J590">
        <f>Matchs!E591</f>
        <v>2002</v>
      </c>
      <c r="K590" t="str">
        <f t="shared" si="176"/>
        <v>, SeasonId= "</v>
      </c>
      <c r="L590" t="str">
        <f>Matchs!F591</f>
        <v>FIFAWC2002</v>
      </c>
      <c r="M590" t="str">
        <f t="shared" si="177"/>
        <v>",Round= "</v>
      </c>
      <c r="N590" t="str">
        <f>Matchs!G591</f>
        <v>Final Round</v>
      </c>
      <c r="O590" s="6" t="str">
        <f t="shared" si="178"/>
        <v>",Stage= "</v>
      </c>
      <c r="P590" t="str">
        <f>Matchs!H591</f>
        <v>Group</v>
      </c>
      <c r="Q590" s="6" t="str">
        <f t="shared" si="179"/>
        <v>",SubStage= "</v>
      </c>
      <c r="R590" t="str">
        <f>Matchs!I591</f>
        <v xml:space="preserve">Group C </v>
      </c>
      <c r="S590" s="6" t="str">
        <f t="shared" si="180"/>
        <v>",HTeam= "</v>
      </c>
      <c r="T590" t="str">
        <f>Matchs!J591</f>
        <v>Brazil</v>
      </c>
      <c r="U590" s="6" t="str">
        <f t="shared" si="181"/>
        <v>",HGoal=</v>
      </c>
      <c r="V590">
        <f>Matchs!K591</f>
        <v>2</v>
      </c>
      <c r="W590" s="6" t="str">
        <f t="shared" si="182"/>
        <v>,GGoal=</v>
      </c>
      <c r="X590">
        <f>Matchs!L591</f>
        <v>1</v>
      </c>
      <c r="Y590" s="6" t="str">
        <f t="shared" si="183"/>
        <v>,GTeam= "</v>
      </c>
      <c r="Z590" t="str">
        <f>Matchs!M591</f>
        <v>Turkey</v>
      </c>
      <c r="AA590" s="6" t="str">
        <f t="shared" si="184"/>
        <v>",WinNote="</v>
      </c>
      <c r="AB590" t="str">
        <f>IF(Matchs!N591="","",Matchs!N591)</f>
        <v/>
      </c>
      <c r="AC590" s="6" t="str">
        <f t="shared" si="185"/>
        <v xml:space="preserve">",Stadium=" </v>
      </c>
      <c r="AD590" s="11" t="str">
        <f>Matchs!O591</f>
        <v xml:space="preserve">Ulsan Munsu Football Stadium </v>
      </c>
      <c r="AE590" s="6" t="str">
        <f t="shared" si="186"/>
        <v>",Referee= "</v>
      </c>
      <c r="AF590" s="11" t="str">
        <f>Matchs!P591</f>
        <v xml:space="preserve">Kim Young-Joo </v>
      </c>
      <c r="AG590" s="6" t="str">
        <f t="shared" si="187"/>
        <v xml:space="preserve">",Visistors= </v>
      </c>
      <c r="AH590" s="11">
        <f>Matchs!Q591</f>
        <v>33842</v>
      </c>
      <c r="AI590" s="11" t="str">
        <f t="shared" si="188"/>
        <v>,Status= "</v>
      </c>
      <c r="AJ590" s="11" t="str">
        <f>Matchs!R591</f>
        <v>Finished</v>
      </c>
      <c r="AK590" t="str">
        <f t="shared" si="189"/>
        <v>" },</v>
      </c>
    </row>
    <row r="591" spans="1:37" x14ac:dyDescent="0.25">
      <c r="A591" t="str">
        <f t="shared" si="171"/>
        <v>new Match { MatchId= "</v>
      </c>
      <c r="B591" t="str">
        <f>Matchs!A592</f>
        <v>FIFAWC2002-11</v>
      </c>
      <c r="C591" t="str">
        <f t="shared" si="172"/>
        <v>",MatchNumer=</v>
      </c>
      <c r="D591">
        <f>Matchs!B592</f>
        <v>11</v>
      </c>
      <c r="E591" t="str">
        <f t="shared" si="173"/>
        <v>,DateMatch=DateTime.Parse("</v>
      </c>
      <c r="F591" s="3">
        <f>Matchs!C592</f>
        <v>37410</v>
      </c>
      <c r="G591" s="10" t="str">
        <f t="shared" si="174"/>
        <v>"),TimeMatch=TimeSpan.Parse("</v>
      </c>
      <c r="H591" s="9">
        <f>Matchs!D592</f>
        <v>0.77083333333333337</v>
      </c>
      <c r="I591" t="str">
        <f t="shared" si="175"/>
        <v>"),MatchYear=</v>
      </c>
      <c r="J591">
        <f>Matchs!E592</f>
        <v>2002</v>
      </c>
      <c r="K591" t="str">
        <f t="shared" si="176"/>
        <v>, SeasonId= "</v>
      </c>
      <c r="L591" t="str">
        <f>Matchs!F592</f>
        <v>FIFAWC2002</v>
      </c>
      <c r="M591" t="str">
        <f t="shared" si="177"/>
        <v>",Round= "</v>
      </c>
      <c r="N591" t="str">
        <f>Matchs!G592</f>
        <v>Final Round</v>
      </c>
      <c r="O591" s="6" t="str">
        <f t="shared" si="178"/>
        <v>",Stage= "</v>
      </c>
      <c r="P591" t="str">
        <f>Matchs!H592</f>
        <v>Group</v>
      </c>
      <c r="Q591" s="6" t="str">
        <f t="shared" si="179"/>
        <v>",SubStage= "</v>
      </c>
      <c r="R591" t="str">
        <f>Matchs!I592</f>
        <v xml:space="preserve">Group G </v>
      </c>
      <c r="S591" s="6" t="str">
        <f t="shared" si="180"/>
        <v>",HTeam= "</v>
      </c>
      <c r="T591" t="str">
        <f>Matchs!J592</f>
        <v>Italy</v>
      </c>
      <c r="U591" s="6" t="str">
        <f t="shared" si="181"/>
        <v>",HGoal=</v>
      </c>
      <c r="V591">
        <f>Matchs!K592</f>
        <v>2</v>
      </c>
      <c r="W591" s="6" t="str">
        <f t="shared" si="182"/>
        <v>,GGoal=</v>
      </c>
      <c r="X591">
        <f>Matchs!L592</f>
        <v>0</v>
      </c>
      <c r="Y591" s="6" t="str">
        <f t="shared" si="183"/>
        <v>,GTeam= "</v>
      </c>
      <c r="Z591" t="str">
        <f>Matchs!M592</f>
        <v>Ecuador</v>
      </c>
      <c r="AA591" s="6" t="str">
        <f t="shared" si="184"/>
        <v>",WinNote="</v>
      </c>
      <c r="AB591" t="str">
        <f>IF(Matchs!N592="","",Matchs!N592)</f>
        <v/>
      </c>
      <c r="AC591" s="6" t="str">
        <f t="shared" si="185"/>
        <v xml:space="preserve">",Stadium=" </v>
      </c>
      <c r="AD591" s="11" t="str">
        <f>Matchs!O592</f>
        <v xml:space="preserve">Sapporo Dome </v>
      </c>
      <c r="AE591" s="6" t="str">
        <f t="shared" si="186"/>
        <v>",Referee= "</v>
      </c>
      <c r="AF591" s="11" t="str">
        <f>Matchs!P592</f>
        <v xml:space="preserve">Brian Hall </v>
      </c>
      <c r="AG591" s="6" t="str">
        <f t="shared" si="187"/>
        <v xml:space="preserve">",Visistors= </v>
      </c>
      <c r="AH591" s="11">
        <f>Matchs!Q592</f>
        <v>31081</v>
      </c>
      <c r="AI591" s="11" t="str">
        <f t="shared" si="188"/>
        <v>,Status= "</v>
      </c>
      <c r="AJ591" s="11" t="str">
        <f>Matchs!R592</f>
        <v>Finished</v>
      </c>
      <c r="AK591" t="str">
        <f t="shared" si="189"/>
        <v>" },</v>
      </c>
    </row>
    <row r="592" spans="1:37" x14ac:dyDescent="0.25">
      <c r="A592" t="str">
        <f t="shared" si="171"/>
        <v>new Match { MatchId= "</v>
      </c>
      <c r="B592" t="str">
        <f>Matchs!A593</f>
        <v>FIFAWC2002-12</v>
      </c>
      <c r="C592" t="str">
        <f t="shared" si="172"/>
        <v>",MatchNumer=</v>
      </c>
      <c r="D592">
        <f>Matchs!B593</f>
        <v>12</v>
      </c>
      <c r="E592" t="str">
        <f t="shared" si="173"/>
        <v>,DateMatch=DateTime.Parse("</v>
      </c>
      <c r="F592" s="3">
        <f>Matchs!C593</f>
        <v>37411</v>
      </c>
      <c r="G592" s="10" t="str">
        <f t="shared" si="174"/>
        <v>"),TimeMatch=TimeSpan.Parse("</v>
      </c>
      <c r="H592" s="9">
        <f>Matchs!D593</f>
        <v>0.5625</v>
      </c>
      <c r="I592" t="str">
        <f t="shared" si="175"/>
        <v>"),MatchYear=</v>
      </c>
      <c r="J592">
        <f>Matchs!E593</f>
        <v>2002</v>
      </c>
      <c r="K592" t="str">
        <f t="shared" si="176"/>
        <v>, SeasonId= "</v>
      </c>
      <c r="L592" t="str">
        <f>Matchs!F593</f>
        <v>FIFAWC2002</v>
      </c>
      <c r="M592" t="str">
        <f t="shared" si="177"/>
        <v>",Round= "</v>
      </c>
      <c r="N592" t="str">
        <f>Matchs!G593</f>
        <v>Final Round</v>
      </c>
      <c r="O592" s="6" t="str">
        <f t="shared" si="178"/>
        <v>",Stage= "</v>
      </c>
      <c r="P592" t="str">
        <f>Matchs!H593</f>
        <v>Group</v>
      </c>
      <c r="Q592" s="6" t="str">
        <f t="shared" si="179"/>
        <v>",SubStage= "</v>
      </c>
      <c r="R592" t="str">
        <f>Matchs!I593</f>
        <v xml:space="preserve">Group C </v>
      </c>
      <c r="S592" s="6" t="str">
        <f t="shared" si="180"/>
        <v>",HTeam= "</v>
      </c>
      <c r="T592" t="str">
        <f>Matchs!J593</f>
        <v>China</v>
      </c>
      <c r="U592" s="6" t="str">
        <f t="shared" si="181"/>
        <v>",HGoal=</v>
      </c>
      <c r="V592">
        <f>Matchs!K593</f>
        <v>0</v>
      </c>
      <c r="W592" s="6" t="str">
        <f t="shared" si="182"/>
        <v>,GGoal=</v>
      </c>
      <c r="X592">
        <f>Matchs!L593</f>
        <v>2</v>
      </c>
      <c r="Y592" s="6" t="str">
        <f t="shared" si="183"/>
        <v>,GTeam= "</v>
      </c>
      <c r="Z592" t="str">
        <f>Matchs!M593</f>
        <v>Costa Rica</v>
      </c>
      <c r="AA592" s="6" t="str">
        <f t="shared" si="184"/>
        <v>",WinNote="</v>
      </c>
      <c r="AB592" t="str">
        <f>IF(Matchs!N593="","",Matchs!N593)</f>
        <v/>
      </c>
      <c r="AC592" s="6" t="str">
        <f t="shared" si="185"/>
        <v xml:space="preserve">",Stadium=" </v>
      </c>
      <c r="AD592" s="11" t="str">
        <f>Matchs!O593</f>
        <v xml:space="preserve">Gwangju World Cup Stadium </v>
      </c>
      <c r="AE592" s="6" t="str">
        <f t="shared" si="186"/>
        <v>",Referee= "</v>
      </c>
      <c r="AF592" s="11" t="str">
        <f>Matchs!P593</f>
        <v xml:space="preserve">Kyros Vassaras </v>
      </c>
      <c r="AG592" s="6" t="str">
        <f t="shared" si="187"/>
        <v xml:space="preserve">",Visistors= </v>
      </c>
      <c r="AH592" s="11">
        <f>Matchs!Q593</f>
        <v>27217</v>
      </c>
      <c r="AI592" s="11" t="str">
        <f t="shared" si="188"/>
        <v>,Status= "</v>
      </c>
      <c r="AJ592" s="11" t="str">
        <f>Matchs!R593</f>
        <v>Finished</v>
      </c>
      <c r="AK592" t="str">
        <f t="shared" si="189"/>
        <v>" },</v>
      </c>
    </row>
    <row r="593" spans="1:37" x14ac:dyDescent="0.25">
      <c r="A593" t="str">
        <f t="shared" si="171"/>
        <v>new Match { MatchId= "</v>
      </c>
      <c r="B593" t="str">
        <f>Matchs!A594</f>
        <v>FIFAWC2002-13</v>
      </c>
      <c r="C593" t="str">
        <f t="shared" si="172"/>
        <v>",MatchNumer=</v>
      </c>
      <c r="D593">
        <f>Matchs!B594</f>
        <v>13</v>
      </c>
      <c r="E593" t="str">
        <f t="shared" si="173"/>
        <v>,DateMatch=DateTime.Parse("</v>
      </c>
      <c r="F593" s="3">
        <f>Matchs!C594</f>
        <v>37411</v>
      </c>
      <c r="G593" s="10" t="str">
        <f t="shared" si="174"/>
        <v>"),TimeMatch=TimeSpan.Parse("</v>
      </c>
      <c r="H593" s="9">
        <f>Matchs!D594</f>
        <v>0.66666666666666663</v>
      </c>
      <c r="I593" t="str">
        <f t="shared" si="175"/>
        <v>"),MatchYear=</v>
      </c>
      <c r="J593">
        <f>Matchs!E594</f>
        <v>2002</v>
      </c>
      <c r="K593" t="str">
        <f t="shared" si="176"/>
        <v>, SeasonId= "</v>
      </c>
      <c r="L593" t="str">
        <f>Matchs!F594</f>
        <v>FIFAWC2002</v>
      </c>
      <c r="M593" t="str">
        <f t="shared" si="177"/>
        <v>",Round= "</v>
      </c>
      <c r="N593" t="str">
        <f>Matchs!G594</f>
        <v>Final Round</v>
      </c>
      <c r="O593" s="6" t="str">
        <f t="shared" si="178"/>
        <v>",Stage= "</v>
      </c>
      <c r="P593" t="str">
        <f>Matchs!H594</f>
        <v>Group</v>
      </c>
      <c r="Q593" s="6" t="str">
        <f t="shared" si="179"/>
        <v>",SubStage= "</v>
      </c>
      <c r="R593" t="str">
        <f>Matchs!I594</f>
        <v xml:space="preserve">Group H </v>
      </c>
      <c r="S593" s="6" t="str">
        <f t="shared" si="180"/>
        <v>",HTeam= "</v>
      </c>
      <c r="T593" t="str">
        <f>Matchs!J594</f>
        <v>Japan</v>
      </c>
      <c r="U593" s="6" t="str">
        <f t="shared" si="181"/>
        <v>",HGoal=</v>
      </c>
      <c r="V593">
        <f>Matchs!K594</f>
        <v>2</v>
      </c>
      <c r="W593" s="6" t="str">
        <f t="shared" si="182"/>
        <v>,GGoal=</v>
      </c>
      <c r="X593">
        <f>Matchs!L594</f>
        <v>2</v>
      </c>
      <c r="Y593" s="6" t="str">
        <f t="shared" si="183"/>
        <v>,GTeam= "</v>
      </c>
      <c r="Z593" t="str">
        <f>Matchs!M594</f>
        <v>Belgium</v>
      </c>
      <c r="AA593" s="6" t="str">
        <f t="shared" si="184"/>
        <v>",WinNote="</v>
      </c>
      <c r="AB593" t="str">
        <f>IF(Matchs!N594="","",Matchs!N594)</f>
        <v/>
      </c>
      <c r="AC593" s="6" t="str">
        <f t="shared" si="185"/>
        <v xml:space="preserve">",Stadium=" </v>
      </c>
      <c r="AD593" s="11" t="str">
        <f>Matchs!O594</f>
        <v xml:space="preserve">Saitama Stadium 2002 </v>
      </c>
      <c r="AE593" s="6" t="str">
        <f t="shared" si="186"/>
        <v>",Referee= "</v>
      </c>
      <c r="AF593" s="11" t="str">
        <f>Matchs!P594</f>
        <v xml:space="preserve">William Mattus </v>
      </c>
      <c r="AG593" s="6" t="str">
        <f t="shared" si="187"/>
        <v xml:space="preserve">",Visistors= </v>
      </c>
      <c r="AH593" s="11">
        <f>Matchs!Q594</f>
        <v>55256</v>
      </c>
      <c r="AI593" s="11" t="str">
        <f t="shared" si="188"/>
        <v>,Status= "</v>
      </c>
      <c r="AJ593" s="11" t="str">
        <f>Matchs!R594</f>
        <v>Finished</v>
      </c>
      <c r="AK593" t="str">
        <f t="shared" si="189"/>
        <v>" },</v>
      </c>
    </row>
    <row r="594" spans="1:37" x14ac:dyDescent="0.25">
      <c r="A594" t="str">
        <f t="shared" si="171"/>
        <v>new Match { MatchId= "</v>
      </c>
      <c r="B594" t="str">
        <f>Matchs!A595</f>
        <v>FIFAWC2002-14</v>
      </c>
      <c r="C594" t="str">
        <f t="shared" si="172"/>
        <v>",MatchNumer=</v>
      </c>
      <c r="D594">
        <f>Matchs!B595</f>
        <v>14</v>
      </c>
      <c r="E594" t="str">
        <f t="shared" si="173"/>
        <v>,DateMatch=DateTime.Parse("</v>
      </c>
      <c r="F594" s="3">
        <f>Matchs!C595</f>
        <v>37411</v>
      </c>
      <c r="G594" s="10" t="str">
        <f t="shared" si="174"/>
        <v>"),TimeMatch=TimeSpan.Parse("</v>
      </c>
      <c r="H594" s="9">
        <f>Matchs!D595</f>
        <v>0.77083333333333337</v>
      </c>
      <c r="I594" t="str">
        <f t="shared" si="175"/>
        <v>"),MatchYear=</v>
      </c>
      <c r="J594">
        <f>Matchs!E595</f>
        <v>2002</v>
      </c>
      <c r="K594" t="str">
        <f t="shared" si="176"/>
        <v>, SeasonId= "</v>
      </c>
      <c r="L594" t="str">
        <f>Matchs!F595</f>
        <v>FIFAWC2002</v>
      </c>
      <c r="M594" t="str">
        <f t="shared" si="177"/>
        <v>",Round= "</v>
      </c>
      <c r="N594" t="str">
        <f>Matchs!G595</f>
        <v>Final Round</v>
      </c>
      <c r="O594" s="6" t="str">
        <f t="shared" si="178"/>
        <v>",Stage= "</v>
      </c>
      <c r="P594" t="str">
        <f>Matchs!H595</f>
        <v>Group</v>
      </c>
      <c r="Q594" s="6" t="str">
        <f t="shared" si="179"/>
        <v>",SubStage= "</v>
      </c>
      <c r="R594" t="str">
        <f>Matchs!I595</f>
        <v xml:space="preserve">Group D </v>
      </c>
      <c r="S594" s="6" t="str">
        <f t="shared" si="180"/>
        <v>",HTeam= "</v>
      </c>
      <c r="T594" t="str">
        <f>Matchs!J595</f>
        <v>Poland</v>
      </c>
      <c r="U594" s="6" t="str">
        <f t="shared" si="181"/>
        <v>",HGoal=</v>
      </c>
      <c r="V594">
        <f>Matchs!K595</f>
        <v>0</v>
      </c>
      <c r="W594" s="6" t="str">
        <f t="shared" si="182"/>
        <v>,GGoal=</v>
      </c>
      <c r="X594">
        <f>Matchs!L595</f>
        <v>2</v>
      </c>
      <c r="Y594" s="6" t="str">
        <f t="shared" si="183"/>
        <v>,GTeam= "</v>
      </c>
      <c r="Z594" t="str">
        <f>Matchs!M595</f>
        <v>South Korea</v>
      </c>
      <c r="AA594" s="6" t="str">
        <f t="shared" si="184"/>
        <v>",WinNote="</v>
      </c>
      <c r="AB594" t="str">
        <f>IF(Matchs!N595="","",Matchs!N595)</f>
        <v/>
      </c>
      <c r="AC594" s="6" t="str">
        <f t="shared" si="185"/>
        <v xml:space="preserve">",Stadium=" </v>
      </c>
      <c r="AD594" s="11" t="str">
        <f>Matchs!O595</f>
        <v xml:space="preserve">Busan Asiad Main Stadium </v>
      </c>
      <c r="AE594" s="6" t="str">
        <f t="shared" si="186"/>
        <v>",Referee= "</v>
      </c>
      <c r="AF594" s="11" t="str">
        <f>Matchs!P595</f>
        <v xml:space="preserve">Oscar Ruiz </v>
      </c>
      <c r="AG594" s="6" t="str">
        <f t="shared" si="187"/>
        <v xml:space="preserve">",Visistors= </v>
      </c>
      <c r="AH594" s="11">
        <f>Matchs!Q595</f>
        <v>48760</v>
      </c>
      <c r="AI594" s="11" t="str">
        <f t="shared" si="188"/>
        <v>,Status= "</v>
      </c>
      <c r="AJ594" s="11" t="str">
        <f>Matchs!R595</f>
        <v>Finished</v>
      </c>
      <c r="AK594" t="str">
        <f t="shared" si="189"/>
        <v>" },</v>
      </c>
    </row>
    <row r="595" spans="1:37" x14ac:dyDescent="0.25">
      <c r="A595" t="str">
        <f t="shared" si="171"/>
        <v>new Match { MatchId= "</v>
      </c>
      <c r="B595" t="str">
        <f>Matchs!A596</f>
        <v>FIFAWC2002-15</v>
      </c>
      <c r="C595" t="str">
        <f t="shared" si="172"/>
        <v>",MatchNumer=</v>
      </c>
      <c r="D595">
        <f>Matchs!B596</f>
        <v>15</v>
      </c>
      <c r="E595" t="str">
        <f t="shared" si="173"/>
        <v>,DateMatch=DateTime.Parse("</v>
      </c>
      <c r="F595" s="3">
        <f>Matchs!C596</f>
        <v>37412</v>
      </c>
      <c r="G595" s="10" t="str">
        <f t="shared" si="174"/>
        <v>"),TimeMatch=TimeSpan.Parse("</v>
      </c>
      <c r="H595" s="9">
        <f>Matchs!D596</f>
        <v>0.5625</v>
      </c>
      <c r="I595" t="str">
        <f t="shared" si="175"/>
        <v>"),MatchYear=</v>
      </c>
      <c r="J595">
        <f>Matchs!E596</f>
        <v>2002</v>
      </c>
      <c r="K595" t="str">
        <f t="shared" si="176"/>
        <v>, SeasonId= "</v>
      </c>
      <c r="L595" t="str">
        <f>Matchs!F596</f>
        <v>FIFAWC2002</v>
      </c>
      <c r="M595" t="str">
        <f t="shared" si="177"/>
        <v>",Round= "</v>
      </c>
      <c r="N595" t="str">
        <f>Matchs!G596</f>
        <v>Final Round</v>
      </c>
      <c r="O595" s="6" t="str">
        <f t="shared" si="178"/>
        <v>",Stage= "</v>
      </c>
      <c r="P595" t="str">
        <f>Matchs!H596</f>
        <v>Group</v>
      </c>
      <c r="Q595" s="6" t="str">
        <f t="shared" si="179"/>
        <v>",SubStage= "</v>
      </c>
      <c r="R595" t="str">
        <f>Matchs!I596</f>
        <v xml:space="preserve">Group H </v>
      </c>
      <c r="S595" s="6" t="str">
        <f t="shared" si="180"/>
        <v>",HTeam= "</v>
      </c>
      <c r="T595" t="str">
        <f>Matchs!J596</f>
        <v>Russia</v>
      </c>
      <c r="U595" s="6" t="str">
        <f t="shared" si="181"/>
        <v>",HGoal=</v>
      </c>
      <c r="V595">
        <f>Matchs!K596</f>
        <v>2</v>
      </c>
      <c r="W595" s="6" t="str">
        <f t="shared" si="182"/>
        <v>,GGoal=</v>
      </c>
      <c r="X595">
        <f>Matchs!L596</f>
        <v>0</v>
      </c>
      <c r="Y595" s="6" t="str">
        <f t="shared" si="183"/>
        <v>,GTeam= "</v>
      </c>
      <c r="Z595" t="str">
        <f>Matchs!M596</f>
        <v>Tunisia</v>
      </c>
      <c r="AA595" s="6" t="str">
        <f t="shared" si="184"/>
        <v>",WinNote="</v>
      </c>
      <c r="AB595" t="str">
        <f>IF(Matchs!N596="","",Matchs!N596)</f>
        <v/>
      </c>
      <c r="AC595" s="6" t="str">
        <f t="shared" si="185"/>
        <v xml:space="preserve">",Stadium=" </v>
      </c>
      <c r="AD595" s="11" t="str">
        <f>Matchs!O596</f>
        <v xml:space="preserve">Home's Stadium Kobe </v>
      </c>
      <c r="AE595" s="6" t="str">
        <f t="shared" si="186"/>
        <v>",Referee= "</v>
      </c>
      <c r="AF595" s="11" t="str">
        <f>Matchs!P596</f>
        <v xml:space="preserve">Peter Prendergast </v>
      </c>
      <c r="AG595" s="6" t="str">
        <f t="shared" si="187"/>
        <v xml:space="preserve">",Visistors= </v>
      </c>
      <c r="AH595" s="11">
        <f>Matchs!Q596</f>
        <v>30957</v>
      </c>
      <c r="AI595" s="11" t="str">
        <f t="shared" si="188"/>
        <v>,Status= "</v>
      </c>
      <c r="AJ595" s="11" t="str">
        <f>Matchs!R596</f>
        <v>Finished</v>
      </c>
      <c r="AK595" t="str">
        <f t="shared" si="189"/>
        <v>" },</v>
      </c>
    </row>
    <row r="596" spans="1:37" x14ac:dyDescent="0.25">
      <c r="A596" t="str">
        <f t="shared" si="171"/>
        <v>new Match { MatchId= "</v>
      </c>
      <c r="B596" t="str">
        <f>Matchs!A597</f>
        <v>FIFAWC2002-16</v>
      </c>
      <c r="C596" t="str">
        <f t="shared" si="172"/>
        <v>",MatchNumer=</v>
      </c>
      <c r="D596">
        <f>Matchs!B597</f>
        <v>16</v>
      </c>
      <c r="E596" t="str">
        <f t="shared" si="173"/>
        <v>,DateMatch=DateTime.Parse("</v>
      </c>
      <c r="F596" s="3">
        <f>Matchs!C597</f>
        <v>37412</v>
      </c>
      <c r="G596" s="10" t="str">
        <f t="shared" si="174"/>
        <v>"),TimeMatch=TimeSpan.Parse("</v>
      </c>
      <c r="H596" s="9">
        <f>Matchs!D597</f>
        <v>0.66666666666666663</v>
      </c>
      <c r="I596" t="str">
        <f t="shared" si="175"/>
        <v>"),MatchYear=</v>
      </c>
      <c r="J596">
        <f>Matchs!E597</f>
        <v>2002</v>
      </c>
      <c r="K596" t="str">
        <f t="shared" si="176"/>
        <v>, SeasonId= "</v>
      </c>
      <c r="L596" t="str">
        <f>Matchs!F597</f>
        <v>FIFAWC2002</v>
      </c>
      <c r="M596" t="str">
        <f t="shared" si="177"/>
        <v>",Round= "</v>
      </c>
      <c r="N596" t="str">
        <f>Matchs!G597</f>
        <v>Final Round</v>
      </c>
      <c r="O596" s="6" t="str">
        <f t="shared" si="178"/>
        <v>",Stage= "</v>
      </c>
      <c r="P596" t="str">
        <f>Matchs!H597</f>
        <v>Group</v>
      </c>
      <c r="Q596" s="6" t="str">
        <f t="shared" si="179"/>
        <v>",SubStage= "</v>
      </c>
      <c r="R596" t="str">
        <f>Matchs!I597</f>
        <v xml:space="preserve">Group D </v>
      </c>
      <c r="S596" s="6" t="str">
        <f t="shared" si="180"/>
        <v>",HTeam= "</v>
      </c>
      <c r="T596" t="str">
        <f>Matchs!J597</f>
        <v>USA</v>
      </c>
      <c r="U596" s="6" t="str">
        <f t="shared" si="181"/>
        <v>",HGoal=</v>
      </c>
      <c r="V596">
        <f>Matchs!K597</f>
        <v>3</v>
      </c>
      <c r="W596" s="6" t="str">
        <f t="shared" si="182"/>
        <v>,GGoal=</v>
      </c>
      <c r="X596">
        <f>Matchs!L597</f>
        <v>2</v>
      </c>
      <c r="Y596" s="6" t="str">
        <f t="shared" si="183"/>
        <v>,GTeam= "</v>
      </c>
      <c r="Z596" t="str">
        <f>Matchs!M597</f>
        <v>Portugal</v>
      </c>
      <c r="AA596" s="6" t="str">
        <f t="shared" si="184"/>
        <v>",WinNote="</v>
      </c>
      <c r="AB596" t="str">
        <f>IF(Matchs!N597="","",Matchs!N597)</f>
        <v/>
      </c>
      <c r="AC596" s="6" t="str">
        <f t="shared" si="185"/>
        <v xml:space="preserve">",Stadium=" </v>
      </c>
      <c r="AD596" s="11" t="str">
        <f>Matchs!O597</f>
        <v xml:space="preserve">Suwon World Cup Stadium </v>
      </c>
      <c r="AE596" s="6" t="str">
        <f t="shared" si="186"/>
        <v>",Referee= "</v>
      </c>
      <c r="AF596" s="11" t="str">
        <f>Matchs!P597</f>
        <v xml:space="preserve">Byron Moreno </v>
      </c>
      <c r="AG596" s="6" t="str">
        <f t="shared" si="187"/>
        <v xml:space="preserve">",Visistors= </v>
      </c>
      <c r="AH596" s="11">
        <f>Matchs!Q597</f>
        <v>37306</v>
      </c>
      <c r="AI596" s="11" t="str">
        <f t="shared" si="188"/>
        <v>,Status= "</v>
      </c>
      <c r="AJ596" s="11" t="str">
        <f>Matchs!R597</f>
        <v>Finished</v>
      </c>
      <c r="AK596" t="str">
        <f t="shared" si="189"/>
        <v>" },</v>
      </c>
    </row>
    <row r="597" spans="1:37" x14ac:dyDescent="0.25">
      <c r="A597" t="str">
        <f t="shared" si="171"/>
        <v>new Match { MatchId= "</v>
      </c>
      <c r="B597" t="str">
        <f>Matchs!A598</f>
        <v>FIFAWC2002-17</v>
      </c>
      <c r="C597" t="str">
        <f t="shared" si="172"/>
        <v>",MatchNumer=</v>
      </c>
      <c r="D597">
        <f>Matchs!B598</f>
        <v>17</v>
      </c>
      <c r="E597" t="str">
        <f t="shared" si="173"/>
        <v>,DateMatch=DateTime.Parse("</v>
      </c>
      <c r="F597" s="3">
        <f>Matchs!C598</f>
        <v>37412</v>
      </c>
      <c r="G597" s="10" t="str">
        <f t="shared" si="174"/>
        <v>"),TimeMatch=TimeSpan.Parse("</v>
      </c>
      <c r="H597" s="9">
        <f>Matchs!D598</f>
        <v>0.77083333333333337</v>
      </c>
      <c r="I597" t="str">
        <f t="shared" si="175"/>
        <v>"),MatchYear=</v>
      </c>
      <c r="J597">
        <f>Matchs!E598</f>
        <v>2002</v>
      </c>
      <c r="K597" t="str">
        <f t="shared" si="176"/>
        <v>, SeasonId= "</v>
      </c>
      <c r="L597" t="str">
        <f>Matchs!F598</f>
        <v>FIFAWC2002</v>
      </c>
      <c r="M597" t="str">
        <f t="shared" si="177"/>
        <v>",Round= "</v>
      </c>
      <c r="N597" t="str">
        <f>Matchs!G598</f>
        <v>Final Round</v>
      </c>
      <c r="O597" s="6" t="str">
        <f t="shared" si="178"/>
        <v>",Stage= "</v>
      </c>
      <c r="P597" t="str">
        <f>Matchs!H598</f>
        <v>Group</v>
      </c>
      <c r="Q597" s="6" t="str">
        <f t="shared" si="179"/>
        <v>",SubStage= "</v>
      </c>
      <c r="R597" t="str">
        <f>Matchs!I598</f>
        <v xml:space="preserve">Group E </v>
      </c>
      <c r="S597" s="6" t="str">
        <f t="shared" si="180"/>
        <v>",HTeam= "</v>
      </c>
      <c r="T597" t="str">
        <f>Matchs!J598</f>
        <v>Germany</v>
      </c>
      <c r="U597" s="6" t="str">
        <f t="shared" si="181"/>
        <v>",HGoal=</v>
      </c>
      <c r="V597">
        <f>Matchs!K598</f>
        <v>1</v>
      </c>
      <c r="W597" s="6" t="str">
        <f t="shared" si="182"/>
        <v>,GGoal=</v>
      </c>
      <c r="X597">
        <f>Matchs!L598</f>
        <v>1</v>
      </c>
      <c r="Y597" s="6" t="str">
        <f t="shared" si="183"/>
        <v>,GTeam= "</v>
      </c>
      <c r="Z597" t="str">
        <f>Matchs!M598</f>
        <v>Republic of Ireland</v>
      </c>
      <c r="AA597" s="6" t="str">
        <f t="shared" si="184"/>
        <v>",WinNote="</v>
      </c>
      <c r="AB597" t="str">
        <f>IF(Matchs!N598="","",Matchs!N598)</f>
        <v/>
      </c>
      <c r="AC597" s="6" t="str">
        <f t="shared" si="185"/>
        <v xml:space="preserve">",Stadium=" </v>
      </c>
      <c r="AD597" s="11" t="str">
        <f>Matchs!O598</f>
        <v xml:space="preserve">Kashima Soccer Stadium </v>
      </c>
      <c r="AE597" s="6" t="str">
        <f t="shared" si="186"/>
        <v>",Referee= "</v>
      </c>
      <c r="AF597" s="11" t="str">
        <f>Matchs!P598</f>
        <v xml:space="preserve">Kim Milton Nielsen </v>
      </c>
      <c r="AG597" s="6" t="str">
        <f t="shared" si="187"/>
        <v xml:space="preserve">",Visistors= </v>
      </c>
      <c r="AH597" s="11">
        <f>Matchs!Q598</f>
        <v>35854</v>
      </c>
      <c r="AI597" s="11" t="str">
        <f t="shared" si="188"/>
        <v>,Status= "</v>
      </c>
      <c r="AJ597" s="11" t="str">
        <f>Matchs!R598</f>
        <v>Finished</v>
      </c>
      <c r="AK597" t="str">
        <f t="shared" si="189"/>
        <v>" },</v>
      </c>
    </row>
    <row r="598" spans="1:37" x14ac:dyDescent="0.25">
      <c r="A598" t="str">
        <f t="shared" si="171"/>
        <v>new Match { MatchId= "</v>
      </c>
      <c r="B598" t="str">
        <f>Matchs!A599</f>
        <v>FIFAWC2002-18</v>
      </c>
      <c r="C598" t="str">
        <f t="shared" si="172"/>
        <v>",MatchNumer=</v>
      </c>
      <c r="D598">
        <f>Matchs!B599</f>
        <v>18</v>
      </c>
      <c r="E598" t="str">
        <f t="shared" si="173"/>
        <v>,DateMatch=DateTime.Parse("</v>
      </c>
      <c r="F598" s="3">
        <f>Matchs!C599</f>
        <v>37413</v>
      </c>
      <c r="G598" s="10" t="str">
        <f t="shared" si="174"/>
        <v>"),TimeMatch=TimeSpan.Parse("</v>
      </c>
      <c r="H598" s="9">
        <f>Matchs!D599</f>
        <v>0.5625</v>
      </c>
      <c r="I598" t="str">
        <f t="shared" si="175"/>
        <v>"),MatchYear=</v>
      </c>
      <c r="J598">
        <f>Matchs!E599</f>
        <v>2002</v>
      </c>
      <c r="K598" t="str">
        <f t="shared" si="176"/>
        <v>, SeasonId= "</v>
      </c>
      <c r="L598" t="str">
        <f>Matchs!F599</f>
        <v>FIFAWC2002</v>
      </c>
      <c r="M598" t="str">
        <f t="shared" si="177"/>
        <v>",Round= "</v>
      </c>
      <c r="N598" t="str">
        <f>Matchs!G599</f>
        <v>Final Round</v>
      </c>
      <c r="O598" s="6" t="str">
        <f t="shared" si="178"/>
        <v>",Stage= "</v>
      </c>
      <c r="P598" t="str">
        <f>Matchs!H599</f>
        <v>Group</v>
      </c>
      <c r="Q598" s="6" t="str">
        <f t="shared" si="179"/>
        <v>",SubStage= "</v>
      </c>
      <c r="R598" t="str">
        <f>Matchs!I599</f>
        <v xml:space="preserve">Group A </v>
      </c>
      <c r="S598" s="6" t="str">
        <f t="shared" si="180"/>
        <v>",HTeam= "</v>
      </c>
      <c r="T598" t="str">
        <f>Matchs!J599</f>
        <v>Denmark</v>
      </c>
      <c r="U598" s="6" t="str">
        <f t="shared" si="181"/>
        <v>",HGoal=</v>
      </c>
      <c r="V598">
        <f>Matchs!K599</f>
        <v>1</v>
      </c>
      <c r="W598" s="6" t="str">
        <f t="shared" si="182"/>
        <v>,GGoal=</v>
      </c>
      <c r="X598">
        <f>Matchs!L599</f>
        <v>1</v>
      </c>
      <c r="Y598" s="6" t="str">
        <f t="shared" si="183"/>
        <v>,GTeam= "</v>
      </c>
      <c r="Z598" t="str">
        <f>Matchs!M599</f>
        <v>Senegal</v>
      </c>
      <c r="AA598" s="6" t="str">
        <f t="shared" si="184"/>
        <v>",WinNote="</v>
      </c>
      <c r="AB598" t="str">
        <f>IF(Matchs!N599="","",Matchs!N599)</f>
        <v/>
      </c>
      <c r="AC598" s="6" t="str">
        <f t="shared" si="185"/>
        <v xml:space="preserve">",Stadium=" </v>
      </c>
      <c r="AD598" s="11" t="str">
        <f>Matchs!O599</f>
        <v xml:space="preserve">Daegu World Cup Stadium </v>
      </c>
      <c r="AE598" s="6" t="str">
        <f t="shared" si="186"/>
        <v>",Referee= "</v>
      </c>
      <c r="AF598" s="11" t="str">
        <f>Matchs!P599</f>
        <v xml:space="preserve">Carlos Batres </v>
      </c>
      <c r="AG598" s="6" t="str">
        <f t="shared" si="187"/>
        <v xml:space="preserve">",Visistors= </v>
      </c>
      <c r="AH598" s="11">
        <f>Matchs!Q599</f>
        <v>43500</v>
      </c>
      <c r="AI598" s="11" t="str">
        <f t="shared" si="188"/>
        <v>,Status= "</v>
      </c>
      <c r="AJ598" s="11" t="str">
        <f>Matchs!R599</f>
        <v>Finished</v>
      </c>
      <c r="AK598" t="str">
        <f t="shared" si="189"/>
        <v>" },</v>
      </c>
    </row>
    <row r="599" spans="1:37" x14ac:dyDescent="0.25">
      <c r="A599" t="str">
        <f t="shared" si="171"/>
        <v>new Match { MatchId= "</v>
      </c>
      <c r="B599" t="str">
        <f>Matchs!A600</f>
        <v>FIFAWC2002-19</v>
      </c>
      <c r="C599" t="str">
        <f t="shared" si="172"/>
        <v>",MatchNumer=</v>
      </c>
      <c r="D599">
        <f>Matchs!B600</f>
        <v>19</v>
      </c>
      <c r="E599" t="str">
        <f t="shared" si="173"/>
        <v>,DateMatch=DateTime.Parse("</v>
      </c>
      <c r="F599" s="3">
        <f>Matchs!C600</f>
        <v>37413</v>
      </c>
      <c r="G599" s="10" t="str">
        <f t="shared" si="174"/>
        <v>"),TimeMatch=TimeSpan.Parse("</v>
      </c>
      <c r="H599" s="9">
        <f>Matchs!D600</f>
        <v>0.66666666666666663</v>
      </c>
      <c r="I599" t="str">
        <f t="shared" si="175"/>
        <v>"),MatchYear=</v>
      </c>
      <c r="J599">
        <f>Matchs!E600</f>
        <v>2002</v>
      </c>
      <c r="K599" t="str">
        <f t="shared" si="176"/>
        <v>, SeasonId= "</v>
      </c>
      <c r="L599" t="str">
        <f>Matchs!F600</f>
        <v>FIFAWC2002</v>
      </c>
      <c r="M599" t="str">
        <f t="shared" si="177"/>
        <v>",Round= "</v>
      </c>
      <c r="N599" t="str">
        <f>Matchs!G600</f>
        <v>Final Round</v>
      </c>
      <c r="O599" s="6" t="str">
        <f t="shared" si="178"/>
        <v>",Stage= "</v>
      </c>
      <c r="P599" t="str">
        <f>Matchs!H600</f>
        <v>Group</v>
      </c>
      <c r="Q599" s="6" t="str">
        <f t="shared" si="179"/>
        <v>",SubStage= "</v>
      </c>
      <c r="R599" t="str">
        <f>Matchs!I600</f>
        <v xml:space="preserve">Group E </v>
      </c>
      <c r="S599" s="6" t="str">
        <f t="shared" si="180"/>
        <v>",HTeam= "</v>
      </c>
      <c r="T599" t="str">
        <f>Matchs!J600</f>
        <v>Cameroon</v>
      </c>
      <c r="U599" s="6" t="str">
        <f t="shared" si="181"/>
        <v>",HGoal=</v>
      </c>
      <c r="V599">
        <f>Matchs!K600</f>
        <v>1</v>
      </c>
      <c r="W599" s="6" t="str">
        <f t="shared" si="182"/>
        <v>,GGoal=</v>
      </c>
      <c r="X599">
        <f>Matchs!L600</f>
        <v>0</v>
      </c>
      <c r="Y599" s="6" t="str">
        <f t="shared" si="183"/>
        <v>,GTeam= "</v>
      </c>
      <c r="Z599" t="str">
        <f>Matchs!M600</f>
        <v>Saudi Arabia</v>
      </c>
      <c r="AA599" s="6" t="str">
        <f t="shared" si="184"/>
        <v>",WinNote="</v>
      </c>
      <c r="AB599" t="str">
        <f>IF(Matchs!N600="","",Matchs!N600)</f>
        <v/>
      </c>
      <c r="AC599" s="6" t="str">
        <f t="shared" si="185"/>
        <v xml:space="preserve">",Stadium=" </v>
      </c>
      <c r="AD599" s="11" t="str">
        <f>Matchs!O600</f>
        <v xml:space="preserve">Saitama Stadium 2002 </v>
      </c>
      <c r="AE599" s="6" t="str">
        <f t="shared" si="186"/>
        <v>",Referee= "</v>
      </c>
      <c r="AF599" s="11" t="str">
        <f>Matchs!P600</f>
        <v xml:space="preserve">Terje Hauge </v>
      </c>
      <c r="AG599" s="6" t="str">
        <f t="shared" si="187"/>
        <v xml:space="preserve">",Visistors= </v>
      </c>
      <c r="AH599" s="11">
        <f>Matchs!Q600</f>
        <v>52328</v>
      </c>
      <c r="AI599" s="11" t="str">
        <f t="shared" si="188"/>
        <v>,Status= "</v>
      </c>
      <c r="AJ599" s="11" t="str">
        <f>Matchs!R600</f>
        <v>Finished</v>
      </c>
      <c r="AK599" t="str">
        <f t="shared" si="189"/>
        <v>" },</v>
      </c>
    </row>
    <row r="600" spans="1:37" x14ac:dyDescent="0.25">
      <c r="A600" t="str">
        <f t="shared" si="171"/>
        <v>new Match { MatchId= "</v>
      </c>
      <c r="B600" t="str">
        <f>Matchs!A601</f>
        <v>FIFAWC2002-20</v>
      </c>
      <c r="C600" t="str">
        <f t="shared" si="172"/>
        <v>",MatchNumer=</v>
      </c>
      <c r="D600">
        <f>Matchs!B601</f>
        <v>20</v>
      </c>
      <c r="E600" t="str">
        <f t="shared" si="173"/>
        <v>,DateMatch=DateTime.Parse("</v>
      </c>
      <c r="F600" s="3">
        <f>Matchs!C601</f>
        <v>37413</v>
      </c>
      <c r="G600" s="10" t="str">
        <f t="shared" si="174"/>
        <v>"),TimeMatch=TimeSpan.Parse("</v>
      </c>
      <c r="H600" s="9">
        <f>Matchs!D601</f>
        <v>0.77083333333333337</v>
      </c>
      <c r="I600" t="str">
        <f t="shared" si="175"/>
        <v>"),MatchYear=</v>
      </c>
      <c r="J600">
        <f>Matchs!E601</f>
        <v>2002</v>
      </c>
      <c r="K600" t="str">
        <f t="shared" si="176"/>
        <v>, SeasonId= "</v>
      </c>
      <c r="L600" t="str">
        <f>Matchs!F601</f>
        <v>FIFAWC2002</v>
      </c>
      <c r="M600" t="str">
        <f t="shared" si="177"/>
        <v>",Round= "</v>
      </c>
      <c r="N600" t="str">
        <f>Matchs!G601</f>
        <v>Final Round</v>
      </c>
      <c r="O600" s="6" t="str">
        <f t="shared" si="178"/>
        <v>",Stage= "</v>
      </c>
      <c r="P600" t="str">
        <f>Matchs!H601</f>
        <v>Group</v>
      </c>
      <c r="Q600" s="6" t="str">
        <f t="shared" si="179"/>
        <v>",SubStage= "</v>
      </c>
      <c r="R600" t="str">
        <f>Matchs!I601</f>
        <v xml:space="preserve">Group A </v>
      </c>
      <c r="S600" s="6" t="str">
        <f t="shared" si="180"/>
        <v>",HTeam= "</v>
      </c>
      <c r="T600" t="str">
        <f>Matchs!J601</f>
        <v>France</v>
      </c>
      <c r="U600" s="6" t="str">
        <f t="shared" si="181"/>
        <v>",HGoal=</v>
      </c>
      <c r="V600">
        <f>Matchs!K601</f>
        <v>0</v>
      </c>
      <c r="W600" s="6" t="str">
        <f t="shared" si="182"/>
        <v>,GGoal=</v>
      </c>
      <c r="X600">
        <f>Matchs!L601</f>
        <v>0</v>
      </c>
      <c r="Y600" s="6" t="str">
        <f t="shared" si="183"/>
        <v>,GTeam= "</v>
      </c>
      <c r="Z600" t="str">
        <f>Matchs!M601</f>
        <v>Uruguay</v>
      </c>
      <c r="AA600" s="6" t="str">
        <f t="shared" si="184"/>
        <v>",WinNote="</v>
      </c>
      <c r="AB600" t="str">
        <f>IF(Matchs!N601="","",Matchs!N601)</f>
        <v/>
      </c>
      <c r="AC600" s="6" t="str">
        <f t="shared" si="185"/>
        <v xml:space="preserve">",Stadium=" </v>
      </c>
      <c r="AD600" s="11" t="str">
        <f>Matchs!O601</f>
        <v xml:space="preserve">Busan Asiad Main Stadium </v>
      </c>
      <c r="AE600" s="6" t="str">
        <f t="shared" si="186"/>
        <v>",Referee= "</v>
      </c>
      <c r="AF600" s="11" t="str">
        <f>Matchs!P601</f>
        <v xml:space="preserve">Felipe Ramos </v>
      </c>
      <c r="AG600" s="6" t="str">
        <f t="shared" si="187"/>
        <v xml:space="preserve">",Visistors= </v>
      </c>
      <c r="AH600" s="11">
        <f>Matchs!Q601</f>
        <v>38289</v>
      </c>
      <c r="AI600" s="11" t="str">
        <f t="shared" si="188"/>
        <v>,Status= "</v>
      </c>
      <c r="AJ600" s="11" t="str">
        <f>Matchs!R601</f>
        <v>Finished</v>
      </c>
      <c r="AK600" t="str">
        <f t="shared" si="189"/>
        <v>" },</v>
      </c>
    </row>
    <row r="601" spans="1:37" x14ac:dyDescent="0.25">
      <c r="A601" t="str">
        <f t="shared" si="171"/>
        <v>new Match { MatchId= "</v>
      </c>
      <c r="B601" t="str">
        <f>Matchs!A602</f>
        <v>FIFAWC2002-21</v>
      </c>
      <c r="C601" t="str">
        <f t="shared" si="172"/>
        <v>",MatchNumer=</v>
      </c>
      <c r="D601">
        <f>Matchs!B602</f>
        <v>21</v>
      </c>
      <c r="E601" t="str">
        <f t="shared" si="173"/>
        <v>,DateMatch=DateTime.Parse("</v>
      </c>
      <c r="F601" s="3">
        <f>Matchs!C602</f>
        <v>37414</v>
      </c>
      <c r="G601" s="10" t="str">
        <f t="shared" si="174"/>
        <v>"),TimeMatch=TimeSpan.Parse("</v>
      </c>
      <c r="H601" s="9">
        <f>Matchs!D602</f>
        <v>0.5625</v>
      </c>
      <c r="I601" t="str">
        <f t="shared" si="175"/>
        <v>"),MatchYear=</v>
      </c>
      <c r="J601">
        <f>Matchs!E602</f>
        <v>2002</v>
      </c>
      <c r="K601" t="str">
        <f t="shared" si="176"/>
        <v>, SeasonId= "</v>
      </c>
      <c r="L601" t="str">
        <f>Matchs!F602</f>
        <v>FIFAWC2002</v>
      </c>
      <c r="M601" t="str">
        <f t="shared" si="177"/>
        <v>",Round= "</v>
      </c>
      <c r="N601" t="str">
        <f>Matchs!G602</f>
        <v>Final Round</v>
      </c>
      <c r="O601" s="6" t="str">
        <f t="shared" si="178"/>
        <v>",Stage= "</v>
      </c>
      <c r="P601" t="str">
        <f>Matchs!H602</f>
        <v>Group</v>
      </c>
      <c r="Q601" s="6" t="str">
        <f t="shared" si="179"/>
        <v>",SubStage= "</v>
      </c>
      <c r="R601" t="str">
        <f>Matchs!I602</f>
        <v xml:space="preserve">Group F </v>
      </c>
      <c r="S601" s="6" t="str">
        <f t="shared" si="180"/>
        <v>",HTeam= "</v>
      </c>
      <c r="T601" t="str">
        <f>Matchs!J602</f>
        <v>Sweden</v>
      </c>
      <c r="U601" s="6" t="str">
        <f t="shared" si="181"/>
        <v>",HGoal=</v>
      </c>
      <c r="V601">
        <f>Matchs!K602</f>
        <v>2</v>
      </c>
      <c r="W601" s="6" t="str">
        <f t="shared" si="182"/>
        <v>,GGoal=</v>
      </c>
      <c r="X601">
        <f>Matchs!L602</f>
        <v>1</v>
      </c>
      <c r="Y601" s="6" t="str">
        <f t="shared" si="183"/>
        <v>,GTeam= "</v>
      </c>
      <c r="Z601" t="str">
        <f>Matchs!M602</f>
        <v>Nigeria</v>
      </c>
      <c r="AA601" s="6" t="str">
        <f t="shared" si="184"/>
        <v>",WinNote="</v>
      </c>
      <c r="AB601" t="str">
        <f>IF(Matchs!N602="","",Matchs!N602)</f>
        <v/>
      </c>
      <c r="AC601" s="6" t="str">
        <f t="shared" si="185"/>
        <v xml:space="preserve">",Stadium=" </v>
      </c>
      <c r="AD601" s="11" t="str">
        <f>Matchs!O602</f>
        <v xml:space="preserve">Home's Stadium Kobe </v>
      </c>
      <c r="AE601" s="6" t="str">
        <f t="shared" si="186"/>
        <v>",Referee= "</v>
      </c>
      <c r="AF601" s="11" t="str">
        <f>Matchs!P602</f>
        <v xml:space="preserve">René Ortubé </v>
      </c>
      <c r="AG601" s="6" t="str">
        <f t="shared" si="187"/>
        <v xml:space="preserve">",Visistors= </v>
      </c>
      <c r="AH601" s="11">
        <f>Matchs!Q602</f>
        <v>36194</v>
      </c>
      <c r="AI601" s="11" t="str">
        <f t="shared" si="188"/>
        <v>,Status= "</v>
      </c>
      <c r="AJ601" s="11" t="str">
        <f>Matchs!R602</f>
        <v>Finished</v>
      </c>
      <c r="AK601" t="str">
        <f t="shared" si="189"/>
        <v>" },</v>
      </c>
    </row>
    <row r="602" spans="1:37" x14ac:dyDescent="0.25">
      <c r="A602" t="str">
        <f t="shared" si="171"/>
        <v>new Match { MatchId= "</v>
      </c>
      <c r="B602" t="str">
        <f>Matchs!A603</f>
        <v>FIFAWC2002-22</v>
      </c>
      <c r="C602" t="str">
        <f t="shared" si="172"/>
        <v>",MatchNumer=</v>
      </c>
      <c r="D602">
        <f>Matchs!B603</f>
        <v>22</v>
      </c>
      <c r="E602" t="str">
        <f t="shared" si="173"/>
        <v>,DateMatch=DateTime.Parse("</v>
      </c>
      <c r="F602" s="3">
        <f>Matchs!C603</f>
        <v>37414</v>
      </c>
      <c r="G602" s="10" t="str">
        <f t="shared" si="174"/>
        <v>"),TimeMatch=TimeSpan.Parse("</v>
      </c>
      <c r="H602" s="9">
        <f>Matchs!D603</f>
        <v>0.66666666666666663</v>
      </c>
      <c r="I602" t="str">
        <f t="shared" si="175"/>
        <v>"),MatchYear=</v>
      </c>
      <c r="J602">
        <f>Matchs!E603</f>
        <v>2002</v>
      </c>
      <c r="K602" t="str">
        <f t="shared" si="176"/>
        <v>, SeasonId= "</v>
      </c>
      <c r="L602" t="str">
        <f>Matchs!F603</f>
        <v>FIFAWC2002</v>
      </c>
      <c r="M602" t="str">
        <f t="shared" si="177"/>
        <v>",Round= "</v>
      </c>
      <c r="N602" t="str">
        <f>Matchs!G603</f>
        <v>Final Round</v>
      </c>
      <c r="O602" s="6" t="str">
        <f t="shared" si="178"/>
        <v>",Stage= "</v>
      </c>
      <c r="P602" t="str">
        <f>Matchs!H603</f>
        <v>Group</v>
      </c>
      <c r="Q602" s="6" t="str">
        <f t="shared" si="179"/>
        <v>",SubStage= "</v>
      </c>
      <c r="R602" t="str">
        <f>Matchs!I603</f>
        <v xml:space="preserve">Group B </v>
      </c>
      <c r="S602" s="6" t="str">
        <f t="shared" si="180"/>
        <v>",HTeam= "</v>
      </c>
      <c r="T602" t="str">
        <f>Matchs!J603</f>
        <v>Spain</v>
      </c>
      <c r="U602" s="6" t="str">
        <f t="shared" si="181"/>
        <v>",HGoal=</v>
      </c>
      <c r="V602">
        <f>Matchs!K603</f>
        <v>3</v>
      </c>
      <c r="W602" s="6" t="str">
        <f t="shared" si="182"/>
        <v>,GGoal=</v>
      </c>
      <c r="X602">
        <f>Matchs!L603</f>
        <v>1</v>
      </c>
      <c r="Y602" s="6" t="str">
        <f t="shared" si="183"/>
        <v>,GTeam= "</v>
      </c>
      <c r="Z602" t="str">
        <f>Matchs!M603</f>
        <v>Paraguay</v>
      </c>
      <c r="AA602" s="6" t="str">
        <f t="shared" si="184"/>
        <v>",WinNote="</v>
      </c>
      <c r="AB602" t="str">
        <f>IF(Matchs!N603="","",Matchs!N603)</f>
        <v/>
      </c>
      <c r="AC602" s="6" t="str">
        <f t="shared" si="185"/>
        <v xml:space="preserve">",Stadium=" </v>
      </c>
      <c r="AD602" s="11" t="str">
        <f>Matchs!O603</f>
        <v xml:space="preserve">Jeonju World Cup Stadium </v>
      </c>
      <c r="AE602" s="6" t="str">
        <f t="shared" si="186"/>
        <v>",Referee= "</v>
      </c>
      <c r="AF602" s="11" t="str">
        <f>Matchs!P603</f>
        <v xml:space="preserve">Gamal Al-Ghandour </v>
      </c>
      <c r="AG602" s="6" t="str">
        <f t="shared" si="187"/>
        <v xml:space="preserve">",Visistors= </v>
      </c>
      <c r="AH602" s="11">
        <f>Matchs!Q603</f>
        <v>24000</v>
      </c>
      <c r="AI602" s="11" t="str">
        <f t="shared" si="188"/>
        <v>,Status= "</v>
      </c>
      <c r="AJ602" s="11" t="str">
        <f>Matchs!R603</f>
        <v>Finished</v>
      </c>
      <c r="AK602" t="str">
        <f t="shared" si="189"/>
        <v>" },</v>
      </c>
    </row>
    <row r="603" spans="1:37" x14ac:dyDescent="0.25">
      <c r="A603" t="str">
        <f t="shared" si="171"/>
        <v>new Match { MatchId= "</v>
      </c>
      <c r="B603" t="str">
        <f>Matchs!A604</f>
        <v>FIFAWC2002-23</v>
      </c>
      <c r="C603" t="str">
        <f t="shared" si="172"/>
        <v>",MatchNumer=</v>
      </c>
      <c r="D603">
        <f>Matchs!B604</f>
        <v>23</v>
      </c>
      <c r="E603" t="str">
        <f t="shared" si="173"/>
        <v>,DateMatch=DateTime.Parse("</v>
      </c>
      <c r="F603" s="3">
        <f>Matchs!C604</f>
        <v>37414</v>
      </c>
      <c r="G603" s="10" t="str">
        <f t="shared" si="174"/>
        <v>"),TimeMatch=TimeSpan.Parse("</v>
      </c>
      <c r="H603" s="9">
        <f>Matchs!D604</f>
        <v>0.77083333333333337</v>
      </c>
      <c r="I603" t="str">
        <f t="shared" si="175"/>
        <v>"),MatchYear=</v>
      </c>
      <c r="J603">
        <f>Matchs!E604</f>
        <v>2002</v>
      </c>
      <c r="K603" t="str">
        <f t="shared" si="176"/>
        <v>, SeasonId= "</v>
      </c>
      <c r="L603" t="str">
        <f>Matchs!F604</f>
        <v>FIFAWC2002</v>
      </c>
      <c r="M603" t="str">
        <f t="shared" si="177"/>
        <v>",Round= "</v>
      </c>
      <c r="N603" t="str">
        <f>Matchs!G604</f>
        <v>Final Round</v>
      </c>
      <c r="O603" s="6" t="str">
        <f t="shared" si="178"/>
        <v>",Stage= "</v>
      </c>
      <c r="P603" t="str">
        <f>Matchs!H604</f>
        <v>Group</v>
      </c>
      <c r="Q603" s="6" t="str">
        <f t="shared" si="179"/>
        <v>",SubStage= "</v>
      </c>
      <c r="R603" t="str">
        <f>Matchs!I604</f>
        <v xml:space="preserve">Group F </v>
      </c>
      <c r="S603" s="6" t="str">
        <f t="shared" si="180"/>
        <v>",HTeam= "</v>
      </c>
      <c r="T603" t="str">
        <f>Matchs!J604</f>
        <v>Argentina</v>
      </c>
      <c r="U603" s="6" t="str">
        <f t="shared" si="181"/>
        <v>",HGoal=</v>
      </c>
      <c r="V603">
        <f>Matchs!K604</f>
        <v>0</v>
      </c>
      <c r="W603" s="6" t="str">
        <f t="shared" si="182"/>
        <v>,GGoal=</v>
      </c>
      <c r="X603">
        <f>Matchs!L604</f>
        <v>1</v>
      </c>
      <c r="Y603" s="6" t="str">
        <f t="shared" si="183"/>
        <v>,GTeam= "</v>
      </c>
      <c r="Z603" t="str">
        <f>Matchs!M604</f>
        <v>England</v>
      </c>
      <c r="AA603" s="6" t="str">
        <f t="shared" si="184"/>
        <v>",WinNote="</v>
      </c>
      <c r="AB603" t="str">
        <f>IF(Matchs!N604="","",Matchs!N604)</f>
        <v/>
      </c>
      <c r="AC603" s="6" t="str">
        <f t="shared" si="185"/>
        <v xml:space="preserve">",Stadium=" </v>
      </c>
      <c r="AD603" s="11" t="str">
        <f>Matchs!O604</f>
        <v xml:space="preserve">Sapporo Dome </v>
      </c>
      <c r="AE603" s="6" t="str">
        <f t="shared" si="186"/>
        <v>",Referee= "</v>
      </c>
      <c r="AF603" s="11" t="str">
        <f>Matchs!P604</f>
        <v xml:space="preserve">Pierluigi Collina </v>
      </c>
      <c r="AG603" s="6" t="str">
        <f t="shared" si="187"/>
        <v xml:space="preserve">",Visistors= </v>
      </c>
      <c r="AH603" s="11">
        <f>Matchs!Q604</f>
        <v>35927</v>
      </c>
      <c r="AI603" s="11" t="str">
        <f t="shared" si="188"/>
        <v>,Status= "</v>
      </c>
      <c r="AJ603" s="11" t="str">
        <f>Matchs!R604</f>
        <v>Finished</v>
      </c>
      <c r="AK603" t="str">
        <f t="shared" si="189"/>
        <v>" },</v>
      </c>
    </row>
    <row r="604" spans="1:37" x14ac:dyDescent="0.25">
      <c r="A604" t="str">
        <f t="shared" si="171"/>
        <v>new Match { MatchId= "</v>
      </c>
      <c r="B604" t="str">
        <f>Matchs!A605</f>
        <v>FIFAWC2002-24</v>
      </c>
      <c r="C604" t="str">
        <f t="shared" si="172"/>
        <v>",MatchNumer=</v>
      </c>
      <c r="D604">
        <f>Matchs!B605</f>
        <v>24</v>
      </c>
      <c r="E604" t="str">
        <f t="shared" si="173"/>
        <v>,DateMatch=DateTime.Parse("</v>
      </c>
      <c r="F604" s="3">
        <f>Matchs!C605</f>
        <v>37415</v>
      </c>
      <c r="G604" s="10" t="str">
        <f t="shared" si="174"/>
        <v>"),TimeMatch=TimeSpan.Parse("</v>
      </c>
      <c r="H604" s="9">
        <f>Matchs!D605</f>
        <v>0.5625</v>
      </c>
      <c r="I604" t="str">
        <f t="shared" si="175"/>
        <v>"),MatchYear=</v>
      </c>
      <c r="J604">
        <f>Matchs!E605</f>
        <v>2002</v>
      </c>
      <c r="K604" t="str">
        <f t="shared" si="176"/>
        <v>, SeasonId= "</v>
      </c>
      <c r="L604" t="str">
        <f>Matchs!F605</f>
        <v>FIFAWC2002</v>
      </c>
      <c r="M604" t="str">
        <f t="shared" si="177"/>
        <v>",Round= "</v>
      </c>
      <c r="N604" t="str">
        <f>Matchs!G605</f>
        <v>Final Round</v>
      </c>
      <c r="O604" s="6" t="str">
        <f t="shared" si="178"/>
        <v>",Stage= "</v>
      </c>
      <c r="P604" t="str">
        <f>Matchs!H605</f>
        <v>Group</v>
      </c>
      <c r="Q604" s="6" t="str">
        <f t="shared" si="179"/>
        <v>",SubStage= "</v>
      </c>
      <c r="R604" t="str">
        <f>Matchs!I605</f>
        <v xml:space="preserve">Group B </v>
      </c>
      <c r="S604" s="6" t="str">
        <f t="shared" si="180"/>
        <v>",HTeam= "</v>
      </c>
      <c r="T604" t="str">
        <f>Matchs!J605</f>
        <v>South Africa</v>
      </c>
      <c r="U604" s="6" t="str">
        <f t="shared" si="181"/>
        <v>",HGoal=</v>
      </c>
      <c r="V604">
        <f>Matchs!K605</f>
        <v>1</v>
      </c>
      <c r="W604" s="6" t="str">
        <f t="shared" si="182"/>
        <v>,GGoal=</v>
      </c>
      <c r="X604">
        <f>Matchs!L605</f>
        <v>0</v>
      </c>
      <c r="Y604" s="6" t="str">
        <f t="shared" si="183"/>
        <v>,GTeam= "</v>
      </c>
      <c r="Z604" t="str">
        <f>Matchs!M605</f>
        <v>Slovenia</v>
      </c>
      <c r="AA604" s="6" t="str">
        <f t="shared" si="184"/>
        <v>",WinNote="</v>
      </c>
      <c r="AB604" t="str">
        <f>IF(Matchs!N605="","",Matchs!N605)</f>
        <v/>
      </c>
      <c r="AC604" s="6" t="str">
        <f t="shared" si="185"/>
        <v xml:space="preserve">",Stadium=" </v>
      </c>
      <c r="AD604" s="11" t="str">
        <f>Matchs!O605</f>
        <v xml:space="preserve">Daegu World Cup Stadium </v>
      </c>
      <c r="AE604" s="6" t="str">
        <f t="shared" si="186"/>
        <v>",Referee= "</v>
      </c>
      <c r="AF604" s="11" t="str">
        <f>Matchs!P605</f>
        <v xml:space="preserve">Angel Sánchez </v>
      </c>
      <c r="AG604" s="6" t="str">
        <f t="shared" si="187"/>
        <v xml:space="preserve">",Visistors= </v>
      </c>
      <c r="AH604" s="11">
        <f>Matchs!Q605</f>
        <v>47226</v>
      </c>
      <c r="AI604" s="11" t="str">
        <f t="shared" si="188"/>
        <v>,Status= "</v>
      </c>
      <c r="AJ604" s="11" t="str">
        <f>Matchs!R605</f>
        <v>Finished</v>
      </c>
      <c r="AK604" t="str">
        <f t="shared" si="189"/>
        <v>" },</v>
      </c>
    </row>
    <row r="605" spans="1:37" x14ac:dyDescent="0.25">
      <c r="A605" t="str">
        <f t="shared" si="171"/>
        <v>new Match { MatchId= "</v>
      </c>
      <c r="B605" t="str">
        <f>Matchs!A606</f>
        <v>FIFAWC2002-25</v>
      </c>
      <c r="C605" t="str">
        <f t="shared" si="172"/>
        <v>",MatchNumer=</v>
      </c>
      <c r="D605">
        <f>Matchs!B606</f>
        <v>25</v>
      </c>
      <c r="E605" t="str">
        <f t="shared" si="173"/>
        <v>,DateMatch=DateTime.Parse("</v>
      </c>
      <c r="F605" s="3">
        <f>Matchs!C606</f>
        <v>37415</v>
      </c>
      <c r="G605" s="10" t="str">
        <f t="shared" si="174"/>
        <v>"),TimeMatch=TimeSpan.Parse("</v>
      </c>
      <c r="H605" s="9">
        <f>Matchs!D606</f>
        <v>0.66666666666666663</v>
      </c>
      <c r="I605" t="str">
        <f t="shared" si="175"/>
        <v>"),MatchYear=</v>
      </c>
      <c r="J605">
        <f>Matchs!E606</f>
        <v>2002</v>
      </c>
      <c r="K605" t="str">
        <f t="shared" si="176"/>
        <v>, SeasonId= "</v>
      </c>
      <c r="L605" t="str">
        <f>Matchs!F606</f>
        <v>FIFAWC2002</v>
      </c>
      <c r="M605" t="str">
        <f t="shared" si="177"/>
        <v>",Round= "</v>
      </c>
      <c r="N605" t="str">
        <f>Matchs!G606</f>
        <v>Final Round</v>
      </c>
      <c r="O605" s="6" t="str">
        <f t="shared" si="178"/>
        <v>",Stage= "</v>
      </c>
      <c r="P605" t="str">
        <f>Matchs!H606</f>
        <v>Group</v>
      </c>
      <c r="Q605" s="6" t="str">
        <f t="shared" si="179"/>
        <v>",SubStage= "</v>
      </c>
      <c r="R605" t="str">
        <f>Matchs!I606</f>
        <v xml:space="preserve">Group G </v>
      </c>
      <c r="S605" s="6" t="str">
        <f t="shared" si="180"/>
        <v>",HTeam= "</v>
      </c>
      <c r="T605" t="str">
        <f>Matchs!J606</f>
        <v>Italy</v>
      </c>
      <c r="U605" s="6" t="str">
        <f t="shared" si="181"/>
        <v>",HGoal=</v>
      </c>
      <c r="V605">
        <f>Matchs!K606</f>
        <v>1</v>
      </c>
      <c r="W605" s="6" t="str">
        <f t="shared" si="182"/>
        <v>,GGoal=</v>
      </c>
      <c r="X605">
        <f>Matchs!L606</f>
        <v>2</v>
      </c>
      <c r="Y605" s="6" t="str">
        <f t="shared" si="183"/>
        <v>,GTeam= "</v>
      </c>
      <c r="Z605" t="str">
        <f>Matchs!M606</f>
        <v>Croatia</v>
      </c>
      <c r="AA605" s="6" t="str">
        <f t="shared" si="184"/>
        <v>",WinNote="</v>
      </c>
      <c r="AB605" t="str">
        <f>IF(Matchs!N606="","",Matchs!N606)</f>
        <v/>
      </c>
      <c r="AC605" s="6" t="str">
        <f t="shared" si="185"/>
        <v xml:space="preserve">",Stadium=" </v>
      </c>
      <c r="AD605" s="11" t="str">
        <f>Matchs!O606</f>
        <v xml:space="preserve">Kashima Soccer Stadium </v>
      </c>
      <c r="AE605" s="6" t="str">
        <f t="shared" si="186"/>
        <v>",Referee= "</v>
      </c>
      <c r="AF605" s="11" t="str">
        <f>Matchs!P606</f>
        <v xml:space="preserve">Graham Poll </v>
      </c>
      <c r="AG605" s="6" t="str">
        <f t="shared" si="187"/>
        <v xml:space="preserve">",Visistors= </v>
      </c>
      <c r="AH605" s="11">
        <f>Matchs!Q606</f>
        <v>36472</v>
      </c>
      <c r="AI605" s="11" t="str">
        <f t="shared" si="188"/>
        <v>,Status= "</v>
      </c>
      <c r="AJ605" s="11" t="str">
        <f>Matchs!R606</f>
        <v>Finished</v>
      </c>
      <c r="AK605" t="str">
        <f t="shared" si="189"/>
        <v>" },</v>
      </c>
    </row>
    <row r="606" spans="1:37" x14ac:dyDescent="0.25">
      <c r="A606" t="str">
        <f t="shared" si="171"/>
        <v>new Match { MatchId= "</v>
      </c>
      <c r="B606" t="str">
        <f>Matchs!A607</f>
        <v>FIFAWC2002-26</v>
      </c>
      <c r="C606" t="str">
        <f t="shared" si="172"/>
        <v>",MatchNumer=</v>
      </c>
      <c r="D606">
        <f>Matchs!B607</f>
        <v>26</v>
      </c>
      <c r="E606" t="str">
        <f t="shared" si="173"/>
        <v>,DateMatch=DateTime.Parse("</v>
      </c>
      <c r="F606" s="3">
        <f>Matchs!C607</f>
        <v>37415</v>
      </c>
      <c r="G606" s="10" t="str">
        <f t="shared" si="174"/>
        <v>"),TimeMatch=TimeSpan.Parse("</v>
      </c>
      <c r="H606" s="9">
        <f>Matchs!D607</f>
        <v>0.77083333333333337</v>
      </c>
      <c r="I606" t="str">
        <f t="shared" si="175"/>
        <v>"),MatchYear=</v>
      </c>
      <c r="J606">
        <f>Matchs!E607</f>
        <v>2002</v>
      </c>
      <c r="K606" t="str">
        <f t="shared" si="176"/>
        <v>, SeasonId= "</v>
      </c>
      <c r="L606" t="str">
        <f>Matchs!F607</f>
        <v>FIFAWC2002</v>
      </c>
      <c r="M606" t="str">
        <f t="shared" si="177"/>
        <v>",Round= "</v>
      </c>
      <c r="N606" t="str">
        <f>Matchs!G607</f>
        <v>Final Round</v>
      </c>
      <c r="O606" s="6" t="str">
        <f t="shared" si="178"/>
        <v>",Stage= "</v>
      </c>
      <c r="P606" t="str">
        <f>Matchs!H607</f>
        <v>Group</v>
      </c>
      <c r="Q606" s="6" t="str">
        <f t="shared" si="179"/>
        <v>",SubStage= "</v>
      </c>
      <c r="R606" t="str">
        <f>Matchs!I607</f>
        <v xml:space="preserve">Group C </v>
      </c>
      <c r="S606" s="6" t="str">
        <f t="shared" si="180"/>
        <v>",HTeam= "</v>
      </c>
      <c r="T606" t="str">
        <f>Matchs!J607</f>
        <v>Brazil</v>
      </c>
      <c r="U606" s="6" t="str">
        <f t="shared" si="181"/>
        <v>",HGoal=</v>
      </c>
      <c r="V606">
        <f>Matchs!K607</f>
        <v>4</v>
      </c>
      <c r="W606" s="6" t="str">
        <f t="shared" si="182"/>
        <v>,GGoal=</v>
      </c>
      <c r="X606">
        <f>Matchs!L607</f>
        <v>0</v>
      </c>
      <c r="Y606" s="6" t="str">
        <f t="shared" si="183"/>
        <v>,GTeam= "</v>
      </c>
      <c r="Z606" t="str">
        <f>Matchs!M607</f>
        <v>China</v>
      </c>
      <c r="AA606" s="6" t="str">
        <f t="shared" si="184"/>
        <v>",WinNote="</v>
      </c>
      <c r="AB606" t="str">
        <f>IF(Matchs!N607="","",Matchs!N607)</f>
        <v/>
      </c>
      <c r="AC606" s="6" t="str">
        <f t="shared" si="185"/>
        <v xml:space="preserve">",Stadium=" </v>
      </c>
      <c r="AD606" s="11" t="str">
        <f>Matchs!O607</f>
        <v xml:space="preserve">Jeju World Cup Stadium </v>
      </c>
      <c r="AE606" s="6" t="str">
        <f t="shared" si="186"/>
        <v>",Referee= "</v>
      </c>
      <c r="AF606" s="11" t="str">
        <f>Matchs!P607</f>
        <v xml:space="preserve">Anders Frisk </v>
      </c>
      <c r="AG606" s="6" t="str">
        <f t="shared" si="187"/>
        <v xml:space="preserve">",Visistors= </v>
      </c>
      <c r="AH606" s="11">
        <f>Matchs!Q607</f>
        <v>36750</v>
      </c>
      <c r="AI606" s="11" t="str">
        <f t="shared" si="188"/>
        <v>,Status= "</v>
      </c>
      <c r="AJ606" s="11" t="str">
        <f>Matchs!R607</f>
        <v>Finished</v>
      </c>
      <c r="AK606" t="str">
        <f t="shared" si="189"/>
        <v>" },</v>
      </c>
    </row>
    <row r="607" spans="1:37" x14ac:dyDescent="0.25">
      <c r="A607" t="str">
        <f t="shared" si="171"/>
        <v>new Match { MatchId= "</v>
      </c>
      <c r="B607" t="str">
        <f>Matchs!A608</f>
        <v>FIFAWC2002-27</v>
      </c>
      <c r="C607" t="str">
        <f t="shared" si="172"/>
        <v>",MatchNumer=</v>
      </c>
      <c r="D607">
        <f>Matchs!B608</f>
        <v>27</v>
      </c>
      <c r="E607" t="str">
        <f t="shared" si="173"/>
        <v>,DateMatch=DateTime.Parse("</v>
      </c>
      <c r="F607" s="3">
        <f>Matchs!C608</f>
        <v>37416</v>
      </c>
      <c r="G607" s="10" t="str">
        <f t="shared" si="174"/>
        <v>"),TimeMatch=TimeSpan.Parse("</v>
      </c>
      <c r="H607" s="9">
        <f>Matchs!D608</f>
        <v>0.5625</v>
      </c>
      <c r="I607" t="str">
        <f t="shared" si="175"/>
        <v>"),MatchYear=</v>
      </c>
      <c r="J607">
        <f>Matchs!E608</f>
        <v>2002</v>
      </c>
      <c r="K607" t="str">
        <f t="shared" si="176"/>
        <v>, SeasonId= "</v>
      </c>
      <c r="L607" t="str">
        <f>Matchs!F608</f>
        <v>FIFAWC2002</v>
      </c>
      <c r="M607" t="str">
        <f t="shared" si="177"/>
        <v>",Round= "</v>
      </c>
      <c r="N607" t="str">
        <f>Matchs!G608</f>
        <v>Final Round</v>
      </c>
      <c r="O607" s="6" t="str">
        <f t="shared" si="178"/>
        <v>",Stage= "</v>
      </c>
      <c r="P607" t="str">
        <f>Matchs!H608</f>
        <v>Group</v>
      </c>
      <c r="Q607" s="6" t="str">
        <f t="shared" si="179"/>
        <v>",SubStage= "</v>
      </c>
      <c r="R607" t="str">
        <f>Matchs!I608</f>
        <v xml:space="preserve">Group G </v>
      </c>
      <c r="S607" s="6" t="str">
        <f t="shared" si="180"/>
        <v>",HTeam= "</v>
      </c>
      <c r="T607" t="str">
        <f>Matchs!J608</f>
        <v>Mexico</v>
      </c>
      <c r="U607" s="6" t="str">
        <f t="shared" si="181"/>
        <v>",HGoal=</v>
      </c>
      <c r="V607">
        <f>Matchs!K608</f>
        <v>2</v>
      </c>
      <c r="W607" s="6" t="str">
        <f t="shared" si="182"/>
        <v>,GGoal=</v>
      </c>
      <c r="X607">
        <f>Matchs!L608</f>
        <v>1</v>
      </c>
      <c r="Y607" s="6" t="str">
        <f t="shared" si="183"/>
        <v>,GTeam= "</v>
      </c>
      <c r="Z607" t="str">
        <f>Matchs!M608</f>
        <v>Ecuador</v>
      </c>
      <c r="AA607" s="6" t="str">
        <f t="shared" si="184"/>
        <v>",WinNote="</v>
      </c>
      <c r="AB607" t="str">
        <f>IF(Matchs!N608="","",Matchs!N608)</f>
        <v/>
      </c>
      <c r="AC607" s="6" t="str">
        <f t="shared" si="185"/>
        <v xml:space="preserve">",Stadium=" </v>
      </c>
      <c r="AD607" s="11" t="str">
        <f>Matchs!O608</f>
        <v xml:space="preserve">Miyagi Stadium </v>
      </c>
      <c r="AE607" s="6" t="str">
        <f t="shared" si="186"/>
        <v>",Referee= "</v>
      </c>
      <c r="AF607" s="11" t="str">
        <f>Matchs!P608</f>
        <v xml:space="preserve">Mourad Daami </v>
      </c>
      <c r="AG607" s="6" t="str">
        <f t="shared" si="187"/>
        <v xml:space="preserve">",Visistors= </v>
      </c>
      <c r="AH607" s="11">
        <f>Matchs!Q608</f>
        <v>45610</v>
      </c>
      <c r="AI607" s="11" t="str">
        <f t="shared" si="188"/>
        <v>,Status= "</v>
      </c>
      <c r="AJ607" s="11" t="str">
        <f>Matchs!R608</f>
        <v>Finished</v>
      </c>
      <c r="AK607" t="str">
        <f t="shared" si="189"/>
        <v>" },</v>
      </c>
    </row>
    <row r="608" spans="1:37" x14ac:dyDescent="0.25">
      <c r="A608" t="str">
        <f t="shared" si="171"/>
        <v>new Match { MatchId= "</v>
      </c>
      <c r="B608" t="str">
        <f>Matchs!A609</f>
        <v>FIFAWC2002-28</v>
      </c>
      <c r="C608" t="str">
        <f t="shared" si="172"/>
        <v>",MatchNumer=</v>
      </c>
      <c r="D608">
        <f>Matchs!B609</f>
        <v>28</v>
      </c>
      <c r="E608" t="str">
        <f t="shared" si="173"/>
        <v>,DateMatch=DateTime.Parse("</v>
      </c>
      <c r="F608" s="3">
        <f>Matchs!C609</f>
        <v>37416</v>
      </c>
      <c r="G608" s="10" t="str">
        <f t="shared" si="174"/>
        <v>"),TimeMatch=TimeSpan.Parse("</v>
      </c>
      <c r="H608" s="9">
        <f>Matchs!D609</f>
        <v>0.66666666666666663</v>
      </c>
      <c r="I608" t="str">
        <f t="shared" si="175"/>
        <v>"),MatchYear=</v>
      </c>
      <c r="J608">
        <f>Matchs!E609</f>
        <v>2002</v>
      </c>
      <c r="K608" t="str">
        <f t="shared" si="176"/>
        <v>, SeasonId= "</v>
      </c>
      <c r="L608" t="str">
        <f>Matchs!F609</f>
        <v>FIFAWC2002</v>
      </c>
      <c r="M608" t="str">
        <f t="shared" si="177"/>
        <v>",Round= "</v>
      </c>
      <c r="N608" t="str">
        <f>Matchs!G609</f>
        <v>Final Round</v>
      </c>
      <c r="O608" s="6" t="str">
        <f t="shared" si="178"/>
        <v>",Stage= "</v>
      </c>
      <c r="P608" t="str">
        <f>Matchs!H609</f>
        <v>Group</v>
      </c>
      <c r="Q608" s="6" t="str">
        <f t="shared" si="179"/>
        <v>",SubStage= "</v>
      </c>
      <c r="R608" t="str">
        <f>Matchs!I609</f>
        <v xml:space="preserve">Group C </v>
      </c>
      <c r="S608" s="6" t="str">
        <f t="shared" si="180"/>
        <v>",HTeam= "</v>
      </c>
      <c r="T608" t="str">
        <f>Matchs!J609</f>
        <v>Costa Rica</v>
      </c>
      <c r="U608" s="6" t="str">
        <f t="shared" si="181"/>
        <v>",HGoal=</v>
      </c>
      <c r="V608">
        <f>Matchs!K609</f>
        <v>1</v>
      </c>
      <c r="W608" s="6" t="str">
        <f t="shared" si="182"/>
        <v>,GGoal=</v>
      </c>
      <c r="X608">
        <f>Matchs!L609</f>
        <v>1</v>
      </c>
      <c r="Y608" s="6" t="str">
        <f t="shared" si="183"/>
        <v>,GTeam= "</v>
      </c>
      <c r="Z608" t="str">
        <f>Matchs!M609</f>
        <v>Turkey</v>
      </c>
      <c r="AA608" s="6" t="str">
        <f t="shared" si="184"/>
        <v>",WinNote="</v>
      </c>
      <c r="AB608" t="str">
        <f>IF(Matchs!N609="","",Matchs!N609)</f>
        <v/>
      </c>
      <c r="AC608" s="6" t="str">
        <f t="shared" si="185"/>
        <v xml:space="preserve">",Stadium=" </v>
      </c>
      <c r="AD608" s="11" t="str">
        <f>Matchs!O609</f>
        <v xml:space="preserve">Incheon Munhak Stadium </v>
      </c>
      <c r="AE608" s="6" t="str">
        <f t="shared" si="186"/>
        <v>",Referee= "</v>
      </c>
      <c r="AF608" s="11" t="str">
        <f>Matchs!P609</f>
        <v xml:space="preserve">Coffi Codjia </v>
      </c>
      <c r="AG608" s="6" t="str">
        <f t="shared" si="187"/>
        <v xml:space="preserve">",Visistors= </v>
      </c>
      <c r="AH608" s="11">
        <f>Matchs!Q609</f>
        <v>42299</v>
      </c>
      <c r="AI608" s="11" t="str">
        <f t="shared" si="188"/>
        <v>,Status= "</v>
      </c>
      <c r="AJ608" s="11" t="str">
        <f>Matchs!R609</f>
        <v>Finished</v>
      </c>
      <c r="AK608" t="str">
        <f t="shared" si="189"/>
        <v>" },</v>
      </c>
    </row>
    <row r="609" spans="1:37" x14ac:dyDescent="0.25">
      <c r="A609" t="str">
        <f t="shared" si="171"/>
        <v>new Match { MatchId= "</v>
      </c>
      <c r="B609" t="str">
        <f>Matchs!A610</f>
        <v>FIFAWC2002-29</v>
      </c>
      <c r="C609" t="str">
        <f t="shared" si="172"/>
        <v>",MatchNumer=</v>
      </c>
      <c r="D609">
        <f>Matchs!B610</f>
        <v>29</v>
      </c>
      <c r="E609" t="str">
        <f t="shared" si="173"/>
        <v>,DateMatch=DateTime.Parse("</v>
      </c>
      <c r="F609" s="3">
        <f>Matchs!C610</f>
        <v>37416</v>
      </c>
      <c r="G609" s="10" t="str">
        <f t="shared" si="174"/>
        <v>"),TimeMatch=TimeSpan.Parse("</v>
      </c>
      <c r="H609" s="9">
        <f>Matchs!D610</f>
        <v>0.77083333333333337</v>
      </c>
      <c r="I609" t="str">
        <f t="shared" si="175"/>
        <v>"),MatchYear=</v>
      </c>
      <c r="J609">
        <f>Matchs!E610</f>
        <v>2002</v>
      </c>
      <c r="K609" t="str">
        <f t="shared" si="176"/>
        <v>, SeasonId= "</v>
      </c>
      <c r="L609" t="str">
        <f>Matchs!F610</f>
        <v>FIFAWC2002</v>
      </c>
      <c r="M609" t="str">
        <f t="shared" si="177"/>
        <v>",Round= "</v>
      </c>
      <c r="N609" t="str">
        <f>Matchs!G610</f>
        <v>Final Round</v>
      </c>
      <c r="O609" s="6" t="str">
        <f t="shared" si="178"/>
        <v>",Stage= "</v>
      </c>
      <c r="P609" t="str">
        <f>Matchs!H610</f>
        <v>Group</v>
      </c>
      <c r="Q609" s="6" t="str">
        <f t="shared" si="179"/>
        <v>",SubStage= "</v>
      </c>
      <c r="R609" t="str">
        <f>Matchs!I610</f>
        <v xml:space="preserve">Group H </v>
      </c>
      <c r="S609" s="6" t="str">
        <f t="shared" si="180"/>
        <v>",HTeam= "</v>
      </c>
      <c r="T609" t="str">
        <f>Matchs!J610</f>
        <v>Japan</v>
      </c>
      <c r="U609" s="6" t="str">
        <f t="shared" si="181"/>
        <v>",HGoal=</v>
      </c>
      <c r="V609">
        <f>Matchs!K610</f>
        <v>1</v>
      </c>
      <c r="W609" s="6" t="str">
        <f t="shared" si="182"/>
        <v>,GGoal=</v>
      </c>
      <c r="X609">
        <f>Matchs!L610</f>
        <v>0</v>
      </c>
      <c r="Y609" s="6" t="str">
        <f t="shared" si="183"/>
        <v>,GTeam= "</v>
      </c>
      <c r="Z609" t="str">
        <f>Matchs!M610</f>
        <v>Russia</v>
      </c>
      <c r="AA609" s="6" t="str">
        <f t="shared" si="184"/>
        <v>",WinNote="</v>
      </c>
      <c r="AB609" t="str">
        <f>IF(Matchs!N610="","",Matchs!N610)</f>
        <v/>
      </c>
      <c r="AC609" s="6" t="str">
        <f t="shared" si="185"/>
        <v xml:space="preserve">",Stadium=" </v>
      </c>
      <c r="AD609" s="11" t="str">
        <f>Matchs!O610</f>
        <v xml:space="preserve">International Stadium Yokohama </v>
      </c>
      <c r="AE609" s="6" t="str">
        <f t="shared" si="186"/>
        <v>",Referee= "</v>
      </c>
      <c r="AF609" s="11" t="str">
        <f>Matchs!P610</f>
        <v xml:space="preserve">Markus Merk </v>
      </c>
      <c r="AG609" s="6" t="str">
        <f t="shared" si="187"/>
        <v xml:space="preserve">",Visistors= </v>
      </c>
      <c r="AH609" s="11">
        <f>Matchs!Q610</f>
        <v>66108</v>
      </c>
      <c r="AI609" s="11" t="str">
        <f t="shared" si="188"/>
        <v>,Status= "</v>
      </c>
      <c r="AJ609" s="11" t="str">
        <f>Matchs!R610</f>
        <v>Finished</v>
      </c>
      <c r="AK609" t="str">
        <f t="shared" si="189"/>
        <v>" },</v>
      </c>
    </row>
    <row r="610" spans="1:37" x14ac:dyDescent="0.25">
      <c r="A610" t="str">
        <f t="shared" si="171"/>
        <v>new Match { MatchId= "</v>
      </c>
      <c r="B610" t="str">
        <f>Matchs!A611</f>
        <v>FIFAWC2002-30</v>
      </c>
      <c r="C610" t="str">
        <f t="shared" si="172"/>
        <v>",MatchNumer=</v>
      </c>
      <c r="D610">
        <f>Matchs!B611</f>
        <v>30</v>
      </c>
      <c r="E610" t="str">
        <f t="shared" si="173"/>
        <v>,DateMatch=DateTime.Parse("</v>
      </c>
      <c r="F610" s="3">
        <f>Matchs!C611</f>
        <v>37417</v>
      </c>
      <c r="G610" s="10" t="str">
        <f t="shared" si="174"/>
        <v>"),TimeMatch=TimeSpan.Parse("</v>
      </c>
      <c r="H610" s="9">
        <f>Matchs!D611</f>
        <v>0.5625</v>
      </c>
      <c r="I610" t="str">
        <f t="shared" si="175"/>
        <v>"),MatchYear=</v>
      </c>
      <c r="J610">
        <f>Matchs!E611</f>
        <v>2002</v>
      </c>
      <c r="K610" t="str">
        <f t="shared" si="176"/>
        <v>, SeasonId= "</v>
      </c>
      <c r="L610" t="str">
        <f>Matchs!F611</f>
        <v>FIFAWC2002</v>
      </c>
      <c r="M610" t="str">
        <f t="shared" si="177"/>
        <v>",Round= "</v>
      </c>
      <c r="N610" t="str">
        <f>Matchs!G611</f>
        <v>Final Round</v>
      </c>
      <c r="O610" s="6" t="str">
        <f t="shared" si="178"/>
        <v>",Stage= "</v>
      </c>
      <c r="P610" t="str">
        <f>Matchs!H611</f>
        <v>Group</v>
      </c>
      <c r="Q610" s="6" t="str">
        <f t="shared" si="179"/>
        <v>",SubStage= "</v>
      </c>
      <c r="R610" t="str">
        <f>Matchs!I611</f>
        <v xml:space="preserve">Group D </v>
      </c>
      <c r="S610" s="6" t="str">
        <f t="shared" si="180"/>
        <v>",HTeam= "</v>
      </c>
      <c r="T610" t="str">
        <f>Matchs!J611</f>
        <v>South Korea</v>
      </c>
      <c r="U610" s="6" t="str">
        <f t="shared" si="181"/>
        <v>",HGoal=</v>
      </c>
      <c r="V610">
        <f>Matchs!K611</f>
        <v>1</v>
      </c>
      <c r="W610" s="6" t="str">
        <f t="shared" si="182"/>
        <v>,GGoal=</v>
      </c>
      <c r="X610">
        <f>Matchs!L611</f>
        <v>1</v>
      </c>
      <c r="Y610" s="6" t="str">
        <f t="shared" si="183"/>
        <v>,GTeam= "</v>
      </c>
      <c r="Z610" t="str">
        <f>Matchs!M611</f>
        <v>USA</v>
      </c>
      <c r="AA610" s="6" t="str">
        <f t="shared" si="184"/>
        <v>",WinNote="</v>
      </c>
      <c r="AB610" t="str">
        <f>IF(Matchs!N611="","",Matchs!N611)</f>
        <v/>
      </c>
      <c r="AC610" s="6" t="str">
        <f t="shared" si="185"/>
        <v xml:space="preserve">",Stadium=" </v>
      </c>
      <c r="AD610" s="11" t="str">
        <f>Matchs!O611</f>
        <v xml:space="preserve">Daegu World Cup Stadium </v>
      </c>
      <c r="AE610" s="6" t="str">
        <f t="shared" si="186"/>
        <v>",Referee= "</v>
      </c>
      <c r="AF610" s="11" t="str">
        <f>Matchs!P611</f>
        <v xml:space="preserve">Urs Meier </v>
      </c>
      <c r="AG610" s="6" t="str">
        <f t="shared" si="187"/>
        <v xml:space="preserve">",Visistors= </v>
      </c>
      <c r="AH610" s="11">
        <f>Matchs!Q611</f>
        <v>60778</v>
      </c>
      <c r="AI610" s="11" t="str">
        <f t="shared" si="188"/>
        <v>,Status= "</v>
      </c>
      <c r="AJ610" s="11" t="str">
        <f>Matchs!R611</f>
        <v>Finished</v>
      </c>
      <c r="AK610" t="str">
        <f t="shared" si="189"/>
        <v>" },</v>
      </c>
    </row>
    <row r="611" spans="1:37" x14ac:dyDescent="0.25">
      <c r="A611" t="str">
        <f t="shared" si="171"/>
        <v>new Match { MatchId= "</v>
      </c>
      <c r="B611" t="str">
        <f>Matchs!A612</f>
        <v>FIFAWC2002-31</v>
      </c>
      <c r="C611" t="str">
        <f t="shared" si="172"/>
        <v>",MatchNumer=</v>
      </c>
      <c r="D611">
        <f>Matchs!B612</f>
        <v>31</v>
      </c>
      <c r="E611" t="str">
        <f t="shared" si="173"/>
        <v>,DateMatch=DateTime.Parse("</v>
      </c>
      <c r="F611" s="3">
        <f>Matchs!C612</f>
        <v>37417</v>
      </c>
      <c r="G611" s="10" t="str">
        <f t="shared" si="174"/>
        <v>"),TimeMatch=TimeSpan.Parse("</v>
      </c>
      <c r="H611" s="9">
        <f>Matchs!D612</f>
        <v>0.66666666666666663</v>
      </c>
      <c r="I611" t="str">
        <f t="shared" si="175"/>
        <v>"),MatchYear=</v>
      </c>
      <c r="J611">
        <f>Matchs!E612</f>
        <v>2002</v>
      </c>
      <c r="K611" t="str">
        <f t="shared" si="176"/>
        <v>, SeasonId= "</v>
      </c>
      <c r="L611" t="str">
        <f>Matchs!F612</f>
        <v>FIFAWC2002</v>
      </c>
      <c r="M611" t="str">
        <f t="shared" si="177"/>
        <v>",Round= "</v>
      </c>
      <c r="N611" t="str">
        <f>Matchs!G612</f>
        <v>Final Round</v>
      </c>
      <c r="O611" s="6" t="str">
        <f t="shared" si="178"/>
        <v>",Stage= "</v>
      </c>
      <c r="P611" t="str">
        <f>Matchs!H612</f>
        <v>Group</v>
      </c>
      <c r="Q611" s="6" t="str">
        <f t="shared" si="179"/>
        <v>",SubStage= "</v>
      </c>
      <c r="R611" t="str">
        <f>Matchs!I612</f>
        <v xml:space="preserve">Group H </v>
      </c>
      <c r="S611" s="6" t="str">
        <f t="shared" si="180"/>
        <v>",HTeam= "</v>
      </c>
      <c r="T611" t="str">
        <f>Matchs!J612</f>
        <v>Tunisia</v>
      </c>
      <c r="U611" s="6" t="str">
        <f t="shared" si="181"/>
        <v>",HGoal=</v>
      </c>
      <c r="V611">
        <f>Matchs!K612</f>
        <v>1</v>
      </c>
      <c r="W611" s="6" t="str">
        <f t="shared" si="182"/>
        <v>,GGoal=</v>
      </c>
      <c r="X611">
        <f>Matchs!L612</f>
        <v>1</v>
      </c>
      <c r="Y611" s="6" t="str">
        <f t="shared" si="183"/>
        <v>,GTeam= "</v>
      </c>
      <c r="Z611" t="str">
        <f>Matchs!M612</f>
        <v>Belgium</v>
      </c>
      <c r="AA611" s="6" t="str">
        <f t="shared" si="184"/>
        <v>",WinNote="</v>
      </c>
      <c r="AB611" t="str">
        <f>IF(Matchs!N612="","",Matchs!N612)</f>
        <v/>
      </c>
      <c r="AC611" s="6" t="str">
        <f t="shared" si="185"/>
        <v xml:space="preserve">",Stadium=" </v>
      </c>
      <c r="AD611" s="11" t="str">
        <f>Matchs!O612</f>
        <v xml:space="preserve">Oita Bank Dome </v>
      </c>
      <c r="AE611" s="6" t="str">
        <f t="shared" si="186"/>
        <v>",Referee= "</v>
      </c>
      <c r="AF611" s="11" t="str">
        <f>Matchs!P612</f>
        <v xml:space="preserve">Mark Shield </v>
      </c>
      <c r="AG611" s="6" t="str">
        <f t="shared" si="187"/>
        <v xml:space="preserve">",Visistors= </v>
      </c>
      <c r="AH611" s="11">
        <f>Matchs!Q612</f>
        <v>52000</v>
      </c>
      <c r="AI611" s="11" t="str">
        <f t="shared" si="188"/>
        <v>,Status= "</v>
      </c>
      <c r="AJ611" s="11" t="str">
        <f>Matchs!R612</f>
        <v>Finished</v>
      </c>
      <c r="AK611" t="str">
        <f t="shared" si="189"/>
        <v>" },</v>
      </c>
    </row>
    <row r="612" spans="1:37" x14ac:dyDescent="0.25">
      <c r="A612" t="str">
        <f t="shared" si="171"/>
        <v>new Match { MatchId= "</v>
      </c>
      <c r="B612" t="str">
        <f>Matchs!A613</f>
        <v>FIFAWC2002-32</v>
      </c>
      <c r="C612" t="str">
        <f t="shared" si="172"/>
        <v>",MatchNumer=</v>
      </c>
      <c r="D612">
        <f>Matchs!B613</f>
        <v>32</v>
      </c>
      <c r="E612" t="str">
        <f t="shared" si="173"/>
        <v>,DateMatch=DateTime.Parse("</v>
      </c>
      <c r="F612" s="3">
        <f>Matchs!C613</f>
        <v>37417</v>
      </c>
      <c r="G612" s="10" t="str">
        <f t="shared" si="174"/>
        <v>"),TimeMatch=TimeSpan.Parse("</v>
      </c>
      <c r="H612" s="9">
        <f>Matchs!D613</f>
        <v>0.77083333333333337</v>
      </c>
      <c r="I612" t="str">
        <f t="shared" si="175"/>
        <v>"),MatchYear=</v>
      </c>
      <c r="J612">
        <f>Matchs!E613</f>
        <v>2002</v>
      </c>
      <c r="K612" t="str">
        <f t="shared" si="176"/>
        <v>, SeasonId= "</v>
      </c>
      <c r="L612" t="str">
        <f>Matchs!F613</f>
        <v>FIFAWC2002</v>
      </c>
      <c r="M612" t="str">
        <f t="shared" si="177"/>
        <v>",Round= "</v>
      </c>
      <c r="N612" t="str">
        <f>Matchs!G613</f>
        <v>Final Round</v>
      </c>
      <c r="O612" s="6" t="str">
        <f t="shared" si="178"/>
        <v>",Stage= "</v>
      </c>
      <c r="P612" t="str">
        <f>Matchs!H613</f>
        <v>Group</v>
      </c>
      <c r="Q612" s="6" t="str">
        <f t="shared" si="179"/>
        <v>",SubStage= "</v>
      </c>
      <c r="R612" t="str">
        <f>Matchs!I613</f>
        <v xml:space="preserve">Group D </v>
      </c>
      <c r="S612" s="6" t="str">
        <f t="shared" si="180"/>
        <v>",HTeam= "</v>
      </c>
      <c r="T612" t="str">
        <f>Matchs!J613</f>
        <v>Portugal</v>
      </c>
      <c r="U612" s="6" t="str">
        <f t="shared" si="181"/>
        <v>",HGoal=</v>
      </c>
      <c r="V612">
        <f>Matchs!K613</f>
        <v>4</v>
      </c>
      <c r="W612" s="6" t="str">
        <f t="shared" si="182"/>
        <v>,GGoal=</v>
      </c>
      <c r="X612">
        <f>Matchs!L613</f>
        <v>0</v>
      </c>
      <c r="Y612" s="6" t="str">
        <f t="shared" si="183"/>
        <v>,GTeam= "</v>
      </c>
      <c r="Z612" t="str">
        <f>Matchs!M613</f>
        <v>Poland</v>
      </c>
      <c r="AA612" s="6" t="str">
        <f t="shared" si="184"/>
        <v>",WinNote="</v>
      </c>
      <c r="AB612" t="str">
        <f>IF(Matchs!N613="","",Matchs!N613)</f>
        <v/>
      </c>
      <c r="AC612" s="6" t="str">
        <f t="shared" si="185"/>
        <v xml:space="preserve">",Stadium=" </v>
      </c>
      <c r="AD612" s="11" t="str">
        <f>Matchs!O613</f>
        <v xml:space="preserve">Jeonju World Cup Stadium </v>
      </c>
      <c r="AE612" s="6" t="str">
        <f t="shared" si="186"/>
        <v>",Referee= "</v>
      </c>
      <c r="AF612" s="11" t="str">
        <f>Matchs!P613</f>
        <v xml:space="preserve">Hugh Dallas </v>
      </c>
      <c r="AG612" s="6" t="str">
        <f t="shared" si="187"/>
        <v xml:space="preserve">",Visistors= </v>
      </c>
      <c r="AH612" s="11">
        <f>Matchs!Q613</f>
        <v>31000</v>
      </c>
      <c r="AI612" s="11" t="str">
        <f t="shared" si="188"/>
        <v>,Status= "</v>
      </c>
      <c r="AJ612" s="11" t="str">
        <f>Matchs!R613</f>
        <v>Finished</v>
      </c>
      <c r="AK612" t="str">
        <f t="shared" si="189"/>
        <v>" },</v>
      </c>
    </row>
    <row r="613" spans="1:37" x14ac:dyDescent="0.25">
      <c r="A613" t="str">
        <f t="shared" si="171"/>
        <v>new Match { MatchId= "</v>
      </c>
      <c r="B613" t="str">
        <f>Matchs!A614</f>
        <v>FIFAWC2002-33</v>
      </c>
      <c r="C613" t="str">
        <f t="shared" si="172"/>
        <v>",MatchNumer=</v>
      </c>
      <c r="D613">
        <f>Matchs!B614</f>
        <v>33</v>
      </c>
      <c r="E613" t="str">
        <f t="shared" si="173"/>
        <v>,DateMatch=DateTime.Parse("</v>
      </c>
      <c r="F613" s="3">
        <f>Matchs!C614</f>
        <v>37418</v>
      </c>
      <c r="G613" s="10" t="str">
        <f t="shared" si="174"/>
        <v>"),TimeMatch=TimeSpan.Parse("</v>
      </c>
      <c r="H613" s="9">
        <f>Matchs!D614</f>
        <v>0.5625</v>
      </c>
      <c r="I613" t="str">
        <f t="shared" si="175"/>
        <v>"),MatchYear=</v>
      </c>
      <c r="J613">
        <f>Matchs!E614</f>
        <v>2002</v>
      </c>
      <c r="K613" t="str">
        <f t="shared" si="176"/>
        <v>, SeasonId= "</v>
      </c>
      <c r="L613" t="str">
        <f>Matchs!F614</f>
        <v>FIFAWC2002</v>
      </c>
      <c r="M613" t="str">
        <f t="shared" si="177"/>
        <v>",Round= "</v>
      </c>
      <c r="N613" t="str">
        <f>Matchs!G614</f>
        <v>Final Round</v>
      </c>
      <c r="O613" s="6" t="str">
        <f t="shared" si="178"/>
        <v>",Stage= "</v>
      </c>
      <c r="P613" t="str">
        <f>Matchs!H614</f>
        <v>Group</v>
      </c>
      <c r="Q613" s="6" t="str">
        <f t="shared" si="179"/>
        <v>",SubStage= "</v>
      </c>
      <c r="R613" t="str">
        <f>Matchs!I614</f>
        <v xml:space="preserve">Group A </v>
      </c>
      <c r="S613" s="6" t="str">
        <f t="shared" si="180"/>
        <v>",HTeam= "</v>
      </c>
      <c r="T613" t="str">
        <f>Matchs!J614</f>
        <v>Senegal</v>
      </c>
      <c r="U613" s="6" t="str">
        <f t="shared" si="181"/>
        <v>",HGoal=</v>
      </c>
      <c r="V613">
        <f>Matchs!K614</f>
        <v>3</v>
      </c>
      <c r="W613" s="6" t="str">
        <f t="shared" si="182"/>
        <v>,GGoal=</v>
      </c>
      <c r="X613">
        <f>Matchs!L614</f>
        <v>3</v>
      </c>
      <c r="Y613" s="6" t="str">
        <f t="shared" si="183"/>
        <v>,GTeam= "</v>
      </c>
      <c r="Z613" t="str">
        <f>Matchs!M614</f>
        <v>Uruguay</v>
      </c>
      <c r="AA613" s="6" t="str">
        <f t="shared" si="184"/>
        <v>",WinNote="</v>
      </c>
      <c r="AB613" t="str">
        <f>IF(Matchs!N614="","",Matchs!N614)</f>
        <v/>
      </c>
      <c r="AC613" s="6" t="str">
        <f t="shared" si="185"/>
        <v xml:space="preserve">",Stadium=" </v>
      </c>
      <c r="AD613" s="11" t="str">
        <f>Matchs!O614</f>
        <v xml:space="preserve">Suwon World Cup Stadium </v>
      </c>
      <c r="AE613" s="6" t="str">
        <f t="shared" si="186"/>
        <v>",Referee= "</v>
      </c>
      <c r="AF613" s="11" t="str">
        <f>Matchs!P614</f>
        <v xml:space="preserve">Jan Wegereef </v>
      </c>
      <c r="AG613" s="6" t="str">
        <f t="shared" si="187"/>
        <v xml:space="preserve">",Visistors= </v>
      </c>
      <c r="AH613" s="11">
        <f>Matchs!Q614</f>
        <v>33681</v>
      </c>
      <c r="AI613" s="11" t="str">
        <f t="shared" si="188"/>
        <v>,Status= "</v>
      </c>
      <c r="AJ613" s="11" t="str">
        <f>Matchs!R614</f>
        <v>Finished</v>
      </c>
      <c r="AK613" t="str">
        <f t="shared" si="189"/>
        <v>" },</v>
      </c>
    </row>
    <row r="614" spans="1:37" x14ac:dyDescent="0.25">
      <c r="A614" t="str">
        <f t="shared" si="171"/>
        <v>new Match { MatchId= "</v>
      </c>
      <c r="B614" t="str">
        <f>Matchs!A615</f>
        <v>FIFAWC2002-34</v>
      </c>
      <c r="C614" t="str">
        <f t="shared" si="172"/>
        <v>",MatchNumer=</v>
      </c>
      <c r="D614">
        <f>Matchs!B615</f>
        <v>34</v>
      </c>
      <c r="E614" t="str">
        <f t="shared" si="173"/>
        <v>,DateMatch=DateTime.Parse("</v>
      </c>
      <c r="F614" s="3">
        <f>Matchs!C615</f>
        <v>37418</v>
      </c>
      <c r="G614" s="10" t="str">
        <f t="shared" si="174"/>
        <v>"),TimeMatch=TimeSpan.Parse("</v>
      </c>
      <c r="H614" s="9">
        <f>Matchs!D615</f>
        <v>0.5625</v>
      </c>
      <c r="I614" t="str">
        <f t="shared" si="175"/>
        <v>"),MatchYear=</v>
      </c>
      <c r="J614">
        <f>Matchs!E615</f>
        <v>2002</v>
      </c>
      <c r="K614" t="str">
        <f t="shared" si="176"/>
        <v>, SeasonId= "</v>
      </c>
      <c r="L614" t="str">
        <f>Matchs!F615</f>
        <v>FIFAWC2002</v>
      </c>
      <c r="M614" t="str">
        <f t="shared" si="177"/>
        <v>",Round= "</v>
      </c>
      <c r="N614" t="str">
        <f>Matchs!G615</f>
        <v>Final Round</v>
      </c>
      <c r="O614" s="6" t="str">
        <f t="shared" si="178"/>
        <v>",Stage= "</v>
      </c>
      <c r="P614" t="str">
        <f>Matchs!H615</f>
        <v>Group</v>
      </c>
      <c r="Q614" s="6" t="str">
        <f t="shared" si="179"/>
        <v>",SubStage= "</v>
      </c>
      <c r="R614" t="str">
        <f>Matchs!I615</f>
        <v xml:space="preserve">Group A </v>
      </c>
      <c r="S614" s="6" t="str">
        <f t="shared" si="180"/>
        <v>",HTeam= "</v>
      </c>
      <c r="T614" t="str">
        <f>Matchs!J615</f>
        <v>Denmark</v>
      </c>
      <c r="U614" s="6" t="str">
        <f t="shared" si="181"/>
        <v>",HGoal=</v>
      </c>
      <c r="V614">
        <f>Matchs!K615</f>
        <v>2</v>
      </c>
      <c r="W614" s="6" t="str">
        <f t="shared" si="182"/>
        <v>,GGoal=</v>
      </c>
      <c r="X614">
        <f>Matchs!L615</f>
        <v>0</v>
      </c>
      <c r="Y614" s="6" t="str">
        <f t="shared" si="183"/>
        <v>,GTeam= "</v>
      </c>
      <c r="Z614" t="str">
        <f>Matchs!M615</f>
        <v>France</v>
      </c>
      <c r="AA614" s="6" t="str">
        <f t="shared" si="184"/>
        <v>",WinNote="</v>
      </c>
      <c r="AB614" t="str">
        <f>IF(Matchs!N615="","",Matchs!N615)</f>
        <v/>
      </c>
      <c r="AC614" s="6" t="str">
        <f t="shared" si="185"/>
        <v xml:space="preserve">",Stadium=" </v>
      </c>
      <c r="AD614" s="11" t="str">
        <f>Matchs!O615</f>
        <v xml:space="preserve">Incheon Munhak Stadium </v>
      </c>
      <c r="AE614" s="6" t="str">
        <f t="shared" si="186"/>
        <v>",Referee= "</v>
      </c>
      <c r="AF614" s="11" t="str">
        <f>Matchs!P615</f>
        <v xml:space="preserve">Vitor Melo Pereira </v>
      </c>
      <c r="AG614" s="6" t="str">
        <f t="shared" si="187"/>
        <v xml:space="preserve">",Visistors= </v>
      </c>
      <c r="AH614" s="11">
        <f>Matchs!Q615</f>
        <v>48100</v>
      </c>
      <c r="AI614" s="11" t="str">
        <f t="shared" si="188"/>
        <v>,Status= "</v>
      </c>
      <c r="AJ614" s="11" t="str">
        <f>Matchs!R615</f>
        <v>Finished</v>
      </c>
      <c r="AK614" t="str">
        <f t="shared" si="189"/>
        <v>" },</v>
      </c>
    </row>
    <row r="615" spans="1:37" x14ac:dyDescent="0.25">
      <c r="A615" t="str">
        <f t="shared" si="171"/>
        <v>new Match { MatchId= "</v>
      </c>
      <c r="B615" t="str">
        <f>Matchs!A616</f>
        <v>FIFAWC2002-35</v>
      </c>
      <c r="C615" t="str">
        <f t="shared" si="172"/>
        <v>",MatchNumer=</v>
      </c>
      <c r="D615">
        <f>Matchs!B616</f>
        <v>35</v>
      </c>
      <c r="E615" t="str">
        <f t="shared" si="173"/>
        <v>,DateMatch=DateTime.Parse("</v>
      </c>
      <c r="F615" s="3">
        <f>Matchs!C616</f>
        <v>37418</v>
      </c>
      <c r="G615" s="10" t="str">
        <f t="shared" si="174"/>
        <v>"),TimeMatch=TimeSpan.Parse("</v>
      </c>
      <c r="H615" s="9">
        <f>Matchs!D616</f>
        <v>0.77083333333333337</v>
      </c>
      <c r="I615" t="str">
        <f t="shared" si="175"/>
        <v>"),MatchYear=</v>
      </c>
      <c r="J615">
        <f>Matchs!E616</f>
        <v>2002</v>
      </c>
      <c r="K615" t="str">
        <f t="shared" si="176"/>
        <v>, SeasonId= "</v>
      </c>
      <c r="L615" t="str">
        <f>Matchs!F616</f>
        <v>FIFAWC2002</v>
      </c>
      <c r="M615" t="str">
        <f t="shared" si="177"/>
        <v>",Round= "</v>
      </c>
      <c r="N615" t="str">
        <f>Matchs!G616</f>
        <v>Final Round</v>
      </c>
      <c r="O615" s="6" t="str">
        <f t="shared" si="178"/>
        <v>",Stage= "</v>
      </c>
      <c r="P615" t="str">
        <f>Matchs!H616</f>
        <v>Group</v>
      </c>
      <c r="Q615" s="6" t="str">
        <f t="shared" si="179"/>
        <v>",SubStage= "</v>
      </c>
      <c r="R615" t="str">
        <f>Matchs!I616</f>
        <v xml:space="preserve">Group E </v>
      </c>
      <c r="S615" s="6" t="str">
        <f t="shared" si="180"/>
        <v>",HTeam= "</v>
      </c>
      <c r="T615" t="str">
        <f>Matchs!J616</f>
        <v>Saudi Arabia</v>
      </c>
      <c r="U615" s="6" t="str">
        <f t="shared" si="181"/>
        <v>",HGoal=</v>
      </c>
      <c r="V615">
        <f>Matchs!K616</f>
        <v>0</v>
      </c>
      <c r="W615" s="6" t="str">
        <f t="shared" si="182"/>
        <v>,GGoal=</v>
      </c>
      <c r="X615">
        <f>Matchs!L616</f>
        <v>3</v>
      </c>
      <c r="Y615" s="6" t="str">
        <f t="shared" si="183"/>
        <v>,GTeam= "</v>
      </c>
      <c r="Z615" t="str">
        <f>Matchs!M616</f>
        <v>Republic of Ireland</v>
      </c>
      <c r="AA615" s="6" t="str">
        <f t="shared" si="184"/>
        <v>",WinNote="</v>
      </c>
      <c r="AB615" t="str">
        <f>IF(Matchs!N616="","",Matchs!N616)</f>
        <v/>
      </c>
      <c r="AC615" s="6" t="str">
        <f t="shared" si="185"/>
        <v xml:space="preserve">",Stadium=" </v>
      </c>
      <c r="AD615" s="11" t="str">
        <f>Matchs!O616</f>
        <v xml:space="preserve">International Stadium Yokohama </v>
      </c>
      <c r="AE615" s="6" t="str">
        <f t="shared" si="186"/>
        <v>",Referee= "</v>
      </c>
      <c r="AF615" s="11" t="str">
        <f>Matchs!P616</f>
        <v xml:space="preserve">Falla N'Doye </v>
      </c>
      <c r="AG615" s="6" t="str">
        <f t="shared" si="187"/>
        <v xml:space="preserve">",Visistors= </v>
      </c>
      <c r="AH615" s="11">
        <f>Matchs!Q616</f>
        <v>65320</v>
      </c>
      <c r="AI615" s="11" t="str">
        <f t="shared" si="188"/>
        <v>,Status= "</v>
      </c>
      <c r="AJ615" s="11" t="str">
        <f>Matchs!R616</f>
        <v>Finished</v>
      </c>
      <c r="AK615" t="str">
        <f t="shared" si="189"/>
        <v>" },</v>
      </c>
    </row>
    <row r="616" spans="1:37" x14ac:dyDescent="0.25">
      <c r="A616" t="str">
        <f t="shared" si="171"/>
        <v>new Match { MatchId= "</v>
      </c>
      <c r="B616" t="str">
        <f>Matchs!A617</f>
        <v>FIFAWC2002-36</v>
      </c>
      <c r="C616" t="str">
        <f t="shared" si="172"/>
        <v>",MatchNumer=</v>
      </c>
      <c r="D616">
        <f>Matchs!B617</f>
        <v>36</v>
      </c>
      <c r="E616" t="str">
        <f t="shared" si="173"/>
        <v>,DateMatch=DateTime.Parse("</v>
      </c>
      <c r="F616" s="3">
        <f>Matchs!C617</f>
        <v>37418</v>
      </c>
      <c r="G616" s="10" t="str">
        <f t="shared" si="174"/>
        <v>"),TimeMatch=TimeSpan.Parse("</v>
      </c>
      <c r="H616" s="9">
        <f>Matchs!D617</f>
        <v>0.77083333333333337</v>
      </c>
      <c r="I616" t="str">
        <f t="shared" si="175"/>
        <v>"),MatchYear=</v>
      </c>
      <c r="J616">
        <f>Matchs!E617</f>
        <v>2002</v>
      </c>
      <c r="K616" t="str">
        <f t="shared" si="176"/>
        <v>, SeasonId= "</v>
      </c>
      <c r="L616" t="str">
        <f>Matchs!F617</f>
        <v>FIFAWC2002</v>
      </c>
      <c r="M616" t="str">
        <f t="shared" si="177"/>
        <v>",Round= "</v>
      </c>
      <c r="N616" t="str">
        <f>Matchs!G617</f>
        <v>Final Round</v>
      </c>
      <c r="O616" s="6" t="str">
        <f t="shared" si="178"/>
        <v>",Stage= "</v>
      </c>
      <c r="P616" t="str">
        <f>Matchs!H617</f>
        <v>Group</v>
      </c>
      <c r="Q616" s="6" t="str">
        <f t="shared" si="179"/>
        <v>",SubStage= "</v>
      </c>
      <c r="R616" t="str">
        <f>Matchs!I617</f>
        <v xml:space="preserve">Group E </v>
      </c>
      <c r="S616" s="6" t="str">
        <f t="shared" si="180"/>
        <v>",HTeam= "</v>
      </c>
      <c r="T616" t="str">
        <f>Matchs!J617</f>
        <v>Cameroon</v>
      </c>
      <c r="U616" s="6" t="str">
        <f t="shared" si="181"/>
        <v>",HGoal=</v>
      </c>
      <c r="V616">
        <f>Matchs!K617</f>
        <v>0</v>
      </c>
      <c r="W616" s="6" t="str">
        <f t="shared" si="182"/>
        <v>,GGoal=</v>
      </c>
      <c r="X616">
        <f>Matchs!L617</f>
        <v>2</v>
      </c>
      <c r="Y616" s="6" t="str">
        <f t="shared" si="183"/>
        <v>,GTeam= "</v>
      </c>
      <c r="Z616" t="str">
        <f>Matchs!M617</f>
        <v>Germany</v>
      </c>
      <c r="AA616" s="6" t="str">
        <f t="shared" si="184"/>
        <v>",WinNote="</v>
      </c>
      <c r="AB616" t="str">
        <f>IF(Matchs!N617="","",Matchs!N617)</f>
        <v/>
      </c>
      <c r="AC616" s="6" t="str">
        <f t="shared" si="185"/>
        <v xml:space="preserve">",Stadium=" </v>
      </c>
      <c r="AD616" s="11" t="str">
        <f>Matchs!O617</f>
        <v xml:space="preserve">Shizuoka Stadium </v>
      </c>
      <c r="AE616" s="6" t="str">
        <f t="shared" si="186"/>
        <v>",Referee= "</v>
      </c>
      <c r="AF616" s="11" t="str">
        <f>Matchs!P617</f>
        <v xml:space="preserve">Antonio Lopez Nieto </v>
      </c>
      <c r="AG616" s="6" t="str">
        <f t="shared" si="187"/>
        <v xml:space="preserve">",Visistors= </v>
      </c>
      <c r="AH616" s="11">
        <f>Matchs!Q617</f>
        <v>47085</v>
      </c>
      <c r="AI616" s="11" t="str">
        <f t="shared" si="188"/>
        <v>,Status= "</v>
      </c>
      <c r="AJ616" s="11" t="str">
        <f>Matchs!R617</f>
        <v>Finished</v>
      </c>
      <c r="AK616" t="str">
        <f t="shared" si="189"/>
        <v>" },</v>
      </c>
    </row>
    <row r="617" spans="1:37" x14ac:dyDescent="0.25">
      <c r="A617" t="str">
        <f t="shared" si="171"/>
        <v>new Match { MatchId= "</v>
      </c>
      <c r="B617" t="str">
        <f>Matchs!A618</f>
        <v>FIFAWC2002-37</v>
      </c>
      <c r="C617" t="str">
        <f t="shared" si="172"/>
        <v>",MatchNumer=</v>
      </c>
      <c r="D617">
        <f>Matchs!B618</f>
        <v>37</v>
      </c>
      <c r="E617" t="str">
        <f t="shared" si="173"/>
        <v>,DateMatch=DateTime.Parse("</v>
      </c>
      <c r="F617" s="3">
        <f>Matchs!C618</f>
        <v>37419</v>
      </c>
      <c r="G617" s="10" t="str">
        <f t="shared" si="174"/>
        <v>"),TimeMatch=TimeSpan.Parse("</v>
      </c>
      <c r="H617" s="9">
        <f>Matchs!D618</f>
        <v>0.5625</v>
      </c>
      <c r="I617" t="str">
        <f t="shared" si="175"/>
        <v>"),MatchYear=</v>
      </c>
      <c r="J617">
        <f>Matchs!E618</f>
        <v>2002</v>
      </c>
      <c r="K617" t="str">
        <f t="shared" si="176"/>
        <v>, SeasonId= "</v>
      </c>
      <c r="L617" t="str">
        <f>Matchs!F618</f>
        <v>FIFAWC2002</v>
      </c>
      <c r="M617" t="str">
        <f t="shared" si="177"/>
        <v>",Round= "</v>
      </c>
      <c r="N617" t="str">
        <f>Matchs!G618</f>
        <v>Final Round</v>
      </c>
      <c r="O617" s="6" t="str">
        <f t="shared" si="178"/>
        <v>",Stage= "</v>
      </c>
      <c r="P617" t="str">
        <f>Matchs!H618</f>
        <v>Group</v>
      </c>
      <c r="Q617" s="6" t="str">
        <f t="shared" si="179"/>
        <v>",SubStage= "</v>
      </c>
      <c r="R617" t="str">
        <f>Matchs!I618</f>
        <v xml:space="preserve">Group F </v>
      </c>
      <c r="S617" s="6" t="str">
        <f t="shared" si="180"/>
        <v>",HTeam= "</v>
      </c>
      <c r="T617" t="str">
        <f>Matchs!J618</f>
        <v>Nigeria</v>
      </c>
      <c r="U617" s="6" t="str">
        <f t="shared" si="181"/>
        <v>",HGoal=</v>
      </c>
      <c r="V617">
        <f>Matchs!K618</f>
        <v>0</v>
      </c>
      <c r="W617" s="6" t="str">
        <f t="shared" si="182"/>
        <v>,GGoal=</v>
      </c>
      <c r="X617">
        <f>Matchs!L618</f>
        <v>0</v>
      </c>
      <c r="Y617" s="6" t="str">
        <f t="shared" si="183"/>
        <v>,GTeam= "</v>
      </c>
      <c r="Z617" t="str">
        <f>Matchs!M618</f>
        <v>England</v>
      </c>
      <c r="AA617" s="6" t="str">
        <f t="shared" si="184"/>
        <v>",WinNote="</v>
      </c>
      <c r="AB617" t="str">
        <f>IF(Matchs!N618="","",Matchs!N618)</f>
        <v/>
      </c>
      <c r="AC617" s="6" t="str">
        <f t="shared" si="185"/>
        <v xml:space="preserve">",Stadium=" </v>
      </c>
      <c r="AD617" s="11" t="str">
        <f>Matchs!O618</f>
        <v xml:space="preserve">Nagai Stadium </v>
      </c>
      <c r="AE617" s="6" t="str">
        <f t="shared" si="186"/>
        <v>",Referee= "</v>
      </c>
      <c r="AF617" s="11" t="str">
        <f>Matchs!P618</f>
        <v xml:space="preserve">Brian Hall </v>
      </c>
      <c r="AG617" s="6" t="str">
        <f t="shared" si="187"/>
        <v xml:space="preserve">",Visistors= </v>
      </c>
      <c r="AH617" s="11">
        <f>Matchs!Q618</f>
        <v>44684</v>
      </c>
      <c r="AI617" s="11" t="str">
        <f t="shared" si="188"/>
        <v>,Status= "</v>
      </c>
      <c r="AJ617" s="11" t="str">
        <f>Matchs!R618</f>
        <v>Finished</v>
      </c>
      <c r="AK617" t="str">
        <f t="shared" si="189"/>
        <v>" },</v>
      </c>
    </row>
    <row r="618" spans="1:37" x14ac:dyDescent="0.25">
      <c r="A618" t="str">
        <f t="shared" si="171"/>
        <v>new Match { MatchId= "</v>
      </c>
      <c r="B618" t="str">
        <f>Matchs!A619</f>
        <v>FIFAWC2002-38</v>
      </c>
      <c r="C618" t="str">
        <f t="shared" si="172"/>
        <v>",MatchNumer=</v>
      </c>
      <c r="D618">
        <f>Matchs!B619</f>
        <v>38</v>
      </c>
      <c r="E618" t="str">
        <f t="shared" si="173"/>
        <v>,DateMatch=DateTime.Parse("</v>
      </c>
      <c r="F618" s="3">
        <f>Matchs!C619</f>
        <v>37419</v>
      </c>
      <c r="G618" s="10" t="str">
        <f t="shared" si="174"/>
        <v>"),TimeMatch=TimeSpan.Parse("</v>
      </c>
      <c r="H618" s="9">
        <f>Matchs!D619</f>
        <v>0.5625</v>
      </c>
      <c r="I618" t="str">
        <f t="shared" si="175"/>
        <v>"),MatchYear=</v>
      </c>
      <c r="J618">
        <f>Matchs!E619</f>
        <v>2002</v>
      </c>
      <c r="K618" t="str">
        <f t="shared" si="176"/>
        <v>, SeasonId= "</v>
      </c>
      <c r="L618" t="str">
        <f>Matchs!F619</f>
        <v>FIFAWC2002</v>
      </c>
      <c r="M618" t="str">
        <f t="shared" si="177"/>
        <v>",Round= "</v>
      </c>
      <c r="N618" t="str">
        <f>Matchs!G619</f>
        <v>Final Round</v>
      </c>
      <c r="O618" s="6" t="str">
        <f t="shared" si="178"/>
        <v>",Stage= "</v>
      </c>
      <c r="P618" t="str">
        <f>Matchs!H619</f>
        <v>Group</v>
      </c>
      <c r="Q618" s="6" t="str">
        <f t="shared" si="179"/>
        <v>",SubStage= "</v>
      </c>
      <c r="R618" t="str">
        <f>Matchs!I619</f>
        <v xml:space="preserve">Group F </v>
      </c>
      <c r="S618" s="6" t="str">
        <f t="shared" si="180"/>
        <v>",HTeam= "</v>
      </c>
      <c r="T618" t="str">
        <f>Matchs!J619</f>
        <v>Sweden</v>
      </c>
      <c r="U618" s="6" t="str">
        <f t="shared" si="181"/>
        <v>",HGoal=</v>
      </c>
      <c r="V618">
        <f>Matchs!K619</f>
        <v>1</v>
      </c>
      <c r="W618" s="6" t="str">
        <f t="shared" si="182"/>
        <v>,GGoal=</v>
      </c>
      <c r="X618">
        <f>Matchs!L619</f>
        <v>1</v>
      </c>
      <c r="Y618" s="6" t="str">
        <f t="shared" si="183"/>
        <v>,GTeam= "</v>
      </c>
      <c r="Z618" t="str">
        <f>Matchs!M619</f>
        <v>Argentina</v>
      </c>
      <c r="AA618" s="6" t="str">
        <f t="shared" si="184"/>
        <v>",WinNote="</v>
      </c>
      <c r="AB618" t="str">
        <f>IF(Matchs!N619="","",Matchs!N619)</f>
        <v/>
      </c>
      <c r="AC618" s="6" t="str">
        <f t="shared" si="185"/>
        <v xml:space="preserve">",Stadium=" </v>
      </c>
      <c r="AD618" s="11" t="str">
        <f>Matchs!O619</f>
        <v xml:space="preserve">Miyagi Stadium </v>
      </c>
      <c r="AE618" s="6" t="str">
        <f t="shared" si="186"/>
        <v>",Referee= "</v>
      </c>
      <c r="AF618" s="11" t="str">
        <f>Matchs!P619</f>
        <v xml:space="preserve">Ali Bujsaim </v>
      </c>
      <c r="AG618" s="6" t="str">
        <f t="shared" si="187"/>
        <v xml:space="preserve">",Visistors= </v>
      </c>
      <c r="AH618" s="11">
        <f>Matchs!Q619</f>
        <v>45777</v>
      </c>
      <c r="AI618" s="11" t="str">
        <f t="shared" si="188"/>
        <v>,Status= "</v>
      </c>
      <c r="AJ618" s="11" t="str">
        <f>Matchs!R619</f>
        <v>Finished</v>
      </c>
      <c r="AK618" t="str">
        <f t="shared" si="189"/>
        <v>" },</v>
      </c>
    </row>
    <row r="619" spans="1:37" x14ac:dyDescent="0.25">
      <c r="A619" t="str">
        <f t="shared" si="171"/>
        <v>new Match { MatchId= "</v>
      </c>
      <c r="B619" t="str">
        <f>Matchs!A620</f>
        <v>FIFAWC2002-39</v>
      </c>
      <c r="C619" t="str">
        <f t="shared" si="172"/>
        <v>",MatchNumer=</v>
      </c>
      <c r="D619">
        <f>Matchs!B620</f>
        <v>39</v>
      </c>
      <c r="E619" t="str">
        <f t="shared" si="173"/>
        <v>,DateMatch=DateTime.Parse("</v>
      </c>
      <c r="F619" s="3">
        <f>Matchs!C620</f>
        <v>37419</v>
      </c>
      <c r="G619" s="10" t="str">
        <f t="shared" si="174"/>
        <v>"),TimeMatch=TimeSpan.Parse("</v>
      </c>
      <c r="H619" s="9">
        <f>Matchs!D620</f>
        <v>0.77083333333333337</v>
      </c>
      <c r="I619" t="str">
        <f t="shared" si="175"/>
        <v>"),MatchYear=</v>
      </c>
      <c r="J619">
        <f>Matchs!E620</f>
        <v>2002</v>
      </c>
      <c r="K619" t="str">
        <f t="shared" si="176"/>
        <v>, SeasonId= "</v>
      </c>
      <c r="L619" t="str">
        <f>Matchs!F620</f>
        <v>FIFAWC2002</v>
      </c>
      <c r="M619" t="str">
        <f t="shared" si="177"/>
        <v>",Round= "</v>
      </c>
      <c r="N619" t="str">
        <f>Matchs!G620</f>
        <v>Final Round</v>
      </c>
      <c r="O619" s="6" t="str">
        <f t="shared" si="178"/>
        <v>",Stage= "</v>
      </c>
      <c r="P619" t="str">
        <f>Matchs!H620</f>
        <v>Group</v>
      </c>
      <c r="Q619" s="6" t="str">
        <f t="shared" si="179"/>
        <v>",SubStage= "</v>
      </c>
      <c r="R619" t="str">
        <f>Matchs!I620</f>
        <v xml:space="preserve">Group B </v>
      </c>
      <c r="S619" s="6" t="str">
        <f t="shared" si="180"/>
        <v>",HTeam= "</v>
      </c>
      <c r="T619" t="str">
        <f>Matchs!J620</f>
        <v>South Africa</v>
      </c>
      <c r="U619" s="6" t="str">
        <f t="shared" si="181"/>
        <v>",HGoal=</v>
      </c>
      <c r="V619">
        <f>Matchs!K620</f>
        <v>2</v>
      </c>
      <c r="W619" s="6" t="str">
        <f t="shared" si="182"/>
        <v>,GGoal=</v>
      </c>
      <c r="X619">
        <f>Matchs!L620</f>
        <v>3</v>
      </c>
      <c r="Y619" s="6" t="str">
        <f t="shared" si="183"/>
        <v>,GTeam= "</v>
      </c>
      <c r="Z619" t="str">
        <f>Matchs!M620</f>
        <v>Spain</v>
      </c>
      <c r="AA619" s="6" t="str">
        <f t="shared" si="184"/>
        <v>",WinNote="</v>
      </c>
      <c r="AB619" t="str">
        <f>IF(Matchs!N620="","",Matchs!N620)</f>
        <v/>
      </c>
      <c r="AC619" s="6" t="str">
        <f t="shared" si="185"/>
        <v xml:space="preserve">",Stadium=" </v>
      </c>
      <c r="AD619" s="11" t="str">
        <f>Matchs!O620</f>
        <v xml:space="preserve">Daejeon World Cup Stadium </v>
      </c>
      <c r="AE619" s="6" t="str">
        <f t="shared" si="186"/>
        <v>",Referee= "</v>
      </c>
      <c r="AF619" s="11" t="str">
        <f>Matchs!P620</f>
        <v xml:space="preserve">Saad Mane </v>
      </c>
      <c r="AG619" s="6" t="str">
        <f t="shared" si="187"/>
        <v xml:space="preserve">",Visistors= </v>
      </c>
      <c r="AH619" s="11">
        <f>Matchs!Q620</f>
        <v>31024</v>
      </c>
      <c r="AI619" s="11" t="str">
        <f t="shared" si="188"/>
        <v>,Status= "</v>
      </c>
      <c r="AJ619" s="11" t="str">
        <f>Matchs!R620</f>
        <v>Finished</v>
      </c>
      <c r="AK619" t="str">
        <f t="shared" si="189"/>
        <v>" },</v>
      </c>
    </row>
    <row r="620" spans="1:37" x14ac:dyDescent="0.25">
      <c r="A620" t="str">
        <f t="shared" si="171"/>
        <v>new Match { MatchId= "</v>
      </c>
      <c r="B620" t="str">
        <f>Matchs!A621</f>
        <v>FIFAWC2002-40</v>
      </c>
      <c r="C620" t="str">
        <f t="shared" si="172"/>
        <v>",MatchNumer=</v>
      </c>
      <c r="D620">
        <f>Matchs!B621</f>
        <v>40</v>
      </c>
      <c r="E620" t="str">
        <f t="shared" si="173"/>
        <v>,DateMatch=DateTime.Parse("</v>
      </c>
      <c r="F620" s="3">
        <f>Matchs!C621</f>
        <v>37419</v>
      </c>
      <c r="G620" s="10" t="str">
        <f t="shared" si="174"/>
        <v>"),TimeMatch=TimeSpan.Parse("</v>
      </c>
      <c r="H620" s="9">
        <f>Matchs!D621</f>
        <v>0.77083333333333337</v>
      </c>
      <c r="I620" t="str">
        <f t="shared" si="175"/>
        <v>"),MatchYear=</v>
      </c>
      <c r="J620">
        <f>Matchs!E621</f>
        <v>2002</v>
      </c>
      <c r="K620" t="str">
        <f t="shared" si="176"/>
        <v>, SeasonId= "</v>
      </c>
      <c r="L620" t="str">
        <f>Matchs!F621</f>
        <v>FIFAWC2002</v>
      </c>
      <c r="M620" t="str">
        <f t="shared" si="177"/>
        <v>",Round= "</v>
      </c>
      <c r="N620" t="str">
        <f>Matchs!G621</f>
        <v>Final Round</v>
      </c>
      <c r="O620" s="6" t="str">
        <f t="shared" si="178"/>
        <v>",Stage= "</v>
      </c>
      <c r="P620" t="str">
        <f>Matchs!H621</f>
        <v>Group</v>
      </c>
      <c r="Q620" s="6" t="str">
        <f t="shared" si="179"/>
        <v>",SubStage= "</v>
      </c>
      <c r="R620" t="str">
        <f>Matchs!I621</f>
        <v xml:space="preserve">Group B </v>
      </c>
      <c r="S620" s="6" t="str">
        <f t="shared" si="180"/>
        <v>",HTeam= "</v>
      </c>
      <c r="T620" t="str">
        <f>Matchs!J621</f>
        <v>Slovenia</v>
      </c>
      <c r="U620" s="6" t="str">
        <f t="shared" si="181"/>
        <v>",HGoal=</v>
      </c>
      <c r="V620">
        <f>Matchs!K621</f>
        <v>1</v>
      </c>
      <c r="W620" s="6" t="str">
        <f t="shared" si="182"/>
        <v>,GGoal=</v>
      </c>
      <c r="X620">
        <f>Matchs!L621</f>
        <v>3</v>
      </c>
      <c r="Y620" s="6" t="str">
        <f t="shared" si="183"/>
        <v>,GTeam= "</v>
      </c>
      <c r="Z620" t="str">
        <f>Matchs!M621</f>
        <v>Paraguay</v>
      </c>
      <c r="AA620" s="6" t="str">
        <f t="shared" si="184"/>
        <v>",WinNote="</v>
      </c>
      <c r="AB620" t="str">
        <f>IF(Matchs!N621="","",Matchs!N621)</f>
        <v/>
      </c>
      <c r="AC620" s="6" t="str">
        <f t="shared" si="185"/>
        <v xml:space="preserve">",Stadium=" </v>
      </c>
      <c r="AD620" s="11" t="str">
        <f>Matchs!O621</f>
        <v xml:space="preserve">Jeju World Cup Stadium </v>
      </c>
      <c r="AE620" s="6" t="str">
        <f t="shared" si="186"/>
        <v>",Referee= "</v>
      </c>
      <c r="AF620" s="11" t="str">
        <f>Matchs!P621</f>
        <v xml:space="preserve">Felipe Ramos </v>
      </c>
      <c r="AG620" s="6" t="str">
        <f t="shared" si="187"/>
        <v xml:space="preserve">",Visistors= </v>
      </c>
      <c r="AH620" s="11">
        <f>Matchs!Q621</f>
        <v>30176</v>
      </c>
      <c r="AI620" s="11" t="str">
        <f t="shared" si="188"/>
        <v>,Status= "</v>
      </c>
      <c r="AJ620" s="11" t="str">
        <f>Matchs!R621</f>
        <v>Finished</v>
      </c>
      <c r="AK620" t="str">
        <f t="shared" si="189"/>
        <v>" },</v>
      </c>
    </row>
    <row r="621" spans="1:37" x14ac:dyDescent="0.25">
      <c r="A621" t="str">
        <f t="shared" si="171"/>
        <v>new Match { MatchId= "</v>
      </c>
      <c r="B621" t="str">
        <f>Matchs!A622</f>
        <v>FIFAWC2002-41</v>
      </c>
      <c r="C621" t="str">
        <f t="shared" si="172"/>
        <v>",MatchNumer=</v>
      </c>
      <c r="D621">
        <f>Matchs!B622</f>
        <v>41</v>
      </c>
      <c r="E621" t="str">
        <f t="shared" si="173"/>
        <v>,DateMatch=DateTime.Parse("</v>
      </c>
      <c r="F621" s="3">
        <f>Matchs!C622</f>
        <v>37420</v>
      </c>
      <c r="G621" s="10" t="str">
        <f t="shared" si="174"/>
        <v>"),TimeMatch=TimeSpan.Parse("</v>
      </c>
      <c r="H621" s="9">
        <f>Matchs!D622</f>
        <v>0.5625</v>
      </c>
      <c r="I621" t="str">
        <f t="shared" si="175"/>
        <v>"),MatchYear=</v>
      </c>
      <c r="J621">
        <f>Matchs!E622</f>
        <v>2002</v>
      </c>
      <c r="K621" t="str">
        <f t="shared" si="176"/>
        <v>, SeasonId= "</v>
      </c>
      <c r="L621" t="str">
        <f>Matchs!F622</f>
        <v>FIFAWC2002</v>
      </c>
      <c r="M621" t="str">
        <f t="shared" si="177"/>
        <v>",Round= "</v>
      </c>
      <c r="N621" t="str">
        <f>Matchs!G622</f>
        <v>Final Round</v>
      </c>
      <c r="O621" s="6" t="str">
        <f t="shared" si="178"/>
        <v>",Stage= "</v>
      </c>
      <c r="P621" t="str">
        <f>Matchs!H622</f>
        <v>Group</v>
      </c>
      <c r="Q621" s="6" t="str">
        <f t="shared" si="179"/>
        <v>",SubStage= "</v>
      </c>
      <c r="R621" t="str">
        <f>Matchs!I622</f>
        <v xml:space="preserve">Group C </v>
      </c>
      <c r="S621" s="6" t="str">
        <f t="shared" si="180"/>
        <v>",HTeam= "</v>
      </c>
      <c r="T621" t="str">
        <f>Matchs!J622</f>
        <v>Turkey</v>
      </c>
      <c r="U621" s="6" t="str">
        <f t="shared" si="181"/>
        <v>",HGoal=</v>
      </c>
      <c r="V621">
        <f>Matchs!K622</f>
        <v>3</v>
      </c>
      <c r="W621" s="6" t="str">
        <f t="shared" si="182"/>
        <v>,GGoal=</v>
      </c>
      <c r="X621">
        <f>Matchs!L622</f>
        <v>0</v>
      </c>
      <c r="Y621" s="6" t="str">
        <f t="shared" si="183"/>
        <v>,GTeam= "</v>
      </c>
      <c r="Z621" t="str">
        <f>Matchs!M622</f>
        <v>China</v>
      </c>
      <c r="AA621" s="6" t="str">
        <f t="shared" si="184"/>
        <v>",WinNote="</v>
      </c>
      <c r="AB621" t="str">
        <f>IF(Matchs!N622="","",Matchs!N622)</f>
        <v/>
      </c>
      <c r="AC621" s="6" t="str">
        <f t="shared" si="185"/>
        <v xml:space="preserve">",Stadium=" </v>
      </c>
      <c r="AD621" s="11" t="str">
        <f>Matchs!O622</f>
        <v xml:space="preserve">Seoul World Cup Stadium </v>
      </c>
      <c r="AE621" s="6" t="str">
        <f t="shared" si="186"/>
        <v>",Referee= "</v>
      </c>
      <c r="AF621" s="11" t="str">
        <f>Matchs!P622</f>
        <v xml:space="preserve">Oscar Ruiz </v>
      </c>
      <c r="AG621" s="6" t="str">
        <f t="shared" si="187"/>
        <v xml:space="preserve">",Visistors= </v>
      </c>
      <c r="AH621" s="11">
        <f>Matchs!Q622</f>
        <v>43605</v>
      </c>
      <c r="AI621" s="11" t="str">
        <f t="shared" si="188"/>
        <v>,Status= "</v>
      </c>
      <c r="AJ621" s="11" t="str">
        <f>Matchs!R622</f>
        <v>Finished</v>
      </c>
      <c r="AK621" t="str">
        <f t="shared" si="189"/>
        <v>" },</v>
      </c>
    </row>
    <row r="622" spans="1:37" x14ac:dyDescent="0.25">
      <c r="A622" t="str">
        <f t="shared" si="171"/>
        <v>new Match { MatchId= "</v>
      </c>
      <c r="B622" t="str">
        <f>Matchs!A623</f>
        <v>FIFAWC2002-42</v>
      </c>
      <c r="C622" t="str">
        <f t="shared" si="172"/>
        <v>",MatchNumer=</v>
      </c>
      <c r="D622">
        <f>Matchs!B623</f>
        <v>42</v>
      </c>
      <c r="E622" t="str">
        <f t="shared" si="173"/>
        <v>,DateMatch=DateTime.Parse("</v>
      </c>
      <c r="F622" s="3">
        <f>Matchs!C623</f>
        <v>37420</v>
      </c>
      <c r="G622" s="10" t="str">
        <f t="shared" si="174"/>
        <v>"),TimeMatch=TimeSpan.Parse("</v>
      </c>
      <c r="H622" s="9">
        <f>Matchs!D623</f>
        <v>0.5625</v>
      </c>
      <c r="I622" t="str">
        <f t="shared" si="175"/>
        <v>"),MatchYear=</v>
      </c>
      <c r="J622">
        <f>Matchs!E623</f>
        <v>2002</v>
      </c>
      <c r="K622" t="str">
        <f t="shared" si="176"/>
        <v>, SeasonId= "</v>
      </c>
      <c r="L622" t="str">
        <f>Matchs!F623</f>
        <v>FIFAWC2002</v>
      </c>
      <c r="M622" t="str">
        <f t="shared" si="177"/>
        <v>",Round= "</v>
      </c>
      <c r="N622" t="str">
        <f>Matchs!G623</f>
        <v>Final Round</v>
      </c>
      <c r="O622" s="6" t="str">
        <f t="shared" si="178"/>
        <v>",Stage= "</v>
      </c>
      <c r="P622" t="str">
        <f>Matchs!H623</f>
        <v>Group</v>
      </c>
      <c r="Q622" s="6" t="str">
        <f t="shared" si="179"/>
        <v>",SubStage= "</v>
      </c>
      <c r="R622" t="str">
        <f>Matchs!I623</f>
        <v xml:space="preserve">Group C </v>
      </c>
      <c r="S622" s="6" t="str">
        <f t="shared" si="180"/>
        <v>",HTeam= "</v>
      </c>
      <c r="T622" t="str">
        <f>Matchs!J623</f>
        <v>Costa Rica</v>
      </c>
      <c r="U622" s="6" t="str">
        <f t="shared" si="181"/>
        <v>",HGoal=</v>
      </c>
      <c r="V622">
        <f>Matchs!K623</f>
        <v>2</v>
      </c>
      <c r="W622" s="6" t="str">
        <f t="shared" si="182"/>
        <v>,GGoal=</v>
      </c>
      <c r="X622">
        <f>Matchs!L623</f>
        <v>5</v>
      </c>
      <c r="Y622" s="6" t="str">
        <f t="shared" si="183"/>
        <v>,GTeam= "</v>
      </c>
      <c r="Z622" t="str">
        <f>Matchs!M623</f>
        <v>Brazil</v>
      </c>
      <c r="AA622" s="6" t="str">
        <f t="shared" si="184"/>
        <v>",WinNote="</v>
      </c>
      <c r="AB622" t="str">
        <f>IF(Matchs!N623="","",Matchs!N623)</f>
        <v/>
      </c>
      <c r="AC622" s="6" t="str">
        <f t="shared" si="185"/>
        <v xml:space="preserve">",Stadium=" </v>
      </c>
      <c r="AD622" s="11" t="str">
        <f>Matchs!O623</f>
        <v xml:space="preserve">Suwon World Cup Stadium </v>
      </c>
      <c r="AE622" s="6" t="str">
        <f t="shared" si="186"/>
        <v>",Referee= "</v>
      </c>
      <c r="AF622" s="11" t="str">
        <f>Matchs!P623</f>
        <v xml:space="preserve">Gamal Al-Ghandour </v>
      </c>
      <c r="AG622" s="6" t="str">
        <f t="shared" si="187"/>
        <v xml:space="preserve">",Visistors= </v>
      </c>
      <c r="AH622" s="11">
        <f>Matchs!Q623</f>
        <v>38524</v>
      </c>
      <c r="AI622" s="11" t="str">
        <f t="shared" si="188"/>
        <v>,Status= "</v>
      </c>
      <c r="AJ622" s="11" t="str">
        <f>Matchs!R623</f>
        <v>Finished</v>
      </c>
      <c r="AK622" t="str">
        <f t="shared" si="189"/>
        <v>" },</v>
      </c>
    </row>
    <row r="623" spans="1:37" x14ac:dyDescent="0.25">
      <c r="A623" t="str">
        <f t="shared" si="171"/>
        <v>new Match { MatchId= "</v>
      </c>
      <c r="B623" t="str">
        <f>Matchs!A624</f>
        <v>FIFAWC2002-43</v>
      </c>
      <c r="C623" t="str">
        <f t="shared" si="172"/>
        <v>",MatchNumer=</v>
      </c>
      <c r="D623">
        <f>Matchs!B624</f>
        <v>43</v>
      </c>
      <c r="E623" t="str">
        <f t="shared" si="173"/>
        <v>,DateMatch=DateTime.Parse("</v>
      </c>
      <c r="F623" s="3">
        <f>Matchs!C624</f>
        <v>37420</v>
      </c>
      <c r="G623" s="10" t="str">
        <f t="shared" si="174"/>
        <v>"),TimeMatch=TimeSpan.Parse("</v>
      </c>
      <c r="H623" s="9">
        <f>Matchs!D624</f>
        <v>0.77083333333333337</v>
      </c>
      <c r="I623" t="str">
        <f t="shared" si="175"/>
        <v>"),MatchYear=</v>
      </c>
      <c r="J623">
        <f>Matchs!E624</f>
        <v>2002</v>
      </c>
      <c r="K623" t="str">
        <f t="shared" si="176"/>
        <v>, SeasonId= "</v>
      </c>
      <c r="L623" t="str">
        <f>Matchs!F624</f>
        <v>FIFAWC2002</v>
      </c>
      <c r="M623" t="str">
        <f t="shared" si="177"/>
        <v>",Round= "</v>
      </c>
      <c r="N623" t="str">
        <f>Matchs!G624</f>
        <v>Final Round</v>
      </c>
      <c r="O623" s="6" t="str">
        <f t="shared" si="178"/>
        <v>",Stage= "</v>
      </c>
      <c r="P623" t="str">
        <f>Matchs!H624</f>
        <v>Group</v>
      </c>
      <c r="Q623" s="6" t="str">
        <f t="shared" si="179"/>
        <v>",SubStage= "</v>
      </c>
      <c r="R623" t="str">
        <f>Matchs!I624</f>
        <v xml:space="preserve">Group G </v>
      </c>
      <c r="S623" s="6" t="str">
        <f t="shared" si="180"/>
        <v>",HTeam= "</v>
      </c>
      <c r="T623" t="str">
        <f>Matchs!J624</f>
        <v>Mexico</v>
      </c>
      <c r="U623" s="6" t="str">
        <f t="shared" si="181"/>
        <v>",HGoal=</v>
      </c>
      <c r="V623">
        <f>Matchs!K624</f>
        <v>1</v>
      </c>
      <c r="W623" s="6" t="str">
        <f t="shared" si="182"/>
        <v>,GGoal=</v>
      </c>
      <c r="X623">
        <f>Matchs!L624</f>
        <v>1</v>
      </c>
      <c r="Y623" s="6" t="str">
        <f t="shared" si="183"/>
        <v>,GTeam= "</v>
      </c>
      <c r="Z623" t="str">
        <f>Matchs!M624</f>
        <v>Italy</v>
      </c>
      <c r="AA623" s="6" t="str">
        <f t="shared" si="184"/>
        <v>",WinNote="</v>
      </c>
      <c r="AB623" t="str">
        <f>IF(Matchs!N624="","",Matchs!N624)</f>
        <v/>
      </c>
      <c r="AC623" s="6" t="str">
        <f t="shared" si="185"/>
        <v xml:space="preserve">",Stadium=" </v>
      </c>
      <c r="AD623" s="11" t="str">
        <f>Matchs!O624</f>
        <v xml:space="preserve">Oita Bank Dome </v>
      </c>
      <c r="AE623" s="6" t="str">
        <f t="shared" si="186"/>
        <v>",Referee= "</v>
      </c>
      <c r="AF623" s="11" t="str">
        <f>Matchs!P624</f>
        <v xml:space="preserve">Carlos Simon </v>
      </c>
      <c r="AG623" s="6" t="str">
        <f t="shared" si="187"/>
        <v xml:space="preserve">",Visistors= </v>
      </c>
      <c r="AH623" s="11">
        <f>Matchs!Q624</f>
        <v>39291</v>
      </c>
      <c r="AI623" s="11" t="str">
        <f t="shared" si="188"/>
        <v>,Status= "</v>
      </c>
      <c r="AJ623" s="11" t="str">
        <f>Matchs!R624</f>
        <v>Finished</v>
      </c>
      <c r="AK623" t="str">
        <f t="shared" si="189"/>
        <v>" },</v>
      </c>
    </row>
    <row r="624" spans="1:37" x14ac:dyDescent="0.25">
      <c r="A624" t="str">
        <f t="shared" si="171"/>
        <v>new Match { MatchId= "</v>
      </c>
      <c r="B624" t="str">
        <f>Matchs!A625</f>
        <v>FIFAWC2002-44</v>
      </c>
      <c r="C624" t="str">
        <f t="shared" si="172"/>
        <v>",MatchNumer=</v>
      </c>
      <c r="D624">
        <f>Matchs!B625</f>
        <v>44</v>
      </c>
      <c r="E624" t="str">
        <f t="shared" si="173"/>
        <v>,DateMatch=DateTime.Parse("</v>
      </c>
      <c r="F624" s="3">
        <f>Matchs!C625</f>
        <v>37420</v>
      </c>
      <c r="G624" s="10" t="str">
        <f t="shared" si="174"/>
        <v>"),TimeMatch=TimeSpan.Parse("</v>
      </c>
      <c r="H624" s="9">
        <f>Matchs!D625</f>
        <v>0.77083333333333337</v>
      </c>
      <c r="I624" t="str">
        <f t="shared" si="175"/>
        <v>"),MatchYear=</v>
      </c>
      <c r="J624">
        <f>Matchs!E625</f>
        <v>2002</v>
      </c>
      <c r="K624" t="str">
        <f t="shared" si="176"/>
        <v>, SeasonId= "</v>
      </c>
      <c r="L624" t="str">
        <f>Matchs!F625</f>
        <v>FIFAWC2002</v>
      </c>
      <c r="M624" t="str">
        <f t="shared" si="177"/>
        <v>",Round= "</v>
      </c>
      <c r="N624" t="str">
        <f>Matchs!G625</f>
        <v>Final Round</v>
      </c>
      <c r="O624" s="6" t="str">
        <f t="shared" si="178"/>
        <v>",Stage= "</v>
      </c>
      <c r="P624" t="str">
        <f>Matchs!H625</f>
        <v>Group</v>
      </c>
      <c r="Q624" s="6" t="str">
        <f t="shared" si="179"/>
        <v>",SubStage= "</v>
      </c>
      <c r="R624" t="str">
        <f>Matchs!I625</f>
        <v xml:space="preserve">Group G </v>
      </c>
      <c r="S624" s="6" t="str">
        <f t="shared" si="180"/>
        <v>",HTeam= "</v>
      </c>
      <c r="T624" t="str">
        <f>Matchs!J625</f>
        <v>Ecuador</v>
      </c>
      <c r="U624" s="6" t="str">
        <f t="shared" si="181"/>
        <v>",HGoal=</v>
      </c>
      <c r="V624">
        <f>Matchs!K625</f>
        <v>1</v>
      </c>
      <c r="W624" s="6" t="str">
        <f t="shared" si="182"/>
        <v>,GGoal=</v>
      </c>
      <c r="X624">
        <f>Matchs!L625</f>
        <v>0</v>
      </c>
      <c r="Y624" s="6" t="str">
        <f t="shared" si="183"/>
        <v>,GTeam= "</v>
      </c>
      <c r="Z624" t="str">
        <f>Matchs!M625</f>
        <v>Croatia</v>
      </c>
      <c r="AA624" s="6" t="str">
        <f t="shared" si="184"/>
        <v>",WinNote="</v>
      </c>
      <c r="AB624" t="str">
        <f>IF(Matchs!N625="","",Matchs!N625)</f>
        <v/>
      </c>
      <c r="AC624" s="6" t="str">
        <f t="shared" si="185"/>
        <v xml:space="preserve">",Stadium=" </v>
      </c>
      <c r="AD624" s="11" t="str">
        <f>Matchs!O625</f>
        <v xml:space="preserve">International Stadium Yokohama </v>
      </c>
      <c r="AE624" s="6" t="str">
        <f t="shared" si="186"/>
        <v>",Referee= "</v>
      </c>
      <c r="AF624" s="11" t="str">
        <f>Matchs!P625</f>
        <v xml:space="preserve">William Mattus </v>
      </c>
      <c r="AG624" s="6" t="str">
        <f t="shared" si="187"/>
        <v xml:space="preserve">",Visistors= </v>
      </c>
      <c r="AH624" s="11">
        <f>Matchs!Q625</f>
        <v>65862</v>
      </c>
      <c r="AI624" s="11" t="str">
        <f t="shared" si="188"/>
        <v>,Status= "</v>
      </c>
      <c r="AJ624" s="11" t="str">
        <f>Matchs!R625</f>
        <v>Finished</v>
      </c>
      <c r="AK624" t="str">
        <f t="shared" si="189"/>
        <v>" },</v>
      </c>
    </row>
    <row r="625" spans="1:37" x14ac:dyDescent="0.25">
      <c r="A625" t="str">
        <f t="shared" si="171"/>
        <v>new Match { MatchId= "</v>
      </c>
      <c r="B625" t="str">
        <f>Matchs!A626</f>
        <v>FIFAWC2002-45</v>
      </c>
      <c r="C625" t="str">
        <f t="shared" si="172"/>
        <v>",MatchNumer=</v>
      </c>
      <c r="D625">
        <f>Matchs!B626</f>
        <v>45</v>
      </c>
      <c r="E625" t="str">
        <f t="shared" si="173"/>
        <v>,DateMatch=DateTime.Parse("</v>
      </c>
      <c r="F625" s="3">
        <f>Matchs!C626</f>
        <v>37421</v>
      </c>
      <c r="G625" s="10" t="str">
        <f t="shared" si="174"/>
        <v>"),TimeMatch=TimeSpan.Parse("</v>
      </c>
      <c r="H625" s="9">
        <f>Matchs!D626</f>
        <v>0.5625</v>
      </c>
      <c r="I625" t="str">
        <f t="shared" si="175"/>
        <v>"),MatchYear=</v>
      </c>
      <c r="J625">
        <f>Matchs!E626</f>
        <v>2002</v>
      </c>
      <c r="K625" t="str">
        <f t="shared" si="176"/>
        <v>, SeasonId= "</v>
      </c>
      <c r="L625" t="str">
        <f>Matchs!F626</f>
        <v>FIFAWC2002</v>
      </c>
      <c r="M625" t="str">
        <f t="shared" si="177"/>
        <v>",Round= "</v>
      </c>
      <c r="N625" t="str">
        <f>Matchs!G626</f>
        <v>Final Round</v>
      </c>
      <c r="O625" s="6" t="str">
        <f t="shared" si="178"/>
        <v>",Stage= "</v>
      </c>
      <c r="P625" t="str">
        <f>Matchs!H626</f>
        <v>Group</v>
      </c>
      <c r="Q625" s="6" t="str">
        <f t="shared" si="179"/>
        <v>",SubStage= "</v>
      </c>
      <c r="R625" t="str">
        <f>Matchs!I626</f>
        <v xml:space="preserve">Group H </v>
      </c>
      <c r="S625" s="6" t="str">
        <f t="shared" si="180"/>
        <v>",HTeam= "</v>
      </c>
      <c r="T625" t="str">
        <f>Matchs!J626</f>
        <v>Tunisia</v>
      </c>
      <c r="U625" s="6" t="str">
        <f t="shared" si="181"/>
        <v>",HGoal=</v>
      </c>
      <c r="V625">
        <f>Matchs!K626</f>
        <v>0</v>
      </c>
      <c r="W625" s="6" t="str">
        <f t="shared" si="182"/>
        <v>,GGoal=</v>
      </c>
      <c r="X625">
        <f>Matchs!L626</f>
        <v>2</v>
      </c>
      <c r="Y625" s="6" t="str">
        <f t="shared" si="183"/>
        <v>,GTeam= "</v>
      </c>
      <c r="Z625" t="str">
        <f>Matchs!M626</f>
        <v>Japan</v>
      </c>
      <c r="AA625" s="6" t="str">
        <f t="shared" si="184"/>
        <v>",WinNote="</v>
      </c>
      <c r="AB625" t="str">
        <f>IF(Matchs!N626="","",Matchs!N626)</f>
        <v/>
      </c>
      <c r="AC625" s="6" t="str">
        <f t="shared" si="185"/>
        <v xml:space="preserve">",Stadium=" </v>
      </c>
      <c r="AD625" s="11" t="str">
        <f>Matchs!O626</f>
        <v xml:space="preserve">Nagai Stadium </v>
      </c>
      <c r="AE625" s="6" t="str">
        <f t="shared" si="186"/>
        <v>",Referee= "</v>
      </c>
      <c r="AF625" s="11" t="str">
        <f>Matchs!P626</f>
        <v xml:space="preserve">Gilles Veissiere </v>
      </c>
      <c r="AG625" s="6" t="str">
        <f t="shared" si="187"/>
        <v xml:space="preserve">",Visistors= </v>
      </c>
      <c r="AH625" s="11">
        <f>Matchs!Q626</f>
        <v>45213</v>
      </c>
      <c r="AI625" s="11" t="str">
        <f t="shared" si="188"/>
        <v>,Status= "</v>
      </c>
      <c r="AJ625" s="11" t="str">
        <f>Matchs!R626</f>
        <v>Finished</v>
      </c>
      <c r="AK625" t="str">
        <f t="shared" si="189"/>
        <v>" },</v>
      </c>
    </row>
    <row r="626" spans="1:37" x14ac:dyDescent="0.25">
      <c r="A626" t="str">
        <f t="shared" si="171"/>
        <v>new Match { MatchId= "</v>
      </c>
      <c r="B626" t="str">
        <f>Matchs!A627</f>
        <v>FIFAWC2002-46</v>
      </c>
      <c r="C626" t="str">
        <f t="shared" si="172"/>
        <v>",MatchNumer=</v>
      </c>
      <c r="D626">
        <f>Matchs!B627</f>
        <v>46</v>
      </c>
      <c r="E626" t="str">
        <f t="shared" si="173"/>
        <v>,DateMatch=DateTime.Parse("</v>
      </c>
      <c r="F626" s="3">
        <f>Matchs!C627</f>
        <v>37421</v>
      </c>
      <c r="G626" s="10" t="str">
        <f t="shared" si="174"/>
        <v>"),TimeMatch=TimeSpan.Parse("</v>
      </c>
      <c r="H626" s="9">
        <f>Matchs!D627</f>
        <v>0.5625</v>
      </c>
      <c r="I626" t="str">
        <f t="shared" si="175"/>
        <v>"),MatchYear=</v>
      </c>
      <c r="J626">
        <f>Matchs!E627</f>
        <v>2002</v>
      </c>
      <c r="K626" t="str">
        <f t="shared" si="176"/>
        <v>, SeasonId= "</v>
      </c>
      <c r="L626" t="str">
        <f>Matchs!F627</f>
        <v>FIFAWC2002</v>
      </c>
      <c r="M626" t="str">
        <f t="shared" si="177"/>
        <v>",Round= "</v>
      </c>
      <c r="N626" t="str">
        <f>Matchs!G627</f>
        <v>Final Round</v>
      </c>
      <c r="O626" s="6" t="str">
        <f t="shared" si="178"/>
        <v>",Stage= "</v>
      </c>
      <c r="P626" t="str">
        <f>Matchs!H627</f>
        <v>Group</v>
      </c>
      <c r="Q626" s="6" t="str">
        <f t="shared" si="179"/>
        <v>",SubStage= "</v>
      </c>
      <c r="R626" t="str">
        <f>Matchs!I627</f>
        <v xml:space="preserve">Group H </v>
      </c>
      <c r="S626" s="6" t="str">
        <f t="shared" si="180"/>
        <v>",HTeam= "</v>
      </c>
      <c r="T626" t="str">
        <f>Matchs!J627</f>
        <v>Belgium</v>
      </c>
      <c r="U626" s="6" t="str">
        <f t="shared" si="181"/>
        <v>",HGoal=</v>
      </c>
      <c r="V626">
        <f>Matchs!K627</f>
        <v>3</v>
      </c>
      <c r="W626" s="6" t="str">
        <f t="shared" si="182"/>
        <v>,GGoal=</v>
      </c>
      <c r="X626">
        <f>Matchs!L627</f>
        <v>2</v>
      </c>
      <c r="Y626" s="6" t="str">
        <f t="shared" si="183"/>
        <v>,GTeam= "</v>
      </c>
      <c r="Z626" t="str">
        <f>Matchs!M627</f>
        <v>Russia</v>
      </c>
      <c r="AA626" s="6" t="str">
        <f t="shared" si="184"/>
        <v>",WinNote="</v>
      </c>
      <c r="AB626" t="str">
        <f>IF(Matchs!N627="","",Matchs!N627)</f>
        <v/>
      </c>
      <c r="AC626" s="6" t="str">
        <f t="shared" si="185"/>
        <v xml:space="preserve">",Stadium=" </v>
      </c>
      <c r="AD626" s="11" t="str">
        <f>Matchs!O627</f>
        <v xml:space="preserve">Shizuoka Stadium </v>
      </c>
      <c r="AE626" s="6" t="str">
        <f t="shared" si="186"/>
        <v>",Referee= "</v>
      </c>
      <c r="AF626" s="11" t="str">
        <f>Matchs!P627</f>
        <v xml:space="preserve">Kim Milton Nielsen </v>
      </c>
      <c r="AG626" s="6" t="str">
        <f t="shared" si="187"/>
        <v xml:space="preserve">",Visistors= </v>
      </c>
      <c r="AH626" s="11">
        <f>Matchs!Q627</f>
        <v>46640</v>
      </c>
      <c r="AI626" s="11" t="str">
        <f t="shared" si="188"/>
        <v>,Status= "</v>
      </c>
      <c r="AJ626" s="11" t="str">
        <f>Matchs!R627</f>
        <v>Finished</v>
      </c>
      <c r="AK626" t="str">
        <f t="shared" si="189"/>
        <v>" },</v>
      </c>
    </row>
    <row r="627" spans="1:37" x14ac:dyDescent="0.25">
      <c r="A627" t="str">
        <f t="shared" si="171"/>
        <v>new Match { MatchId= "</v>
      </c>
      <c r="B627" t="str">
        <f>Matchs!A628</f>
        <v>FIFAWC2002-47</v>
      </c>
      <c r="C627" t="str">
        <f t="shared" si="172"/>
        <v>",MatchNumer=</v>
      </c>
      <c r="D627">
        <f>Matchs!B628</f>
        <v>47</v>
      </c>
      <c r="E627" t="str">
        <f t="shared" si="173"/>
        <v>,DateMatch=DateTime.Parse("</v>
      </c>
      <c r="F627" s="3">
        <f>Matchs!C628</f>
        <v>37421</v>
      </c>
      <c r="G627" s="10" t="str">
        <f t="shared" si="174"/>
        <v>"),TimeMatch=TimeSpan.Parse("</v>
      </c>
      <c r="H627" s="9">
        <f>Matchs!D628</f>
        <v>0.77083333333333337</v>
      </c>
      <c r="I627" t="str">
        <f t="shared" si="175"/>
        <v>"),MatchYear=</v>
      </c>
      <c r="J627">
        <f>Matchs!E628</f>
        <v>2002</v>
      </c>
      <c r="K627" t="str">
        <f t="shared" si="176"/>
        <v>, SeasonId= "</v>
      </c>
      <c r="L627" t="str">
        <f>Matchs!F628</f>
        <v>FIFAWC2002</v>
      </c>
      <c r="M627" t="str">
        <f t="shared" si="177"/>
        <v>",Round= "</v>
      </c>
      <c r="N627" t="str">
        <f>Matchs!G628</f>
        <v>Final Round</v>
      </c>
      <c r="O627" s="6" t="str">
        <f t="shared" si="178"/>
        <v>",Stage= "</v>
      </c>
      <c r="P627" t="str">
        <f>Matchs!H628</f>
        <v>Group</v>
      </c>
      <c r="Q627" s="6" t="str">
        <f t="shared" si="179"/>
        <v>",SubStage= "</v>
      </c>
      <c r="R627" t="str">
        <f>Matchs!I628</f>
        <v xml:space="preserve">Group D </v>
      </c>
      <c r="S627" s="6" t="str">
        <f t="shared" si="180"/>
        <v>",HTeam= "</v>
      </c>
      <c r="T627" t="str">
        <f>Matchs!J628</f>
        <v>Portugal</v>
      </c>
      <c r="U627" s="6" t="str">
        <f t="shared" si="181"/>
        <v>",HGoal=</v>
      </c>
      <c r="V627">
        <f>Matchs!K628</f>
        <v>0</v>
      </c>
      <c r="W627" s="6" t="str">
        <f t="shared" si="182"/>
        <v>,GGoal=</v>
      </c>
      <c r="X627">
        <f>Matchs!L628</f>
        <v>1</v>
      </c>
      <c r="Y627" s="6" t="str">
        <f t="shared" si="183"/>
        <v>,GTeam= "</v>
      </c>
      <c r="Z627" t="str">
        <f>Matchs!M628</f>
        <v>South Korea</v>
      </c>
      <c r="AA627" s="6" t="str">
        <f t="shared" si="184"/>
        <v>",WinNote="</v>
      </c>
      <c r="AB627" t="str">
        <f>IF(Matchs!N628="","",Matchs!N628)</f>
        <v/>
      </c>
      <c r="AC627" s="6" t="str">
        <f t="shared" si="185"/>
        <v xml:space="preserve">",Stadium=" </v>
      </c>
      <c r="AD627" s="11" t="str">
        <f>Matchs!O628</f>
        <v xml:space="preserve">Incheon Munhak Stadium </v>
      </c>
      <c r="AE627" s="6" t="str">
        <f t="shared" si="186"/>
        <v>",Referee= "</v>
      </c>
      <c r="AF627" s="11" t="str">
        <f>Matchs!P628</f>
        <v xml:space="preserve">Angel Sánchez </v>
      </c>
      <c r="AG627" s="6" t="str">
        <f t="shared" si="187"/>
        <v xml:space="preserve">",Visistors= </v>
      </c>
      <c r="AH627" s="11">
        <f>Matchs!Q628</f>
        <v>50239</v>
      </c>
      <c r="AI627" s="11" t="str">
        <f t="shared" si="188"/>
        <v>,Status= "</v>
      </c>
      <c r="AJ627" s="11" t="str">
        <f>Matchs!R628</f>
        <v>Finished</v>
      </c>
      <c r="AK627" t="str">
        <f t="shared" si="189"/>
        <v>" },</v>
      </c>
    </row>
    <row r="628" spans="1:37" x14ac:dyDescent="0.25">
      <c r="A628" t="str">
        <f t="shared" si="171"/>
        <v>new Match { MatchId= "</v>
      </c>
      <c r="B628" t="str">
        <f>Matchs!A629</f>
        <v>FIFAWC2002-48</v>
      </c>
      <c r="C628" t="str">
        <f t="shared" si="172"/>
        <v>",MatchNumer=</v>
      </c>
      <c r="D628">
        <f>Matchs!B629</f>
        <v>48</v>
      </c>
      <c r="E628" t="str">
        <f t="shared" si="173"/>
        <v>,DateMatch=DateTime.Parse("</v>
      </c>
      <c r="F628" s="3">
        <f>Matchs!C629</f>
        <v>37421</v>
      </c>
      <c r="G628" s="10" t="str">
        <f t="shared" si="174"/>
        <v>"),TimeMatch=TimeSpan.Parse("</v>
      </c>
      <c r="H628" s="9">
        <f>Matchs!D629</f>
        <v>0.77083333333333337</v>
      </c>
      <c r="I628" t="str">
        <f t="shared" si="175"/>
        <v>"),MatchYear=</v>
      </c>
      <c r="J628">
        <f>Matchs!E629</f>
        <v>2002</v>
      </c>
      <c r="K628" t="str">
        <f t="shared" si="176"/>
        <v>, SeasonId= "</v>
      </c>
      <c r="L628" t="str">
        <f>Matchs!F629</f>
        <v>FIFAWC2002</v>
      </c>
      <c r="M628" t="str">
        <f t="shared" si="177"/>
        <v>",Round= "</v>
      </c>
      <c r="N628" t="str">
        <f>Matchs!G629</f>
        <v>Final Round</v>
      </c>
      <c r="O628" s="6" t="str">
        <f t="shared" si="178"/>
        <v>",Stage= "</v>
      </c>
      <c r="P628" t="str">
        <f>Matchs!H629</f>
        <v>Group</v>
      </c>
      <c r="Q628" s="6" t="str">
        <f t="shared" si="179"/>
        <v>",SubStage= "</v>
      </c>
      <c r="R628" t="str">
        <f>Matchs!I629</f>
        <v xml:space="preserve">Group D </v>
      </c>
      <c r="S628" s="6" t="str">
        <f t="shared" si="180"/>
        <v>",HTeam= "</v>
      </c>
      <c r="T628" t="str">
        <f>Matchs!J629</f>
        <v>Poland</v>
      </c>
      <c r="U628" s="6" t="str">
        <f t="shared" si="181"/>
        <v>",HGoal=</v>
      </c>
      <c r="V628">
        <f>Matchs!K629</f>
        <v>3</v>
      </c>
      <c r="W628" s="6" t="str">
        <f t="shared" si="182"/>
        <v>,GGoal=</v>
      </c>
      <c r="X628">
        <f>Matchs!L629</f>
        <v>1</v>
      </c>
      <c r="Y628" s="6" t="str">
        <f t="shared" si="183"/>
        <v>,GTeam= "</v>
      </c>
      <c r="Z628" t="str">
        <f>Matchs!M629</f>
        <v>USA</v>
      </c>
      <c r="AA628" s="6" t="str">
        <f t="shared" si="184"/>
        <v>",WinNote="</v>
      </c>
      <c r="AB628" t="str">
        <f>IF(Matchs!N629="","",Matchs!N629)</f>
        <v/>
      </c>
      <c r="AC628" s="6" t="str">
        <f t="shared" si="185"/>
        <v xml:space="preserve">",Stadium=" </v>
      </c>
      <c r="AD628" s="11" t="str">
        <f>Matchs!O629</f>
        <v xml:space="preserve">Daejeon World Cup Stadium </v>
      </c>
      <c r="AE628" s="6" t="str">
        <f t="shared" si="186"/>
        <v>",Referee= "</v>
      </c>
      <c r="AF628" s="11" t="str">
        <f>Matchs!P629</f>
        <v xml:space="preserve">Lu Jun </v>
      </c>
      <c r="AG628" s="6" t="str">
        <f t="shared" si="187"/>
        <v xml:space="preserve">",Visistors= </v>
      </c>
      <c r="AH628" s="11">
        <f>Matchs!Q629</f>
        <v>26482</v>
      </c>
      <c r="AI628" s="11" t="str">
        <f t="shared" si="188"/>
        <v>,Status= "</v>
      </c>
      <c r="AJ628" s="11" t="str">
        <f>Matchs!R629</f>
        <v>Finished</v>
      </c>
      <c r="AK628" t="str">
        <f t="shared" si="189"/>
        <v>" },</v>
      </c>
    </row>
    <row r="629" spans="1:37" x14ac:dyDescent="0.25">
      <c r="A629" t="str">
        <f t="shared" si="171"/>
        <v>new Match { MatchId= "</v>
      </c>
      <c r="B629" t="str">
        <f>Matchs!A630</f>
        <v>FIFAWC2002-49</v>
      </c>
      <c r="C629" t="str">
        <f t="shared" si="172"/>
        <v>",MatchNumer=</v>
      </c>
      <c r="D629">
        <f>Matchs!B630</f>
        <v>49</v>
      </c>
      <c r="E629" t="str">
        <f t="shared" si="173"/>
        <v>,DateMatch=DateTime.Parse("</v>
      </c>
      <c r="F629" s="3">
        <f>Matchs!C630</f>
        <v>37422</v>
      </c>
      <c r="G629" s="10" t="str">
        <f t="shared" si="174"/>
        <v>"),TimeMatch=TimeSpan.Parse("</v>
      </c>
      <c r="H629" s="9">
        <f>Matchs!D630</f>
        <v>0.5625</v>
      </c>
      <c r="I629" t="str">
        <f t="shared" si="175"/>
        <v>"),MatchYear=</v>
      </c>
      <c r="J629">
        <f>Matchs!E630</f>
        <v>2002</v>
      </c>
      <c r="K629" t="str">
        <f t="shared" si="176"/>
        <v>, SeasonId= "</v>
      </c>
      <c r="L629" t="str">
        <f>Matchs!F630</f>
        <v>FIFAWC2002</v>
      </c>
      <c r="M629" t="str">
        <f t="shared" si="177"/>
        <v>",Round= "</v>
      </c>
      <c r="N629" t="str">
        <f>Matchs!G630</f>
        <v>Final Round</v>
      </c>
      <c r="O629" s="6" t="str">
        <f t="shared" si="178"/>
        <v>",Stage= "</v>
      </c>
      <c r="P629" t="str">
        <f>Matchs!H630</f>
        <v>Knockouts</v>
      </c>
      <c r="Q629" s="6" t="str">
        <f t="shared" si="179"/>
        <v>",SubStage= "</v>
      </c>
      <c r="R629" t="str">
        <f>Matchs!I630</f>
        <v xml:space="preserve">Round of 16 </v>
      </c>
      <c r="S629" s="6" t="str">
        <f t="shared" si="180"/>
        <v>",HTeam= "</v>
      </c>
      <c r="T629" t="str">
        <f>Matchs!J630</f>
        <v>Germany</v>
      </c>
      <c r="U629" s="6" t="str">
        <f t="shared" si="181"/>
        <v>",HGoal=</v>
      </c>
      <c r="V629">
        <f>Matchs!K630</f>
        <v>1</v>
      </c>
      <c r="W629" s="6" t="str">
        <f t="shared" si="182"/>
        <v>,GGoal=</v>
      </c>
      <c r="X629">
        <f>Matchs!L630</f>
        <v>0</v>
      </c>
      <c r="Y629" s="6" t="str">
        <f t="shared" si="183"/>
        <v>,GTeam= "</v>
      </c>
      <c r="Z629" t="str">
        <f>Matchs!M630</f>
        <v>Paraguay</v>
      </c>
      <c r="AA629" s="6" t="str">
        <f t="shared" si="184"/>
        <v>",WinNote="</v>
      </c>
      <c r="AB629" t="str">
        <f>IF(Matchs!N630="","",Matchs!N630)</f>
        <v/>
      </c>
      <c r="AC629" s="6" t="str">
        <f t="shared" si="185"/>
        <v xml:space="preserve">",Stadium=" </v>
      </c>
      <c r="AD629" s="11" t="str">
        <f>Matchs!O630</f>
        <v xml:space="preserve">Jeju World Cup Stadium </v>
      </c>
      <c r="AE629" s="6" t="str">
        <f t="shared" si="186"/>
        <v>",Referee= "</v>
      </c>
      <c r="AF629" s="11" t="str">
        <f>Matchs!P630</f>
        <v xml:space="preserve">Carlos Batres </v>
      </c>
      <c r="AG629" s="6" t="str">
        <f t="shared" si="187"/>
        <v xml:space="preserve">",Visistors= </v>
      </c>
      <c r="AH629" s="11">
        <f>Matchs!Q630</f>
        <v>25176</v>
      </c>
      <c r="AI629" s="11" t="str">
        <f t="shared" si="188"/>
        <v>,Status= "</v>
      </c>
      <c r="AJ629" s="11" t="str">
        <f>Matchs!R630</f>
        <v>Finished</v>
      </c>
      <c r="AK629" t="str">
        <f t="shared" si="189"/>
        <v>" },</v>
      </c>
    </row>
    <row r="630" spans="1:37" x14ac:dyDescent="0.25">
      <c r="A630" t="str">
        <f t="shared" si="171"/>
        <v>new Match { MatchId= "</v>
      </c>
      <c r="B630" t="str">
        <f>Matchs!A631</f>
        <v>FIFAWC2002-50</v>
      </c>
      <c r="C630" t="str">
        <f t="shared" si="172"/>
        <v>",MatchNumer=</v>
      </c>
      <c r="D630">
        <f>Matchs!B631</f>
        <v>50</v>
      </c>
      <c r="E630" t="str">
        <f t="shared" si="173"/>
        <v>,DateMatch=DateTime.Parse("</v>
      </c>
      <c r="F630" s="3">
        <f>Matchs!C631</f>
        <v>37422</v>
      </c>
      <c r="G630" s="10" t="str">
        <f t="shared" si="174"/>
        <v>"),TimeMatch=TimeSpan.Parse("</v>
      </c>
      <c r="H630" s="9">
        <f>Matchs!D631</f>
        <v>0.77083333333333337</v>
      </c>
      <c r="I630" t="str">
        <f t="shared" si="175"/>
        <v>"),MatchYear=</v>
      </c>
      <c r="J630">
        <f>Matchs!E631</f>
        <v>2002</v>
      </c>
      <c r="K630" t="str">
        <f t="shared" si="176"/>
        <v>, SeasonId= "</v>
      </c>
      <c r="L630" t="str">
        <f>Matchs!F631</f>
        <v>FIFAWC2002</v>
      </c>
      <c r="M630" t="str">
        <f t="shared" si="177"/>
        <v>",Round= "</v>
      </c>
      <c r="N630" t="str">
        <f>Matchs!G631</f>
        <v>Final Round</v>
      </c>
      <c r="O630" s="6" t="str">
        <f t="shared" si="178"/>
        <v>",Stage= "</v>
      </c>
      <c r="P630" t="str">
        <f>Matchs!H631</f>
        <v>Knockouts</v>
      </c>
      <c r="Q630" s="6" t="str">
        <f t="shared" si="179"/>
        <v>",SubStage= "</v>
      </c>
      <c r="R630" t="str">
        <f>Matchs!I631</f>
        <v xml:space="preserve">Round of 16 </v>
      </c>
      <c r="S630" s="6" t="str">
        <f t="shared" si="180"/>
        <v>",HTeam= "</v>
      </c>
      <c r="T630" t="str">
        <f>Matchs!J631</f>
        <v>Denmark</v>
      </c>
      <c r="U630" s="6" t="str">
        <f t="shared" si="181"/>
        <v>",HGoal=</v>
      </c>
      <c r="V630">
        <f>Matchs!K631</f>
        <v>0</v>
      </c>
      <c r="W630" s="6" t="str">
        <f t="shared" si="182"/>
        <v>,GGoal=</v>
      </c>
      <c r="X630">
        <f>Matchs!L631</f>
        <v>3</v>
      </c>
      <c r="Y630" s="6" t="str">
        <f t="shared" si="183"/>
        <v>,GTeam= "</v>
      </c>
      <c r="Z630" t="str">
        <f>Matchs!M631</f>
        <v>England</v>
      </c>
      <c r="AA630" s="6" t="str">
        <f t="shared" si="184"/>
        <v>",WinNote="</v>
      </c>
      <c r="AB630" t="str">
        <f>IF(Matchs!N631="","",Matchs!N631)</f>
        <v/>
      </c>
      <c r="AC630" s="6" t="str">
        <f t="shared" si="185"/>
        <v xml:space="preserve">",Stadium=" </v>
      </c>
      <c r="AD630" s="11" t="str">
        <f>Matchs!O631</f>
        <v xml:space="preserve">Tohoku Electric Power Big S... </v>
      </c>
      <c r="AE630" s="6" t="str">
        <f t="shared" si="186"/>
        <v>",Referee= "</v>
      </c>
      <c r="AF630" s="11" t="str">
        <f>Matchs!P631</f>
        <v xml:space="preserve">Markus Merk </v>
      </c>
      <c r="AG630" s="6" t="str">
        <f t="shared" si="187"/>
        <v xml:space="preserve">",Visistors= </v>
      </c>
      <c r="AH630" s="11">
        <f>Matchs!Q631</f>
        <v>40582</v>
      </c>
      <c r="AI630" s="11" t="str">
        <f t="shared" si="188"/>
        <v>,Status= "</v>
      </c>
      <c r="AJ630" s="11" t="str">
        <f>Matchs!R631</f>
        <v>Finished</v>
      </c>
      <c r="AK630" t="str">
        <f t="shared" si="189"/>
        <v>" },</v>
      </c>
    </row>
    <row r="631" spans="1:37" x14ac:dyDescent="0.25">
      <c r="A631" t="str">
        <f t="shared" si="171"/>
        <v>new Match { MatchId= "</v>
      </c>
      <c r="B631" t="str">
        <f>Matchs!A632</f>
        <v>FIFAWC2002-51</v>
      </c>
      <c r="C631" t="str">
        <f t="shared" si="172"/>
        <v>",MatchNumer=</v>
      </c>
      <c r="D631">
        <f>Matchs!B632</f>
        <v>51</v>
      </c>
      <c r="E631" t="str">
        <f t="shared" si="173"/>
        <v>,DateMatch=DateTime.Parse("</v>
      </c>
      <c r="F631" s="3">
        <f>Matchs!C632</f>
        <v>37423</v>
      </c>
      <c r="G631" s="10" t="str">
        <f t="shared" si="174"/>
        <v>"),TimeMatch=TimeSpan.Parse("</v>
      </c>
      <c r="H631" s="9">
        <f>Matchs!D632</f>
        <v>0.5625</v>
      </c>
      <c r="I631" t="str">
        <f t="shared" si="175"/>
        <v>"),MatchYear=</v>
      </c>
      <c r="J631">
        <f>Matchs!E632</f>
        <v>2002</v>
      </c>
      <c r="K631" t="str">
        <f t="shared" si="176"/>
        <v>, SeasonId= "</v>
      </c>
      <c r="L631" t="str">
        <f>Matchs!F632</f>
        <v>FIFAWC2002</v>
      </c>
      <c r="M631" t="str">
        <f t="shared" si="177"/>
        <v>",Round= "</v>
      </c>
      <c r="N631" t="str">
        <f>Matchs!G632</f>
        <v>Final Round</v>
      </c>
      <c r="O631" s="6" t="str">
        <f t="shared" si="178"/>
        <v>",Stage= "</v>
      </c>
      <c r="P631" t="str">
        <f>Matchs!H632</f>
        <v>Knockouts</v>
      </c>
      <c r="Q631" s="6" t="str">
        <f t="shared" si="179"/>
        <v>",SubStage= "</v>
      </c>
      <c r="R631" t="str">
        <f>Matchs!I632</f>
        <v xml:space="preserve">Round of 16 </v>
      </c>
      <c r="S631" s="6" t="str">
        <f t="shared" si="180"/>
        <v>",HTeam= "</v>
      </c>
      <c r="T631" t="str">
        <f>Matchs!J632</f>
        <v>Sweden</v>
      </c>
      <c r="U631" s="6" t="str">
        <f t="shared" si="181"/>
        <v>",HGoal=</v>
      </c>
      <c r="V631">
        <f>Matchs!K632</f>
        <v>1</v>
      </c>
      <c r="W631" s="6" t="str">
        <f t="shared" si="182"/>
        <v>,GGoal=</v>
      </c>
      <c r="X631">
        <f>Matchs!L632</f>
        <v>2</v>
      </c>
      <c r="Y631" s="6" t="str">
        <f t="shared" si="183"/>
        <v>,GTeam= "</v>
      </c>
      <c r="Z631" t="str">
        <f>Matchs!M632</f>
        <v>Senegal</v>
      </c>
      <c r="AA631" s="6" t="str">
        <f t="shared" si="184"/>
        <v>",WinNote="</v>
      </c>
      <c r="AB631" t="str">
        <f>IF(Matchs!N632="","",Matchs!N632)</f>
        <v/>
      </c>
      <c r="AC631" s="6" t="str">
        <f t="shared" si="185"/>
        <v xml:space="preserve">",Stadium=" </v>
      </c>
      <c r="AD631" s="11" t="str">
        <f>Matchs!O632</f>
        <v xml:space="preserve">Oita Bank Dome </v>
      </c>
      <c r="AE631" s="6" t="str">
        <f t="shared" si="186"/>
        <v>",Referee= "</v>
      </c>
      <c r="AF631" s="11" t="str">
        <f>Matchs!P632</f>
        <v xml:space="preserve">Ubaldo Aquino </v>
      </c>
      <c r="AG631" s="6" t="str">
        <f t="shared" si="187"/>
        <v xml:space="preserve">",Visistors= </v>
      </c>
      <c r="AH631" s="11">
        <f>Matchs!Q632</f>
        <v>39747</v>
      </c>
      <c r="AI631" s="11" t="str">
        <f t="shared" si="188"/>
        <v>,Status= "</v>
      </c>
      <c r="AJ631" s="11" t="str">
        <f>Matchs!R632</f>
        <v>Finished</v>
      </c>
      <c r="AK631" t="str">
        <f t="shared" si="189"/>
        <v>" },</v>
      </c>
    </row>
    <row r="632" spans="1:37" x14ac:dyDescent="0.25">
      <c r="A632" t="str">
        <f t="shared" si="171"/>
        <v>new Match { MatchId= "</v>
      </c>
      <c r="B632" t="str">
        <f>Matchs!A633</f>
        <v>FIFAWC2002-52</v>
      </c>
      <c r="C632" t="str">
        <f t="shared" si="172"/>
        <v>",MatchNumer=</v>
      </c>
      <c r="D632">
        <f>Matchs!B633</f>
        <v>52</v>
      </c>
      <c r="E632" t="str">
        <f t="shared" si="173"/>
        <v>,DateMatch=DateTime.Parse("</v>
      </c>
      <c r="F632" s="3">
        <f>Matchs!C633</f>
        <v>37423</v>
      </c>
      <c r="G632" s="10" t="str">
        <f t="shared" si="174"/>
        <v>"),TimeMatch=TimeSpan.Parse("</v>
      </c>
      <c r="H632" s="9">
        <f>Matchs!D633</f>
        <v>0.77083333333333337</v>
      </c>
      <c r="I632" t="str">
        <f t="shared" si="175"/>
        <v>"),MatchYear=</v>
      </c>
      <c r="J632">
        <f>Matchs!E633</f>
        <v>2002</v>
      </c>
      <c r="K632" t="str">
        <f t="shared" si="176"/>
        <v>, SeasonId= "</v>
      </c>
      <c r="L632" t="str">
        <f>Matchs!F633</f>
        <v>FIFAWC2002</v>
      </c>
      <c r="M632" t="str">
        <f t="shared" si="177"/>
        <v>",Round= "</v>
      </c>
      <c r="N632" t="str">
        <f>Matchs!G633</f>
        <v>Final Round</v>
      </c>
      <c r="O632" s="6" t="str">
        <f t="shared" si="178"/>
        <v>",Stage= "</v>
      </c>
      <c r="P632" t="str">
        <f>Matchs!H633</f>
        <v>Knockouts</v>
      </c>
      <c r="Q632" s="6" t="str">
        <f t="shared" si="179"/>
        <v>",SubStage= "</v>
      </c>
      <c r="R632" t="str">
        <f>Matchs!I633</f>
        <v xml:space="preserve">Round of 16 </v>
      </c>
      <c r="S632" s="6" t="str">
        <f t="shared" si="180"/>
        <v>",HTeam= "</v>
      </c>
      <c r="T632" t="str">
        <f>Matchs!J633</f>
        <v>Spain</v>
      </c>
      <c r="U632" s="6" t="str">
        <f t="shared" si="181"/>
        <v>",HGoal=</v>
      </c>
      <c r="V632">
        <f>Matchs!K633</f>
        <v>1</v>
      </c>
      <c r="W632" s="6" t="str">
        <f t="shared" si="182"/>
        <v>,GGoal=</v>
      </c>
      <c r="X632">
        <f>Matchs!L633</f>
        <v>1</v>
      </c>
      <c r="Y632" s="6" t="str">
        <f t="shared" si="183"/>
        <v>,GTeam= "</v>
      </c>
      <c r="Z632" t="str">
        <f>Matchs!M633</f>
        <v>Republic of Ireland</v>
      </c>
      <c r="AA632" s="6" t="str">
        <f t="shared" si="184"/>
        <v>",WinNote="</v>
      </c>
      <c r="AB632" t="str">
        <f>IF(Matchs!N633="","",Matchs!N633)</f>
        <v>Spain win 3 - 2 on penalties</v>
      </c>
      <c r="AC632" s="6" t="str">
        <f t="shared" si="185"/>
        <v xml:space="preserve">",Stadium=" </v>
      </c>
      <c r="AD632" s="11" t="str">
        <f>Matchs!O633</f>
        <v xml:space="preserve">Suwon World Cup Stadium </v>
      </c>
      <c r="AE632" s="6" t="str">
        <f t="shared" si="186"/>
        <v>",Referee= "</v>
      </c>
      <c r="AF632" s="11" t="str">
        <f>Matchs!P633</f>
        <v xml:space="preserve">Anders Frisk </v>
      </c>
      <c r="AG632" s="6" t="str">
        <f t="shared" si="187"/>
        <v xml:space="preserve">",Visistors= </v>
      </c>
      <c r="AH632" s="11">
        <f>Matchs!Q633</f>
        <v>38926</v>
      </c>
      <c r="AI632" s="11" t="str">
        <f t="shared" si="188"/>
        <v>,Status= "</v>
      </c>
      <c r="AJ632" s="11" t="str">
        <f>Matchs!R633</f>
        <v>Finished</v>
      </c>
      <c r="AK632" t="str">
        <f t="shared" si="189"/>
        <v>" },</v>
      </c>
    </row>
    <row r="633" spans="1:37" x14ac:dyDescent="0.25">
      <c r="A633" t="str">
        <f t="shared" si="171"/>
        <v>new Match { MatchId= "</v>
      </c>
      <c r="B633" t="str">
        <f>Matchs!A634</f>
        <v>FIFAWC2002-53</v>
      </c>
      <c r="C633" t="str">
        <f t="shared" si="172"/>
        <v>",MatchNumer=</v>
      </c>
      <c r="D633">
        <f>Matchs!B634</f>
        <v>53</v>
      </c>
      <c r="E633" t="str">
        <f t="shared" si="173"/>
        <v>,DateMatch=DateTime.Parse("</v>
      </c>
      <c r="F633" s="3">
        <f>Matchs!C634</f>
        <v>37424</v>
      </c>
      <c r="G633" s="10" t="str">
        <f t="shared" si="174"/>
        <v>"),TimeMatch=TimeSpan.Parse("</v>
      </c>
      <c r="H633" s="9">
        <f>Matchs!D634</f>
        <v>0.5625</v>
      </c>
      <c r="I633" t="str">
        <f t="shared" si="175"/>
        <v>"),MatchYear=</v>
      </c>
      <c r="J633">
        <f>Matchs!E634</f>
        <v>2002</v>
      </c>
      <c r="K633" t="str">
        <f t="shared" si="176"/>
        <v>, SeasonId= "</v>
      </c>
      <c r="L633" t="str">
        <f>Matchs!F634</f>
        <v>FIFAWC2002</v>
      </c>
      <c r="M633" t="str">
        <f t="shared" si="177"/>
        <v>",Round= "</v>
      </c>
      <c r="N633" t="str">
        <f>Matchs!G634</f>
        <v>Final Round</v>
      </c>
      <c r="O633" s="6" t="str">
        <f t="shared" si="178"/>
        <v>",Stage= "</v>
      </c>
      <c r="P633" t="str">
        <f>Matchs!H634</f>
        <v>Knockouts</v>
      </c>
      <c r="Q633" s="6" t="str">
        <f t="shared" si="179"/>
        <v>",SubStage= "</v>
      </c>
      <c r="R633" t="str">
        <f>Matchs!I634</f>
        <v xml:space="preserve">Round of 16 </v>
      </c>
      <c r="S633" s="6" t="str">
        <f t="shared" si="180"/>
        <v>",HTeam= "</v>
      </c>
      <c r="T633" t="str">
        <f>Matchs!J634</f>
        <v>Mexico</v>
      </c>
      <c r="U633" s="6" t="str">
        <f t="shared" si="181"/>
        <v>",HGoal=</v>
      </c>
      <c r="V633">
        <f>Matchs!K634</f>
        <v>0</v>
      </c>
      <c r="W633" s="6" t="str">
        <f t="shared" si="182"/>
        <v>,GGoal=</v>
      </c>
      <c r="X633">
        <f>Matchs!L634</f>
        <v>2</v>
      </c>
      <c r="Y633" s="6" t="str">
        <f t="shared" si="183"/>
        <v>,GTeam= "</v>
      </c>
      <c r="Z633" t="str">
        <f>Matchs!M634</f>
        <v>USA</v>
      </c>
      <c r="AA633" s="6" t="str">
        <f t="shared" si="184"/>
        <v>",WinNote="</v>
      </c>
      <c r="AB633" t="str">
        <f>IF(Matchs!N634="","",Matchs!N634)</f>
        <v/>
      </c>
      <c r="AC633" s="6" t="str">
        <f t="shared" si="185"/>
        <v xml:space="preserve">",Stadium=" </v>
      </c>
      <c r="AD633" s="11" t="str">
        <f>Matchs!O634</f>
        <v xml:space="preserve">Jeonju World Cup Stadium </v>
      </c>
      <c r="AE633" s="6" t="str">
        <f t="shared" si="186"/>
        <v>",Referee= "</v>
      </c>
      <c r="AF633" s="11" t="str">
        <f>Matchs!P634</f>
        <v xml:space="preserve">Vitor Melo Pereira </v>
      </c>
      <c r="AG633" s="6" t="str">
        <f t="shared" si="187"/>
        <v xml:space="preserve">",Visistors= </v>
      </c>
      <c r="AH633" s="11">
        <f>Matchs!Q634</f>
        <v>36380</v>
      </c>
      <c r="AI633" s="11" t="str">
        <f t="shared" si="188"/>
        <v>,Status= "</v>
      </c>
      <c r="AJ633" s="11" t="str">
        <f>Matchs!R634</f>
        <v>Finished</v>
      </c>
      <c r="AK633" t="str">
        <f t="shared" si="189"/>
        <v>" },</v>
      </c>
    </row>
    <row r="634" spans="1:37" x14ac:dyDescent="0.25">
      <c r="A634" t="str">
        <f t="shared" si="171"/>
        <v>new Match { MatchId= "</v>
      </c>
      <c r="B634" t="str">
        <f>Matchs!A635</f>
        <v>FIFAWC2002-54</v>
      </c>
      <c r="C634" t="str">
        <f t="shared" si="172"/>
        <v>",MatchNumer=</v>
      </c>
      <c r="D634">
        <f>Matchs!B635</f>
        <v>54</v>
      </c>
      <c r="E634" t="str">
        <f t="shared" si="173"/>
        <v>,DateMatch=DateTime.Parse("</v>
      </c>
      <c r="F634" s="3">
        <f>Matchs!C635</f>
        <v>37424</v>
      </c>
      <c r="G634" s="10" t="str">
        <f t="shared" si="174"/>
        <v>"),TimeMatch=TimeSpan.Parse("</v>
      </c>
      <c r="H634" s="9">
        <f>Matchs!D635</f>
        <v>0.77083333333333337</v>
      </c>
      <c r="I634" t="str">
        <f t="shared" si="175"/>
        <v>"),MatchYear=</v>
      </c>
      <c r="J634">
        <f>Matchs!E635</f>
        <v>2002</v>
      </c>
      <c r="K634" t="str">
        <f t="shared" si="176"/>
        <v>, SeasonId= "</v>
      </c>
      <c r="L634" t="str">
        <f>Matchs!F635</f>
        <v>FIFAWC2002</v>
      </c>
      <c r="M634" t="str">
        <f t="shared" si="177"/>
        <v>",Round= "</v>
      </c>
      <c r="N634" t="str">
        <f>Matchs!G635</f>
        <v>Final Round</v>
      </c>
      <c r="O634" s="6" t="str">
        <f t="shared" si="178"/>
        <v>",Stage= "</v>
      </c>
      <c r="P634" t="str">
        <f>Matchs!H635</f>
        <v>Knockouts</v>
      </c>
      <c r="Q634" s="6" t="str">
        <f t="shared" si="179"/>
        <v>",SubStage= "</v>
      </c>
      <c r="R634" t="str">
        <f>Matchs!I635</f>
        <v xml:space="preserve">Round of 16 </v>
      </c>
      <c r="S634" s="6" t="str">
        <f t="shared" si="180"/>
        <v>",HTeam= "</v>
      </c>
      <c r="T634" t="str">
        <f>Matchs!J635</f>
        <v>Brazil</v>
      </c>
      <c r="U634" s="6" t="str">
        <f t="shared" si="181"/>
        <v>",HGoal=</v>
      </c>
      <c r="V634">
        <f>Matchs!K635</f>
        <v>2</v>
      </c>
      <c r="W634" s="6" t="str">
        <f t="shared" si="182"/>
        <v>,GGoal=</v>
      </c>
      <c r="X634">
        <f>Matchs!L635</f>
        <v>0</v>
      </c>
      <c r="Y634" s="6" t="str">
        <f t="shared" si="183"/>
        <v>,GTeam= "</v>
      </c>
      <c r="Z634" t="str">
        <f>Matchs!M635</f>
        <v>Belgium</v>
      </c>
      <c r="AA634" s="6" t="str">
        <f t="shared" si="184"/>
        <v>",WinNote="</v>
      </c>
      <c r="AB634" t="str">
        <f>IF(Matchs!N635="","",Matchs!N635)</f>
        <v/>
      </c>
      <c r="AC634" s="6" t="str">
        <f t="shared" si="185"/>
        <v xml:space="preserve">",Stadium=" </v>
      </c>
      <c r="AD634" s="11" t="str">
        <f>Matchs!O635</f>
        <v xml:space="preserve">Home's Stadium Kobe </v>
      </c>
      <c r="AE634" s="6" t="str">
        <f t="shared" si="186"/>
        <v>",Referee= "</v>
      </c>
      <c r="AF634" s="11" t="str">
        <f>Matchs!P635</f>
        <v xml:space="preserve">Peter Prendergast </v>
      </c>
      <c r="AG634" s="6" t="str">
        <f t="shared" si="187"/>
        <v xml:space="preserve">",Visistors= </v>
      </c>
      <c r="AH634" s="11">
        <f>Matchs!Q635</f>
        <v>40440</v>
      </c>
      <c r="AI634" s="11" t="str">
        <f t="shared" si="188"/>
        <v>,Status= "</v>
      </c>
      <c r="AJ634" s="11" t="str">
        <f>Matchs!R635</f>
        <v>Finished</v>
      </c>
      <c r="AK634" t="str">
        <f t="shared" si="189"/>
        <v>" },</v>
      </c>
    </row>
    <row r="635" spans="1:37" x14ac:dyDescent="0.25">
      <c r="A635" t="str">
        <f t="shared" si="171"/>
        <v>new Match { MatchId= "</v>
      </c>
      <c r="B635" t="str">
        <f>Matchs!A636</f>
        <v>FIFAWC2002-55</v>
      </c>
      <c r="C635" t="str">
        <f t="shared" si="172"/>
        <v>",MatchNumer=</v>
      </c>
      <c r="D635">
        <f>Matchs!B636</f>
        <v>55</v>
      </c>
      <c r="E635" t="str">
        <f t="shared" si="173"/>
        <v>,DateMatch=DateTime.Parse("</v>
      </c>
      <c r="F635" s="3">
        <f>Matchs!C636</f>
        <v>37425</v>
      </c>
      <c r="G635" s="10" t="str">
        <f t="shared" si="174"/>
        <v>"),TimeMatch=TimeSpan.Parse("</v>
      </c>
      <c r="H635" s="9">
        <f>Matchs!D636</f>
        <v>0.5625</v>
      </c>
      <c r="I635" t="str">
        <f t="shared" si="175"/>
        <v>"),MatchYear=</v>
      </c>
      <c r="J635">
        <f>Matchs!E636</f>
        <v>2002</v>
      </c>
      <c r="K635" t="str">
        <f t="shared" si="176"/>
        <v>, SeasonId= "</v>
      </c>
      <c r="L635" t="str">
        <f>Matchs!F636</f>
        <v>FIFAWC2002</v>
      </c>
      <c r="M635" t="str">
        <f t="shared" si="177"/>
        <v>",Round= "</v>
      </c>
      <c r="N635" t="str">
        <f>Matchs!G636</f>
        <v>Final Round</v>
      </c>
      <c r="O635" s="6" t="str">
        <f t="shared" si="178"/>
        <v>",Stage= "</v>
      </c>
      <c r="P635" t="str">
        <f>Matchs!H636</f>
        <v>Knockouts</v>
      </c>
      <c r="Q635" s="6" t="str">
        <f t="shared" si="179"/>
        <v>",SubStage= "</v>
      </c>
      <c r="R635" t="str">
        <f>Matchs!I636</f>
        <v xml:space="preserve">Round of 16 </v>
      </c>
      <c r="S635" s="6" t="str">
        <f t="shared" si="180"/>
        <v>",HTeam= "</v>
      </c>
      <c r="T635" t="str">
        <f>Matchs!J636</f>
        <v>Japan</v>
      </c>
      <c r="U635" s="6" t="str">
        <f t="shared" si="181"/>
        <v>",HGoal=</v>
      </c>
      <c r="V635">
        <f>Matchs!K636</f>
        <v>0</v>
      </c>
      <c r="W635" s="6" t="str">
        <f t="shared" si="182"/>
        <v>,GGoal=</v>
      </c>
      <c r="X635">
        <f>Matchs!L636</f>
        <v>1</v>
      </c>
      <c r="Y635" s="6" t="str">
        <f t="shared" si="183"/>
        <v>,GTeam= "</v>
      </c>
      <c r="Z635" t="str">
        <f>Matchs!M636</f>
        <v>Turkey</v>
      </c>
      <c r="AA635" s="6" t="str">
        <f t="shared" si="184"/>
        <v>",WinNote="</v>
      </c>
      <c r="AB635" t="str">
        <f>IF(Matchs!N636="","",Matchs!N636)</f>
        <v/>
      </c>
      <c r="AC635" s="6" t="str">
        <f t="shared" si="185"/>
        <v xml:space="preserve">",Stadium=" </v>
      </c>
      <c r="AD635" s="11" t="str">
        <f>Matchs!O636</f>
        <v xml:space="preserve">Miyagi Stadium </v>
      </c>
      <c r="AE635" s="6" t="str">
        <f t="shared" si="186"/>
        <v>",Referee= "</v>
      </c>
      <c r="AF635" s="11" t="str">
        <f>Matchs!P636</f>
        <v xml:space="preserve">Pierluigi Colina </v>
      </c>
      <c r="AG635" s="6" t="str">
        <f t="shared" si="187"/>
        <v xml:space="preserve">",Visistors= </v>
      </c>
      <c r="AH635" s="11">
        <f>Matchs!Q636</f>
        <v>45666</v>
      </c>
      <c r="AI635" s="11" t="str">
        <f t="shared" si="188"/>
        <v>,Status= "</v>
      </c>
      <c r="AJ635" s="11" t="str">
        <f>Matchs!R636</f>
        <v>Finished</v>
      </c>
      <c r="AK635" t="str">
        <f t="shared" si="189"/>
        <v>" },</v>
      </c>
    </row>
    <row r="636" spans="1:37" x14ac:dyDescent="0.25">
      <c r="A636" t="str">
        <f t="shared" si="171"/>
        <v>new Match { MatchId= "</v>
      </c>
      <c r="B636" t="str">
        <f>Matchs!A637</f>
        <v>FIFAWC2002-56</v>
      </c>
      <c r="C636" t="str">
        <f t="shared" si="172"/>
        <v>",MatchNumer=</v>
      </c>
      <c r="D636">
        <f>Matchs!B637</f>
        <v>56</v>
      </c>
      <c r="E636" t="str">
        <f t="shared" si="173"/>
        <v>,DateMatch=DateTime.Parse("</v>
      </c>
      <c r="F636" s="3">
        <f>Matchs!C637</f>
        <v>37425</v>
      </c>
      <c r="G636" s="10" t="str">
        <f t="shared" si="174"/>
        <v>"),TimeMatch=TimeSpan.Parse("</v>
      </c>
      <c r="H636" s="9">
        <f>Matchs!D637</f>
        <v>0.77083333333333337</v>
      </c>
      <c r="I636" t="str">
        <f t="shared" si="175"/>
        <v>"),MatchYear=</v>
      </c>
      <c r="J636">
        <f>Matchs!E637</f>
        <v>2002</v>
      </c>
      <c r="K636" t="str">
        <f t="shared" si="176"/>
        <v>, SeasonId= "</v>
      </c>
      <c r="L636" t="str">
        <f>Matchs!F637</f>
        <v>FIFAWC2002</v>
      </c>
      <c r="M636" t="str">
        <f t="shared" si="177"/>
        <v>",Round= "</v>
      </c>
      <c r="N636" t="str">
        <f>Matchs!G637</f>
        <v>Final Round</v>
      </c>
      <c r="O636" s="6" t="str">
        <f t="shared" si="178"/>
        <v>",Stage= "</v>
      </c>
      <c r="P636" t="str">
        <f>Matchs!H637</f>
        <v>Knockouts</v>
      </c>
      <c r="Q636" s="6" t="str">
        <f t="shared" si="179"/>
        <v>",SubStage= "</v>
      </c>
      <c r="R636" t="str">
        <f>Matchs!I637</f>
        <v xml:space="preserve">Round of 16 </v>
      </c>
      <c r="S636" s="6" t="str">
        <f t="shared" si="180"/>
        <v>",HTeam= "</v>
      </c>
      <c r="T636" t="str">
        <f>Matchs!J637</f>
        <v>South Korea</v>
      </c>
      <c r="U636" s="6" t="str">
        <f t="shared" si="181"/>
        <v>",HGoal=</v>
      </c>
      <c r="V636">
        <f>Matchs!K637</f>
        <v>2</v>
      </c>
      <c r="W636" s="6" t="str">
        <f t="shared" si="182"/>
        <v>,GGoal=</v>
      </c>
      <c r="X636">
        <f>Matchs!L637</f>
        <v>1</v>
      </c>
      <c r="Y636" s="6" t="str">
        <f t="shared" si="183"/>
        <v>,GTeam= "</v>
      </c>
      <c r="Z636" t="str">
        <f>Matchs!M637</f>
        <v>Italy</v>
      </c>
      <c r="AA636" s="6" t="str">
        <f t="shared" si="184"/>
        <v>",WinNote="</v>
      </c>
      <c r="AB636" t="str">
        <f>IF(Matchs!N637="","",Matchs!N637)</f>
        <v/>
      </c>
      <c r="AC636" s="6" t="str">
        <f t="shared" si="185"/>
        <v xml:space="preserve">",Stadium=" </v>
      </c>
      <c r="AD636" s="11" t="str">
        <f>Matchs!O637</f>
        <v xml:space="preserve">Daejeon World Cup Stadium </v>
      </c>
      <c r="AE636" s="6" t="str">
        <f t="shared" si="186"/>
        <v>",Referee= "</v>
      </c>
      <c r="AF636" s="11" t="str">
        <f>Matchs!P637</f>
        <v xml:space="preserve">Byron Moreno </v>
      </c>
      <c r="AG636" s="6" t="str">
        <f t="shared" si="187"/>
        <v xml:space="preserve">",Visistors= </v>
      </c>
      <c r="AH636" s="11">
        <f>Matchs!Q637</f>
        <v>38588</v>
      </c>
      <c r="AI636" s="11" t="str">
        <f t="shared" si="188"/>
        <v>,Status= "</v>
      </c>
      <c r="AJ636" s="11" t="str">
        <f>Matchs!R637</f>
        <v>Finished</v>
      </c>
      <c r="AK636" t="str">
        <f t="shared" si="189"/>
        <v>" },</v>
      </c>
    </row>
    <row r="637" spans="1:37" x14ac:dyDescent="0.25">
      <c r="A637" t="str">
        <f t="shared" si="171"/>
        <v>new Match { MatchId= "</v>
      </c>
      <c r="B637" t="str">
        <f>Matchs!A638</f>
        <v>FIFAWC2002-57</v>
      </c>
      <c r="C637" t="str">
        <f t="shared" si="172"/>
        <v>",MatchNumer=</v>
      </c>
      <c r="D637">
        <f>Matchs!B638</f>
        <v>57</v>
      </c>
      <c r="E637" t="str">
        <f t="shared" si="173"/>
        <v>,DateMatch=DateTime.Parse("</v>
      </c>
      <c r="F637" s="3">
        <f>Matchs!C638</f>
        <v>37428</v>
      </c>
      <c r="G637" s="10" t="str">
        <f t="shared" si="174"/>
        <v>"),TimeMatch=TimeSpan.Parse("</v>
      </c>
      <c r="H637" s="9">
        <f>Matchs!D638</f>
        <v>0.5625</v>
      </c>
      <c r="I637" t="str">
        <f t="shared" si="175"/>
        <v>"),MatchYear=</v>
      </c>
      <c r="J637">
        <f>Matchs!E638</f>
        <v>2002</v>
      </c>
      <c r="K637" t="str">
        <f t="shared" si="176"/>
        <v>, SeasonId= "</v>
      </c>
      <c r="L637" t="str">
        <f>Matchs!F638</f>
        <v>FIFAWC2002</v>
      </c>
      <c r="M637" t="str">
        <f t="shared" si="177"/>
        <v>",Round= "</v>
      </c>
      <c r="N637" t="str">
        <f>Matchs!G638</f>
        <v>Final Round</v>
      </c>
      <c r="O637" s="6" t="str">
        <f t="shared" si="178"/>
        <v>",Stage= "</v>
      </c>
      <c r="P637" t="str">
        <f>Matchs!H638</f>
        <v>Knockouts</v>
      </c>
      <c r="Q637" s="6" t="str">
        <f t="shared" si="179"/>
        <v>",SubStage= "</v>
      </c>
      <c r="R637" t="str">
        <f>Matchs!I638</f>
        <v>Quaterfinal</v>
      </c>
      <c r="S637" s="6" t="str">
        <f t="shared" si="180"/>
        <v>",HTeam= "</v>
      </c>
      <c r="T637" t="str">
        <f>Matchs!J638</f>
        <v>England</v>
      </c>
      <c r="U637" s="6" t="str">
        <f t="shared" si="181"/>
        <v>",HGoal=</v>
      </c>
      <c r="V637">
        <f>Matchs!K638</f>
        <v>1</v>
      </c>
      <c r="W637" s="6" t="str">
        <f t="shared" si="182"/>
        <v>,GGoal=</v>
      </c>
      <c r="X637">
        <f>Matchs!L638</f>
        <v>2</v>
      </c>
      <c r="Y637" s="6" t="str">
        <f t="shared" si="183"/>
        <v>,GTeam= "</v>
      </c>
      <c r="Z637" t="str">
        <f>Matchs!M638</f>
        <v>Brazil</v>
      </c>
      <c r="AA637" s="6" t="str">
        <f t="shared" si="184"/>
        <v>",WinNote="</v>
      </c>
      <c r="AB637" t="str">
        <f>IF(Matchs!N638="","",Matchs!N638)</f>
        <v/>
      </c>
      <c r="AC637" s="6" t="str">
        <f t="shared" si="185"/>
        <v xml:space="preserve">",Stadium=" </v>
      </c>
      <c r="AD637" s="11" t="str">
        <f>Matchs!O638</f>
        <v xml:space="preserve">Shizuoka Stadium </v>
      </c>
      <c r="AE637" s="6" t="str">
        <f t="shared" si="186"/>
        <v>",Referee= "</v>
      </c>
      <c r="AF637" s="11" t="str">
        <f>Matchs!P638</f>
        <v xml:space="preserve">Felipe Ramos </v>
      </c>
      <c r="AG637" s="6" t="str">
        <f t="shared" si="187"/>
        <v xml:space="preserve">",Visistors= </v>
      </c>
      <c r="AH637" s="11">
        <f>Matchs!Q638</f>
        <v>47436</v>
      </c>
      <c r="AI637" s="11" t="str">
        <f t="shared" si="188"/>
        <v>,Status= "</v>
      </c>
      <c r="AJ637" s="11" t="str">
        <f>Matchs!R638</f>
        <v>Finished</v>
      </c>
      <c r="AK637" t="str">
        <f t="shared" si="189"/>
        <v>" },</v>
      </c>
    </row>
    <row r="638" spans="1:37" x14ac:dyDescent="0.25">
      <c r="A638" t="str">
        <f t="shared" si="171"/>
        <v>new Match { MatchId= "</v>
      </c>
      <c r="B638" t="str">
        <f>Matchs!A639</f>
        <v>FIFAWC2002-58</v>
      </c>
      <c r="C638" t="str">
        <f t="shared" si="172"/>
        <v>",MatchNumer=</v>
      </c>
      <c r="D638">
        <f>Matchs!B639</f>
        <v>58</v>
      </c>
      <c r="E638" t="str">
        <f t="shared" si="173"/>
        <v>,DateMatch=DateTime.Parse("</v>
      </c>
      <c r="F638" s="3">
        <f>Matchs!C639</f>
        <v>37428</v>
      </c>
      <c r="G638" s="10" t="str">
        <f t="shared" si="174"/>
        <v>"),TimeMatch=TimeSpan.Parse("</v>
      </c>
      <c r="H638" s="9">
        <f>Matchs!D639</f>
        <v>0.77083333333333337</v>
      </c>
      <c r="I638" t="str">
        <f t="shared" si="175"/>
        <v>"),MatchYear=</v>
      </c>
      <c r="J638">
        <f>Matchs!E639</f>
        <v>2002</v>
      </c>
      <c r="K638" t="str">
        <f t="shared" si="176"/>
        <v>, SeasonId= "</v>
      </c>
      <c r="L638" t="str">
        <f>Matchs!F639</f>
        <v>FIFAWC2002</v>
      </c>
      <c r="M638" t="str">
        <f t="shared" si="177"/>
        <v>",Round= "</v>
      </c>
      <c r="N638" t="str">
        <f>Matchs!G639</f>
        <v>Final Round</v>
      </c>
      <c r="O638" s="6" t="str">
        <f t="shared" si="178"/>
        <v>",Stage= "</v>
      </c>
      <c r="P638" t="str">
        <f>Matchs!H639</f>
        <v>Knockouts</v>
      </c>
      <c r="Q638" s="6" t="str">
        <f t="shared" si="179"/>
        <v>",SubStage= "</v>
      </c>
      <c r="R638" t="str">
        <f>Matchs!I639</f>
        <v>Quaterfinal</v>
      </c>
      <c r="S638" s="6" t="str">
        <f t="shared" si="180"/>
        <v>",HTeam= "</v>
      </c>
      <c r="T638" t="str">
        <f>Matchs!J639</f>
        <v>Germany</v>
      </c>
      <c r="U638" s="6" t="str">
        <f t="shared" si="181"/>
        <v>",HGoal=</v>
      </c>
      <c r="V638">
        <f>Matchs!K639</f>
        <v>1</v>
      </c>
      <c r="W638" s="6" t="str">
        <f t="shared" si="182"/>
        <v>,GGoal=</v>
      </c>
      <c r="X638">
        <f>Matchs!L639</f>
        <v>0</v>
      </c>
      <c r="Y638" s="6" t="str">
        <f t="shared" si="183"/>
        <v>,GTeam= "</v>
      </c>
      <c r="Z638" t="str">
        <f>Matchs!M639</f>
        <v>USA</v>
      </c>
      <c r="AA638" s="6" t="str">
        <f t="shared" si="184"/>
        <v>",WinNote="</v>
      </c>
      <c r="AB638" t="str">
        <f>IF(Matchs!N639="","",Matchs!N639)</f>
        <v/>
      </c>
      <c r="AC638" s="6" t="str">
        <f t="shared" si="185"/>
        <v xml:space="preserve">",Stadium=" </v>
      </c>
      <c r="AD638" s="11" t="str">
        <f>Matchs!O639</f>
        <v xml:space="preserve">Ulsan Munsu Football Stadium </v>
      </c>
      <c r="AE638" s="6" t="str">
        <f t="shared" si="186"/>
        <v>",Referee= "</v>
      </c>
      <c r="AF638" s="11" t="str">
        <f>Matchs!P639</f>
        <v xml:space="preserve">Hugh Dallas </v>
      </c>
      <c r="AG638" s="6" t="str">
        <f t="shared" si="187"/>
        <v xml:space="preserve">",Visistors= </v>
      </c>
      <c r="AH638" s="11">
        <f>Matchs!Q639</f>
        <v>37337</v>
      </c>
      <c r="AI638" s="11" t="str">
        <f t="shared" si="188"/>
        <v>,Status= "</v>
      </c>
      <c r="AJ638" s="11" t="str">
        <f>Matchs!R639</f>
        <v>Finished</v>
      </c>
      <c r="AK638" t="str">
        <f t="shared" si="189"/>
        <v>" },</v>
      </c>
    </row>
    <row r="639" spans="1:37" x14ac:dyDescent="0.25">
      <c r="A639" t="str">
        <f t="shared" si="171"/>
        <v>new Match { MatchId= "</v>
      </c>
      <c r="B639" t="str">
        <f>Matchs!A640</f>
        <v>FIFAWC2002-59</v>
      </c>
      <c r="C639" t="str">
        <f t="shared" si="172"/>
        <v>",MatchNumer=</v>
      </c>
      <c r="D639">
        <f>Matchs!B640</f>
        <v>59</v>
      </c>
      <c r="E639" t="str">
        <f t="shared" si="173"/>
        <v>,DateMatch=DateTime.Parse("</v>
      </c>
      <c r="F639" s="3">
        <f>Matchs!C640</f>
        <v>37429</v>
      </c>
      <c r="G639" s="10" t="str">
        <f t="shared" si="174"/>
        <v>"),TimeMatch=TimeSpan.Parse("</v>
      </c>
      <c r="H639" s="9">
        <f>Matchs!D640</f>
        <v>0.5625</v>
      </c>
      <c r="I639" t="str">
        <f t="shared" si="175"/>
        <v>"),MatchYear=</v>
      </c>
      <c r="J639">
        <f>Matchs!E640</f>
        <v>2002</v>
      </c>
      <c r="K639" t="str">
        <f t="shared" si="176"/>
        <v>, SeasonId= "</v>
      </c>
      <c r="L639" t="str">
        <f>Matchs!F640</f>
        <v>FIFAWC2002</v>
      </c>
      <c r="M639" t="str">
        <f t="shared" si="177"/>
        <v>",Round= "</v>
      </c>
      <c r="N639" t="str">
        <f>Matchs!G640</f>
        <v>Final Round</v>
      </c>
      <c r="O639" s="6" t="str">
        <f t="shared" si="178"/>
        <v>",Stage= "</v>
      </c>
      <c r="P639" t="str">
        <f>Matchs!H640</f>
        <v>Knockouts</v>
      </c>
      <c r="Q639" s="6" t="str">
        <f t="shared" si="179"/>
        <v>",SubStage= "</v>
      </c>
      <c r="R639" t="str">
        <f>Matchs!I640</f>
        <v>Quaterfinal</v>
      </c>
      <c r="S639" s="6" t="str">
        <f t="shared" si="180"/>
        <v>",HTeam= "</v>
      </c>
      <c r="T639" t="str">
        <f>Matchs!J640</f>
        <v>Spain</v>
      </c>
      <c r="U639" s="6" t="str">
        <f t="shared" si="181"/>
        <v>",HGoal=</v>
      </c>
      <c r="V639">
        <f>Matchs!K640</f>
        <v>0</v>
      </c>
      <c r="W639" s="6" t="str">
        <f t="shared" si="182"/>
        <v>,GGoal=</v>
      </c>
      <c r="X639">
        <f>Matchs!L640</f>
        <v>0</v>
      </c>
      <c r="Y639" s="6" t="str">
        <f t="shared" si="183"/>
        <v>,GTeam= "</v>
      </c>
      <c r="Z639" t="str">
        <f>Matchs!M640</f>
        <v>South Korea</v>
      </c>
      <c r="AA639" s="6" t="str">
        <f t="shared" si="184"/>
        <v>",WinNote="</v>
      </c>
      <c r="AB639" t="str">
        <f>IF(Matchs!N640="","",Matchs!N640)</f>
        <v>Korea Republic win 3 - 5 on penalties</v>
      </c>
      <c r="AC639" s="6" t="str">
        <f t="shared" si="185"/>
        <v xml:space="preserve">",Stadium=" </v>
      </c>
      <c r="AD639" s="11" t="str">
        <f>Matchs!O640</f>
        <v xml:space="preserve">Gwangju World Cup Stadium </v>
      </c>
      <c r="AE639" s="6" t="str">
        <f t="shared" si="186"/>
        <v>",Referee= "</v>
      </c>
      <c r="AF639" s="11" t="str">
        <f>Matchs!P640</f>
        <v xml:space="preserve">Gamal Al-Ghandour </v>
      </c>
      <c r="AG639" s="6" t="str">
        <f t="shared" si="187"/>
        <v xml:space="preserve">",Visistors= </v>
      </c>
      <c r="AH639" s="11">
        <f>Matchs!Q640</f>
        <v>42114</v>
      </c>
      <c r="AI639" s="11" t="str">
        <f t="shared" si="188"/>
        <v>,Status= "</v>
      </c>
      <c r="AJ639" s="11" t="str">
        <f>Matchs!R640</f>
        <v>Finished</v>
      </c>
      <c r="AK639" t="str">
        <f t="shared" si="189"/>
        <v>" },</v>
      </c>
    </row>
    <row r="640" spans="1:37" x14ac:dyDescent="0.25">
      <c r="A640" t="str">
        <f t="shared" si="171"/>
        <v>new Match { MatchId= "</v>
      </c>
      <c r="B640" t="str">
        <f>Matchs!A641</f>
        <v>FIFAWC2002-60</v>
      </c>
      <c r="C640" t="str">
        <f t="shared" si="172"/>
        <v>",MatchNumer=</v>
      </c>
      <c r="D640">
        <f>Matchs!B641</f>
        <v>60</v>
      </c>
      <c r="E640" t="str">
        <f t="shared" si="173"/>
        <v>,DateMatch=DateTime.Parse("</v>
      </c>
      <c r="F640" s="3">
        <f>Matchs!C641</f>
        <v>37429</v>
      </c>
      <c r="G640" s="10" t="str">
        <f t="shared" si="174"/>
        <v>"),TimeMatch=TimeSpan.Parse("</v>
      </c>
      <c r="H640" s="9">
        <f>Matchs!D641</f>
        <v>0.77083333333333337</v>
      </c>
      <c r="I640" t="str">
        <f t="shared" si="175"/>
        <v>"),MatchYear=</v>
      </c>
      <c r="J640">
        <f>Matchs!E641</f>
        <v>2002</v>
      </c>
      <c r="K640" t="str">
        <f t="shared" si="176"/>
        <v>, SeasonId= "</v>
      </c>
      <c r="L640" t="str">
        <f>Matchs!F641</f>
        <v>FIFAWC2002</v>
      </c>
      <c r="M640" t="str">
        <f t="shared" si="177"/>
        <v>",Round= "</v>
      </c>
      <c r="N640" t="str">
        <f>Matchs!G641</f>
        <v>Final Round</v>
      </c>
      <c r="O640" s="6" t="str">
        <f t="shared" si="178"/>
        <v>",Stage= "</v>
      </c>
      <c r="P640" t="str">
        <f>Matchs!H641</f>
        <v>Knockouts</v>
      </c>
      <c r="Q640" s="6" t="str">
        <f t="shared" si="179"/>
        <v>",SubStage= "</v>
      </c>
      <c r="R640" t="str">
        <f>Matchs!I641</f>
        <v>Quaterfinal</v>
      </c>
      <c r="S640" s="6" t="str">
        <f t="shared" si="180"/>
        <v>",HTeam= "</v>
      </c>
      <c r="T640" t="str">
        <f>Matchs!J641</f>
        <v>Senegal</v>
      </c>
      <c r="U640" s="6" t="str">
        <f t="shared" si="181"/>
        <v>",HGoal=</v>
      </c>
      <c r="V640">
        <f>Matchs!K641</f>
        <v>0</v>
      </c>
      <c r="W640" s="6" t="str">
        <f t="shared" si="182"/>
        <v>,GGoal=</v>
      </c>
      <c r="X640">
        <f>Matchs!L641</f>
        <v>1</v>
      </c>
      <c r="Y640" s="6" t="str">
        <f t="shared" si="183"/>
        <v>,GTeam= "</v>
      </c>
      <c r="Z640" t="str">
        <f>Matchs!M641</f>
        <v>Turkey</v>
      </c>
      <c r="AA640" s="6" t="str">
        <f t="shared" si="184"/>
        <v>",WinNote="</v>
      </c>
      <c r="AB640" t="str">
        <f>IF(Matchs!N641="","",Matchs!N641)</f>
        <v/>
      </c>
      <c r="AC640" s="6" t="str">
        <f t="shared" si="185"/>
        <v xml:space="preserve">",Stadium=" </v>
      </c>
      <c r="AD640" s="11" t="str">
        <f>Matchs!O641</f>
        <v xml:space="preserve">Nagai Stadium </v>
      </c>
      <c r="AE640" s="6" t="str">
        <f t="shared" si="186"/>
        <v>",Referee= "</v>
      </c>
      <c r="AF640" s="11" t="str">
        <f>Matchs!P641</f>
        <v xml:space="preserve">Oscar Ruiz </v>
      </c>
      <c r="AG640" s="6" t="str">
        <f t="shared" si="187"/>
        <v xml:space="preserve">",Visistors= </v>
      </c>
      <c r="AH640" s="11">
        <f>Matchs!Q641</f>
        <v>44233</v>
      </c>
      <c r="AI640" s="11" t="str">
        <f t="shared" si="188"/>
        <v>,Status= "</v>
      </c>
      <c r="AJ640" s="11" t="str">
        <f>Matchs!R641</f>
        <v>Finished</v>
      </c>
      <c r="AK640" t="str">
        <f t="shared" si="189"/>
        <v>" },</v>
      </c>
    </row>
    <row r="641" spans="1:37" x14ac:dyDescent="0.25">
      <c r="A641" t="str">
        <f t="shared" si="171"/>
        <v>new Match { MatchId= "</v>
      </c>
      <c r="B641" t="str">
        <f>Matchs!A642</f>
        <v>FIFAWC2002-61</v>
      </c>
      <c r="C641" t="str">
        <f t="shared" si="172"/>
        <v>",MatchNumer=</v>
      </c>
      <c r="D641">
        <f>Matchs!B642</f>
        <v>61</v>
      </c>
      <c r="E641" t="str">
        <f t="shared" si="173"/>
        <v>,DateMatch=DateTime.Parse("</v>
      </c>
      <c r="F641" s="3">
        <f>Matchs!C642</f>
        <v>37432</v>
      </c>
      <c r="G641" s="10" t="str">
        <f t="shared" si="174"/>
        <v>"),TimeMatch=TimeSpan.Parse("</v>
      </c>
      <c r="H641" s="9">
        <f>Matchs!D642</f>
        <v>0.77083333333333337</v>
      </c>
      <c r="I641" t="str">
        <f t="shared" si="175"/>
        <v>"),MatchYear=</v>
      </c>
      <c r="J641">
        <f>Matchs!E642</f>
        <v>2002</v>
      </c>
      <c r="K641" t="str">
        <f t="shared" si="176"/>
        <v>, SeasonId= "</v>
      </c>
      <c r="L641" t="str">
        <f>Matchs!F642</f>
        <v>FIFAWC2002</v>
      </c>
      <c r="M641" t="str">
        <f t="shared" si="177"/>
        <v>",Round= "</v>
      </c>
      <c r="N641" t="str">
        <f>Matchs!G642</f>
        <v>Final Round</v>
      </c>
      <c r="O641" s="6" t="str">
        <f t="shared" si="178"/>
        <v>",Stage= "</v>
      </c>
      <c r="P641" t="str">
        <f>Matchs!H642</f>
        <v>Knockouts</v>
      </c>
      <c r="Q641" s="6" t="str">
        <f t="shared" si="179"/>
        <v>",SubStage= "</v>
      </c>
      <c r="R641" t="str">
        <f>Matchs!I642</f>
        <v>Semifinal</v>
      </c>
      <c r="S641" s="6" t="str">
        <f t="shared" si="180"/>
        <v>",HTeam= "</v>
      </c>
      <c r="T641" t="str">
        <f>Matchs!J642</f>
        <v>Germany</v>
      </c>
      <c r="U641" s="6" t="str">
        <f t="shared" si="181"/>
        <v>",HGoal=</v>
      </c>
      <c r="V641">
        <f>Matchs!K642</f>
        <v>1</v>
      </c>
      <c r="W641" s="6" t="str">
        <f t="shared" si="182"/>
        <v>,GGoal=</v>
      </c>
      <c r="X641">
        <f>Matchs!L642</f>
        <v>0</v>
      </c>
      <c r="Y641" s="6" t="str">
        <f t="shared" si="183"/>
        <v>,GTeam= "</v>
      </c>
      <c r="Z641" t="str">
        <f>Matchs!M642</f>
        <v>South Korea</v>
      </c>
      <c r="AA641" s="6" t="str">
        <f t="shared" si="184"/>
        <v>",WinNote="</v>
      </c>
      <c r="AB641" t="str">
        <f>IF(Matchs!N642="","",Matchs!N642)</f>
        <v/>
      </c>
      <c r="AC641" s="6" t="str">
        <f t="shared" si="185"/>
        <v xml:space="preserve">",Stadium=" </v>
      </c>
      <c r="AD641" s="11" t="str">
        <f>Matchs!O642</f>
        <v xml:space="preserve">Seoul World Cup Stadium </v>
      </c>
      <c r="AE641" s="6" t="str">
        <f t="shared" si="186"/>
        <v>",Referee= "</v>
      </c>
      <c r="AF641" s="11" t="str">
        <f>Matchs!P642</f>
        <v xml:space="preserve">Urs Meier </v>
      </c>
      <c r="AG641" s="6" t="str">
        <f t="shared" si="187"/>
        <v xml:space="preserve">",Visistors= </v>
      </c>
      <c r="AH641" s="11">
        <f>Matchs!Q642</f>
        <v>65256</v>
      </c>
      <c r="AI641" s="11" t="str">
        <f t="shared" si="188"/>
        <v>,Status= "</v>
      </c>
      <c r="AJ641" s="11" t="str">
        <f>Matchs!R642</f>
        <v>Finished</v>
      </c>
      <c r="AK641" t="str">
        <f t="shared" si="189"/>
        <v>" },</v>
      </c>
    </row>
    <row r="642" spans="1:37" x14ac:dyDescent="0.25">
      <c r="A642" t="str">
        <f t="shared" si="171"/>
        <v>new Match { MatchId= "</v>
      </c>
      <c r="B642" t="str">
        <f>Matchs!A643</f>
        <v>FIFAWC2002-62</v>
      </c>
      <c r="C642" t="str">
        <f t="shared" si="172"/>
        <v>",MatchNumer=</v>
      </c>
      <c r="D642">
        <f>Matchs!B643</f>
        <v>62</v>
      </c>
      <c r="E642" t="str">
        <f t="shared" si="173"/>
        <v>,DateMatch=DateTime.Parse("</v>
      </c>
      <c r="F642" s="3">
        <f>Matchs!C643</f>
        <v>37433</v>
      </c>
      <c r="G642" s="10" t="str">
        <f t="shared" si="174"/>
        <v>"),TimeMatch=TimeSpan.Parse("</v>
      </c>
      <c r="H642" s="9">
        <f>Matchs!D643</f>
        <v>0.77083333333333337</v>
      </c>
      <c r="I642" t="str">
        <f t="shared" si="175"/>
        <v>"),MatchYear=</v>
      </c>
      <c r="J642">
        <f>Matchs!E643</f>
        <v>2002</v>
      </c>
      <c r="K642" t="str">
        <f t="shared" si="176"/>
        <v>, SeasonId= "</v>
      </c>
      <c r="L642" t="str">
        <f>Matchs!F643</f>
        <v>FIFAWC2002</v>
      </c>
      <c r="M642" t="str">
        <f t="shared" si="177"/>
        <v>",Round= "</v>
      </c>
      <c r="N642" t="str">
        <f>Matchs!G643</f>
        <v>Final Round</v>
      </c>
      <c r="O642" s="6" t="str">
        <f t="shared" si="178"/>
        <v>",Stage= "</v>
      </c>
      <c r="P642" t="str">
        <f>Matchs!H643</f>
        <v>Knockouts</v>
      </c>
      <c r="Q642" s="6" t="str">
        <f t="shared" si="179"/>
        <v>",SubStage= "</v>
      </c>
      <c r="R642" t="str">
        <f>Matchs!I643</f>
        <v>Semifinal</v>
      </c>
      <c r="S642" s="6" t="str">
        <f t="shared" si="180"/>
        <v>",HTeam= "</v>
      </c>
      <c r="T642" t="str">
        <f>Matchs!J643</f>
        <v>Brazil</v>
      </c>
      <c r="U642" s="6" t="str">
        <f t="shared" si="181"/>
        <v>",HGoal=</v>
      </c>
      <c r="V642">
        <f>Matchs!K643</f>
        <v>1</v>
      </c>
      <c r="W642" s="6" t="str">
        <f t="shared" si="182"/>
        <v>,GGoal=</v>
      </c>
      <c r="X642">
        <f>Matchs!L643</f>
        <v>0</v>
      </c>
      <c r="Y642" s="6" t="str">
        <f t="shared" si="183"/>
        <v>,GTeam= "</v>
      </c>
      <c r="Z642" t="str">
        <f>Matchs!M643</f>
        <v>Turkey</v>
      </c>
      <c r="AA642" s="6" t="str">
        <f t="shared" si="184"/>
        <v>",WinNote="</v>
      </c>
      <c r="AB642" t="str">
        <f>IF(Matchs!N643="","",Matchs!N643)</f>
        <v/>
      </c>
      <c r="AC642" s="6" t="str">
        <f t="shared" si="185"/>
        <v xml:space="preserve">",Stadium=" </v>
      </c>
      <c r="AD642" s="11" t="str">
        <f>Matchs!O643</f>
        <v xml:space="preserve">Saitama Stadium 2002 </v>
      </c>
      <c r="AE642" s="6" t="str">
        <f t="shared" si="186"/>
        <v>",Referee= "</v>
      </c>
      <c r="AF642" s="11" t="str">
        <f>Matchs!P643</f>
        <v xml:space="preserve">Kim Milton Nielsen </v>
      </c>
      <c r="AG642" s="6" t="str">
        <f t="shared" si="187"/>
        <v xml:space="preserve">",Visistors= </v>
      </c>
      <c r="AH642" s="11">
        <f>Matchs!Q643</f>
        <v>61058</v>
      </c>
      <c r="AI642" s="11" t="str">
        <f t="shared" si="188"/>
        <v>,Status= "</v>
      </c>
      <c r="AJ642" s="11" t="str">
        <f>Matchs!R643</f>
        <v>Finished</v>
      </c>
      <c r="AK642" t="str">
        <f t="shared" si="189"/>
        <v>" },</v>
      </c>
    </row>
    <row r="643" spans="1:37" x14ac:dyDescent="0.25">
      <c r="A643" t="str">
        <f t="shared" ref="A643:A706" si="190">A642</f>
        <v>new Match { MatchId= "</v>
      </c>
      <c r="B643" t="str">
        <f>Matchs!A644</f>
        <v>FIFAWC2002-63</v>
      </c>
      <c r="C643" t="str">
        <f t="shared" ref="C643:C706" si="191">C642</f>
        <v>",MatchNumer=</v>
      </c>
      <c r="D643">
        <f>Matchs!B644</f>
        <v>63</v>
      </c>
      <c r="E643" t="str">
        <f t="shared" ref="E643:E706" si="192">E642</f>
        <v>,DateMatch=DateTime.Parse("</v>
      </c>
      <c r="F643" s="3">
        <f>Matchs!C644</f>
        <v>37436</v>
      </c>
      <c r="G643" s="10" t="str">
        <f t="shared" ref="G643:G706" si="193">G642</f>
        <v>"),TimeMatch=TimeSpan.Parse("</v>
      </c>
      <c r="H643" s="9">
        <f>Matchs!D644</f>
        <v>0.77083333333333337</v>
      </c>
      <c r="I643" t="str">
        <f t="shared" ref="I643:I706" si="194">I642</f>
        <v>"),MatchYear=</v>
      </c>
      <c r="J643">
        <f>Matchs!E644</f>
        <v>2002</v>
      </c>
      <c r="K643" t="str">
        <f t="shared" ref="K643:K706" si="195">K642</f>
        <v>, SeasonId= "</v>
      </c>
      <c r="L643" t="str">
        <f>Matchs!F644</f>
        <v>FIFAWC2002</v>
      </c>
      <c r="M643" t="str">
        <f t="shared" ref="M643:M706" si="196">M642</f>
        <v>",Round= "</v>
      </c>
      <c r="N643" t="str">
        <f>Matchs!G644</f>
        <v>Final Round</v>
      </c>
      <c r="O643" s="6" t="str">
        <f t="shared" ref="O643:O706" si="197">O642</f>
        <v>",Stage= "</v>
      </c>
      <c r="P643" t="str">
        <f>Matchs!H644</f>
        <v>Knockouts</v>
      </c>
      <c r="Q643" s="6" t="str">
        <f t="shared" ref="Q643:Q706" si="198">Q642</f>
        <v>",SubStage= "</v>
      </c>
      <c r="R643" t="str">
        <f>Matchs!I644</f>
        <v>3rd place</v>
      </c>
      <c r="S643" s="6" t="str">
        <f t="shared" ref="S643:S706" si="199">S642</f>
        <v>",HTeam= "</v>
      </c>
      <c r="T643" t="str">
        <f>Matchs!J644</f>
        <v>South Korea</v>
      </c>
      <c r="U643" s="6" t="str">
        <f t="shared" ref="U643:U706" si="200">U642</f>
        <v>",HGoal=</v>
      </c>
      <c r="V643">
        <f>Matchs!K644</f>
        <v>2</v>
      </c>
      <c r="W643" s="6" t="str">
        <f t="shared" ref="W643:W706" si="201">W642</f>
        <v>,GGoal=</v>
      </c>
      <c r="X643">
        <f>Matchs!L644</f>
        <v>3</v>
      </c>
      <c r="Y643" s="6" t="str">
        <f t="shared" ref="Y643:Y706" si="202">Y642</f>
        <v>,GTeam= "</v>
      </c>
      <c r="Z643" t="str">
        <f>Matchs!M644</f>
        <v>Turkey</v>
      </c>
      <c r="AA643" s="6" t="str">
        <f t="shared" ref="AA643:AA706" si="203">AA642</f>
        <v>",WinNote="</v>
      </c>
      <c r="AB643" t="str">
        <f>IF(Matchs!N644="","",Matchs!N644)</f>
        <v/>
      </c>
      <c r="AC643" s="6" t="str">
        <f t="shared" ref="AC643:AC706" si="204">AC642</f>
        <v xml:space="preserve">",Stadium=" </v>
      </c>
      <c r="AD643" s="11" t="str">
        <f>Matchs!O644</f>
        <v xml:space="preserve">Daegu World Cup Stadium </v>
      </c>
      <c r="AE643" s="6" t="str">
        <f t="shared" ref="AE643:AE706" si="205">AE642</f>
        <v>",Referee= "</v>
      </c>
      <c r="AF643" s="11" t="str">
        <f>Matchs!P644</f>
        <v xml:space="preserve">Saad Mane </v>
      </c>
      <c r="AG643" s="6" t="str">
        <f t="shared" ref="AG643:AG706" si="206">AG642</f>
        <v xml:space="preserve">",Visistors= </v>
      </c>
      <c r="AH643" s="11">
        <f>Matchs!Q644</f>
        <v>63483</v>
      </c>
      <c r="AI643" s="11" t="str">
        <f t="shared" ref="AI643:AI706" si="207">AI642</f>
        <v>,Status= "</v>
      </c>
      <c r="AJ643" s="11" t="str">
        <f>Matchs!R644</f>
        <v>Finished</v>
      </c>
      <c r="AK643" t="str">
        <f t="shared" ref="AK643:AK706" si="208">AK642</f>
        <v>" },</v>
      </c>
    </row>
    <row r="644" spans="1:37" x14ac:dyDescent="0.25">
      <c r="A644" t="str">
        <f t="shared" si="190"/>
        <v>new Match { MatchId= "</v>
      </c>
      <c r="B644" t="str">
        <f>Matchs!A645</f>
        <v>FIFAWC2002-64</v>
      </c>
      <c r="C644" t="str">
        <f t="shared" si="191"/>
        <v>",MatchNumer=</v>
      </c>
      <c r="D644">
        <f>Matchs!B645</f>
        <v>64</v>
      </c>
      <c r="E644" t="str">
        <f t="shared" si="192"/>
        <v>,DateMatch=DateTime.Parse("</v>
      </c>
      <c r="F644" s="3">
        <f>Matchs!C645</f>
        <v>37437</v>
      </c>
      <c r="G644" s="10" t="str">
        <f t="shared" si="193"/>
        <v>"),TimeMatch=TimeSpan.Parse("</v>
      </c>
      <c r="H644" s="9">
        <f>Matchs!D645</f>
        <v>0.77083333333333337</v>
      </c>
      <c r="I644" t="str">
        <f t="shared" si="194"/>
        <v>"),MatchYear=</v>
      </c>
      <c r="J644">
        <f>Matchs!E645</f>
        <v>2002</v>
      </c>
      <c r="K644" t="str">
        <f t="shared" si="195"/>
        <v>, SeasonId= "</v>
      </c>
      <c r="L644" t="str">
        <f>Matchs!F645</f>
        <v>FIFAWC2002</v>
      </c>
      <c r="M644" t="str">
        <f t="shared" si="196"/>
        <v>",Round= "</v>
      </c>
      <c r="N644" t="str">
        <f>Matchs!G645</f>
        <v>Final Round</v>
      </c>
      <c r="O644" s="6" t="str">
        <f t="shared" si="197"/>
        <v>",Stage= "</v>
      </c>
      <c r="P644" t="str">
        <f>Matchs!H645</f>
        <v>Knockouts</v>
      </c>
      <c r="Q644" s="6" t="str">
        <f t="shared" si="198"/>
        <v>",SubStage= "</v>
      </c>
      <c r="R644" t="str">
        <f>Matchs!I645</f>
        <v>Final</v>
      </c>
      <c r="S644" s="6" t="str">
        <f t="shared" si="199"/>
        <v>",HTeam= "</v>
      </c>
      <c r="T644" t="str">
        <f>Matchs!J645</f>
        <v>Germany</v>
      </c>
      <c r="U644" s="6" t="str">
        <f t="shared" si="200"/>
        <v>",HGoal=</v>
      </c>
      <c r="V644">
        <f>Matchs!K645</f>
        <v>0</v>
      </c>
      <c r="W644" s="6" t="str">
        <f t="shared" si="201"/>
        <v>,GGoal=</v>
      </c>
      <c r="X644">
        <f>Matchs!L645</f>
        <v>2</v>
      </c>
      <c r="Y644" s="6" t="str">
        <f t="shared" si="202"/>
        <v>,GTeam= "</v>
      </c>
      <c r="Z644" t="str">
        <f>Matchs!M645</f>
        <v>Brazil</v>
      </c>
      <c r="AA644" s="6" t="str">
        <f t="shared" si="203"/>
        <v>",WinNote="</v>
      </c>
      <c r="AB644" t="str">
        <f>IF(Matchs!N645="","",Matchs!N645)</f>
        <v/>
      </c>
      <c r="AC644" s="6" t="str">
        <f t="shared" si="204"/>
        <v xml:space="preserve">",Stadium=" </v>
      </c>
      <c r="AD644" s="11" t="str">
        <f>Matchs!O645</f>
        <v xml:space="preserve">International Stadium Yokohama </v>
      </c>
      <c r="AE644" s="6" t="str">
        <f t="shared" si="205"/>
        <v>",Referee= "</v>
      </c>
      <c r="AF644" s="11" t="str">
        <f>Matchs!P645</f>
        <v xml:space="preserve">Pierluigi Collina </v>
      </c>
      <c r="AG644" s="6" t="str">
        <f t="shared" si="206"/>
        <v xml:space="preserve">",Visistors= </v>
      </c>
      <c r="AH644" s="11">
        <f>Matchs!Q645</f>
        <v>69029</v>
      </c>
      <c r="AI644" s="11" t="str">
        <f t="shared" si="207"/>
        <v>,Status= "</v>
      </c>
      <c r="AJ644" s="11" t="str">
        <f>Matchs!R645</f>
        <v>Finished</v>
      </c>
      <c r="AK644" t="str">
        <f t="shared" si="208"/>
        <v>" },</v>
      </c>
    </row>
    <row r="645" spans="1:37" x14ac:dyDescent="0.25">
      <c r="A645" t="str">
        <f t="shared" si="190"/>
        <v>new Match { MatchId= "</v>
      </c>
      <c r="B645" t="str">
        <f>Matchs!A646</f>
        <v>FIFAWC2006-1</v>
      </c>
      <c r="C645" t="str">
        <f t="shared" si="191"/>
        <v>",MatchNumer=</v>
      </c>
      <c r="D645">
        <f>Matchs!B646</f>
        <v>1</v>
      </c>
      <c r="E645" t="str">
        <f t="shared" si="192"/>
        <v>,DateMatch=DateTime.Parse("</v>
      </c>
      <c r="F645" s="3">
        <f>Matchs!C646</f>
        <v>38877</v>
      </c>
      <c r="G645" s="10" t="str">
        <f t="shared" si="193"/>
        <v>"),TimeMatch=TimeSpan.Parse("</v>
      </c>
      <c r="H645" s="9">
        <f>Matchs!D646</f>
        <v>0.95833333333333337</v>
      </c>
      <c r="I645" t="str">
        <f t="shared" si="194"/>
        <v>"),MatchYear=</v>
      </c>
      <c r="J645">
        <f>Matchs!E646</f>
        <v>2006</v>
      </c>
      <c r="K645" t="str">
        <f t="shared" si="195"/>
        <v>, SeasonId= "</v>
      </c>
      <c r="L645" t="str">
        <f>Matchs!F646</f>
        <v>FIFAWC2006</v>
      </c>
      <c r="M645" t="str">
        <f t="shared" si="196"/>
        <v>",Round= "</v>
      </c>
      <c r="N645" t="str">
        <f>Matchs!G646</f>
        <v>Final Round</v>
      </c>
      <c r="O645" s="6" t="str">
        <f t="shared" si="197"/>
        <v>",Stage= "</v>
      </c>
      <c r="P645" t="str">
        <f>Matchs!H646</f>
        <v>Group</v>
      </c>
      <c r="Q645" s="6" t="str">
        <f t="shared" si="198"/>
        <v>",SubStage= "</v>
      </c>
      <c r="R645" t="str">
        <f>Matchs!I646</f>
        <v xml:space="preserve">Group A </v>
      </c>
      <c r="S645" s="6" t="str">
        <f t="shared" si="199"/>
        <v>",HTeam= "</v>
      </c>
      <c r="T645" t="str">
        <f>Matchs!J646</f>
        <v>Germany</v>
      </c>
      <c r="U645" s="6" t="str">
        <f t="shared" si="200"/>
        <v>",HGoal=</v>
      </c>
      <c r="V645">
        <f>Matchs!K646</f>
        <v>4</v>
      </c>
      <c r="W645" s="6" t="str">
        <f t="shared" si="201"/>
        <v>,GGoal=</v>
      </c>
      <c r="X645">
        <f>Matchs!L646</f>
        <v>2</v>
      </c>
      <c r="Y645" s="6" t="str">
        <f t="shared" si="202"/>
        <v>,GTeam= "</v>
      </c>
      <c r="Z645" t="str">
        <f>Matchs!M646</f>
        <v>Costa Rica</v>
      </c>
      <c r="AA645" s="6" t="str">
        <f t="shared" si="203"/>
        <v>",WinNote="</v>
      </c>
      <c r="AB645" t="str">
        <f>IF(Matchs!N646="","",Matchs!N646)</f>
        <v/>
      </c>
      <c r="AC645" s="6" t="str">
        <f t="shared" si="204"/>
        <v xml:space="preserve">",Stadium=" </v>
      </c>
      <c r="AD645" s="11" t="str">
        <f>Matchs!O646</f>
        <v xml:space="preserve">Allianz Arena </v>
      </c>
      <c r="AE645" s="6" t="str">
        <f t="shared" si="205"/>
        <v>",Referee= "</v>
      </c>
      <c r="AF645" s="11" t="str">
        <f>Matchs!P646</f>
        <v xml:space="preserve">Horacio Elizondo </v>
      </c>
      <c r="AG645" s="6" t="str">
        <f t="shared" si="206"/>
        <v xml:space="preserve">",Visistors= </v>
      </c>
      <c r="AH645" s="11">
        <f>Matchs!Q646</f>
        <v>66000</v>
      </c>
      <c r="AI645" s="11" t="str">
        <f t="shared" si="207"/>
        <v>,Status= "</v>
      </c>
      <c r="AJ645" s="11" t="str">
        <f>Matchs!R646</f>
        <v>Finished</v>
      </c>
      <c r="AK645" t="str">
        <f t="shared" si="208"/>
        <v>" },</v>
      </c>
    </row>
    <row r="646" spans="1:37" x14ac:dyDescent="0.25">
      <c r="A646" t="str">
        <f t="shared" si="190"/>
        <v>new Match { MatchId= "</v>
      </c>
      <c r="B646" t="str">
        <f>Matchs!A647</f>
        <v>FIFAWC2006-2</v>
      </c>
      <c r="C646" t="str">
        <f t="shared" si="191"/>
        <v>",MatchNumer=</v>
      </c>
      <c r="D646">
        <f>Matchs!B647</f>
        <v>2</v>
      </c>
      <c r="E646" t="str">
        <f t="shared" si="192"/>
        <v>,DateMatch=DateTime.Parse("</v>
      </c>
      <c r="F646" s="3">
        <f>Matchs!C647</f>
        <v>38878</v>
      </c>
      <c r="G646" s="10" t="str">
        <f t="shared" si="193"/>
        <v>"),TimeMatch=TimeSpan.Parse("</v>
      </c>
      <c r="H646" s="9">
        <f>Matchs!D647</f>
        <v>8.3333333333333329E-2</v>
      </c>
      <c r="I646" t="str">
        <f t="shared" si="194"/>
        <v>"),MatchYear=</v>
      </c>
      <c r="J646">
        <f>Matchs!E647</f>
        <v>2006</v>
      </c>
      <c r="K646" t="str">
        <f t="shared" si="195"/>
        <v>, SeasonId= "</v>
      </c>
      <c r="L646" t="str">
        <f>Matchs!F647</f>
        <v>FIFAWC2006</v>
      </c>
      <c r="M646" t="str">
        <f t="shared" si="196"/>
        <v>",Round= "</v>
      </c>
      <c r="N646" t="str">
        <f>Matchs!G647</f>
        <v>Final Round</v>
      </c>
      <c r="O646" s="6" t="str">
        <f t="shared" si="197"/>
        <v>",Stage= "</v>
      </c>
      <c r="P646" t="str">
        <f>Matchs!H647</f>
        <v>Group</v>
      </c>
      <c r="Q646" s="6" t="str">
        <f t="shared" si="198"/>
        <v>",SubStage= "</v>
      </c>
      <c r="R646" t="str">
        <f>Matchs!I647</f>
        <v xml:space="preserve">Group A </v>
      </c>
      <c r="S646" s="6" t="str">
        <f t="shared" si="199"/>
        <v>",HTeam= "</v>
      </c>
      <c r="T646" t="str">
        <f>Matchs!J647</f>
        <v>Poland</v>
      </c>
      <c r="U646" s="6" t="str">
        <f t="shared" si="200"/>
        <v>",HGoal=</v>
      </c>
      <c r="V646">
        <f>Matchs!K647</f>
        <v>0</v>
      </c>
      <c r="W646" s="6" t="str">
        <f t="shared" si="201"/>
        <v>,GGoal=</v>
      </c>
      <c r="X646">
        <f>Matchs!L647</f>
        <v>2</v>
      </c>
      <c r="Y646" s="6" t="str">
        <f t="shared" si="202"/>
        <v>,GTeam= "</v>
      </c>
      <c r="Z646" t="str">
        <f>Matchs!M647</f>
        <v>Ecuador</v>
      </c>
      <c r="AA646" s="6" t="str">
        <f t="shared" si="203"/>
        <v>",WinNote="</v>
      </c>
      <c r="AB646" t="str">
        <f>IF(Matchs!N647="","",Matchs!N647)</f>
        <v/>
      </c>
      <c r="AC646" s="6" t="str">
        <f t="shared" si="204"/>
        <v xml:space="preserve">",Stadium=" </v>
      </c>
      <c r="AD646" s="11" t="str">
        <f>Matchs!O647</f>
        <v xml:space="preserve">Veltins-Arena </v>
      </c>
      <c r="AE646" s="6" t="str">
        <f t="shared" si="205"/>
        <v>",Referee= "</v>
      </c>
      <c r="AF646" s="11" t="str">
        <f>Matchs!P647</f>
        <v xml:space="preserve">Toru Kamikawa </v>
      </c>
      <c r="AG646" s="6" t="str">
        <f t="shared" si="206"/>
        <v xml:space="preserve">",Visistors= </v>
      </c>
      <c r="AH646" s="11">
        <f>Matchs!Q647</f>
        <v>52000</v>
      </c>
      <c r="AI646" s="11" t="str">
        <f t="shared" si="207"/>
        <v>,Status= "</v>
      </c>
      <c r="AJ646" s="11" t="str">
        <f>Matchs!R647</f>
        <v>Finished</v>
      </c>
      <c r="AK646" t="str">
        <f t="shared" si="208"/>
        <v>" },</v>
      </c>
    </row>
    <row r="647" spans="1:37" x14ac:dyDescent="0.25">
      <c r="A647" t="str">
        <f t="shared" si="190"/>
        <v>new Match { MatchId= "</v>
      </c>
      <c r="B647" t="str">
        <f>Matchs!A648</f>
        <v>FIFAWC2006-3</v>
      </c>
      <c r="C647" t="str">
        <f t="shared" si="191"/>
        <v>",MatchNumer=</v>
      </c>
      <c r="D647">
        <f>Matchs!B648</f>
        <v>3</v>
      </c>
      <c r="E647" t="str">
        <f t="shared" si="192"/>
        <v>,DateMatch=DateTime.Parse("</v>
      </c>
      <c r="F647" s="3">
        <f>Matchs!C648</f>
        <v>38878</v>
      </c>
      <c r="G647" s="10" t="str">
        <f t="shared" si="193"/>
        <v>"),TimeMatch=TimeSpan.Parse("</v>
      </c>
      <c r="H647" s="9">
        <f>Matchs!D648</f>
        <v>0.83333333333333337</v>
      </c>
      <c r="I647" t="str">
        <f t="shared" si="194"/>
        <v>"),MatchYear=</v>
      </c>
      <c r="J647">
        <f>Matchs!E648</f>
        <v>2006</v>
      </c>
      <c r="K647" t="str">
        <f t="shared" si="195"/>
        <v>, SeasonId= "</v>
      </c>
      <c r="L647" t="str">
        <f>Matchs!F648</f>
        <v>FIFAWC2006</v>
      </c>
      <c r="M647" t="str">
        <f t="shared" si="196"/>
        <v>",Round= "</v>
      </c>
      <c r="N647" t="str">
        <f>Matchs!G648</f>
        <v>Final Round</v>
      </c>
      <c r="O647" s="6" t="str">
        <f t="shared" si="197"/>
        <v>",Stage= "</v>
      </c>
      <c r="P647" t="str">
        <f>Matchs!H648</f>
        <v>Group</v>
      </c>
      <c r="Q647" s="6" t="str">
        <f t="shared" si="198"/>
        <v>",SubStage= "</v>
      </c>
      <c r="R647" t="str">
        <f>Matchs!I648</f>
        <v xml:space="preserve">Group B </v>
      </c>
      <c r="S647" s="6" t="str">
        <f t="shared" si="199"/>
        <v>",HTeam= "</v>
      </c>
      <c r="T647" t="str">
        <f>Matchs!J648</f>
        <v>England</v>
      </c>
      <c r="U647" s="6" t="str">
        <f t="shared" si="200"/>
        <v>",HGoal=</v>
      </c>
      <c r="V647">
        <f>Matchs!K648</f>
        <v>1</v>
      </c>
      <c r="W647" s="6" t="str">
        <f t="shared" si="201"/>
        <v>,GGoal=</v>
      </c>
      <c r="X647">
        <f>Matchs!L648</f>
        <v>0</v>
      </c>
      <c r="Y647" s="6" t="str">
        <f t="shared" si="202"/>
        <v>,GTeam= "</v>
      </c>
      <c r="Z647" t="str">
        <f>Matchs!M648</f>
        <v>Paraguay</v>
      </c>
      <c r="AA647" s="6" t="str">
        <f t="shared" si="203"/>
        <v>",WinNote="</v>
      </c>
      <c r="AB647" t="str">
        <f>IF(Matchs!N648="","",Matchs!N648)</f>
        <v/>
      </c>
      <c r="AC647" s="6" t="str">
        <f t="shared" si="204"/>
        <v xml:space="preserve">",Stadium=" </v>
      </c>
      <c r="AD647" s="11" t="str">
        <f>Matchs!O648</f>
        <v xml:space="preserve">Commerzbank-Arena </v>
      </c>
      <c r="AE647" s="6" t="str">
        <f t="shared" si="205"/>
        <v>",Referee= "</v>
      </c>
      <c r="AF647" s="11" t="str">
        <f>Matchs!P648</f>
        <v xml:space="preserve">Marco Rodríguez </v>
      </c>
      <c r="AG647" s="6" t="str">
        <f t="shared" si="206"/>
        <v xml:space="preserve">",Visistors= </v>
      </c>
      <c r="AH647" s="11">
        <f>Matchs!Q648</f>
        <v>48000</v>
      </c>
      <c r="AI647" s="11" t="str">
        <f t="shared" si="207"/>
        <v>,Status= "</v>
      </c>
      <c r="AJ647" s="11" t="str">
        <f>Matchs!R648</f>
        <v>Finished</v>
      </c>
      <c r="AK647" t="str">
        <f t="shared" si="208"/>
        <v>" },</v>
      </c>
    </row>
    <row r="648" spans="1:37" x14ac:dyDescent="0.25">
      <c r="A648" t="str">
        <f t="shared" si="190"/>
        <v>new Match { MatchId= "</v>
      </c>
      <c r="B648" t="str">
        <f>Matchs!A649</f>
        <v>FIFAWC2006-4</v>
      </c>
      <c r="C648" t="str">
        <f t="shared" si="191"/>
        <v>",MatchNumer=</v>
      </c>
      <c r="D648">
        <f>Matchs!B649</f>
        <v>4</v>
      </c>
      <c r="E648" t="str">
        <f t="shared" si="192"/>
        <v>,DateMatch=DateTime.Parse("</v>
      </c>
      <c r="F648" s="3">
        <f>Matchs!C649</f>
        <v>38878</v>
      </c>
      <c r="G648" s="10" t="str">
        <f t="shared" si="193"/>
        <v>"),TimeMatch=TimeSpan.Parse("</v>
      </c>
      <c r="H648" s="9">
        <f>Matchs!D649</f>
        <v>0.95833333333333337</v>
      </c>
      <c r="I648" t="str">
        <f t="shared" si="194"/>
        <v>"),MatchYear=</v>
      </c>
      <c r="J648">
        <f>Matchs!E649</f>
        <v>2006</v>
      </c>
      <c r="K648" t="str">
        <f t="shared" si="195"/>
        <v>, SeasonId= "</v>
      </c>
      <c r="L648" t="str">
        <f>Matchs!F649</f>
        <v>FIFAWC2006</v>
      </c>
      <c r="M648" t="str">
        <f t="shared" si="196"/>
        <v>",Round= "</v>
      </c>
      <c r="N648" t="str">
        <f>Matchs!G649</f>
        <v>Final Round</v>
      </c>
      <c r="O648" s="6" t="str">
        <f t="shared" si="197"/>
        <v>",Stage= "</v>
      </c>
      <c r="P648" t="str">
        <f>Matchs!H649</f>
        <v>Group</v>
      </c>
      <c r="Q648" s="6" t="str">
        <f t="shared" si="198"/>
        <v>",SubStage= "</v>
      </c>
      <c r="R648" t="str">
        <f>Matchs!I649</f>
        <v xml:space="preserve">Group B </v>
      </c>
      <c r="S648" s="6" t="str">
        <f t="shared" si="199"/>
        <v>",HTeam= "</v>
      </c>
      <c r="T648" t="str">
        <f>Matchs!J649</f>
        <v>Trinidad and Tobago</v>
      </c>
      <c r="U648" s="6" t="str">
        <f t="shared" si="200"/>
        <v>",HGoal=</v>
      </c>
      <c r="V648">
        <f>Matchs!K649</f>
        <v>0</v>
      </c>
      <c r="W648" s="6" t="str">
        <f t="shared" si="201"/>
        <v>,GGoal=</v>
      </c>
      <c r="X648">
        <f>Matchs!L649</f>
        <v>0</v>
      </c>
      <c r="Y648" s="6" t="str">
        <f t="shared" si="202"/>
        <v>,GTeam= "</v>
      </c>
      <c r="Z648" t="str">
        <f>Matchs!M649</f>
        <v>Sweden</v>
      </c>
      <c r="AA648" s="6" t="str">
        <f t="shared" si="203"/>
        <v>",WinNote="</v>
      </c>
      <c r="AB648" t="str">
        <f>IF(Matchs!N649="","",Matchs!N649)</f>
        <v/>
      </c>
      <c r="AC648" s="6" t="str">
        <f t="shared" si="204"/>
        <v xml:space="preserve">",Stadium=" </v>
      </c>
      <c r="AD648" s="11" t="str">
        <f>Matchs!O649</f>
        <v xml:space="preserve">Signal Iduna Park </v>
      </c>
      <c r="AE648" s="6" t="str">
        <f t="shared" si="205"/>
        <v>",Referee= "</v>
      </c>
      <c r="AF648" s="11" t="str">
        <f>Matchs!P649</f>
        <v xml:space="preserve">Shamsul Maidin </v>
      </c>
      <c r="AG648" s="6" t="str">
        <f t="shared" si="206"/>
        <v xml:space="preserve">",Visistors= </v>
      </c>
      <c r="AH648" s="11">
        <f>Matchs!Q649</f>
        <v>62959</v>
      </c>
      <c r="AI648" s="11" t="str">
        <f t="shared" si="207"/>
        <v>,Status= "</v>
      </c>
      <c r="AJ648" s="11" t="str">
        <f>Matchs!R649</f>
        <v>Finished</v>
      </c>
      <c r="AK648" t="str">
        <f t="shared" si="208"/>
        <v>" },</v>
      </c>
    </row>
    <row r="649" spans="1:37" x14ac:dyDescent="0.25">
      <c r="A649" t="str">
        <f t="shared" si="190"/>
        <v>new Match { MatchId= "</v>
      </c>
      <c r="B649" t="str">
        <f>Matchs!A650</f>
        <v>FIFAWC2006-5</v>
      </c>
      <c r="C649" t="str">
        <f t="shared" si="191"/>
        <v>",MatchNumer=</v>
      </c>
      <c r="D649">
        <f>Matchs!B650</f>
        <v>5</v>
      </c>
      <c r="E649" t="str">
        <f t="shared" si="192"/>
        <v>,DateMatch=DateTime.Parse("</v>
      </c>
      <c r="F649" s="3">
        <f>Matchs!C650</f>
        <v>38879</v>
      </c>
      <c r="G649" s="10" t="str">
        <f t="shared" si="193"/>
        <v>"),TimeMatch=TimeSpan.Parse("</v>
      </c>
      <c r="H649" s="9">
        <f>Matchs!D650</f>
        <v>8.3333333333333329E-2</v>
      </c>
      <c r="I649" t="str">
        <f t="shared" si="194"/>
        <v>"),MatchYear=</v>
      </c>
      <c r="J649">
        <f>Matchs!E650</f>
        <v>2006</v>
      </c>
      <c r="K649" t="str">
        <f t="shared" si="195"/>
        <v>, SeasonId= "</v>
      </c>
      <c r="L649" t="str">
        <f>Matchs!F650</f>
        <v>FIFAWC2006</v>
      </c>
      <c r="M649" t="str">
        <f t="shared" si="196"/>
        <v>",Round= "</v>
      </c>
      <c r="N649" t="str">
        <f>Matchs!G650</f>
        <v>Final Round</v>
      </c>
      <c r="O649" s="6" t="str">
        <f t="shared" si="197"/>
        <v>",Stage= "</v>
      </c>
      <c r="P649" t="str">
        <f>Matchs!H650</f>
        <v>Group</v>
      </c>
      <c r="Q649" s="6" t="str">
        <f t="shared" si="198"/>
        <v>",SubStage= "</v>
      </c>
      <c r="R649" t="str">
        <f>Matchs!I650</f>
        <v xml:space="preserve">Group C </v>
      </c>
      <c r="S649" s="6" t="str">
        <f t="shared" si="199"/>
        <v>",HTeam= "</v>
      </c>
      <c r="T649" t="str">
        <f>Matchs!J650</f>
        <v>Argentina</v>
      </c>
      <c r="U649" s="6" t="str">
        <f t="shared" si="200"/>
        <v>",HGoal=</v>
      </c>
      <c r="V649">
        <f>Matchs!K650</f>
        <v>2</v>
      </c>
      <c r="W649" s="6" t="str">
        <f t="shared" si="201"/>
        <v>,GGoal=</v>
      </c>
      <c r="X649">
        <f>Matchs!L650</f>
        <v>1</v>
      </c>
      <c r="Y649" s="6" t="str">
        <f t="shared" si="202"/>
        <v>,GTeam= "</v>
      </c>
      <c r="Z649" t="str">
        <f>Matchs!M650</f>
        <v>Cote D'Ivoire</v>
      </c>
      <c r="AA649" s="6" t="str">
        <f t="shared" si="203"/>
        <v>",WinNote="</v>
      </c>
      <c r="AB649" t="str">
        <f>IF(Matchs!N650="","",Matchs!N650)</f>
        <v/>
      </c>
      <c r="AC649" s="6" t="str">
        <f t="shared" si="204"/>
        <v xml:space="preserve">",Stadium=" </v>
      </c>
      <c r="AD649" s="11" t="str">
        <f>Matchs!O650</f>
        <v xml:space="preserve">Volksparkstadion </v>
      </c>
      <c r="AE649" s="6" t="str">
        <f t="shared" si="205"/>
        <v>",Referee= "</v>
      </c>
      <c r="AF649" s="11" t="str">
        <f>Matchs!P650</f>
        <v xml:space="preserve">Frank de Bleeckere </v>
      </c>
      <c r="AG649" s="6" t="str">
        <f t="shared" si="206"/>
        <v xml:space="preserve">",Visistors= </v>
      </c>
      <c r="AH649" s="11">
        <f>Matchs!Q650</f>
        <v>49480</v>
      </c>
      <c r="AI649" s="11" t="str">
        <f t="shared" si="207"/>
        <v>,Status= "</v>
      </c>
      <c r="AJ649" s="11" t="str">
        <f>Matchs!R650</f>
        <v>Finished</v>
      </c>
      <c r="AK649" t="str">
        <f t="shared" si="208"/>
        <v>" },</v>
      </c>
    </row>
    <row r="650" spans="1:37" x14ac:dyDescent="0.25">
      <c r="A650" t="str">
        <f t="shared" si="190"/>
        <v>new Match { MatchId= "</v>
      </c>
      <c r="B650" t="str">
        <f>Matchs!A651</f>
        <v>FIFAWC2006-6</v>
      </c>
      <c r="C650" t="str">
        <f t="shared" si="191"/>
        <v>",MatchNumer=</v>
      </c>
      <c r="D650">
        <f>Matchs!B651</f>
        <v>6</v>
      </c>
      <c r="E650" t="str">
        <f t="shared" si="192"/>
        <v>,DateMatch=DateTime.Parse("</v>
      </c>
      <c r="F650" s="3">
        <f>Matchs!C651</f>
        <v>38879</v>
      </c>
      <c r="G650" s="10" t="str">
        <f t="shared" si="193"/>
        <v>"),TimeMatch=TimeSpan.Parse("</v>
      </c>
      <c r="H650" s="9">
        <f>Matchs!D651</f>
        <v>0.83333333333333337</v>
      </c>
      <c r="I650" t="str">
        <f t="shared" si="194"/>
        <v>"),MatchYear=</v>
      </c>
      <c r="J650">
        <f>Matchs!E651</f>
        <v>2006</v>
      </c>
      <c r="K650" t="str">
        <f t="shared" si="195"/>
        <v>, SeasonId= "</v>
      </c>
      <c r="L650" t="str">
        <f>Matchs!F651</f>
        <v>FIFAWC2006</v>
      </c>
      <c r="M650" t="str">
        <f t="shared" si="196"/>
        <v>",Round= "</v>
      </c>
      <c r="N650" t="str">
        <f>Matchs!G651</f>
        <v>Final Round</v>
      </c>
      <c r="O650" s="6" t="str">
        <f t="shared" si="197"/>
        <v>",Stage= "</v>
      </c>
      <c r="P650" t="str">
        <f>Matchs!H651</f>
        <v>Group</v>
      </c>
      <c r="Q650" s="6" t="str">
        <f t="shared" si="198"/>
        <v>",SubStage= "</v>
      </c>
      <c r="R650" t="str">
        <f>Matchs!I651</f>
        <v xml:space="preserve">Group C </v>
      </c>
      <c r="S650" s="6" t="str">
        <f t="shared" si="199"/>
        <v>",HTeam= "</v>
      </c>
      <c r="T650" t="str">
        <f>Matchs!J651</f>
        <v>Serbia and Montenegro</v>
      </c>
      <c r="U650" s="6" t="str">
        <f t="shared" si="200"/>
        <v>",HGoal=</v>
      </c>
      <c r="V650">
        <f>Matchs!K651</f>
        <v>0</v>
      </c>
      <c r="W650" s="6" t="str">
        <f t="shared" si="201"/>
        <v>,GGoal=</v>
      </c>
      <c r="X650">
        <f>Matchs!L651</f>
        <v>1</v>
      </c>
      <c r="Y650" s="6" t="str">
        <f t="shared" si="202"/>
        <v>,GTeam= "</v>
      </c>
      <c r="Z650" t="str">
        <f>Matchs!M651</f>
        <v>Netherlands</v>
      </c>
      <c r="AA650" s="6" t="str">
        <f t="shared" si="203"/>
        <v>",WinNote="</v>
      </c>
      <c r="AB650" t="str">
        <f>IF(Matchs!N651="","",Matchs!N651)</f>
        <v/>
      </c>
      <c r="AC650" s="6" t="str">
        <f t="shared" si="204"/>
        <v xml:space="preserve">",Stadium=" </v>
      </c>
      <c r="AD650" s="11" t="str">
        <f>Matchs!O651</f>
        <v xml:space="preserve">Red Bull Arena (Leipzig) </v>
      </c>
      <c r="AE650" s="6" t="str">
        <f t="shared" si="205"/>
        <v>",Referee= "</v>
      </c>
      <c r="AF650" s="11" t="str">
        <f>Matchs!P651</f>
        <v xml:space="preserve">Markus Merk </v>
      </c>
      <c r="AG650" s="6" t="str">
        <f t="shared" si="206"/>
        <v xml:space="preserve">",Visistors= </v>
      </c>
      <c r="AH650" s="11">
        <f>Matchs!Q651</f>
        <v>43000</v>
      </c>
      <c r="AI650" s="11" t="str">
        <f t="shared" si="207"/>
        <v>,Status= "</v>
      </c>
      <c r="AJ650" s="11" t="str">
        <f>Matchs!R651</f>
        <v>Finished</v>
      </c>
      <c r="AK650" t="str">
        <f t="shared" si="208"/>
        <v>" },</v>
      </c>
    </row>
    <row r="651" spans="1:37" x14ac:dyDescent="0.25">
      <c r="A651" t="str">
        <f t="shared" si="190"/>
        <v>new Match { MatchId= "</v>
      </c>
      <c r="B651" t="str">
        <f>Matchs!A652</f>
        <v>FIFAWC2006-7</v>
      </c>
      <c r="C651" t="str">
        <f t="shared" si="191"/>
        <v>",MatchNumer=</v>
      </c>
      <c r="D651">
        <f>Matchs!B652</f>
        <v>7</v>
      </c>
      <c r="E651" t="str">
        <f t="shared" si="192"/>
        <v>,DateMatch=DateTime.Parse("</v>
      </c>
      <c r="F651" s="3">
        <f>Matchs!C652</f>
        <v>38879</v>
      </c>
      <c r="G651" s="10" t="str">
        <f t="shared" si="193"/>
        <v>"),TimeMatch=TimeSpan.Parse("</v>
      </c>
      <c r="H651" s="9">
        <f>Matchs!D652</f>
        <v>0.95833333333333337</v>
      </c>
      <c r="I651" t="str">
        <f t="shared" si="194"/>
        <v>"),MatchYear=</v>
      </c>
      <c r="J651">
        <f>Matchs!E652</f>
        <v>2006</v>
      </c>
      <c r="K651" t="str">
        <f t="shared" si="195"/>
        <v>, SeasonId= "</v>
      </c>
      <c r="L651" t="str">
        <f>Matchs!F652</f>
        <v>FIFAWC2006</v>
      </c>
      <c r="M651" t="str">
        <f t="shared" si="196"/>
        <v>",Round= "</v>
      </c>
      <c r="N651" t="str">
        <f>Matchs!G652</f>
        <v>Final Round</v>
      </c>
      <c r="O651" s="6" t="str">
        <f t="shared" si="197"/>
        <v>",Stage= "</v>
      </c>
      <c r="P651" t="str">
        <f>Matchs!H652</f>
        <v>Group</v>
      </c>
      <c r="Q651" s="6" t="str">
        <f t="shared" si="198"/>
        <v>",SubStage= "</v>
      </c>
      <c r="R651" t="str">
        <f>Matchs!I652</f>
        <v xml:space="preserve">Group D </v>
      </c>
      <c r="S651" s="6" t="str">
        <f t="shared" si="199"/>
        <v>",HTeam= "</v>
      </c>
      <c r="T651" t="str">
        <f>Matchs!J652</f>
        <v>Mexico</v>
      </c>
      <c r="U651" s="6" t="str">
        <f t="shared" si="200"/>
        <v>",HGoal=</v>
      </c>
      <c r="V651">
        <f>Matchs!K652</f>
        <v>3</v>
      </c>
      <c r="W651" s="6" t="str">
        <f t="shared" si="201"/>
        <v>,GGoal=</v>
      </c>
      <c r="X651">
        <f>Matchs!L652</f>
        <v>1</v>
      </c>
      <c r="Y651" s="6" t="str">
        <f t="shared" si="202"/>
        <v>,GTeam= "</v>
      </c>
      <c r="Z651" t="str">
        <f>Matchs!M652</f>
        <v>Iran</v>
      </c>
      <c r="AA651" s="6" t="str">
        <f t="shared" si="203"/>
        <v>",WinNote="</v>
      </c>
      <c r="AB651" t="str">
        <f>IF(Matchs!N652="","",Matchs!N652)</f>
        <v/>
      </c>
      <c r="AC651" s="6" t="str">
        <f t="shared" si="204"/>
        <v xml:space="preserve">",Stadium=" </v>
      </c>
      <c r="AD651" s="11" t="str">
        <f>Matchs!O652</f>
        <v xml:space="preserve">Frankenstadion </v>
      </c>
      <c r="AE651" s="6" t="str">
        <f t="shared" si="205"/>
        <v>",Referee= "</v>
      </c>
      <c r="AF651" s="11" t="str">
        <f>Matchs!P652</f>
        <v xml:space="preserve">Roberto Rosetti </v>
      </c>
      <c r="AG651" s="6" t="str">
        <f t="shared" si="206"/>
        <v xml:space="preserve">",Visistors= </v>
      </c>
      <c r="AH651" s="11">
        <f>Matchs!Q652</f>
        <v>41000</v>
      </c>
      <c r="AI651" s="11" t="str">
        <f t="shared" si="207"/>
        <v>,Status= "</v>
      </c>
      <c r="AJ651" s="11" t="str">
        <f>Matchs!R652</f>
        <v>Finished</v>
      </c>
      <c r="AK651" t="str">
        <f t="shared" si="208"/>
        <v>" },</v>
      </c>
    </row>
    <row r="652" spans="1:37" x14ac:dyDescent="0.25">
      <c r="A652" t="str">
        <f t="shared" si="190"/>
        <v>new Match { MatchId= "</v>
      </c>
      <c r="B652" t="str">
        <f>Matchs!A653</f>
        <v>FIFAWC2006-8</v>
      </c>
      <c r="C652" t="str">
        <f t="shared" si="191"/>
        <v>",MatchNumer=</v>
      </c>
      <c r="D652">
        <f>Matchs!B653</f>
        <v>8</v>
      </c>
      <c r="E652" t="str">
        <f t="shared" si="192"/>
        <v>,DateMatch=DateTime.Parse("</v>
      </c>
      <c r="F652" s="3">
        <f>Matchs!C653</f>
        <v>38880</v>
      </c>
      <c r="G652" s="10" t="str">
        <f t="shared" si="193"/>
        <v>"),TimeMatch=TimeSpan.Parse("</v>
      </c>
      <c r="H652" s="9">
        <f>Matchs!D653</f>
        <v>8.3333333333333329E-2</v>
      </c>
      <c r="I652" t="str">
        <f t="shared" si="194"/>
        <v>"),MatchYear=</v>
      </c>
      <c r="J652">
        <f>Matchs!E653</f>
        <v>2006</v>
      </c>
      <c r="K652" t="str">
        <f t="shared" si="195"/>
        <v>, SeasonId= "</v>
      </c>
      <c r="L652" t="str">
        <f>Matchs!F653</f>
        <v>FIFAWC2006</v>
      </c>
      <c r="M652" t="str">
        <f t="shared" si="196"/>
        <v>",Round= "</v>
      </c>
      <c r="N652" t="str">
        <f>Matchs!G653</f>
        <v>Final Round</v>
      </c>
      <c r="O652" s="6" t="str">
        <f t="shared" si="197"/>
        <v>",Stage= "</v>
      </c>
      <c r="P652" t="str">
        <f>Matchs!H653</f>
        <v>Group</v>
      </c>
      <c r="Q652" s="6" t="str">
        <f t="shared" si="198"/>
        <v>",SubStage= "</v>
      </c>
      <c r="R652" t="str">
        <f>Matchs!I653</f>
        <v xml:space="preserve">Group D </v>
      </c>
      <c r="S652" s="6" t="str">
        <f t="shared" si="199"/>
        <v>",HTeam= "</v>
      </c>
      <c r="T652" t="str">
        <f>Matchs!J653</f>
        <v>Angola</v>
      </c>
      <c r="U652" s="6" t="str">
        <f t="shared" si="200"/>
        <v>",HGoal=</v>
      </c>
      <c r="V652">
        <f>Matchs!K653</f>
        <v>0</v>
      </c>
      <c r="W652" s="6" t="str">
        <f t="shared" si="201"/>
        <v>,GGoal=</v>
      </c>
      <c r="X652">
        <f>Matchs!L653</f>
        <v>1</v>
      </c>
      <c r="Y652" s="6" t="str">
        <f t="shared" si="202"/>
        <v>,GTeam= "</v>
      </c>
      <c r="Z652" t="str">
        <f>Matchs!M653</f>
        <v>Portugal</v>
      </c>
      <c r="AA652" s="6" t="str">
        <f t="shared" si="203"/>
        <v>",WinNote="</v>
      </c>
      <c r="AB652" t="str">
        <f>IF(Matchs!N653="","",Matchs!N653)</f>
        <v/>
      </c>
      <c r="AC652" s="6" t="str">
        <f t="shared" si="204"/>
        <v xml:space="preserve">",Stadium=" </v>
      </c>
      <c r="AD652" s="11" t="str">
        <f>Matchs!O653</f>
        <v xml:space="preserve">RheinEnergieStadion </v>
      </c>
      <c r="AE652" s="6" t="str">
        <f t="shared" si="205"/>
        <v>",Referee= "</v>
      </c>
      <c r="AF652" s="11" t="str">
        <f>Matchs!P653</f>
        <v xml:space="preserve">Jorge Larrionda </v>
      </c>
      <c r="AG652" s="6" t="str">
        <f t="shared" si="206"/>
        <v xml:space="preserve">",Visistors= </v>
      </c>
      <c r="AH652" s="11">
        <f>Matchs!Q653</f>
        <v>45000</v>
      </c>
      <c r="AI652" s="11" t="str">
        <f t="shared" si="207"/>
        <v>,Status= "</v>
      </c>
      <c r="AJ652" s="11" t="str">
        <f>Matchs!R653</f>
        <v>Finished</v>
      </c>
      <c r="AK652" t="str">
        <f t="shared" si="208"/>
        <v>" },</v>
      </c>
    </row>
    <row r="653" spans="1:37" x14ac:dyDescent="0.25">
      <c r="A653" t="str">
        <f t="shared" si="190"/>
        <v>new Match { MatchId= "</v>
      </c>
      <c r="B653" t="str">
        <f>Matchs!A654</f>
        <v>FIFAWC2006-9</v>
      </c>
      <c r="C653" t="str">
        <f t="shared" si="191"/>
        <v>",MatchNumer=</v>
      </c>
      <c r="D653">
        <f>Matchs!B654</f>
        <v>9</v>
      </c>
      <c r="E653" t="str">
        <f t="shared" si="192"/>
        <v>,DateMatch=DateTime.Parse("</v>
      </c>
      <c r="F653" s="3">
        <f>Matchs!C654</f>
        <v>38880</v>
      </c>
      <c r="G653" s="10" t="str">
        <f t="shared" si="193"/>
        <v>"),TimeMatch=TimeSpan.Parse("</v>
      </c>
      <c r="H653" s="9">
        <f>Matchs!D654</f>
        <v>0.83333333333333337</v>
      </c>
      <c r="I653" t="str">
        <f t="shared" si="194"/>
        <v>"),MatchYear=</v>
      </c>
      <c r="J653">
        <f>Matchs!E654</f>
        <v>2006</v>
      </c>
      <c r="K653" t="str">
        <f t="shared" si="195"/>
        <v>, SeasonId= "</v>
      </c>
      <c r="L653" t="str">
        <f>Matchs!F654</f>
        <v>FIFAWC2006</v>
      </c>
      <c r="M653" t="str">
        <f t="shared" si="196"/>
        <v>",Round= "</v>
      </c>
      <c r="N653" t="str">
        <f>Matchs!G654</f>
        <v>Final Round</v>
      </c>
      <c r="O653" s="6" t="str">
        <f t="shared" si="197"/>
        <v>",Stage= "</v>
      </c>
      <c r="P653" t="str">
        <f>Matchs!H654</f>
        <v>Group</v>
      </c>
      <c r="Q653" s="6" t="str">
        <f t="shared" si="198"/>
        <v>",SubStage= "</v>
      </c>
      <c r="R653" t="str">
        <f>Matchs!I654</f>
        <v xml:space="preserve">Group F </v>
      </c>
      <c r="S653" s="6" t="str">
        <f t="shared" si="199"/>
        <v>",HTeam= "</v>
      </c>
      <c r="T653" t="str">
        <f>Matchs!J654</f>
        <v>Australia</v>
      </c>
      <c r="U653" s="6" t="str">
        <f t="shared" si="200"/>
        <v>",HGoal=</v>
      </c>
      <c r="V653">
        <f>Matchs!K654</f>
        <v>3</v>
      </c>
      <c r="W653" s="6" t="str">
        <f t="shared" si="201"/>
        <v>,GGoal=</v>
      </c>
      <c r="X653">
        <f>Matchs!L654</f>
        <v>1</v>
      </c>
      <c r="Y653" s="6" t="str">
        <f t="shared" si="202"/>
        <v>,GTeam= "</v>
      </c>
      <c r="Z653" t="str">
        <f>Matchs!M654</f>
        <v>Japan</v>
      </c>
      <c r="AA653" s="6" t="str">
        <f t="shared" si="203"/>
        <v>",WinNote="</v>
      </c>
      <c r="AB653" t="str">
        <f>IF(Matchs!N654="","",Matchs!N654)</f>
        <v/>
      </c>
      <c r="AC653" s="6" t="str">
        <f t="shared" si="204"/>
        <v xml:space="preserve">",Stadium=" </v>
      </c>
      <c r="AD653" s="11" t="str">
        <f>Matchs!O654</f>
        <v xml:space="preserve">Fritz-Walter-Stadion </v>
      </c>
      <c r="AE653" s="6" t="str">
        <f t="shared" si="205"/>
        <v>",Referee= "</v>
      </c>
      <c r="AF653" s="11" t="str">
        <f>Matchs!P654</f>
        <v xml:space="preserve">Essam Abd El Fatah </v>
      </c>
      <c r="AG653" s="6" t="str">
        <f t="shared" si="206"/>
        <v xml:space="preserve">",Visistors= </v>
      </c>
      <c r="AH653" s="11">
        <f>Matchs!Q654</f>
        <v>46000</v>
      </c>
      <c r="AI653" s="11" t="str">
        <f t="shared" si="207"/>
        <v>,Status= "</v>
      </c>
      <c r="AJ653" s="11" t="str">
        <f>Matchs!R654</f>
        <v>Finished</v>
      </c>
      <c r="AK653" t="str">
        <f t="shared" si="208"/>
        <v>" },</v>
      </c>
    </row>
    <row r="654" spans="1:37" x14ac:dyDescent="0.25">
      <c r="A654" t="str">
        <f t="shared" si="190"/>
        <v>new Match { MatchId= "</v>
      </c>
      <c r="B654" t="str">
        <f>Matchs!A655</f>
        <v>FIFAWC2006-10</v>
      </c>
      <c r="C654" t="str">
        <f t="shared" si="191"/>
        <v>",MatchNumer=</v>
      </c>
      <c r="D654">
        <f>Matchs!B655</f>
        <v>10</v>
      </c>
      <c r="E654" t="str">
        <f t="shared" si="192"/>
        <v>,DateMatch=DateTime.Parse("</v>
      </c>
      <c r="F654" s="3">
        <f>Matchs!C655</f>
        <v>38880</v>
      </c>
      <c r="G654" s="10" t="str">
        <f t="shared" si="193"/>
        <v>"),TimeMatch=TimeSpan.Parse("</v>
      </c>
      <c r="H654" s="9">
        <f>Matchs!D655</f>
        <v>0.95833333333333337</v>
      </c>
      <c r="I654" t="str">
        <f t="shared" si="194"/>
        <v>"),MatchYear=</v>
      </c>
      <c r="J654">
        <f>Matchs!E655</f>
        <v>2006</v>
      </c>
      <c r="K654" t="str">
        <f t="shared" si="195"/>
        <v>, SeasonId= "</v>
      </c>
      <c r="L654" t="str">
        <f>Matchs!F655</f>
        <v>FIFAWC2006</v>
      </c>
      <c r="M654" t="str">
        <f t="shared" si="196"/>
        <v>",Round= "</v>
      </c>
      <c r="N654" t="str">
        <f>Matchs!G655</f>
        <v>Final Round</v>
      </c>
      <c r="O654" s="6" t="str">
        <f t="shared" si="197"/>
        <v>",Stage= "</v>
      </c>
      <c r="P654" t="str">
        <f>Matchs!H655</f>
        <v>Group</v>
      </c>
      <c r="Q654" s="6" t="str">
        <f t="shared" si="198"/>
        <v>",SubStage= "</v>
      </c>
      <c r="R654" t="str">
        <f>Matchs!I655</f>
        <v xml:space="preserve">Group E </v>
      </c>
      <c r="S654" s="6" t="str">
        <f t="shared" si="199"/>
        <v>",HTeam= "</v>
      </c>
      <c r="T654" t="str">
        <f>Matchs!J655</f>
        <v>USA</v>
      </c>
      <c r="U654" s="6" t="str">
        <f t="shared" si="200"/>
        <v>",HGoal=</v>
      </c>
      <c r="V654">
        <f>Matchs!K655</f>
        <v>0</v>
      </c>
      <c r="W654" s="6" t="str">
        <f t="shared" si="201"/>
        <v>,GGoal=</v>
      </c>
      <c r="X654">
        <f>Matchs!L655</f>
        <v>3</v>
      </c>
      <c r="Y654" s="6" t="str">
        <f t="shared" si="202"/>
        <v>,GTeam= "</v>
      </c>
      <c r="Z654" t="str">
        <f>Matchs!M655</f>
        <v>Czech Republic</v>
      </c>
      <c r="AA654" s="6" t="str">
        <f t="shared" si="203"/>
        <v>",WinNote="</v>
      </c>
      <c r="AB654" t="str">
        <f>IF(Matchs!N655="","",Matchs!N655)</f>
        <v/>
      </c>
      <c r="AC654" s="6" t="str">
        <f t="shared" si="204"/>
        <v xml:space="preserve">",Stadium=" </v>
      </c>
      <c r="AD654" s="11" t="str">
        <f>Matchs!O655</f>
        <v xml:space="preserve">Veltins-Arena </v>
      </c>
      <c r="AE654" s="6" t="str">
        <f t="shared" si="205"/>
        <v>",Referee= "</v>
      </c>
      <c r="AF654" s="11" t="str">
        <f>Matchs!P655</f>
        <v xml:space="preserve">Carlos Amarilla </v>
      </c>
      <c r="AG654" s="6" t="str">
        <f t="shared" si="206"/>
        <v xml:space="preserve">",Visistors= </v>
      </c>
      <c r="AH654" s="11">
        <f>Matchs!Q655</f>
        <v>52000</v>
      </c>
      <c r="AI654" s="11" t="str">
        <f t="shared" si="207"/>
        <v>,Status= "</v>
      </c>
      <c r="AJ654" s="11" t="str">
        <f>Matchs!R655</f>
        <v>Finished</v>
      </c>
      <c r="AK654" t="str">
        <f t="shared" si="208"/>
        <v>" },</v>
      </c>
    </row>
    <row r="655" spans="1:37" x14ac:dyDescent="0.25">
      <c r="A655" t="str">
        <f t="shared" si="190"/>
        <v>new Match { MatchId= "</v>
      </c>
      <c r="B655" t="str">
        <f>Matchs!A656</f>
        <v>FIFAWC2006-11</v>
      </c>
      <c r="C655" t="str">
        <f t="shared" si="191"/>
        <v>",MatchNumer=</v>
      </c>
      <c r="D655">
        <f>Matchs!B656</f>
        <v>11</v>
      </c>
      <c r="E655" t="str">
        <f t="shared" si="192"/>
        <v>,DateMatch=DateTime.Parse("</v>
      </c>
      <c r="F655" s="3">
        <f>Matchs!C656</f>
        <v>38881</v>
      </c>
      <c r="G655" s="10" t="str">
        <f t="shared" si="193"/>
        <v>"),TimeMatch=TimeSpan.Parse("</v>
      </c>
      <c r="H655" s="9">
        <f>Matchs!D656</f>
        <v>8.3333333333333329E-2</v>
      </c>
      <c r="I655" t="str">
        <f t="shared" si="194"/>
        <v>"),MatchYear=</v>
      </c>
      <c r="J655">
        <f>Matchs!E656</f>
        <v>2006</v>
      </c>
      <c r="K655" t="str">
        <f t="shared" si="195"/>
        <v>, SeasonId= "</v>
      </c>
      <c r="L655" t="str">
        <f>Matchs!F656</f>
        <v>FIFAWC2006</v>
      </c>
      <c r="M655" t="str">
        <f t="shared" si="196"/>
        <v>",Round= "</v>
      </c>
      <c r="N655" t="str">
        <f>Matchs!G656</f>
        <v>Final Round</v>
      </c>
      <c r="O655" s="6" t="str">
        <f t="shared" si="197"/>
        <v>",Stage= "</v>
      </c>
      <c r="P655" t="str">
        <f>Matchs!H656</f>
        <v>Group</v>
      </c>
      <c r="Q655" s="6" t="str">
        <f t="shared" si="198"/>
        <v>",SubStage= "</v>
      </c>
      <c r="R655" t="str">
        <f>Matchs!I656</f>
        <v xml:space="preserve">Group E </v>
      </c>
      <c r="S655" s="6" t="str">
        <f t="shared" si="199"/>
        <v>",HTeam= "</v>
      </c>
      <c r="T655" t="str">
        <f>Matchs!J656</f>
        <v>Italy</v>
      </c>
      <c r="U655" s="6" t="str">
        <f t="shared" si="200"/>
        <v>",HGoal=</v>
      </c>
      <c r="V655">
        <f>Matchs!K656</f>
        <v>2</v>
      </c>
      <c r="W655" s="6" t="str">
        <f t="shared" si="201"/>
        <v>,GGoal=</v>
      </c>
      <c r="X655">
        <f>Matchs!L656</f>
        <v>0</v>
      </c>
      <c r="Y655" s="6" t="str">
        <f t="shared" si="202"/>
        <v>,GTeam= "</v>
      </c>
      <c r="Z655" t="str">
        <f>Matchs!M656</f>
        <v>Ghana</v>
      </c>
      <c r="AA655" s="6" t="str">
        <f t="shared" si="203"/>
        <v>",WinNote="</v>
      </c>
      <c r="AB655" t="str">
        <f>IF(Matchs!N656="","",Matchs!N656)</f>
        <v/>
      </c>
      <c r="AC655" s="6" t="str">
        <f t="shared" si="204"/>
        <v xml:space="preserve">",Stadium=" </v>
      </c>
      <c r="AD655" s="11" t="str">
        <f>Matchs!O656</f>
        <v xml:space="preserve">AWD-Arena </v>
      </c>
      <c r="AE655" s="6" t="str">
        <f t="shared" si="205"/>
        <v>",Referee= "</v>
      </c>
      <c r="AF655" s="11" t="str">
        <f>Matchs!P656</f>
        <v xml:space="preserve">Carlos Simon </v>
      </c>
      <c r="AG655" s="6" t="str">
        <f t="shared" si="206"/>
        <v xml:space="preserve">",Visistors= </v>
      </c>
      <c r="AH655" s="11">
        <f>Matchs!Q656</f>
        <v>43000</v>
      </c>
      <c r="AI655" s="11" t="str">
        <f t="shared" si="207"/>
        <v>,Status= "</v>
      </c>
      <c r="AJ655" s="11" t="str">
        <f>Matchs!R656</f>
        <v>Finished</v>
      </c>
      <c r="AK655" t="str">
        <f t="shared" si="208"/>
        <v>" },</v>
      </c>
    </row>
    <row r="656" spans="1:37" x14ac:dyDescent="0.25">
      <c r="A656" t="str">
        <f t="shared" si="190"/>
        <v>new Match { MatchId= "</v>
      </c>
      <c r="B656" t="str">
        <f>Matchs!A657</f>
        <v>FIFAWC2006-12</v>
      </c>
      <c r="C656" t="str">
        <f t="shared" si="191"/>
        <v>",MatchNumer=</v>
      </c>
      <c r="D656">
        <f>Matchs!B657</f>
        <v>12</v>
      </c>
      <c r="E656" t="str">
        <f t="shared" si="192"/>
        <v>,DateMatch=DateTime.Parse("</v>
      </c>
      <c r="F656" s="3">
        <f>Matchs!C657</f>
        <v>38881</v>
      </c>
      <c r="G656" s="10" t="str">
        <f t="shared" si="193"/>
        <v>"),TimeMatch=TimeSpan.Parse("</v>
      </c>
      <c r="H656" s="9">
        <f>Matchs!D657</f>
        <v>0.83333333333333337</v>
      </c>
      <c r="I656" t="str">
        <f t="shared" si="194"/>
        <v>"),MatchYear=</v>
      </c>
      <c r="J656">
        <f>Matchs!E657</f>
        <v>2006</v>
      </c>
      <c r="K656" t="str">
        <f t="shared" si="195"/>
        <v>, SeasonId= "</v>
      </c>
      <c r="L656" t="str">
        <f>Matchs!F657</f>
        <v>FIFAWC2006</v>
      </c>
      <c r="M656" t="str">
        <f t="shared" si="196"/>
        <v>",Round= "</v>
      </c>
      <c r="N656" t="str">
        <f>Matchs!G657</f>
        <v>Final Round</v>
      </c>
      <c r="O656" s="6" t="str">
        <f t="shared" si="197"/>
        <v>",Stage= "</v>
      </c>
      <c r="P656" t="str">
        <f>Matchs!H657</f>
        <v>Group</v>
      </c>
      <c r="Q656" s="6" t="str">
        <f t="shared" si="198"/>
        <v>",SubStage= "</v>
      </c>
      <c r="R656" t="str">
        <f>Matchs!I657</f>
        <v xml:space="preserve">Group G </v>
      </c>
      <c r="S656" s="6" t="str">
        <f t="shared" si="199"/>
        <v>",HTeam= "</v>
      </c>
      <c r="T656" t="str">
        <f>Matchs!J657</f>
        <v>South Korea</v>
      </c>
      <c r="U656" s="6" t="str">
        <f t="shared" si="200"/>
        <v>",HGoal=</v>
      </c>
      <c r="V656">
        <f>Matchs!K657</f>
        <v>2</v>
      </c>
      <c r="W656" s="6" t="str">
        <f t="shared" si="201"/>
        <v>,GGoal=</v>
      </c>
      <c r="X656">
        <f>Matchs!L657</f>
        <v>1</v>
      </c>
      <c r="Y656" s="6" t="str">
        <f t="shared" si="202"/>
        <v>,GTeam= "</v>
      </c>
      <c r="Z656" t="str">
        <f>Matchs!M657</f>
        <v>Togo</v>
      </c>
      <c r="AA656" s="6" t="str">
        <f t="shared" si="203"/>
        <v>",WinNote="</v>
      </c>
      <c r="AB656" t="str">
        <f>IF(Matchs!N657="","",Matchs!N657)</f>
        <v/>
      </c>
      <c r="AC656" s="6" t="str">
        <f t="shared" si="204"/>
        <v xml:space="preserve">",Stadium=" </v>
      </c>
      <c r="AD656" s="11" t="str">
        <f>Matchs!O657</f>
        <v xml:space="preserve">Commerzbank-Arena </v>
      </c>
      <c r="AE656" s="6" t="str">
        <f t="shared" si="205"/>
        <v>",Referee= "</v>
      </c>
      <c r="AF656" s="11" t="str">
        <f>Matchs!P657</f>
        <v xml:space="preserve">Graham Poll </v>
      </c>
      <c r="AG656" s="6" t="str">
        <f t="shared" si="206"/>
        <v xml:space="preserve">",Visistors= </v>
      </c>
      <c r="AH656" s="11">
        <f>Matchs!Q657</f>
        <v>48000</v>
      </c>
      <c r="AI656" s="11" t="str">
        <f t="shared" si="207"/>
        <v>,Status= "</v>
      </c>
      <c r="AJ656" s="11" t="str">
        <f>Matchs!R657</f>
        <v>Finished</v>
      </c>
      <c r="AK656" t="str">
        <f t="shared" si="208"/>
        <v>" },</v>
      </c>
    </row>
    <row r="657" spans="1:37" x14ac:dyDescent="0.25">
      <c r="A657" t="str">
        <f t="shared" si="190"/>
        <v>new Match { MatchId= "</v>
      </c>
      <c r="B657" t="str">
        <f>Matchs!A658</f>
        <v>FIFAWC2006-13</v>
      </c>
      <c r="C657" t="str">
        <f t="shared" si="191"/>
        <v>",MatchNumer=</v>
      </c>
      <c r="D657">
        <f>Matchs!B658</f>
        <v>13</v>
      </c>
      <c r="E657" t="str">
        <f t="shared" si="192"/>
        <v>,DateMatch=DateTime.Parse("</v>
      </c>
      <c r="F657" s="3">
        <f>Matchs!C658</f>
        <v>38881</v>
      </c>
      <c r="G657" s="10" t="str">
        <f t="shared" si="193"/>
        <v>"),TimeMatch=TimeSpan.Parse("</v>
      </c>
      <c r="H657" s="9">
        <f>Matchs!D658</f>
        <v>0.95833333333333337</v>
      </c>
      <c r="I657" t="str">
        <f t="shared" si="194"/>
        <v>"),MatchYear=</v>
      </c>
      <c r="J657">
        <f>Matchs!E658</f>
        <v>2006</v>
      </c>
      <c r="K657" t="str">
        <f t="shared" si="195"/>
        <v>, SeasonId= "</v>
      </c>
      <c r="L657" t="str">
        <f>Matchs!F658</f>
        <v>FIFAWC2006</v>
      </c>
      <c r="M657" t="str">
        <f t="shared" si="196"/>
        <v>",Round= "</v>
      </c>
      <c r="N657" t="str">
        <f>Matchs!G658</f>
        <v>Final Round</v>
      </c>
      <c r="O657" s="6" t="str">
        <f t="shared" si="197"/>
        <v>",Stage= "</v>
      </c>
      <c r="P657" t="str">
        <f>Matchs!H658</f>
        <v>Group</v>
      </c>
      <c r="Q657" s="6" t="str">
        <f t="shared" si="198"/>
        <v>",SubStage= "</v>
      </c>
      <c r="R657" t="str">
        <f>Matchs!I658</f>
        <v xml:space="preserve">Group G </v>
      </c>
      <c r="S657" s="6" t="str">
        <f t="shared" si="199"/>
        <v>",HTeam= "</v>
      </c>
      <c r="T657" t="str">
        <f>Matchs!J658</f>
        <v>France</v>
      </c>
      <c r="U657" s="6" t="str">
        <f t="shared" si="200"/>
        <v>",HGoal=</v>
      </c>
      <c r="V657">
        <f>Matchs!K658</f>
        <v>0</v>
      </c>
      <c r="W657" s="6" t="str">
        <f t="shared" si="201"/>
        <v>,GGoal=</v>
      </c>
      <c r="X657">
        <f>Matchs!L658</f>
        <v>0</v>
      </c>
      <c r="Y657" s="6" t="str">
        <f t="shared" si="202"/>
        <v>,GTeam= "</v>
      </c>
      <c r="Z657" t="str">
        <f>Matchs!M658</f>
        <v>Switzerland</v>
      </c>
      <c r="AA657" s="6" t="str">
        <f t="shared" si="203"/>
        <v>",WinNote="</v>
      </c>
      <c r="AB657" t="str">
        <f>IF(Matchs!N658="","",Matchs!N658)</f>
        <v/>
      </c>
      <c r="AC657" s="6" t="str">
        <f t="shared" si="204"/>
        <v xml:space="preserve">",Stadium=" </v>
      </c>
      <c r="AD657" s="11" t="str">
        <f>Matchs!O658</f>
        <v xml:space="preserve">Mercedes-Benz Arena </v>
      </c>
      <c r="AE657" s="6" t="str">
        <f t="shared" si="205"/>
        <v>",Referee= "</v>
      </c>
      <c r="AF657" s="11" t="str">
        <f>Matchs!P658</f>
        <v xml:space="preserve">Valentin Ivanov </v>
      </c>
      <c r="AG657" s="6" t="str">
        <f t="shared" si="206"/>
        <v xml:space="preserve">",Visistors= </v>
      </c>
      <c r="AH657" s="11">
        <f>Matchs!Q658</f>
        <v>52000</v>
      </c>
      <c r="AI657" s="11" t="str">
        <f t="shared" si="207"/>
        <v>,Status= "</v>
      </c>
      <c r="AJ657" s="11" t="str">
        <f>Matchs!R658</f>
        <v>Finished</v>
      </c>
      <c r="AK657" t="str">
        <f t="shared" si="208"/>
        <v>" },</v>
      </c>
    </row>
    <row r="658" spans="1:37" x14ac:dyDescent="0.25">
      <c r="A658" t="str">
        <f t="shared" si="190"/>
        <v>new Match { MatchId= "</v>
      </c>
      <c r="B658" t="str">
        <f>Matchs!A659</f>
        <v>FIFAWC2006-14</v>
      </c>
      <c r="C658" t="str">
        <f t="shared" si="191"/>
        <v>",MatchNumer=</v>
      </c>
      <c r="D658">
        <f>Matchs!B659</f>
        <v>14</v>
      </c>
      <c r="E658" t="str">
        <f t="shared" si="192"/>
        <v>,DateMatch=DateTime.Parse("</v>
      </c>
      <c r="F658" s="3">
        <f>Matchs!C659</f>
        <v>38882</v>
      </c>
      <c r="G658" s="10" t="str">
        <f t="shared" si="193"/>
        <v>"),TimeMatch=TimeSpan.Parse("</v>
      </c>
      <c r="H658" s="9">
        <f>Matchs!D659</f>
        <v>8.3333333333333329E-2</v>
      </c>
      <c r="I658" t="str">
        <f t="shared" si="194"/>
        <v>"),MatchYear=</v>
      </c>
      <c r="J658">
        <f>Matchs!E659</f>
        <v>2006</v>
      </c>
      <c r="K658" t="str">
        <f t="shared" si="195"/>
        <v>, SeasonId= "</v>
      </c>
      <c r="L658" t="str">
        <f>Matchs!F659</f>
        <v>FIFAWC2006</v>
      </c>
      <c r="M658" t="str">
        <f t="shared" si="196"/>
        <v>",Round= "</v>
      </c>
      <c r="N658" t="str">
        <f>Matchs!G659</f>
        <v>Final Round</v>
      </c>
      <c r="O658" s="6" t="str">
        <f t="shared" si="197"/>
        <v>",Stage= "</v>
      </c>
      <c r="P658" t="str">
        <f>Matchs!H659</f>
        <v>Group</v>
      </c>
      <c r="Q658" s="6" t="str">
        <f t="shared" si="198"/>
        <v>",SubStage= "</v>
      </c>
      <c r="R658" t="str">
        <f>Matchs!I659</f>
        <v xml:space="preserve">Group F </v>
      </c>
      <c r="S658" s="6" t="str">
        <f t="shared" si="199"/>
        <v>",HTeam= "</v>
      </c>
      <c r="T658" t="str">
        <f>Matchs!J659</f>
        <v>Brazil</v>
      </c>
      <c r="U658" s="6" t="str">
        <f t="shared" si="200"/>
        <v>",HGoal=</v>
      </c>
      <c r="V658">
        <f>Matchs!K659</f>
        <v>1</v>
      </c>
      <c r="W658" s="6" t="str">
        <f t="shared" si="201"/>
        <v>,GGoal=</v>
      </c>
      <c r="X658">
        <f>Matchs!L659</f>
        <v>0</v>
      </c>
      <c r="Y658" s="6" t="str">
        <f t="shared" si="202"/>
        <v>,GTeam= "</v>
      </c>
      <c r="Z658" t="str">
        <f>Matchs!M659</f>
        <v>Croatia</v>
      </c>
      <c r="AA658" s="6" t="str">
        <f t="shared" si="203"/>
        <v>",WinNote="</v>
      </c>
      <c r="AB658" t="str">
        <f>IF(Matchs!N659="","",Matchs!N659)</f>
        <v/>
      </c>
      <c r="AC658" s="6" t="str">
        <f t="shared" si="204"/>
        <v xml:space="preserve">",Stadium=" </v>
      </c>
      <c r="AD658" s="11" t="str">
        <f>Matchs!O659</f>
        <v xml:space="preserve">Olympiastadion </v>
      </c>
      <c r="AE658" s="6" t="str">
        <f t="shared" si="205"/>
        <v>",Referee= "</v>
      </c>
      <c r="AF658" s="11" t="str">
        <f>Matchs!P659</f>
        <v xml:space="preserve">Benito Archundia </v>
      </c>
      <c r="AG658" s="6" t="str">
        <f t="shared" si="206"/>
        <v xml:space="preserve">",Visistors= </v>
      </c>
      <c r="AH658" s="11">
        <f>Matchs!Q659</f>
        <v>72000</v>
      </c>
      <c r="AI658" s="11" t="str">
        <f t="shared" si="207"/>
        <v>,Status= "</v>
      </c>
      <c r="AJ658" s="11" t="str">
        <f>Matchs!R659</f>
        <v>Finished</v>
      </c>
      <c r="AK658" t="str">
        <f t="shared" si="208"/>
        <v>" },</v>
      </c>
    </row>
    <row r="659" spans="1:37" x14ac:dyDescent="0.25">
      <c r="A659" t="str">
        <f t="shared" si="190"/>
        <v>new Match { MatchId= "</v>
      </c>
      <c r="B659" t="str">
        <f>Matchs!A660</f>
        <v>FIFAWC2006-15</v>
      </c>
      <c r="C659" t="str">
        <f t="shared" si="191"/>
        <v>",MatchNumer=</v>
      </c>
      <c r="D659">
        <f>Matchs!B660</f>
        <v>15</v>
      </c>
      <c r="E659" t="str">
        <f t="shared" si="192"/>
        <v>,DateMatch=DateTime.Parse("</v>
      </c>
      <c r="F659" s="3">
        <f>Matchs!C660</f>
        <v>38882</v>
      </c>
      <c r="G659" s="10" t="str">
        <f t="shared" si="193"/>
        <v>"),TimeMatch=TimeSpan.Parse("</v>
      </c>
      <c r="H659" s="9">
        <f>Matchs!D660</f>
        <v>0.83333333333333337</v>
      </c>
      <c r="I659" t="str">
        <f t="shared" si="194"/>
        <v>"),MatchYear=</v>
      </c>
      <c r="J659">
        <f>Matchs!E660</f>
        <v>2006</v>
      </c>
      <c r="K659" t="str">
        <f t="shared" si="195"/>
        <v>, SeasonId= "</v>
      </c>
      <c r="L659" t="str">
        <f>Matchs!F660</f>
        <v>FIFAWC2006</v>
      </c>
      <c r="M659" t="str">
        <f t="shared" si="196"/>
        <v>",Round= "</v>
      </c>
      <c r="N659" t="str">
        <f>Matchs!G660</f>
        <v>Final Round</v>
      </c>
      <c r="O659" s="6" t="str">
        <f t="shared" si="197"/>
        <v>",Stage= "</v>
      </c>
      <c r="P659" t="str">
        <f>Matchs!H660</f>
        <v>Group</v>
      </c>
      <c r="Q659" s="6" t="str">
        <f t="shared" si="198"/>
        <v>",SubStage= "</v>
      </c>
      <c r="R659" t="str">
        <f>Matchs!I660</f>
        <v xml:space="preserve">Group H </v>
      </c>
      <c r="S659" s="6" t="str">
        <f t="shared" si="199"/>
        <v>",HTeam= "</v>
      </c>
      <c r="T659" t="str">
        <f>Matchs!J660</f>
        <v>Spain</v>
      </c>
      <c r="U659" s="6" t="str">
        <f t="shared" si="200"/>
        <v>",HGoal=</v>
      </c>
      <c r="V659">
        <f>Matchs!K660</f>
        <v>4</v>
      </c>
      <c r="W659" s="6" t="str">
        <f t="shared" si="201"/>
        <v>,GGoal=</v>
      </c>
      <c r="X659">
        <f>Matchs!L660</f>
        <v>0</v>
      </c>
      <c r="Y659" s="6" t="str">
        <f t="shared" si="202"/>
        <v>,GTeam= "</v>
      </c>
      <c r="Z659" t="str">
        <f>Matchs!M660</f>
        <v>Ukraine</v>
      </c>
      <c r="AA659" s="6" t="str">
        <f t="shared" si="203"/>
        <v>",WinNote="</v>
      </c>
      <c r="AB659" t="str">
        <f>IF(Matchs!N660="","",Matchs!N660)</f>
        <v/>
      </c>
      <c r="AC659" s="6" t="str">
        <f t="shared" si="204"/>
        <v xml:space="preserve">",Stadium=" </v>
      </c>
      <c r="AD659" s="11" t="str">
        <f>Matchs!O660</f>
        <v xml:space="preserve">Red Bull Arena (Leipzig) </v>
      </c>
      <c r="AE659" s="6" t="str">
        <f t="shared" si="205"/>
        <v>",Referee= "</v>
      </c>
      <c r="AF659" s="11" t="str">
        <f>Matchs!P660</f>
        <v xml:space="preserve">Massimo Busacca </v>
      </c>
      <c r="AG659" s="6" t="str">
        <f t="shared" si="206"/>
        <v xml:space="preserve">",Visistors= </v>
      </c>
      <c r="AH659" s="11">
        <f>Matchs!Q660</f>
        <v>43000</v>
      </c>
      <c r="AI659" s="11" t="str">
        <f t="shared" si="207"/>
        <v>,Status= "</v>
      </c>
      <c r="AJ659" s="11" t="str">
        <f>Matchs!R660</f>
        <v>Finished</v>
      </c>
      <c r="AK659" t="str">
        <f t="shared" si="208"/>
        <v>" },</v>
      </c>
    </row>
    <row r="660" spans="1:37" x14ac:dyDescent="0.25">
      <c r="A660" t="str">
        <f t="shared" si="190"/>
        <v>new Match { MatchId= "</v>
      </c>
      <c r="B660" t="str">
        <f>Matchs!A661</f>
        <v>FIFAWC2006-16</v>
      </c>
      <c r="C660" t="str">
        <f t="shared" si="191"/>
        <v>",MatchNumer=</v>
      </c>
      <c r="D660">
        <f>Matchs!B661</f>
        <v>16</v>
      </c>
      <c r="E660" t="str">
        <f t="shared" si="192"/>
        <v>,DateMatch=DateTime.Parse("</v>
      </c>
      <c r="F660" s="3">
        <f>Matchs!C661</f>
        <v>38882</v>
      </c>
      <c r="G660" s="10" t="str">
        <f t="shared" si="193"/>
        <v>"),TimeMatch=TimeSpan.Parse("</v>
      </c>
      <c r="H660" s="9">
        <f>Matchs!D661</f>
        <v>0.95833333333333337</v>
      </c>
      <c r="I660" t="str">
        <f t="shared" si="194"/>
        <v>"),MatchYear=</v>
      </c>
      <c r="J660">
        <f>Matchs!E661</f>
        <v>2006</v>
      </c>
      <c r="K660" t="str">
        <f t="shared" si="195"/>
        <v>, SeasonId= "</v>
      </c>
      <c r="L660" t="str">
        <f>Matchs!F661</f>
        <v>FIFAWC2006</v>
      </c>
      <c r="M660" t="str">
        <f t="shared" si="196"/>
        <v>",Round= "</v>
      </c>
      <c r="N660" t="str">
        <f>Matchs!G661</f>
        <v>Final Round</v>
      </c>
      <c r="O660" s="6" t="str">
        <f t="shared" si="197"/>
        <v>",Stage= "</v>
      </c>
      <c r="P660" t="str">
        <f>Matchs!H661</f>
        <v>Group</v>
      </c>
      <c r="Q660" s="6" t="str">
        <f t="shared" si="198"/>
        <v>",SubStage= "</v>
      </c>
      <c r="R660" t="str">
        <f>Matchs!I661</f>
        <v xml:space="preserve">Group H </v>
      </c>
      <c r="S660" s="6" t="str">
        <f t="shared" si="199"/>
        <v>",HTeam= "</v>
      </c>
      <c r="T660" t="str">
        <f>Matchs!J661</f>
        <v>Tunisia</v>
      </c>
      <c r="U660" s="6" t="str">
        <f t="shared" si="200"/>
        <v>",HGoal=</v>
      </c>
      <c r="V660">
        <f>Matchs!K661</f>
        <v>2</v>
      </c>
      <c r="W660" s="6" t="str">
        <f t="shared" si="201"/>
        <v>,GGoal=</v>
      </c>
      <c r="X660">
        <f>Matchs!L661</f>
        <v>2</v>
      </c>
      <c r="Y660" s="6" t="str">
        <f t="shared" si="202"/>
        <v>,GTeam= "</v>
      </c>
      <c r="Z660" t="str">
        <f>Matchs!M661</f>
        <v>Saudi Arabia</v>
      </c>
      <c r="AA660" s="6" t="str">
        <f t="shared" si="203"/>
        <v>",WinNote="</v>
      </c>
      <c r="AB660" t="str">
        <f>IF(Matchs!N661="","",Matchs!N661)</f>
        <v/>
      </c>
      <c r="AC660" s="6" t="str">
        <f t="shared" si="204"/>
        <v xml:space="preserve">",Stadium=" </v>
      </c>
      <c r="AD660" s="11" t="str">
        <f>Matchs!O661</f>
        <v xml:space="preserve">Allianz Arena </v>
      </c>
      <c r="AE660" s="6" t="str">
        <f t="shared" si="205"/>
        <v>",Referee= "</v>
      </c>
      <c r="AF660" s="11" t="str">
        <f>Matchs!P661</f>
        <v xml:space="preserve">Mark Shield </v>
      </c>
      <c r="AG660" s="6" t="str">
        <f t="shared" si="206"/>
        <v xml:space="preserve">",Visistors= </v>
      </c>
      <c r="AH660" s="11">
        <f>Matchs!Q661</f>
        <v>66000</v>
      </c>
      <c r="AI660" s="11" t="str">
        <f t="shared" si="207"/>
        <v>,Status= "</v>
      </c>
      <c r="AJ660" s="11" t="str">
        <f>Matchs!R661</f>
        <v>Finished</v>
      </c>
      <c r="AK660" t="str">
        <f t="shared" si="208"/>
        <v>" },</v>
      </c>
    </row>
    <row r="661" spans="1:37" x14ac:dyDescent="0.25">
      <c r="A661" t="str">
        <f t="shared" si="190"/>
        <v>new Match { MatchId= "</v>
      </c>
      <c r="B661" t="str">
        <f>Matchs!A662</f>
        <v>FIFAWC2006-17</v>
      </c>
      <c r="C661" t="str">
        <f t="shared" si="191"/>
        <v>",MatchNumer=</v>
      </c>
      <c r="D661">
        <f>Matchs!B662</f>
        <v>17</v>
      </c>
      <c r="E661" t="str">
        <f t="shared" si="192"/>
        <v>,DateMatch=DateTime.Parse("</v>
      </c>
      <c r="F661" s="3">
        <f>Matchs!C662</f>
        <v>38883</v>
      </c>
      <c r="G661" s="10" t="str">
        <f t="shared" si="193"/>
        <v>"),TimeMatch=TimeSpan.Parse("</v>
      </c>
      <c r="H661" s="9">
        <f>Matchs!D662</f>
        <v>8.3333333333333329E-2</v>
      </c>
      <c r="I661" t="str">
        <f t="shared" si="194"/>
        <v>"),MatchYear=</v>
      </c>
      <c r="J661">
        <f>Matchs!E662</f>
        <v>2006</v>
      </c>
      <c r="K661" t="str">
        <f t="shared" si="195"/>
        <v>, SeasonId= "</v>
      </c>
      <c r="L661" t="str">
        <f>Matchs!F662</f>
        <v>FIFAWC2006</v>
      </c>
      <c r="M661" t="str">
        <f t="shared" si="196"/>
        <v>",Round= "</v>
      </c>
      <c r="N661" t="str">
        <f>Matchs!G662</f>
        <v>Final Round</v>
      </c>
      <c r="O661" s="6" t="str">
        <f t="shared" si="197"/>
        <v>",Stage= "</v>
      </c>
      <c r="P661" t="str">
        <f>Matchs!H662</f>
        <v>Group</v>
      </c>
      <c r="Q661" s="6" t="str">
        <f t="shared" si="198"/>
        <v>",SubStage= "</v>
      </c>
      <c r="R661" t="str">
        <f>Matchs!I662</f>
        <v xml:space="preserve">Group A </v>
      </c>
      <c r="S661" s="6" t="str">
        <f t="shared" si="199"/>
        <v>",HTeam= "</v>
      </c>
      <c r="T661" t="str">
        <f>Matchs!J662</f>
        <v>Germany</v>
      </c>
      <c r="U661" s="6" t="str">
        <f t="shared" si="200"/>
        <v>",HGoal=</v>
      </c>
      <c r="V661">
        <f>Matchs!K662</f>
        <v>1</v>
      </c>
      <c r="W661" s="6" t="str">
        <f t="shared" si="201"/>
        <v>,GGoal=</v>
      </c>
      <c r="X661">
        <f>Matchs!L662</f>
        <v>0</v>
      </c>
      <c r="Y661" s="6" t="str">
        <f t="shared" si="202"/>
        <v>,GTeam= "</v>
      </c>
      <c r="Z661" t="str">
        <f>Matchs!M662</f>
        <v>Poland</v>
      </c>
      <c r="AA661" s="6" t="str">
        <f t="shared" si="203"/>
        <v>",WinNote="</v>
      </c>
      <c r="AB661" t="str">
        <f>IF(Matchs!N662="","",Matchs!N662)</f>
        <v/>
      </c>
      <c r="AC661" s="6" t="str">
        <f t="shared" si="204"/>
        <v xml:space="preserve">",Stadium=" </v>
      </c>
      <c r="AD661" s="11" t="str">
        <f>Matchs!O662</f>
        <v xml:space="preserve">Signal Iduna Park </v>
      </c>
      <c r="AE661" s="6" t="str">
        <f t="shared" si="205"/>
        <v>",Referee= "</v>
      </c>
      <c r="AF661" s="11" t="str">
        <f>Matchs!P662</f>
        <v xml:space="preserve">Luis Medina Cantalejo </v>
      </c>
      <c r="AG661" s="6" t="str">
        <f t="shared" si="206"/>
        <v xml:space="preserve">",Visistors= </v>
      </c>
      <c r="AH661" s="11">
        <f>Matchs!Q662</f>
        <v>65000</v>
      </c>
      <c r="AI661" s="11" t="str">
        <f t="shared" si="207"/>
        <v>,Status= "</v>
      </c>
      <c r="AJ661" s="11" t="str">
        <f>Matchs!R662</f>
        <v>Finished</v>
      </c>
      <c r="AK661" t="str">
        <f t="shared" si="208"/>
        <v>" },</v>
      </c>
    </row>
    <row r="662" spans="1:37" x14ac:dyDescent="0.25">
      <c r="A662" t="str">
        <f t="shared" si="190"/>
        <v>new Match { MatchId= "</v>
      </c>
      <c r="B662" t="str">
        <f>Matchs!A663</f>
        <v>FIFAWC2006-18</v>
      </c>
      <c r="C662" t="str">
        <f t="shared" si="191"/>
        <v>",MatchNumer=</v>
      </c>
      <c r="D662">
        <f>Matchs!B663</f>
        <v>18</v>
      </c>
      <c r="E662" t="str">
        <f t="shared" si="192"/>
        <v>,DateMatch=DateTime.Parse("</v>
      </c>
      <c r="F662" s="3">
        <f>Matchs!C663</f>
        <v>38883</v>
      </c>
      <c r="G662" s="10" t="str">
        <f t="shared" si="193"/>
        <v>"),TimeMatch=TimeSpan.Parse("</v>
      </c>
      <c r="H662" s="9">
        <f>Matchs!D663</f>
        <v>0.83333333333333337</v>
      </c>
      <c r="I662" t="str">
        <f t="shared" si="194"/>
        <v>"),MatchYear=</v>
      </c>
      <c r="J662">
        <f>Matchs!E663</f>
        <v>2006</v>
      </c>
      <c r="K662" t="str">
        <f t="shared" si="195"/>
        <v>, SeasonId= "</v>
      </c>
      <c r="L662" t="str">
        <f>Matchs!F663</f>
        <v>FIFAWC2006</v>
      </c>
      <c r="M662" t="str">
        <f t="shared" si="196"/>
        <v>",Round= "</v>
      </c>
      <c r="N662" t="str">
        <f>Matchs!G663</f>
        <v>Final Round</v>
      </c>
      <c r="O662" s="6" t="str">
        <f t="shared" si="197"/>
        <v>",Stage= "</v>
      </c>
      <c r="P662" t="str">
        <f>Matchs!H663</f>
        <v>Group</v>
      </c>
      <c r="Q662" s="6" t="str">
        <f t="shared" si="198"/>
        <v>",SubStage= "</v>
      </c>
      <c r="R662" t="str">
        <f>Matchs!I663</f>
        <v xml:space="preserve">Group A </v>
      </c>
      <c r="S662" s="6" t="str">
        <f t="shared" si="199"/>
        <v>",HTeam= "</v>
      </c>
      <c r="T662" t="str">
        <f>Matchs!J663</f>
        <v>Ecuador</v>
      </c>
      <c r="U662" s="6" t="str">
        <f t="shared" si="200"/>
        <v>",HGoal=</v>
      </c>
      <c r="V662">
        <f>Matchs!K663</f>
        <v>3</v>
      </c>
      <c r="W662" s="6" t="str">
        <f t="shared" si="201"/>
        <v>,GGoal=</v>
      </c>
      <c r="X662">
        <f>Matchs!L663</f>
        <v>0</v>
      </c>
      <c r="Y662" s="6" t="str">
        <f t="shared" si="202"/>
        <v>,GTeam= "</v>
      </c>
      <c r="Z662" t="str">
        <f>Matchs!M663</f>
        <v>Costa Rica</v>
      </c>
      <c r="AA662" s="6" t="str">
        <f t="shared" si="203"/>
        <v>",WinNote="</v>
      </c>
      <c r="AB662" t="str">
        <f>IF(Matchs!N663="","",Matchs!N663)</f>
        <v/>
      </c>
      <c r="AC662" s="6" t="str">
        <f t="shared" si="204"/>
        <v xml:space="preserve">",Stadium=" </v>
      </c>
      <c r="AD662" s="11" t="str">
        <f>Matchs!O663</f>
        <v xml:space="preserve">Volksparkstadion </v>
      </c>
      <c r="AE662" s="6" t="str">
        <f t="shared" si="205"/>
        <v>",Referee= "</v>
      </c>
      <c r="AF662" s="11" t="str">
        <f>Matchs!P663</f>
        <v xml:space="preserve">Coffi Codija </v>
      </c>
      <c r="AG662" s="6" t="str">
        <f t="shared" si="206"/>
        <v xml:space="preserve">",Visistors= </v>
      </c>
      <c r="AH662" s="11">
        <f>Matchs!Q663</f>
        <v>50000</v>
      </c>
      <c r="AI662" s="11" t="str">
        <f t="shared" si="207"/>
        <v>,Status= "</v>
      </c>
      <c r="AJ662" s="11" t="str">
        <f>Matchs!R663</f>
        <v>Finished</v>
      </c>
      <c r="AK662" t="str">
        <f t="shared" si="208"/>
        <v>" },</v>
      </c>
    </row>
    <row r="663" spans="1:37" x14ac:dyDescent="0.25">
      <c r="A663" t="str">
        <f t="shared" si="190"/>
        <v>new Match { MatchId= "</v>
      </c>
      <c r="B663" t="str">
        <f>Matchs!A664</f>
        <v>FIFAWC2006-19</v>
      </c>
      <c r="C663" t="str">
        <f t="shared" si="191"/>
        <v>",MatchNumer=</v>
      </c>
      <c r="D663">
        <f>Matchs!B664</f>
        <v>19</v>
      </c>
      <c r="E663" t="str">
        <f t="shared" si="192"/>
        <v>,DateMatch=DateTime.Parse("</v>
      </c>
      <c r="F663" s="3">
        <f>Matchs!C664</f>
        <v>38883</v>
      </c>
      <c r="G663" s="10" t="str">
        <f t="shared" si="193"/>
        <v>"),TimeMatch=TimeSpan.Parse("</v>
      </c>
      <c r="H663" s="9">
        <f>Matchs!D664</f>
        <v>0.95833333333333337</v>
      </c>
      <c r="I663" t="str">
        <f t="shared" si="194"/>
        <v>"),MatchYear=</v>
      </c>
      <c r="J663">
        <f>Matchs!E664</f>
        <v>2006</v>
      </c>
      <c r="K663" t="str">
        <f t="shared" si="195"/>
        <v>, SeasonId= "</v>
      </c>
      <c r="L663" t="str">
        <f>Matchs!F664</f>
        <v>FIFAWC2006</v>
      </c>
      <c r="M663" t="str">
        <f t="shared" si="196"/>
        <v>",Round= "</v>
      </c>
      <c r="N663" t="str">
        <f>Matchs!G664</f>
        <v>Final Round</v>
      </c>
      <c r="O663" s="6" t="str">
        <f t="shared" si="197"/>
        <v>",Stage= "</v>
      </c>
      <c r="P663" t="str">
        <f>Matchs!H664</f>
        <v>Group</v>
      </c>
      <c r="Q663" s="6" t="str">
        <f t="shared" si="198"/>
        <v>",SubStage= "</v>
      </c>
      <c r="R663" t="str">
        <f>Matchs!I664</f>
        <v xml:space="preserve">Group B </v>
      </c>
      <c r="S663" s="6" t="str">
        <f t="shared" si="199"/>
        <v>",HTeam= "</v>
      </c>
      <c r="T663" t="str">
        <f>Matchs!J664</f>
        <v>England</v>
      </c>
      <c r="U663" s="6" t="str">
        <f t="shared" si="200"/>
        <v>",HGoal=</v>
      </c>
      <c r="V663">
        <f>Matchs!K664</f>
        <v>2</v>
      </c>
      <c r="W663" s="6" t="str">
        <f t="shared" si="201"/>
        <v>,GGoal=</v>
      </c>
      <c r="X663">
        <f>Matchs!L664</f>
        <v>0</v>
      </c>
      <c r="Y663" s="6" t="str">
        <f t="shared" si="202"/>
        <v>,GTeam= "</v>
      </c>
      <c r="Z663" t="str">
        <f>Matchs!M664</f>
        <v>Trinidad and Tobago</v>
      </c>
      <c r="AA663" s="6" t="str">
        <f t="shared" si="203"/>
        <v>",WinNote="</v>
      </c>
      <c r="AB663" t="str">
        <f>IF(Matchs!N664="","",Matchs!N664)</f>
        <v/>
      </c>
      <c r="AC663" s="6" t="str">
        <f t="shared" si="204"/>
        <v xml:space="preserve">",Stadium=" </v>
      </c>
      <c r="AD663" s="11" t="str">
        <f>Matchs!O664</f>
        <v xml:space="preserve">Frankenstadion </v>
      </c>
      <c r="AE663" s="6" t="str">
        <f t="shared" si="205"/>
        <v>",Referee= "</v>
      </c>
      <c r="AF663" s="11" t="str">
        <f>Matchs!P664</f>
        <v xml:space="preserve">Toru Kamikawa </v>
      </c>
      <c r="AG663" s="6" t="str">
        <f t="shared" si="206"/>
        <v xml:space="preserve">",Visistors= </v>
      </c>
      <c r="AH663" s="11">
        <f>Matchs!Q664</f>
        <v>41000</v>
      </c>
      <c r="AI663" s="11" t="str">
        <f t="shared" si="207"/>
        <v>,Status= "</v>
      </c>
      <c r="AJ663" s="11" t="str">
        <f>Matchs!R664</f>
        <v>Finished</v>
      </c>
      <c r="AK663" t="str">
        <f t="shared" si="208"/>
        <v>" },</v>
      </c>
    </row>
    <row r="664" spans="1:37" x14ac:dyDescent="0.25">
      <c r="A664" t="str">
        <f t="shared" si="190"/>
        <v>new Match { MatchId= "</v>
      </c>
      <c r="B664" t="str">
        <f>Matchs!A665</f>
        <v>FIFAWC2006-20</v>
      </c>
      <c r="C664" t="str">
        <f t="shared" si="191"/>
        <v>",MatchNumer=</v>
      </c>
      <c r="D664">
        <f>Matchs!B665</f>
        <v>20</v>
      </c>
      <c r="E664" t="str">
        <f t="shared" si="192"/>
        <v>,DateMatch=DateTime.Parse("</v>
      </c>
      <c r="F664" s="3">
        <f>Matchs!C665</f>
        <v>38884</v>
      </c>
      <c r="G664" s="10" t="str">
        <f t="shared" si="193"/>
        <v>"),TimeMatch=TimeSpan.Parse("</v>
      </c>
      <c r="H664" s="9">
        <f>Matchs!D665</f>
        <v>8.3333333333333329E-2</v>
      </c>
      <c r="I664" t="str">
        <f t="shared" si="194"/>
        <v>"),MatchYear=</v>
      </c>
      <c r="J664">
        <f>Matchs!E665</f>
        <v>2006</v>
      </c>
      <c r="K664" t="str">
        <f t="shared" si="195"/>
        <v>, SeasonId= "</v>
      </c>
      <c r="L664" t="str">
        <f>Matchs!F665</f>
        <v>FIFAWC2006</v>
      </c>
      <c r="M664" t="str">
        <f t="shared" si="196"/>
        <v>",Round= "</v>
      </c>
      <c r="N664" t="str">
        <f>Matchs!G665</f>
        <v>Final Round</v>
      </c>
      <c r="O664" s="6" t="str">
        <f t="shared" si="197"/>
        <v>",Stage= "</v>
      </c>
      <c r="P664" t="str">
        <f>Matchs!H665</f>
        <v>Group</v>
      </c>
      <c r="Q664" s="6" t="str">
        <f t="shared" si="198"/>
        <v>",SubStage= "</v>
      </c>
      <c r="R664" t="str">
        <f>Matchs!I665</f>
        <v xml:space="preserve">Group B </v>
      </c>
      <c r="S664" s="6" t="str">
        <f t="shared" si="199"/>
        <v>",HTeam= "</v>
      </c>
      <c r="T664" t="str">
        <f>Matchs!J665</f>
        <v>Sweden</v>
      </c>
      <c r="U664" s="6" t="str">
        <f t="shared" si="200"/>
        <v>",HGoal=</v>
      </c>
      <c r="V664">
        <f>Matchs!K665</f>
        <v>1</v>
      </c>
      <c r="W664" s="6" t="str">
        <f t="shared" si="201"/>
        <v>,GGoal=</v>
      </c>
      <c r="X664">
        <f>Matchs!L665</f>
        <v>0</v>
      </c>
      <c r="Y664" s="6" t="str">
        <f t="shared" si="202"/>
        <v>,GTeam= "</v>
      </c>
      <c r="Z664" t="str">
        <f>Matchs!M665</f>
        <v>Paraguay</v>
      </c>
      <c r="AA664" s="6" t="str">
        <f t="shared" si="203"/>
        <v>",WinNote="</v>
      </c>
      <c r="AB664" t="str">
        <f>IF(Matchs!N665="","",Matchs!N665)</f>
        <v/>
      </c>
      <c r="AC664" s="6" t="str">
        <f t="shared" si="204"/>
        <v xml:space="preserve">",Stadium=" </v>
      </c>
      <c r="AD664" s="11" t="str">
        <f>Matchs!O665</f>
        <v xml:space="preserve">Olympiastadion </v>
      </c>
      <c r="AE664" s="6" t="str">
        <f t="shared" si="205"/>
        <v>",Referee= "</v>
      </c>
      <c r="AF664" s="11" t="str">
        <f>Matchs!P665</f>
        <v xml:space="preserve">Lubos Michel </v>
      </c>
      <c r="AG664" s="6" t="str">
        <f t="shared" si="206"/>
        <v xml:space="preserve">",Visistors= </v>
      </c>
      <c r="AH664" s="11">
        <f>Matchs!Q665</f>
        <v>72000</v>
      </c>
      <c r="AI664" s="11" t="str">
        <f t="shared" si="207"/>
        <v>,Status= "</v>
      </c>
      <c r="AJ664" s="11" t="str">
        <f>Matchs!R665</f>
        <v>Finished</v>
      </c>
      <c r="AK664" t="str">
        <f t="shared" si="208"/>
        <v>" },</v>
      </c>
    </row>
    <row r="665" spans="1:37" x14ac:dyDescent="0.25">
      <c r="A665" t="str">
        <f t="shared" si="190"/>
        <v>new Match { MatchId= "</v>
      </c>
      <c r="B665" t="str">
        <f>Matchs!A666</f>
        <v>FIFAWC2006-21</v>
      </c>
      <c r="C665" t="str">
        <f t="shared" si="191"/>
        <v>",MatchNumer=</v>
      </c>
      <c r="D665">
        <f>Matchs!B666</f>
        <v>21</v>
      </c>
      <c r="E665" t="str">
        <f t="shared" si="192"/>
        <v>,DateMatch=DateTime.Parse("</v>
      </c>
      <c r="F665" s="3">
        <f>Matchs!C666</f>
        <v>38884</v>
      </c>
      <c r="G665" s="10" t="str">
        <f t="shared" si="193"/>
        <v>"),TimeMatch=TimeSpan.Parse("</v>
      </c>
      <c r="H665" s="9">
        <f>Matchs!D666</f>
        <v>0.83333333333333337</v>
      </c>
      <c r="I665" t="str">
        <f t="shared" si="194"/>
        <v>"),MatchYear=</v>
      </c>
      <c r="J665">
        <f>Matchs!E666</f>
        <v>2006</v>
      </c>
      <c r="K665" t="str">
        <f t="shared" si="195"/>
        <v>, SeasonId= "</v>
      </c>
      <c r="L665" t="str">
        <f>Matchs!F666</f>
        <v>FIFAWC2006</v>
      </c>
      <c r="M665" t="str">
        <f t="shared" si="196"/>
        <v>",Round= "</v>
      </c>
      <c r="N665" t="str">
        <f>Matchs!G666</f>
        <v>Final Round</v>
      </c>
      <c r="O665" s="6" t="str">
        <f t="shared" si="197"/>
        <v>",Stage= "</v>
      </c>
      <c r="P665" t="str">
        <f>Matchs!H666</f>
        <v>Group</v>
      </c>
      <c r="Q665" s="6" t="str">
        <f t="shared" si="198"/>
        <v>",SubStage= "</v>
      </c>
      <c r="R665" t="str">
        <f>Matchs!I666</f>
        <v xml:space="preserve">Group C </v>
      </c>
      <c r="S665" s="6" t="str">
        <f t="shared" si="199"/>
        <v>",HTeam= "</v>
      </c>
      <c r="T665" t="str">
        <f>Matchs!J666</f>
        <v>Argentina</v>
      </c>
      <c r="U665" s="6" t="str">
        <f t="shared" si="200"/>
        <v>",HGoal=</v>
      </c>
      <c r="V665">
        <f>Matchs!K666</f>
        <v>6</v>
      </c>
      <c r="W665" s="6" t="str">
        <f t="shared" si="201"/>
        <v>,GGoal=</v>
      </c>
      <c r="X665">
        <f>Matchs!L666</f>
        <v>0</v>
      </c>
      <c r="Y665" s="6" t="str">
        <f t="shared" si="202"/>
        <v>,GTeam= "</v>
      </c>
      <c r="Z665" t="str">
        <f>Matchs!M666</f>
        <v>Serbia and Montenegro</v>
      </c>
      <c r="AA665" s="6" t="str">
        <f t="shared" si="203"/>
        <v>",WinNote="</v>
      </c>
      <c r="AB665" t="str">
        <f>IF(Matchs!N666="","",Matchs!N666)</f>
        <v/>
      </c>
      <c r="AC665" s="6" t="str">
        <f t="shared" si="204"/>
        <v xml:space="preserve">",Stadium=" </v>
      </c>
      <c r="AD665" s="11" t="str">
        <f>Matchs!O666</f>
        <v xml:space="preserve">Veltins-Arena </v>
      </c>
      <c r="AE665" s="6" t="str">
        <f t="shared" si="205"/>
        <v>",Referee= "</v>
      </c>
      <c r="AF665" s="11" t="str">
        <f>Matchs!P666</f>
        <v xml:space="preserve">Roberto Rosetti </v>
      </c>
      <c r="AG665" s="6" t="str">
        <f t="shared" si="206"/>
        <v xml:space="preserve">",Visistors= </v>
      </c>
      <c r="AH665" s="11">
        <f>Matchs!Q666</f>
        <v>52000</v>
      </c>
      <c r="AI665" s="11" t="str">
        <f t="shared" si="207"/>
        <v>,Status= "</v>
      </c>
      <c r="AJ665" s="11" t="str">
        <f>Matchs!R666</f>
        <v>Finished</v>
      </c>
      <c r="AK665" t="str">
        <f t="shared" si="208"/>
        <v>" },</v>
      </c>
    </row>
    <row r="666" spans="1:37" x14ac:dyDescent="0.25">
      <c r="A666" t="str">
        <f t="shared" si="190"/>
        <v>new Match { MatchId= "</v>
      </c>
      <c r="B666" t="str">
        <f>Matchs!A667</f>
        <v>FIFAWC2006-22</v>
      </c>
      <c r="C666" t="str">
        <f t="shared" si="191"/>
        <v>",MatchNumer=</v>
      </c>
      <c r="D666">
        <f>Matchs!B667</f>
        <v>22</v>
      </c>
      <c r="E666" t="str">
        <f t="shared" si="192"/>
        <v>,DateMatch=DateTime.Parse("</v>
      </c>
      <c r="F666" s="3">
        <f>Matchs!C667</f>
        <v>38884</v>
      </c>
      <c r="G666" s="10" t="str">
        <f t="shared" si="193"/>
        <v>"),TimeMatch=TimeSpan.Parse("</v>
      </c>
      <c r="H666" s="9">
        <f>Matchs!D667</f>
        <v>0.95833333333333337</v>
      </c>
      <c r="I666" t="str">
        <f t="shared" si="194"/>
        <v>"),MatchYear=</v>
      </c>
      <c r="J666">
        <f>Matchs!E667</f>
        <v>2006</v>
      </c>
      <c r="K666" t="str">
        <f t="shared" si="195"/>
        <v>, SeasonId= "</v>
      </c>
      <c r="L666" t="str">
        <f>Matchs!F667</f>
        <v>FIFAWC2006</v>
      </c>
      <c r="M666" t="str">
        <f t="shared" si="196"/>
        <v>",Round= "</v>
      </c>
      <c r="N666" t="str">
        <f>Matchs!G667</f>
        <v>Final Round</v>
      </c>
      <c r="O666" s="6" t="str">
        <f t="shared" si="197"/>
        <v>",Stage= "</v>
      </c>
      <c r="P666" t="str">
        <f>Matchs!H667</f>
        <v>Group</v>
      </c>
      <c r="Q666" s="6" t="str">
        <f t="shared" si="198"/>
        <v>",SubStage= "</v>
      </c>
      <c r="R666" t="str">
        <f>Matchs!I667</f>
        <v xml:space="preserve">Group C </v>
      </c>
      <c r="S666" s="6" t="str">
        <f t="shared" si="199"/>
        <v>",HTeam= "</v>
      </c>
      <c r="T666" t="str">
        <f>Matchs!J667</f>
        <v>Netherlands</v>
      </c>
      <c r="U666" s="6" t="str">
        <f t="shared" si="200"/>
        <v>",HGoal=</v>
      </c>
      <c r="V666">
        <f>Matchs!K667</f>
        <v>2</v>
      </c>
      <c r="W666" s="6" t="str">
        <f t="shared" si="201"/>
        <v>,GGoal=</v>
      </c>
      <c r="X666">
        <f>Matchs!L667</f>
        <v>1</v>
      </c>
      <c r="Y666" s="6" t="str">
        <f t="shared" si="202"/>
        <v>,GTeam= "</v>
      </c>
      <c r="Z666" t="str">
        <f>Matchs!M667</f>
        <v>Cote D'Ivoire</v>
      </c>
      <c r="AA666" s="6" t="str">
        <f t="shared" si="203"/>
        <v>",WinNote="</v>
      </c>
      <c r="AB666" t="str">
        <f>IF(Matchs!N667="","",Matchs!N667)</f>
        <v/>
      </c>
      <c r="AC666" s="6" t="str">
        <f t="shared" si="204"/>
        <v xml:space="preserve">",Stadium=" </v>
      </c>
      <c r="AD666" s="11" t="str">
        <f>Matchs!O667</f>
        <v xml:space="preserve">Mercedes-Benz Arena </v>
      </c>
      <c r="AE666" s="6" t="str">
        <f t="shared" si="205"/>
        <v>",Referee= "</v>
      </c>
      <c r="AF666" s="11" t="str">
        <f>Matchs!P667</f>
        <v xml:space="preserve">Oscar Ruiz </v>
      </c>
      <c r="AG666" s="6" t="str">
        <f t="shared" si="206"/>
        <v xml:space="preserve">",Visistors= </v>
      </c>
      <c r="AH666" s="11">
        <f>Matchs!Q667</f>
        <v>52000</v>
      </c>
      <c r="AI666" s="11" t="str">
        <f t="shared" si="207"/>
        <v>,Status= "</v>
      </c>
      <c r="AJ666" s="11" t="str">
        <f>Matchs!R667</f>
        <v>Finished</v>
      </c>
      <c r="AK666" t="str">
        <f t="shared" si="208"/>
        <v>" },</v>
      </c>
    </row>
    <row r="667" spans="1:37" x14ac:dyDescent="0.25">
      <c r="A667" t="str">
        <f t="shared" si="190"/>
        <v>new Match { MatchId= "</v>
      </c>
      <c r="B667" t="str">
        <f>Matchs!A668</f>
        <v>FIFAWC2006-23</v>
      </c>
      <c r="C667" t="str">
        <f t="shared" si="191"/>
        <v>",MatchNumer=</v>
      </c>
      <c r="D667">
        <f>Matchs!B668</f>
        <v>23</v>
      </c>
      <c r="E667" t="str">
        <f t="shared" si="192"/>
        <v>,DateMatch=DateTime.Parse("</v>
      </c>
      <c r="F667" s="3">
        <f>Matchs!C668</f>
        <v>38885</v>
      </c>
      <c r="G667" s="10" t="str">
        <f t="shared" si="193"/>
        <v>"),TimeMatch=TimeSpan.Parse("</v>
      </c>
      <c r="H667" s="9">
        <f>Matchs!D668</f>
        <v>8.3333333333333329E-2</v>
      </c>
      <c r="I667" t="str">
        <f t="shared" si="194"/>
        <v>"),MatchYear=</v>
      </c>
      <c r="J667">
        <f>Matchs!E668</f>
        <v>2006</v>
      </c>
      <c r="K667" t="str">
        <f t="shared" si="195"/>
        <v>, SeasonId= "</v>
      </c>
      <c r="L667" t="str">
        <f>Matchs!F668</f>
        <v>FIFAWC2006</v>
      </c>
      <c r="M667" t="str">
        <f t="shared" si="196"/>
        <v>",Round= "</v>
      </c>
      <c r="N667" t="str">
        <f>Matchs!G668</f>
        <v>Final Round</v>
      </c>
      <c r="O667" s="6" t="str">
        <f t="shared" si="197"/>
        <v>",Stage= "</v>
      </c>
      <c r="P667" t="str">
        <f>Matchs!H668</f>
        <v>Group</v>
      </c>
      <c r="Q667" s="6" t="str">
        <f t="shared" si="198"/>
        <v>",SubStage= "</v>
      </c>
      <c r="R667" t="str">
        <f>Matchs!I668</f>
        <v xml:space="preserve">Group D </v>
      </c>
      <c r="S667" s="6" t="str">
        <f t="shared" si="199"/>
        <v>",HTeam= "</v>
      </c>
      <c r="T667" t="str">
        <f>Matchs!J668</f>
        <v>Mexico</v>
      </c>
      <c r="U667" s="6" t="str">
        <f t="shared" si="200"/>
        <v>",HGoal=</v>
      </c>
      <c r="V667">
        <f>Matchs!K668</f>
        <v>0</v>
      </c>
      <c r="W667" s="6" t="str">
        <f t="shared" si="201"/>
        <v>,GGoal=</v>
      </c>
      <c r="X667">
        <f>Matchs!L668</f>
        <v>0</v>
      </c>
      <c r="Y667" s="6" t="str">
        <f t="shared" si="202"/>
        <v>,GTeam= "</v>
      </c>
      <c r="Z667" t="str">
        <f>Matchs!M668</f>
        <v>Angola</v>
      </c>
      <c r="AA667" s="6" t="str">
        <f t="shared" si="203"/>
        <v>",WinNote="</v>
      </c>
      <c r="AB667" t="str">
        <f>IF(Matchs!N668="","",Matchs!N668)</f>
        <v/>
      </c>
      <c r="AC667" s="6" t="str">
        <f t="shared" si="204"/>
        <v xml:space="preserve">",Stadium=" </v>
      </c>
      <c r="AD667" s="11" t="str">
        <f>Matchs!O668</f>
        <v xml:space="preserve">AWD-Arena </v>
      </c>
      <c r="AE667" s="6" t="str">
        <f t="shared" si="205"/>
        <v>",Referee= "</v>
      </c>
      <c r="AF667" s="11" t="str">
        <f>Matchs!P668</f>
        <v xml:space="preserve">Shamsul Maidin </v>
      </c>
      <c r="AG667" s="6" t="str">
        <f t="shared" si="206"/>
        <v xml:space="preserve">",Visistors= </v>
      </c>
      <c r="AH667" s="11">
        <f>Matchs!Q668</f>
        <v>43000</v>
      </c>
      <c r="AI667" s="11" t="str">
        <f t="shared" si="207"/>
        <v>,Status= "</v>
      </c>
      <c r="AJ667" s="11" t="str">
        <f>Matchs!R668</f>
        <v>Finished</v>
      </c>
      <c r="AK667" t="str">
        <f t="shared" si="208"/>
        <v>" },</v>
      </c>
    </row>
    <row r="668" spans="1:37" x14ac:dyDescent="0.25">
      <c r="A668" t="str">
        <f t="shared" si="190"/>
        <v>new Match { MatchId= "</v>
      </c>
      <c r="B668" t="str">
        <f>Matchs!A669</f>
        <v>FIFAWC2006-24</v>
      </c>
      <c r="C668" t="str">
        <f t="shared" si="191"/>
        <v>",MatchNumer=</v>
      </c>
      <c r="D668">
        <f>Matchs!B669</f>
        <v>24</v>
      </c>
      <c r="E668" t="str">
        <f t="shared" si="192"/>
        <v>,DateMatch=DateTime.Parse("</v>
      </c>
      <c r="F668" s="3">
        <f>Matchs!C669</f>
        <v>38885</v>
      </c>
      <c r="G668" s="10" t="str">
        <f t="shared" si="193"/>
        <v>"),TimeMatch=TimeSpan.Parse("</v>
      </c>
      <c r="H668" s="9">
        <f>Matchs!D669</f>
        <v>0.83333333333333337</v>
      </c>
      <c r="I668" t="str">
        <f t="shared" si="194"/>
        <v>"),MatchYear=</v>
      </c>
      <c r="J668">
        <f>Matchs!E669</f>
        <v>2006</v>
      </c>
      <c r="K668" t="str">
        <f t="shared" si="195"/>
        <v>, SeasonId= "</v>
      </c>
      <c r="L668" t="str">
        <f>Matchs!F669</f>
        <v>FIFAWC2006</v>
      </c>
      <c r="M668" t="str">
        <f t="shared" si="196"/>
        <v>",Round= "</v>
      </c>
      <c r="N668" t="str">
        <f>Matchs!G669</f>
        <v>Final Round</v>
      </c>
      <c r="O668" s="6" t="str">
        <f t="shared" si="197"/>
        <v>",Stage= "</v>
      </c>
      <c r="P668" t="str">
        <f>Matchs!H669</f>
        <v>Group</v>
      </c>
      <c r="Q668" s="6" t="str">
        <f t="shared" si="198"/>
        <v>",SubStage= "</v>
      </c>
      <c r="R668" t="str">
        <f>Matchs!I669</f>
        <v xml:space="preserve">Group D </v>
      </c>
      <c r="S668" s="6" t="str">
        <f t="shared" si="199"/>
        <v>",HTeam= "</v>
      </c>
      <c r="T668" t="str">
        <f>Matchs!J669</f>
        <v>Portugal</v>
      </c>
      <c r="U668" s="6" t="str">
        <f t="shared" si="200"/>
        <v>",HGoal=</v>
      </c>
      <c r="V668">
        <f>Matchs!K669</f>
        <v>2</v>
      </c>
      <c r="W668" s="6" t="str">
        <f t="shared" si="201"/>
        <v>,GGoal=</v>
      </c>
      <c r="X668">
        <f>Matchs!L669</f>
        <v>0</v>
      </c>
      <c r="Y668" s="6" t="str">
        <f t="shared" si="202"/>
        <v>,GTeam= "</v>
      </c>
      <c r="Z668" t="str">
        <f>Matchs!M669</f>
        <v>Iran</v>
      </c>
      <c r="AA668" s="6" t="str">
        <f t="shared" si="203"/>
        <v>",WinNote="</v>
      </c>
      <c r="AB668" t="str">
        <f>IF(Matchs!N669="","",Matchs!N669)</f>
        <v/>
      </c>
      <c r="AC668" s="6" t="str">
        <f t="shared" si="204"/>
        <v xml:space="preserve">",Stadium=" </v>
      </c>
      <c r="AD668" s="11" t="str">
        <f>Matchs!O669</f>
        <v xml:space="preserve">Commerzbank-Arena </v>
      </c>
      <c r="AE668" s="6" t="str">
        <f t="shared" si="205"/>
        <v>",Referee= "</v>
      </c>
      <c r="AF668" s="11" t="str">
        <f>Matchs!P669</f>
        <v xml:space="preserve">Eric Poulat </v>
      </c>
      <c r="AG668" s="6" t="str">
        <f t="shared" si="206"/>
        <v xml:space="preserve">",Visistors= </v>
      </c>
      <c r="AH668" s="11">
        <f>Matchs!Q669</f>
        <v>48000</v>
      </c>
      <c r="AI668" s="11" t="str">
        <f t="shared" si="207"/>
        <v>,Status= "</v>
      </c>
      <c r="AJ668" s="11" t="str">
        <f>Matchs!R669</f>
        <v>Finished</v>
      </c>
      <c r="AK668" t="str">
        <f t="shared" si="208"/>
        <v>" },</v>
      </c>
    </row>
    <row r="669" spans="1:37" x14ac:dyDescent="0.25">
      <c r="A669" t="str">
        <f t="shared" si="190"/>
        <v>new Match { MatchId= "</v>
      </c>
      <c r="B669" t="str">
        <f>Matchs!A670</f>
        <v>FIFAWC2006-25</v>
      </c>
      <c r="C669" t="str">
        <f t="shared" si="191"/>
        <v>",MatchNumer=</v>
      </c>
      <c r="D669">
        <f>Matchs!B670</f>
        <v>25</v>
      </c>
      <c r="E669" t="str">
        <f t="shared" si="192"/>
        <v>,DateMatch=DateTime.Parse("</v>
      </c>
      <c r="F669" s="3">
        <f>Matchs!C670</f>
        <v>38885</v>
      </c>
      <c r="G669" s="10" t="str">
        <f t="shared" si="193"/>
        <v>"),TimeMatch=TimeSpan.Parse("</v>
      </c>
      <c r="H669" s="9">
        <f>Matchs!D670</f>
        <v>0.95833333333333337</v>
      </c>
      <c r="I669" t="str">
        <f t="shared" si="194"/>
        <v>"),MatchYear=</v>
      </c>
      <c r="J669">
        <f>Matchs!E670</f>
        <v>2006</v>
      </c>
      <c r="K669" t="str">
        <f t="shared" si="195"/>
        <v>, SeasonId= "</v>
      </c>
      <c r="L669" t="str">
        <f>Matchs!F670</f>
        <v>FIFAWC2006</v>
      </c>
      <c r="M669" t="str">
        <f t="shared" si="196"/>
        <v>",Round= "</v>
      </c>
      <c r="N669" t="str">
        <f>Matchs!G670</f>
        <v>Final Round</v>
      </c>
      <c r="O669" s="6" t="str">
        <f t="shared" si="197"/>
        <v>",Stage= "</v>
      </c>
      <c r="P669" t="str">
        <f>Matchs!H670</f>
        <v>Group</v>
      </c>
      <c r="Q669" s="6" t="str">
        <f t="shared" si="198"/>
        <v>",SubStage= "</v>
      </c>
      <c r="R669" t="str">
        <f>Matchs!I670</f>
        <v xml:space="preserve">Group E </v>
      </c>
      <c r="S669" s="6" t="str">
        <f t="shared" si="199"/>
        <v>",HTeam= "</v>
      </c>
      <c r="T669" t="str">
        <f>Matchs!J670</f>
        <v>Czech Republic</v>
      </c>
      <c r="U669" s="6" t="str">
        <f t="shared" si="200"/>
        <v>",HGoal=</v>
      </c>
      <c r="V669">
        <f>Matchs!K670</f>
        <v>0</v>
      </c>
      <c r="W669" s="6" t="str">
        <f t="shared" si="201"/>
        <v>,GGoal=</v>
      </c>
      <c r="X669">
        <f>Matchs!L670</f>
        <v>2</v>
      </c>
      <c r="Y669" s="6" t="str">
        <f t="shared" si="202"/>
        <v>,GTeam= "</v>
      </c>
      <c r="Z669" t="str">
        <f>Matchs!M670</f>
        <v>Ghana</v>
      </c>
      <c r="AA669" s="6" t="str">
        <f t="shared" si="203"/>
        <v>",WinNote="</v>
      </c>
      <c r="AB669" t="str">
        <f>IF(Matchs!N670="","",Matchs!N670)</f>
        <v/>
      </c>
      <c r="AC669" s="6" t="str">
        <f t="shared" si="204"/>
        <v xml:space="preserve">",Stadium=" </v>
      </c>
      <c r="AD669" s="11" t="str">
        <f>Matchs!O670</f>
        <v xml:space="preserve">RheinEnergieStadion </v>
      </c>
      <c r="AE669" s="6" t="str">
        <f t="shared" si="205"/>
        <v>",Referee= "</v>
      </c>
      <c r="AF669" s="11">
        <f>Matchs!P670</f>
        <v>0</v>
      </c>
      <c r="AG669" s="6" t="str">
        <f t="shared" si="206"/>
        <v xml:space="preserve">",Visistors= </v>
      </c>
      <c r="AH669" s="11">
        <f>Matchs!Q670</f>
        <v>45000</v>
      </c>
      <c r="AI669" s="11" t="str">
        <f t="shared" si="207"/>
        <v>,Status= "</v>
      </c>
      <c r="AJ669" s="11" t="str">
        <f>Matchs!R670</f>
        <v>Finished</v>
      </c>
      <c r="AK669" t="str">
        <f t="shared" si="208"/>
        <v>" },</v>
      </c>
    </row>
    <row r="670" spans="1:37" x14ac:dyDescent="0.25">
      <c r="A670" t="str">
        <f t="shared" si="190"/>
        <v>new Match { MatchId= "</v>
      </c>
      <c r="B670" t="str">
        <f>Matchs!A671</f>
        <v>FIFAWC2006-26</v>
      </c>
      <c r="C670" t="str">
        <f t="shared" si="191"/>
        <v>",MatchNumer=</v>
      </c>
      <c r="D670">
        <f>Matchs!B671</f>
        <v>26</v>
      </c>
      <c r="E670" t="str">
        <f t="shared" si="192"/>
        <v>,DateMatch=DateTime.Parse("</v>
      </c>
      <c r="F670" s="3">
        <f>Matchs!C671</f>
        <v>38886</v>
      </c>
      <c r="G670" s="10" t="str">
        <f t="shared" si="193"/>
        <v>"),TimeMatch=TimeSpan.Parse("</v>
      </c>
      <c r="H670" s="9">
        <f>Matchs!D671</f>
        <v>8.3333333333333329E-2</v>
      </c>
      <c r="I670" t="str">
        <f t="shared" si="194"/>
        <v>"),MatchYear=</v>
      </c>
      <c r="J670">
        <f>Matchs!E671</f>
        <v>2006</v>
      </c>
      <c r="K670" t="str">
        <f t="shared" si="195"/>
        <v>, SeasonId= "</v>
      </c>
      <c r="L670" t="str">
        <f>Matchs!F671</f>
        <v>FIFAWC2006</v>
      </c>
      <c r="M670" t="str">
        <f t="shared" si="196"/>
        <v>",Round= "</v>
      </c>
      <c r="N670" t="str">
        <f>Matchs!G671</f>
        <v>Final Round</v>
      </c>
      <c r="O670" s="6" t="str">
        <f t="shared" si="197"/>
        <v>",Stage= "</v>
      </c>
      <c r="P670" t="str">
        <f>Matchs!H671</f>
        <v>Group</v>
      </c>
      <c r="Q670" s="6" t="str">
        <f t="shared" si="198"/>
        <v>",SubStage= "</v>
      </c>
      <c r="R670" t="str">
        <f>Matchs!I671</f>
        <v xml:space="preserve">Group E </v>
      </c>
      <c r="S670" s="6" t="str">
        <f t="shared" si="199"/>
        <v>",HTeam= "</v>
      </c>
      <c r="T670" t="str">
        <f>Matchs!J671</f>
        <v>Italy</v>
      </c>
      <c r="U670" s="6" t="str">
        <f t="shared" si="200"/>
        <v>",HGoal=</v>
      </c>
      <c r="V670">
        <f>Matchs!K671</f>
        <v>1</v>
      </c>
      <c r="W670" s="6" t="str">
        <f t="shared" si="201"/>
        <v>,GGoal=</v>
      </c>
      <c r="X670">
        <f>Matchs!L671</f>
        <v>1</v>
      </c>
      <c r="Y670" s="6" t="str">
        <f t="shared" si="202"/>
        <v>,GTeam= "</v>
      </c>
      <c r="Z670" t="str">
        <f>Matchs!M671</f>
        <v>USA</v>
      </c>
      <c r="AA670" s="6" t="str">
        <f t="shared" si="203"/>
        <v>",WinNote="</v>
      </c>
      <c r="AB670" t="str">
        <f>IF(Matchs!N671="","",Matchs!N671)</f>
        <v/>
      </c>
      <c r="AC670" s="6" t="str">
        <f t="shared" si="204"/>
        <v xml:space="preserve">",Stadium=" </v>
      </c>
      <c r="AD670" s="11" t="str">
        <f>Matchs!O671</f>
        <v xml:space="preserve">Fritz-Walter-Stadion </v>
      </c>
      <c r="AE670" s="6" t="str">
        <f t="shared" si="205"/>
        <v>",Referee= "</v>
      </c>
      <c r="AF670" s="11" t="str">
        <f>Matchs!P671</f>
        <v xml:space="preserve">Jorge Larrionda </v>
      </c>
      <c r="AG670" s="6" t="str">
        <f t="shared" si="206"/>
        <v xml:space="preserve">",Visistors= </v>
      </c>
      <c r="AH670" s="11">
        <f>Matchs!Q671</f>
        <v>46000</v>
      </c>
      <c r="AI670" s="11" t="str">
        <f t="shared" si="207"/>
        <v>,Status= "</v>
      </c>
      <c r="AJ670" s="11" t="str">
        <f>Matchs!R671</f>
        <v>Finished</v>
      </c>
      <c r="AK670" t="str">
        <f t="shared" si="208"/>
        <v>" },</v>
      </c>
    </row>
    <row r="671" spans="1:37" x14ac:dyDescent="0.25">
      <c r="A671" t="str">
        <f t="shared" si="190"/>
        <v>new Match { MatchId= "</v>
      </c>
      <c r="B671" t="str">
        <f>Matchs!A672</f>
        <v>FIFAWC2006-27</v>
      </c>
      <c r="C671" t="str">
        <f t="shared" si="191"/>
        <v>",MatchNumer=</v>
      </c>
      <c r="D671">
        <f>Matchs!B672</f>
        <v>27</v>
      </c>
      <c r="E671" t="str">
        <f t="shared" si="192"/>
        <v>,DateMatch=DateTime.Parse("</v>
      </c>
      <c r="F671" s="3">
        <f>Matchs!C672</f>
        <v>38886</v>
      </c>
      <c r="G671" s="10" t="str">
        <f t="shared" si="193"/>
        <v>"),TimeMatch=TimeSpan.Parse("</v>
      </c>
      <c r="H671" s="9">
        <f>Matchs!D672</f>
        <v>0.83333333333333337</v>
      </c>
      <c r="I671" t="str">
        <f t="shared" si="194"/>
        <v>"),MatchYear=</v>
      </c>
      <c r="J671">
        <f>Matchs!E672</f>
        <v>2006</v>
      </c>
      <c r="K671" t="str">
        <f t="shared" si="195"/>
        <v>, SeasonId= "</v>
      </c>
      <c r="L671" t="str">
        <f>Matchs!F672</f>
        <v>FIFAWC2006</v>
      </c>
      <c r="M671" t="str">
        <f t="shared" si="196"/>
        <v>",Round= "</v>
      </c>
      <c r="N671" t="str">
        <f>Matchs!G672</f>
        <v>Final Round</v>
      </c>
      <c r="O671" s="6" t="str">
        <f t="shared" si="197"/>
        <v>",Stage= "</v>
      </c>
      <c r="P671" t="str">
        <f>Matchs!H672</f>
        <v>Group</v>
      </c>
      <c r="Q671" s="6" t="str">
        <f t="shared" si="198"/>
        <v>",SubStage= "</v>
      </c>
      <c r="R671" t="str">
        <f>Matchs!I672</f>
        <v xml:space="preserve">Group F </v>
      </c>
      <c r="S671" s="6" t="str">
        <f t="shared" si="199"/>
        <v>",HTeam= "</v>
      </c>
      <c r="T671" t="str">
        <f>Matchs!J672</f>
        <v>Japan</v>
      </c>
      <c r="U671" s="6" t="str">
        <f t="shared" si="200"/>
        <v>",HGoal=</v>
      </c>
      <c r="V671">
        <f>Matchs!K672</f>
        <v>0</v>
      </c>
      <c r="W671" s="6" t="str">
        <f t="shared" si="201"/>
        <v>,GGoal=</v>
      </c>
      <c r="X671">
        <f>Matchs!L672</f>
        <v>0</v>
      </c>
      <c r="Y671" s="6" t="str">
        <f t="shared" si="202"/>
        <v>,GTeam= "</v>
      </c>
      <c r="Z671" t="str">
        <f>Matchs!M672</f>
        <v>Croatia</v>
      </c>
      <c r="AA671" s="6" t="str">
        <f t="shared" si="203"/>
        <v>",WinNote="</v>
      </c>
      <c r="AB671" t="str">
        <f>IF(Matchs!N672="","",Matchs!N672)</f>
        <v/>
      </c>
      <c r="AC671" s="6" t="str">
        <f t="shared" si="204"/>
        <v xml:space="preserve">",Stadium=" </v>
      </c>
      <c r="AD671" s="11" t="str">
        <f>Matchs!O672</f>
        <v xml:space="preserve">Frankenstadion </v>
      </c>
      <c r="AE671" s="6" t="str">
        <f t="shared" si="205"/>
        <v>",Referee= "</v>
      </c>
      <c r="AF671" s="11" t="str">
        <f>Matchs!P672</f>
        <v xml:space="preserve">Frank de Bleeckere </v>
      </c>
      <c r="AG671" s="6" t="str">
        <f t="shared" si="206"/>
        <v xml:space="preserve">",Visistors= </v>
      </c>
      <c r="AH671" s="11">
        <f>Matchs!Q672</f>
        <v>41000</v>
      </c>
      <c r="AI671" s="11" t="str">
        <f t="shared" si="207"/>
        <v>,Status= "</v>
      </c>
      <c r="AJ671" s="11" t="str">
        <f>Matchs!R672</f>
        <v>Finished</v>
      </c>
      <c r="AK671" t="str">
        <f t="shared" si="208"/>
        <v>" },</v>
      </c>
    </row>
    <row r="672" spans="1:37" x14ac:dyDescent="0.25">
      <c r="A672" t="str">
        <f t="shared" si="190"/>
        <v>new Match { MatchId= "</v>
      </c>
      <c r="B672" t="str">
        <f>Matchs!A673</f>
        <v>FIFAWC2006-28</v>
      </c>
      <c r="C672" t="str">
        <f t="shared" si="191"/>
        <v>",MatchNumer=</v>
      </c>
      <c r="D672">
        <f>Matchs!B673</f>
        <v>28</v>
      </c>
      <c r="E672" t="str">
        <f t="shared" si="192"/>
        <v>,DateMatch=DateTime.Parse("</v>
      </c>
      <c r="F672" s="3">
        <f>Matchs!C673</f>
        <v>38886</v>
      </c>
      <c r="G672" s="10" t="str">
        <f t="shared" si="193"/>
        <v>"),TimeMatch=TimeSpan.Parse("</v>
      </c>
      <c r="H672" s="9">
        <f>Matchs!D673</f>
        <v>0.95833333333333337</v>
      </c>
      <c r="I672" t="str">
        <f t="shared" si="194"/>
        <v>"),MatchYear=</v>
      </c>
      <c r="J672">
        <f>Matchs!E673</f>
        <v>2006</v>
      </c>
      <c r="K672" t="str">
        <f t="shared" si="195"/>
        <v>, SeasonId= "</v>
      </c>
      <c r="L672" t="str">
        <f>Matchs!F673</f>
        <v>FIFAWC2006</v>
      </c>
      <c r="M672" t="str">
        <f t="shared" si="196"/>
        <v>",Round= "</v>
      </c>
      <c r="N672" t="str">
        <f>Matchs!G673</f>
        <v>Final Round</v>
      </c>
      <c r="O672" s="6" t="str">
        <f t="shared" si="197"/>
        <v>",Stage= "</v>
      </c>
      <c r="P672" t="str">
        <f>Matchs!H673</f>
        <v>Group</v>
      </c>
      <c r="Q672" s="6" t="str">
        <f t="shared" si="198"/>
        <v>",SubStage= "</v>
      </c>
      <c r="R672" t="str">
        <f>Matchs!I673</f>
        <v xml:space="preserve">Group F </v>
      </c>
      <c r="S672" s="6" t="str">
        <f t="shared" si="199"/>
        <v>",HTeam= "</v>
      </c>
      <c r="T672" t="str">
        <f>Matchs!J673</f>
        <v>Brazil</v>
      </c>
      <c r="U672" s="6" t="str">
        <f t="shared" si="200"/>
        <v>",HGoal=</v>
      </c>
      <c r="V672">
        <f>Matchs!K673</f>
        <v>2</v>
      </c>
      <c r="W672" s="6" t="str">
        <f t="shared" si="201"/>
        <v>,GGoal=</v>
      </c>
      <c r="X672">
        <f>Matchs!L673</f>
        <v>0</v>
      </c>
      <c r="Y672" s="6" t="str">
        <f t="shared" si="202"/>
        <v>,GTeam= "</v>
      </c>
      <c r="Z672" t="str">
        <f>Matchs!M673</f>
        <v>Australia</v>
      </c>
      <c r="AA672" s="6" t="str">
        <f t="shared" si="203"/>
        <v>",WinNote="</v>
      </c>
      <c r="AB672" t="str">
        <f>IF(Matchs!N673="","",Matchs!N673)</f>
        <v/>
      </c>
      <c r="AC672" s="6" t="str">
        <f t="shared" si="204"/>
        <v xml:space="preserve">",Stadium=" </v>
      </c>
      <c r="AD672" s="11" t="str">
        <f>Matchs!O673</f>
        <v xml:space="preserve">Allianz Arena </v>
      </c>
      <c r="AE672" s="6" t="str">
        <f t="shared" si="205"/>
        <v>",Referee= "</v>
      </c>
      <c r="AF672" s="11" t="str">
        <f>Matchs!P673</f>
        <v xml:space="preserve">Markus Merk </v>
      </c>
      <c r="AG672" s="6" t="str">
        <f t="shared" si="206"/>
        <v xml:space="preserve">",Visistors= </v>
      </c>
      <c r="AH672" s="11">
        <f>Matchs!Q673</f>
        <v>66000</v>
      </c>
      <c r="AI672" s="11" t="str">
        <f t="shared" si="207"/>
        <v>,Status= "</v>
      </c>
      <c r="AJ672" s="11" t="str">
        <f>Matchs!R673</f>
        <v>Finished</v>
      </c>
      <c r="AK672" t="str">
        <f t="shared" si="208"/>
        <v>" },</v>
      </c>
    </row>
    <row r="673" spans="1:37" x14ac:dyDescent="0.25">
      <c r="A673" t="str">
        <f t="shared" si="190"/>
        <v>new Match { MatchId= "</v>
      </c>
      <c r="B673" t="str">
        <f>Matchs!A674</f>
        <v>FIFAWC2006-29</v>
      </c>
      <c r="C673" t="str">
        <f t="shared" si="191"/>
        <v>",MatchNumer=</v>
      </c>
      <c r="D673">
        <f>Matchs!B674</f>
        <v>29</v>
      </c>
      <c r="E673" t="str">
        <f t="shared" si="192"/>
        <v>,DateMatch=DateTime.Parse("</v>
      </c>
      <c r="F673" s="3">
        <f>Matchs!C674</f>
        <v>38887</v>
      </c>
      <c r="G673" s="10" t="str">
        <f t="shared" si="193"/>
        <v>"),TimeMatch=TimeSpan.Parse("</v>
      </c>
      <c r="H673" s="9">
        <f>Matchs!D674</f>
        <v>8.3333333333333329E-2</v>
      </c>
      <c r="I673" t="str">
        <f t="shared" si="194"/>
        <v>"),MatchYear=</v>
      </c>
      <c r="J673">
        <f>Matchs!E674</f>
        <v>2006</v>
      </c>
      <c r="K673" t="str">
        <f t="shared" si="195"/>
        <v>, SeasonId= "</v>
      </c>
      <c r="L673" t="str">
        <f>Matchs!F674</f>
        <v>FIFAWC2006</v>
      </c>
      <c r="M673" t="str">
        <f t="shared" si="196"/>
        <v>",Round= "</v>
      </c>
      <c r="N673" t="str">
        <f>Matchs!G674</f>
        <v>Final Round</v>
      </c>
      <c r="O673" s="6" t="str">
        <f t="shared" si="197"/>
        <v>",Stage= "</v>
      </c>
      <c r="P673" t="str">
        <f>Matchs!H674</f>
        <v>Group</v>
      </c>
      <c r="Q673" s="6" t="str">
        <f t="shared" si="198"/>
        <v>",SubStage= "</v>
      </c>
      <c r="R673" t="str">
        <f>Matchs!I674</f>
        <v xml:space="preserve">Group G </v>
      </c>
      <c r="S673" s="6" t="str">
        <f t="shared" si="199"/>
        <v>",HTeam= "</v>
      </c>
      <c r="T673" t="str">
        <f>Matchs!J674</f>
        <v>France</v>
      </c>
      <c r="U673" s="6" t="str">
        <f t="shared" si="200"/>
        <v>",HGoal=</v>
      </c>
      <c r="V673">
        <f>Matchs!K674</f>
        <v>1</v>
      </c>
      <c r="W673" s="6" t="str">
        <f t="shared" si="201"/>
        <v>,GGoal=</v>
      </c>
      <c r="X673">
        <f>Matchs!L674</f>
        <v>1</v>
      </c>
      <c r="Y673" s="6" t="str">
        <f t="shared" si="202"/>
        <v>,GTeam= "</v>
      </c>
      <c r="Z673" t="str">
        <f>Matchs!M674</f>
        <v>South Korea</v>
      </c>
      <c r="AA673" s="6" t="str">
        <f t="shared" si="203"/>
        <v>",WinNote="</v>
      </c>
      <c r="AB673" t="str">
        <f>IF(Matchs!N674="","",Matchs!N674)</f>
        <v/>
      </c>
      <c r="AC673" s="6" t="str">
        <f t="shared" si="204"/>
        <v xml:space="preserve">",Stadium=" </v>
      </c>
      <c r="AD673" s="11" t="str">
        <f>Matchs!O674</f>
        <v xml:space="preserve">Red Bull Arena (Leipzig) </v>
      </c>
      <c r="AE673" s="6" t="str">
        <f t="shared" si="205"/>
        <v>",Referee= "</v>
      </c>
      <c r="AF673" s="11" t="str">
        <f>Matchs!P674</f>
        <v xml:space="preserve">Benito Archundia </v>
      </c>
      <c r="AG673" s="6" t="str">
        <f t="shared" si="206"/>
        <v xml:space="preserve">",Visistors= </v>
      </c>
      <c r="AH673" s="11">
        <f>Matchs!Q674</f>
        <v>43000</v>
      </c>
      <c r="AI673" s="11" t="str">
        <f t="shared" si="207"/>
        <v>,Status= "</v>
      </c>
      <c r="AJ673" s="11" t="str">
        <f>Matchs!R674</f>
        <v>Finished</v>
      </c>
      <c r="AK673" t="str">
        <f t="shared" si="208"/>
        <v>" },</v>
      </c>
    </row>
    <row r="674" spans="1:37" x14ac:dyDescent="0.25">
      <c r="A674" t="str">
        <f t="shared" si="190"/>
        <v>new Match { MatchId= "</v>
      </c>
      <c r="B674" t="str">
        <f>Matchs!A675</f>
        <v>FIFAWC2006-30</v>
      </c>
      <c r="C674" t="str">
        <f t="shared" si="191"/>
        <v>",MatchNumer=</v>
      </c>
      <c r="D674">
        <f>Matchs!B675</f>
        <v>30</v>
      </c>
      <c r="E674" t="str">
        <f t="shared" si="192"/>
        <v>,DateMatch=DateTime.Parse("</v>
      </c>
      <c r="F674" s="3">
        <f>Matchs!C675</f>
        <v>38887</v>
      </c>
      <c r="G674" s="10" t="str">
        <f t="shared" si="193"/>
        <v>"),TimeMatch=TimeSpan.Parse("</v>
      </c>
      <c r="H674" s="9">
        <f>Matchs!D675</f>
        <v>0.83333333333333337</v>
      </c>
      <c r="I674" t="str">
        <f t="shared" si="194"/>
        <v>"),MatchYear=</v>
      </c>
      <c r="J674">
        <f>Matchs!E675</f>
        <v>2006</v>
      </c>
      <c r="K674" t="str">
        <f t="shared" si="195"/>
        <v>, SeasonId= "</v>
      </c>
      <c r="L674" t="str">
        <f>Matchs!F675</f>
        <v>FIFAWC2006</v>
      </c>
      <c r="M674" t="str">
        <f t="shared" si="196"/>
        <v>",Round= "</v>
      </c>
      <c r="N674" t="str">
        <f>Matchs!G675</f>
        <v>Final Round</v>
      </c>
      <c r="O674" s="6" t="str">
        <f t="shared" si="197"/>
        <v>",Stage= "</v>
      </c>
      <c r="P674" t="str">
        <f>Matchs!H675</f>
        <v>Group</v>
      </c>
      <c r="Q674" s="6" t="str">
        <f t="shared" si="198"/>
        <v>",SubStage= "</v>
      </c>
      <c r="R674" t="str">
        <f>Matchs!I675</f>
        <v xml:space="preserve">Group G </v>
      </c>
      <c r="S674" s="6" t="str">
        <f t="shared" si="199"/>
        <v>",HTeam= "</v>
      </c>
      <c r="T674" t="str">
        <f>Matchs!J675</f>
        <v>Togo</v>
      </c>
      <c r="U674" s="6" t="str">
        <f t="shared" si="200"/>
        <v>",HGoal=</v>
      </c>
      <c r="V674">
        <f>Matchs!K675</f>
        <v>0</v>
      </c>
      <c r="W674" s="6" t="str">
        <f t="shared" si="201"/>
        <v>,GGoal=</v>
      </c>
      <c r="X674">
        <f>Matchs!L675</f>
        <v>2</v>
      </c>
      <c r="Y674" s="6" t="str">
        <f t="shared" si="202"/>
        <v>,GTeam= "</v>
      </c>
      <c r="Z674" t="str">
        <f>Matchs!M675</f>
        <v>Switzerland</v>
      </c>
      <c r="AA674" s="6" t="str">
        <f t="shared" si="203"/>
        <v>",WinNote="</v>
      </c>
      <c r="AB674" t="str">
        <f>IF(Matchs!N675="","",Matchs!N675)</f>
        <v/>
      </c>
      <c r="AC674" s="6" t="str">
        <f t="shared" si="204"/>
        <v xml:space="preserve">",Stadium=" </v>
      </c>
      <c r="AD674" s="11" t="str">
        <f>Matchs!O675</f>
        <v xml:space="preserve">Signal Iduna Park </v>
      </c>
      <c r="AE674" s="6" t="str">
        <f t="shared" si="205"/>
        <v>",Referee= "</v>
      </c>
      <c r="AF674" s="11" t="str">
        <f>Matchs!P675</f>
        <v xml:space="preserve">Carlos Amarilla </v>
      </c>
      <c r="AG674" s="6" t="str">
        <f t="shared" si="206"/>
        <v xml:space="preserve">",Visistors= </v>
      </c>
      <c r="AH674" s="11">
        <f>Matchs!Q675</f>
        <v>65000</v>
      </c>
      <c r="AI674" s="11" t="str">
        <f t="shared" si="207"/>
        <v>,Status= "</v>
      </c>
      <c r="AJ674" s="11" t="str">
        <f>Matchs!R675</f>
        <v>Finished</v>
      </c>
      <c r="AK674" t="str">
        <f t="shared" si="208"/>
        <v>" },</v>
      </c>
    </row>
    <row r="675" spans="1:37" x14ac:dyDescent="0.25">
      <c r="A675" t="str">
        <f t="shared" si="190"/>
        <v>new Match { MatchId= "</v>
      </c>
      <c r="B675" t="str">
        <f>Matchs!A676</f>
        <v>FIFAWC2006-31</v>
      </c>
      <c r="C675" t="str">
        <f t="shared" si="191"/>
        <v>",MatchNumer=</v>
      </c>
      <c r="D675">
        <f>Matchs!B676</f>
        <v>31</v>
      </c>
      <c r="E675" t="str">
        <f t="shared" si="192"/>
        <v>,DateMatch=DateTime.Parse("</v>
      </c>
      <c r="F675" s="3">
        <f>Matchs!C676</f>
        <v>38887</v>
      </c>
      <c r="G675" s="10" t="str">
        <f t="shared" si="193"/>
        <v>"),TimeMatch=TimeSpan.Parse("</v>
      </c>
      <c r="H675" s="9">
        <f>Matchs!D676</f>
        <v>0.95833333333333337</v>
      </c>
      <c r="I675" t="str">
        <f t="shared" si="194"/>
        <v>"),MatchYear=</v>
      </c>
      <c r="J675">
        <f>Matchs!E676</f>
        <v>2006</v>
      </c>
      <c r="K675" t="str">
        <f t="shared" si="195"/>
        <v>, SeasonId= "</v>
      </c>
      <c r="L675" t="str">
        <f>Matchs!F676</f>
        <v>FIFAWC2006</v>
      </c>
      <c r="M675" t="str">
        <f t="shared" si="196"/>
        <v>",Round= "</v>
      </c>
      <c r="N675" t="str">
        <f>Matchs!G676</f>
        <v>Final Round</v>
      </c>
      <c r="O675" s="6" t="str">
        <f t="shared" si="197"/>
        <v>",Stage= "</v>
      </c>
      <c r="P675" t="str">
        <f>Matchs!H676</f>
        <v>Group</v>
      </c>
      <c r="Q675" s="6" t="str">
        <f t="shared" si="198"/>
        <v>",SubStage= "</v>
      </c>
      <c r="R675" t="str">
        <f>Matchs!I676</f>
        <v xml:space="preserve">Group H </v>
      </c>
      <c r="S675" s="6" t="str">
        <f t="shared" si="199"/>
        <v>",HTeam= "</v>
      </c>
      <c r="T675" t="str">
        <f>Matchs!J676</f>
        <v>Saudi Arabia</v>
      </c>
      <c r="U675" s="6" t="str">
        <f t="shared" si="200"/>
        <v>",HGoal=</v>
      </c>
      <c r="V675">
        <f>Matchs!K676</f>
        <v>0</v>
      </c>
      <c r="W675" s="6" t="str">
        <f t="shared" si="201"/>
        <v>,GGoal=</v>
      </c>
      <c r="X675">
        <f>Matchs!L676</f>
        <v>4</v>
      </c>
      <c r="Y675" s="6" t="str">
        <f t="shared" si="202"/>
        <v>,GTeam= "</v>
      </c>
      <c r="Z675" t="str">
        <f>Matchs!M676</f>
        <v>Ukraine</v>
      </c>
      <c r="AA675" s="6" t="str">
        <f t="shared" si="203"/>
        <v>",WinNote="</v>
      </c>
      <c r="AB675" t="str">
        <f>IF(Matchs!N676="","",Matchs!N676)</f>
        <v>Saudi Arabia</v>
      </c>
      <c r="AC675" s="6" t="str">
        <f t="shared" si="204"/>
        <v xml:space="preserve">",Stadium=" </v>
      </c>
      <c r="AD675" s="11" t="str">
        <f>Matchs!O676</f>
        <v xml:space="preserve">Volksparkstadion </v>
      </c>
      <c r="AE675" s="6" t="str">
        <f t="shared" si="205"/>
        <v>",Referee= "</v>
      </c>
      <c r="AF675" s="11" t="str">
        <f>Matchs!P676</f>
        <v xml:space="preserve">Graham Poll </v>
      </c>
      <c r="AG675" s="6" t="str">
        <f t="shared" si="206"/>
        <v xml:space="preserve">",Visistors= </v>
      </c>
      <c r="AH675" s="11">
        <f>Matchs!Q676</f>
        <v>50000</v>
      </c>
      <c r="AI675" s="11" t="str">
        <f t="shared" si="207"/>
        <v>,Status= "</v>
      </c>
      <c r="AJ675" s="11" t="str">
        <f>Matchs!R676</f>
        <v>Finished</v>
      </c>
      <c r="AK675" t="str">
        <f t="shared" si="208"/>
        <v>" },</v>
      </c>
    </row>
    <row r="676" spans="1:37" x14ac:dyDescent="0.25">
      <c r="A676" t="str">
        <f t="shared" si="190"/>
        <v>new Match { MatchId= "</v>
      </c>
      <c r="B676" t="str">
        <f>Matchs!A677</f>
        <v>FIFAWC2006-32</v>
      </c>
      <c r="C676" t="str">
        <f t="shared" si="191"/>
        <v>",MatchNumer=</v>
      </c>
      <c r="D676">
        <f>Matchs!B677</f>
        <v>32</v>
      </c>
      <c r="E676" t="str">
        <f t="shared" si="192"/>
        <v>,DateMatch=DateTime.Parse("</v>
      </c>
      <c r="F676" s="3">
        <f>Matchs!C677</f>
        <v>38888</v>
      </c>
      <c r="G676" s="10" t="str">
        <f t="shared" si="193"/>
        <v>"),TimeMatch=TimeSpan.Parse("</v>
      </c>
      <c r="H676" s="9">
        <f>Matchs!D677</f>
        <v>8.3333333333333329E-2</v>
      </c>
      <c r="I676" t="str">
        <f t="shared" si="194"/>
        <v>"),MatchYear=</v>
      </c>
      <c r="J676">
        <f>Matchs!E677</f>
        <v>2006</v>
      </c>
      <c r="K676" t="str">
        <f t="shared" si="195"/>
        <v>, SeasonId= "</v>
      </c>
      <c r="L676" t="str">
        <f>Matchs!F677</f>
        <v>FIFAWC2006</v>
      </c>
      <c r="M676" t="str">
        <f t="shared" si="196"/>
        <v>",Round= "</v>
      </c>
      <c r="N676" t="str">
        <f>Matchs!G677</f>
        <v>Final Round</v>
      </c>
      <c r="O676" s="6" t="str">
        <f t="shared" si="197"/>
        <v>",Stage= "</v>
      </c>
      <c r="P676" t="str">
        <f>Matchs!H677</f>
        <v>Group</v>
      </c>
      <c r="Q676" s="6" t="str">
        <f t="shared" si="198"/>
        <v>",SubStage= "</v>
      </c>
      <c r="R676" t="str">
        <f>Matchs!I677</f>
        <v xml:space="preserve">Group H </v>
      </c>
      <c r="S676" s="6" t="str">
        <f t="shared" si="199"/>
        <v>",HTeam= "</v>
      </c>
      <c r="T676" t="str">
        <f>Matchs!J677</f>
        <v>Spain</v>
      </c>
      <c r="U676" s="6" t="str">
        <f t="shared" si="200"/>
        <v>",HGoal=</v>
      </c>
      <c r="V676">
        <f>Matchs!K677</f>
        <v>3</v>
      </c>
      <c r="W676" s="6" t="str">
        <f t="shared" si="201"/>
        <v>,GGoal=</v>
      </c>
      <c r="X676">
        <f>Matchs!L677</f>
        <v>1</v>
      </c>
      <c r="Y676" s="6" t="str">
        <f t="shared" si="202"/>
        <v>,GTeam= "</v>
      </c>
      <c r="Z676" t="str">
        <f>Matchs!M677</f>
        <v>Tunisia</v>
      </c>
      <c r="AA676" s="6" t="str">
        <f t="shared" si="203"/>
        <v>",WinNote="</v>
      </c>
      <c r="AB676" t="str">
        <f>IF(Matchs!N677="","",Matchs!N677)</f>
        <v/>
      </c>
      <c r="AC676" s="6" t="str">
        <f t="shared" si="204"/>
        <v xml:space="preserve">",Stadium=" </v>
      </c>
      <c r="AD676" s="11" t="str">
        <f>Matchs!O677</f>
        <v xml:space="preserve">Mercedes-Benz Arena </v>
      </c>
      <c r="AE676" s="6" t="str">
        <f t="shared" si="205"/>
        <v>",Referee= "</v>
      </c>
      <c r="AF676" s="11" t="str">
        <f>Matchs!P677</f>
        <v xml:space="preserve">Carlos Simon </v>
      </c>
      <c r="AG676" s="6" t="str">
        <f t="shared" si="206"/>
        <v xml:space="preserve">",Visistors= </v>
      </c>
      <c r="AH676" s="11">
        <f>Matchs!Q677</f>
        <v>52000</v>
      </c>
      <c r="AI676" s="11" t="str">
        <f t="shared" si="207"/>
        <v>,Status= "</v>
      </c>
      <c r="AJ676" s="11" t="str">
        <f>Matchs!R677</f>
        <v>Finished</v>
      </c>
      <c r="AK676" t="str">
        <f t="shared" si="208"/>
        <v>" },</v>
      </c>
    </row>
    <row r="677" spans="1:37" x14ac:dyDescent="0.25">
      <c r="A677" t="str">
        <f t="shared" si="190"/>
        <v>new Match { MatchId= "</v>
      </c>
      <c r="B677" t="str">
        <f>Matchs!A678</f>
        <v>FIFAWC2006-33</v>
      </c>
      <c r="C677" t="str">
        <f t="shared" si="191"/>
        <v>",MatchNumer=</v>
      </c>
      <c r="D677">
        <f>Matchs!B678</f>
        <v>33</v>
      </c>
      <c r="E677" t="str">
        <f t="shared" si="192"/>
        <v>,DateMatch=DateTime.Parse("</v>
      </c>
      <c r="F677" s="3">
        <f>Matchs!C678</f>
        <v>38888</v>
      </c>
      <c r="G677" s="10" t="str">
        <f t="shared" si="193"/>
        <v>"),TimeMatch=TimeSpan.Parse("</v>
      </c>
      <c r="H677" s="9">
        <f>Matchs!D678</f>
        <v>0.83333333333333337</v>
      </c>
      <c r="I677" t="str">
        <f t="shared" si="194"/>
        <v>"),MatchYear=</v>
      </c>
      <c r="J677">
        <f>Matchs!E678</f>
        <v>2006</v>
      </c>
      <c r="K677" t="str">
        <f t="shared" si="195"/>
        <v>, SeasonId= "</v>
      </c>
      <c r="L677" t="str">
        <f>Matchs!F678</f>
        <v>FIFAWC2006</v>
      </c>
      <c r="M677" t="str">
        <f t="shared" si="196"/>
        <v>",Round= "</v>
      </c>
      <c r="N677" t="str">
        <f>Matchs!G678</f>
        <v>Final Round</v>
      </c>
      <c r="O677" s="6" t="str">
        <f t="shared" si="197"/>
        <v>",Stage= "</v>
      </c>
      <c r="P677" t="str">
        <f>Matchs!H678</f>
        <v>Group</v>
      </c>
      <c r="Q677" s="6" t="str">
        <f t="shared" si="198"/>
        <v>",SubStage= "</v>
      </c>
      <c r="R677" t="str">
        <f>Matchs!I678</f>
        <v xml:space="preserve">Group A </v>
      </c>
      <c r="S677" s="6" t="str">
        <f t="shared" si="199"/>
        <v>",HTeam= "</v>
      </c>
      <c r="T677" t="str">
        <f>Matchs!J678</f>
        <v>Ecuador</v>
      </c>
      <c r="U677" s="6" t="str">
        <f t="shared" si="200"/>
        <v>",HGoal=</v>
      </c>
      <c r="V677">
        <f>Matchs!K678</f>
        <v>0</v>
      </c>
      <c r="W677" s="6" t="str">
        <f t="shared" si="201"/>
        <v>,GGoal=</v>
      </c>
      <c r="X677">
        <f>Matchs!L678</f>
        <v>3</v>
      </c>
      <c r="Y677" s="6" t="str">
        <f t="shared" si="202"/>
        <v>,GTeam= "</v>
      </c>
      <c r="Z677" t="str">
        <f>Matchs!M678</f>
        <v>Germany</v>
      </c>
      <c r="AA677" s="6" t="str">
        <f t="shared" si="203"/>
        <v>",WinNote="</v>
      </c>
      <c r="AB677" t="str">
        <f>IF(Matchs!N678="","",Matchs!N678)</f>
        <v/>
      </c>
      <c r="AC677" s="6" t="str">
        <f t="shared" si="204"/>
        <v xml:space="preserve">",Stadium=" </v>
      </c>
      <c r="AD677" s="11" t="str">
        <f>Matchs!O678</f>
        <v xml:space="preserve">Olympiastadion </v>
      </c>
      <c r="AE677" s="6" t="str">
        <f t="shared" si="205"/>
        <v>",Referee= "</v>
      </c>
      <c r="AF677" s="11" t="str">
        <f>Matchs!P678</f>
        <v xml:space="preserve">Valentin Ivanov </v>
      </c>
      <c r="AG677" s="6" t="str">
        <f t="shared" si="206"/>
        <v xml:space="preserve">",Visistors= </v>
      </c>
      <c r="AH677" s="11">
        <f>Matchs!Q678</f>
        <v>72000</v>
      </c>
      <c r="AI677" s="11" t="str">
        <f t="shared" si="207"/>
        <v>,Status= "</v>
      </c>
      <c r="AJ677" s="11" t="str">
        <f>Matchs!R678</f>
        <v>Finished</v>
      </c>
      <c r="AK677" t="str">
        <f t="shared" si="208"/>
        <v>" },</v>
      </c>
    </row>
    <row r="678" spans="1:37" x14ac:dyDescent="0.25">
      <c r="A678" t="str">
        <f t="shared" si="190"/>
        <v>new Match { MatchId= "</v>
      </c>
      <c r="B678" t="str">
        <f>Matchs!A679</f>
        <v>FIFAWC2006-34</v>
      </c>
      <c r="C678" t="str">
        <f t="shared" si="191"/>
        <v>",MatchNumer=</v>
      </c>
      <c r="D678">
        <f>Matchs!B679</f>
        <v>34</v>
      </c>
      <c r="E678" t="str">
        <f t="shared" si="192"/>
        <v>,DateMatch=DateTime.Parse("</v>
      </c>
      <c r="F678" s="3">
        <f>Matchs!C679</f>
        <v>38888</v>
      </c>
      <c r="G678" s="10" t="str">
        <f t="shared" si="193"/>
        <v>"),TimeMatch=TimeSpan.Parse("</v>
      </c>
      <c r="H678" s="9">
        <f>Matchs!D679</f>
        <v>0.95833333333333337</v>
      </c>
      <c r="I678" t="str">
        <f t="shared" si="194"/>
        <v>"),MatchYear=</v>
      </c>
      <c r="J678">
        <f>Matchs!E679</f>
        <v>2006</v>
      </c>
      <c r="K678" t="str">
        <f t="shared" si="195"/>
        <v>, SeasonId= "</v>
      </c>
      <c r="L678" t="str">
        <f>Matchs!F679</f>
        <v>FIFAWC2006</v>
      </c>
      <c r="M678" t="str">
        <f t="shared" si="196"/>
        <v>",Round= "</v>
      </c>
      <c r="N678" t="str">
        <f>Matchs!G679</f>
        <v>Final Round</v>
      </c>
      <c r="O678" s="6" t="str">
        <f t="shared" si="197"/>
        <v>",Stage= "</v>
      </c>
      <c r="P678" t="str">
        <f>Matchs!H679</f>
        <v>Group</v>
      </c>
      <c r="Q678" s="6" t="str">
        <f t="shared" si="198"/>
        <v>",SubStage= "</v>
      </c>
      <c r="R678" t="str">
        <f>Matchs!I679</f>
        <v xml:space="preserve">Group A </v>
      </c>
      <c r="S678" s="6" t="str">
        <f t="shared" si="199"/>
        <v>",HTeam= "</v>
      </c>
      <c r="T678" t="str">
        <f>Matchs!J679</f>
        <v>Costa Rica</v>
      </c>
      <c r="U678" s="6" t="str">
        <f t="shared" si="200"/>
        <v>",HGoal=</v>
      </c>
      <c r="V678">
        <f>Matchs!K679</f>
        <v>1</v>
      </c>
      <c r="W678" s="6" t="str">
        <f t="shared" si="201"/>
        <v>,GGoal=</v>
      </c>
      <c r="X678">
        <f>Matchs!L679</f>
        <v>2</v>
      </c>
      <c r="Y678" s="6" t="str">
        <f t="shared" si="202"/>
        <v>,GTeam= "</v>
      </c>
      <c r="Z678" t="str">
        <f>Matchs!M679</f>
        <v>Poland</v>
      </c>
      <c r="AA678" s="6" t="str">
        <f t="shared" si="203"/>
        <v>",WinNote="</v>
      </c>
      <c r="AB678" t="str">
        <f>IF(Matchs!N679="","",Matchs!N679)</f>
        <v/>
      </c>
      <c r="AC678" s="6" t="str">
        <f t="shared" si="204"/>
        <v xml:space="preserve">",Stadium=" </v>
      </c>
      <c r="AD678" s="11" t="str">
        <f>Matchs!O679</f>
        <v xml:space="preserve">AWD-Arena </v>
      </c>
      <c r="AE678" s="6" t="str">
        <f t="shared" si="205"/>
        <v>",Referee= "</v>
      </c>
      <c r="AF678" s="11" t="str">
        <f>Matchs!P679</f>
        <v xml:space="preserve">Shamsul Maidin </v>
      </c>
      <c r="AG678" s="6" t="str">
        <f t="shared" si="206"/>
        <v xml:space="preserve">",Visistors= </v>
      </c>
      <c r="AH678" s="11">
        <f>Matchs!Q679</f>
        <v>43000</v>
      </c>
      <c r="AI678" s="11" t="str">
        <f t="shared" si="207"/>
        <v>,Status= "</v>
      </c>
      <c r="AJ678" s="11" t="str">
        <f>Matchs!R679</f>
        <v>Finished</v>
      </c>
      <c r="AK678" t="str">
        <f t="shared" si="208"/>
        <v>" },</v>
      </c>
    </row>
    <row r="679" spans="1:37" x14ac:dyDescent="0.25">
      <c r="A679" t="str">
        <f t="shared" si="190"/>
        <v>new Match { MatchId= "</v>
      </c>
      <c r="B679" t="str">
        <f>Matchs!A680</f>
        <v>FIFAWC2006-35</v>
      </c>
      <c r="C679" t="str">
        <f t="shared" si="191"/>
        <v>",MatchNumer=</v>
      </c>
      <c r="D679">
        <f>Matchs!B680</f>
        <v>35</v>
      </c>
      <c r="E679" t="str">
        <f t="shared" si="192"/>
        <v>,DateMatch=DateTime.Parse("</v>
      </c>
      <c r="F679" s="3">
        <f>Matchs!C680</f>
        <v>38889</v>
      </c>
      <c r="G679" s="10" t="str">
        <f t="shared" si="193"/>
        <v>"),TimeMatch=TimeSpan.Parse("</v>
      </c>
      <c r="H679" s="9">
        <f>Matchs!D680</f>
        <v>8.3333333333333329E-2</v>
      </c>
      <c r="I679" t="str">
        <f t="shared" si="194"/>
        <v>"),MatchYear=</v>
      </c>
      <c r="J679">
        <f>Matchs!E680</f>
        <v>2006</v>
      </c>
      <c r="K679" t="str">
        <f t="shared" si="195"/>
        <v>, SeasonId= "</v>
      </c>
      <c r="L679" t="str">
        <f>Matchs!F680</f>
        <v>FIFAWC2006</v>
      </c>
      <c r="M679" t="str">
        <f t="shared" si="196"/>
        <v>",Round= "</v>
      </c>
      <c r="N679" t="str">
        <f>Matchs!G680</f>
        <v>Final Round</v>
      </c>
      <c r="O679" s="6" t="str">
        <f t="shared" si="197"/>
        <v>",Stage= "</v>
      </c>
      <c r="P679" t="str">
        <f>Matchs!H680</f>
        <v>Group</v>
      </c>
      <c r="Q679" s="6" t="str">
        <f t="shared" si="198"/>
        <v>",SubStage= "</v>
      </c>
      <c r="R679" t="str">
        <f>Matchs!I680</f>
        <v xml:space="preserve">Group B </v>
      </c>
      <c r="S679" s="6" t="str">
        <f t="shared" si="199"/>
        <v>",HTeam= "</v>
      </c>
      <c r="T679" t="str">
        <f>Matchs!J680</f>
        <v>Paraguay</v>
      </c>
      <c r="U679" s="6" t="str">
        <f t="shared" si="200"/>
        <v>",HGoal=</v>
      </c>
      <c r="V679">
        <f>Matchs!K680</f>
        <v>2</v>
      </c>
      <c r="W679" s="6" t="str">
        <f t="shared" si="201"/>
        <v>,GGoal=</v>
      </c>
      <c r="X679">
        <f>Matchs!L680</f>
        <v>0</v>
      </c>
      <c r="Y679" s="6" t="str">
        <f t="shared" si="202"/>
        <v>,GTeam= "</v>
      </c>
      <c r="Z679" t="str">
        <f>Matchs!M680</f>
        <v>Trinidad and Tobago</v>
      </c>
      <c r="AA679" s="6" t="str">
        <f t="shared" si="203"/>
        <v>",WinNote="</v>
      </c>
      <c r="AB679" t="str">
        <f>IF(Matchs!N680="","",Matchs!N680)</f>
        <v/>
      </c>
      <c r="AC679" s="6" t="str">
        <f t="shared" si="204"/>
        <v xml:space="preserve">",Stadium=" </v>
      </c>
      <c r="AD679" s="11" t="str">
        <f>Matchs!O680</f>
        <v xml:space="preserve">Fritz-Walter-Stadion </v>
      </c>
      <c r="AE679" s="6" t="str">
        <f t="shared" si="205"/>
        <v>",Referee= "</v>
      </c>
      <c r="AF679" s="11" t="str">
        <f>Matchs!P680</f>
        <v xml:space="preserve">Roberto Rosetti </v>
      </c>
      <c r="AG679" s="6" t="str">
        <f t="shared" si="206"/>
        <v xml:space="preserve">",Visistors= </v>
      </c>
      <c r="AH679" s="11">
        <f>Matchs!Q680</f>
        <v>46000</v>
      </c>
      <c r="AI679" s="11" t="str">
        <f t="shared" si="207"/>
        <v>,Status= "</v>
      </c>
      <c r="AJ679" s="11" t="str">
        <f>Matchs!R680</f>
        <v>Finished</v>
      </c>
      <c r="AK679" t="str">
        <f t="shared" si="208"/>
        <v>" },</v>
      </c>
    </row>
    <row r="680" spans="1:37" x14ac:dyDescent="0.25">
      <c r="A680" t="str">
        <f t="shared" si="190"/>
        <v>new Match { MatchId= "</v>
      </c>
      <c r="B680" t="str">
        <f>Matchs!A681</f>
        <v>FIFAWC2006-36</v>
      </c>
      <c r="C680" t="str">
        <f t="shared" si="191"/>
        <v>",MatchNumer=</v>
      </c>
      <c r="D680">
        <f>Matchs!B681</f>
        <v>36</v>
      </c>
      <c r="E680" t="str">
        <f t="shared" si="192"/>
        <v>,DateMatch=DateTime.Parse("</v>
      </c>
      <c r="F680" s="3">
        <f>Matchs!C681</f>
        <v>38889</v>
      </c>
      <c r="G680" s="10" t="str">
        <f t="shared" si="193"/>
        <v>"),TimeMatch=TimeSpan.Parse("</v>
      </c>
      <c r="H680" s="9">
        <f>Matchs!D681</f>
        <v>8.3333333333333329E-2</v>
      </c>
      <c r="I680" t="str">
        <f t="shared" si="194"/>
        <v>"),MatchYear=</v>
      </c>
      <c r="J680">
        <f>Matchs!E681</f>
        <v>2006</v>
      </c>
      <c r="K680" t="str">
        <f t="shared" si="195"/>
        <v>, SeasonId= "</v>
      </c>
      <c r="L680" t="str">
        <f>Matchs!F681</f>
        <v>FIFAWC2006</v>
      </c>
      <c r="M680" t="str">
        <f t="shared" si="196"/>
        <v>",Round= "</v>
      </c>
      <c r="N680" t="str">
        <f>Matchs!G681</f>
        <v>Final Round</v>
      </c>
      <c r="O680" s="6" t="str">
        <f t="shared" si="197"/>
        <v>",Stage= "</v>
      </c>
      <c r="P680" t="str">
        <f>Matchs!H681</f>
        <v>Group</v>
      </c>
      <c r="Q680" s="6" t="str">
        <f t="shared" si="198"/>
        <v>",SubStage= "</v>
      </c>
      <c r="R680" t="str">
        <f>Matchs!I681</f>
        <v xml:space="preserve">Group B </v>
      </c>
      <c r="S680" s="6" t="str">
        <f t="shared" si="199"/>
        <v>",HTeam= "</v>
      </c>
      <c r="T680" t="str">
        <f>Matchs!J681</f>
        <v>Sweden</v>
      </c>
      <c r="U680" s="6" t="str">
        <f t="shared" si="200"/>
        <v>",HGoal=</v>
      </c>
      <c r="V680">
        <f>Matchs!K681</f>
        <v>2</v>
      </c>
      <c r="W680" s="6" t="str">
        <f t="shared" si="201"/>
        <v>,GGoal=</v>
      </c>
      <c r="X680">
        <f>Matchs!L681</f>
        <v>2</v>
      </c>
      <c r="Y680" s="6" t="str">
        <f t="shared" si="202"/>
        <v>,GTeam= "</v>
      </c>
      <c r="Z680" t="str">
        <f>Matchs!M681</f>
        <v>England</v>
      </c>
      <c r="AA680" s="6" t="str">
        <f t="shared" si="203"/>
        <v>",WinNote="</v>
      </c>
      <c r="AB680" t="str">
        <f>IF(Matchs!N681="","",Matchs!N681)</f>
        <v/>
      </c>
      <c r="AC680" s="6" t="str">
        <f t="shared" si="204"/>
        <v xml:space="preserve">",Stadium=" </v>
      </c>
      <c r="AD680" s="11" t="str">
        <f>Matchs!O681</f>
        <v xml:space="preserve">RheinEnergieStadion </v>
      </c>
      <c r="AE680" s="6" t="str">
        <f t="shared" si="205"/>
        <v>",Referee= "</v>
      </c>
      <c r="AF680" s="11" t="str">
        <f>Matchs!P681</f>
        <v xml:space="preserve">Massimo Busacca </v>
      </c>
      <c r="AG680" s="6" t="str">
        <f t="shared" si="206"/>
        <v xml:space="preserve">",Visistors= </v>
      </c>
      <c r="AH680" s="11">
        <f>Matchs!Q681</f>
        <v>45000</v>
      </c>
      <c r="AI680" s="11" t="str">
        <f t="shared" si="207"/>
        <v>,Status= "</v>
      </c>
      <c r="AJ680" s="11" t="str">
        <f>Matchs!R681</f>
        <v>Finished</v>
      </c>
      <c r="AK680" t="str">
        <f t="shared" si="208"/>
        <v>" },</v>
      </c>
    </row>
    <row r="681" spans="1:37" x14ac:dyDescent="0.25">
      <c r="A681" t="str">
        <f t="shared" si="190"/>
        <v>new Match { MatchId= "</v>
      </c>
      <c r="B681" t="str">
        <f>Matchs!A682</f>
        <v>FIFAWC2006-37</v>
      </c>
      <c r="C681" t="str">
        <f t="shared" si="191"/>
        <v>",MatchNumer=</v>
      </c>
      <c r="D681">
        <f>Matchs!B682</f>
        <v>37</v>
      </c>
      <c r="E681" t="str">
        <f t="shared" si="192"/>
        <v>,DateMatch=DateTime.Parse("</v>
      </c>
      <c r="F681" s="3">
        <f>Matchs!C682</f>
        <v>38889</v>
      </c>
      <c r="G681" s="10" t="str">
        <f t="shared" si="193"/>
        <v>"),TimeMatch=TimeSpan.Parse("</v>
      </c>
      <c r="H681" s="9">
        <f>Matchs!D682</f>
        <v>0.875</v>
      </c>
      <c r="I681" t="str">
        <f t="shared" si="194"/>
        <v>"),MatchYear=</v>
      </c>
      <c r="J681">
        <f>Matchs!E682</f>
        <v>2006</v>
      </c>
      <c r="K681" t="str">
        <f t="shared" si="195"/>
        <v>, SeasonId= "</v>
      </c>
      <c r="L681" t="str">
        <f>Matchs!F682</f>
        <v>FIFAWC2006</v>
      </c>
      <c r="M681" t="str">
        <f t="shared" si="196"/>
        <v>",Round= "</v>
      </c>
      <c r="N681" t="str">
        <f>Matchs!G682</f>
        <v>Final Round</v>
      </c>
      <c r="O681" s="6" t="str">
        <f t="shared" si="197"/>
        <v>",Stage= "</v>
      </c>
      <c r="P681" t="str">
        <f>Matchs!H682</f>
        <v>Group</v>
      </c>
      <c r="Q681" s="6" t="str">
        <f t="shared" si="198"/>
        <v>",SubStage= "</v>
      </c>
      <c r="R681" t="str">
        <f>Matchs!I682</f>
        <v xml:space="preserve">Group D </v>
      </c>
      <c r="S681" s="6" t="str">
        <f t="shared" si="199"/>
        <v>",HTeam= "</v>
      </c>
      <c r="T681" t="str">
        <f>Matchs!J682</f>
        <v>Iran</v>
      </c>
      <c r="U681" s="6" t="str">
        <f t="shared" si="200"/>
        <v>",HGoal=</v>
      </c>
      <c r="V681">
        <f>Matchs!K682</f>
        <v>1</v>
      </c>
      <c r="W681" s="6" t="str">
        <f t="shared" si="201"/>
        <v>,GGoal=</v>
      </c>
      <c r="X681">
        <f>Matchs!L682</f>
        <v>1</v>
      </c>
      <c r="Y681" s="6" t="str">
        <f t="shared" si="202"/>
        <v>,GTeam= "</v>
      </c>
      <c r="Z681" t="str">
        <f>Matchs!M682</f>
        <v>Angola</v>
      </c>
      <c r="AA681" s="6" t="str">
        <f t="shared" si="203"/>
        <v>",WinNote="</v>
      </c>
      <c r="AB681" t="str">
        <f>IF(Matchs!N682="","",Matchs!N682)</f>
        <v/>
      </c>
      <c r="AC681" s="6" t="str">
        <f t="shared" si="204"/>
        <v xml:space="preserve">",Stadium=" </v>
      </c>
      <c r="AD681" s="11" t="str">
        <f>Matchs!O682</f>
        <v xml:space="preserve">Red Bull Arena (Leipzig) </v>
      </c>
      <c r="AE681" s="6" t="str">
        <f t="shared" si="205"/>
        <v>",Referee= "</v>
      </c>
      <c r="AF681" s="11" t="str">
        <f>Matchs!P682</f>
        <v xml:space="preserve">Mark Shield </v>
      </c>
      <c r="AG681" s="6" t="str">
        <f t="shared" si="206"/>
        <v xml:space="preserve">",Visistors= </v>
      </c>
      <c r="AH681" s="11">
        <f>Matchs!Q682</f>
        <v>38000</v>
      </c>
      <c r="AI681" s="11" t="str">
        <f t="shared" si="207"/>
        <v>,Status= "</v>
      </c>
      <c r="AJ681" s="11" t="str">
        <f>Matchs!R682</f>
        <v>Finished</v>
      </c>
      <c r="AK681" t="str">
        <f t="shared" si="208"/>
        <v>" },</v>
      </c>
    </row>
    <row r="682" spans="1:37" x14ac:dyDescent="0.25">
      <c r="A682" t="str">
        <f t="shared" si="190"/>
        <v>new Match { MatchId= "</v>
      </c>
      <c r="B682" t="str">
        <f>Matchs!A683</f>
        <v>FIFAWC2006-38</v>
      </c>
      <c r="C682" t="str">
        <f t="shared" si="191"/>
        <v>",MatchNumer=</v>
      </c>
      <c r="D682">
        <f>Matchs!B683</f>
        <v>38</v>
      </c>
      <c r="E682" t="str">
        <f t="shared" si="192"/>
        <v>,DateMatch=DateTime.Parse("</v>
      </c>
      <c r="F682" s="3">
        <f>Matchs!C683</f>
        <v>38889</v>
      </c>
      <c r="G682" s="10" t="str">
        <f t="shared" si="193"/>
        <v>"),TimeMatch=TimeSpan.Parse("</v>
      </c>
      <c r="H682" s="9">
        <f>Matchs!D683</f>
        <v>0.875</v>
      </c>
      <c r="I682" t="str">
        <f t="shared" si="194"/>
        <v>"),MatchYear=</v>
      </c>
      <c r="J682">
        <f>Matchs!E683</f>
        <v>2006</v>
      </c>
      <c r="K682" t="str">
        <f t="shared" si="195"/>
        <v>, SeasonId= "</v>
      </c>
      <c r="L682" t="str">
        <f>Matchs!F683</f>
        <v>FIFAWC2006</v>
      </c>
      <c r="M682" t="str">
        <f t="shared" si="196"/>
        <v>",Round= "</v>
      </c>
      <c r="N682" t="str">
        <f>Matchs!G683</f>
        <v>Final Round</v>
      </c>
      <c r="O682" s="6" t="str">
        <f t="shared" si="197"/>
        <v>",Stage= "</v>
      </c>
      <c r="P682" t="str">
        <f>Matchs!H683</f>
        <v>Group</v>
      </c>
      <c r="Q682" s="6" t="str">
        <f t="shared" si="198"/>
        <v>",SubStage= "</v>
      </c>
      <c r="R682" t="str">
        <f>Matchs!I683</f>
        <v xml:space="preserve">Group D </v>
      </c>
      <c r="S682" s="6" t="str">
        <f t="shared" si="199"/>
        <v>",HTeam= "</v>
      </c>
      <c r="T682" t="str">
        <f>Matchs!J683</f>
        <v>Portugal</v>
      </c>
      <c r="U682" s="6" t="str">
        <f t="shared" si="200"/>
        <v>",HGoal=</v>
      </c>
      <c r="V682">
        <f>Matchs!K683</f>
        <v>2</v>
      </c>
      <c r="W682" s="6" t="str">
        <f t="shared" si="201"/>
        <v>,GGoal=</v>
      </c>
      <c r="X682">
        <f>Matchs!L683</f>
        <v>1</v>
      </c>
      <c r="Y682" s="6" t="str">
        <f t="shared" si="202"/>
        <v>,GTeam= "</v>
      </c>
      <c r="Z682" t="str">
        <f>Matchs!M683</f>
        <v>Mexico</v>
      </c>
      <c r="AA682" s="6" t="str">
        <f t="shared" si="203"/>
        <v>",WinNote="</v>
      </c>
      <c r="AB682" t="str">
        <f>IF(Matchs!N683="","",Matchs!N683)</f>
        <v/>
      </c>
      <c r="AC682" s="6" t="str">
        <f t="shared" si="204"/>
        <v xml:space="preserve">",Stadium=" </v>
      </c>
      <c r="AD682" s="11" t="str">
        <f>Matchs!O683</f>
        <v xml:space="preserve">Veltins-Arena </v>
      </c>
      <c r="AE682" s="6" t="str">
        <f t="shared" si="205"/>
        <v>",Referee= "</v>
      </c>
      <c r="AF682" s="11" t="str">
        <f>Matchs!P683</f>
        <v xml:space="preserve">Lubos Michel 52000 </v>
      </c>
      <c r="AG682" s="6" t="str">
        <f t="shared" si="206"/>
        <v xml:space="preserve">",Visistors= </v>
      </c>
      <c r="AH682" s="11">
        <f>Matchs!Q683</f>
        <v>52000</v>
      </c>
      <c r="AI682" s="11" t="str">
        <f t="shared" si="207"/>
        <v>,Status= "</v>
      </c>
      <c r="AJ682" s="11" t="str">
        <f>Matchs!R683</f>
        <v>Finished</v>
      </c>
      <c r="AK682" t="str">
        <f t="shared" si="208"/>
        <v>" },</v>
      </c>
    </row>
    <row r="683" spans="1:37" x14ac:dyDescent="0.25">
      <c r="A683" t="str">
        <f t="shared" si="190"/>
        <v>new Match { MatchId= "</v>
      </c>
      <c r="B683" t="str">
        <f>Matchs!A684</f>
        <v>FIFAWC2006-39</v>
      </c>
      <c r="C683" t="str">
        <f t="shared" si="191"/>
        <v>",MatchNumer=</v>
      </c>
      <c r="D683">
        <f>Matchs!B684</f>
        <v>39</v>
      </c>
      <c r="E683" t="str">
        <f t="shared" si="192"/>
        <v>,DateMatch=DateTime.Parse("</v>
      </c>
      <c r="F683" s="3">
        <f>Matchs!C684</f>
        <v>38890</v>
      </c>
      <c r="G683" s="10" t="str">
        <f t="shared" si="193"/>
        <v>"),TimeMatch=TimeSpan.Parse("</v>
      </c>
      <c r="H683" s="9">
        <f>Matchs!D684</f>
        <v>8.3333333333333329E-2</v>
      </c>
      <c r="I683" t="str">
        <f t="shared" si="194"/>
        <v>"),MatchYear=</v>
      </c>
      <c r="J683">
        <f>Matchs!E684</f>
        <v>2006</v>
      </c>
      <c r="K683" t="str">
        <f t="shared" si="195"/>
        <v>, SeasonId= "</v>
      </c>
      <c r="L683" t="str">
        <f>Matchs!F684</f>
        <v>FIFAWC2006</v>
      </c>
      <c r="M683" t="str">
        <f t="shared" si="196"/>
        <v>",Round= "</v>
      </c>
      <c r="N683" t="str">
        <f>Matchs!G684</f>
        <v>Final Round</v>
      </c>
      <c r="O683" s="6" t="str">
        <f t="shared" si="197"/>
        <v>",Stage= "</v>
      </c>
      <c r="P683" t="str">
        <f>Matchs!H684</f>
        <v>Group</v>
      </c>
      <c r="Q683" s="6" t="str">
        <f t="shared" si="198"/>
        <v>",SubStage= "</v>
      </c>
      <c r="R683" t="str">
        <f>Matchs!I684</f>
        <v xml:space="preserve">Group C </v>
      </c>
      <c r="S683" s="6" t="str">
        <f t="shared" si="199"/>
        <v>",HTeam= "</v>
      </c>
      <c r="T683" t="str">
        <f>Matchs!J684</f>
        <v>Cote D'Ivoire</v>
      </c>
      <c r="U683" s="6" t="str">
        <f t="shared" si="200"/>
        <v>",HGoal=</v>
      </c>
      <c r="V683">
        <f>Matchs!K684</f>
        <v>3</v>
      </c>
      <c r="W683" s="6" t="str">
        <f t="shared" si="201"/>
        <v>,GGoal=</v>
      </c>
      <c r="X683">
        <f>Matchs!L684</f>
        <v>2</v>
      </c>
      <c r="Y683" s="6" t="str">
        <f t="shared" si="202"/>
        <v>,GTeam= "</v>
      </c>
      <c r="Z683" t="str">
        <f>Matchs!M684</f>
        <v>Serbia and Montenegro</v>
      </c>
      <c r="AA683" s="6" t="str">
        <f t="shared" si="203"/>
        <v>",WinNote="</v>
      </c>
      <c r="AB683" t="str">
        <f>IF(Matchs!N684="","",Matchs!N684)</f>
        <v/>
      </c>
      <c r="AC683" s="6" t="str">
        <f t="shared" si="204"/>
        <v xml:space="preserve">",Stadium=" </v>
      </c>
      <c r="AD683" s="11" t="str">
        <f>Matchs!O684</f>
        <v xml:space="preserve">Allianz Arena </v>
      </c>
      <c r="AE683" s="6" t="str">
        <f t="shared" si="205"/>
        <v>",Referee= "</v>
      </c>
      <c r="AF683" s="11" t="str">
        <f>Matchs!P684</f>
        <v xml:space="preserve">Marco Rodríguez </v>
      </c>
      <c r="AG683" s="6" t="str">
        <f t="shared" si="206"/>
        <v xml:space="preserve">",Visistors= </v>
      </c>
      <c r="AH683" s="11">
        <f>Matchs!Q684</f>
        <v>66000</v>
      </c>
      <c r="AI683" s="11" t="str">
        <f t="shared" si="207"/>
        <v>,Status= "</v>
      </c>
      <c r="AJ683" s="11" t="str">
        <f>Matchs!R684</f>
        <v>Finished</v>
      </c>
      <c r="AK683" t="str">
        <f t="shared" si="208"/>
        <v>" },</v>
      </c>
    </row>
    <row r="684" spans="1:37" x14ac:dyDescent="0.25">
      <c r="A684" t="str">
        <f t="shared" si="190"/>
        <v>new Match { MatchId= "</v>
      </c>
      <c r="B684" t="str">
        <f>Matchs!A685</f>
        <v>FIFAWC2006-40</v>
      </c>
      <c r="C684" t="str">
        <f t="shared" si="191"/>
        <v>",MatchNumer=</v>
      </c>
      <c r="D684">
        <f>Matchs!B685</f>
        <v>40</v>
      </c>
      <c r="E684" t="str">
        <f t="shared" si="192"/>
        <v>,DateMatch=DateTime.Parse("</v>
      </c>
      <c r="F684" s="3">
        <f>Matchs!C685</f>
        <v>38890</v>
      </c>
      <c r="G684" s="10" t="str">
        <f t="shared" si="193"/>
        <v>"),TimeMatch=TimeSpan.Parse("</v>
      </c>
      <c r="H684" s="9">
        <f>Matchs!D685</f>
        <v>8.3333333333333329E-2</v>
      </c>
      <c r="I684" t="str">
        <f t="shared" si="194"/>
        <v>"),MatchYear=</v>
      </c>
      <c r="J684">
        <f>Matchs!E685</f>
        <v>2006</v>
      </c>
      <c r="K684" t="str">
        <f t="shared" si="195"/>
        <v>, SeasonId= "</v>
      </c>
      <c r="L684" t="str">
        <f>Matchs!F685</f>
        <v>FIFAWC2006</v>
      </c>
      <c r="M684" t="str">
        <f t="shared" si="196"/>
        <v>",Round= "</v>
      </c>
      <c r="N684" t="str">
        <f>Matchs!G685</f>
        <v>Final Round</v>
      </c>
      <c r="O684" s="6" t="str">
        <f t="shared" si="197"/>
        <v>",Stage= "</v>
      </c>
      <c r="P684" t="str">
        <f>Matchs!H685</f>
        <v>Group</v>
      </c>
      <c r="Q684" s="6" t="str">
        <f t="shared" si="198"/>
        <v>",SubStage= "</v>
      </c>
      <c r="R684" t="str">
        <f>Matchs!I685</f>
        <v xml:space="preserve">Group C </v>
      </c>
      <c r="S684" s="6" t="str">
        <f t="shared" si="199"/>
        <v>",HTeam= "</v>
      </c>
      <c r="T684" t="str">
        <f>Matchs!J685</f>
        <v>Netherlands</v>
      </c>
      <c r="U684" s="6" t="str">
        <f t="shared" si="200"/>
        <v>",HGoal=</v>
      </c>
      <c r="V684">
        <f>Matchs!K685</f>
        <v>0</v>
      </c>
      <c r="W684" s="6" t="str">
        <f t="shared" si="201"/>
        <v>,GGoal=</v>
      </c>
      <c r="X684">
        <f>Matchs!L685</f>
        <v>0</v>
      </c>
      <c r="Y684" s="6" t="str">
        <f t="shared" si="202"/>
        <v>,GTeam= "</v>
      </c>
      <c r="Z684" t="str">
        <f>Matchs!M685</f>
        <v>Argentina</v>
      </c>
      <c r="AA684" s="6" t="str">
        <f t="shared" si="203"/>
        <v>",WinNote="</v>
      </c>
      <c r="AB684" t="str">
        <f>IF(Matchs!N685="","",Matchs!N685)</f>
        <v/>
      </c>
      <c r="AC684" s="6" t="str">
        <f t="shared" si="204"/>
        <v xml:space="preserve">",Stadium=" </v>
      </c>
      <c r="AD684" s="11" t="str">
        <f>Matchs!O685</f>
        <v xml:space="preserve">Commerzbank-Arena </v>
      </c>
      <c r="AE684" s="6" t="str">
        <f t="shared" si="205"/>
        <v>",Referee= "</v>
      </c>
      <c r="AF684" s="11" t="str">
        <f>Matchs!P685</f>
        <v xml:space="preserve">Luis Medina Cantalejo </v>
      </c>
      <c r="AG684" s="6" t="str">
        <f t="shared" si="206"/>
        <v xml:space="preserve">",Visistors= </v>
      </c>
      <c r="AH684" s="11">
        <f>Matchs!Q685</f>
        <v>48000</v>
      </c>
      <c r="AI684" s="11" t="str">
        <f t="shared" si="207"/>
        <v>,Status= "</v>
      </c>
      <c r="AJ684" s="11" t="str">
        <f>Matchs!R685</f>
        <v>Finished</v>
      </c>
      <c r="AK684" t="str">
        <f t="shared" si="208"/>
        <v>" },</v>
      </c>
    </row>
    <row r="685" spans="1:37" x14ac:dyDescent="0.25">
      <c r="A685" t="str">
        <f t="shared" si="190"/>
        <v>new Match { MatchId= "</v>
      </c>
      <c r="B685" t="str">
        <f>Matchs!A686</f>
        <v>FIFAWC2006-41</v>
      </c>
      <c r="C685" t="str">
        <f t="shared" si="191"/>
        <v>",MatchNumer=</v>
      </c>
      <c r="D685">
        <f>Matchs!B686</f>
        <v>41</v>
      </c>
      <c r="E685" t="str">
        <f t="shared" si="192"/>
        <v>,DateMatch=DateTime.Parse("</v>
      </c>
      <c r="F685" s="3">
        <f>Matchs!C686</f>
        <v>38890</v>
      </c>
      <c r="G685" s="10" t="str">
        <f t="shared" si="193"/>
        <v>"),TimeMatch=TimeSpan.Parse("</v>
      </c>
      <c r="H685" s="9">
        <f>Matchs!D686</f>
        <v>0.875</v>
      </c>
      <c r="I685" t="str">
        <f t="shared" si="194"/>
        <v>"),MatchYear=</v>
      </c>
      <c r="J685">
        <f>Matchs!E686</f>
        <v>2006</v>
      </c>
      <c r="K685" t="str">
        <f t="shared" si="195"/>
        <v>, SeasonId= "</v>
      </c>
      <c r="L685" t="str">
        <f>Matchs!F686</f>
        <v>FIFAWC2006</v>
      </c>
      <c r="M685" t="str">
        <f t="shared" si="196"/>
        <v>",Round= "</v>
      </c>
      <c r="N685" t="str">
        <f>Matchs!G686</f>
        <v>Final Round</v>
      </c>
      <c r="O685" s="6" t="str">
        <f t="shared" si="197"/>
        <v>",Stage= "</v>
      </c>
      <c r="P685" t="str">
        <f>Matchs!H686</f>
        <v>Group</v>
      </c>
      <c r="Q685" s="6" t="str">
        <f t="shared" si="198"/>
        <v>",SubStage= "</v>
      </c>
      <c r="R685" t="str">
        <f>Matchs!I686</f>
        <v xml:space="preserve">Group E </v>
      </c>
      <c r="S685" s="6" t="str">
        <f t="shared" si="199"/>
        <v>",HTeam= "</v>
      </c>
      <c r="T685" t="str">
        <f>Matchs!J686</f>
        <v>Czech Republic</v>
      </c>
      <c r="U685" s="6" t="str">
        <f t="shared" si="200"/>
        <v>",HGoal=</v>
      </c>
      <c r="V685">
        <f>Matchs!K686</f>
        <v>0</v>
      </c>
      <c r="W685" s="6" t="str">
        <f t="shared" si="201"/>
        <v>,GGoal=</v>
      </c>
      <c r="X685">
        <f>Matchs!L686</f>
        <v>2</v>
      </c>
      <c r="Y685" s="6" t="str">
        <f t="shared" si="202"/>
        <v>,GTeam= "</v>
      </c>
      <c r="Z685" t="str">
        <f>Matchs!M686</f>
        <v>Italy</v>
      </c>
      <c r="AA685" s="6" t="str">
        <f t="shared" si="203"/>
        <v>",WinNote="</v>
      </c>
      <c r="AB685" t="str">
        <f>IF(Matchs!N686="","",Matchs!N686)</f>
        <v/>
      </c>
      <c r="AC685" s="6" t="str">
        <f t="shared" si="204"/>
        <v xml:space="preserve">",Stadium=" </v>
      </c>
      <c r="AD685" s="11" t="str">
        <f>Matchs!O686</f>
        <v xml:space="preserve">Volksparkstadion </v>
      </c>
      <c r="AE685" s="6" t="str">
        <f t="shared" si="205"/>
        <v>",Referee= "</v>
      </c>
      <c r="AF685" s="11" t="str">
        <f>Matchs!P686</f>
        <v xml:space="preserve">Benito Archundia </v>
      </c>
      <c r="AG685" s="6" t="str">
        <f t="shared" si="206"/>
        <v xml:space="preserve">",Visistors= </v>
      </c>
      <c r="AH685" s="11">
        <f>Matchs!Q686</f>
        <v>50000</v>
      </c>
      <c r="AI685" s="11" t="str">
        <f t="shared" si="207"/>
        <v>,Status= "</v>
      </c>
      <c r="AJ685" s="11" t="str">
        <f>Matchs!R686</f>
        <v>Finished</v>
      </c>
      <c r="AK685" t="str">
        <f t="shared" si="208"/>
        <v>" },</v>
      </c>
    </row>
    <row r="686" spans="1:37" x14ac:dyDescent="0.25">
      <c r="A686" t="str">
        <f t="shared" si="190"/>
        <v>new Match { MatchId= "</v>
      </c>
      <c r="B686" t="str">
        <f>Matchs!A687</f>
        <v>FIFAWC2006-42</v>
      </c>
      <c r="C686" t="str">
        <f t="shared" si="191"/>
        <v>",MatchNumer=</v>
      </c>
      <c r="D686">
        <f>Matchs!B687</f>
        <v>42</v>
      </c>
      <c r="E686" t="str">
        <f t="shared" si="192"/>
        <v>,DateMatch=DateTime.Parse("</v>
      </c>
      <c r="F686" s="3">
        <f>Matchs!C687</f>
        <v>38890</v>
      </c>
      <c r="G686" s="10" t="str">
        <f t="shared" si="193"/>
        <v>"),TimeMatch=TimeSpan.Parse("</v>
      </c>
      <c r="H686" s="9">
        <f>Matchs!D687</f>
        <v>0.875</v>
      </c>
      <c r="I686" t="str">
        <f t="shared" si="194"/>
        <v>"),MatchYear=</v>
      </c>
      <c r="J686">
        <f>Matchs!E687</f>
        <v>2006</v>
      </c>
      <c r="K686" t="str">
        <f t="shared" si="195"/>
        <v>, SeasonId= "</v>
      </c>
      <c r="L686" t="str">
        <f>Matchs!F687</f>
        <v>FIFAWC2006</v>
      </c>
      <c r="M686" t="str">
        <f t="shared" si="196"/>
        <v>",Round= "</v>
      </c>
      <c r="N686" t="str">
        <f>Matchs!G687</f>
        <v>Final Round</v>
      </c>
      <c r="O686" s="6" t="str">
        <f t="shared" si="197"/>
        <v>",Stage= "</v>
      </c>
      <c r="P686" t="str">
        <f>Matchs!H687</f>
        <v>Group</v>
      </c>
      <c r="Q686" s="6" t="str">
        <f t="shared" si="198"/>
        <v>",SubStage= "</v>
      </c>
      <c r="R686" t="str">
        <f>Matchs!I687</f>
        <v xml:space="preserve">Group E </v>
      </c>
      <c r="S686" s="6" t="str">
        <f t="shared" si="199"/>
        <v>",HTeam= "</v>
      </c>
      <c r="T686" t="str">
        <f>Matchs!J687</f>
        <v>USA</v>
      </c>
      <c r="U686" s="6" t="str">
        <f t="shared" si="200"/>
        <v>",HGoal=</v>
      </c>
      <c r="V686">
        <f>Matchs!K687</f>
        <v>1</v>
      </c>
      <c r="W686" s="6" t="str">
        <f t="shared" si="201"/>
        <v>,GGoal=</v>
      </c>
      <c r="X686">
        <f>Matchs!L687</f>
        <v>2</v>
      </c>
      <c r="Y686" s="6" t="str">
        <f t="shared" si="202"/>
        <v>,GTeam= "</v>
      </c>
      <c r="Z686" t="str">
        <f>Matchs!M687</f>
        <v>Ghana</v>
      </c>
      <c r="AA686" s="6" t="str">
        <f t="shared" si="203"/>
        <v>",WinNote="</v>
      </c>
      <c r="AB686" t="str">
        <f>IF(Matchs!N687="","",Matchs!N687)</f>
        <v/>
      </c>
      <c r="AC686" s="6" t="str">
        <f t="shared" si="204"/>
        <v xml:space="preserve">",Stadium=" </v>
      </c>
      <c r="AD686" s="11" t="str">
        <f>Matchs!O687</f>
        <v xml:space="preserve">Frankenstadion </v>
      </c>
      <c r="AE686" s="6" t="str">
        <f t="shared" si="205"/>
        <v>",Referee= "</v>
      </c>
      <c r="AF686" s="11" t="str">
        <f>Matchs!P687</f>
        <v xml:space="preserve">Markus Merk </v>
      </c>
      <c r="AG686" s="6" t="str">
        <f t="shared" si="206"/>
        <v xml:space="preserve">",Visistors= </v>
      </c>
      <c r="AH686" s="11">
        <f>Matchs!Q687</f>
        <v>41000</v>
      </c>
      <c r="AI686" s="11" t="str">
        <f t="shared" si="207"/>
        <v>,Status= "</v>
      </c>
      <c r="AJ686" s="11" t="str">
        <f>Matchs!R687</f>
        <v>Finished</v>
      </c>
      <c r="AK686" t="str">
        <f t="shared" si="208"/>
        <v>" },</v>
      </c>
    </row>
    <row r="687" spans="1:37" x14ac:dyDescent="0.25">
      <c r="A687" t="str">
        <f t="shared" si="190"/>
        <v>new Match { MatchId= "</v>
      </c>
      <c r="B687" t="str">
        <f>Matchs!A688</f>
        <v>FIFAWC2006-43</v>
      </c>
      <c r="C687" t="str">
        <f t="shared" si="191"/>
        <v>",MatchNumer=</v>
      </c>
      <c r="D687">
        <f>Matchs!B688</f>
        <v>43</v>
      </c>
      <c r="E687" t="str">
        <f t="shared" si="192"/>
        <v>,DateMatch=DateTime.Parse("</v>
      </c>
      <c r="F687" s="3">
        <f>Matchs!C688</f>
        <v>38891</v>
      </c>
      <c r="G687" s="10" t="str">
        <f t="shared" si="193"/>
        <v>"),TimeMatch=TimeSpan.Parse("</v>
      </c>
      <c r="H687" s="9">
        <f>Matchs!D688</f>
        <v>8.3333333333333329E-2</v>
      </c>
      <c r="I687" t="str">
        <f t="shared" si="194"/>
        <v>"),MatchYear=</v>
      </c>
      <c r="J687">
        <f>Matchs!E688</f>
        <v>2006</v>
      </c>
      <c r="K687" t="str">
        <f t="shared" si="195"/>
        <v>, SeasonId= "</v>
      </c>
      <c r="L687" t="str">
        <f>Matchs!F688</f>
        <v>FIFAWC2006</v>
      </c>
      <c r="M687" t="str">
        <f t="shared" si="196"/>
        <v>",Round= "</v>
      </c>
      <c r="N687" t="str">
        <f>Matchs!G688</f>
        <v>Final Round</v>
      </c>
      <c r="O687" s="6" t="str">
        <f t="shared" si="197"/>
        <v>",Stage= "</v>
      </c>
      <c r="P687" t="str">
        <f>Matchs!H688</f>
        <v>Group</v>
      </c>
      <c r="Q687" s="6" t="str">
        <f t="shared" si="198"/>
        <v>",SubStage= "</v>
      </c>
      <c r="R687" t="str">
        <f>Matchs!I688</f>
        <v xml:space="preserve">Group F </v>
      </c>
      <c r="S687" s="6" t="str">
        <f t="shared" si="199"/>
        <v>",HTeam= "</v>
      </c>
      <c r="T687" t="str">
        <f>Matchs!J688</f>
        <v>Croatia</v>
      </c>
      <c r="U687" s="6" t="str">
        <f t="shared" si="200"/>
        <v>",HGoal=</v>
      </c>
      <c r="V687">
        <f>Matchs!K688</f>
        <v>2</v>
      </c>
      <c r="W687" s="6" t="str">
        <f t="shared" si="201"/>
        <v>,GGoal=</v>
      </c>
      <c r="X687">
        <f>Matchs!L688</f>
        <v>2</v>
      </c>
      <c r="Y687" s="6" t="str">
        <f t="shared" si="202"/>
        <v>,GTeam= "</v>
      </c>
      <c r="Z687" t="str">
        <f>Matchs!M688</f>
        <v>Australia</v>
      </c>
      <c r="AA687" s="6" t="str">
        <f t="shared" si="203"/>
        <v>",WinNote="</v>
      </c>
      <c r="AB687" t="str">
        <f>IF(Matchs!N688="","",Matchs!N688)</f>
        <v/>
      </c>
      <c r="AC687" s="6" t="str">
        <f t="shared" si="204"/>
        <v xml:space="preserve">",Stadium=" </v>
      </c>
      <c r="AD687" s="11" t="str">
        <f>Matchs!O688</f>
        <v xml:space="preserve">Mercedes-Benz Arena </v>
      </c>
      <c r="AE687" s="6" t="str">
        <f t="shared" si="205"/>
        <v>",Referee= "</v>
      </c>
      <c r="AF687" s="11" t="str">
        <f>Matchs!P688</f>
        <v xml:space="preserve">Graham Poll </v>
      </c>
      <c r="AG687" s="6" t="str">
        <f t="shared" si="206"/>
        <v xml:space="preserve">",Visistors= </v>
      </c>
      <c r="AH687" s="11">
        <f>Matchs!Q688</f>
        <v>52000</v>
      </c>
      <c r="AI687" s="11" t="str">
        <f t="shared" si="207"/>
        <v>,Status= "</v>
      </c>
      <c r="AJ687" s="11" t="str">
        <f>Matchs!R688</f>
        <v>Finished</v>
      </c>
      <c r="AK687" t="str">
        <f t="shared" si="208"/>
        <v>" },</v>
      </c>
    </row>
    <row r="688" spans="1:37" x14ac:dyDescent="0.25">
      <c r="A688" t="str">
        <f t="shared" si="190"/>
        <v>new Match { MatchId= "</v>
      </c>
      <c r="B688" t="str">
        <f>Matchs!A689</f>
        <v>FIFAWC2006-44</v>
      </c>
      <c r="C688" t="str">
        <f t="shared" si="191"/>
        <v>",MatchNumer=</v>
      </c>
      <c r="D688">
        <f>Matchs!B689</f>
        <v>44</v>
      </c>
      <c r="E688" t="str">
        <f t="shared" si="192"/>
        <v>,DateMatch=DateTime.Parse("</v>
      </c>
      <c r="F688" s="3">
        <f>Matchs!C689</f>
        <v>38891</v>
      </c>
      <c r="G688" s="10" t="str">
        <f t="shared" si="193"/>
        <v>"),TimeMatch=TimeSpan.Parse("</v>
      </c>
      <c r="H688" s="9">
        <f>Matchs!D689</f>
        <v>8.3333333333333329E-2</v>
      </c>
      <c r="I688" t="str">
        <f t="shared" si="194"/>
        <v>"),MatchYear=</v>
      </c>
      <c r="J688">
        <f>Matchs!E689</f>
        <v>2006</v>
      </c>
      <c r="K688" t="str">
        <f t="shared" si="195"/>
        <v>, SeasonId= "</v>
      </c>
      <c r="L688" t="str">
        <f>Matchs!F689</f>
        <v>FIFAWC2006</v>
      </c>
      <c r="M688" t="str">
        <f t="shared" si="196"/>
        <v>",Round= "</v>
      </c>
      <c r="N688" t="str">
        <f>Matchs!G689</f>
        <v>Final Round</v>
      </c>
      <c r="O688" s="6" t="str">
        <f t="shared" si="197"/>
        <v>",Stage= "</v>
      </c>
      <c r="P688" t="str">
        <f>Matchs!H689</f>
        <v>Group</v>
      </c>
      <c r="Q688" s="6" t="str">
        <f t="shared" si="198"/>
        <v>",SubStage= "</v>
      </c>
      <c r="R688" t="str">
        <f>Matchs!I689</f>
        <v xml:space="preserve">Group F </v>
      </c>
      <c r="S688" s="6" t="str">
        <f t="shared" si="199"/>
        <v>",HTeam= "</v>
      </c>
      <c r="T688" t="str">
        <f>Matchs!J689</f>
        <v>Japan</v>
      </c>
      <c r="U688" s="6" t="str">
        <f t="shared" si="200"/>
        <v>",HGoal=</v>
      </c>
      <c r="V688">
        <f>Matchs!K689</f>
        <v>1</v>
      </c>
      <c r="W688" s="6" t="str">
        <f t="shared" si="201"/>
        <v>,GGoal=</v>
      </c>
      <c r="X688">
        <f>Matchs!L689</f>
        <v>4</v>
      </c>
      <c r="Y688" s="6" t="str">
        <f t="shared" si="202"/>
        <v>,GTeam= "</v>
      </c>
      <c r="Z688" t="str">
        <f>Matchs!M689</f>
        <v>Brazil</v>
      </c>
      <c r="AA688" s="6" t="str">
        <f t="shared" si="203"/>
        <v>",WinNote="</v>
      </c>
      <c r="AB688" t="str">
        <f>IF(Matchs!N689="","",Matchs!N689)</f>
        <v/>
      </c>
      <c r="AC688" s="6" t="str">
        <f t="shared" si="204"/>
        <v xml:space="preserve">",Stadium=" </v>
      </c>
      <c r="AD688" s="11" t="str">
        <f>Matchs!O689</f>
        <v xml:space="preserve">Signal Iduna Park </v>
      </c>
      <c r="AE688" s="6" t="str">
        <f t="shared" si="205"/>
        <v>",Referee= "</v>
      </c>
      <c r="AF688" s="11" t="str">
        <f>Matchs!P689</f>
        <v xml:space="preserve">Eric Poulat </v>
      </c>
      <c r="AG688" s="6" t="str">
        <f t="shared" si="206"/>
        <v xml:space="preserve">",Visistors= </v>
      </c>
      <c r="AH688" s="11">
        <f>Matchs!Q689</f>
        <v>65000</v>
      </c>
      <c r="AI688" s="11" t="str">
        <f t="shared" si="207"/>
        <v>,Status= "</v>
      </c>
      <c r="AJ688" s="11" t="str">
        <f>Matchs!R689</f>
        <v>Finished</v>
      </c>
      <c r="AK688" t="str">
        <f t="shared" si="208"/>
        <v>" },</v>
      </c>
    </row>
    <row r="689" spans="1:37" x14ac:dyDescent="0.25">
      <c r="A689" t="str">
        <f t="shared" si="190"/>
        <v>new Match { MatchId= "</v>
      </c>
      <c r="B689" t="str">
        <f>Matchs!A690</f>
        <v>FIFAWC2006-45</v>
      </c>
      <c r="C689" t="str">
        <f t="shared" si="191"/>
        <v>",MatchNumer=</v>
      </c>
      <c r="D689">
        <f>Matchs!B690</f>
        <v>45</v>
      </c>
      <c r="E689" t="str">
        <f t="shared" si="192"/>
        <v>,DateMatch=DateTime.Parse("</v>
      </c>
      <c r="F689" s="3">
        <f>Matchs!C690</f>
        <v>38891</v>
      </c>
      <c r="G689" s="10" t="str">
        <f t="shared" si="193"/>
        <v>"),TimeMatch=TimeSpan.Parse("</v>
      </c>
      <c r="H689" s="9">
        <f>Matchs!D690</f>
        <v>0.875</v>
      </c>
      <c r="I689" t="str">
        <f t="shared" si="194"/>
        <v>"),MatchYear=</v>
      </c>
      <c r="J689">
        <f>Matchs!E690</f>
        <v>2006</v>
      </c>
      <c r="K689" t="str">
        <f t="shared" si="195"/>
        <v>, SeasonId= "</v>
      </c>
      <c r="L689" t="str">
        <f>Matchs!F690</f>
        <v>FIFAWC2006</v>
      </c>
      <c r="M689" t="str">
        <f t="shared" si="196"/>
        <v>",Round= "</v>
      </c>
      <c r="N689" t="str">
        <f>Matchs!G690</f>
        <v>Final Round</v>
      </c>
      <c r="O689" s="6" t="str">
        <f t="shared" si="197"/>
        <v>",Stage= "</v>
      </c>
      <c r="P689" t="str">
        <f>Matchs!H690</f>
        <v>Group</v>
      </c>
      <c r="Q689" s="6" t="str">
        <f t="shared" si="198"/>
        <v>",SubStage= "</v>
      </c>
      <c r="R689" t="str">
        <f>Matchs!I690</f>
        <v xml:space="preserve">Group H </v>
      </c>
      <c r="S689" s="6" t="str">
        <f t="shared" si="199"/>
        <v>",HTeam= "</v>
      </c>
      <c r="T689" t="str">
        <f>Matchs!J690</f>
        <v>Ukraine</v>
      </c>
      <c r="U689" s="6" t="str">
        <f t="shared" si="200"/>
        <v>",HGoal=</v>
      </c>
      <c r="V689">
        <f>Matchs!K690</f>
        <v>1</v>
      </c>
      <c r="W689" s="6" t="str">
        <f t="shared" si="201"/>
        <v>,GGoal=</v>
      </c>
      <c r="X689">
        <f>Matchs!L690</f>
        <v>0</v>
      </c>
      <c r="Y689" s="6" t="str">
        <f t="shared" si="202"/>
        <v>,GTeam= "</v>
      </c>
      <c r="Z689" t="str">
        <f>Matchs!M690</f>
        <v>Tunisia</v>
      </c>
      <c r="AA689" s="6" t="str">
        <f t="shared" si="203"/>
        <v>",WinNote="</v>
      </c>
      <c r="AB689" t="str">
        <f>IF(Matchs!N690="","",Matchs!N690)</f>
        <v/>
      </c>
      <c r="AC689" s="6" t="str">
        <f t="shared" si="204"/>
        <v xml:space="preserve">",Stadium=" </v>
      </c>
      <c r="AD689" s="11" t="str">
        <f>Matchs!O690</f>
        <v xml:space="preserve">Olympiastadion </v>
      </c>
      <c r="AE689" s="6" t="str">
        <f t="shared" si="205"/>
        <v>",Referee= "</v>
      </c>
      <c r="AF689" s="11" t="str">
        <f>Matchs!P690</f>
        <v xml:space="preserve">Carlos Amarilla </v>
      </c>
      <c r="AG689" s="6" t="str">
        <f t="shared" si="206"/>
        <v xml:space="preserve">",Visistors= </v>
      </c>
      <c r="AH689" s="11">
        <f>Matchs!Q690</f>
        <v>72000</v>
      </c>
      <c r="AI689" s="11" t="str">
        <f t="shared" si="207"/>
        <v>,Status= "</v>
      </c>
      <c r="AJ689" s="11" t="str">
        <f>Matchs!R690</f>
        <v>Finished</v>
      </c>
      <c r="AK689" t="str">
        <f t="shared" si="208"/>
        <v>" },</v>
      </c>
    </row>
    <row r="690" spans="1:37" x14ac:dyDescent="0.25">
      <c r="A690" t="str">
        <f t="shared" si="190"/>
        <v>new Match { MatchId= "</v>
      </c>
      <c r="B690" t="str">
        <f>Matchs!A691</f>
        <v>FIFAWC2006-46</v>
      </c>
      <c r="C690" t="str">
        <f t="shared" si="191"/>
        <v>",MatchNumer=</v>
      </c>
      <c r="D690">
        <f>Matchs!B691</f>
        <v>46</v>
      </c>
      <c r="E690" t="str">
        <f t="shared" si="192"/>
        <v>,DateMatch=DateTime.Parse("</v>
      </c>
      <c r="F690" s="3">
        <f>Matchs!C691</f>
        <v>38891</v>
      </c>
      <c r="G690" s="10" t="str">
        <f t="shared" si="193"/>
        <v>"),TimeMatch=TimeSpan.Parse("</v>
      </c>
      <c r="H690" s="9">
        <f>Matchs!D691</f>
        <v>0.875</v>
      </c>
      <c r="I690" t="str">
        <f t="shared" si="194"/>
        <v>"),MatchYear=</v>
      </c>
      <c r="J690">
        <f>Matchs!E691</f>
        <v>2006</v>
      </c>
      <c r="K690" t="str">
        <f t="shared" si="195"/>
        <v>, SeasonId= "</v>
      </c>
      <c r="L690" t="str">
        <f>Matchs!F691</f>
        <v>FIFAWC2006</v>
      </c>
      <c r="M690" t="str">
        <f t="shared" si="196"/>
        <v>",Round= "</v>
      </c>
      <c r="N690" t="str">
        <f>Matchs!G691</f>
        <v>Final Round</v>
      </c>
      <c r="O690" s="6" t="str">
        <f t="shared" si="197"/>
        <v>",Stage= "</v>
      </c>
      <c r="P690" t="str">
        <f>Matchs!H691</f>
        <v>Group</v>
      </c>
      <c r="Q690" s="6" t="str">
        <f t="shared" si="198"/>
        <v>",SubStage= "</v>
      </c>
      <c r="R690" t="str">
        <f>Matchs!I691</f>
        <v xml:space="preserve">Group H </v>
      </c>
      <c r="S690" s="6" t="str">
        <f t="shared" si="199"/>
        <v>",HTeam= "</v>
      </c>
      <c r="T690" t="str">
        <f>Matchs!J691</f>
        <v>Saudi Arabia</v>
      </c>
      <c r="U690" s="6" t="str">
        <f t="shared" si="200"/>
        <v>",HGoal=</v>
      </c>
      <c r="V690">
        <f>Matchs!K691</f>
        <v>0</v>
      </c>
      <c r="W690" s="6" t="str">
        <f t="shared" si="201"/>
        <v>,GGoal=</v>
      </c>
      <c r="X690">
        <f>Matchs!L691</f>
        <v>1</v>
      </c>
      <c r="Y690" s="6" t="str">
        <f t="shared" si="202"/>
        <v>,GTeam= "</v>
      </c>
      <c r="Z690" t="str">
        <f>Matchs!M691</f>
        <v>Spain</v>
      </c>
      <c r="AA690" s="6" t="str">
        <f t="shared" si="203"/>
        <v>",WinNote="</v>
      </c>
      <c r="AB690" t="str">
        <f>IF(Matchs!N691="","",Matchs!N691)</f>
        <v/>
      </c>
      <c r="AC690" s="6" t="str">
        <f t="shared" si="204"/>
        <v xml:space="preserve">",Stadium=" </v>
      </c>
      <c r="AD690" s="11" t="str">
        <f>Matchs!O691</f>
        <v xml:space="preserve">Fritz-Walter-Stadion </v>
      </c>
      <c r="AE690" s="6" t="str">
        <f t="shared" si="205"/>
        <v>",Referee= "</v>
      </c>
      <c r="AF690" s="11">
        <f>Matchs!P691</f>
        <v>0</v>
      </c>
      <c r="AG690" s="6" t="str">
        <f t="shared" si="206"/>
        <v xml:space="preserve">",Visistors= </v>
      </c>
      <c r="AH690" s="11">
        <f>Matchs!Q691</f>
        <v>46000</v>
      </c>
      <c r="AI690" s="11" t="str">
        <f t="shared" si="207"/>
        <v>,Status= "</v>
      </c>
      <c r="AJ690" s="11" t="str">
        <f>Matchs!R691</f>
        <v>Finished</v>
      </c>
      <c r="AK690" t="str">
        <f t="shared" si="208"/>
        <v>" },</v>
      </c>
    </row>
    <row r="691" spans="1:37" x14ac:dyDescent="0.25">
      <c r="A691" t="str">
        <f t="shared" si="190"/>
        <v>new Match { MatchId= "</v>
      </c>
      <c r="B691" t="str">
        <f>Matchs!A692</f>
        <v>FIFAWC2006-47</v>
      </c>
      <c r="C691" t="str">
        <f t="shared" si="191"/>
        <v>",MatchNumer=</v>
      </c>
      <c r="D691">
        <f>Matchs!B692</f>
        <v>47</v>
      </c>
      <c r="E691" t="str">
        <f t="shared" si="192"/>
        <v>,DateMatch=DateTime.Parse("</v>
      </c>
      <c r="F691" s="3">
        <f>Matchs!C692</f>
        <v>38892</v>
      </c>
      <c r="G691" s="10" t="str">
        <f t="shared" si="193"/>
        <v>"),TimeMatch=TimeSpan.Parse("</v>
      </c>
      <c r="H691" s="9">
        <f>Matchs!D692</f>
        <v>8.3333333333333329E-2</v>
      </c>
      <c r="I691" t="str">
        <f t="shared" si="194"/>
        <v>"),MatchYear=</v>
      </c>
      <c r="J691">
        <f>Matchs!E692</f>
        <v>2006</v>
      </c>
      <c r="K691" t="str">
        <f t="shared" si="195"/>
        <v>, SeasonId= "</v>
      </c>
      <c r="L691" t="str">
        <f>Matchs!F692</f>
        <v>FIFAWC2006</v>
      </c>
      <c r="M691" t="str">
        <f t="shared" si="196"/>
        <v>",Round= "</v>
      </c>
      <c r="N691" t="str">
        <f>Matchs!G692</f>
        <v>Final Round</v>
      </c>
      <c r="O691" s="6" t="str">
        <f t="shared" si="197"/>
        <v>",Stage= "</v>
      </c>
      <c r="P691" t="str">
        <f>Matchs!H692</f>
        <v>Group</v>
      </c>
      <c r="Q691" s="6" t="str">
        <f t="shared" si="198"/>
        <v>",SubStage= "</v>
      </c>
      <c r="R691" t="str">
        <f>Matchs!I692</f>
        <v xml:space="preserve">Group G </v>
      </c>
      <c r="S691" s="6" t="str">
        <f t="shared" si="199"/>
        <v>",HTeam= "</v>
      </c>
      <c r="T691" t="str">
        <f>Matchs!J692</f>
        <v>Togo</v>
      </c>
      <c r="U691" s="6" t="str">
        <f t="shared" si="200"/>
        <v>",HGoal=</v>
      </c>
      <c r="V691">
        <f>Matchs!K692</f>
        <v>0</v>
      </c>
      <c r="W691" s="6" t="str">
        <f t="shared" si="201"/>
        <v>,GGoal=</v>
      </c>
      <c r="X691">
        <f>Matchs!L692</f>
        <v>2</v>
      </c>
      <c r="Y691" s="6" t="str">
        <f t="shared" si="202"/>
        <v>,GTeam= "</v>
      </c>
      <c r="Z691" t="str">
        <f>Matchs!M692</f>
        <v>France</v>
      </c>
      <c r="AA691" s="6" t="str">
        <f t="shared" si="203"/>
        <v>",WinNote="</v>
      </c>
      <c r="AB691" t="str">
        <f>IF(Matchs!N692="","",Matchs!N692)</f>
        <v/>
      </c>
      <c r="AC691" s="6" t="str">
        <f t="shared" si="204"/>
        <v xml:space="preserve">",Stadium=" </v>
      </c>
      <c r="AD691" s="11" t="str">
        <f>Matchs!O692</f>
        <v xml:space="preserve">RheinEnergieStadion </v>
      </c>
      <c r="AE691" s="6" t="str">
        <f t="shared" si="205"/>
        <v>",Referee= "</v>
      </c>
      <c r="AF691" s="11" t="str">
        <f>Matchs!P692</f>
        <v xml:space="preserve">Jorge Larrionda </v>
      </c>
      <c r="AG691" s="6" t="str">
        <f t="shared" si="206"/>
        <v xml:space="preserve">",Visistors= </v>
      </c>
      <c r="AH691" s="11">
        <f>Matchs!Q692</f>
        <v>45000</v>
      </c>
      <c r="AI691" s="11" t="str">
        <f t="shared" si="207"/>
        <v>,Status= "</v>
      </c>
      <c r="AJ691" s="11" t="str">
        <f>Matchs!R692</f>
        <v>Finished</v>
      </c>
      <c r="AK691" t="str">
        <f t="shared" si="208"/>
        <v>" },</v>
      </c>
    </row>
    <row r="692" spans="1:37" x14ac:dyDescent="0.25">
      <c r="A692" t="str">
        <f t="shared" si="190"/>
        <v>new Match { MatchId= "</v>
      </c>
      <c r="B692" t="str">
        <f>Matchs!A693</f>
        <v>FIFAWC2006-48</v>
      </c>
      <c r="C692" t="str">
        <f t="shared" si="191"/>
        <v>",MatchNumer=</v>
      </c>
      <c r="D692">
        <f>Matchs!B693</f>
        <v>48</v>
      </c>
      <c r="E692" t="str">
        <f t="shared" si="192"/>
        <v>,DateMatch=DateTime.Parse("</v>
      </c>
      <c r="F692" s="3">
        <f>Matchs!C693</f>
        <v>38892</v>
      </c>
      <c r="G692" s="10" t="str">
        <f t="shared" si="193"/>
        <v>"),TimeMatch=TimeSpan.Parse("</v>
      </c>
      <c r="H692" s="9">
        <f>Matchs!D693</f>
        <v>8.3333333333333329E-2</v>
      </c>
      <c r="I692" t="str">
        <f t="shared" si="194"/>
        <v>"),MatchYear=</v>
      </c>
      <c r="J692">
        <f>Matchs!E693</f>
        <v>2006</v>
      </c>
      <c r="K692" t="str">
        <f t="shared" si="195"/>
        <v>, SeasonId= "</v>
      </c>
      <c r="L692" t="str">
        <f>Matchs!F693</f>
        <v>FIFAWC2006</v>
      </c>
      <c r="M692" t="str">
        <f t="shared" si="196"/>
        <v>",Round= "</v>
      </c>
      <c r="N692" t="str">
        <f>Matchs!G693</f>
        <v>Final Round</v>
      </c>
      <c r="O692" s="6" t="str">
        <f t="shared" si="197"/>
        <v>",Stage= "</v>
      </c>
      <c r="P692" t="str">
        <f>Matchs!H693</f>
        <v>Group</v>
      </c>
      <c r="Q692" s="6" t="str">
        <f t="shared" si="198"/>
        <v>",SubStage= "</v>
      </c>
      <c r="R692" t="str">
        <f>Matchs!I693</f>
        <v xml:space="preserve">Group G </v>
      </c>
      <c r="S692" s="6" t="str">
        <f t="shared" si="199"/>
        <v>",HTeam= "</v>
      </c>
      <c r="T692" t="str">
        <f>Matchs!J693</f>
        <v>Switzerland</v>
      </c>
      <c r="U692" s="6" t="str">
        <f t="shared" si="200"/>
        <v>",HGoal=</v>
      </c>
      <c r="V692">
        <f>Matchs!K693</f>
        <v>2</v>
      </c>
      <c r="W692" s="6" t="str">
        <f t="shared" si="201"/>
        <v>,GGoal=</v>
      </c>
      <c r="X692">
        <f>Matchs!L693</f>
        <v>0</v>
      </c>
      <c r="Y692" s="6" t="str">
        <f t="shared" si="202"/>
        <v>,GTeam= "</v>
      </c>
      <c r="Z692" t="str">
        <f>Matchs!M693</f>
        <v>South Korea</v>
      </c>
      <c r="AA692" s="6" t="str">
        <f t="shared" si="203"/>
        <v>",WinNote="</v>
      </c>
      <c r="AB692" t="str">
        <f>IF(Matchs!N693="","",Matchs!N693)</f>
        <v/>
      </c>
      <c r="AC692" s="6" t="str">
        <f t="shared" si="204"/>
        <v xml:space="preserve">",Stadium=" </v>
      </c>
      <c r="AD692" s="11" t="str">
        <f>Matchs!O693</f>
        <v xml:space="preserve">AWD-Arena </v>
      </c>
      <c r="AE692" s="6" t="str">
        <f t="shared" si="205"/>
        <v>",Referee= "</v>
      </c>
      <c r="AF692" s="11" t="str">
        <f>Matchs!P693</f>
        <v xml:space="preserve">Horacio Elizondo </v>
      </c>
      <c r="AG692" s="6" t="str">
        <f t="shared" si="206"/>
        <v xml:space="preserve">",Visistors= </v>
      </c>
      <c r="AH692" s="11">
        <f>Matchs!Q693</f>
        <v>43000</v>
      </c>
      <c r="AI692" s="11" t="str">
        <f t="shared" si="207"/>
        <v>,Status= "</v>
      </c>
      <c r="AJ692" s="11" t="str">
        <f>Matchs!R693</f>
        <v>Finished</v>
      </c>
      <c r="AK692" t="str">
        <f t="shared" si="208"/>
        <v>" },</v>
      </c>
    </row>
    <row r="693" spans="1:37" x14ac:dyDescent="0.25">
      <c r="A693" t="str">
        <f t="shared" si="190"/>
        <v>new Match { MatchId= "</v>
      </c>
      <c r="B693" t="str">
        <f>Matchs!A694</f>
        <v>FIFAWC2006-49</v>
      </c>
      <c r="C693" t="str">
        <f t="shared" si="191"/>
        <v>",MatchNumer=</v>
      </c>
      <c r="D693">
        <f>Matchs!B694</f>
        <v>49</v>
      </c>
      <c r="E693" t="str">
        <f t="shared" si="192"/>
        <v>,DateMatch=DateTime.Parse("</v>
      </c>
      <c r="F693" s="3">
        <f>Matchs!C694</f>
        <v>38892</v>
      </c>
      <c r="G693" s="10" t="str">
        <f t="shared" si="193"/>
        <v>"),TimeMatch=TimeSpan.Parse("</v>
      </c>
      <c r="H693" s="9">
        <f>Matchs!D694</f>
        <v>0.91666666666666663</v>
      </c>
      <c r="I693" t="str">
        <f t="shared" si="194"/>
        <v>"),MatchYear=</v>
      </c>
      <c r="J693">
        <f>Matchs!E694</f>
        <v>2006</v>
      </c>
      <c r="K693" t="str">
        <f t="shared" si="195"/>
        <v>, SeasonId= "</v>
      </c>
      <c r="L693" t="str">
        <f>Matchs!F694</f>
        <v>FIFAWC2006</v>
      </c>
      <c r="M693" t="str">
        <f t="shared" si="196"/>
        <v>",Round= "</v>
      </c>
      <c r="N693" t="str">
        <f>Matchs!G694</f>
        <v>Final Round</v>
      </c>
      <c r="O693" s="6" t="str">
        <f t="shared" si="197"/>
        <v>",Stage= "</v>
      </c>
      <c r="P693" t="str">
        <f>Matchs!H694</f>
        <v>Knockouts</v>
      </c>
      <c r="Q693" s="6" t="str">
        <f t="shared" si="198"/>
        <v>",SubStage= "</v>
      </c>
      <c r="R693" t="str">
        <f>Matchs!I694</f>
        <v xml:space="preserve">Round of 16 </v>
      </c>
      <c r="S693" s="6" t="str">
        <f t="shared" si="199"/>
        <v>",HTeam= "</v>
      </c>
      <c r="T693" t="str">
        <f>Matchs!J694</f>
        <v>Germany</v>
      </c>
      <c r="U693" s="6" t="str">
        <f t="shared" si="200"/>
        <v>",HGoal=</v>
      </c>
      <c r="V693">
        <f>Matchs!K694</f>
        <v>2</v>
      </c>
      <c r="W693" s="6" t="str">
        <f t="shared" si="201"/>
        <v>,GGoal=</v>
      </c>
      <c r="X693">
        <f>Matchs!L694</f>
        <v>0</v>
      </c>
      <c r="Y693" s="6" t="str">
        <f t="shared" si="202"/>
        <v>,GTeam= "</v>
      </c>
      <c r="Z693" t="str">
        <f>Matchs!M694</f>
        <v>Sweden</v>
      </c>
      <c r="AA693" s="6" t="str">
        <f t="shared" si="203"/>
        <v>",WinNote="</v>
      </c>
      <c r="AB693" t="str">
        <f>IF(Matchs!N694="","",Matchs!N694)</f>
        <v/>
      </c>
      <c r="AC693" s="6" t="str">
        <f t="shared" si="204"/>
        <v xml:space="preserve">",Stadium=" </v>
      </c>
      <c r="AD693" s="11" t="str">
        <f>Matchs!O694</f>
        <v xml:space="preserve">Allianz Arena </v>
      </c>
      <c r="AE693" s="6" t="str">
        <f t="shared" si="205"/>
        <v>",Referee= "</v>
      </c>
      <c r="AF693" s="11" t="str">
        <f>Matchs!P694</f>
        <v xml:space="preserve">Carlos Simon </v>
      </c>
      <c r="AG693" s="6" t="str">
        <f t="shared" si="206"/>
        <v xml:space="preserve">",Visistors= </v>
      </c>
      <c r="AH693" s="11">
        <f>Matchs!Q694</f>
        <v>66000</v>
      </c>
      <c r="AI693" s="11" t="str">
        <f t="shared" si="207"/>
        <v>,Status= "</v>
      </c>
      <c r="AJ693" s="11" t="str">
        <f>Matchs!R694</f>
        <v>Finished</v>
      </c>
      <c r="AK693" t="str">
        <f t="shared" si="208"/>
        <v>" },</v>
      </c>
    </row>
    <row r="694" spans="1:37" x14ac:dyDescent="0.25">
      <c r="A694" t="str">
        <f t="shared" si="190"/>
        <v>new Match { MatchId= "</v>
      </c>
      <c r="B694" t="str">
        <f>Matchs!A695</f>
        <v>FIFAWC2006-50</v>
      </c>
      <c r="C694" t="str">
        <f t="shared" si="191"/>
        <v>",MatchNumer=</v>
      </c>
      <c r="D694">
        <f>Matchs!B695</f>
        <v>50</v>
      </c>
      <c r="E694" t="str">
        <f t="shared" si="192"/>
        <v>,DateMatch=DateTime.Parse("</v>
      </c>
      <c r="F694" s="3">
        <f>Matchs!C695</f>
        <v>38893</v>
      </c>
      <c r="G694" s="10" t="str">
        <f t="shared" si="193"/>
        <v>"),TimeMatch=TimeSpan.Parse("</v>
      </c>
      <c r="H694" s="9">
        <f>Matchs!D695</f>
        <v>8.3333333333333329E-2</v>
      </c>
      <c r="I694" t="str">
        <f t="shared" si="194"/>
        <v>"),MatchYear=</v>
      </c>
      <c r="J694">
        <f>Matchs!E695</f>
        <v>2006</v>
      </c>
      <c r="K694" t="str">
        <f t="shared" si="195"/>
        <v>, SeasonId= "</v>
      </c>
      <c r="L694" t="str">
        <f>Matchs!F695</f>
        <v>FIFAWC2006</v>
      </c>
      <c r="M694" t="str">
        <f t="shared" si="196"/>
        <v>",Round= "</v>
      </c>
      <c r="N694" t="str">
        <f>Matchs!G695</f>
        <v>Final Round</v>
      </c>
      <c r="O694" s="6" t="str">
        <f t="shared" si="197"/>
        <v>",Stage= "</v>
      </c>
      <c r="P694" t="str">
        <f>Matchs!H695</f>
        <v>Knockouts</v>
      </c>
      <c r="Q694" s="6" t="str">
        <f t="shared" si="198"/>
        <v>",SubStage= "</v>
      </c>
      <c r="R694" t="str">
        <f>Matchs!I695</f>
        <v xml:space="preserve">Round of 16 </v>
      </c>
      <c r="S694" s="6" t="str">
        <f t="shared" si="199"/>
        <v>",HTeam= "</v>
      </c>
      <c r="T694" t="str">
        <f>Matchs!J695</f>
        <v>Argentina</v>
      </c>
      <c r="U694" s="6" t="str">
        <f t="shared" si="200"/>
        <v>",HGoal=</v>
      </c>
      <c r="V694">
        <f>Matchs!K695</f>
        <v>2</v>
      </c>
      <c r="W694" s="6" t="str">
        <f t="shared" si="201"/>
        <v>,GGoal=</v>
      </c>
      <c r="X694">
        <f>Matchs!L695</f>
        <v>1</v>
      </c>
      <c r="Y694" s="6" t="str">
        <f t="shared" si="202"/>
        <v>,GTeam= "</v>
      </c>
      <c r="Z694" t="str">
        <f>Matchs!M695</f>
        <v>Mexico</v>
      </c>
      <c r="AA694" s="6" t="str">
        <f t="shared" si="203"/>
        <v>",WinNote="</v>
      </c>
      <c r="AB694" t="str">
        <f>IF(Matchs!N695="","",Matchs!N695)</f>
        <v/>
      </c>
      <c r="AC694" s="6" t="str">
        <f t="shared" si="204"/>
        <v xml:space="preserve">",Stadium=" </v>
      </c>
      <c r="AD694" s="11" t="str">
        <f>Matchs!O695</f>
        <v xml:space="preserve">Red Bull Arena (Leipzig) </v>
      </c>
      <c r="AE694" s="6" t="str">
        <f t="shared" si="205"/>
        <v>",Referee= "</v>
      </c>
      <c r="AF694" s="11" t="str">
        <f>Matchs!P695</f>
        <v xml:space="preserve">Massimo Busacca </v>
      </c>
      <c r="AG694" s="6" t="str">
        <f t="shared" si="206"/>
        <v xml:space="preserve">",Visistors= </v>
      </c>
      <c r="AH694" s="11">
        <f>Matchs!Q695</f>
        <v>43000</v>
      </c>
      <c r="AI694" s="11" t="str">
        <f t="shared" si="207"/>
        <v>,Status= "</v>
      </c>
      <c r="AJ694" s="11" t="str">
        <f>Matchs!R695</f>
        <v>Finished</v>
      </c>
      <c r="AK694" t="str">
        <f t="shared" si="208"/>
        <v>" },</v>
      </c>
    </row>
    <row r="695" spans="1:37" x14ac:dyDescent="0.25">
      <c r="A695" t="str">
        <f t="shared" si="190"/>
        <v>new Match { MatchId= "</v>
      </c>
      <c r="B695" t="str">
        <f>Matchs!A696</f>
        <v>FIFAWC2006-51</v>
      </c>
      <c r="C695" t="str">
        <f t="shared" si="191"/>
        <v>",MatchNumer=</v>
      </c>
      <c r="D695">
        <f>Matchs!B696</f>
        <v>51</v>
      </c>
      <c r="E695" t="str">
        <f t="shared" si="192"/>
        <v>,DateMatch=DateTime.Parse("</v>
      </c>
      <c r="F695" s="3">
        <f>Matchs!C696</f>
        <v>38893</v>
      </c>
      <c r="G695" s="10" t="str">
        <f t="shared" si="193"/>
        <v>"),TimeMatch=TimeSpan.Parse("</v>
      </c>
      <c r="H695" s="9">
        <f>Matchs!D696</f>
        <v>0.91666666666666663</v>
      </c>
      <c r="I695" t="str">
        <f t="shared" si="194"/>
        <v>"),MatchYear=</v>
      </c>
      <c r="J695">
        <f>Matchs!E696</f>
        <v>2006</v>
      </c>
      <c r="K695" t="str">
        <f t="shared" si="195"/>
        <v>, SeasonId= "</v>
      </c>
      <c r="L695" t="str">
        <f>Matchs!F696</f>
        <v>FIFAWC2006</v>
      </c>
      <c r="M695" t="str">
        <f t="shared" si="196"/>
        <v>",Round= "</v>
      </c>
      <c r="N695" t="str">
        <f>Matchs!G696</f>
        <v>Final Round</v>
      </c>
      <c r="O695" s="6" t="str">
        <f t="shared" si="197"/>
        <v>",Stage= "</v>
      </c>
      <c r="P695" t="str">
        <f>Matchs!H696</f>
        <v>Knockouts</v>
      </c>
      <c r="Q695" s="6" t="str">
        <f t="shared" si="198"/>
        <v>",SubStage= "</v>
      </c>
      <c r="R695" t="str">
        <f>Matchs!I696</f>
        <v xml:space="preserve">Round of 16 </v>
      </c>
      <c r="S695" s="6" t="str">
        <f t="shared" si="199"/>
        <v>",HTeam= "</v>
      </c>
      <c r="T695" t="str">
        <f>Matchs!J696</f>
        <v>England</v>
      </c>
      <c r="U695" s="6" t="str">
        <f t="shared" si="200"/>
        <v>",HGoal=</v>
      </c>
      <c r="V695">
        <f>Matchs!K696</f>
        <v>1</v>
      </c>
      <c r="W695" s="6" t="str">
        <f t="shared" si="201"/>
        <v>,GGoal=</v>
      </c>
      <c r="X695">
        <f>Matchs!L696</f>
        <v>0</v>
      </c>
      <c r="Y695" s="6" t="str">
        <f t="shared" si="202"/>
        <v>,GTeam= "</v>
      </c>
      <c r="Z695" t="str">
        <f>Matchs!M696</f>
        <v>Ecuador</v>
      </c>
      <c r="AA695" s="6" t="str">
        <f t="shared" si="203"/>
        <v>",WinNote="</v>
      </c>
      <c r="AB695" t="str">
        <f>IF(Matchs!N696="","",Matchs!N696)</f>
        <v/>
      </c>
      <c r="AC695" s="6" t="str">
        <f t="shared" si="204"/>
        <v xml:space="preserve">",Stadium=" </v>
      </c>
      <c r="AD695" s="11" t="str">
        <f>Matchs!O696</f>
        <v xml:space="preserve">Mercedes-Benz Arena </v>
      </c>
      <c r="AE695" s="6" t="str">
        <f t="shared" si="205"/>
        <v>",Referee= "</v>
      </c>
      <c r="AF695" s="11" t="str">
        <f>Matchs!P696</f>
        <v xml:space="preserve">Frank de Bleeckere </v>
      </c>
      <c r="AG695" s="6" t="str">
        <f t="shared" si="206"/>
        <v xml:space="preserve">",Visistors= </v>
      </c>
      <c r="AH695" s="11">
        <f>Matchs!Q696</f>
        <v>52000</v>
      </c>
      <c r="AI695" s="11" t="str">
        <f t="shared" si="207"/>
        <v>,Status= "</v>
      </c>
      <c r="AJ695" s="11" t="str">
        <f>Matchs!R696</f>
        <v>Finished</v>
      </c>
      <c r="AK695" t="str">
        <f t="shared" si="208"/>
        <v>" },</v>
      </c>
    </row>
    <row r="696" spans="1:37" x14ac:dyDescent="0.25">
      <c r="A696" t="str">
        <f t="shared" si="190"/>
        <v>new Match { MatchId= "</v>
      </c>
      <c r="B696" t="str">
        <f>Matchs!A697</f>
        <v>FIFAWC2006-52</v>
      </c>
      <c r="C696" t="str">
        <f t="shared" si="191"/>
        <v>",MatchNumer=</v>
      </c>
      <c r="D696">
        <f>Matchs!B697</f>
        <v>52</v>
      </c>
      <c r="E696" t="str">
        <f t="shared" si="192"/>
        <v>,DateMatch=DateTime.Parse("</v>
      </c>
      <c r="F696" s="3">
        <f>Matchs!C697</f>
        <v>38894</v>
      </c>
      <c r="G696" s="10" t="str">
        <f t="shared" si="193"/>
        <v>"),TimeMatch=TimeSpan.Parse("</v>
      </c>
      <c r="H696" s="9">
        <f>Matchs!D697</f>
        <v>8.3333333333333329E-2</v>
      </c>
      <c r="I696" t="str">
        <f t="shared" si="194"/>
        <v>"),MatchYear=</v>
      </c>
      <c r="J696">
        <f>Matchs!E697</f>
        <v>2006</v>
      </c>
      <c r="K696" t="str">
        <f t="shared" si="195"/>
        <v>, SeasonId= "</v>
      </c>
      <c r="L696" t="str">
        <f>Matchs!F697</f>
        <v>FIFAWC2006</v>
      </c>
      <c r="M696" t="str">
        <f t="shared" si="196"/>
        <v>",Round= "</v>
      </c>
      <c r="N696" t="str">
        <f>Matchs!G697</f>
        <v>Final Round</v>
      </c>
      <c r="O696" s="6" t="str">
        <f t="shared" si="197"/>
        <v>",Stage= "</v>
      </c>
      <c r="P696" t="str">
        <f>Matchs!H697</f>
        <v>Knockouts</v>
      </c>
      <c r="Q696" s="6" t="str">
        <f t="shared" si="198"/>
        <v>",SubStage= "</v>
      </c>
      <c r="R696" t="str">
        <f>Matchs!I697</f>
        <v xml:space="preserve">Round of 16 </v>
      </c>
      <c r="S696" s="6" t="str">
        <f t="shared" si="199"/>
        <v>",HTeam= "</v>
      </c>
      <c r="T696" t="str">
        <f>Matchs!J697</f>
        <v>Portugal</v>
      </c>
      <c r="U696" s="6" t="str">
        <f t="shared" si="200"/>
        <v>",HGoal=</v>
      </c>
      <c r="V696">
        <f>Matchs!K697</f>
        <v>1</v>
      </c>
      <c r="W696" s="6" t="str">
        <f t="shared" si="201"/>
        <v>,GGoal=</v>
      </c>
      <c r="X696">
        <f>Matchs!L697</f>
        <v>0</v>
      </c>
      <c r="Y696" s="6" t="str">
        <f t="shared" si="202"/>
        <v>,GTeam= "</v>
      </c>
      <c r="Z696" t="str">
        <f>Matchs!M697</f>
        <v>Netherlands</v>
      </c>
      <c r="AA696" s="6" t="str">
        <f t="shared" si="203"/>
        <v>",WinNote="</v>
      </c>
      <c r="AB696" t="str">
        <f>IF(Matchs!N697="","",Matchs!N697)</f>
        <v/>
      </c>
      <c r="AC696" s="6" t="str">
        <f t="shared" si="204"/>
        <v xml:space="preserve">",Stadium=" </v>
      </c>
      <c r="AD696" s="11" t="str">
        <f>Matchs!O697</f>
        <v xml:space="preserve">Frankenstadion </v>
      </c>
      <c r="AE696" s="6" t="str">
        <f t="shared" si="205"/>
        <v>",Referee= "</v>
      </c>
      <c r="AF696" s="11" t="str">
        <f>Matchs!P697</f>
        <v xml:space="preserve">Valentin Ivanov </v>
      </c>
      <c r="AG696" s="6" t="str">
        <f t="shared" si="206"/>
        <v xml:space="preserve">",Visistors= </v>
      </c>
      <c r="AH696" s="11">
        <f>Matchs!Q697</f>
        <v>41000</v>
      </c>
      <c r="AI696" s="11" t="str">
        <f t="shared" si="207"/>
        <v>,Status= "</v>
      </c>
      <c r="AJ696" s="11" t="str">
        <f>Matchs!R697</f>
        <v>Finished</v>
      </c>
      <c r="AK696" t="str">
        <f t="shared" si="208"/>
        <v>" },</v>
      </c>
    </row>
    <row r="697" spans="1:37" x14ac:dyDescent="0.25">
      <c r="A697" t="str">
        <f t="shared" si="190"/>
        <v>new Match { MatchId= "</v>
      </c>
      <c r="B697" t="str">
        <f>Matchs!A698</f>
        <v>FIFAWC2006-53</v>
      </c>
      <c r="C697" t="str">
        <f t="shared" si="191"/>
        <v>",MatchNumer=</v>
      </c>
      <c r="D697">
        <f>Matchs!B698</f>
        <v>53</v>
      </c>
      <c r="E697" t="str">
        <f t="shared" si="192"/>
        <v>,DateMatch=DateTime.Parse("</v>
      </c>
      <c r="F697" s="3">
        <f>Matchs!C698</f>
        <v>38895</v>
      </c>
      <c r="G697" s="10" t="str">
        <f t="shared" si="193"/>
        <v>"),TimeMatch=TimeSpan.Parse("</v>
      </c>
      <c r="H697" s="9">
        <f>Matchs!D698</f>
        <v>8.3333333333333329E-2</v>
      </c>
      <c r="I697" t="str">
        <f t="shared" si="194"/>
        <v>"),MatchYear=</v>
      </c>
      <c r="J697">
        <f>Matchs!E698</f>
        <v>2006</v>
      </c>
      <c r="K697" t="str">
        <f t="shared" si="195"/>
        <v>, SeasonId= "</v>
      </c>
      <c r="L697" t="str">
        <f>Matchs!F698</f>
        <v>FIFAWC2006</v>
      </c>
      <c r="M697" t="str">
        <f t="shared" si="196"/>
        <v>",Round= "</v>
      </c>
      <c r="N697" t="str">
        <f>Matchs!G698</f>
        <v>Final Round</v>
      </c>
      <c r="O697" s="6" t="str">
        <f t="shared" si="197"/>
        <v>",Stage= "</v>
      </c>
      <c r="P697" t="str">
        <f>Matchs!H698</f>
        <v>Knockouts</v>
      </c>
      <c r="Q697" s="6" t="str">
        <f t="shared" si="198"/>
        <v>",SubStage= "</v>
      </c>
      <c r="R697" t="str">
        <f>Matchs!I698</f>
        <v xml:space="preserve">Round of 16 </v>
      </c>
      <c r="S697" s="6" t="str">
        <f t="shared" si="199"/>
        <v>",HTeam= "</v>
      </c>
      <c r="T697" t="str">
        <f>Matchs!J698</f>
        <v>Ukraine</v>
      </c>
      <c r="U697" s="6" t="str">
        <f t="shared" si="200"/>
        <v>",HGoal=</v>
      </c>
      <c r="V697">
        <f>Matchs!K698</f>
        <v>0</v>
      </c>
      <c r="W697" s="6" t="str">
        <f t="shared" si="201"/>
        <v>,GGoal=</v>
      </c>
      <c r="X697">
        <f>Matchs!L698</f>
        <v>0</v>
      </c>
      <c r="Y697" s="6" t="str">
        <f t="shared" si="202"/>
        <v>,GTeam= "</v>
      </c>
      <c r="Z697" t="str">
        <f>Matchs!M698</f>
        <v>Switzerland</v>
      </c>
      <c r="AA697" s="6" t="str">
        <f t="shared" si="203"/>
        <v>",WinNote="</v>
      </c>
      <c r="AB697" t="str">
        <f>IF(Matchs!N698="","",Matchs!N698)</f>
        <v>Ukraine win 0 - 3 on penalties</v>
      </c>
      <c r="AC697" s="6" t="str">
        <f t="shared" si="204"/>
        <v xml:space="preserve">",Stadium=" </v>
      </c>
      <c r="AD697" s="11" t="str">
        <f>Matchs!O698</f>
        <v xml:space="preserve">RheinEnergieStadion </v>
      </c>
      <c r="AE697" s="6" t="str">
        <f t="shared" si="205"/>
        <v>",Referee= "</v>
      </c>
      <c r="AF697" s="11" t="str">
        <f>Matchs!P698</f>
        <v xml:space="preserve">Benito Archundia </v>
      </c>
      <c r="AG697" s="6" t="str">
        <f t="shared" si="206"/>
        <v xml:space="preserve">",Visistors= </v>
      </c>
      <c r="AH697" s="11">
        <f>Matchs!Q698</f>
        <v>45000</v>
      </c>
      <c r="AI697" s="11" t="str">
        <f t="shared" si="207"/>
        <v>,Status= "</v>
      </c>
      <c r="AJ697" s="11" t="str">
        <f>Matchs!R698</f>
        <v>Finished</v>
      </c>
      <c r="AK697" t="str">
        <f t="shared" si="208"/>
        <v>" },</v>
      </c>
    </row>
    <row r="698" spans="1:37" x14ac:dyDescent="0.25">
      <c r="A698" t="str">
        <f t="shared" si="190"/>
        <v>new Match { MatchId= "</v>
      </c>
      <c r="B698" t="str">
        <f>Matchs!A699</f>
        <v>FIFAWC2006-54</v>
      </c>
      <c r="C698" t="str">
        <f t="shared" si="191"/>
        <v>",MatchNumer=</v>
      </c>
      <c r="D698">
        <f>Matchs!B699</f>
        <v>54</v>
      </c>
      <c r="E698" t="str">
        <f t="shared" si="192"/>
        <v>,DateMatch=DateTime.Parse("</v>
      </c>
      <c r="F698" s="3">
        <f>Matchs!C699</f>
        <v>38894</v>
      </c>
      <c r="G698" s="10" t="str">
        <f t="shared" si="193"/>
        <v>"),TimeMatch=TimeSpan.Parse("</v>
      </c>
      <c r="H698" s="9">
        <f>Matchs!D699</f>
        <v>0.91666666666666663</v>
      </c>
      <c r="I698" t="str">
        <f t="shared" si="194"/>
        <v>"),MatchYear=</v>
      </c>
      <c r="J698">
        <f>Matchs!E699</f>
        <v>2006</v>
      </c>
      <c r="K698" t="str">
        <f t="shared" si="195"/>
        <v>, SeasonId= "</v>
      </c>
      <c r="L698" t="str">
        <f>Matchs!F699</f>
        <v>FIFAWC2006</v>
      </c>
      <c r="M698" t="str">
        <f t="shared" si="196"/>
        <v>",Round= "</v>
      </c>
      <c r="N698" t="str">
        <f>Matchs!G699</f>
        <v>Final Round</v>
      </c>
      <c r="O698" s="6" t="str">
        <f t="shared" si="197"/>
        <v>",Stage= "</v>
      </c>
      <c r="P698" t="str">
        <f>Matchs!H699</f>
        <v>Knockouts</v>
      </c>
      <c r="Q698" s="6" t="str">
        <f t="shared" si="198"/>
        <v>",SubStage= "</v>
      </c>
      <c r="R698" t="str">
        <f>Matchs!I699</f>
        <v xml:space="preserve">Round of 16 </v>
      </c>
      <c r="S698" s="6" t="str">
        <f t="shared" si="199"/>
        <v>",HTeam= "</v>
      </c>
      <c r="T698" t="str">
        <f>Matchs!J699</f>
        <v>Italy</v>
      </c>
      <c r="U698" s="6" t="str">
        <f t="shared" si="200"/>
        <v>",HGoal=</v>
      </c>
      <c r="V698">
        <f>Matchs!K699</f>
        <v>1</v>
      </c>
      <c r="W698" s="6" t="str">
        <f t="shared" si="201"/>
        <v>,GGoal=</v>
      </c>
      <c r="X698">
        <f>Matchs!L699</f>
        <v>0</v>
      </c>
      <c r="Y698" s="6" t="str">
        <f t="shared" si="202"/>
        <v>,GTeam= "</v>
      </c>
      <c r="Z698" t="str">
        <f>Matchs!M699</f>
        <v>Australia</v>
      </c>
      <c r="AA698" s="6" t="str">
        <f t="shared" si="203"/>
        <v>",WinNote="</v>
      </c>
      <c r="AB698" t="str">
        <f>IF(Matchs!N699="","",Matchs!N699)</f>
        <v/>
      </c>
      <c r="AC698" s="6" t="str">
        <f t="shared" si="204"/>
        <v xml:space="preserve">",Stadium=" </v>
      </c>
      <c r="AD698" s="11" t="str">
        <f>Matchs!O699</f>
        <v xml:space="preserve">Fritz-Walter-Stadion </v>
      </c>
      <c r="AE698" s="6" t="str">
        <f t="shared" si="205"/>
        <v>",Referee= "</v>
      </c>
      <c r="AF698" s="11" t="str">
        <f>Matchs!P699</f>
        <v xml:space="preserve">Luis Medina Cantalejo </v>
      </c>
      <c r="AG698" s="6" t="str">
        <f t="shared" si="206"/>
        <v xml:space="preserve">",Visistors= </v>
      </c>
      <c r="AH698" s="11">
        <f>Matchs!Q699</f>
        <v>46000</v>
      </c>
      <c r="AI698" s="11" t="str">
        <f t="shared" si="207"/>
        <v>,Status= "</v>
      </c>
      <c r="AJ698" s="11" t="str">
        <f>Matchs!R699</f>
        <v>Finished</v>
      </c>
      <c r="AK698" t="str">
        <f t="shared" si="208"/>
        <v>" },</v>
      </c>
    </row>
    <row r="699" spans="1:37" x14ac:dyDescent="0.25">
      <c r="A699" t="str">
        <f t="shared" si="190"/>
        <v>new Match { MatchId= "</v>
      </c>
      <c r="B699" t="str">
        <f>Matchs!A700</f>
        <v>FIFAWC2006-55</v>
      </c>
      <c r="C699" t="str">
        <f t="shared" si="191"/>
        <v>",MatchNumer=</v>
      </c>
      <c r="D699">
        <f>Matchs!B700</f>
        <v>55</v>
      </c>
      <c r="E699" t="str">
        <f t="shared" si="192"/>
        <v>,DateMatch=DateTime.Parse("</v>
      </c>
      <c r="F699" s="3">
        <f>Matchs!C700</f>
        <v>38895</v>
      </c>
      <c r="G699" s="10" t="str">
        <f t="shared" si="193"/>
        <v>"),TimeMatch=TimeSpan.Parse("</v>
      </c>
      <c r="H699" s="9">
        <f>Matchs!D700</f>
        <v>8.3333333333333329E-2</v>
      </c>
      <c r="I699" t="str">
        <f t="shared" si="194"/>
        <v>"),MatchYear=</v>
      </c>
      <c r="J699">
        <f>Matchs!E700</f>
        <v>2006</v>
      </c>
      <c r="K699" t="str">
        <f t="shared" si="195"/>
        <v>, SeasonId= "</v>
      </c>
      <c r="L699" t="str">
        <f>Matchs!F700</f>
        <v>FIFAWC2006</v>
      </c>
      <c r="M699" t="str">
        <f t="shared" si="196"/>
        <v>",Round= "</v>
      </c>
      <c r="N699" t="str">
        <f>Matchs!G700</f>
        <v>Final Round</v>
      </c>
      <c r="O699" s="6" t="str">
        <f t="shared" si="197"/>
        <v>",Stage= "</v>
      </c>
      <c r="P699" t="str">
        <f>Matchs!H700</f>
        <v>Knockouts</v>
      </c>
      <c r="Q699" s="6" t="str">
        <f t="shared" si="198"/>
        <v>",SubStage= "</v>
      </c>
      <c r="R699" t="str">
        <f>Matchs!I700</f>
        <v xml:space="preserve">Round of 16 </v>
      </c>
      <c r="S699" s="6" t="str">
        <f t="shared" si="199"/>
        <v>",HTeam= "</v>
      </c>
      <c r="T699" t="str">
        <f>Matchs!J700</f>
        <v>Brazil</v>
      </c>
      <c r="U699" s="6" t="str">
        <f t="shared" si="200"/>
        <v>",HGoal=</v>
      </c>
      <c r="V699">
        <f>Matchs!K700</f>
        <v>3</v>
      </c>
      <c r="W699" s="6" t="str">
        <f t="shared" si="201"/>
        <v>,GGoal=</v>
      </c>
      <c r="X699">
        <f>Matchs!L700</f>
        <v>0</v>
      </c>
      <c r="Y699" s="6" t="str">
        <f t="shared" si="202"/>
        <v>,GTeam= "</v>
      </c>
      <c r="Z699" t="str">
        <f>Matchs!M700</f>
        <v>Ghana</v>
      </c>
      <c r="AA699" s="6" t="str">
        <f t="shared" si="203"/>
        <v>",WinNote="</v>
      </c>
      <c r="AB699" t="str">
        <f>IF(Matchs!N700="","",Matchs!N700)</f>
        <v/>
      </c>
      <c r="AC699" s="6" t="str">
        <f t="shared" si="204"/>
        <v xml:space="preserve">",Stadium=" </v>
      </c>
      <c r="AD699" s="11" t="str">
        <f>Matchs!O700</f>
        <v xml:space="preserve">Westfalenstadion </v>
      </c>
      <c r="AE699" s="6" t="str">
        <f t="shared" si="205"/>
        <v>",Referee= "</v>
      </c>
      <c r="AF699" s="11" t="str">
        <f>Matchs!P700</f>
        <v xml:space="preserve">Lubos Michel </v>
      </c>
      <c r="AG699" s="6" t="str">
        <f t="shared" si="206"/>
        <v xml:space="preserve">",Visistors= </v>
      </c>
      <c r="AH699" s="11">
        <f>Matchs!Q700</f>
        <v>65000</v>
      </c>
      <c r="AI699" s="11" t="str">
        <f t="shared" si="207"/>
        <v>,Status= "</v>
      </c>
      <c r="AJ699" s="11" t="str">
        <f>Matchs!R700</f>
        <v>Finished</v>
      </c>
      <c r="AK699" t="str">
        <f t="shared" si="208"/>
        <v>" },</v>
      </c>
    </row>
    <row r="700" spans="1:37" x14ac:dyDescent="0.25">
      <c r="A700" t="str">
        <f t="shared" si="190"/>
        <v>new Match { MatchId= "</v>
      </c>
      <c r="B700" t="str">
        <f>Matchs!A701</f>
        <v>FIFAWC2006-56</v>
      </c>
      <c r="C700" t="str">
        <f t="shared" si="191"/>
        <v>",MatchNumer=</v>
      </c>
      <c r="D700">
        <f>Matchs!B701</f>
        <v>56</v>
      </c>
      <c r="E700" t="str">
        <f t="shared" si="192"/>
        <v>,DateMatch=DateTime.Parse("</v>
      </c>
      <c r="F700" s="3">
        <f>Matchs!C701</f>
        <v>38895</v>
      </c>
      <c r="G700" s="10" t="str">
        <f t="shared" si="193"/>
        <v>"),TimeMatch=TimeSpan.Parse("</v>
      </c>
      <c r="H700" s="9">
        <f>Matchs!D701</f>
        <v>0.91666666666666663</v>
      </c>
      <c r="I700" t="str">
        <f t="shared" si="194"/>
        <v>"),MatchYear=</v>
      </c>
      <c r="J700">
        <f>Matchs!E701</f>
        <v>2006</v>
      </c>
      <c r="K700" t="str">
        <f t="shared" si="195"/>
        <v>, SeasonId= "</v>
      </c>
      <c r="L700" t="str">
        <f>Matchs!F701</f>
        <v>FIFAWC2006</v>
      </c>
      <c r="M700" t="str">
        <f t="shared" si="196"/>
        <v>",Round= "</v>
      </c>
      <c r="N700" t="str">
        <f>Matchs!G701</f>
        <v>Final Round</v>
      </c>
      <c r="O700" s="6" t="str">
        <f t="shared" si="197"/>
        <v>",Stage= "</v>
      </c>
      <c r="P700" t="str">
        <f>Matchs!H701</f>
        <v>Knockouts</v>
      </c>
      <c r="Q700" s="6" t="str">
        <f t="shared" si="198"/>
        <v>",SubStage= "</v>
      </c>
      <c r="R700" t="str">
        <f>Matchs!I701</f>
        <v xml:space="preserve">Round of 16 </v>
      </c>
      <c r="S700" s="6" t="str">
        <f t="shared" si="199"/>
        <v>",HTeam= "</v>
      </c>
      <c r="T700" t="str">
        <f>Matchs!J701</f>
        <v>Spain</v>
      </c>
      <c r="U700" s="6" t="str">
        <f t="shared" si="200"/>
        <v>",HGoal=</v>
      </c>
      <c r="V700">
        <f>Matchs!K701</f>
        <v>1</v>
      </c>
      <c r="W700" s="6" t="str">
        <f t="shared" si="201"/>
        <v>,GGoal=</v>
      </c>
      <c r="X700">
        <f>Matchs!L701</f>
        <v>3</v>
      </c>
      <c r="Y700" s="6" t="str">
        <f t="shared" si="202"/>
        <v>,GTeam= "</v>
      </c>
      <c r="Z700" t="str">
        <f>Matchs!M701</f>
        <v>France</v>
      </c>
      <c r="AA700" s="6" t="str">
        <f t="shared" si="203"/>
        <v>",WinNote="</v>
      </c>
      <c r="AB700" t="str">
        <f>IF(Matchs!N701="","",Matchs!N701)</f>
        <v/>
      </c>
      <c r="AC700" s="6" t="str">
        <f t="shared" si="204"/>
        <v xml:space="preserve">",Stadium=" </v>
      </c>
      <c r="AD700" s="11" t="str">
        <f>Matchs!O701</f>
        <v xml:space="preserve">AWD-Arena </v>
      </c>
      <c r="AE700" s="6" t="str">
        <f t="shared" si="205"/>
        <v>",Referee= "</v>
      </c>
      <c r="AF700" s="11" t="str">
        <f>Matchs!P701</f>
        <v xml:space="preserve">Roberto Rosetti </v>
      </c>
      <c r="AG700" s="6" t="str">
        <f t="shared" si="206"/>
        <v xml:space="preserve">",Visistors= </v>
      </c>
      <c r="AH700" s="11">
        <f>Matchs!Q701</f>
        <v>43000</v>
      </c>
      <c r="AI700" s="11" t="str">
        <f t="shared" si="207"/>
        <v>,Status= "</v>
      </c>
      <c r="AJ700" s="11" t="str">
        <f>Matchs!R701</f>
        <v>Finished</v>
      </c>
      <c r="AK700" t="str">
        <f t="shared" si="208"/>
        <v>" },</v>
      </c>
    </row>
    <row r="701" spans="1:37" x14ac:dyDescent="0.25">
      <c r="A701" t="str">
        <f t="shared" si="190"/>
        <v>new Match { MatchId= "</v>
      </c>
      <c r="B701" t="str">
        <f>Matchs!A702</f>
        <v>FIFAWC2006-57</v>
      </c>
      <c r="C701" t="str">
        <f t="shared" si="191"/>
        <v>",MatchNumer=</v>
      </c>
      <c r="D701">
        <f>Matchs!B702</f>
        <v>57</v>
      </c>
      <c r="E701" t="str">
        <f t="shared" si="192"/>
        <v>,DateMatch=DateTime.Parse("</v>
      </c>
      <c r="F701" s="3">
        <f>Matchs!C702</f>
        <v>38898</v>
      </c>
      <c r="G701" s="10" t="str">
        <f t="shared" si="193"/>
        <v>"),TimeMatch=TimeSpan.Parse("</v>
      </c>
      <c r="H701" s="9">
        <f>Matchs!D702</f>
        <v>0.91666666666666663</v>
      </c>
      <c r="I701" t="str">
        <f t="shared" si="194"/>
        <v>"),MatchYear=</v>
      </c>
      <c r="J701">
        <f>Matchs!E702</f>
        <v>2006</v>
      </c>
      <c r="K701" t="str">
        <f t="shared" si="195"/>
        <v>, SeasonId= "</v>
      </c>
      <c r="L701" t="str">
        <f>Matchs!F702</f>
        <v>FIFAWC2006</v>
      </c>
      <c r="M701" t="str">
        <f t="shared" si="196"/>
        <v>",Round= "</v>
      </c>
      <c r="N701" t="str">
        <f>Matchs!G702</f>
        <v>Final Round</v>
      </c>
      <c r="O701" s="6" t="str">
        <f t="shared" si="197"/>
        <v>",Stage= "</v>
      </c>
      <c r="P701" t="str">
        <f>Matchs!H702</f>
        <v>Knockouts</v>
      </c>
      <c r="Q701" s="6" t="str">
        <f t="shared" si="198"/>
        <v>",SubStage= "</v>
      </c>
      <c r="R701" t="str">
        <f>Matchs!I702</f>
        <v>Quaterfinal</v>
      </c>
      <c r="S701" s="6" t="str">
        <f t="shared" si="199"/>
        <v>",HTeam= "</v>
      </c>
      <c r="T701" t="str">
        <f>Matchs!J702</f>
        <v>Germany</v>
      </c>
      <c r="U701" s="6" t="str">
        <f t="shared" si="200"/>
        <v>",HGoal=</v>
      </c>
      <c r="V701">
        <f>Matchs!K702</f>
        <v>1</v>
      </c>
      <c r="W701" s="6" t="str">
        <f t="shared" si="201"/>
        <v>,GGoal=</v>
      </c>
      <c r="X701">
        <f>Matchs!L702</f>
        <v>1</v>
      </c>
      <c r="Y701" s="6" t="str">
        <f t="shared" si="202"/>
        <v>,GTeam= "</v>
      </c>
      <c r="Z701" t="str">
        <f>Matchs!M702</f>
        <v>Argentina</v>
      </c>
      <c r="AA701" s="6" t="str">
        <f t="shared" si="203"/>
        <v>",WinNote="</v>
      </c>
      <c r="AB701" t="str">
        <f>IF(Matchs!N702="","",Matchs!N702)</f>
        <v>Germany win 4 - 2 on penalties</v>
      </c>
      <c r="AC701" s="6" t="str">
        <f t="shared" si="204"/>
        <v xml:space="preserve">",Stadium=" </v>
      </c>
      <c r="AD701" s="11" t="str">
        <f>Matchs!O702</f>
        <v xml:space="preserve">Olympiastadion </v>
      </c>
      <c r="AE701" s="6" t="str">
        <f t="shared" si="205"/>
        <v>",Referee= "</v>
      </c>
      <c r="AF701" s="11" t="str">
        <f>Matchs!P702</f>
        <v xml:space="preserve">Lubos Michel </v>
      </c>
      <c r="AG701" s="6" t="str">
        <f t="shared" si="206"/>
        <v xml:space="preserve">",Visistors= </v>
      </c>
      <c r="AH701" s="11">
        <f>Matchs!Q702</f>
        <v>72000</v>
      </c>
      <c r="AI701" s="11" t="str">
        <f t="shared" si="207"/>
        <v>,Status= "</v>
      </c>
      <c r="AJ701" s="11" t="str">
        <f>Matchs!R702</f>
        <v>Finished</v>
      </c>
      <c r="AK701" t="str">
        <f t="shared" si="208"/>
        <v>" },</v>
      </c>
    </row>
    <row r="702" spans="1:37" x14ac:dyDescent="0.25">
      <c r="A702" t="str">
        <f t="shared" si="190"/>
        <v>new Match { MatchId= "</v>
      </c>
      <c r="B702" t="str">
        <f>Matchs!A703</f>
        <v>FIFAWC2006-58</v>
      </c>
      <c r="C702" t="str">
        <f t="shared" si="191"/>
        <v>",MatchNumer=</v>
      </c>
      <c r="D702">
        <f>Matchs!B703</f>
        <v>58</v>
      </c>
      <c r="E702" t="str">
        <f t="shared" si="192"/>
        <v>,DateMatch=DateTime.Parse("</v>
      </c>
      <c r="F702" s="3">
        <f>Matchs!C703</f>
        <v>38899</v>
      </c>
      <c r="G702" s="10" t="str">
        <f t="shared" si="193"/>
        <v>"),TimeMatch=TimeSpan.Parse("</v>
      </c>
      <c r="H702" s="9">
        <f>Matchs!D703</f>
        <v>8.3333333333333329E-2</v>
      </c>
      <c r="I702" t="str">
        <f t="shared" si="194"/>
        <v>"),MatchYear=</v>
      </c>
      <c r="J702">
        <f>Matchs!E703</f>
        <v>2006</v>
      </c>
      <c r="K702" t="str">
        <f t="shared" si="195"/>
        <v>, SeasonId= "</v>
      </c>
      <c r="L702" t="str">
        <f>Matchs!F703</f>
        <v>FIFAWC2006</v>
      </c>
      <c r="M702" t="str">
        <f t="shared" si="196"/>
        <v>",Round= "</v>
      </c>
      <c r="N702" t="str">
        <f>Matchs!G703</f>
        <v>Final Round</v>
      </c>
      <c r="O702" s="6" t="str">
        <f t="shared" si="197"/>
        <v>",Stage= "</v>
      </c>
      <c r="P702" t="str">
        <f>Matchs!H703</f>
        <v>Knockouts</v>
      </c>
      <c r="Q702" s="6" t="str">
        <f t="shared" si="198"/>
        <v>",SubStage= "</v>
      </c>
      <c r="R702" t="str">
        <f>Matchs!I703</f>
        <v>Quaterfinal</v>
      </c>
      <c r="S702" s="6" t="str">
        <f t="shared" si="199"/>
        <v>",HTeam= "</v>
      </c>
      <c r="T702" t="str">
        <f>Matchs!J703</f>
        <v>Italy</v>
      </c>
      <c r="U702" s="6" t="str">
        <f t="shared" si="200"/>
        <v>",HGoal=</v>
      </c>
      <c r="V702">
        <f>Matchs!K703</f>
        <v>3</v>
      </c>
      <c r="W702" s="6" t="str">
        <f t="shared" si="201"/>
        <v>,GGoal=</v>
      </c>
      <c r="X702">
        <f>Matchs!L703</f>
        <v>0</v>
      </c>
      <c r="Y702" s="6" t="str">
        <f t="shared" si="202"/>
        <v>,GTeam= "</v>
      </c>
      <c r="Z702" t="str">
        <f>Matchs!M703</f>
        <v>Ukraine</v>
      </c>
      <c r="AA702" s="6" t="str">
        <f t="shared" si="203"/>
        <v>",WinNote="</v>
      </c>
      <c r="AB702" t="str">
        <f>IF(Matchs!N703="","",Matchs!N703)</f>
        <v/>
      </c>
      <c r="AC702" s="6" t="str">
        <f t="shared" si="204"/>
        <v xml:space="preserve">",Stadium=" </v>
      </c>
      <c r="AD702" s="11" t="str">
        <f>Matchs!O703</f>
        <v xml:space="preserve">Volksparkstadion </v>
      </c>
      <c r="AE702" s="6" t="str">
        <f t="shared" si="205"/>
        <v>",Referee= "</v>
      </c>
      <c r="AF702" s="11" t="str">
        <f>Matchs!P703</f>
        <v xml:space="preserve">Frank de Bleeckere </v>
      </c>
      <c r="AG702" s="6" t="str">
        <f t="shared" si="206"/>
        <v xml:space="preserve">",Visistors= </v>
      </c>
      <c r="AH702" s="11">
        <f>Matchs!Q703</f>
        <v>50000</v>
      </c>
      <c r="AI702" s="11" t="str">
        <f t="shared" si="207"/>
        <v>,Status= "</v>
      </c>
      <c r="AJ702" s="11" t="str">
        <f>Matchs!R703</f>
        <v>Finished</v>
      </c>
      <c r="AK702" t="str">
        <f t="shared" si="208"/>
        <v>" },</v>
      </c>
    </row>
    <row r="703" spans="1:37" x14ac:dyDescent="0.25">
      <c r="A703" t="str">
        <f t="shared" si="190"/>
        <v>new Match { MatchId= "</v>
      </c>
      <c r="B703" t="str">
        <f>Matchs!A704</f>
        <v>FIFAWC2006-59</v>
      </c>
      <c r="C703" t="str">
        <f t="shared" si="191"/>
        <v>",MatchNumer=</v>
      </c>
      <c r="D703">
        <f>Matchs!B704</f>
        <v>59</v>
      </c>
      <c r="E703" t="str">
        <f t="shared" si="192"/>
        <v>,DateMatch=DateTime.Parse("</v>
      </c>
      <c r="F703" s="3">
        <f>Matchs!C704</f>
        <v>38899</v>
      </c>
      <c r="G703" s="10" t="str">
        <f t="shared" si="193"/>
        <v>"),TimeMatch=TimeSpan.Parse("</v>
      </c>
      <c r="H703" s="9">
        <f>Matchs!D704</f>
        <v>0.91666666666666663</v>
      </c>
      <c r="I703" t="str">
        <f t="shared" si="194"/>
        <v>"),MatchYear=</v>
      </c>
      <c r="J703">
        <f>Matchs!E704</f>
        <v>2006</v>
      </c>
      <c r="K703" t="str">
        <f t="shared" si="195"/>
        <v>, SeasonId= "</v>
      </c>
      <c r="L703" t="str">
        <f>Matchs!F704</f>
        <v>FIFAWC2006</v>
      </c>
      <c r="M703" t="str">
        <f t="shared" si="196"/>
        <v>",Round= "</v>
      </c>
      <c r="N703" t="str">
        <f>Matchs!G704</f>
        <v>Final Round</v>
      </c>
      <c r="O703" s="6" t="str">
        <f t="shared" si="197"/>
        <v>",Stage= "</v>
      </c>
      <c r="P703" t="str">
        <f>Matchs!H704</f>
        <v>Knockouts</v>
      </c>
      <c r="Q703" s="6" t="str">
        <f t="shared" si="198"/>
        <v>",SubStage= "</v>
      </c>
      <c r="R703" t="str">
        <f>Matchs!I704</f>
        <v>Quaterfinal</v>
      </c>
      <c r="S703" s="6" t="str">
        <f t="shared" si="199"/>
        <v>",HTeam= "</v>
      </c>
      <c r="T703" t="str">
        <f>Matchs!J704</f>
        <v>England</v>
      </c>
      <c r="U703" s="6" t="str">
        <f t="shared" si="200"/>
        <v>",HGoal=</v>
      </c>
      <c r="V703">
        <f>Matchs!K704</f>
        <v>0</v>
      </c>
      <c r="W703" s="6" t="str">
        <f t="shared" si="201"/>
        <v>,GGoal=</v>
      </c>
      <c r="X703">
        <f>Matchs!L704</f>
        <v>0</v>
      </c>
      <c r="Y703" s="6" t="str">
        <f t="shared" si="202"/>
        <v>,GTeam= "</v>
      </c>
      <c r="Z703" t="str">
        <f>Matchs!M704</f>
        <v>Portugal</v>
      </c>
      <c r="AA703" s="6" t="str">
        <f t="shared" si="203"/>
        <v>",WinNote="</v>
      </c>
      <c r="AB703" t="str">
        <f>IF(Matchs!N704="","",Matchs!N704)</f>
        <v>Portugal win 1 - 3 on penalties</v>
      </c>
      <c r="AC703" s="6" t="str">
        <f t="shared" si="204"/>
        <v xml:space="preserve">",Stadium=" </v>
      </c>
      <c r="AD703" s="11" t="str">
        <f>Matchs!O704</f>
        <v xml:space="preserve">Veltins-Arena </v>
      </c>
      <c r="AE703" s="6" t="str">
        <f t="shared" si="205"/>
        <v>",Referee= "</v>
      </c>
      <c r="AF703" s="11" t="str">
        <f>Matchs!P704</f>
        <v xml:space="preserve">Horacio Elizondo 52000 </v>
      </c>
      <c r="AG703" s="6" t="str">
        <f t="shared" si="206"/>
        <v xml:space="preserve">",Visistors= </v>
      </c>
      <c r="AH703" s="11">
        <f>Matchs!Q704</f>
        <v>52000</v>
      </c>
      <c r="AI703" s="11" t="str">
        <f t="shared" si="207"/>
        <v>,Status= "</v>
      </c>
      <c r="AJ703" s="11" t="str">
        <f>Matchs!R704</f>
        <v>Finished</v>
      </c>
      <c r="AK703" t="str">
        <f t="shared" si="208"/>
        <v>" },</v>
      </c>
    </row>
    <row r="704" spans="1:37" x14ac:dyDescent="0.25">
      <c r="A704" t="str">
        <f t="shared" si="190"/>
        <v>new Match { MatchId= "</v>
      </c>
      <c r="B704" t="str">
        <f>Matchs!A705</f>
        <v>FIFAWC2006-60</v>
      </c>
      <c r="C704" t="str">
        <f t="shared" si="191"/>
        <v>",MatchNumer=</v>
      </c>
      <c r="D704">
        <f>Matchs!B705</f>
        <v>60</v>
      </c>
      <c r="E704" t="str">
        <f t="shared" si="192"/>
        <v>,DateMatch=DateTime.Parse("</v>
      </c>
      <c r="F704" s="3">
        <f>Matchs!C705</f>
        <v>38900</v>
      </c>
      <c r="G704" s="10" t="str">
        <f t="shared" si="193"/>
        <v>"),TimeMatch=TimeSpan.Parse("</v>
      </c>
      <c r="H704" s="9">
        <f>Matchs!D705</f>
        <v>8.3333333333333329E-2</v>
      </c>
      <c r="I704" t="str">
        <f t="shared" si="194"/>
        <v>"),MatchYear=</v>
      </c>
      <c r="J704">
        <f>Matchs!E705</f>
        <v>2006</v>
      </c>
      <c r="K704" t="str">
        <f t="shared" si="195"/>
        <v>, SeasonId= "</v>
      </c>
      <c r="L704" t="str">
        <f>Matchs!F705</f>
        <v>FIFAWC2006</v>
      </c>
      <c r="M704" t="str">
        <f t="shared" si="196"/>
        <v>",Round= "</v>
      </c>
      <c r="N704" t="str">
        <f>Matchs!G705</f>
        <v>Final Round</v>
      </c>
      <c r="O704" s="6" t="str">
        <f t="shared" si="197"/>
        <v>",Stage= "</v>
      </c>
      <c r="P704" t="str">
        <f>Matchs!H705</f>
        <v>Knockouts</v>
      </c>
      <c r="Q704" s="6" t="str">
        <f t="shared" si="198"/>
        <v>",SubStage= "</v>
      </c>
      <c r="R704" t="str">
        <f>Matchs!I705</f>
        <v>Quaterfinal</v>
      </c>
      <c r="S704" s="6" t="str">
        <f t="shared" si="199"/>
        <v>",HTeam= "</v>
      </c>
      <c r="T704" t="str">
        <f>Matchs!J705</f>
        <v>Brazil</v>
      </c>
      <c r="U704" s="6" t="str">
        <f t="shared" si="200"/>
        <v>",HGoal=</v>
      </c>
      <c r="V704">
        <f>Matchs!K705</f>
        <v>0</v>
      </c>
      <c r="W704" s="6" t="str">
        <f t="shared" si="201"/>
        <v>,GGoal=</v>
      </c>
      <c r="X704">
        <f>Matchs!L705</f>
        <v>1</v>
      </c>
      <c r="Y704" s="6" t="str">
        <f t="shared" si="202"/>
        <v>,GTeam= "</v>
      </c>
      <c r="Z704" t="str">
        <f>Matchs!M705</f>
        <v>France</v>
      </c>
      <c r="AA704" s="6" t="str">
        <f t="shared" si="203"/>
        <v>",WinNote="</v>
      </c>
      <c r="AB704" t="str">
        <f>IF(Matchs!N705="","",Matchs!N705)</f>
        <v/>
      </c>
      <c r="AC704" s="6" t="str">
        <f t="shared" si="204"/>
        <v xml:space="preserve">",Stadium=" </v>
      </c>
      <c r="AD704" s="11" t="str">
        <f>Matchs!O705</f>
        <v xml:space="preserve">Commerzbank-Arena </v>
      </c>
      <c r="AE704" s="6" t="str">
        <f t="shared" si="205"/>
        <v>",Referee= "</v>
      </c>
      <c r="AF704" s="11" t="str">
        <f>Matchs!P705</f>
        <v xml:space="preserve">Luis Medina Cantalejo </v>
      </c>
      <c r="AG704" s="6" t="str">
        <f t="shared" si="206"/>
        <v xml:space="preserve">",Visistors= </v>
      </c>
      <c r="AH704" s="11">
        <f>Matchs!Q705</f>
        <v>48000</v>
      </c>
      <c r="AI704" s="11" t="str">
        <f t="shared" si="207"/>
        <v>,Status= "</v>
      </c>
      <c r="AJ704" s="11" t="str">
        <f>Matchs!R705</f>
        <v>Finished</v>
      </c>
      <c r="AK704" t="str">
        <f t="shared" si="208"/>
        <v>" },</v>
      </c>
    </row>
    <row r="705" spans="1:37" x14ac:dyDescent="0.25">
      <c r="A705" t="str">
        <f t="shared" si="190"/>
        <v>new Match { MatchId= "</v>
      </c>
      <c r="B705" t="str">
        <f>Matchs!A706</f>
        <v>FIFAWC2006-61</v>
      </c>
      <c r="C705" t="str">
        <f t="shared" si="191"/>
        <v>",MatchNumer=</v>
      </c>
      <c r="D705">
        <f>Matchs!B706</f>
        <v>61</v>
      </c>
      <c r="E705" t="str">
        <f t="shared" si="192"/>
        <v>,DateMatch=DateTime.Parse("</v>
      </c>
      <c r="F705" s="3">
        <f>Matchs!C706</f>
        <v>38903</v>
      </c>
      <c r="G705" s="10" t="str">
        <f t="shared" si="193"/>
        <v>"),TimeMatch=TimeSpan.Parse("</v>
      </c>
      <c r="H705" s="9">
        <f>Matchs!D706</f>
        <v>8.3333333333333329E-2</v>
      </c>
      <c r="I705" t="str">
        <f t="shared" si="194"/>
        <v>"),MatchYear=</v>
      </c>
      <c r="J705">
        <f>Matchs!E706</f>
        <v>2006</v>
      </c>
      <c r="K705" t="str">
        <f t="shared" si="195"/>
        <v>, SeasonId= "</v>
      </c>
      <c r="L705" t="str">
        <f>Matchs!F706</f>
        <v>FIFAWC2006</v>
      </c>
      <c r="M705" t="str">
        <f t="shared" si="196"/>
        <v>",Round= "</v>
      </c>
      <c r="N705" t="str">
        <f>Matchs!G706</f>
        <v>Final Round</v>
      </c>
      <c r="O705" s="6" t="str">
        <f t="shared" si="197"/>
        <v>",Stage= "</v>
      </c>
      <c r="P705" t="str">
        <f>Matchs!H706</f>
        <v>Knockouts</v>
      </c>
      <c r="Q705" s="6" t="str">
        <f t="shared" si="198"/>
        <v>",SubStage= "</v>
      </c>
      <c r="R705" t="str">
        <f>Matchs!I706</f>
        <v>Semifinal</v>
      </c>
      <c r="S705" s="6" t="str">
        <f t="shared" si="199"/>
        <v>",HTeam= "</v>
      </c>
      <c r="T705" t="str">
        <f>Matchs!J706</f>
        <v>Germany</v>
      </c>
      <c r="U705" s="6" t="str">
        <f t="shared" si="200"/>
        <v>",HGoal=</v>
      </c>
      <c r="V705">
        <f>Matchs!K706</f>
        <v>0</v>
      </c>
      <c r="W705" s="6" t="str">
        <f t="shared" si="201"/>
        <v>,GGoal=</v>
      </c>
      <c r="X705">
        <f>Matchs!L706</f>
        <v>2</v>
      </c>
      <c r="Y705" s="6" t="str">
        <f t="shared" si="202"/>
        <v>,GTeam= "</v>
      </c>
      <c r="Z705" t="str">
        <f>Matchs!M706</f>
        <v>Italy</v>
      </c>
      <c r="AA705" s="6" t="str">
        <f t="shared" si="203"/>
        <v>",WinNote="</v>
      </c>
      <c r="AB705" t="str">
        <f>IF(Matchs!N706="","",Matchs!N706)</f>
        <v/>
      </c>
      <c r="AC705" s="6" t="str">
        <f t="shared" si="204"/>
        <v xml:space="preserve">",Stadium=" </v>
      </c>
      <c r="AD705" s="11" t="str">
        <f>Matchs!O706</f>
        <v xml:space="preserve">Westfalenstadion </v>
      </c>
      <c r="AE705" s="6" t="str">
        <f t="shared" si="205"/>
        <v>",Referee= "</v>
      </c>
      <c r="AF705" s="11" t="str">
        <f>Matchs!P706</f>
        <v xml:space="preserve">Benito Archundia </v>
      </c>
      <c r="AG705" s="6" t="str">
        <f t="shared" si="206"/>
        <v xml:space="preserve">",Visistors= </v>
      </c>
      <c r="AH705" s="11">
        <f>Matchs!Q706</f>
        <v>65000</v>
      </c>
      <c r="AI705" s="11" t="str">
        <f t="shared" si="207"/>
        <v>,Status= "</v>
      </c>
      <c r="AJ705" s="11" t="str">
        <f>Matchs!R706</f>
        <v>Finished</v>
      </c>
      <c r="AK705" t="str">
        <f t="shared" si="208"/>
        <v>" },</v>
      </c>
    </row>
    <row r="706" spans="1:37" x14ac:dyDescent="0.25">
      <c r="A706" t="str">
        <f t="shared" si="190"/>
        <v>new Match { MatchId= "</v>
      </c>
      <c r="B706" t="str">
        <f>Matchs!A707</f>
        <v>FIFAWC2006-62</v>
      </c>
      <c r="C706" t="str">
        <f t="shared" si="191"/>
        <v>",MatchNumer=</v>
      </c>
      <c r="D706">
        <f>Matchs!B707</f>
        <v>62</v>
      </c>
      <c r="E706" t="str">
        <f t="shared" si="192"/>
        <v>,DateMatch=DateTime.Parse("</v>
      </c>
      <c r="F706" s="3">
        <f>Matchs!C707</f>
        <v>38904</v>
      </c>
      <c r="G706" s="10" t="str">
        <f t="shared" si="193"/>
        <v>"),TimeMatch=TimeSpan.Parse("</v>
      </c>
      <c r="H706" s="9">
        <f>Matchs!D707</f>
        <v>8.3333333333333329E-2</v>
      </c>
      <c r="I706" t="str">
        <f t="shared" si="194"/>
        <v>"),MatchYear=</v>
      </c>
      <c r="J706">
        <f>Matchs!E707</f>
        <v>2006</v>
      </c>
      <c r="K706" t="str">
        <f t="shared" si="195"/>
        <v>, SeasonId= "</v>
      </c>
      <c r="L706" t="str">
        <f>Matchs!F707</f>
        <v>FIFAWC2006</v>
      </c>
      <c r="M706" t="str">
        <f t="shared" si="196"/>
        <v>",Round= "</v>
      </c>
      <c r="N706" t="str">
        <f>Matchs!G707</f>
        <v>Final Round</v>
      </c>
      <c r="O706" s="6" t="str">
        <f t="shared" si="197"/>
        <v>",Stage= "</v>
      </c>
      <c r="P706" t="str">
        <f>Matchs!H707</f>
        <v>Knockouts</v>
      </c>
      <c r="Q706" s="6" t="str">
        <f t="shared" si="198"/>
        <v>",SubStage= "</v>
      </c>
      <c r="R706" t="str">
        <f>Matchs!I707</f>
        <v>Semifinal</v>
      </c>
      <c r="S706" s="6" t="str">
        <f t="shared" si="199"/>
        <v>",HTeam= "</v>
      </c>
      <c r="T706" t="str">
        <f>Matchs!J707</f>
        <v>Portugal</v>
      </c>
      <c r="U706" s="6" t="str">
        <f t="shared" si="200"/>
        <v>",HGoal=</v>
      </c>
      <c r="V706">
        <f>Matchs!K707</f>
        <v>0</v>
      </c>
      <c r="W706" s="6" t="str">
        <f t="shared" si="201"/>
        <v>,GGoal=</v>
      </c>
      <c r="X706">
        <f>Matchs!L707</f>
        <v>1</v>
      </c>
      <c r="Y706" s="6" t="str">
        <f t="shared" si="202"/>
        <v>,GTeam= "</v>
      </c>
      <c r="Z706" t="str">
        <f>Matchs!M707</f>
        <v>France</v>
      </c>
      <c r="AA706" s="6" t="str">
        <f t="shared" si="203"/>
        <v>",WinNote="</v>
      </c>
      <c r="AB706" t="str">
        <f>IF(Matchs!N707="","",Matchs!N707)</f>
        <v/>
      </c>
      <c r="AC706" s="6" t="str">
        <f t="shared" si="204"/>
        <v xml:space="preserve">",Stadium=" </v>
      </c>
      <c r="AD706" s="11" t="str">
        <f>Matchs!O707</f>
        <v xml:space="preserve">Allianz Arena </v>
      </c>
      <c r="AE706" s="6" t="str">
        <f t="shared" si="205"/>
        <v>",Referee= "</v>
      </c>
      <c r="AF706" s="11" t="str">
        <f>Matchs!P707</f>
        <v xml:space="preserve">Jorge Larrionda </v>
      </c>
      <c r="AG706" s="6" t="str">
        <f t="shared" si="206"/>
        <v xml:space="preserve">",Visistors= </v>
      </c>
      <c r="AH706" s="11">
        <f>Matchs!Q707</f>
        <v>66000</v>
      </c>
      <c r="AI706" s="11" t="str">
        <f t="shared" si="207"/>
        <v>,Status= "</v>
      </c>
      <c r="AJ706" s="11" t="str">
        <f>Matchs!R707</f>
        <v>Finished</v>
      </c>
      <c r="AK706" t="str">
        <f t="shared" si="208"/>
        <v>" },</v>
      </c>
    </row>
    <row r="707" spans="1:37" x14ac:dyDescent="0.25">
      <c r="A707" t="str">
        <f t="shared" ref="A707:A770" si="209">A706</f>
        <v>new Match { MatchId= "</v>
      </c>
      <c r="B707" t="str">
        <f>Matchs!A708</f>
        <v>FIFAWC2006-63</v>
      </c>
      <c r="C707" t="str">
        <f t="shared" ref="C707:C770" si="210">C706</f>
        <v>",MatchNumer=</v>
      </c>
      <c r="D707">
        <f>Matchs!B708</f>
        <v>63</v>
      </c>
      <c r="E707" t="str">
        <f t="shared" ref="E707:E770" si="211">E706</f>
        <v>,DateMatch=DateTime.Parse("</v>
      </c>
      <c r="F707" s="3">
        <f>Matchs!C708</f>
        <v>38907</v>
      </c>
      <c r="G707" s="10" t="str">
        <f t="shared" ref="G707:G770" si="212">G706</f>
        <v>"),TimeMatch=TimeSpan.Parse("</v>
      </c>
      <c r="H707" s="9">
        <f>Matchs!D708</f>
        <v>8.3333333333333329E-2</v>
      </c>
      <c r="I707" t="str">
        <f t="shared" ref="I707:I770" si="213">I706</f>
        <v>"),MatchYear=</v>
      </c>
      <c r="J707">
        <f>Matchs!E708</f>
        <v>2006</v>
      </c>
      <c r="K707" t="str">
        <f t="shared" ref="K707:K770" si="214">K706</f>
        <v>, SeasonId= "</v>
      </c>
      <c r="L707" t="str">
        <f>Matchs!F708</f>
        <v>FIFAWC2006</v>
      </c>
      <c r="M707" t="str">
        <f t="shared" ref="M707:M770" si="215">M706</f>
        <v>",Round= "</v>
      </c>
      <c r="N707" t="str">
        <f>Matchs!G708</f>
        <v>Final Round</v>
      </c>
      <c r="O707" s="6" t="str">
        <f t="shared" ref="O707:O770" si="216">O706</f>
        <v>",Stage= "</v>
      </c>
      <c r="P707" t="str">
        <f>Matchs!H708</f>
        <v>Knockouts</v>
      </c>
      <c r="Q707" s="6" t="str">
        <f t="shared" ref="Q707:Q770" si="217">Q706</f>
        <v>",SubStage= "</v>
      </c>
      <c r="R707" t="str">
        <f>Matchs!I708</f>
        <v>3rd place</v>
      </c>
      <c r="S707" s="6" t="str">
        <f t="shared" ref="S707:S770" si="218">S706</f>
        <v>",HTeam= "</v>
      </c>
      <c r="T707" t="str">
        <f>Matchs!J708</f>
        <v>Germany</v>
      </c>
      <c r="U707" s="6" t="str">
        <f t="shared" ref="U707:U770" si="219">U706</f>
        <v>",HGoal=</v>
      </c>
      <c r="V707">
        <f>Matchs!K708</f>
        <v>3</v>
      </c>
      <c r="W707" s="6" t="str">
        <f t="shared" ref="W707:W770" si="220">W706</f>
        <v>,GGoal=</v>
      </c>
      <c r="X707">
        <f>Matchs!L708</f>
        <v>1</v>
      </c>
      <c r="Y707" s="6" t="str">
        <f t="shared" ref="Y707:Y770" si="221">Y706</f>
        <v>,GTeam= "</v>
      </c>
      <c r="Z707" t="str">
        <f>Matchs!M708</f>
        <v>Portugal</v>
      </c>
      <c r="AA707" s="6" t="str">
        <f t="shared" ref="AA707:AA770" si="222">AA706</f>
        <v>",WinNote="</v>
      </c>
      <c r="AB707" t="str">
        <f>IF(Matchs!N708="","",Matchs!N708)</f>
        <v/>
      </c>
      <c r="AC707" s="6" t="str">
        <f t="shared" ref="AC707:AC770" si="223">AC706</f>
        <v xml:space="preserve">",Stadium=" </v>
      </c>
      <c r="AD707" s="11" t="str">
        <f>Matchs!O708</f>
        <v xml:space="preserve">Mercedes-Benz Arena </v>
      </c>
      <c r="AE707" s="6" t="str">
        <f t="shared" ref="AE707:AE770" si="224">AE706</f>
        <v>",Referee= "</v>
      </c>
      <c r="AF707" s="11" t="str">
        <f>Matchs!P708</f>
        <v xml:space="preserve">Toru Kamikawa </v>
      </c>
      <c r="AG707" s="6" t="str">
        <f t="shared" ref="AG707:AG770" si="225">AG706</f>
        <v xml:space="preserve">",Visistors= </v>
      </c>
      <c r="AH707" s="11">
        <f>Matchs!Q708</f>
        <v>52000</v>
      </c>
      <c r="AI707" s="11" t="str">
        <f t="shared" ref="AI707:AI770" si="226">AI706</f>
        <v>,Status= "</v>
      </c>
      <c r="AJ707" s="11" t="str">
        <f>Matchs!R708</f>
        <v>Finished</v>
      </c>
      <c r="AK707" t="str">
        <f t="shared" ref="AK707:AK770" si="227">AK706</f>
        <v>" },</v>
      </c>
    </row>
    <row r="708" spans="1:37" x14ac:dyDescent="0.25">
      <c r="A708" t="str">
        <f t="shared" si="209"/>
        <v>new Match { MatchId= "</v>
      </c>
      <c r="B708" t="str">
        <f>Matchs!A709</f>
        <v>FIFAWC2006-64</v>
      </c>
      <c r="C708" t="str">
        <f t="shared" si="210"/>
        <v>",MatchNumer=</v>
      </c>
      <c r="D708">
        <f>Matchs!B709</f>
        <v>64</v>
      </c>
      <c r="E708" t="str">
        <f t="shared" si="211"/>
        <v>,DateMatch=DateTime.Parse("</v>
      </c>
      <c r="F708" s="3">
        <f>Matchs!C709</f>
        <v>38908</v>
      </c>
      <c r="G708" s="10" t="str">
        <f t="shared" si="212"/>
        <v>"),TimeMatch=TimeSpan.Parse("</v>
      </c>
      <c r="H708" s="9">
        <f>Matchs!D709</f>
        <v>4.1666666666666664E-2</v>
      </c>
      <c r="I708" t="str">
        <f t="shared" si="213"/>
        <v>"),MatchYear=</v>
      </c>
      <c r="J708">
        <f>Matchs!E709</f>
        <v>2006</v>
      </c>
      <c r="K708" t="str">
        <f t="shared" si="214"/>
        <v>, SeasonId= "</v>
      </c>
      <c r="L708" t="str">
        <f>Matchs!F709</f>
        <v>FIFAWC2006</v>
      </c>
      <c r="M708" t="str">
        <f t="shared" si="215"/>
        <v>",Round= "</v>
      </c>
      <c r="N708" t="str">
        <f>Matchs!G709</f>
        <v>Final Round</v>
      </c>
      <c r="O708" s="6" t="str">
        <f t="shared" si="216"/>
        <v>",Stage= "</v>
      </c>
      <c r="P708" t="str">
        <f>Matchs!H709</f>
        <v>Knockouts</v>
      </c>
      <c r="Q708" s="6" t="str">
        <f t="shared" si="217"/>
        <v>",SubStage= "</v>
      </c>
      <c r="R708" t="str">
        <f>Matchs!I709</f>
        <v>Final</v>
      </c>
      <c r="S708" s="6" t="str">
        <f t="shared" si="218"/>
        <v>",HTeam= "</v>
      </c>
      <c r="T708" t="str">
        <f>Matchs!J709</f>
        <v>Italy</v>
      </c>
      <c r="U708" s="6" t="str">
        <f t="shared" si="219"/>
        <v>",HGoal=</v>
      </c>
      <c r="V708">
        <f>Matchs!K709</f>
        <v>1</v>
      </c>
      <c r="W708" s="6" t="str">
        <f t="shared" si="220"/>
        <v>,GGoal=</v>
      </c>
      <c r="X708">
        <f>Matchs!L709</f>
        <v>1</v>
      </c>
      <c r="Y708" s="6" t="str">
        <f t="shared" si="221"/>
        <v>,GTeam= "</v>
      </c>
      <c r="Z708" t="str">
        <f>Matchs!M709</f>
        <v>France</v>
      </c>
      <c r="AA708" s="6" t="str">
        <f t="shared" si="222"/>
        <v>",WinNote="</v>
      </c>
      <c r="AB708" t="str">
        <f>IF(Matchs!N709="","",Matchs!N709)</f>
        <v>Italy win 5 - 3 on penalties</v>
      </c>
      <c r="AC708" s="6" t="str">
        <f t="shared" si="223"/>
        <v xml:space="preserve">",Stadium=" </v>
      </c>
      <c r="AD708" s="11" t="str">
        <f>Matchs!O709</f>
        <v xml:space="preserve">Olympiastadion </v>
      </c>
      <c r="AE708" s="6" t="str">
        <f t="shared" si="224"/>
        <v>",Referee= "</v>
      </c>
      <c r="AF708" s="11" t="str">
        <f>Matchs!P709</f>
        <v xml:space="preserve">Horacio Elizondo </v>
      </c>
      <c r="AG708" s="6" t="str">
        <f t="shared" si="225"/>
        <v xml:space="preserve">",Visistors= </v>
      </c>
      <c r="AH708" s="11">
        <f>Matchs!Q709</f>
        <v>69000</v>
      </c>
      <c r="AI708" s="11" t="str">
        <f t="shared" si="226"/>
        <v>,Status= "</v>
      </c>
      <c r="AJ708" s="11" t="str">
        <f>Matchs!R709</f>
        <v>Finished</v>
      </c>
      <c r="AK708" t="str">
        <f t="shared" si="227"/>
        <v>" },</v>
      </c>
    </row>
    <row r="709" spans="1:37" x14ac:dyDescent="0.25">
      <c r="A709" t="str">
        <f t="shared" si="209"/>
        <v>new Match { MatchId= "</v>
      </c>
      <c r="B709" t="str">
        <f>Matchs!A710</f>
        <v>FIFAWC2010-1</v>
      </c>
      <c r="C709" t="str">
        <f t="shared" si="210"/>
        <v>",MatchNumer=</v>
      </c>
      <c r="D709">
        <f>Matchs!B710</f>
        <v>1</v>
      </c>
      <c r="E709" t="str">
        <f t="shared" si="211"/>
        <v>,DateMatch=DateTime.Parse("</v>
      </c>
      <c r="F709" s="3">
        <f>Matchs!C710</f>
        <v>40340</v>
      </c>
      <c r="G709" s="10" t="str">
        <f t="shared" si="212"/>
        <v>"),TimeMatch=TimeSpan.Parse("</v>
      </c>
      <c r="H709" s="9">
        <f>Matchs!D710</f>
        <v>0.875</v>
      </c>
      <c r="I709" t="str">
        <f t="shared" si="213"/>
        <v>"),MatchYear=</v>
      </c>
      <c r="J709">
        <f>Matchs!E710</f>
        <v>2010</v>
      </c>
      <c r="K709" t="str">
        <f t="shared" si="214"/>
        <v>, SeasonId= "</v>
      </c>
      <c r="L709" t="str">
        <f>Matchs!F710</f>
        <v>FIFAWC2010</v>
      </c>
      <c r="M709" t="str">
        <f t="shared" si="215"/>
        <v>",Round= "</v>
      </c>
      <c r="N709" t="str">
        <f>Matchs!G710</f>
        <v>Final Round</v>
      </c>
      <c r="O709" s="6" t="str">
        <f t="shared" si="216"/>
        <v>",Stage= "</v>
      </c>
      <c r="P709" t="str">
        <f>Matchs!H710</f>
        <v>Group</v>
      </c>
      <c r="Q709" s="6" t="str">
        <f t="shared" si="217"/>
        <v>",SubStage= "</v>
      </c>
      <c r="R709" t="str">
        <f>Matchs!I710</f>
        <v xml:space="preserve">Group A </v>
      </c>
      <c r="S709" s="6" t="str">
        <f t="shared" si="218"/>
        <v>",HTeam= "</v>
      </c>
      <c r="T709" t="str">
        <f>Matchs!J710</f>
        <v>South Africa</v>
      </c>
      <c r="U709" s="6" t="str">
        <f t="shared" si="219"/>
        <v>",HGoal=</v>
      </c>
      <c r="V709">
        <f>Matchs!K710</f>
        <v>1</v>
      </c>
      <c r="W709" s="6" t="str">
        <f t="shared" si="220"/>
        <v>,GGoal=</v>
      </c>
      <c r="X709">
        <f>Matchs!L710</f>
        <v>1</v>
      </c>
      <c r="Y709" s="6" t="str">
        <f t="shared" si="221"/>
        <v>,GTeam= "</v>
      </c>
      <c r="Z709" t="str">
        <f>Matchs!M710</f>
        <v>Mexico</v>
      </c>
      <c r="AA709" s="6" t="str">
        <f t="shared" si="222"/>
        <v>",WinNote="</v>
      </c>
      <c r="AB709" t="str">
        <f>IF(Matchs!N710="","",Matchs!N710)</f>
        <v/>
      </c>
      <c r="AC709" s="6" t="str">
        <f t="shared" si="223"/>
        <v xml:space="preserve">",Stadium=" </v>
      </c>
      <c r="AD709" s="11" t="str">
        <f>Matchs!O710</f>
        <v xml:space="preserve">Soccer City </v>
      </c>
      <c r="AE709" s="6" t="str">
        <f t="shared" si="224"/>
        <v>",Referee= "</v>
      </c>
      <c r="AF709" s="11" t="str">
        <f>Matchs!P710</f>
        <v xml:space="preserve">Ravshan Irmatov </v>
      </c>
      <c r="AG709" s="6" t="str">
        <f t="shared" si="225"/>
        <v xml:space="preserve">",Visistors= </v>
      </c>
      <c r="AH709" s="11">
        <f>Matchs!Q710</f>
        <v>84490</v>
      </c>
      <c r="AI709" s="11" t="str">
        <f t="shared" si="226"/>
        <v>,Status= "</v>
      </c>
      <c r="AJ709" s="11" t="str">
        <f>Matchs!R710</f>
        <v>Finished</v>
      </c>
      <c r="AK709" t="str">
        <f t="shared" si="227"/>
        <v>" },</v>
      </c>
    </row>
    <row r="710" spans="1:37" x14ac:dyDescent="0.25">
      <c r="A710" t="str">
        <f t="shared" si="209"/>
        <v>new Match { MatchId= "</v>
      </c>
      <c r="B710" t="str">
        <f>Matchs!A711</f>
        <v>FIFAWC2010-2</v>
      </c>
      <c r="C710" t="str">
        <f t="shared" si="210"/>
        <v>",MatchNumer=</v>
      </c>
      <c r="D710">
        <f>Matchs!B711</f>
        <v>2</v>
      </c>
      <c r="E710" t="str">
        <f t="shared" si="211"/>
        <v>,DateMatch=DateTime.Parse("</v>
      </c>
      <c r="F710" s="3">
        <f>Matchs!C711</f>
        <v>40341</v>
      </c>
      <c r="G710" s="10" t="str">
        <f t="shared" si="212"/>
        <v>"),TimeMatch=TimeSpan.Parse("</v>
      </c>
      <c r="H710" s="9">
        <f>Matchs!D711</f>
        <v>6.25E-2</v>
      </c>
      <c r="I710" t="str">
        <f t="shared" si="213"/>
        <v>"),MatchYear=</v>
      </c>
      <c r="J710">
        <f>Matchs!E711</f>
        <v>2010</v>
      </c>
      <c r="K710" t="str">
        <f t="shared" si="214"/>
        <v>, SeasonId= "</v>
      </c>
      <c r="L710" t="str">
        <f>Matchs!F711</f>
        <v>FIFAWC2010</v>
      </c>
      <c r="M710" t="str">
        <f t="shared" si="215"/>
        <v>",Round= "</v>
      </c>
      <c r="N710" t="str">
        <f>Matchs!G711</f>
        <v>Final Round</v>
      </c>
      <c r="O710" s="6" t="str">
        <f t="shared" si="216"/>
        <v>",Stage= "</v>
      </c>
      <c r="P710" t="str">
        <f>Matchs!H711</f>
        <v>Group</v>
      </c>
      <c r="Q710" s="6" t="str">
        <f t="shared" si="217"/>
        <v>",SubStage= "</v>
      </c>
      <c r="R710" t="str">
        <f>Matchs!I711</f>
        <v xml:space="preserve">Group A </v>
      </c>
      <c r="S710" s="6" t="str">
        <f t="shared" si="218"/>
        <v>",HTeam= "</v>
      </c>
      <c r="T710" t="str">
        <f>Matchs!J711</f>
        <v>Uruguay</v>
      </c>
      <c r="U710" s="6" t="str">
        <f t="shared" si="219"/>
        <v>",HGoal=</v>
      </c>
      <c r="V710">
        <f>Matchs!K711</f>
        <v>0</v>
      </c>
      <c r="W710" s="6" t="str">
        <f t="shared" si="220"/>
        <v>,GGoal=</v>
      </c>
      <c r="X710">
        <f>Matchs!L711</f>
        <v>0</v>
      </c>
      <c r="Y710" s="6" t="str">
        <f t="shared" si="221"/>
        <v>,GTeam= "</v>
      </c>
      <c r="Z710" t="str">
        <f>Matchs!M711</f>
        <v>France</v>
      </c>
      <c r="AA710" s="6" t="str">
        <f t="shared" si="222"/>
        <v>",WinNote="</v>
      </c>
      <c r="AB710" t="str">
        <f>IF(Matchs!N711="","",Matchs!N711)</f>
        <v/>
      </c>
      <c r="AC710" s="6" t="str">
        <f t="shared" si="223"/>
        <v xml:space="preserve">",Stadium=" </v>
      </c>
      <c r="AD710" s="11" t="str">
        <f>Matchs!O711</f>
        <v xml:space="preserve">Cape Town Stadium </v>
      </c>
      <c r="AE710" s="6" t="str">
        <f t="shared" si="224"/>
        <v>",Referee= "</v>
      </c>
      <c r="AF710" s="11" t="str">
        <f>Matchs!P711</f>
        <v xml:space="preserve">Yuichi Nishimura </v>
      </c>
      <c r="AG710" s="6" t="str">
        <f t="shared" si="225"/>
        <v xml:space="preserve">",Visistors= </v>
      </c>
      <c r="AH710" s="11">
        <f>Matchs!Q711</f>
        <v>64100</v>
      </c>
      <c r="AI710" s="11" t="str">
        <f t="shared" si="226"/>
        <v>,Status= "</v>
      </c>
      <c r="AJ710" s="11" t="str">
        <f>Matchs!R711</f>
        <v>Finished</v>
      </c>
      <c r="AK710" t="str">
        <f t="shared" si="227"/>
        <v>" },</v>
      </c>
    </row>
    <row r="711" spans="1:37" x14ac:dyDescent="0.25">
      <c r="A711" t="str">
        <f t="shared" si="209"/>
        <v>new Match { MatchId= "</v>
      </c>
      <c r="B711" t="str">
        <f>Matchs!A712</f>
        <v>FIFAWC2010-3</v>
      </c>
      <c r="C711" t="str">
        <f t="shared" si="210"/>
        <v>",MatchNumer=</v>
      </c>
      <c r="D711">
        <f>Matchs!B712</f>
        <v>3</v>
      </c>
      <c r="E711" t="str">
        <f t="shared" si="211"/>
        <v>,DateMatch=DateTime.Parse("</v>
      </c>
      <c r="F711" s="3">
        <f>Matchs!C712</f>
        <v>40341</v>
      </c>
      <c r="G711" s="10" t="str">
        <f t="shared" si="212"/>
        <v>"),TimeMatch=TimeSpan.Parse("</v>
      </c>
      <c r="H711" s="9">
        <f>Matchs!D712</f>
        <v>0.77083333333333337</v>
      </c>
      <c r="I711" t="str">
        <f t="shared" si="213"/>
        <v>"),MatchYear=</v>
      </c>
      <c r="J711">
        <f>Matchs!E712</f>
        <v>2010</v>
      </c>
      <c r="K711" t="str">
        <f t="shared" si="214"/>
        <v>, SeasonId= "</v>
      </c>
      <c r="L711" t="str">
        <f>Matchs!F712</f>
        <v>FIFAWC2010</v>
      </c>
      <c r="M711" t="str">
        <f t="shared" si="215"/>
        <v>",Round= "</v>
      </c>
      <c r="N711" t="str">
        <f>Matchs!G712</f>
        <v>Final Round</v>
      </c>
      <c r="O711" s="6" t="str">
        <f t="shared" si="216"/>
        <v>",Stage= "</v>
      </c>
      <c r="P711" t="str">
        <f>Matchs!H712</f>
        <v>Group</v>
      </c>
      <c r="Q711" s="6" t="str">
        <f t="shared" si="217"/>
        <v>",SubStage= "</v>
      </c>
      <c r="R711" t="str">
        <f>Matchs!I712</f>
        <v xml:space="preserve">Group B </v>
      </c>
      <c r="S711" s="6" t="str">
        <f t="shared" si="218"/>
        <v>",HTeam= "</v>
      </c>
      <c r="T711" t="str">
        <f>Matchs!J712</f>
        <v>Greece</v>
      </c>
      <c r="U711" s="6" t="str">
        <f t="shared" si="219"/>
        <v>",HGoal=</v>
      </c>
      <c r="V711">
        <f>Matchs!K712</f>
        <v>0</v>
      </c>
      <c r="W711" s="6" t="str">
        <f t="shared" si="220"/>
        <v>,GGoal=</v>
      </c>
      <c r="X711">
        <f>Matchs!L712</f>
        <v>2</v>
      </c>
      <c r="Y711" s="6" t="str">
        <f t="shared" si="221"/>
        <v>,GTeam= "</v>
      </c>
      <c r="Z711" t="str">
        <f>Matchs!M712</f>
        <v>South Korea</v>
      </c>
      <c r="AA711" s="6" t="str">
        <f t="shared" si="222"/>
        <v>",WinNote="</v>
      </c>
      <c r="AB711" t="str">
        <f>IF(Matchs!N712="","",Matchs!N712)</f>
        <v/>
      </c>
      <c r="AC711" s="6" t="str">
        <f t="shared" si="223"/>
        <v xml:space="preserve">",Stadium=" </v>
      </c>
      <c r="AD711" s="11" t="str">
        <f>Matchs!O712</f>
        <v xml:space="preserve">Nelson Mandela Bay Stadium </v>
      </c>
      <c r="AE711" s="6" t="str">
        <f t="shared" si="224"/>
        <v>",Referee= "</v>
      </c>
      <c r="AF711" s="11" t="str">
        <f>Matchs!P712</f>
        <v xml:space="preserve">Michael Hester </v>
      </c>
      <c r="AG711" s="6" t="str">
        <f t="shared" si="225"/>
        <v xml:space="preserve">",Visistors= </v>
      </c>
      <c r="AH711" s="11">
        <f>Matchs!Q712</f>
        <v>31513</v>
      </c>
      <c r="AI711" s="11" t="str">
        <f t="shared" si="226"/>
        <v>,Status= "</v>
      </c>
      <c r="AJ711" s="11" t="str">
        <f>Matchs!R712</f>
        <v>Finished</v>
      </c>
      <c r="AK711" t="str">
        <f t="shared" si="227"/>
        <v>" },</v>
      </c>
    </row>
    <row r="712" spans="1:37" x14ac:dyDescent="0.25">
      <c r="A712" t="str">
        <f t="shared" si="209"/>
        <v>new Match { MatchId= "</v>
      </c>
      <c r="B712" t="str">
        <f>Matchs!A713</f>
        <v>FIFAWC2010-4</v>
      </c>
      <c r="C712" t="str">
        <f t="shared" si="210"/>
        <v>",MatchNumer=</v>
      </c>
      <c r="D712">
        <f>Matchs!B713</f>
        <v>4</v>
      </c>
      <c r="E712" t="str">
        <f t="shared" si="211"/>
        <v>,DateMatch=DateTime.Parse("</v>
      </c>
      <c r="F712" s="3">
        <f>Matchs!C713</f>
        <v>40341</v>
      </c>
      <c r="G712" s="10" t="str">
        <f t="shared" si="212"/>
        <v>"),TimeMatch=TimeSpan.Parse("</v>
      </c>
      <c r="H712" s="9">
        <f>Matchs!D713</f>
        <v>0.875</v>
      </c>
      <c r="I712" t="str">
        <f t="shared" si="213"/>
        <v>"),MatchYear=</v>
      </c>
      <c r="J712">
        <f>Matchs!E713</f>
        <v>2010</v>
      </c>
      <c r="K712" t="str">
        <f t="shared" si="214"/>
        <v>, SeasonId= "</v>
      </c>
      <c r="L712" t="str">
        <f>Matchs!F713</f>
        <v>FIFAWC2010</v>
      </c>
      <c r="M712" t="str">
        <f t="shared" si="215"/>
        <v>",Round= "</v>
      </c>
      <c r="N712" t="str">
        <f>Matchs!G713</f>
        <v>Final Round</v>
      </c>
      <c r="O712" s="6" t="str">
        <f t="shared" si="216"/>
        <v>",Stage= "</v>
      </c>
      <c r="P712" t="str">
        <f>Matchs!H713</f>
        <v>Group</v>
      </c>
      <c r="Q712" s="6" t="str">
        <f t="shared" si="217"/>
        <v>",SubStage= "</v>
      </c>
      <c r="R712" t="str">
        <f>Matchs!I713</f>
        <v xml:space="preserve">Group B </v>
      </c>
      <c r="S712" s="6" t="str">
        <f t="shared" si="218"/>
        <v>",HTeam= "</v>
      </c>
      <c r="T712" t="str">
        <f>Matchs!J713</f>
        <v>Argentina</v>
      </c>
      <c r="U712" s="6" t="str">
        <f t="shared" si="219"/>
        <v>",HGoal=</v>
      </c>
      <c r="V712">
        <f>Matchs!K713</f>
        <v>1</v>
      </c>
      <c r="W712" s="6" t="str">
        <f t="shared" si="220"/>
        <v>,GGoal=</v>
      </c>
      <c r="X712">
        <f>Matchs!L713</f>
        <v>0</v>
      </c>
      <c r="Y712" s="6" t="str">
        <f t="shared" si="221"/>
        <v>,GTeam= "</v>
      </c>
      <c r="Z712" t="str">
        <f>Matchs!M713</f>
        <v>Nigeria</v>
      </c>
      <c r="AA712" s="6" t="str">
        <f t="shared" si="222"/>
        <v>",WinNote="</v>
      </c>
      <c r="AB712" t="str">
        <f>IF(Matchs!N713="","",Matchs!N713)</f>
        <v/>
      </c>
      <c r="AC712" s="6" t="str">
        <f t="shared" si="223"/>
        <v xml:space="preserve">",Stadium=" </v>
      </c>
      <c r="AD712" s="11" t="str">
        <f>Matchs!O713</f>
        <v xml:space="preserve">Ellis Park Stadium </v>
      </c>
      <c r="AE712" s="6" t="str">
        <f t="shared" si="224"/>
        <v>",Referee= "</v>
      </c>
      <c r="AF712" s="11" t="str">
        <f>Matchs!P713</f>
        <v xml:space="preserve">Wolfgang Stark </v>
      </c>
      <c r="AG712" s="6" t="str">
        <f t="shared" si="225"/>
        <v xml:space="preserve">",Visistors= </v>
      </c>
      <c r="AH712" s="11">
        <f>Matchs!Q713</f>
        <v>55686</v>
      </c>
      <c r="AI712" s="11" t="str">
        <f t="shared" si="226"/>
        <v>,Status= "</v>
      </c>
      <c r="AJ712" s="11" t="str">
        <f>Matchs!R713</f>
        <v>Finished</v>
      </c>
      <c r="AK712" t="str">
        <f t="shared" si="227"/>
        <v>" },</v>
      </c>
    </row>
    <row r="713" spans="1:37" x14ac:dyDescent="0.25">
      <c r="A713" t="str">
        <f t="shared" si="209"/>
        <v>new Match { MatchId= "</v>
      </c>
      <c r="B713" t="str">
        <f>Matchs!A714</f>
        <v>FIFAWC2010-5</v>
      </c>
      <c r="C713" t="str">
        <f t="shared" si="210"/>
        <v>",MatchNumer=</v>
      </c>
      <c r="D713">
        <f>Matchs!B714</f>
        <v>5</v>
      </c>
      <c r="E713" t="str">
        <f t="shared" si="211"/>
        <v>,DateMatch=DateTime.Parse("</v>
      </c>
      <c r="F713" s="3">
        <f>Matchs!C714</f>
        <v>40342</v>
      </c>
      <c r="G713" s="10" t="str">
        <f t="shared" si="212"/>
        <v>"),TimeMatch=TimeSpan.Parse("</v>
      </c>
      <c r="H713" s="9">
        <f>Matchs!D714</f>
        <v>6.25E-2</v>
      </c>
      <c r="I713" t="str">
        <f t="shared" si="213"/>
        <v>"),MatchYear=</v>
      </c>
      <c r="J713">
        <f>Matchs!E714</f>
        <v>2010</v>
      </c>
      <c r="K713" t="str">
        <f t="shared" si="214"/>
        <v>, SeasonId= "</v>
      </c>
      <c r="L713" t="str">
        <f>Matchs!F714</f>
        <v>FIFAWC2010</v>
      </c>
      <c r="M713" t="str">
        <f t="shared" si="215"/>
        <v>",Round= "</v>
      </c>
      <c r="N713" t="str">
        <f>Matchs!G714</f>
        <v>Final Round</v>
      </c>
      <c r="O713" s="6" t="str">
        <f t="shared" si="216"/>
        <v>",Stage= "</v>
      </c>
      <c r="P713" t="str">
        <f>Matchs!H714</f>
        <v>Group</v>
      </c>
      <c r="Q713" s="6" t="str">
        <f t="shared" si="217"/>
        <v>",SubStage= "</v>
      </c>
      <c r="R713" t="str">
        <f>Matchs!I714</f>
        <v xml:space="preserve">Group C </v>
      </c>
      <c r="S713" s="6" t="str">
        <f t="shared" si="218"/>
        <v>",HTeam= "</v>
      </c>
      <c r="T713" t="str">
        <f>Matchs!J714</f>
        <v>England</v>
      </c>
      <c r="U713" s="6" t="str">
        <f t="shared" si="219"/>
        <v>",HGoal=</v>
      </c>
      <c r="V713">
        <f>Matchs!K714</f>
        <v>1</v>
      </c>
      <c r="W713" s="6" t="str">
        <f t="shared" si="220"/>
        <v>,GGoal=</v>
      </c>
      <c r="X713">
        <f>Matchs!L714</f>
        <v>1</v>
      </c>
      <c r="Y713" s="6" t="str">
        <f t="shared" si="221"/>
        <v>,GTeam= "</v>
      </c>
      <c r="Z713" t="str">
        <f>Matchs!M714</f>
        <v>USA</v>
      </c>
      <c r="AA713" s="6" t="str">
        <f t="shared" si="222"/>
        <v>",WinNote="</v>
      </c>
      <c r="AB713" t="str">
        <f>IF(Matchs!N714="","",Matchs!N714)</f>
        <v/>
      </c>
      <c r="AC713" s="6" t="str">
        <f t="shared" si="223"/>
        <v xml:space="preserve">",Stadium=" </v>
      </c>
      <c r="AD713" s="11" t="str">
        <f>Matchs!O714</f>
        <v xml:space="preserve">Royal Bafokeng Stadium </v>
      </c>
      <c r="AE713" s="6" t="str">
        <f t="shared" si="224"/>
        <v>",Referee= "</v>
      </c>
      <c r="AF713" s="11" t="str">
        <f>Matchs!P714</f>
        <v xml:space="preserve">Carlos Simon </v>
      </c>
      <c r="AG713" s="6" t="str">
        <f t="shared" si="225"/>
        <v xml:space="preserve">",Visistors= </v>
      </c>
      <c r="AH713" s="11">
        <f>Matchs!Q714</f>
        <v>38646</v>
      </c>
      <c r="AI713" s="11" t="str">
        <f t="shared" si="226"/>
        <v>,Status= "</v>
      </c>
      <c r="AJ713" s="11" t="str">
        <f>Matchs!R714</f>
        <v>Finished</v>
      </c>
      <c r="AK713" t="str">
        <f t="shared" si="227"/>
        <v>" },</v>
      </c>
    </row>
    <row r="714" spans="1:37" x14ac:dyDescent="0.25">
      <c r="A714" t="str">
        <f t="shared" si="209"/>
        <v>new Match { MatchId= "</v>
      </c>
      <c r="B714" t="str">
        <f>Matchs!A715</f>
        <v>FIFAWC2010-6</v>
      </c>
      <c r="C714" t="str">
        <f t="shared" si="210"/>
        <v>",MatchNumer=</v>
      </c>
      <c r="D714">
        <f>Matchs!B715</f>
        <v>6</v>
      </c>
      <c r="E714" t="str">
        <f t="shared" si="211"/>
        <v>,DateMatch=DateTime.Parse("</v>
      </c>
      <c r="F714" s="3">
        <f>Matchs!C715</f>
        <v>40342</v>
      </c>
      <c r="G714" s="10" t="str">
        <f t="shared" si="212"/>
        <v>"),TimeMatch=TimeSpan.Parse("</v>
      </c>
      <c r="H714" s="9">
        <f>Matchs!D715</f>
        <v>0.77083333333333337</v>
      </c>
      <c r="I714" t="str">
        <f t="shared" si="213"/>
        <v>"),MatchYear=</v>
      </c>
      <c r="J714">
        <f>Matchs!E715</f>
        <v>2010</v>
      </c>
      <c r="K714" t="str">
        <f t="shared" si="214"/>
        <v>, SeasonId= "</v>
      </c>
      <c r="L714" t="str">
        <f>Matchs!F715</f>
        <v>FIFAWC2010</v>
      </c>
      <c r="M714" t="str">
        <f t="shared" si="215"/>
        <v>",Round= "</v>
      </c>
      <c r="N714" t="str">
        <f>Matchs!G715</f>
        <v>Final Round</v>
      </c>
      <c r="O714" s="6" t="str">
        <f t="shared" si="216"/>
        <v>",Stage= "</v>
      </c>
      <c r="P714" t="str">
        <f>Matchs!H715</f>
        <v>Group</v>
      </c>
      <c r="Q714" s="6" t="str">
        <f t="shared" si="217"/>
        <v>",SubStage= "</v>
      </c>
      <c r="R714" t="str">
        <f>Matchs!I715</f>
        <v xml:space="preserve">Group C </v>
      </c>
      <c r="S714" s="6" t="str">
        <f t="shared" si="218"/>
        <v>",HTeam= "</v>
      </c>
      <c r="T714" t="str">
        <f>Matchs!J715</f>
        <v>Algeria</v>
      </c>
      <c r="U714" s="6" t="str">
        <f t="shared" si="219"/>
        <v>",HGoal=</v>
      </c>
      <c r="V714">
        <f>Matchs!K715</f>
        <v>0</v>
      </c>
      <c r="W714" s="6" t="str">
        <f t="shared" si="220"/>
        <v>,GGoal=</v>
      </c>
      <c r="X714">
        <f>Matchs!L715</f>
        <v>1</v>
      </c>
      <c r="Y714" s="6" t="str">
        <f t="shared" si="221"/>
        <v>,GTeam= "</v>
      </c>
      <c r="Z714" t="str">
        <f>Matchs!M715</f>
        <v>Slovenia</v>
      </c>
      <c r="AA714" s="6" t="str">
        <f t="shared" si="222"/>
        <v>",WinNote="</v>
      </c>
      <c r="AB714" t="str">
        <f>IF(Matchs!N715="","",Matchs!N715)</f>
        <v/>
      </c>
      <c r="AC714" s="6" t="str">
        <f t="shared" si="223"/>
        <v xml:space="preserve">",Stadium=" </v>
      </c>
      <c r="AD714" s="11" t="str">
        <f>Matchs!O715</f>
        <v xml:space="preserve">Peter Mokoba Stadium </v>
      </c>
      <c r="AE714" s="6" t="str">
        <f t="shared" si="224"/>
        <v>",Referee= "</v>
      </c>
      <c r="AF714" s="11" t="str">
        <f>Matchs!P715</f>
        <v xml:space="preserve">Carlos Batres </v>
      </c>
      <c r="AG714" s="6" t="str">
        <f t="shared" si="225"/>
        <v xml:space="preserve">",Visistors= </v>
      </c>
      <c r="AH714" s="11">
        <f>Matchs!Q715</f>
        <v>30325</v>
      </c>
      <c r="AI714" s="11" t="str">
        <f t="shared" si="226"/>
        <v>,Status= "</v>
      </c>
      <c r="AJ714" s="11" t="str">
        <f>Matchs!R715</f>
        <v>Finished</v>
      </c>
      <c r="AK714" t="str">
        <f t="shared" si="227"/>
        <v>" },</v>
      </c>
    </row>
    <row r="715" spans="1:37" x14ac:dyDescent="0.25">
      <c r="A715" t="str">
        <f t="shared" si="209"/>
        <v>new Match { MatchId= "</v>
      </c>
      <c r="B715" t="str">
        <f>Matchs!A716</f>
        <v>FIFAWC2010-7</v>
      </c>
      <c r="C715" t="str">
        <f t="shared" si="210"/>
        <v>",MatchNumer=</v>
      </c>
      <c r="D715">
        <f>Matchs!B716</f>
        <v>7</v>
      </c>
      <c r="E715" t="str">
        <f t="shared" si="211"/>
        <v>,DateMatch=DateTime.Parse("</v>
      </c>
      <c r="F715" s="3">
        <f>Matchs!C716</f>
        <v>40342</v>
      </c>
      <c r="G715" s="10" t="str">
        <f t="shared" si="212"/>
        <v>"),TimeMatch=TimeSpan.Parse("</v>
      </c>
      <c r="H715" s="9">
        <f>Matchs!D716</f>
        <v>0.875</v>
      </c>
      <c r="I715" t="str">
        <f t="shared" si="213"/>
        <v>"),MatchYear=</v>
      </c>
      <c r="J715">
        <f>Matchs!E716</f>
        <v>2010</v>
      </c>
      <c r="K715" t="str">
        <f t="shared" si="214"/>
        <v>, SeasonId= "</v>
      </c>
      <c r="L715" t="str">
        <f>Matchs!F716</f>
        <v>FIFAWC2010</v>
      </c>
      <c r="M715" t="str">
        <f t="shared" si="215"/>
        <v>",Round= "</v>
      </c>
      <c r="N715" t="str">
        <f>Matchs!G716</f>
        <v>Final Round</v>
      </c>
      <c r="O715" s="6" t="str">
        <f t="shared" si="216"/>
        <v>",Stage= "</v>
      </c>
      <c r="P715" t="str">
        <f>Matchs!H716</f>
        <v>Group</v>
      </c>
      <c r="Q715" s="6" t="str">
        <f t="shared" si="217"/>
        <v>",SubStage= "</v>
      </c>
      <c r="R715" t="str">
        <f>Matchs!I716</f>
        <v xml:space="preserve">Group D </v>
      </c>
      <c r="S715" s="6" t="str">
        <f t="shared" si="218"/>
        <v>",HTeam= "</v>
      </c>
      <c r="T715" t="str">
        <f>Matchs!J716</f>
        <v>Serbia</v>
      </c>
      <c r="U715" s="6" t="str">
        <f t="shared" si="219"/>
        <v>",HGoal=</v>
      </c>
      <c r="V715">
        <f>Matchs!K716</f>
        <v>0</v>
      </c>
      <c r="W715" s="6" t="str">
        <f t="shared" si="220"/>
        <v>,GGoal=</v>
      </c>
      <c r="X715">
        <f>Matchs!L716</f>
        <v>1</v>
      </c>
      <c r="Y715" s="6" t="str">
        <f t="shared" si="221"/>
        <v>,GTeam= "</v>
      </c>
      <c r="Z715" t="str">
        <f>Matchs!M716</f>
        <v>Ghana</v>
      </c>
      <c r="AA715" s="6" t="str">
        <f t="shared" si="222"/>
        <v>",WinNote="</v>
      </c>
      <c r="AB715" t="str">
        <f>IF(Matchs!N716="","",Matchs!N716)</f>
        <v/>
      </c>
      <c r="AC715" s="6" t="str">
        <f t="shared" si="223"/>
        <v xml:space="preserve">",Stadium=" </v>
      </c>
      <c r="AD715" s="11" t="str">
        <f>Matchs!O716</f>
        <v xml:space="preserve">Loftus Versfeld Stadium </v>
      </c>
      <c r="AE715" s="6" t="str">
        <f t="shared" si="224"/>
        <v>",Referee= "</v>
      </c>
      <c r="AF715" s="11" t="str">
        <f>Matchs!P716</f>
        <v xml:space="preserve">Héctor Baldassi </v>
      </c>
      <c r="AG715" s="6" t="str">
        <f t="shared" si="225"/>
        <v xml:space="preserve">",Visistors= </v>
      </c>
      <c r="AH715" s="11">
        <f>Matchs!Q716</f>
        <v>38833</v>
      </c>
      <c r="AI715" s="11" t="str">
        <f t="shared" si="226"/>
        <v>,Status= "</v>
      </c>
      <c r="AJ715" s="11" t="str">
        <f>Matchs!R716</f>
        <v>Finished</v>
      </c>
      <c r="AK715" t="str">
        <f t="shared" si="227"/>
        <v>" },</v>
      </c>
    </row>
    <row r="716" spans="1:37" x14ac:dyDescent="0.25">
      <c r="A716" t="str">
        <f t="shared" si="209"/>
        <v>new Match { MatchId= "</v>
      </c>
      <c r="B716" t="str">
        <f>Matchs!A717</f>
        <v>FIFAWC2010-8</v>
      </c>
      <c r="C716" t="str">
        <f t="shared" si="210"/>
        <v>",MatchNumer=</v>
      </c>
      <c r="D716">
        <f>Matchs!B717</f>
        <v>8</v>
      </c>
      <c r="E716" t="str">
        <f t="shared" si="211"/>
        <v>,DateMatch=DateTime.Parse("</v>
      </c>
      <c r="F716" s="3">
        <f>Matchs!C717</f>
        <v>40343</v>
      </c>
      <c r="G716" s="10" t="str">
        <f t="shared" si="212"/>
        <v>"),TimeMatch=TimeSpan.Parse("</v>
      </c>
      <c r="H716" s="9">
        <f>Matchs!D717</f>
        <v>6.25E-2</v>
      </c>
      <c r="I716" t="str">
        <f t="shared" si="213"/>
        <v>"),MatchYear=</v>
      </c>
      <c r="J716">
        <f>Matchs!E717</f>
        <v>2010</v>
      </c>
      <c r="K716" t="str">
        <f t="shared" si="214"/>
        <v>, SeasonId= "</v>
      </c>
      <c r="L716" t="str">
        <f>Matchs!F717</f>
        <v>FIFAWC2010</v>
      </c>
      <c r="M716" t="str">
        <f t="shared" si="215"/>
        <v>",Round= "</v>
      </c>
      <c r="N716" t="str">
        <f>Matchs!G717</f>
        <v>Final Round</v>
      </c>
      <c r="O716" s="6" t="str">
        <f t="shared" si="216"/>
        <v>",Stage= "</v>
      </c>
      <c r="P716" t="str">
        <f>Matchs!H717</f>
        <v>Group</v>
      </c>
      <c r="Q716" s="6" t="str">
        <f t="shared" si="217"/>
        <v>",SubStage= "</v>
      </c>
      <c r="R716" t="str">
        <f>Matchs!I717</f>
        <v xml:space="preserve">Group D </v>
      </c>
      <c r="S716" s="6" t="str">
        <f t="shared" si="218"/>
        <v>",HTeam= "</v>
      </c>
      <c r="T716" t="str">
        <f>Matchs!J717</f>
        <v>Germany</v>
      </c>
      <c r="U716" s="6" t="str">
        <f t="shared" si="219"/>
        <v>",HGoal=</v>
      </c>
      <c r="V716">
        <f>Matchs!K717</f>
        <v>4</v>
      </c>
      <c r="W716" s="6" t="str">
        <f t="shared" si="220"/>
        <v>,GGoal=</v>
      </c>
      <c r="X716">
        <f>Matchs!L717</f>
        <v>0</v>
      </c>
      <c r="Y716" s="6" t="str">
        <f t="shared" si="221"/>
        <v>,GTeam= "</v>
      </c>
      <c r="Z716" t="str">
        <f>Matchs!M717</f>
        <v>Australia</v>
      </c>
      <c r="AA716" s="6" t="str">
        <f t="shared" si="222"/>
        <v>",WinNote="</v>
      </c>
      <c r="AB716" t="str">
        <f>IF(Matchs!N717="","",Matchs!N717)</f>
        <v/>
      </c>
      <c r="AC716" s="6" t="str">
        <f t="shared" si="223"/>
        <v xml:space="preserve">",Stadium=" </v>
      </c>
      <c r="AD716" s="11" t="str">
        <f>Matchs!O717</f>
        <v xml:space="preserve">Moses Mabhida Stadium </v>
      </c>
      <c r="AE716" s="6" t="str">
        <f t="shared" si="224"/>
        <v>",Referee= "</v>
      </c>
      <c r="AF716" s="11" t="str">
        <f>Matchs!P717</f>
        <v xml:space="preserve">Marco Antonio Rodríguez </v>
      </c>
      <c r="AG716" s="6" t="str">
        <f t="shared" si="225"/>
        <v xml:space="preserve">",Visistors= </v>
      </c>
      <c r="AH716" s="11">
        <f>Matchs!Q717</f>
        <v>62660</v>
      </c>
      <c r="AI716" s="11" t="str">
        <f t="shared" si="226"/>
        <v>,Status= "</v>
      </c>
      <c r="AJ716" s="11" t="str">
        <f>Matchs!R717</f>
        <v>Finished</v>
      </c>
      <c r="AK716" t="str">
        <f t="shared" si="227"/>
        <v>" },</v>
      </c>
    </row>
    <row r="717" spans="1:37" x14ac:dyDescent="0.25">
      <c r="A717" t="str">
        <f t="shared" si="209"/>
        <v>new Match { MatchId= "</v>
      </c>
      <c r="B717" t="str">
        <f>Matchs!A718</f>
        <v>FIFAWC2010-9</v>
      </c>
      <c r="C717" t="str">
        <f t="shared" si="210"/>
        <v>",MatchNumer=</v>
      </c>
      <c r="D717">
        <f>Matchs!B718</f>
        <v>9</v>
      </c>
      <c r="E717" t="str">
        <f t="shared" si="211"/>
        <v>,DateMatch=DateTime.Parse("</v>
      </c>
      <c r="F717" s="3">
        <f>Matchs!C718</f>
        <v>40343</v>
      </c>
      <c r="G717" s="10" t="str">
        <f t="shared" si="212"/>
        <v>"),TimeMatch=TimeSpan.Parse("</v>
      </c>
      <c r="H717" s="9">
        <f>Matchs!D718</f>
        <v>0.77083333333333337</v>
      </c>
      <c r="I717" t="str">
        <f t="shared" si="213"/>
        <v>"),MatchYear=</v>
      </c>
      <c r="J717">
        <f>Matchs!E718</f>
        <v>2010</v>
      </c>
      <c r="K717" t="str">
        <f t="shared" si="214"/>
        <v>, SeasonId= "</v>
      </c>
      <c r="L717" t="str">
        <f>Matchs!F718</f>
        <v>FIFAWC2010</v>
      </c>
      <c r="M717" t="str">
        <f t="shared" si="215"/>
        <v>",Round= "</v>
      </c>
      <c r="N717" t="str">
        <f>Matchs!G718</f>
        <v>Final Round</v>
      </c>
      <c r="O717" s="6" t="str">
        <f t="shared" si="216"/>
        <v>",Stage= "</v>
      </c>
      <c r="P717" t="str">
        <f>Matchs!H718</f>
        <v>Group</v>
      </c>
      <c r="Q717" s="6" t="str">
        <f t="shared" si="217"/>
        <v>",SubStage= "</v>
      </c>
      <c r="R717" t="str">
        <f>Matchs!I718</f>
        <v xml:space="preserve">Group E </v>
      </c>
      <c r="S717" s="6" t="str">
        <f t="shared" si="218"/>
        <v>",HTeam= "</v>
      </c>
      <c r="T717" t="str">
        <f>Matchs!J718</f>
        <v>Netherlands</v>
      </c>
      <c r="U717" s="6" t="str">
        <f t="shared" si="219"/>
        <v>",HGoal=</v>
      </c>
      <c r="V717">
        <f>Matchs!K718</f>
        <v>2</v>
      </c>
      <c r="W717" s="6" t="str">
        <f t="shared" si="220"/>
        <v>,GGoal=</v>
      </c>
      <c r="X717">
        <f>Matchs!L718</f>
        <v>0</v>
      </c>
      <c r="Y717" s="6" t="str">
        <f t="shared" si="221"/>
        <v>,GTeam= "</v>
      </c>
      <c r="Z717" t="str">
        <f>Matchs!M718</f>
        <v>Denmark</v>
      </c>
      <c r="AA717" s="6" t="str">
        <f t="shared" si="222"/>
        <v>",WinNote="</v>
      </c>
      <c r="AB717" t="str">
        <f>IF(Matchs!N718="","",Matchs!N718)</f>
        <v/>
      </c>
      <c r="AC717" s="6" t="str">
        <f t="shared" si="223"/>
        <v xml:space="preserve">",Stadium=" </v>
      </c>
      <c r="AD717" s="11" t="str">
        <f>Matchs!O718</f>
        <v xml:space="preserve">Soccer City </v>
      </c>
      <c r="AE717" s="6" t="str">
        <f t="shared" si="224"/>
        <v>",Referee= "</v>
      </c>
      <c r="AF717" s="11" t="str">
        <f>Matchs!P718</f>
        <v xml:space="preserve">Stephane Lannoy </v>
      </c>
      <c r="AG717" s="6" t="str">
        <f t="shared" si="225"/>
        <v xml:space="preserve">",Visistors= </v>
      </c>
      <c r="AH717" s="11">
        <f>Matchs!Q718</f>
        <v>83465</v>
      </c>
      <c r="AI717" s="11" t="str">
        <f t="shared" si="226"/>
        <v>,Status= "</v>
      </c>
      <c r="AJ717" s="11" t="str">
        <f>Matchs!R718</f>
        <v>Finished</v>
      </c>
      <c r="AK717" t="str">
        <f t="shared" si="227"/>
        <v>" },</v>
      </c>
    </row>
    <row r="718" spans="1:37" x14ac:dyDescent="0.25">
      <c r="A718" t="str">
        <f t="shared" si="209"/>
        <v>new Match { MatchId= "</v>
      </c>
      <c r="B718" t="str">
        <f>Matchs!A719</f>
        <v>FIFAWC2010-10</v>
      </c>
      <c r="C718" t="str">
        <f t="shared" si="210"/>
        <v>",MatchNumer=</v>
      </c>
      <c r="D718">
        <f>Matchs!B719</f>
        <v>10</v>
      </c>
      <c r="E718" t="str">
        <f t="shared" si="211"/>
        <v>,DateMatch=DateTime.Parse("</v>
      </c>
      <c r="F718" s="3">
        <f>Matchs!C719</f>
        <v>40343</v>
      </c>
      <c r="G718" s="10" t="str">
        <f t="shared" si="212"/>
        <v>"),TimeMatch=TimeSpan.Parse("</v>
      </c>
      <c r="H718" s="9">
        <f>Matchs!D719</f>
        <v>0.875</v>
      </c>
      <c r="I718" t="str">
        <f t="shared" si="213"/>
        <v>"),MatchYear=</v>
      </c>
      <c r="J718">
        <f>Matchs!E719</f>
        <v>2010</v>
      </c>
      <c r="K718" t="str">
        <f t="shared" si="214"/>
        <v>, SeasonId= "</v>
      </c>
      <c r="L718" t="str">
        <f>Matchs!F719</f>
        <v>FIFAWC2010</v>
      </c>
      <c r="M718" t="str">
        <f t="shared" si="215"/>
        <v>",Round= "</v>
      </c>
      <c r="N718" t="str">
        <f>Matchs!G719</f>
        <v>Final Round</v>
      </c>
      <c r="O718" s="6" t="str">
        <f t="shared" si="216"/>
        <v>",Stage= "</v>
      </c>
      <c r="P718" t="str">
        <f>Matchs!H719</f>
        <v>Group</v>
      </c>
      <c r="Q718" s="6" t="str">
        <f t="shared" si="217"/>
        <v>",SubStage= "</v>
      </c>
      <c r="R718" t="str">
        <f>Matchs!I719</f>
        <v xml:space="preserve">Group E </v>
      </c>
      <c r="S718" s="6" t="str">
        <f t="shared" si="218"/>
        <v>",HTeam= "</v>
      </c>
      <c r="T718" t="str">
        <f>Matchs!J719</f>
        <v>Japan</v>
      </c>
      <c r="U718" s="6" t="str">
        <f t="shared" si="219"/>
        <v>",HGoal=</v>
      </c>
      <c r="V718">
        <f>Matchs!K719</f>
        <v>1</v>
      </c>
      <c r="W718" s="6" t="str">
        <f t="shared" si="220"/>
        <v>,GGoal=</v>
      </c>
      <c r="X718">
        <f>Matchs!L719</f>
        <v>0</v>
      </c>
      <c r="Y718" s="6" t="str">
        <f t="shared" si="221"/>
        <v>,GTeam= "</v>
      </c>
      <c r="Z718" t="str">
        <f>Matchs!M719</f>
        <v>Cameroon</v>
      </c>
      <c r="AA718" s="6" t="str">
        <f t="shared" si="222"/>
        <v>",WinNote="</v>
      </c>
      <c r="AB718" t="str">
        <f>IF(Matchs!N719="","",Matchs!N719)</f>
        <v/>
      </c>
      <c r="AC718" s="6" t="str">
        <f t="shared" si="223"/>
        <v xml:space="preserve">",Stadium=" </v>
      </c>
      <c r="AD718" s="11" t="str">
        <f>Matchs!O719</f>
        <v xml:space="preserve">Free State Stadium </v>
      </c>
      <c r="AE718" s="6" t="str">
        <f t="shared" si="224"/>
        <v>",Referee= "</v>
      </c>
      <c r="AF718" s="11" t="str">
        <f>Matchs!P719</f>
        <v xml:space="preserve">Olegario Benquerenca </v>
      </c>
      <c r="AG718" s="6" t="str">
        <f t="shared" si="225"/>
        <v xml:space="preserve">",Visistors= </v>
      </c>
      <c r="AH718" s="11">
        <f>Matchs!Q719</f>
        <v>30620</v>
      </c>
      <c r="AI718" s="11" t="str">
        <f t="shared" si="226"/>
        <v>,Status= "</v>
      </c>
      <c r="AJ718" s="11" t="str">
        <f>Matchs!R719</f>
        <v>Finished</v>
      </c>
      <c r="AK718" t="str">
        <f t="shared" si="227"/>
        <v>" },</v>
      </c>
    </row>
    <row r="719" spans="1:37" x14ac:dyDescent="0.25">
      <c r="A719" t="str">
        <f t="shared" si="209"/>
        <v>new Match { MatchId= "</v>
      </c>
      <c r="B719" t="str">
        <f>Matchs!A720</f>
        <v>FIFAWC2010-11</v>
      </c>
      <c r="C719" t="str">
        <f t="shared" si="210"/>
        <v>",MatchNumer=</v>
      </c>
      <c r="D719">
        <f>Matchs!B720</f>
        <v>11</v>
      </c>
      <c r="E719" t="str">
        <f t="shared" si="211"/>
        <v>,DateMatch=DateTime.Parse("</v>
      </c>
      <c r="F719" s="3">
        <f>Matchs!C720</f>
        <v>40343</v>
      </c>
      <c r="G719" s="10" t="str">
        <f t="shared" si="212"/>
        <v>"),TimeMatch=TimeSpan.Parse("</v>
      </c>
      <c r="H719" s="9">
        <f>Matchs!D720</f>
        <v>6.25E-2</v>
      </c>
      <c r="I719" t="str">
        <f t="shared" si="213"/>
        <v>"),MatchYear=</v>
      </c>
      <c r="J719">
        <f>Matchs!E720</f>
        <v>2010</v>
      </c>
      <c r="K719" t="str">
        <f t="shared" si="214"/>
        <v>, SeasonId= "</v>
      </c>
      <c r="L719" t="str">
        <f>Matchs!F720</f>
        <v>FIFAWC2010</v>
      </c>
      <c r="M719" t="str">
        <f t="shared" si="215"/>
        <v>",Round= "</v>
      </c>
      <c r="N719" t="str">
        <f>Matchs!G720</f>
        <v>Final Round</v>
      </c>
      <c r="O719" s="6" t="str">
        <f t="shared" si="216"/>
        <v>",Stage= "</v>
      </c>
      <c r="P719" t="str">
        <f>Matchs!H720</f>
        <v>Group</v>
      </c>
      <c r="Q719" s="6" t="str">
        <f t="shared" si="217"/>
        <v>",SubStage= "</v>
      </c>
      <c r="R719" t="str">
        <f>Matchs!I720</f>
        <v xml:space="preserve">Group F </v>
      </c>
      <c r="S719" s="6" t="str">
        <f t="shared" si="218"/>
        <v>",HTeam= "</v>
      </c>
      <c r="T719" t="str">
        <f>Matchs!J720</f>
        <v>Italy</v>
      </c>
      <c r="U719" s="6" t="str">
        <f t="shared" si="219"/>
        <v>",HGoal=</v>
      </c>
      <c r="V719">
        <f>Matchs!K720</f>
        <v>1</v>
      </c>
      <c r="W719" s="6" t="str">
        <f t="shared" si="220"/>
        <v>,GGoal=</v>
      </c>
      <c r="X719">
        <f>Matchs!L720</f>
        <v>1</v>
      </c>
      <c r="Y719" s="6" t="str">
        <f t="shared" si="221"/>
        <v>,GTeam= "</v>
      </c>
      <c r="Z719" t="str">
        <f>Matchs!M720</f>
        <v>Paraguay</v>
      </c>
      <c r="AA719" s="6" t="str">
        <f t="shared" si="222"/>
        <v>",WinNote="</v>
      </c>
      <c r="AB719" t="str">
        <f>IF(Matchs!N720="","",Matchs!N720)</f>
        <v/>
      </c>
      <c r="AC719" s="6" t="str">
        <f t="shared" si="223"/>
        <v xml:space="preserve">",Stadium=" </v>
      </c>
      <c r="AD719" s="11" t="str">
        <f>Matchs!O720</f>
        <v xml:space="preserve">Cape Town Stadium </v>
      </c>
      <c r="AE719" s="6" t="str">
        <f t="shared" si="224"/>
        <v>",Referee= "</v>
      </c>
      <c r="AF719" s="11" t="str">
        <f>Matchs!P720</f>
        <v xml:space="preserve">Benito Arcundia </v>
      </c>
      <c r="AG719" s="6" t="str">
        <f t="shared" si="225"/>
        <v xml:space="preserve">",Visistors= </v>
      </c>
      <c r="AH719" s="11">
        <f>Matchs!Q720</f>
        <v>62869</v>
      </c>
      <c r="AI719" s="11" t="str">
        <f t="shared" si="226"/>
        <v>,Status= "</v>
      </c>
      <c r="AJ719" s="11" t="str">
        <f>Matchs!R720</f>
        <v>Finished</v>
      </c>
      <c r="AK719" t="str">
        <f t="shared" si="227"/>
        <v>" },</v>
      </c>
    </row>
    <row r="720" spans="1:37" x14ac:dyDescent="0.25">
      <c r="A720" t="str">
        <f t="shared" si="209"/>
        <v>new Match { MatchId= "</v>
      </c>
      <c r="B720" t="str">
        <f>Matchs!A721</f>
        <v>FIFAWC2010-12</v>
      </c>
      <c r="C720" t="str">
        <f t="shared" si="210"/>
        <v>",MatchNumer=</v>
      </c>
      <c r="D720">
        <f>Matchs!B721</f>
        <v>12</v>
      </c>
      <c r="E720" t="str">
        <f t="shared" si="211"/>
        <v>,DateMatch=DateTime.Parse("</v>
      </c>
      <c r="F720" s="3">
        <f>Matchs!C721</f>
        <v>40344</v>
      </c>
      <c r="G720" s="10" t="str">
        <f t="shared" si="212"/>
        <v>"),TimeMatch=TimeSpan.Parse("</v>
      </c>
      <c r="H720" s="9">
        <f>Matchs!D721</f>
        <v>0.77083333333333337</v>
      </c>
      <c r="I720" t="str">
        <f t="shared" si="213"/>
        <v>"),MatchYear=</v>
      </c>
      <c r="J720">
        <f>Matchs!E721</f>
        <v>2010</v>
      </c>
      <c r="K720" t="str">
        <f t="shared" si="214"/>
        <v>, SeasonId= "</v>
      </c>
      <c r="L720" t="str">
        <f>Matchs!F721</f>
        <v>FIFAWC2010</v>
      </c>
      <c r="M720" t="str">
        <f t="shared" si="215"/>
        <v>",Round= "</v>
      </c>
      <c r="N720" t="str">
        <f>Matchs!G721</f>
        <v>Final Round</v>
      </c>
      <c r="O720" s="6" t="str">
        <f t="shared" si="216"/>
        <v>",Stage= "</v>
      </c>
      <c r="P720" t="str">
        <f>Matchs!H721</f>
        <v>Group</v>
      </c>
      <c r="Q720" s="6" t="str">
        <f t="shared" si="217"/>
        <v>",SubStage= "</v>
      </c>
      <c r="R720" t="str">
        <f>Matchs!I721</f>
        <v xml:space="preserve">Group F </v>
      </c>
      <c r="S720" s="6" t="str">
        <f t="shared" si="218"/>
        <v>",HTeam= "</v>
      </c>
      <c r="T720" t="str">
        <f>Matchs!J721</f>
        <v>New Zealand</v>
      </c>
      <c r="U720" s="6" t="str">
        <f t="shared" si="219"/>
        <v>",HGoal=</v>
      </c>
      <c r="V720">
        <f>Matchs!K721</f>
        <v>1</v>
      </c>
      <c r="W720" s="6" t="str">
        <f t="shared" si="220"/>
        <v>,GGoal=</v>
      </c>
      <c r="X720">
        <f>Matchs!L721</f>
        <v>1</v>
      </c>
      <c r="Y720" s="6" t="str">
        <f t="shared" si="221"/>
        <v>,GTeam= "</v>
      </c>
      <c r="Z720" t="str">
        <f>Matchs!M721</f>
        <v>Slovakia</v>
      </c>
      <c r="AA720" s="6" t="str">
        <f t="shared" si="222"/>
        <v>",WinNote="</v>
      </c>
      <c r="AB720" t="str">
        <f>IF(Matchs!N721="","",Matchs!N721)</f>
        <v/>
      </c>
      <c r="AC720" s="6" t="str">
        <f t="shared" si="223"/>
        <v xml:space="preserve">",Stadium=" </v>
      </c>
      <c r="AD720" s="11" t="str">
        <f>Matchs!O721</f>
        <v xml:space="preserve">Royal Bafokeng Stadium </v>
      </c>
      <c r="AE720" s="6" t="str">
        <f t="shared" si="224"/>
        <v>",Referee= "</v>
      </c>
      <c r="AF720" s="11" t="str">
        <f>Matchs!P721</f>
        <v xml:space="preserve">Jerome Damon </v>
      </c>
      <c r="AG720" s="6" t="str">
        <f t="shared" si="225"/>
        <v xml:space="preserve">",Visistors= </v>
      </c>
      <c r="AH720" s="11">
        <f>Matchs!Q721</f>
        <v>23871</v>
      </c>
      <c r="AI720" s="11" t="str">
        <f t="shared" si="226"/>
        <v>,Status= "</v>
      </c>
      <c r="AJ720" s="11" t="str">
        <f>Matchs!R721</f>
        <v>Finished</v>
      </c>
      <c r="AK720" t="str">
        <f t="shared" si="227"/>
        <v>" },</v>
      </c>
    </row>
    <row r="721" spans="1:37" x14ac:dyDescent="0.25">
      <c r="A721" t="str">
        <f t="shared" si="209"/>
        <v>new Match { MatchId= "</v>
      </c>
      <c r="B721" t="str">
        <f>Matchs!A722</f>
        <v>FIFAWC2010-13</v>
      </c>
      <c r="C721" t="str">
        <f t="shared" si="210"/>
        <v>",MatchNumer=</v>
      </c>
      <c r="D721">
        <f>Matchs!B722</f>
        <v>13</v>
      </c>
      <c r="E721" t="str">
        <f t="shared" si="211"/>
        <v>,DateMatch=DateTime.Parse("</v>
      </c>
      <c r="F721" s="3">
        <f>Matchs!C722</f>
        <v>40344</v>
      </c>
      <c r="G721" s="10" t="str">
        <f t="shared" si="212"/>
        <v>"),TimeMatch=TimeSpan.Parse("</v>
      </c>
      <c r="H721" s="9">
        <f>Matchs!D722</f>
        <v>0.875</v>
      </c>
      <c r="I721" t="str">
        <f t="shared" si="213"/>
        <v>"),MatchYear=</v>
      </c>
      <c r="J721">
        <f>Matchs!E722</f>
        <v>2010</v>
      </c>
      <c r="K721" t="str">
        <f t="shared" si="214"/>
        <v>, SeasonId= "</v>
      </c>
      <c r="L721" t="str">
        <f>Matchs!F722</f>
        <v>FIFAWC2010</v>
      </c>
      <c r="M721" t="str">
        <f t="shared" si="215"/>
        <v>",Round= "</v>
      </c>
      <c r="N721" t="str">
        <f>Matchs!G722</f>
        <v>Final Round</v>
      </c>
      <c r="O721" s="6" t="str">
        <f t="shared" si="216"/>
        <v>",Stage= "</v>
      </c>
      <c r="P721" t="str">
        <f>Matchs!H722</f>
        <v>Group</v>
      </c>
      <c r="Q721" s="6" t="str">
        <f t="shared" si="217"/>
        <v>",SubStage= "</v>
      </c>
      <c r="R721" t="str">
        <f>Matchs!I722</f>
        <v xml:space="preserve">Group G </v>
      </c>
      <c r="S721" s="6" t="str">
        <f t="shared" si="218"/>
        <v>",HTeam= "</v>
      </c>
      <c r="T721" t="str">
        <f>Matchs!J722</f>
        <v>Cote D'Ivoire</v>
      </c>
      <c r="U721" s="6" t="str">
        <f t="shared" si="219"/>
        <v>",HGoal=</v>
      </c>
      <c r="V721">
        <f>Matchs!K722</f>
        <v>0</v>
      </c>
      <c r="W721" s="6" t="str">
        <f t="shared" si="220"/>
        <v>,GGoal=</v>
      </c>
      <c r="X721">
        <f>Matchs!L722</f>
        <v>0</v>
      </c>
      <c r="Y721" s="6" t="str">
        <f t="shared" si="221"/>
        <v>,GTeam= "</v>
      </c>
      <c r="Z721" t="str">
        <f>Matchs!M722</f>
        <v>Portugal</v>
      </c>
      <c r="AA721" s="6" t="str">
        <f t="shared" si="222"/>
        <v>",WinNote="</v>
      </c>
      <c r="AB721" t="str">
        <f>IF(Matchs!N722="","",Matchs!N722)</f>
        <v/>
      </c>
      <c r="AC721" s="6" t="str">
        <f t="shared" si="223"/>
        <v xml:space="preserve">",Stadium=" </v>
      </c>
      <c r="AD721" s="11" t="str">
        <f>Matchs!O722</f>
        <v xml:space="preserve">Nelson Mandela Bay Stadium </v>
      </c>
      <c r="AE721" s="6" t="str">
        <f t="shared" si="224"/>
        <v>",Referee= "</v>
      </c>
      <c r="AF721" s="11" t="str">
        <f>Matchs!P722</f>
        <v xml:space="preserve">Jorge Larrionda </v>
      </c>
      <c r="AG721" s="6" t="str">
        <f t="shared" si="225"/>
        <v xml:space="preserve">",Visistors= </v>
      </c>
      <c r="AH721" s="11">
        <f>Matchs!Q722</f>
        <v>37034</v>
      </c>
      <c r="AI721" s="11" t="str">
        <f t="shared" si="226"/>
        <v>,Status= "</v>
      </c>
      <c r="AJ721" s="11" t="str">
        <f>Matchs!R722</f>
        <v>Finished</v>
      </c>
      <c r="AK721" t="str">
        <f t="shared" si="227"/>
        <v>" },</v>
      </c>
    </row>
    <row r="722" spans="1:37" x14ac:dyDescent="0.25">
      <c r="A722" t="str">
        <f t="shared" si="209"/>
        <v>new Match { MatchId= "</v>
      </c>
      <c r="B722" t="str">
        <f>Matchs!A723</f>
        <v>FIFAWC2010-14</v>
      </c>
      <c r="C722" t="str">
        <f t="shared" si="210"/>
        <v>",MatchNumer=</v>
      </c>
      <c r="D722">
        <f>Matchs!B723</f>
        <v>14</v>
      </c>
      <c r="E722" t="str">
        <f t="shared" si="211"/>
        <v>,DateMatch=DateTime.Parse("</v>
      </c>
      <c r="F722" s="3">
        <f>Matchs!C723</f>
        <v>40345</v>
      </c>
      <c r="G722" s="10" t="str">
        <f t="shared" si="212"/>
        <v>"),TimeMatch=TimeSpan.Parse("</v>
      </c>
      <c r="H722" s="9">
        <f>Matchs!D723</f>
        <v>6.25E-2</v>
      </c>
      <c r="I722" t="str">
        <f t="shared" si="213"/>
        <v>"),MatchYear=</v>
      </c>
      <c r="J722">
        <f>Matchs!E723</f>
        <v>2010</v>
      </c>
      <c r="K722" t="str">
        <f t="shared" si="214"/>
        <v>, SeasonId= "</v>
      </c>
      <c r="L722" t="str">
        <f>Matchs!F723</f>
        <v>FIFAWC2010</v>
      </c>
      <c r="M722" t="str">
        <f t="shared" si="215"/>
        <v>",Round= "</v>
      </c>
      <c r="N722" t="str">
        <f>Matchs!G723</f>
        <v>Final Round</v>
      </c>
      <c r="O722" s="6" t="str">
        <f t="shared" si="216"/>
        <v>",Stage= "</v>
      </c>
      <c r="P722" t="str">
        <f>Matchs!H723</f>
        <v>Group</v>
      </c>
      <c r="Q722" s="6" t="str">
        <f t="shared" si="217"/>
        <v>",SubStage= "</v>
      </c>
      <c r="R722" t="str">
        <f>Matchs!I723</f>
        <v xml:space="preserve">Group G </v>
      </c>
      <c r="S722" s="6" t="str">
        <f t="shared" si="218"/>
        <v>",HTeam= "</v>
      </c>
      <c r="T722" t="str">
        <f>Matchs!J723</f>
        <v>Brazil</v>
      </c>
      <c r="U722" s="6" t="str">
        <f t="shared" si="219"/>
        <v>",HGoal=</v>
      </c>
      <c r="V722">
        <f>Matchs!K723</f>
        <v>2</v>
      </c>
      <c r="W722" s="6" t="str">
        <f t="shared" si="220"/>
        <v>,GGoal=</v>
      </c>
      <c r="X722">
        <f>Matchs!L723</f>
        <v>1</v>
      </c>
      <c r="Y722" s="6" t="str">
        <f t="shared" si="221"/>
        <v>,GTeam= "</v>
      </c>
      <c r="Z722" t="str">
        <f>Matchs!M723</f>
        <v>North Korea</v>
      </c>
      <c r="AA722" s="6" t="str">
        <f t="shared" si="222"/>
        <v>",WinNote="</v>
      </c>
      <c r="AB722" t="str">
        <f>IF(Matchs!N723="","",Matchs!N723)</f>
        <v/>
      </c>
      <c r="AC722" s="6" t="str">
        <f t="shared" si="223"/>
        <v xml:space="preserve">",Stadium=" </v>
      </c>
      <c r="AD722" s="11" t="str">
        <f>Matchs!O723</f>
        <v xml:space="preserve">Ellis Park Stadium </v>
      </c>
      <c r="AE722" s="6" t="str">
        <f t="shared" si="224"/>
        <v>",Referee= "</v>
      </c>
      <c r="AF722" s="11" t="str">
        <f>Matchs!P723</f>
        <v xml:space="preserve">Viktor Kassai </v>
      </c>
      <c r="AG722" s="6" t="str">
        <f t="shared" si="225"/>
        <v xml:space="preserve">",Visistors= </v>
      </c>
      <c r="AH722" s="11">
        <f>Matchs!Q723</f>
        <v>54331</v>
      </c>
      <c r="AI722" s="11" t="str">
        <f t="shared" si="226"/>
        <v>,Status= "</v>
      </c>
      <c r="AJ722" s="11" t="str">
        <f>Matchs!R723</f>
        <v>Finished</v>
      </c>
      <c r="AK722" t="str">
        <f t="shared" si="227"/>
        <v>" },</v>
      </c>
    </row>
    <row r="723" spans="1:37" x14ac:dyDescent="0.25">
      <c r="A723" t="str">
        <f t="shared" si="209"/>
        <v>new Match { MatchId= "</v>
      </c>
      <c r="B723" t="str">
        <f>Matchs!A724</f>
        <v>FIFAWC2010-15</v>
      </c>
      <c r="C723" t="str">
        <f t="shared" si="210"/>
        <v>",MatchNumer=</v>
      </c>
      <c r="D723">
        <f>Matchs!B724</f>
        <v>15</v>
      </c>
      <c r="E723" t="str">
        <f t="shared" si="211"/>
        <v>,DateMatch=DateTime.Parse("</v>
      </c>
      <c r="F723" s="3">
        <f>Matchs!C724</f>
        <v>40345</v>
      </c>
      <c r="G723" s="10" t="str">
        <f t="shared" si="212"/>
        <v>"),TimeMatch=TimeSpan.Parse("</v>
      </c>
      <c r="H723" s="9">
        <f>Matchs!D724</f>
        <v>0.77083333333333337</v>
      </c>
      <c r="I723" t="str">
        <f t="shared" si="213"/>
        <v>"),MatchYear=</v>
      </c>
      <c r="J723">
        <f>Matchs!E724</f>
        <v>2010</v>
      </c>
      <c r="K723" t="str">
        <f t="shared" si="214"/>
        <v>, SeasonId= "</v>
      </c>
      <c r="L723" t="str">
        <f>Matchs!F724</f>
        <v>FIFAWC2010</v>
      </c>
      <c r="M723" t="str">
        <f t="shared" si="215"/>
        <v>",Round= "</v>
      </c>
      <c r="N723" t="str">
        <f>Matchs!G724</f>
        <v>Final Round</v>
      </c>
      <c r="O723" s="6" t="str">
        <f t="shared" si="216"/>
        <v>",Stage= "</v>
      </c>
      <c r="P723" t="str">
        <f>Matchs!H724</f>
        <v>Group</v>
      </c>
      <c r="Q723" s="6" t="str">
        <f t="shared" si="217"/>
        <v>",SubStage= "</v>
      </c>
      <c r="R723" t="str">
        <f>Matchs!I724</f>
        <v xml:space="preserve">Group H </v>
      </c>
      <c r="S723" s="6" t="str">
        <f t="shared" si="218"/>
        <v>",HTeam= "</v>
      </c>
      <c r="T723" t="str">
        <f>Matchs!J724</f>
        <v>Honduras</v>
      </c>
      <c r="U723" s="6" t="str">
        <f t="shared" si="219"/>
        <v>",HGoal=</v>
      </c>
      <c r="V723">
        <f>Matchs!K724</f>
        <v>0</v>
      </c>
      <c r="W723" s="6" t="str">
        <f t="shared" si="220"/>
        <v>,GGoal=</v>
      </c>
      <c r="X723">
        <f>Matchs!L724</f>
        <v>1</v>
      </c>
      <c r="Y723" s="6" t="str">
        <f t="shared" si="221"/>
        <v>,GTeam= "</v>
      </c>
      <c r="Z723" t="str">
        <f>Matchs!M724</f>
        <v>Chile</v>
      </c>
      <c r="AA723" s="6" t="str">
        <f t="shared" si="222"/>
        <v>",WinNote="</v>
      </c>
      <c r="AB723" t="str">
        <f>IF(Matchs!N724="","",Matchs!N724)</f>
        <v/>
      </c>
      <c r="AC723" s="6" t="str">
        <f t="shared" si="223"/>
        <v xml:space="preserve">",Stadium=" </v>
      </c>
      <c r="AD723" s="11" t="str">
        <f>Matchs!O724</f>
        <v xml:space="preserve">Mbombela Stadium </v>
      </c>
      <c r="AE723" s="6" t="str">
        <f t="shared" si="224"/>
        <v>",Referee= "</v>
      </c>
      <c r="AF723" s="11" t="str">
        <f>Matchs!P724</f>
        <v xml:space="preserve">Eddy Maillet </v>
      </c>
      <c r="AG723" s="6" t="str">
        <f t="shared" si="225"/>
        <v xml:space="preserve">",Visistors= </v>
      </c>
      <c r="AH723" s="11">
        <f>Matchs!Q724</f>
        <v>32664</v>
      </c>
      <c r="AI723" s="11" t="str">
        <f t="shared" si="226"/>
        <v>,Status= "</v>
      </c>
      <c r="AJ723" s="11" t="str">
        <f>Matchs!R724</f>
        <v>Finished</v>
      </c>
      <c r="AK723" t="str">
        <f t="shared" si="227"/>
        <v>" },</v>
      </c>
    </row>
    <row r="724" spans="1:37" x14ac:dyDescent="0.25">
      <c r="A724" t="str">
        <f t="shared" si="209"/>
        <v>new Match { MatchId= "</v>
      </c>
      <c r="B724" t="str">
        <f>Matchs!A725</f>
        <v>FIFAWC2010-16</v>
      </c>
      <c r="C724" t="str">
        <f t="shared" si="210"/>
        <v>",MatchNumer=</v>
      </c>
      <c r="D724">
        <f>Matchs!B725</f>
        <v>16</v>
      </c>
      <c r="E724" t="str">
        <f t="shared" si="211"/>
        <v>,DateMatch=DateTime.Parse("</v>
      </c>
      <c r="F724" s="3">
        <f>Matchs!C725</f>
        <v>40345</v>
      </c>
      <c r="G724" s="10" t="str">
        <f t="shared" si="212"/>
        <v>"),TimeMatch=TimeSpan.Parse("</v>
      </c>
      <c r="H724" s="9">
        <f>Matchs!D725</f>
        <v>0.875</v>
      </c>
      <c r="I724" t="str">
        <f t="shared" si="213"/>
        <v>"),MatchYear=</v>
      </c>
      <c r="J724">
        <f>Matchs!E725</f>
        <v>2010</v>
      </c>
      <c r="K724" t="str">
        <f t="shared" si="214"/>
        <v>, SeasonId= "</v>
      </c>
      <c r="L724" t="str">
        <f>Matchs!F725</f>
        <v>FIFAWC2010</v>
      </c>
      <c r="M724" t="str">
        <f t="shared" si="215"/>
        <v>",Round= "</v>
      </c>
      <c r="N724" t="str">
        <f>Matchs!G725</f>
        <v>Final Round</v>
      </c>
      <c r="O724" s="6" t="str">
        <f t="shared" si="216"/>
        <v>",Stage= "</v>
      </c>
      <c r="P724" t="str">
        <f>Matchs!H725</f>
        <v>Group</v>
      </c>
      <c r="Q724" s="6" t="str">
        <f t="shared" si="217"/>
        <v>",SubStage= "</v>
      </c>
      <c r="R724" t="str">
        <f>Matchs!I725</f>
        <v xml:space="preserve">Group H </v>
      </c>
      <c r="S724" s="6" t="str">
        <f t="shared" si="218"/>
        <v>",HTeam= "</v>
      </c>
      <c r="T724" t="str">
        <f>Matchs!J725</f>
        <v>Spain</v>
      </c>
      <c r="U724" s="6" t="str">
        <f t="shared" si="219"/>
        <v>",HGoal=</v>
      </c>
      <c r="V724">
        <f>Matchs!K725</f>
        <v>0</v>
      </c>
      <c r="W724" s="6" t="str">
        <f t="shared" si="220"/>
        <v>,GGoal=</v>
      </c>
      <c r="X724">
        <f>Matchs!L725</f>
        <v>1</v>
      </c>
      <c r="Y724" s="6" t="str">
        <f t="shared" si="221"/>
        <v>,GTeam= "</v>
      </c>
      <c r="Z724" t="str">
        <f>Matchs!M725</f>
        <v>Switzerland</v>
      </c>
      <c r="AA724" s="6" t="str">
        <f t="shared" si="222"/>
        <v>",WinNote="</v>
      </c>
      <c r="AB724" t="str">
        <f>IF(Matchs!N725="","",Matchs!N725)</f>
        <v/>
      </c>
      <c r="AC724" s="6" t="str">
        <f t="shared" si="223"/>
        <v xml:space="preserve">",Stadium=" </v>
      </c>
      <c r="AD724" s="11" t="str">
        <f>Matchs!O725</f>
        <v xml:space="preserve">Moses Mabhida Stadium </v>
      </c>
      <c r="AE724" s="6" t="str">
        <f t="shared" si="224"/>
        <v>",Referee= "</v>
      </c>
      <c r="AF724" s="11" t="str">
        <f>Matchs!P725</f>
        <v xml:space="preserve">Howard Webb </v>
      </c>
      <c r="AG724" s="6" t="str">
        <f t="shared" si="225"/>
        <v xml:space="preserve">",Visistors= </v>
      </c>
      <c r="AH724" s="11">
        <f>Matchs!Q725</f>
        <v>62453</v>
      </c>
      <c r="AI724" s="11" t="str">
        <f t="shared" si="226"/>
        <v>,Status= "</v>
      </c>
      <c r="AJ724" s="11" t="str">
        <f>Matchs!R725</f>
        <v>Finished</v>
      </c>
      <c r="AK724" t="str">
        <f t="shared" si="227"/>
        <v>" },</v>
      </c>
    </row>
    <row r="725" spans="1:37" x14ac:dyDescent="0.25">
      <c r="A725" t="str">
        <f t="shared" si="209"/>
        <v>new Match { MatchId= "</v>
      </c>
      <c r="B725" t="str">
        <f>Matchs!A726</f>
        <v>FIFAWC2010-17</v>
      </c>
      <c r="C725" t="str">
        <f t="shared" si="210"/>
        <v>",MatchNumer=</v>
      </c>
      <c r="D725">
        <f>Matchs!B726</f>
        <v>17</v>
      </c>
      <c r="E725" t="str">
        <f t="shared" si="211"/>
        <v>,DateMatch=DateTime.Parse("</v>
      </c>
      <c r="F725" s="3">
        <f>Matchs!C726</f>
        <v>40346</v>
      </c>
      <c r="G725" s="10" t="str">
        <f t="shared" si="212"/>
        <v>"),TimeMatch=TimeSpan.Parse("</v>
      </c>
      <c r="H725" s="9">
        <f>Matchs!D726</f>
        <v>6.25E-2</v>
      </c>
      <c r="I725" t="str">
        <f t="shared" si="213"/>
        <v>"),MatchYear=</v>
      </c>
      <c r="J725">
        <f>Matchs!E726</f>
        <v>2010</v>
      </c>
      <c r="K725" t="str">
        <f t="shared" si="214"/>
        <v>, SeasonId= "</v>
      </c>
      <c r="L725" t="str">
        <f>Matchs!F726</f>
        <v>FIFAWC2010</v>
      </c>
      <c r="M725" t="str">
        <f t="shared" si="215"/>
        <v>",Round= "</v>
      </c>
      <c r="N725" t="str">
        <f>Matchs!G726</f>
        <v>Final Round</v>
      </c>
      <c r="O725" s="6" t="str">
        <f t="shared" si="216"/>
        <v>",Stage= "</v>
      </c>
      <c r="P725" t="str">
        <f>Matchs!H726</f>
        <v>Group</v>
      </c>
      <c r="Q725" s="6" t="str">
        <f t="shared" si="217"/>
        <v>",SubStage= "</v>
      </c>
      <c r="R725" t="str">
        <f>Matchs!I726</f>
        <v xml:space="preserve">Group A </v>
      </c>
      <c r="S725" s="6" t="str">
        <f t="shared" si="218"/>
        <v>",HTeam= "</v>
      </c>
      <c r="T725" t="str">
        <f>Matchs!J726</f>
        <v>South Africa</v>
      </c>
      <c r="U725" s="6" t="str">
        <f t="shared" si="219"/>
        <v>",HGoal=</v>
      </c>
      <c r="V725">
        <f>Matchs!K726</f>
        <v>0</v>
      </c>
      <c r="W725" s="6" t="str">
        <f t="shared" si="220"/>
        <v>,GGoal=</v>
      </c>
      <c r="X725">
        <f>Matchs!L726</f>
        <v>3</v>
      </c>
      <c r="Y725" s="6" t="str">
        <f t="shared" si="221"/>
        <v>,GTeam= "</v>
      </c>
      <c r="Z725" t="str">
        <f>Matchs!M726</f>
        <v>Uruguay</v>
      </c>
      <c r="AA725" s="6" t="str">
        <f t="shared" si="222"/>
        <v>",WinNote="</v>
      </c>
      <c r="AB725" t="str">
        <f>IF(Matchs!N726="","",Matchs!N726)</f>
        <v/>
      </c>
      <c r="AC725" s="6" t="str">
        <f t="shared" si="223"/>
        <v xml:space="preserve">",Stadium=" </v>
      </c>
      <c r="AD725" s="11" t="str">
        <f>Matchs!O726</f>
        <v xml:space="preserve">Loftus Versfeld Stadium </v>
      </c>
      <c r="AE725" s="6" t="str">
        <f t="shared" si="224"/>
        <v>",Referee= "</v>
      </c>
      <c r="AF725" s="11" t="str">
        <f>Matchs!P726</f>
        <v xml:space="preserve">Massimo Busacca </v>
      </c>
      <c r="AG725" s="6" t="str">
        <f t="shared" si="225"/>
        <v xml:space="preserve">",Visistors= </v>
      </c>
      <c r="AH725" s="11">
        <f>Matchs!Q726</f>
        <v>42658</v>
      </c>
      <c r="AI725" s="11" t="str">
        <f t="shared" si="226"/>
        <v>,Status= "</v>
      </c>
      <c r="AJ725" s="11" t="str">
        <f>Matchs!R726</f>
        <v>Finished</v>
      </c>
      <c r="AK725" t="str">
        <f t="shared" si="227"/>
        <v>" },</v>
      </c>
    </row>
    <row r="726" spans="1:37" x14ac:dyDescent="0.25">
      <c r="A726" t="str">
        <f t="shared" si="209"/>
        <v>new Match { MatchId= "</v>
      </c>
      <c r="B726" t="str">
        <f>Matchs!A727</f>
        <v>FIFAWC2010-19</v>
      </c>
      <c r="C726" t="str">
        <f t="shared" si="210"/>
        <v>",MatchNumer=</v>
      </c>
      <c r="D726">
        <f>Matchs!B727</f>
        <v>19</v>
      </c>
      <c r="E726" t="str">
        <f t="shared" si="211"/>
        <v>,DateMatch=DateTime.Parse("</v>
      </c>
      <c r="F726" s="3">
        <f>Matchs!C727</f>
        <v>40346</v>
      </c>
      <c r="G726" s="10" t="str">
        <f t="shared" si="212"/>
        <v>"),TimeMatch=TimeSpan.Parse("</v>
      </c>
      <c r="H726" s="9">
        <f>Matchs!D727</f>
        <v>0.77083333333333337</v>
      </c>
      <c r="I726" t="str">
        <f t="shared" si="213"/>
        <v>"),MatchYear=</v>
      </c>
      <c r="J726">
        <f>Matchs!E727</f>
        <v>2010</v>
      </c>
      <c r="K726" t="str">
        <f t="shared" si="214"/>
        <v>, SeasonId= "</v>
      </c>
      <c r="L726" t="str">
        <f>Matchs!F727</f>
        <v>FIFAWC2010</v>
      </c>
      <c r="M726" t="str">
        <f t="shared" si="215"/>
        <v>",Round= "</v>
      </c>
      <c r="N726" t="str">
        <f>Matchs!G727</f>
        <v>Final Round</v>
      </c>
      <c r="O726" s="6" t="str">
        <f t="shared" si="216"/>
        <v>",Stage= "</v>
      </c>
      <c r="P726" t="str">
        <f>Matchs!H727</f>
        <v>Group</v>
      </c>
      <c r="Q726" s="6" t="str">
        <f t="shared" si="217"/>
        <v>",SubStage= "</v>
      </c>
      <c r="R726" t="str">
        <f>Matchs!I727</f>
        <v xml:space="preserve">Group B </v>
      </c>
      <c r="S726" s="6" t="str">
        <f t="shared" si="218"/>
        <v>",HTeam= "</v>
      </c>
      <c r="T726" t="str">
        <f>Matchs!J727</f>
        <v>Argentina</v>
      </c>
      <c r="U726" s="6" t="str">
        <f t="shared" si="219"/>
        <v>",HGoal=</v>
      </c>
      <c r="V726">
        <f>Matchs!K727</f>
        <v>4</v>
      </c>
      <c r="W726" s="6" t="str">
        <f t="shared" si="220"/>
        <v>,GGoal=</v>
      </c>
      <c r="X726">
        <f>Matchs!L727</f>
        <v>1</v>
      </c>
      <c r="Y726" s="6" t="str">
        <f t="shared" si="221"/>
        <v>,GTeam= "</v>
      </c>
      <c r="Z726" t="str">
        <f>Matchs!M727</f>
        <v>South Korea</v>
      </c>
      <c r="AA726" s="6" t="str">
        <f t="shared" si="222"/>
        <v>",WinNote="</v>
      </c>
      <c r="AB726" t="str">
        <f>IF(Matchs!N727="","",Matchs!N727)</f>
        <v/>
      </c>
      <c r="AC726" s="6" t="str">
        <f t="shared" si="223"/>
        <v xml:space="preserve">",Stadium=" </v>
      </c>
      <c r="AD726" s="11" t="str">
        <f>Matchs!O727</f>
        <v xml:space="preserve">Soccer City </v>
      </c>
      <c r="AE726" s="6" t="str">
        <f t="shared" si="224"/>
        <v>",Referee= "</v>
      </c>
      <c r="AF726" s="11" t="str">
        <f>Matchs!P727</f>
        <v xml:space="preserve">Frank de Bleeckere </v>
      </c>
      <c r="AG726" s="6" t="str">
        <f t="shared" si="225"/>
        <v xml:space="preserve">",Visistors= </v>
      </c>
      <c r="AH726" s="11">
        <f>Matchs!Q727</f>
        <v>82174</v>
      </c>
      <c r="AI726" s="11" t="str">
        <f t="shared" si="226"/>
        <v>,Status= "</v>
      </c>
      <c r="AJ726" s="11" t="str">
        <f>Matchs!R727</f>
        <v>Finished</v>
      </c>
      <c r="AK726" t="str">
        <f t="shared" si="227"/>
        <v>" },</v>
      </c>
    </row>
    <row r="727" spans="1:37" x14ac:dyDescent="0.25">
      <c r="A727" t="str">
        <f t="shared" si="209"/>
        <v>new Match { MatchId= "</v>
      </c>
      <c r="B727" t="str">
        <f>Matchs!A728</f>
        <v>FIFAWC2010-20</v>
      </c>
      <c r="C727" t="str">
        <f t="shared" si="210"/>
        <v>",MatchNumer=</v>
      </c>
      <c r="D727">
        <f>Matchs!B728</f>
        <v>20</v>
      </c>
      <c r="E727" t="str">
        <f t="shared" si="211"/>
        <v>,DateMatch=DateTime.Parse("</v>
      </c>
      <c r="F727" s="3">
        <f>Matchs!C728</f>
        <v>40346</v>
      </c>
      <c r="G727" s="10" t="str">
        <f t="shared" si="212"/>
        <v>"),TimeMatch=TimeSpan.Parse("</v>
      </c>
      <c r="H727" s="9">
        <f>Matchs!D728</f>
        <v>0.875</v>
      </c>
      <c r="I727" t="str">
        <f t="shared" si="213"/>
        <v>"),MatchYear=</v>
      </c>
      <c r="J727">
        <f>Matchs!E728</f>
        <v>2010</v>
      </c>
      <c r="K727" t="str">
        <f t="shared" si="214"/>
        <v>, SeasonId= "</v>
      </c>
      <c r="L727" t="str">
        <f>Matchs!F728</f>
        <v>FIFAWC2010</v>
      </c>
      <c r="M727" t="str">
        <f t="shared" si="215"/>
        <v>",Round= "</v>
      </c>
      <c r="N727" t="str">
        <f>Matchs!G728</f>
        <v>Final Round</v>
      </c>
      <c r="O727" s="6" t="str">
        <f t="shared" si="216"/>
        <v>",Stage= "</v>
      </c>
      <c r="P727" t="str">
        <f>Matchs!H728</f>
        <v>Group</v>
      </c>
      <c r="Q727" s="6" t="str">
        <f t="shared" si="217"/>
        <v>",SubStage= "</v>
      </c>
      <c r="R727" t="str">
        <f>Matchs!I728</f>
        <v xml:space="preserve">Group B </v>
      </c>
      <c r="S727" s="6" t="str">
        <f t="shared" si="218"/>
        <v>",HTeam= "</v>
      </c>
      <c r="T727" t="str">
        <f>Matchs!J728</f>
        <v>Greece</v>
      </c>
      <c r="U727" s="6" t="str">
        <f t="shared" si="219"/>
        <v>",HGoal=</v>
      </c>
      <c r="V727">
        <f>Matchs!K728</f>
        <v>2</v>
      </c>
      <c r="W727" s="6" t="str">
        <f t="shared" si="220"/>
        <v>,GGoal=</v>
      </c>
      <c r="X727">
        <f>Matchs!L728</f>
        <v>1</v>
      </c>
      <c r="Y727" s="6" t="str">
        <f t="shared" si="221"/>
        <v>,GTeam= "</v>
      </c>
      <c r="Z727" t="str">
        <f>Matchs!M728</f>
        <v>Nigeria</v>
      </c>
      <c r="AA727" s="6" t="str">
        <f t="shared" si="222"/>
        <v>",WinNote="</v>
      </c>
      <c r="AB727" t="str">
        <f>IF(Matchs!N728="","",Matchs!N728)</f>
        <v/>
      </c>
      <c r="AC727" s="6" t="str">
        <f t="shared" si="223"/>
        <v xml:space="preserve">",Stadium=" </v>
      </c>
      <c r="AD727" s="11" t="str">
        <f>Matchs!O728</f>
        <v xml:space="preserve">Free State Stadium </v>
      </c>
      <c r="AE727" s="6" t="str">
        <f t="shared" si="224"/>
        <v>",Referee= "</v>
      </c>
      <c r="AF727" s="11" t="str">
        <f>Matchs!P728</f>
        <v xml:space="preserve">Oscar Ruiz </v>
      </c>
      <c r="AG727" s="6" t="str">
        <f t="shared" si="225"/>
        <v xml:space="preserve">",Visistors= </v>
      </c>
      <c r="AH727" s="11">
        <f>Matchs!Q728</f>
        <v>31593</v>
      </c>
      <c r="AI727" s="11" t="str">
        <f t="shared" si="226"/>
        <v>,Status= "</v>
      </c>
      <c r="AJ727" s="11" t="str">
        <f>Matchs!R728</f>
        <v>Finished</v>
      </c>
      <c r="AK727" t="str">
        <f t="shared" si="227"/>
        <v>" },</v>
      </c>
    </row>
    <row r="728" spans="1:37" x14ac:dyDescent="0.25">
      <c r="A728" t="str">
        <f t="shared" si="209"/>
        <v>new Match { MatchId= "</v>
      </c>
      <c r="B728" t="str">
        <f>Matchs!A729</f>
        <v>FIFAWC2010-18</v>
      </c>
      <c r="C728" t="str">
        <f t="shared" si="210"/>
        <v>",MatchNumer=</v>
      </c>
      <c r="D728">
        <f>Matchs!B729</f>
        <v>18</v>
      </c>
      <c r="E728" t="str">
        <f t="shared" si="211"/>
        <v>,DateMatch=DateTime.Parse("</v>
      </c>
      <c r="F728" s="3">
        <f>Matchs!C729</f>
        <v>40347</v>
      </c>
      <c r="G728" s="10" t="str">
        <f t="shared" si="212"/>
        <v>"),TimeMatch=TimeSpan.Parse("</v>
      </c>
      <c r="H728" s="9">
        <f>Matchs!D729</f>
        <v>6.25E-2</v>
      </c>
      <c r="I728" t="str">
        <f t="shared" si="213"/>
        <v>"),MatchYear=</v>
      </c>
      <c r="J728">
        <f>Matchs!E729</f>
        <v>2010</v>
      </c>
      <c r="K728" t="str">
        <f t="shared" si="214"/>
        <v>, SeasonId= "</v>
      </c>
      <c r="L728" t="str">
        <f>Matchs!F729</f>
        <v>FIFAWC2010</v>
      </c>
      <c r="M728" t="str">
        <f t="shared" si="215"/>
        <v>",Round= "</v>
      </c>
      <c r="N728" t="str">
        <f>Matchs!G729</f>
        <v>Final Round</v>
      </c>
      <c r="O728" s="6" t="str">
        <f t="shared" si="216"/>
        <v>",Stage= "</v>
      </c>
      <c r="P728" t="str">
        <f>Matchs!H729</f>
        <v>Group</v>
      </c>
      <c r="Q728" s="6" t="str">
        <f t="shared" si="217"/>
        <v>",SubStage= "</v>
      </c>
      <c r="R728" t="str">
        <f>Matchs!I729</f>
        <v xml:space="preserve">Group A </v>
      </c>
      <c r="S728" s="6" t="str">
        <f t="shared" si="218"/>
        <v>",HTeam= "</v>
      </c>
      <c r="T728" t="str">
        <f>Matchs!J729</f>
        <v>France</v>
      </c>
      <c r="U728" s="6" t="str">
        <f t="shared" si="219"/>
        <v>",HGoal=</v>
      </c>
      <c r="V728">
        <f>Matchs!K729</f>
        <v>0</v>
      </c>
      <c r="W728" s="6" t="str">
        <f t="shared" si="220"/>
        <v>,GGoal=</v>
      </c>
      <c r="X728">
        <f>Matchs!L729</f>
        <v>2</v>
      </c>
      <c r="Y728" s="6" t="str">
        <f t="shared" si="221"/>
        <v>,GTeam= "</v>
      </c>
      <c r="Z728" t="str">
        <f>Matchs!M729</f>
        <v>Mexico</v>
      </c>
      <c r="AA728" s="6" t="str">
        <f t="shared" si="222"/>
        <v>",WinNote="</v>
      </c>
      <c r="AB728" t="str">
        <f>IF(Matchs!N729="","",Matchs!N729)</f>
        <v/>
      </c>
      <c r="AC728" s="6" t="str">
        <f t="shared" si="223"/>
        <v xml:space="preserve">",Stadium=" </v>
      </c>
      <c r="AD728" s="11" t="str">
        <f>Matchs!O729</f>
        <v xml:space="preserve">Peter Mokoba Stadium </v>
      </c>
      <c r="AE728" s="6" t="str">
        <f t="shared" si="224"/>
        <v>",Referee= "</v>
      </c>
      <c r="AF728" s="11" t="str">
        <f>Matchs!P729</f>
        <v xml:space="preserve">Khalil Al Ghamdi </v>
      </c>
      <c r="AG728" s="6" t="str">
        <f t="shared" si="225"/>
        <v xml:space="preserve">",Visistors= </v>
      </c>
      <c r="AH728" s="11">
        <f>Matchs!Q729</f>
        <v>35370</v>
      </c>
      <c r="AI728" s="11" t="str">
        <f t="shared" si="226"/>
        <v>,Status= "</v>
      </c>
      <c r="AJ728" s="11" t="str">
        <f>Matchs!R729</f>
        <v>Finished</v>
      </c>
      <c r="AK728" t="str">
        <f t="shared" si="227"/>
        <v>" },</v>
      </c>
    </row>
    <row r="729" spans="1:37" x14ac:dyDescent="0.25">
      <c r="A729" t="str">
        <f t="shared" si="209"/>
        <v>new Match { MatchId= "</v>
      </c>
      <c r="B729" t="str">
        <f>Matchs!A730</f>
        <v>FIFAWC2010-23</v>
      </c>
      <c r="C729" t="str">
        <f t="shared" si="210"/>
        <v>",MatchNumer=</v>
      </c>
      <c r="D729">
        <f>Matchs!B730</f>
        <v>23</v>
      </c>
      <c r="E729" t="str">
        <f t="shared" si="211"/>
        <v>,DateMatch=DateTime.Parse("</v>
      </c>
      <c r="F729" s="3">
        <f>Matchs!C730</f>
        <v>40347</v>
      </c>
      <c r="G729" s="10" t="str">
        <f t="shared" si="212"/>
        <v>"),TimeMatch=TimeSpan.Parse("</v>
      </c>
      <c r="H729" s="9">
        <f>Matchs!D730</f>
        <v>0.77083333333333337</v>
      </c>
      <c r="I729" t="str">
        <f t="shared" si="213"/>
        <v>"),MatchYear=</v>
      </c>
      <c r="J729">
        <f>Matchs!E730</f>
        <v>2010</v>
      </c>
      <c r="K729" t="str">
        <f t="shared" si="214"/>
        <v>, SeasonId= "</v>
      </c>
      <c r="L729" t="str">
        <f>Matchs!F730</f>
        <v>FIFAWC2010</v>
      </c>
      <c r="M729" t="str">
        <f t="shared" si="215"/>
        <v>",Round= "</v>
      </c>
      <c r="N729" t="str">
        <f>Matchs!G730</f>
        <v>Final Round</v>
      </c>
      <c r="O729" s="6" t="str">
        <f t="shared" si="216"/>
        <v>",Stage= "</v>
      </c>
      <c r="P729" t="str">
        <f>Matchs!H730</f>
        <v>Group</v>
      </c>
      <c r="Q729" s="6" t="str">
        <f t="shared" si="217"/>
        <v>",SubStage= "</v>
      </c>
      <c r="R729" t="str">
        <f>Matchs!I730</f>
        <v xml:space="preserve">Group D </v>
      </c>
      <c r="S729" s="6" t="str">
        <f t="shared" si="218"/>
        <v>",HTeam= "</v>
      </c>
      <c r="T729" t="str">
        <f>Matchs!J730</f>
        <v>Germany</v>
      </c>
      <c r="U729" s="6" t="str">
        <f t="shared" si="219"/>
        <v>",HGoal=</v>
      </c>
      <c r="V729">
        <f>Matchs!K730</f>
        <v>0</v>
      </c>
      <c r="W729" s="6" t="str">
        <f t="shared" si="220"/>
        <v>,GGoal=</v>
      </c>
      <c r="X729">
        <f>Matchs!L730</f>
        <v>2</v>
      </c>
      <c r="Y729" s="6" t="str">
        <f t="shared" si="221"/>
        <v>,GTeam= "</v>
      </c>
      <c r="Z729" t="str">
        <f>Matchs!M730</f>
        <v>Serbia</v>
      </c>
      <c r="AA729" s="6" t="str">
        <f t="shared" si="222"/>
        <v>",WinNote="</v>
      </c>
      <c r="AB729" t="str">
        <f>IF(Matchs!N730="","",Matchs!N730)</f>
        <v/>
      </c>
      <c r="AC729" s="6" t="str">
        <f t="shared" si="223"/>
        <v xml:space="preserve">",Stadium=" </v>
      </c>
      <c r="AD729" s="11" t="str">
        <f>Matchs!O730</f>
        <v xml:space="preserve">Nelson Mandela Bay Stadium </v>
      </c>
      <c r="AE729" s="6" t="str">
        <f t="shared" si="224"/>
        <v>",Referee= "</v>
      </c>
      <c r="AF729" s="11" t="str">
        <f>Matchs!P730</f>
        <v xml:space="preserve">Alberto Undiano Mallenco </v>
      </c>
      <c r="AG729" s="6" t="str">
        <f t="shared" si="225"/>
        <v xml:space="preserve">",Visistors= </v>
      </c>
      <c r="AH729" s="11">
        <f>Matchs!Q730</f>
        <v>38294</v>
      </c>
      <c r="AI729" s="11" t="str">
        <f t="shared" si="226"/>
        <v>,Status= "</v>
      </c>
      <c r="AJ729" s="11" t="str">
        <f>Matchs!R730</f>
        <v>Finished</v>
      </c>
      <c r="AK729" t="str">
        <f t="shared" si="227"/>
        <v>" },</v>
      </c>
    </row>
    <row r="730" spans="1:37" x14ac:dyDescent="0.25">
      <c r="A730" t="str">
        <f t="shared" si="209"/>
        <v>new Match { MatchId= "</v>
      </c>
      <c r="B730" t="str">
        <f>Matchs!A731</f>
        <v>FIFAWC2010-21</v>
      </c>
      <c r="C730" t="str">
        <f t="shared" si="210"/>
        <v>",MatchNumer=</v>
      </c>
      <c r="D730">
        <f>Matchs!B731</f>
        <v>21</v>
      </c>
      <c r="E730" t="str">
        <f t="shared" si="211"/>
        <v>,DateMatch=DateTime.Parse("</v>
      </c>
      <c r="F730" s="3">
        <f>Matchs!C731</f>
        <v>40347</v>
      </c>
      <c r="G730" s="10" t="str">
        <f t="shared" si="212"/>
        <v>"),TimeMatch=TimeSpan.Parse("</v>
      </c>
      <c r="H730" s="9">
        <f>Matchs!D731</f>
        <v>0.875</v>
      </c>
      <c r="I730" t="str">
        <f t="shared" si="213"/>
        <v>"),MatchYear=</v>
      </c>
      <c r="J730">
        <f>Matchs!E731</f>
        <v>2010</v>
      </c>
      <c r="K730" t="str">
        <f t="shared" si="214"/>
        <v>, SeasonId= "</v>
      </c>
      <c r="L730" t="str">
        <f>Matchs!F731</f>
        <v>FIFAWC2010</v>
      </c>
      <c r="M730" t="str">
        <f t="shared" si="215"/>
        <v>",Round= "</v>
      </c>
      <c r="N730" t="str">
        <f>Matchs!G731</f>
        <v>Final Round</v>
      </c>
      <c r="O730" s="6" t="str">
        <f t="shared" si="216"/>
        <v>",Stage= "</v>
      </c>
      <c r="P730" t="str">
        <f>Matchs!H731</f>
        <v>Group</v>
      </c>
      <c r="Q730" s="6" t="str">
        <f t="shared" si="217"/>
        <v>",SubStage= "</v>
      </c>
      <c r="R730" t="str">
        <f>Matchs!I731</f>
        <v xml:space="preserve">Group C </v>
      </c>
      <c r="S730" s="6" t="str">
        <f t="shared" si="218"/>
        <v>",HTeam= "</v>
      </c>
      <c r="T730" t="str">
        <f>Matchs!J731</f>
        <v>Slovenia</v>
      </c>
      <c r="U730" s="6" t="str">
        <f t="shared" si="219"/>
        <v>",HGoal=</v>
      </c>
      <c r="V730">
        <f>Matchs!K731</f>
        <v>2</v>
      </c>
      <c r="W730" s="6" t="str">
        <f t="shared" si="220"/>
        <v>,GGoal=</v>
      </c>
      <c r="X730">
        <f>Matchs!L731</f>
        <v>2</v>
      </c>
      <c r="Y730" s="6" t="str">
        <f t="shared" si="221"/>
        <v>,GTeam= "</v>
      </c>
      <c r="Z730" t="str">
        <f>Matchs!M731</f>
        <v>USA</v>
      </c>
      <c r="AA730" s="6" t="str">
        <f t="shared" si="222"/>
        <v>",WinNote="</v>
      </c>
      <c r="AB730" t="str">
        <f>IF(Matchs!N731="","",Matchs!N731)</f>
        <v/>
      </c>
      <c r="AC730" s="6" t="str">
        <f t="shared" si="223"/>
        <v xml:space="preserve">",Stadium=" </v>
      </c>
      <c r="AD730" s="11" t="str">
        <f>Matchs!O731</f>
        <v xml:space="preserve">Ellis Park Stadium </v>
      </c>
      <c r="AE730" s="6" t="str">
        <f t="shared" si="224"/>
        <v>",Referee= "</v>
      </c>
      <c r="AF730" s="11" t="str">
        <f>Matchs!P731</f>
        <v xml:space="preserve">Koman Coulibaly </v>
      </c>
      <c r="AG730" s="6" t="str">
        <f t="shared" si="225"/>
        <v xml:space="preserve">",Visistors= </v>
      </c>
      <c r="AH730" s="11">
        <f>Matchs!Q731</f>
        <v>45573</v>
      </c>
      <c r="AI730" s="11" t="str">
        <f t="shared" si="226"/>
        <v>,Status= "</v>
      </c>
      <c r="AJ730" s="11" t="str">
        <f>Matchs!R731</f>
        <v>Finished</v>
      </c>
      <c r="AK730" t="str">
        <f t="shared" si="227"/>
        <v>" },</v>
      </c>
    </row>
    <row r="731" spans="1:37" x14ac:dyDescent="0.25">
      <c r="A731" t="str">
        <f t="shared" si="209"/>
        <v>new Match { MatchId= "</v>
      </c>
      <c r="B731" t="str">
        <f>Matchs!A732</f>
        <v>FIFAWC2010-22</v>
      </c>
      <c r="C731" t="str">
        <f t="shared" si="210"/>
        <v>",MatchNumer=</v>
      </c>
      <c r="D731">
        <f>Matchs!B732</f>
        <v>22</v>
      </c>
      <c r="E731" t="str">
        <f t="shared" si="211"/>
        <v>,DateMatch=DateTime.Parse("</v>
      </c>
      <c r="F731" s="3">
        <f>Matchs!C732</f>
        <v>40348</v>
      </c>
      <c r="G731" s="10" t="str">
        <f t="shared" si="212"/>
        <v>"),TimeMatch=TimeSpan.Parse("</v>
      </c>
      <c r="H731" s="9">
        <f>Matchs!D732</f>
        <v>6.25E-2</v>
      </c>
      <c r="I731" t="str">
        <f t="shared" si="213"/>
        <v>"),MatchYear=</v>
      </c>
      <c r="J731">
        <f>Matchs!E732</f>
        <v>2010</v>
      </c>
      <c r="K731" t="str">
        <f t="shared" si="214"/>
        <v>, SeasonId= "</v>
      </c>
      <c r="L731" t="str">
        <f>Matchs!F732</f>
        <v>FIFAWC2010</v>
      </c>
      <c r="M731" t="str">
        <f t="shared" si="215"/>
        <v>",Round= "</v>
      </c>
      <c r="N731" t="str">
        <f>Matchs!G732</f>
        <v>Final Round</v>
      </c>
      <c r="O731" s="6" t="str">
        <f t="shared" si="216"/>
        <v>",Stage= "</v>
      </c>
      <c r="P731" t="str">
        <f>Matchs!H732</f>
        <v>Group</v>
      </c>
      <c r="Q731" s="6" t="str">
        <f t="shared" si="217"/>
        <v>",SubStage= "</v>
      </c>
      <c r="R731" t="str">
        <f>Matchs!I732</f>
        <v xml:space="preserve">Group C </v>
      </c>
      <c r="S731" s="6" t="str">
        <f t="shared" si="218"/>
        <v>",HTeam= "</v>
      </c>
      <c r="T731" t="str">
        <f>Matchs!J732</f>
        <v>England</v>
      </c>
      <c r="U731" s="6" t="str">
        <f t="shared" si="219"/>
        <v>",HGoal=</v>
      </c>
      <c r="V731">
        <f>Matchs!K732</f>
        <v>0</v>
      </c>
      <c r="W731" s="6" t="str">
        <f t="shared" si="220"/>
        <v>,GGoal=</v>
      </c>
      <c r="X731">
        <f>Matchs!L732</f>
        <v>0</v>
      </c>
      <c r="Y731" s="6" t="str">
        <f t="shared" si="221"/>
        <v>,GTeam= "</v>
      </c>
      <c r="Z731" t="str">
        <f>Matchs!M732</f>
        <v>Algeria</v>
      </c>
      <c r="AA731" s="6" t="str">
        <f t="shared" si="222"/>
        <v>",WinNote="</v>
      </c>
      <c r="AB731" t="str">
        <f>IF(Matchs!N732="","",Matchs!N732)</f>
        <v/>
      </c>
      <c r="AC731" s="6" t="str">
        <f t="shared" si="223"/>
        <v xml:space="preserve">",Stadium=" </v>
      </c>
      <c r="AD731" s="11" t="str">
        <f>Matchs!O732</f>
        <v xml:space="preserve">Cape Town Stadium </v>
      </c>
      <c r="AE731" s="6" t="str">
        <f t="shared" si="224"/>
        <v>",Referee= "</v>
      </c>
      <c r="AF731" s="11" t="str">
        <f>Matchs!P732</f>
        <v xml:space="preserve">Ravshan Irmatov </v>
      </c>
      <c r="AG731" s="6" t="str">
        <f t="shared" si="225"/>
        <v xml:space="preserve">",Visistors= </v>
      </c>
      <c r="AH731" s="11">
        <f>Matchs!Q732</f>
        <v>64100</v>
      </c>
      <c r="AI731" s="11" t="str">
        <f t="shared" si="226"/>
        <v>,Status= "</v>
      </c>
      <c r="AJ731" s="11" t="str">
        <f>Matchs!R732</f>
        <v>Finished</v>
      </c>
      <c r="AK731" t="str">
        <f t="shared" si="227"/>
        <v>" },</v>
      </c>
    </row>
    <row r="732" spans="1:37" x14ac:dyDescent="0.25">
      <c r="A732" t="str">
        <f t="shared" si="209"/>
        <v>new Match { MatchId= "</v>
      </c>
      <c r="B732" t="str">
        <f>Matchs!A733</f>
        <v>FIFAWC2010-25</v>
      </c>
      <c r="C732" t="str">
        <f t="shared" si="210"/>
        <v>",MatchNumer=</v>
      </c>
      <c r="D732">
        <f>Matchs!B733</f>
        <v>25</v>
      </c>
      <c r="E732" t="str">
        <f t="shared" si="211"/>
        <v>,DateMatch=DateTime.Parse("</v>
      </c>
      <c r="F732" s="3">
        <f>Matchs!C733</f>
        <v>40348</v>
      </c>
      <c r="G732" s="10" t="str">
        <f t="shared" si="212"/>
        <v>"),TimeMatch=TimeSpan.Parse("</v>
      </c>
      <c r="H732" s="9">
        <f>Matchs!D733</f>
        <v>0.77083333333333337</v>
      </c>
      <c r="I732" t="str">
        <f t="shared" si="213"/>
        <v>"),MatchYear=</v>
      </c>
      <c r="J732">
        <f>Matchs!E733</f>
        <v>2010</v>
      </c>
      <c r="K732" t="str">
        <f t="shared" si="214"/>
        <v>, SeasonId= "</v>
      </c>
      <c r="L732" t="str">
        <f>Matchs!F733</f>
        <v>FIFAWC2010</v>
      </c>
      <c r="M732" t="str">
        <f t="shared" si="215"/>
        <v>",Round= "</v>
      </c>
      <c r="N732" t="str">
        <f>Matchs!G733</f>
        <v>Final Round</v>
      </c>
      <c r="O732" s="6" t="str">
        <f t="shared" si="216"/>
        <v>",Stage= "</v>
      </c>
      <c r="P732" t="str">
        <f>Matchs!H733</f>
        <v>Group</v>
      </c>
      <c r="Q732" s="6" t="str">
        <f t="shared" si="217"/>
        <v>",SubStage= "</v>
      </c>
      <c r="R732" t="str">
        <f>Matchs!I733</f>
        <v xml:space="preserve">Group E </v>
      </c>
      <c r="S732" s="6" t="str">
        <f t="shared" si="218"/>
        <v>",HTeam= "</v>
      </c>
      <c r="T732" t="str">
        <f>Matchs!J733</f>
        <v>Netherlands</v>
      </c>
      <c r="U732" s="6" t="str">
        <f t="shared" si="219"/>
        <v>",HGoal=</v>
      </c>
      <c r="V732">
        <f>Matchs!K733</f>
        <v>1</v>
      </c>
      <c r="W732" s="6" t="str">
        <f t="shared" si="220"/>
        <v>,GGoal=</v>
      </c>
      <c r="X732">
        <f>Matchs!L733</f>
        <v>0</v>
      </c>
      <c r="Y732" s="6" t="str">
        <f t="shared" si="221"/>
        <v>,GTeam= "</v>
      </c>
      <c r="Z732" t="str">
        <f>Matchs!M733</f>
        <v>Japan</v>
      </c>
      <c r="AA732" s="6" t="str">
        <f t="shared" si="222"/>
        <v>",WinNote="</v>
      </c>
      <c r="AB732" t="str">
        <f>IF(Matchs!N733="","",Matchs!N733)</f>
        <v/>
      </c>
      <c r="AC732" s="6" t="str">
        <f t="shared" si="223"/>
        <v xml:space="preserve">",Stadium=" </v>
      </c>
      <c r="AD732" s="11" t="str">
        <f>Matchs!O733</f>
        <v xml:space="preserve">Moses Mabhida Stadium </v>
      </c>
      <c r="AE732" s="6" t="str">
        <f t="shared" si="224"/>
        <v>",Referee= "</v>
      </c>
      <c r="AF732" s="11" t="str">
        <f>Matchs!P733</f>
        <v xml:space="preserve">Héctor Baldassi </v>
      </c>
      <c r="AG732" s="6" t="str">
        <f t="shared" si="225"/>
        <v xml:space="preserve">",Visistors= </v>
      </c>
      <c r="AH732" s="11">
        <f>Matchs!Q733</f>
        <v>62010</v>
      </c>
      <c r="AI732" s="11" t="str">
        <f t="shared" si="226"/>
        <v>,Status= "</v>
      </c>
      <c r="AJ732" s="11" t="str">
        <f>Matchs!R733</f>
        <v>Finished</v>
      </c>
      <c r="AK732" t="str">
        <f t="shared" si="227"/>
        <v>" },</v>
      </c>
    </row>
    <row r="733" spans="1:37" x14ac:dyDescent="0.25">
      <c r="A733" t="str">
        <f t="shared" si="209"/>
        <v>new Match { MatchId= "</v>
      </c>
      <c r="B733" t="str">
        <f>Matchs!A734</f>
        <v>FIFAWC2010-24</v>
      </c>
      <c r="C733" t="str">
        <f t="shared" si="210"/>
        <v>",MatchNumer=</v>
      </c>
      <c r="D733">
        <f>Matchs!B734</f>
        <v>24</v>
      </c>
      <c r="E733" t="str">
        <f t="shared" si="211"/>
        <v>,DateMatch=DateTime.Parse("</v>
      </c>
      <c r="F733" s="3">
        <f>Matchs!C734</f>
        <v>40348</v>
      </c>
      <c r="G733" s="10" t="str">
        <f t="shared" si="212"/>
        <v>"),TimeMatch=TimeSpan.Parse("</v>
      </c>
      <c r="H733" s="9">
        <f>Matchs!D734</f>
        <v>0.875</v>
      </c>
      <c r="I733" t="str">
        <f t="shared" si="213"/>
        <v>"),MatchYear=</v>
      </c>
      <c r="J733">
        <f>Matchs!E734</f>
        <v>2010</v>
      </c>
      <c r="K733" t="str">
        <f t="shared" si="214"/>
        <v>, SeasonId= "</v>
      </c>
      <c r="L733" t="str">
        <f>Matchs!F734</f>
        <v>FIFAWC2010</v>
      </c>
      <c r="M733" t="str">
        <f t="shared" si="215"/>
        <v>",Round= "</v>
      </c>
      <c r="N733" t="str">
        <f>Matchs!G734</f>
        <v>Final Round</v>
      </c>
      <c r="O733" s="6" t="str">
        <f t="shared" si="216"/>
        <v>",Stage= "</v>
      </c>
      <c r="P733" t="str">
        <f>Matchs!H734</f>
        <v>Group</v>
      </c>
      <c r="Q733" s="6" t="str">
        <f t="shared" si="217"/>
        <v>",SubStage= "</v>
      </c>
      <c r="R733" t="str">
        <f>Matchs!I734</f>
        <v xml:space="preserve">Group D </v>
      </c>
      <c r="S733" s="6" t="str">
        <f t="shared" si="218"/>
        <v>",HTeam= "</v>
      </c>
      <c r="T733" t="str">
        <f>Matchs!J734</f>
        <v>Ghana</v>
      </c>
      <c r="U733" s="6" t="str">
        <f t="shared" si="219"/>
        <v>",HGoal=</v>
      </c>
      <c r="V733">
        <f>Matchs!K734</f>
        <v>1</v>
      </c>
      <c r="W733" s="6" t="str">
        <f t="shared" si="220"/>
        <v>,GGoal=</v>
      </c>
      <c r="X733">
        <f>Matchs!L734</f>
        <v>1</v>
      </c>
      <c r="Y733" s="6" t="str">
        <f t="shared" si="221"/>
        <v>,GTeam= "</v>
      </c>
      <c r="Z733" t="str">
        <f>Matchs!M734</f>
        <v>Australia</v>
      </c>
      <c r="AA733" s="6" t="str">
        <f t="shared" si="222"/>
        <v>",WinNote="</v>
      </c>
      <c r="AB733" t="str">
        <f>IF(Matchs!N734="","",Matchs!N734)</f>
        <v/>
      </c>
      <c r="AC733" s="6" t="str">
        <f t="shared" si="223"/>
        <v xml:space="preserve">",Stadium=" </v>
      </c>
      <c r="AD733" s="11" t="str">
        <f>Matchs!O734</f>
        <v xml:space="preserve">Royal Bafokeng Stadium </v>
      </c>
      <c r="AE733" s="6" t="str">
        <f t="shared" si="224"/>
        <v>",Referee= "</v>
      </c>
      <c r="AF733" s="11" t="str">
        <f>Matchs!P734</f>
        <v xml:space="preserve">Robert Rosetti </v>
      </c>
      <c r="AG733" s="6" t="str">
        <f t="shared" si="225"/>
        <v xml:space="preserve">",Visistors= </v>
      </c>
      <c r="AH733" s="11">
        <f>Matchs!Q734</f>
        <v>34812</v>
      </c>
      <c r="AI733" s="11" t="str">
        <f t="shared" si="226"/>
        <v>,Status= "</v>
      </c>
      <c r="AJ733" s="11" t="str">
        <f>Matchs!R734</f>
        <v>Finished</v>
      </c>
      <c r="AK733" t="str">
        <f t="shared" si="227"/>
        <v>" },</v>
      </c>
    </row>
    <row r="734" spans="1:37" x14ac:dyDescent="0.25">
      <c r="A734" t="str">
        <f t="shared" si="209"/>
        <v>new Match { MatchId= "</v>
      </c>
      <c r="B734" t="str">
        <f>Matchs!A735</f>
        <v>FIFAWC2010-26</v>
      </c>
      <c r="C734" t="str">
        <f t="shared" si="210"/>
        <v>",MatchNumer=</v>
      </c>
      <c r="D734">
        <f>Matchs!B735</f>
        <v>26</v>
      </c>
      <c r="E734" t="str">
        <f t="shared" si="211"/>
        <v>,DateMatch=DateTime.Parse("</v>
      </c>
      <c r="F734" s="3">
        <f>Matchs!C735</f>
        <v>40349</v>
      </c>
      <c r="G734" s="10" t="str">
        <f t="shared" si="212"/>
        <v>"),TimeMatch=TimeSpan.Parse("</v>
      </c>
      <c r="H734" s="9">
        <f>Matchs!D735</f>
        <v>6.25E-2</v>
      </c>
      <c r="I734" t="str">
        <f t="shared" si="213"/>
        <v>"),MatchYear=</v>
      </c>
      <c r="J734">
        <f>Matchs!E735</f>
        <v>2010</v>
      </c>
      <c r="K734" t="str">
        <f t="shared" si="214"/>
        <v>, SeasonId= "</v>
      </c>
      <c r="L734" t="str">
        <f>Matchs!F735</f>
        <v>FIFAWC2010</v>
      </c>
      <c r="M734" t="str">
        <f t="shared" si="215"/>
        <v>",Round= "</v>
      </c>
      <c r="N734" t="str">
        <f>Matchs!G735</f>
        <v>Final Round</v>
      </c>
      <c r="O734" s="6" t="str">
        <f t="shared" si="216"/>
        <v>",Stage= "</v>
      </c>
      <c r="P734" t="str">
        <f>Matchs!H735</f>
        <v>Group</v>
      </c>
      <c r="Q734" s="6" t="str">
        <f t="shared" si="217"/>
        <v>",SubStage= "</v>
      </c>
      <c r="R734" t="str">
        <f>Matchs!I735</f>
        <v xml:space="preserve">Group E </v>
      </c>
      <c r="S734" s="6" t="str">
        <f t="shared" si="218"/>
        <v>",HTeam= "</v>
      </c>
      <c r="T734" t="str">
        <f>Matchs!J735</f>
        <v>Cameroon</v>
      </c>
      <c r="U734" s="6" t="str">
        <f t="shared" si="219"/>
        <v>",HGoal=</v>
      </c>
      <c r="V734">
        <f>Matchs!K735</f>
        <v>1</v>
      </c>
      <c r="W734" s="6" t="str">
        <f t="shared" si="220"/>
        <v>,GGoal=</v>
      </c>
      <c r="X734">
        <f>Matchs!L735</f>
        <v>2</v>
      </c>
      <c r="Y734" s="6" t="str">
        <f t="shared" si="221"/>
        <v>,GTeam= "</v>
      </c>
      <c r="Z734" t="str">
        <f>Matchs!M735</f>
        <v>Denmark</v>
      </c>
      <c r="AA734" s="6" t="str">
        <f t="shared" si="222"/>
        <v>",WinNote="</v>
      </c>
      <c r="AB734" t="str">
        <f>IF(Matchs!N735="","",Matchs!N735)</f>
        <v/>
      </c>
      <c r="AC734" s="6" t="str">
        <f t="shared" si="223"/>
        <v xml:space="preserve">",Stadium=" </v>
      </c>
      <c r="AD734" s="11" t="str">
        <f>Matchs!O735</f>
        <v xml:space="preserve">Loftus Versfeld Stadium </v>
      </c>
      <c r="AE734" s="6" t="str">
        <f t="shared" si="224"/>
        <v>",Referee= "</v>
      </c>
      <c r="AF734" s="11" t="str">
        <f>Matchs!P735</f>
        <v xml:space="preserve">Jorge Larrionda </v>
      </c>
      <c r="AG734" s="6" t="str">
        <f t="shared" si="225"/>
        <v xml:space="preserve">",Visistors= </v>
      </c>
      <c r="AH734" s="11">
        <f>Matchs!Q735</f>
        <v>38074</v>
      </c>
      <c r="AI734" s="11" t="str">
        <f t="shared" si="226"/>
        <v>,Status= "</v>
      </c>
      <c r="AJ734" s="11" t="str">
        <f>Matchs!R735</f>
        <v>Finished</v>
      </c>
      <c r="AK734" t="str">
        <f t="shared" si="227"/>
        <v>" },</v>
      </c>
    </row>
    <row r="735" spans="1:37" x14ac:dyDescent="0.25">
      <c r="A735" t="str">
        <f t="shared" si="209"/>
        <v>new Match { MatchId= "</v>
      </c>
      <c r="B735" t="str">
        <f>Matchs!A736</f>
        <v>FIFAWC2010-27</v>
      </c>
      <c r="C735" t="str">
        <f t="shared" si="210"/>
        <v>",MatchNumer=</v>
      </c>
      <c r="D735">
        <f>Matchs!B736</f>
        <v>27</v>
      </c>
      <c r="E735" t="str">
        <f t="shared" si="211"/>
        <v>,DateMatch=DateTime.Parse("</v>
      </c>
      <c r="F735" s="3">
        <f>Matchs!C736</f>
        <v>40349</v>
      </c>
      <c r="G735" s="10" t="str">
        <f t="shared" si="212"/>
        <v>"),TimeMatch=TimeSpan.Parse("</v>
      </c>
      <c r="H735" s="9">
        <f>Matchs!D736</f>
        <v>0.77083333333333337</v>
      </c>
      <c r="I735" t="str">
        <f t="shared" si="213"/>
        <v>"),MatchYear=</v>
      </c>
      <c r="J735">
        <f>Matchs!E736</f>
        <v>2010</v>
      </c>
      <c r="K735" t="str">
        <f t="shared" si="214"/>
        <v>, SeasonId= "</v>
      </c>
      <c r="L735" t="str">
        <f>Matchs!F736</f>
        <v>FIFAWC2010</v>
      </c>
      <c r="M735" t="str">
        <f t="shared" si="215"/>
        <v>",Round= "</v>
      </c>
      <c r="N735" t="str">
        <f>Matchs!G736</f>
        <v>Final Round</v>
      </c>
      <c r="O735" s="6" t="str">
        <f t="shared" si="216"/>
        <v>",Stage= "</v>
      </c>
      <c r="P735" t="str">
        <f>Matchs!H736</f>
        <v>Group</v>
      </c>
      <c r="Q735" s="6" t="str">
        <f t="shared" si="217"/>
        <v>",SubStage= "</v>
      </c>
      <c r="R735" t="str">
        <f>Matchs!I736</f>
        <v xml:space="preserve">Group F </v>
      </c>
      <c r="S735" s="6" t="str">
        <f t="shared" si="218"/>
        <v>",HTeam= "</v>
      </c>
      <c r="T735" t="str">
        <f>Matchs!J736</f>
        <v>Slovakia</v>
      </c>
      <c r="U735" s="6" t="str">
        <f t="shared" si="219"/>
        <v>",HGoal=</v>
      </c>
      <c r="V735">
        <f>Matchs!K736</f>
        <v>0</v>
      </c>
      <c r="W735" s="6" t="str">
        <f t="shared" si="220"/>
        <v>,GGoal=</v>
      </c>
      <c r="X735">
        <f>Matchs!L736</f>
        <v>2</v>
      </c>
      <c r="Y735" s="6" t="str">
        <f t="shared" si="221"/>
        <v>,GTeam= "</v>
      </c>
      <c r="Z735" t="str">
        <f>Matchs!M736</f>
        <v>Paraguay</v>
      </c>
      <c r="AA735" s="6" t="str">
        <f t="shared" si="222"/>
        <v>",WinNote="</v>
      </c>
      <c r="AB735" t="str">
        <f>IF(Matchs!N736="","",Matchs!N736)</f>
        <v/>
      </c>
      <c r="AC735" s="6" t="str">
        <f t="shared" si="223"/>
        <v xml:space="preserve">",Stadium=" </v>
      </c>
      <c r="AD735" s="11" t="str">
        <f>Matchs!O736</f>
        <v xml:space="preserve">Free State Stadium </v>
      </c>
      <c r="AE735" s="6" t="str">
        <f t="shared" si="224"/>
        <v>",Referee= "</v>
      </c>
      <c r="AF735" s="11" t="str">
        <f>Matchs!P736</f>
        <v xml:space="preserve">Eddy Maillet </v>
      </c>
      <c r="AG735" s="6" t="str">
        <f t="shared" si="225"/>
        <v xml:space="preserve">",Visistors= </v>
      </c>
      <c r="AH735" s="11">
        <f>Matchs!Q736</f>
        <v>26643</v>
      </c>
      <c r="AI735" s="11" t="str">
        <f t="shared" si="226"/>
        <v>,Status= "</v>
      </c>
      <c r="AJ735" s="11" t="str">
        <f>Matchs!R736</f>
        <v>Finished</v>
      </c>
      <c r="AK735" t="str">
        <f t="shared" si="227"/>
        <v>" },</v>
      </c>
    </row>
    <row r="736" spans="1:37" x14ac:dyDescent="0.25">
      <c r="A736" t="str">
        <f t="shared" si="209"/>
        <v>new Match { MatchId= "</v>
      </c>
      <c r="B736" t="str">
        <f>Matchs!A737</f>
        <v>FIFAWC2010-28</v>
      </c>
      <c r="C736" t="str">
        <f t="shared" si="210"/>
        <v>",MatchNumer=</v>
      </c>
      <c r="D736">
        <f>Matchs!B737</f>
        <v>28</v>
      </c>
      <c r="E736" t="str">
        <f t="shared" si="211"/>
        <v>,DateMatch=DateTime.Parse("</v>
      </c>
      <c r="F736" s="3">
        <f>Matchs!C737</f>
        <v>40349</v>
      </c>
      <c r="G736" s="10" t="str">
        <f t="shared" si="212"/>
        <v>"),TimeMatch=TimeSpan.Parse("</v>
      </c>
      <c r="H736" s="9">
        <f>Matchs!D737</f>
        <v>0.875</v>
      </c>
      <c r="I736" t="str">
        <f t="shared" si="213"/>
        <v>"),MatchYear=</v>
      </c>
      <c r="J736">
        <f>Matchs!E737</f>
        <v>2010</v>
      </c>
      <c r="K736" t="str">
        <f t="shared" si="214"/>
        <v>, SeasonId= "</v>
      </c>
      <c r="L736" t="str">
        <f>Matchs!F737</f>
        <v>FIFAWC2010</v>
      </c>
      <c r="M736" t="str">
        <f t="shared" si="215"/>
        <v>",Round= "</v>
      </c>
      <c r="N736" t="str">
        <f>Matchs!G737</f>
        <v>Final Round</v>
      </c>
      <c r="O736" s="6" t="str">
        <f t="shared" si="216"/>
        <v>",Stage= "</v>
      </c>
      <c r="P736" t="str">
        <f>Matchs!H737</f>
        <v>Group</v>
      </c>
      <c r="Q736" s="6" t="str">
        <f t="shared" si="217"/>
        <v>",SubStage= "</v>
      </c>
      <c r="R736" t="str">
        <f>Matchs!I737</f>
        <v xml:space="preserve">Group F </v>
      </c>
      <c r="S736" s="6" t="str">
        <f t="shared" si="218"/>
        <v>",HTeam= "</v>
      </c>
      <c r="T736" t="str">
        <f>Matchs!J737</f>
        <v>Italy</v>
      </c>
      <c r="U736" s="6" t="str">
        <f t="shared" si="219"/>
        <v>",HGoal=</v>
      </c>
      <c r="V736">
        <f>Matchs!K737</f>
        <v>1</v>
      </c>
      <c r="W736" s="6" t="str">
        <f t="shared" si="220"/>
        <v>,GGoal=</v>
      </c>
      <c r="X736">
        <f>Matchs!L737</f>
        <v>1</v>
      </c>
      <c r="Y736" s="6" t="str">
        <f t="shared" si="221"/>
        <v>,GTeam= "</v>
      </c>
      <c r="Z736" t="str">
        <f>Matchs!M737</f>
        <v>New Zealand</v>
      </c>
      <c r="AA736" s="6" t="str">
        <f t="shared" si="222"/>
        <v>",WinNote="</v>
      </c>
      <c r="AB736" t="str">
        <f>IF(Matchs!N737="","",Matchs!N737)</f>
        <v/>
      </c>
      <c r="AC736" s="6" t="str">
        <f t="shared" si="223"/>
        <v xml:space="preserve">",Stadium=" </v>
      </c>
      <c r="AD736" s="11" t="str">
        <f>Matchs!O737</f>
        <v xml:space="preserve">Mbombela Stadium </v>
      </c>
      <c r="AE736" s="6" t="str">
        <f t="shared" si="224"/>
        <v>",Referee= "</v>
      </c>
      <c r="AF736" s="11" t="str">
        <f>Matchs!P737</f>
        <v xml:space="preserve">Carlos Batres </v>
      </c>
      <c r="AG736" s="6" t="str">
        <f t="shared" si="225"/>
        <v xml:space="preserve">",Visistors= </v>
      </c>
      <c r="AH736" s="11">
        <f>Matchs!Q737</f>
        <v>38229</v>
      </c>
      <c r="AI736" s="11" t="str">
        <f t="shared" si="226"/>
        <v>,Status= "</v>
      </c>
      <c r="AJ736" s="11" t="str">
        <f>Matchs!R737</f>
        <v>Finished</v>
      </c>
      <c r="AK736" t="str">
        <f t="shared" si="227"/>
        <v>" },</v>
      </c>
    </row>
    <row r="737" spans="1:37" x14ac:dyDescent="0.25">
      <c r="A737" t="str">
        <f t="shared" si="209"/>
        <v>new Match { MatchId= "</v>
      </c>
      <c r="B737" t="str">
        <f>Matchs!A738</f>
        <v>FIFAWC2010-29</v>
      </c>
      <c r="C737" t="str">
        <f t="shared" si="210"/>
        <v>",MatchNumer=</v>
      </c>
      <c r="D737">
        <f>Matchs!B738</f>
        <v>29</v>
      </c>
      <c r="E737" t="str">
        <f t="shared" si="211"/>
        <v>,DateMatch=DateTime.Parse("</v>
      </c>
      <c r="F737" s="3">
        <f>Matchs!C738</f>
        <v>40350</v>
      </c>
      <c r="G737" s="10" t="str">
        <f t="shared" si="212"/>
        <v>"),TimeMatch=TimeSpan.Parse("</v>
      </c>
      <c r="H737" s="9">
        <f>Matchs!D738</f>
        <v>6.25E-2</v>
      </c>
      <c r="I737" t="str">
        <f t="shared" si="213"/>
        <v>"),MatchYear=</v>
      </c>
      <c r="J737">
        <f>Matchs!E738</f>
        <v>2010</v>
      </c>
      <c r="K737" t="str">
        <f t="shared" si="214"/>
        <v>, SeasonId= "</v>
      </c>
      <c r="L737" t="str">
        <f>Matchs!F738</f>
        <v>FIFAWC2010</v>
      </c>
      <c r="M737" t="str">
        <f t="shared" si="215"/>
        <v>",Round= "</v>
      </c>
      <c r="N737" t="str">
        <f>Matchs!G738</f>
        <v>Final Round</v>
      </c>
      <c r="O737" s="6" t="str">
        <f t="shared" si="216"/>
        <v>",Stage= "</v>
      </c>
      <c r="P737" t="str">
        <f>Matchs!H738</f>
        <v>Group</v>
      </c>
      <c r="Q737" s="6" t="str">
        <f t="shared" si="217"/>
        <v>",SubStage= "</v>
      </c>
      <c r="R737" t="str">
        <f>Matchs!I738</f>
        <v xml:space="preserve">Group G </v>
      </c>
      <c r="S737" s="6" t="str">
        <f t="shared" si="218"/>
        <v>",HTeam= "</v>
      </c>
      <c r="T737" t="str">
        <f>Matchs!J738</f>
        <v>Brazil</v>
      </c>
      <c r="U737" s="6" t="str">
        <f t="shared" si="219"/>
        <v>",HGoal=</v>
      </c>
      <c r="V737">
        <f>Matchs!K738</f>
        <v>3</v>
      </c>
      <c r="W737" s="6" t="str">
        <f t="shared" si="220"/>
        <v>,GGoal=</v>
      </c>
      <c r="X737">
        <f>Matchs!L738</f>
        <v>1</v>
      </c>
      <c r="Y737" s="6" t="str">
        <f t="shared" si="221"/>
        <v>,GTeam= "</v>
      </c>
      <c r="Z737" t="str">
        <f>Matchs!M738</f>
        <v>Cote D'Ivoire</v>
      </c>
      <c r="AA737" s="6" t="str">
        <f t="shared" si="222"/>
        <v>",WinNote="</v>
      </c>
      <c r="AB737" t="str">
        <f>IF(Matchs!N738="","",Matchs!N738)</f>
        <v/>
      </c>
      <c r="AC737" s="6" t="str">
        <f t="shared" si="223"/>
        <v xml:space="preserve">",Stadium=" </v>
      </c>
      <c r="AD737" s="11" t="str">
        <f>Matchs!O738</f>
        <v xml:space="preserve">Soccer City </v>
      </c>
      <c r="AE737" s="6" t="str">
        <f t="shared" si="224"/>
        <v>",Referee= "</v>
      </c>
      <c r="AF737" s="11" t="str">
        <f>Matchs!P738</f>
        <v xml:space="preserve">Stephane Lannoy </v>
      </c>
      <c r="AG737" s="6" t="str">
        <f t="shared" si="225"/>
        <v xml:space="preserve">",Visistors= </v>
      </c>
      <c r="AH737" s="11">
        <f>Matchs!Q738</f>
        <v>84455</v>
      </c>
      <c r="AI737" s="11" t="str">
        <f t="shared" si="226"/>
        <v>,Status= "</v>
      </c>
      <c r="AJ737" s="11" t="str">
        <f>Matchs!R738</f>
        <v>Finished</v>
      </c>
      <c r="AK737" t="str">
        <f t="shared" si="227"/>
        <v>" },</v>
      </c>
    </row>
    <row r="738" spans="1:37" x14ac:dyDescent="0.25">
      <c r="A738" t="str">
        <f t="shared" si="209"/>
        <v>new Match { MatchId= "</v>
      </c>
      <c r="B738" t="str">
        <f>Matchs!A739</f>
        <v>FIFAWC2010-30</v>
      </c>
      <c r="C738" t="str">
        <f t="shared" si="210"/>
        <v>",MatchNumer=</v>
      </c>
      <c r="D738">
        <f>Matchs!B739</f>
        <v>30</v>
      </c>
      <c r="E738" t="str">
        <f t="shared" si="211"/>
        <v>,DateMatch=DateTime.Parse("</v>
      </c>
      <c r="F738" s="3">
        <f>Matchs!C739</f>
        <v>40350</v>
      </c>
      <c r="G738" s="10" t="str">
        <f t="shared" si="212"/>
        <v>"),TimeMatch=TimeSpan.Parse("</v>
      </c>
      <c r="H738" s="9">
        <f>Matchs!D739</f>
        <v>0.77083333333333337</v>
      </c>
      <c r="I738" t="str">
        <f t="shared" si="213"/>
        <v>"),MatchYear=</v>
      </c>
      <c r="J738">
        <f>Matchs!E739</f>
        <v>2010</v>
      </c>
      <c r="K738" t="str">
        <f t="shared" si="214"/>
        <v>, SeasonId= "</v>
      </c>
      <c r="L738" t="str">
        <f>Matchs!F739</f>
        <v>FIFAWC2010</v>
      </c>
      <c r="M738" t="str">
        <f t="shared" si="215"/>
        <v>",Round= "</v>
      </c>
      <c r="N738" t="str">
        <f>Matchs!G739</f>
        <v>Final Round</v>
      </c>
      <c r="O738" s="6" t="str">
        <f t="shared" si="216"/>
        <v>",Stage= "</v>
      </c>
      <c r="P738" t="str">
        <f>Matchs!H739</f>
        <v>Group</v>
      </c>
      <c r="Q738" s="6" t="str">
        <f t="shared" si="217"/>
        <v>",SubStage= "</v>
      </c>
      <c r="R738" t="str">
        <f>Matchs!I739</f>
        <v xml:space="preserve">Group G </v>
      </c>
      <c r="S738" s="6" t="str">
        <f t="shared" si="218"/>
        <v>",HTeam= "</v>
      </c>
      <c r="T738" t="str">
        <f>Matchs!J739</f>
        <v>Portugal</v>
      </c>
      <c r="U738" s="6" t="str">
        <f t="shared" si="219"/>
        <v>",HGoal=</v>
      </c>
      <c r="V738">
        <f>Matchs!K739</f>
        <v>7</v>
      </c>
      <c r="W738" s="6" t="str">
        <f t="shared" si="220"/>
        <v>,GGoal=</v>
      </c>
      <c r="X738">
        <f>Matchs!L739</f>
        <v>0</v>
      </c>
      <c r="Y738" s="6" t="str">
        <f t="shared" si="221"/>
        <v>,GTeam= "</v>
      </c>
      <c r="Z738" t="str">
        <f>Matchs!M739</f>
        <v>North Korea</v>
      </c>
      <c r="AA738" s="6" t="str">
        <f t="shared" si="222"/>
        <v>",WinNote="</v>
      </c>
      <c r="AB738" t="str">
        <f>IF(Matchs!N739="","",Matchs!N739)</f>
        <v/>
      </c>
      <c r="AC738" s="6" t="str">
        <f t="shared" si="223"/>
        <v xml:space="preserve">",Stadium=" </v>
      </c>
      <c r="AD738" s="11" t="str">
        <f>Matchs!O739</f>
        <v xml:space="preserve">Cape Town Stadium </v>
      </c>
      <c r="AE738" s="6" t="str">
        <f t="shared" si="224"/>
        <v>",Referee= "</v>
      </c>
      <c r="AF738" s="11" t="str">
        <f>Matchs!P739</f>
        <v xml:space="preserve">Pablo Pozo </v>
      </c>
      <c r="AG738" s="6" t="str">
        <f t="shared" si="225"/>
        <v xml:space="preserve">",Visistors= </v>
      </c>
      <c r="AH738" s="11">
        <f>Matchs!Q739</f>
        <v>63644</v>
      </c>
      <c r="AI738" s="11" t="str">
        <f t="shared" si="226"/>
        <v>,Status= "</v>
      </c>
      <c r="AJ738" s="11" t="str">
        <f>Matchs!R739</f>
        <v>Finished</v>
      </c>
      <c r="AK738" t="str">
        <f t="shared" si="227"/>
        <v>" },</v>
      </c>
    </row>
    <row r="739" spans="1:37" x14ac:dyDescent="0.25">
      <c r="A739" t="str">
        <f t="shared" si="209"/>
        <v>new Match { MatchId= "</v>
      </c>
      <c r="B739" t="str">
        <f>Matchs!A740</f>
        <v>FIFAWC2010-31</v>
      </c>
      <c r="C739" t="str">
        <f t="shared" si="210"/>
        <v>",MatchNumer=</v>
      </c>
      <c r="D739">
        <f>Matchs!B740</f>
        <v>31</v>
      </c>
      <c r="E739" t="str">
        <f t="shared" si="211"/>
        <v>,DateMatch=DateTime.Parse("</v>
      </c>
      <c r="F739" s="3">
        <f>Matchs!C740</f>
        <v>40350</v>
      </c>
      <c r="G739" s="10" t="str">
        <f t="shared" si="212"/>
        <v>"),TimeMatch=TimeSpan.Parse("</v>
      </c>
      <c r="H739" s="9">
        <f>Matchs!D740</f>
        <v>0.875</v>
      </c>
      <c r="I739" t="str">
        <f t="shared" si="213"/>
        <v>"),MatchYear=</v>
      </c>
      <c r="J739">
        <f>Matchs!E740</f>
        <v>2010</v>
      </c>
      <c r="K739" t="str">
        <f t="shared" si="214"/>
        <v>, SeasonId= "</v>
      </c>
      <c r="L739" t="str">
        <f>Matchs!F740</f>
        <v>FIFAWC2010</v>
      </c>
      <c r="M739" t="str">
        <f t="shared" si="215"/>
        <v>",Round= "</v>
      </c>
      <c r="N739" t="str">
        <f>Matchs!G740</f>
        <v>Final Round</v>
      </c>
      <c r="O739" s="6" t="str">
        <f t="shared" si="216"/>
        <v>",Stage= "</v>
      </c>
      <c r="P739" t="str">
        <f>Matchs!H740</f>
        <v>Group</v>
      </c>
      <c r="Q739" s="6" t="str">
        <f t="shared" si="217"/>
        <v>",SubStage= "</v>
      </c>
      <c r="R739" t="str">
        <f>Matchs!I740</f>
        <v xml:space="preserve">Group H </v>
      </c>
      <c r="S739" s="6" t="str">
        <f t="shared" si="218"/>
        <v>",HTeam= "</v>
      </c>
      <c r="T739" t="str">
        <f>Matchs!J740</f>
        <v>Chile</v>
      </c>
      <c r="U739" s="6" t="str">
        <f t="shared" si="219"/>
        <v>",HGoal=</v>
      </c>
      <c r="V739">
        <f>Matchs!K740</f>
        <v>1</v>
      </c>
      <c r="W739" s="6" t="str">
        <f t="shared" si="220"/>
        <v>,GGoal=</v>
      </c>
      <c r="X739">
        <f>Matchs!L740</f>
        <v>0</v>
      </c>
      <c r="Y739" s="6" t="str">
        <f t="shared" si="221"/>
        <v>,GTeam= "</v>
      </c>
      <c r="Z739" t="str">
        <f>Matchs!M740</f>
        <v>Switzerland</v>
      </c>
      <c r="AA739" s="6" t="str">
        <f t="shared" si="222"/>
        <v>",WinNote="</v>
      </c>
      <c r="AB739" t="str">
        <f>IF(Matchs!N740="","",Matchs!N740)</f>
        <v/>
      </c>
      <c r="AC739" s="6" t="str">
        <f t="shared" si="223"/>
        <v xml:space="preserve">",Stadium=" </v>
      </c>
      <c r="AD739" s="11" t="str">
        <f>Matchs!O740</f>
        <v xml:space="preserve">Nelson Mandela Bay Stadium </v>
      </c>
      <c r="AE739" s="6" t="str">
        <f t="shared" si="224"/>
        <v>",Referee= "</v>
      </c>
      <c r="AF739" s="11" t="str">
        <f>Matchs!P740</f>
        <v xml:space="preserve">Khalil Al Ghamdi </v>
      </c>
      <c r="AG739" s="6" t="str">
        <f t="shared" si="225"/>
        <v xml:space="preserve">",Visistors= </v>
      </c>
      <c r="AH739" s="11">
        <f>Matchs!Q740</f>
        <v>34872</v>
      </c>
      <c r="AI739" s="11" t="str">
        <f t="shared" si="226"/>
        <v>,Status= "</v>
      </c>
      <c r="AJ739" s="11" t="str">
        <f>Matchs!R740</f>
        <v>Finished</v>
      </c>
      <c r="AK739" t="str">
        <f t="shared" si="227"/>
        <v>" },</v>
      </c>
    </row>
    <row r="740" spans="1:37" x14ac:dyDescent="0.25">
      <c r="A740" t="str">
        <f t="shared" si="209"/>
        <v>new Match { MatchId= "</v>
      </c>
      <c r="B740" t="str">
        <f>Matchs!A741</f>
        <v>FIFAWC2010-32</v>
      </c>
      <c r="C740" t="str">
        <f t="shared" si="210"/>
        <v>",MatchNumer=</v>
      </c>
      <c r="D740">
        <f>Matchs!B741</f>
        <v>32</v>
      </c>
      <c r="E740" t="str">
        <f t="shared" si="211"/>
        <v>,DateMatch=DateTime.Parse("</v>
      </c>
      <c r="F740" s="3">
        <f>Matchs!C741</f>
        <v>40351</v>
      </c>
      <c r="G740" s="10" t="str">
        <f t="shared" si="212"/>
        <v>"),TimeMatch=TimeSpan.Parse("</v>
      </c>
      <c r="H740" s="9">
        <f>Matchs!D741</f>
        <v>6.25E-2</v>
      </c>
      <c r="I740" t="str">
        <f t="shared" si="213"/>
        <v>"),MatchYear=</v>
      </c>
      <c r="J740">
        <f>Matchs!E741</f>
        <v>2010</v>
      </c>
      <c r="K740" t="str">
        <f t="shared" si="214"/>
        <v>, SeasonId= "</v>
      </c>
      <c r="L740" t="str">
        <f>Matchs!F741</f>
        <v>FIFAWC2010</v>
      </c>
      <c r="M740" t="str">
        <f t="shared" si="215"/>
        <v>",Round= "</v>
      </c>
      <c r="N740" t="str">
        <f>Matchs!G741</f>
        <v>Final Round</v>
      </c>
      <c r="O740" s="6" t="str">
        <f t="shared" si="216"/>
        <v>",Stage= "</v>
      </c>
      <c r="P740" t="str">
        <f>Matchs!H741</f>
        <v>Group</v>
      </c>
      <c r="Q740" s="6" t="str">
        <f t="shared" si="217"/>
        <v>",SubStage= "</v>
      </c>
      <c r="R740" t="str">
        <f>Matchs!I741</f>
        <v xml:space="preserve">Group H </v>
      </c>
      <c r="S740" s="6" t="str">
        <f t="shared" si="218"/>
        <v>",HTeam= "</v>
      </c>
      <c r="T740" t="str">
        <f>Matchs!J741</f>
        <v>Spain</v>
      </c>
      <c r="U740" s="6" t="str">
        <f t="shared" si="219"/>
        <v>",HGoal=</v>
      </c>
      <c r="V740">
        <f>Matchs!K741</f>
        <v>2</v>
      </c>
      <c r="W740" s="6" t="str">
        <f t="shared" si="220"/>
        <v>,GGoal=</v>
      </c>
      <c r="X740">
        <f>Matchs!L741</f>
        <v>0</v>
      </c>
      <c r="Y740" s="6" t="str">
        <f t="shared" si="221"/>
        <v>,GTeam= "</v>
      </c>
      <c r="Z740" t="str">
        <f>Matchs!M741</f>
        <v>Honduras</v>
      </c>
      <c r="AA740" s="6" t="str">
        <f t="shared" si="222"/>
        <v>",WinNote="</v>
      </c>
      <c r="AB740" t="str">
        <f>IF(Matchs!N741="","",Matchs!N741)</f>
        <v/>
      </c>
      <c r="AC740" s="6" t="str">
        <f t="shared" si="223"/>
        <v xml:space="preserve">",Stadium=" </v>
      </c>
      <c r="AD740" s="11" t="str">
        <f>Matchs!O741</f>
        <v xml:space="preserve">Ellis Park Stadium </v>
      </c>
      <c r="AE740" s="6" t="str">
        <f t="shared" si="224"/>
        <v>",Referee= "</v>
      </c>
      <c r="AF740" s="11" t="str">
        <f>Matchs!P741</f>
        <v xml:space="preserve">Yuichi Nishimura </v>
      </c>
      <c r="AG740" s="6" t="str">
        <f t="shared" si="225"/>
        <v xml:space="preserve">",Visistors= </v>
      </c>
      <c r="AH740" s="11">
        <f>Matchs!Q741</f>
        <v>54386</v>
      </c>
      <c r="AI740" s="11" t="str">
        <f t="shared" si="226"/>
        <v>,Status= "</v>
      </c>
      <c r="AJ740" s="11" t="str">
        <f>Matchs!R741</f>
        <v>Finished</v>
      </c>
      <c r="AK740" t="str">
        <f t="shared" si="227"/>
        <v>" },</v>
      </c>
    </row>
    <row r="741" spans="1:37" x14ac:dyDescent="0.25">
      <c r="A741" t="str">
        <f t="shared" si="209"/>
        <v>new Match { MatchId= "</v>
      </c>
      <c r="B741" t="str">
        <f>Matchs!A742</f>
        <v>FIFAWC2010-33</v>
      </c>
      <c r="C741" t="str">
        <f t="shared" si="210"/>
        <v>",MatchNumer=</v>
      </c>
      <c r="D741">
        <f>Matchs!B742</f>
        <v>33</v>
      </c>
      <c r="E741" t="str">
        <f t="shared" si="211"/>
        <v>,DateMatch=DateTime.Parse("</v>
      </c>
      <c r="F741" s="3">
        <f>Matchs!C742</f>
        <v>40351</v>
      </c>
      <c r="G741" s="10" t="str">
        <f t="shared" si="212"/>
        <v>"),TimeMatch=TimeSpan.Parse("</v>
      </c>
      <c r="H741" s="9">
        <f>Matchs!D742</f>
        <v>0.77083333333333337</v>
      </c>
      <c r="I741" t="str">
        <f t="shared" si="213"/>
        <v>"),MatchYear=</v>
      </c>
      <c r="J741">
        <f>Matchs!E742</f>
        <v>2010</v>
      </c>
      <c r="K741" t="str">
        <f t="shared" si="214"/>
        <v>, SeasonId= "</v>
      </c>
      <c r="L741" t="str">
        <f>Matchs!F742</f>
        <v>FIFAWC2010</v>
      </c>
      <c r="M741" t="str">
        <f t="shared" si="215"/>
        <v>",Round= "</v>
      </c>
      <c r="N741" t="str">
        <f>Matchs!G742</f>
        <v>Final Round</v>
      </c>
      <c r="O741" s="6" t="str">
        <f t="shared" si="216"/>
        <v>",Stage= "</v>
      </c>
      <c r="P741" t="str">
        <f>Matchs!H742</f>
        <v>Group</v>
      </c>
      <c r="Q741" s="6" t="str">
        <f t="shared" si="217"/>
        <v>",SubStage= "</v>
      </c>
      <c r="R741" t="str">
        <f>Matchs!I742</f>
        <v xml:space="preserve">Group A </v>
      </c>
      <c r="S741" s="6" t="str">
        <f t="shared" si="218"/>
        <v>",HTeam= "</v>
      </c>
      <c r="T741" t="str">
        <f>Matchs!J742</f>
        <v>Mexico</v>
      </c>
      <c r="U741" s="6" t="str">
        <f t="shared" si="219"/>
        <v>",HGoal=</v>
      </c>
      <c r="V741">
        <f>Matchs!K742</f>
        <v>0</v>
      </c>
      <c r="W741" s="6" t="str">
        <f t="shared" si="220"/>
        <v>,GGoal=</v>
      </c>
      <c r="X741">
        <f>Matchs!L742</f>
        <v>1</v>
      </c>
      <c r="Y741" s="6" t="str">
        <f t="shared" si="221"/>
        <v>,GTeam= "</v>
      </c>
      <c r="Z741" t="str">
        <f>Matchs!M742</f>
        <v>Uruguay</v>
      </c>
      <c r="AA741" s="6" t="str">
        <f t="shared" si="222"/>
        <v>",WinNote="</v>
      </c>
      <c r="AB741" t="str">
        <f>IF(Matchs!N742="","",Matchs!N742)</f>
        <v/>
      </c>
      <c r="AC741" s="6" t="str">
        <f t="shared" si="223"/>
        <v xml:space="preserve">",Stadium=" </v>
      </c>
      <c r="AD741" s="11" t="str">
        <f>Matchs!O742</f>
        <v xml:space="preserve">Royal Bafokeng Stadium </v>
      </c>
      <c r="AE741" s="6" t="str">
        <f t="shared" si="224"/>
        <v>",Referee= "</v>
      </c>
      <c r="AF741" s="11" t="str">
        <f>Matchs!P742</f>
        <v xml:space="preserve">Viktor Kassai </v>
      </c>
      <c r="AG741" s="6" t="str">
        <f t="shared" si="225"/>
        <v xml:space="preserve">",Visistors= </v>
      </c>
      <c r="AH741" s="11">
        <f>Matchs!Q742</f>
        <v>33425</v>
      </c>
      <c r="AI741" s="11" t="str">
        <f t="shared" si="226"/>
        <v>,Status= "</v>
      </c>
      <c r="AJ741" s="11" t="str">
        <f>Matchs!R742</f>
        <v>Finished</v>
      </c>
      <c r="AK741" t="str">
        <f t="shared" si="227"/>
        <v>" },</v>
      </c>
    </row>
    <row r="742" spans="1:37" x14ac:dyDescent="0.25">
      <c r="A742" t="str">
        <f t="shared" si="209"/>
        <v>new Match { MatchId= "</v>
      </c>
      <c r="B742" t="str">
        <f>Matchs!A743</f>
        <v>FIFAWC2010-34</v>
      </c>
      <c r="C742" t="str">
        <f t="shared" si="210"/>
        <v>",MatchNumer=</v>
      </c>
      <c r="D742">
        <f>Matchs!B743</f>
        <v>34</v>
      </c>
      <c r="E742" t="str">
        <f t="shared" si="211"/>
        <v>,DateMatch=DateTime.Parse("</v>
      </c>
      <c r="F742" s="3">
        <f>Matchs!C743</f>
        <v>40351</v>
      </c>
      <c r="G742" s="10" t="str">
        <f t="shared" si="212"/>
        <v>"),TimeMatch=TimeSpan.Parse("</v>
      </c>
      <c r="H742" s="9">
        <f>Matchs!D743</f>
        <v>0.875</v>
      </c>
      <c r="I742" t="str">
        <f t="shared" si="213"/>
        <v>"),MatchYear=</v>
      </c>
      <c r="J742">
        <f>Matchs!E743</f>
        <v>2010</v>
      </c>
      <c r="K742" t="str">
        <f t="shared" si="214"/>
        <v>, SeasonId= "</v>
      </c>
      <c r="L742" t="str">
        <f>Matchs!F743</f>
        <v>FIFAWC2010</v>
      </c>
      <c r="M742" t="str">
        <f t="shared" si="215"/>
        <v>",Round= "</v>
      </c>
      <c r="N742" t="str">
        <f>Matchs!G743</f>
        <v>Final Round</v>
      </c>
      <c r="O742" s="6" t="str">
        <f t="shared" si="216"/>
        <v>",Stage= "</v>
      </c>
      <c r="P742" t="str">
        <f>Matchs!H743</f>
        <v>Group</v>
      </c>
      <c r="Q742" s="6" t="str">
        <f t="shared" si="217"/>
        <v>",SubStage= "</v>
      </c>
      <c r="R742" t="str">
        <f>Matchs!I743</f>
        <v xml:space="preserve">Group A </v>
      </c>
      <c r="S742" s="6" t="str">
        <f t="shared" si="218"/>
        <v>",HTeam= "</v>
      </c>
      <c r="T742" t="str">
        <f>Matchs!J743</f>
        <v>France</v>
      </c>
      <c r="U742" s="6" t="str">
        <f t="shared" si="219"/>
        <v>",HGoal=</v>
      </c>
      <c r="V742">
        <f>Matchs!K743</f>
        <v>1</v>
      </c>
      <c r="W742" s="6" t="str">
        <f t="shared" si="220"/>
        <v>,GGoal=</v>
      </c>
      <c r="X742">
        <f>Matchs!L743</f>
        <v>2</v>
      </c>
      <c r="Y742" s="6" t="str">
        <f t="shared" si="221"/>
        <v>,GTeam= "</v>
      </c>
      <c r="Z742" t="str">
        <f>Matchs!M743</f>
        <v>South Africa</v>
      </c>
      <c r="AA742" s="6" t="str">
        <f t="shared" si="222"/>
        <v>",WinNote="</v>
      </c>
      <c r="AB742" t="str">
        <f>IF(Matchs!N743="","",Matchs!N743)</f>
        <v/>
      </c>
      <c r="AC742" s="6" t="str">
        <f t="shared" si="223"/>
        <v xml:space="preserve">",Stadium=" </v>
      </c>
      <c r="AD742" s="11" t="str">
        <f>Matchs!O743</f>
        <v xml:space="preserve">Free State Stadium </v>
      </c>
      <c r="AE742" s="6" t="str">
        <f t="shared" si="224"/>
        <v>",Referee= "</v>
      </c>
      <c r="AF742" s="11" t="str">
        <f>Matchs!P743</f>
        <v xml:space="preserve">Oscar Ruiz </v>
      </c>
      <c r="AG742" s="6" t="str">
        <f t="shared" si="225"/>
        <v xml:space="preserve">",Visistors= </v>
      </c>
      <c r="AH742" s="11">
        <f>Matchs!Q743</f>
        <v>39415</v>
      </c>
      <c r="AI742" s="11" t="str">
        <f t="shared" si="226"/>
        <v>,Status= "</v>
      </c>
      <c r="AJ742" s="11" t="str">
        <f>Matchs!R743</f>
        <v>Finished</v>
      </c>
      <c r="AK742" t="str">
        <f t="shared" si="227"/>
        <v>" },</v>
      </c>
    </row>
    <row r="743" spans="1:37" x14ac:dyDescent="0.25">
      <c r="A743" t="str">
        <f t="shared" si="209"/>
        <v>new Match { MatchId= "</v>
      </c>
      <c r="B743" t="str">
        <f>Matchs!A744</f>
        <v>FIFAWC2010-36</v>
      </c>
      <c r="C743" t="str">
        <f t="shared" si="210"/>
        <v>",MatchNumer=</v>
      </c>
      <c r="D743">
        <f>Matchs!B744</f>
        <v>36</v>
      </c>
      <c r="E743" t="str">
        <f t="shared" si="211"/>
        <v>,DateMatch=DateTime.Parse("</v>
      </c>
      <c r="F743" s="3">
        <f>Matchs!C744</f>
        <v>40351</v>
      </c>
      <c r="G743" s="10" t="str">
        <f t="shared" si="212"/>
        <v>"),TimeMatch=TimeSpan.Parse("</v>
      </c>
      <c r="H743" s="9">
        <f>Matchs!D744</f>
        <v>6.25E-2</v>
      </c>
      <c r="I743" t="str">
        <f t="shared" si="213"/>
        <v>"),MatchYear=</v>
      </c>
      <c r="J743">
        <f>Matchs!E744</f>
        <v>2010</v>
      </c>
      <c r="K743" t="str">
        <f t="shared" si="214"/>
        <v>, SeasonId= "</v>
      </c>
      <c r="L743" t="str">
        <f>Matchs!F744</f>
        <v>FIFAWC2010</v>
      </c>
      <c r="M743" t="str">
        <f t="shared" si="215"/>
        <v>",Round= "</v>
      </c>
      <c r="N743" t="str">
        <f>Matchs!G744</f>
        <v>Final Round</v>
      </c>
      <c r="O743" s="6" t="str">
        <f t="shared" si="216"/>
        <v>",Stage= "</v>
      </c>
      <c r="P743" t="str">
        <f>Matchs!H744</f>
        <v>Group</v>
      </c>
      <c r="Q743" s="6" t="str">
        <f t="shared" si="217"/>
        <v>",SubStage= "</v>
      </c>
      <c r="R743" t="str">
        <f>Matchs!I744</f>
        <v xml:space="preserve">Group B </v>
      </c>
      <c r="S743" s="6" t="str">
        <f t="shared" si="218"/>
        <v>",HTeam= "</v>
      </c>
      <c r="T743" t="str">
        <f>Matchs!J744</f>
        <v>Greece</v>
      </c>
      <c r="U743" s="6" t="str">
        <f t="shared" si="219"/>
        <v>",HGoal=</v>
      </c>
      <c r="V743">
        <f>Matchs!K744</f>
        <v>0</v>
      </c>
      <c r="W743" s="6" t="str">
        <f t="shared" si="220"/>
        <v>,GGoal=</v>
      </c>
      <c r="X743">
        <f>Matchs!L744</f>
        <v>2</v>
      </c>
      <c r="Y743" s="6" t="str">
        <f t="shared" si="221"/>
        <v>,GTeam= "</v>
      </c>
      <c r="Z743" t="str">
        <f>Matchs!M744</f>
        <v>Argentina</v>
      </c>
      <c r="AA743" s="6" t="str">
        <f t="shared" si="222"/>
        <v>",WinNote="</v>
      </c>
      <c r="AB743" t="str">
        <f>IF(Matchs!N744="","",Matchs!N744)</f>
        <v/>
      </c>
      <c r="AC743" s="6" t="str">
        <f t="shared" si="223"/>
        <v xml:space="preserve">",Stadium=" </v>
      </c>
      <c r="AD743" s="11" t="str">
        <f>Matchs!O744</f>
        <v xml:space="preserve">Peter Mokoba Stadium </v>
      </c>
      <c r="AE743" s="6" t="str">
        <f t="shared" si="224"/>
        <v>",Referee= "</v>
      </c>
      <c r="AF743" s="11" t="str">
        <f>Matchs!P744</f>
        <v xml:space="preserve">Ravshan Irmatov </v>
      </c>
      <c r="AG743" s="6" t="str">
        <f t="shared" si="225"/>
        <v xml:space="preserve">",Visistors= </v>
      </c>
      <c r="AH743" s="11">
        <f>Matchs!Q744</f>
        <v>38891</v>
      </c>
      <c r="AI743" s="11" t="str">
        <f t="shared" si="226"/>
        <v>,Status= "</v>
      </c>
      <c r="AJ743" s="11" t="str">
        <f>Matchs!R744</f>
        <v>Finished</v>
      </c>
      <c r="AK743" t="str">
        <f t="shared" si="227"/>
        <v>" },</v>
      </c>
    </row>
    <row r="744" spans="1:37" x14ac:dyDescent="0.25">
      <c r="A744" t="str">
        <f t="shared" si="209"/>
        <v>new Match { MatchId= "</v>
      </c>
      <c r="B744" t="str">
        <f>Matchs!A745</f>
        <v>FIFAWC2010-35</v>
      </c>
      <c r="C744" t="str">
        <f t="shared" si="210"/>
        <v>",MatchNumer=</v>
      </c>
      <c r="D744">
        <f>Matchs!B745</f>
        <v>35</v>
      </c>
      <c r="E744" t="str">
        <f t="shared" si="211"/>
        <v>,DateMatch=DateTime.Parse("</v>
      </c>
      <c r="F744" s="3">
        <f>Matchs!C745</f>
        <v>40351</v>
      </c>
      <c r="G744" s="10" t="str">
        <f t="shared" si="212"/>
        <v>"),TimeMatch=TimeSpan.Parse("</v>
      </c>
      <c r="H744" s="9">
        <f>Matchs!D745</f>
        <v>6.25E-2</v>
      </c>
      <c r="I744" t="str">
        <f t="shared" si="213"/>
        <v>"),MatchYear=</v>
      </c>
      <c r="J744">
        <f>Matchs!E745</f>
        <v>2010</v>
      </c>
      <c r="K744" t="str">
        <f t="shared" si="214"/>
        <v>, SeasonId= "</v>
      </c>
      <c r="L744" t="str">
        <f>Matchs!F745</f>
        <v>FIFAWC2010</v>
      </c>
      <c r="M744" t="str">
        <f t="shared" si="215"/>
        <v>",Round= "</v>
      </c>
      <c r="N744" t="str">
        <f>Matchs!G745</f>
        <v>Final Round</v>
      </c>
      <c r="O744" s="6" t="str">
        <f t="shared" si="216"/>
        <v>",Stage= "</v>
      </c>
      <c r="P744" t="str">
        <f>Matchs!H745</f>
        <v>Group</v>
      </c>
      <c r="Q744" s="6" t="str">
        <f t="shared" si="217"/>
        <v>",SubStage= "</v>
      </c>
      <c r="R744" t="str">
        <f>Matchs!I745</f>
        <v xml:space="preserve">Group B </v>
      </c>
      <c r="S744" s="6" t="str">
        <f t="shared" si="218"/>
        <v>",HTeam= "</v>
      </c>
      <c r="T744" t="str">
        <f>Matchs!J745</f>
        <v>Nigeria</v>
      </c>
      <c r="U744" s="6" t="str">
        <f t="shared" si="219"/>
        <v>",HGoal=</v>
      </c>
      <c r="V744">
        <f>Matchs!K745</f>
        <v>2</v>
      </c>
      <c r="W744" s="6" t="str">
        <f t="shared" si="220"/>
        <v>,GGoal=</v>
      </c>
      <c r="X744">
        <f>Matchs!L745</f>
        <v>2</v>
      </c>
      <c r="Y744" s="6" t="str">
        <f t="shared" si="221"/>
        <v>,GTeam= "</v>
      </c>
      <c r="Z744" t="str">
        <f>Matchs!M745</f>
        <v>South Korea</v>
      </c>
      <c r="AA744" s="6" t="str">
        <f t="shared" si="222"/>
        <v>",WinNote="</v>
      </c>
      <c r="AB744" t="str">
        <f>IF(Matchs!N745="","",Matchs!N745)</f>
        <v/>
      </c>
      <c r="AC744" s="6" t="str">
        <f t="shared" si="223"/>
        <v xml:space="preserve">",Stadium=" </v>
      </c>
      <c r="AD744" s="11" t="str">
        <f>Matchs!O745</f>
        <v xml:space="preserve">Moses Mabhida Stadium </v>
      </c>
      <c r="AE744" s="6" t="str">
        <f t="shared" si="224"/>
        <v>",Referee= "</v>
      </c>
      <c r="AF744" s="11" t="str">
        <f>Matchs!P745</f>
        <v xml:space="preserve">Olegario Benquerenca </v>
      </c>
      <c r="AG744" s="6" t="str">
        <f t="shared" si="225"/>
        <v xml:space="preserve">",Visistors= </v>
      </c>
      <c r="AH744" s="11">
        <f>Matchs!Q745</f>
        <v>61874</v>
      </c>
      <c r="AI744" s="11" t="str">
        <f t="shared" si="226"/>
        <v>,Status= "</v>
      </c>
      <c r="AJ744" s="11" t="str">
        <f>Matchs!R745</f>
        <v>Finished</v>
      </c>
      <c r="AK744" t="str">
        <f t="shared" si="227"/>
        <v>" },</v>
      </c>
    </row>
    <row r="745" spans="1:37" x14ac:dyDescent="0.25">
      <c r="A745" t="str">
        <f t="shared" si="209"/>
        <v>new Match { MatchId= "</v>
      </c>
      <c r="B745" t="str">
        <f>Matchs!A746</f>
        <v>FIFAWC2010-38</v>
      </c>
      <c r="C745" t="str">
        <f t="shared" si="210"/>
        <v>",MatchNumer=</v>
      </c>
      <c r="D745">
        <f>Matchs!B746</f>
        <v>38</v>
      </c>
      <c r="E745" t="str">
        <f t="shared" si="211"/>
        <v>,DateMatch=DateTime.Parse("</v>
      </c>
      <c r="F745" s="3">
        <f>Matchs!C746</f>
        <v>40352</v>
      </c>
      <c r="G745" s="10" t="str">
        <f t="shared" si="212"/>
        <v>"),TimeMatch=TimeSpan.Parse("</v>
      </c>
      <c r="H745" s="9">
        <f>Matchs!D746</f>
        <v>0.875</v>
      </c>
      <c r="I745" t="str">
        <f t="shared" si="213"/>
        <v>"),MatchYear=</v>
      </c>
      <c r="J745">
        <f>Matchs!E746</f>
        <v>2010</v>
      </c>
      <c r="K745" t="str">
        <f t="shared" si="214"/>
        <v>, SeasonId= "</v>
      </c>
      <c r="L745" t="str">
        <f>Matchs!F746</f>
        <v>FIFAWC2010</v>
      </c>
      <c r="M745" t="str">
        <f t="shared" si="215"/>
        <v>",Round= "</v>
      </c>
      <c r="N745" t="str">
        <f>Matchs!G746</f>
        <v>Final Round</v>
      </c>
      <c r="O745" s="6" t="str">
        <f t="shared" si="216"/>
        <v>",Stage= "</v>
      </c>
      <c r="P745" t="str">
        <f>Matchs!H746</f>
        <v>Group</v>
      </c>
      <c r="Q745" s="6" t="str">
        <f t="shared" si="217"/>
        <v>",SubStage= "</v>
      </c>
      <c r="R745" t="str">
        <f>Matchs!I746</f>
        <v xml:space="preserve">Group C </v>
      </c>
      <c r="S745" s="6" t="str">
        <f t="shared" si="218"/>
        <v>",HTeam= "</v>
      </c>
      <c r="T745" t="str">
        <f>Matchs!J746</f>
        <v>USA</v>
      </c>
      <c r="U745" s="6" t="str">
        <f t="shared" si="219"/>
        <v>",HGoal=</v>
      </c>
      <c r="V745">
        <f>Matchs!K746</f>
        <v>1</v>
      </c>
      <c r="W745" s="6" t="str">
        <f t="shared" si="220"/>
        <v>,GGoal=</v>
      </c>
      <c r="X745">
        <f>Matchs!L746</f>
        <v>0</v>
      </c>
      <c r="Y745" s="6" t="str">
        <f t="shared" si="221"/>
        <v>,GTeam= "</v>
      </c>
      <c r="Z745" t="str">
        <f>Matchs!M746</f>
        <v>Algeria</v>
      </c>
      <c r="AA745" s="6" t="str">
        <f t="shared" si="222"/>
        <v>",WinNote="</v>
      </c>
      <c r="AB745" t="str">
        <f>IF(Matchs!N746="","",Matchs!N746)</f>
        <v/>
      </c>
      <c r="AC745" s="6" t="str">
        <f t="shared" si="223"/>
        <v xml:space="preserve">",Stadium=" </v>
      </c>
      <c r="AD745" s="11" t="str">
        <f>Matchs!O746</f>
        <v xml:space="preserve">Loftus Versfeld Stadium </v>
      </c>
      <c r="AE745" s="6" t="str">
        <f t="shared" si="224"/>
        <v>",Referee= "</v>
      </c>
      <c r="AF745" s="11" t="str">
        <f>Matchs!P746</f>
        <v xml:space="preserve">Frank de Bleeckere </v>
      </c>
      <c r="AG745" s="6" t="str">
        <f t="shared" si="225"/>
        <v xml:space="preserve">",Visistors= </v>
      </c>
      <c r="AH745" s="11">
        <f>Matchs!Q746</f>
        <v>35827</v>
      </c>
      <c r="AI745" s="11" t="str">
        <f t="shared" si="226"/>
        <v>,Status= "</v>
      </c>
      <c r="AJ745" s="11" t="str">
        <f>Matchs!R746</f>
        <v>Finished</v>
      </c>
      <c r="AK745" t="str">
        <f t="shared" si="227"/>
        <v>" },</v>
      </c>
    </row>
    <row r="746" spans="1:37" x14ac:dyDescent="0.25">
      <c r="A746" t="str">
        <f t="shared" si="209"/>
        <v>new Match { MatchId= "</v>
      </c>
      <c r="B746" t="str">
        <f>Matchs!A747</f>
        <v>FIFAWC2010-37</v>
      </c>
      <c r="C746" t="str">
        <f t="shared" si="210"/>
        <v>",MatchNumer=</v>
      </c>
      <c r="D746">
        <f>Matchs!B747</f>
        <v>37</v>
      </c>
      <c r="E746" t="str">
        <f t="shared" si="211"/>
        <v>,DateMatch=DateTime.Parse("</v>
      </c>
      <c r="F746" s="3">
        <f>Matchs!C747</f>
        <v>40352</v>
      </c>
      <c r="G746" s="10" t="str">
        <f t="shared" si="212"/>
        <v>"),TimeMatch=TimeSpan.Parse("</v>
      </c>
      <c r="H746" s="9">
        <f>Matchs!D747</f>
        <v>0.875</v>
      </c>
      <c r="I746" t="str">
        <f t="shared" si="213"/>
        <v>"),MatchYear=</v>
      </c>
      <c r="J746">
        <f>Matchs!E747</f>
        <v>2010</v>
      </c>
      <c r="K746" t="str">
        <f t="shared" si="214"/>
        <v>, SeasonId= "</v>
      </c>
      <c r="L746" t="str">
        <f>Matchs!F747</f>
        <v>FIFAWC2010</v>
      </c>
      <c r="M746" t="str">
        <f t="shared" si="215"/>
        <v>",Round= "</v>
      </c>
      <c r="N746" t="str">
        <f>Matchs!G747</f>
        <v>Final Round</v>
      </c>
      <c r="O746" s="6" t="str">
        <f t="shared" si="216"/>
        <v>",Stage= "</v>
      </c>
      <c r="P746" t="str">
        <f>Matchs!H747</f>
        <v>Group</v>
      </c>
      <c r="Q746" s="6" t="str">
        <f t="shared" si="217"/>
        <v>",SubStage= "</v>
      </c>
      <c r="R746" t="str">
        <f>Matchs!I747</f>
        <v xml:space="preserve">Group C </v>
      </c>
      <c r="S746" s="6" t="str">
        <f t="shared" si="218"/>
        <v>",HTeam= "</v>
      </c>
      <c r="T746" t="str">
        <f>Matchs!J747</f>
        <v>Slovenia</v>
      </c>
      <c r="U746" s="6" t="str">
        <f t="shared" si="219"/>
        <v>",HGoal=</v>
      </c>
      <c r="V746">
        <f>Matchs!K747</f>
        <v>0</v>
      </c>
      <c r="W746" s="6" t="str">
        <f t="shared" si="220"/>
        <v>,GGoal=</v>
      </c>
      <c r="X746">
        <f>Matchs!L747</f>
        <v>1</v>
      </c>
      <c r="Y746" s="6" t="str">
        <f t="shared" si="221"/>
        <v>,GTeam= "</v>
      </c>
      <c r="Z746" t="str">
        <f>Matchs!M747</f>
        <v>England</v>
      </c>
      <c r="AA746" s="6" t="str">
        <f t="shared" si="222"/>
        <v>",WinNote="</v>
      </c>
      <c r="AB746" t="str">
        <f>IF(Matchs!N747="","",Matchs!N747)</f>
        <v/>
      </c>
      <c r="AC746" s="6" t="str">
        <f t="shared" si="223"/>
        <v xml:space="preserve">",Stadium=" </v>
      </c>
      <c r="AD746" s="11" t="str">
        <f>Matchs!O747</f>
        <v xml:space="preserve">Nelson Mandela Bay Stadium </v>
      </c>
      <c r="AE746" s="6" t="str">
        <f t="shared" si="224"/>
        <v>",Referee= "</v>
      </c>
      <c r="AF746" s="11" t="str">
        <f>Matchs!P747</f>
        <v xml:space="preserve">Wolfgang Stark </v>
      </c>
      <c r="AG746" s="6" t="str">
        <f t="shared" si="225"/>
        <v xml:space="preserve">",Visistors= </v>
      </c>
      <c r="AH746" s="11">
        <f>Matchs!Q747</f>
        <v>36893</v>
      </c>
      <c r="AI746" s="11" t="str">
        <f t="shared" si="226"/>
        <v>,Status= "</v>
      </c>
      <c r="AJ746" s="11" t="str">
        <f>Matchs!R747</f>
        <v>Finished</v>
      </c>
      <c r="AK746" t="str">
        <f t="shared" si="227"/>
        <v>" },</v>
      </c>
    </row>
    <row r="747" spans="1:37" x14ac:dyDescent="0.25">
      <c r="A747" t="str">
        <f t="shared" si="209"/>
        <v>new Match { MatchId= "</v>
      </c>
      <c r="B747" t="str">
        <f>Matchs!A748</f>
        <v>FIFAWC2010-40</v>
      </c>
      <c r="C747" t="str">
        <f t="shared" si="210"/>
        <v>",MatchNumer=</v>
      </c>
      <c r="D747">
        <f>Matchs!B748</f>
        <v>40</v>
      </c>
      <c r="E747" t="str">
        <f t="shared" si="211"/>
        <v>,DateMatch=DateTime.Parse("</v>
      </c>
      <c r="F747" s="3">
        <f>Matchs!C748</f>
        <v>40353</v>
      </c>
      <c r="G747" s="10" t="str">
        <f t="shared" si="212"/>
        <v>"),TimeMatch=TimeSpan.Parse("</v>
      </c>
      <c r="H747" s="9">
        <f>Matchs!D748</f>
        <v>6.25E-2</v>
      </c>
      <c r="I747" t="str">
        <f t="shared" si="213"/>
        <v>"),MatchYear=</v>
      </c>
      <c r="J747">
        <f>Matchs!E748</f>
        <v>2010</v>
      </c>
      <c r="K747" t="str">
        <f t="shared" si="214"/>
        <v>, SeasonId= "</v>
      </c>
      <c r="L747" t="str">
        <f>Matchs!F748</f>
        <v>FIFAWC2010</v>
      </c>
      <c r="M747" t="str">
        <f t="shared" si="215"/>
        <v>",Round= "</v>
      </c>
      <c r="N747" t="str">
        <f>Matchs!G748</f>
        <v>Final Round</v>
      </c>
      <c r="O747" s="6" t="str">
        <f t="shared" si="216"/>
        <v>",Stage= "</v>
      </c>
      <c r="P747" t="str">
        <f>Matchs!H748</f>
        <v>Group</v>
      </c>
      <c r="Q747" s="6" t="str">
        <f t="shared" si="217"/>
        <v>",SubStage= "</v>
      </c>
      <c r="R747" t="str">
        <f>Matchs!I748</f>
        <v xml:space="preserve">Group D </v>
      </c>
      <c r="S747" s="6" t="str">
        <f t="shared" si="218"/>
        <v>",HTeam= "</v>
      </c>
      <c r="T747" t="str">
        <f>Matchs!J748</f>
        <v>Australia</v>
      </c>
      <c r="U747" s="6" t="str">
        <f t="shared" si="219"/>
        <v>",HGoal=</v>
      </c>
      <c r="V747">
        <f>Matchs!K748</f>
        <v>2</v>
      </c>
      <c r="W747" s="6" t="str">
        <f t="shared" si="220"/>
        <v>,GGoal=</v>
      </c>
      <c r="X747">
        <f>Matchs!L748</f>
        <v>1</v>
      </c>
      <c r="Y747" s="6" t="str">
        <f t="shared" si="221"/>
        <v>,GTeam= "</v>
      </c>
      <c r="Z747" t="str">
        <f>Matchs!M748</f>
        <v>Serbia</v>
      </c>
      <c r="AA747" s="6" t="str">
        <f t="shared" si="222"/>
        <v>",WinNote="</v>
      </c>
      <c r="AB747" t="str">
        <f>IF(Matchs!N748="","",Matchs!N748)</f>
        <v/>
      </c>
      <c r="AC747" s="6" t="str">
        <f t="shared" si="223"/>
        <v xml:space="preserve">",Stadium=" </v>
      </c>
      <c r="AD747" s="11" t="str">
        <f>Matchs!O748</f>
        <v xml:space="preserve">Mbombela Stadium </v>
      </c>
      <c r="AE747" s="6" t="str">
        <f t="shared" si="224"/>
        <v>",Referee= "</v>
      </c>
      <c r="AF747" s="11" t="str">
        <f>Matchs!P748</f>
        <v xml:space="preserve">Jorge Larrionda </v>
      </c>
      <c r="AG747" s="6" t="str">
        <f t="shared" si="225"/>
        <v xml:space="preserve">",Visistors= </v>
      </c>
      <c r="AH747" s="11">
        <f>Matchs!Q748</f>
        <v>37836</v>
      </c>
      <c r="AI747" s="11" t="str">
        <f t="shared" si="226"/>
        <v>,Status= "</v>
      </c>
      <c r="AJ747" s="11" t="str">
        <f>Matchs!R748</f>
        <v>Finished</v>
      </c>
      <c r="AK747" t="str">
        <f t="shared" si="227"/>
        <v>" },</v>
      </c>
    </row>
    <row r="748" spans="1:37" x14ac:dyDescent="0.25">
      <c r="A748" t="str">
        <f t="shared" si="209"/>
        <v>new Match { MatchId= "</v>
      </c>
      <c r="B748" t="str">
        <f>Matchs!A749</f>
        <v>FIFAWC2010-39</v>
      </c>
      <c r="C748" t="str">
        <f t="shared" si="210"/>
        <v>",MatchNumer=</v>
      </c>
      <c r="D748">
        <f>Matchs!B749</f>
        <v>39</v>
      </c>
      <c r="E748" t="str">
        <f t="shared" si="211"/>
        <v>,DateMatch=DateTime.Parse("</v>
      </c>
      <c r="F748" s="3">
        <f>Matchs!C749</f>
        <v>40353</v>
      </c>
      <c r="G748" s="10" t="str">
        <f t="shared" si="212"/>
        <v>"),TimeMatch=TimeSpan.Parse("</v>
      </c>
      <c r="H748" s="9">
        <f>Matchs!D749</f>
        <v>6.25E-2</v>
      </c>
      <c r="I748" t="str">
        <f t="shared" si="213"/>
        <v>"),MatchYear=</v>
      </c>
      <c r="J748">
        <f>Matchs!E749</f>
        <v>2010</v>
      </c>
      <c r="K748" t="str">
        <f t="shared" si="214"/>
        <v>, SeasonId= "</v>
      </c>
      <c r="L748" t="str">
        <f>Matchs!F749</f>
        <v>FIFAWC2010</v>
      </c>
      <c r="M748" t="str">
        <f t="shared" si="215"/>
        <v>",Round= "</v>
      </c>
      <c r="N748" t="str">
        <f>Matchs!G749</f>
        <v>Final Round</v>
      </c>
      <c r="O748" s="6" t="str">
        <f t="shared" si="216"/>
        <v>",Stage= "</v>
      </c>
      <c r="P748" t="str">
        <f>Matchs!H749</f>
        <v>Group</v>
      </c>
      <c r="Q748" s="6" t="str">
        <f t="shared" si="217"/>
        <v>",SubStage= "</v>
      </c>
      <c r="R748" t="str">
        <f>Matchs!I749</f>
        <v xml:space="preserve">Group D </v>
      </c>
      <c r="S748" s="6" t="str">
        <f t="shared" si="218"/>
        <v>",HTeam= "</v>
      </c>
      <c r="T748" t="str">
        <f>Matchs!J749</f>
        <v>Ghana</v>
      </c>
      <c r="U748" s="6" t="str">
        <f t="shared" si="219"/>
        <v>",HGoal=</v>
      </c>
      <c r="V748">
        <f>Matchs!K749</f>
        <v>0</v>
      </c>
      <c r="W748" s="6" t="str">
        <f t="shared" si="220"/>
        <v>,GGoal=</v>
      </c>
      <c r="X748">
        <f>Matchs!L749</f>
        <v>1</v>
      </c>
      <c r="Y748" s="6" t="str">
        <f t="shared" si="221"/>
        <v>,GTeam= "</v>
      </c>
      <c r="Z748" t="str">
        <f>Matchs!M749</f>
        <v>Germany</v>
      </c>
      <c r="AA748" s="6" t="str">
        <f t="shared" si="222"/>
        <v>",WinNote="</v>
      </c>
      <c r="AB748" t="str">
        <f>IF(Matchs!N749="","",Matchs!N749)</f>
        <v/>
      </c>
      <c r="AC748" s="6" t="str">
        <f t="shared" si="223"/>
        <v xml:space="preserve">",Stadium=" </v>
      </c>
      <c r="AD748" s="11" t="str">
        <f>Matchs!O749</f>
        <v xml:space="preserve">Soccer City </v>
      </c>
      <c r="AE748" s="6" t="str">
        <f t="shared" si="224"/>
        <v>",Referee= "</v>
      </c>
      <c r="AF748" s="11" t="str">
        <f>Matchs!P749</f>
        <v xml:space="preserve">Carlos Simon </v>
      </c>
      <c r="AG748" s="6" t="str">
        <f t="shared" si="225"/>
        <v xml:space="preserve">",Visistors= </v>
      </c>
      <c r="AH748" s="11">
        <f>Matchs!Q749</f>
        <v>83391</v>
      </c>
      <c r="AI748" s="11" t="str">
        <f t="shared" si="226"/>
        <v>,Status= "</v>
      </c>
      <c r="AJ748" s="11" t="str">
        <f>Matchs!R749</f>
        <v>Finished</v>
      </c>
      <c r="AK748" t="str">
        <f t="shared" si="227"/>
        <v>" },</v>
      </c>
    </row>
    <row r="749" spans="1:37" x14ac:dyDescent="0.25">
      <c r="A749" t="str">
        <f t="shared" si="209"/>
        <v>new Match { MatchId= "</v>
      </c>
      <c r="B749" t="str">
        <f>Matchs!A750</f>
        <v>FIFAWC2010-43</v>
      </c>
      <c r="C749" t="str">
        <f t="shared" si="210"/>
        <v>",MatchNumer=</v>
      </c>
      <c r="D749">
        <f>Matchs!B750</f>
        <v>43</v>
      </c>
      <c r="E749" t="str">
        <f t="shared" si="211"/>
        <v>,DateMatch=DateTime.Parse("</v>
      </c>
      <c r="F749" s="3">
        <f>Matchs!C750</f>
        <v>40353</v>
      </c>
      <c r="G749" s="10" t="str">
        <f t="shared" si="212"/>
        <v>"),TimeMatch=TimeSpan.Parse("</v>
      </c>
      <c r="H749" s="9">
        <f>Matchs!D750</f>
        <v>0.875</v>
      </c>
      <c r="I749" t="str">
        <f t="shared" si="213"/>
        <v>"),MatchYear=</v>
      </c>
      <c r="J749">
        <f>Matchs!E750</f>
        <v>2010</v>
      </c>
      <c r="K749" t="str">
        <f t="shared" si="214"/>
        <v>, SeasonId= "</v>
      </c>
      <c r="L749" t="str">
        <f>Matchs!F750</f>
        <v>FIFAWC2010</v>
      </c>
      <c r="M749" t="str">
        <f t="shared" si="215"/>
        <v>",Round= "</v>
      </c>
      <c r="N749" t="str">
        <f>Matchs!G750</f>
        <v>Final Round</v>
      </c>
      <c r="O749" s="6" t="str">
        <f t="shared" si="216"/>
        <v>",Stage= "</v>
      </c>
      <c r="P749" t="str">
        <f>Matchs!H750</f>
        <v>Group</v>
      </c>
      <c r="Q749" s="6" t="str">
        <f t="shared" si="217"/>
        <v>",SubStage= "</v>
      </c>
      <c r="R749" t="str">
        <f>Matchs!I750</f>
        <v xml:space="preserve">Group F </v>
      </c>
      <c r="S749" s="6" t="str">
        <f t="shared" si="218"/>
        <v>",HTeam= "</v>
      </c>
      <c r="T749" t="str">
        <f>Matchs!J750</f>
        <v>Slovakia</v>
      </c>
      <c r="U749" s="6" t="str">
        <f t="shared" si="219"/>
        <v>",HGoal=</v>
      </c>
      <c r="V749">
        <f>Matchs!K750</f>
        <v>3</v>
      </c>
      <c r="W749" s="6" t="str">
        <f t="shared" si="220"/>
        <v>,GGoal=</v>
      </c>
      <c r="X749">
        <f>Matchs!L750</f>
        <v>2</v>
      </c>
      <c r="Y749" s="6" t="str">
        <f t="shared" si="221"/>
        <v>,GTeam= "</v>
      </c>
      <c r="Z749" t="str">
        <f>Matchs!M750</f>
        <v>Italy</v>
      </c>
      <c r="AA749" s="6" t="str">
        <f t="shared" si="222"/>
        <v>",WinNote="</v>
      </c>
      <c r="AB749" t="str">
        <f>IF(Matchs!N750="","",Matchs!N750)</f>
        <v/>
      </c>
      <c r="AC749" s="6" t="str">
        <f t="shared" si="223"/>
        <v xml:space="preserve">",Stadium=" </v>
      </c>
      <c r="AD749" s="11" t="str">
        <f>Matchs!O750</f>
        <v xml:space="preserve">Ellis Park Stadium </v>
      </c>
      <c r="AE749" s="6" t="str">
        <f t="shared" si="224"/>
        <v>",Referee= "</v>
      </c>
      <c r="AF749" s="11" t="str">
        <f>Matchs!P750</f>
        <v xml:space="preserve">Howard Webb </v>
      </c>
      <c r="AG749" s="6" t="str">
        <f t="shared" si="225"/>
        <v xml:space="preserve">",Visistors= </v>
      </c>
      <c r="AH749" s="11">
        <f>Matchs!Q750</f>
        <v>53412</v>
      </c>
      <c r="AI749" s="11" t="str">
        <f t="shared" si="226"/>
        <v>,Status= "</v>
      </c>
      <c r="AJ749" s="11" t="str">
        <f>Matchs!R750</f>
        <v>Finished</v>
      </c>
      <c r="AK749" t="str">
        <f t="shared" si="227"/>
        <v>" },</v>
      </c>
    </row>
    <row r="750" spans="1:37" x14ac:dyDescent="0.25">
      <c r="A750" t="str">
        <f t="shared" si="209"/>
        <v>new Match { MatchId= "</v>
      </c>
      <c r="B750" t="str">
        <f>Matchs!A751</f>
        <v>FIFAWC2010-44</v>
      </c>
      <c r="C750" t="str">
        <f t="shared" si="210"/>
        <v>",MatchNumer=</v>
      </c>
      <c r="D750">
        <f>Matchs!B751</f>
        <v>44</v>
      </c>
      <c r="E750" t="str">
        <f t="shared" si="211"/>
        <v>,DateMatch=DateTime.Parse("</v>
      </c>
      <c r="F750" s="3">
        <f>Matchs!C751</f>
        <v>40353</v>
      </c>
      <c r="G750" s="10" t="str">
        <f t="shared" si="212"/>
        <v>"),TimeMatch=TimeSpan.Parse("</v>
      </c>
      <c r="H750" s="9">
        <f>Matchs!D751</f>
        <v>0.875</v>
      </c>
      <c r="I750" t="str">
        <f t="shared" si="213"/>
        <v>"),MatchYear=</v>
      </c>
      <c r="J750">
        <f>Matchs!E751</f>
        <v>2010</v>
      </c>
      <c r="K750" t="str">
        <f t="shared" si="214"/>
        <v>, SeasonId= "</v>
      </c>
      <c r="L750" t="str">
        <f>Matchs!F751</f>
        <v>FIFAWC2010</v>
      </c>
      <c r="M750" t="str">
        <f t="shared" si="215"/>
        <v>",Round= "</v>
      </c>
      <c r="N750" t="str">
        <f>Matchs!G751</f>
        <v>Final Round</v>
      </c>
      <c r="O750" s="6" t="str">
        <f t="shared" si="216"/>
        <v>",Stage= "</v>
      </c>
      <c r="P750" t="str">
        <f>Matchs!H751</f>
        <v>Group</v>
      </c>
      <c r="Q750" s="6" t="str">
        <f t="shared" si="217"/>
        <v>",SubStage= "</v>
      </c>
      <c r="R750" t="str">
        <f>Matchs!I751</f>
        <v xml:space="preserve">Group F </v>
      </c>
      <c r="S750" s="6" t="str">
        <f t="shared" si="218"/>
        <v>",HTeam= "</v>
      </c>
      <c r="T750" t="str">
        <f>Matchs!J751</f>
        <v>Paraguay</v>
      </c>
      <c r="U750" s="6" t="str">
        <f t="shared" si="219"/>
        <v>",HGoal=</v>
      </c>
      <c r="V750">
        <f>Matchs!K751</f>
        <v>0</v>
      </c>
      <c r="W750" s="6" t="str">
        <f t="shared" si="220"/>
        <v>,GGoal=</v>
      </c>
      <c r="X750">
        <f>Matchs!L751</f>
        <v>0</v>
      </c>
      <c r="Y750" s="6" t="str">
        <f t="shared" si="221"/>
        <v>,GTeam= "</v>
      </c>
      <c r="Z750" t="str">
        <f>Matchs!M751</f>
        <v>New Zealand</v>
      </c>
      <c r="AA750" s="6" t="str">
        <f t="shared" si="222"/>
        <v>",WinNote="</v>
      </c>
      <c r="AB750" t="str">
        <f>IF(Matchs!N751="","",Matchs!N751)</f>
        <v/>
      </c>
      <c r="AC750" s="6" t="str">
        <f t="shared" si="223"/>
        <v xml:space="preserve">",Stadium=" </v>
      </c>
      <c r="AD750" s="11" t="str">
        <f>Matchs!O751</f>
        <v xml:space="preserve">Peter Mokoba Stadium </v>
      </c>
      <c r="AE750" s="6" t="str">
        <f t="shared" si="224"/>
        <v>",Referee= "</v>
      </c>
      <c r="AF750" s="11" t="str">
        <f>Matchs!P751</f>
        <v xml:space="preserve">Yuichi Nishamura </v>
      </c>
      <c r="AG750" s="6" t="str">
        <f t="shared" si="225"/>
        <v xml:space="preserve">",Visistors= </v>
      </c>
      <c r="AH750" s="11">
        <f>Matchs!Q751</f>
        <v>34850</v>
      </c>
      <c r="AI750" s="11" t="str">
        <f t="shared" si="226"/>
        <v>,Status= "</v>
      </c>
      <c r="AJ750" s="11" t="str">
        <f>Matchs!R751</f>
        <v>Finished</v>
      </c>
      <c r="AK750" t="str">
        <f t="shared" si="227"/>
        <v>" },</v>
      </c>
    </row>
    <row r="751" spans="1:37" x14ac:dyDescent="0.25">
      <c r="A751" t="str">
        <f t="shared" si="209"/>
        <v>new Match { MatchId= "</v>
      </c>
      <c r="B751" t="str">
        <f>Matchs!A752</f>
        <v>FIFAWC2010-41</v>
      </c>
      <c r="C751" t="str">
        <f t="shared" si="210"/>
        <v>",MatchNumer=</v>
      </c>
      <c r="D751">
        <f>Matchs!B752</f>
        <v>41</v>
      </c>
      <c r="E751" t="str">
        <f t="shared" si="211"/>
        <v>,DateMatch=DateTime.Parse("</v>
      </c>
      <c r="F751" s="3">
        <f>Matchs!C752</f>
        <v>40354</v>
      </c>
      <c r="G751" s="10" t="str">
        <f t="shared" si="212"/>
        <v>"),TimeMatch=TimeSpan.Parse("</v>
      </c>
      <c r="H751" s="9">
        <f>Matchs!D752</f>
        <v>6.25E-2</v>
      </c>
      <c r="I751" t="str">
        <f t="shared" si="213"/>
        <v>"),MatchYear=</v>
      </c>
      <c r="J751">
        <f>Matchs!E752</f>
        <v>2010</v>
      </c>
      <c r="K751" t="str">
        <f t="shared" si="214"/>
        <v>, SeasonId= "</v>
      </c>
      <c r="L751" t="str">
        <f>Matchs!F752</f>
        <v>FIFAWC2010</v>
      </c>
      <c r="M751" t="str">
        <f t="shared" si="215"/>
        <v>",Round= "</v>
      </c>
      <c r="N751" t="str">
        <f>Matchs!G752</f>
        <v>Final Round</v>
      </c>
      <c r="O751" s="6" t="str">
        <f t="shared" si="216"/>
        <v>",Stage= "</v>
      </c>
      <c r="P751" t="str">
        <f>Matchs!H752</f>
        <v>Group</v>
      </c>
      <c r="Q751" s="6" t="str">
        <f t="shared" si="217"/>
        <v>",SubStage= "</v>
      </c>
      <c r="R751" t="str">
        <f>Matchs!I752</f>
        <v xml:space="preserve">Group E </v>
      </c>
      <c r="S751" s="6" t="str">
        <f t="shared" si="218"/>
        <v>",HTeam= "</v>
      </c>
      <c r="T751" t="str">
        <f>Matchs!J752</f>
        <v>Denmark</v>
      </c>
      <c r="U751" s="6" t="str">
        <f t="shared" si="219"/>
        <v>",HGoal=</v>
      </c>
      <c r="V751">
        <f>Matchs!K752</f>
        <v>1</v>
      </c>
      <c r="W751" s="6" t="str">
        <f t="shared" si="220"/>
        <v>,GGoal=</v>
      </c>
      <c r="X751">
        <f>Matchs!L752</f>
        <v>3</v>
      </c>
      <c r="Y751" s="6" t="str">
        <f t="shared" si="221"/>
        <v>,GTeam= "</v>
      </c>
      <c r="Z751" t="str">
        <f>Matchs!M752</f>
        <v>Japan</v>
      </c>
      <c r="AA751" s="6" t="str">
        <f t="shared" si="222"/>
        <v>",WinNote="</v>
      </c>
      <c r="AB751" t="str">
        <f>IF(Matchs!N752="","",Matchs!N752)</f>
        <v/>
      </c>
      <c r="AC751" s="6" t="str">
        <f t="shared" si="223"/>
        <v xml:space="preserve">",Stadium=" </v>
      </c>
      <c r="AD751" s="11" t="str">
        <f>Matchs!O752</f>
        <v xml:space="preserve">Royal Bafokeng Stadium </v>
      </c>
      <c r="AE751" s="6" t="str">
        <f t="shared" si="224"/>
        <v>",Referee= "</v>
      </c>
      <c r="AF751" s="11" t="str">
        <f>Matchs!P752</f>
        <v xml:space="preserve">Jerome Damon </v>
      </c>
      <c r="AG751" s="6" t="str">
        <f t="shared" si="225"/>
        <v xml:space="preserve">",Visistors= </v>
      </c>
      <c r="AH751" s="11">
        <f>Matchs!Q752</f>
        <v>27967</v>
      </c>
      <c r="AI751" s="11" t="str">
        <f t="shared" si="226"/>
        <v>,Status= "</v>
      </c>
      <c r="AJ751" s="11" t="str">
        <f>Matchs!R752</f>
        <v>Finished</v>
      </c>
      <c r="AK751" t="str">
        <f t="shared" si="227"/>
        <v>" },</v>
      </c>
    </row>
    <row r="752" spans="1:37" x14ac:dyDescent="0.25">
      <c r="A752" t="str">
        <f t="shared" si="209"/>
        <v>new Match { MatchId= "</v>
      </c>
      <c r="B752" t="str">
        <f>Matchs!A753</f>
        <v>FIFAWC2010-42</v>
      </c>
      <c r="C752" t="str">
        <f t="shared" si="210"/>
        <v>",MatchNumer=</v>
      </c>
      <c r="D752">
        <f>Matchs!B753</f>
        <v>42</v>
      </c>
      <c r="E752" t="str">
        <f t="shared" si="211"/>
        <v>,DateMatch=DateTime.Parse("</v>
      </c>
      <c r="F752" s="3">
        <f>Matchs!C753</f>
        <v>40354</v>
      </c>
      <c r="G752" s="10" t="str">
        <f t="shared" si="212"/>
        <v>"),TimeMatch=TimeSpan.Parse("</v>
      </c>
      <c r="H752" s="9">
        <f>Matchs!D753</f>
        <v>6.25E-2</v>
      </c>
      <c r="I752" t="str">
        <f t="shared" si="213"/>
        <v>"),MatchYear=</v>
      </c>
      <c r="J752">
        <f>Matchs!E753</f>
        <v>2010</v>
      </c>
      <c r="K752" t="str">
        <f t="shared" si="214"/>
        <v>, SeasonId= "</v>
      </c>
      <c r="L752" t="str">
        <f>Matchs!F753</f>
        <v>FIFAWC2010</v>
      </c>
      <c r="M752" t="str">
        <f t="shared" si="215"/>
        <v>",Round= "</v>
      </c>
      <c r="N752" t="str">
        <f>Matchs!G753</f>
        <v>Final Round</v>
      </c>
      <c r="O752" s="6" t="str">
        <f t="shared" si="216"/>
        <v>",Stage= "</v>
      </c>
      <c r="P752" t="str">
        <f>Matchs!H753</f>
        <v>Group</v>
      </c>
      <c r="Q752" s="6" t="str">
        <f t="shared" si="217"/>
        <v>",SubStage= "</v>
      </c>
      <c r="R752" t="str">
        <f>Matchs!I753</f>
        <v xml:space="preserve">Group E </v>
      </c>
      <c r="S752" s="6" t="str">
        <f t="shared" si="218"/>
        <v>",HTeam= "</v>
      </c>
      <c r="T752" t="str">
        <f>Matchs!J753</f>
        <v>Cameroon</v>
      </c>
      <c r="U752" s="6" t="str">
        <f t="shared" si="219"/>
        <v>",HGoal=</v>
      </c>
      <c r="V752">
        <f>Matchs!K753</f>
        <v>1</v>
      </c>
      <c r="W752" s="6" t="str">
        <f t="shared" si="220"/>
        <v>,GGoal=</v>
      </c>
      <c r="X752">
        <f>Matchs!L753</f>
        <v>2</v>
      </c>
      <c r="Y752" s="6" t="str">
        <f t="shared" si="221"/>
        <v>,GTeam= "</v>
      </c>
      <c r="Z752" t="str">
        <f>Matchs!M753</f>
        <v>Netherlands</v>
      </c>
      <c r="AA752" s="6" t="str">
        <f t="shared" si="222"/>
        <v>",WinNote="</v>
      </c>
      <c r="AB752" t="str">
        <f>IF(Matchs!N753="","",Matchs!N753)</f>
        <v/>
      </c>
      <c r="AC752" s="6" t="str">
        <f t="shared" si="223"/>
        <v xml:space="preserve">",Stadium=" </v>
      </c>
      <c r="AD752" s="11" t="str">
        <f>Matchs!O753</f>
        <v xml:space="preserve">Cape Town Stadium </v>
      </c>
      <c r="AE752" s="6" t="str">
        <f t="shared" si="224"/>
        <v>",Referee= "</v>
      </c>
      <c r="AF752" s="11" t="str">
        <f>Matchs!P753</f>
        <v xml:space="preserve">Pablo Pozo </v>
      </c>
      <c r="AG752" s="6" t="str">
        <f t="shared" si="225"/>
        <v xml:space="preserve">",Visistors= </v>
      </c>
      <c r="AH752" s="11">
        <f>Matchs!Q753</f>
        <v>63093</v>
      </c>
      <c r="AI752" s="11" t="str">
        <f t="shared" si="226"/>
        <v>,Status= "</v>
      </c>
      <c r="AJ752" s="11" t="str">
        <f>Matchs!R753</f>
        <v>Finished</v>
      </c>
      <c r="AK752" t="str">
        <f t="shared" si="227"/>
        <v>" },</v>
      </c>
    </row>
    <row r="753" spans="1:37" x14ac:dyDescent="0.25">
      <c r="A753" t="str">
        <f t="shared" si="209"/>
        <v>new Match { MatchId= "</v>
      </c>
      <c r="B753" t="str">
        <f>Matchs!A754</f>
        <v>FIFAWC2010-45</v>
      </c>
      <c r="C753" t="str">
        <f t="shared" si="210"/>
        <v>",MatchNumer=</v>
      </c>
      <c r="D753">
        <f>Matchs!B754</f>
        <v>45</v>
      </c>
      <c r="E753" t="str">
        <f t="shared" si="211"/>
        <v>,DateMatch=DateTime.Parse("</v>
      </c>
      <c r="F753" s="3">
        <f>Matchs!C754</f>
        <v>40354</v>
      </c>
      <c r="G753" s="10" t="str">
        <f t="shared" si="212"/>
        <v>"),TimeMatch=TimeSpan.Parse("</v>
      </c>
      <c r="H753" s="9">
        <f>Matchs!D754</f>
        <v>0.875</v>
      </c>
      <c r="I753" t="str">
        <f t="shared" si="213"/>
        <v>"),MatchYear=</v>
      </c>
      <c r="J753">
        <f>Matchs!E754</f>
        <v>2010</v>
      </c>
      <c r="K753" t="str">
        <f t="shared" si="214"/>
        <v>, SeasonId= "</v>
      </c>
      <c r="L753" t="str">
        <f>Matchs!F754</f>
        <v>FIFAWC2010</v>
      </c>
      <c r="M753" t="str">
        <f t="shared" si="215"/>
        <v>",Round= "</v>
      </c>
      <c r="N753" t="str">
        <f>Matchs!G754</f>
        <v>Final Round</v>
      </c>
      <c r="O753" s="6" t="str">
        <f t="shared" si="216"/>
        <v>",Stage= "</v>
      </c>
      <c r="P753" t="str">
        <f>Matchs!H754</f>
        <v>Group</v>
      </c>
      <c r="Q753" s="6" t="str">
        <f t="shared" si="217"/>
        <v>",SubStage= "</v>
      </c>
      <c r="R753" t="str">
        <f>Matchs!I754</f>
        <v xml:space="preserve">Group G </v>
      </c>
      <c r="S753" s="6" t="str">
        <f t="shared" si="218"/>
        <v>",HTeam= "</v>
      </c>
      <c r="T753" t="str">
        <f>Matchs!J754</f>
        <v>Portugal</v>
      </c>
      <c r="U753" s="6" t="str">
        <f t="shared" si="219"/>
        <v>",HGoal=</v>
      </c>
      <c r="V753">
        <f>Matchs!K754</f>
        <v>0</v>
      </c>
      <c r="W753" s="6" t="str">
        <f t="shared" si="220"/>
        <v>,GGoal=</v>
      </c>
      <c r="X753">
        <f>Matchs!L754</f>
        <v>0</v>
      </c>
      <c r="Y753" s="6" t="str">
        <f t="shared" si="221"/>
        <v>,GTeam= "</v>
      </c>
      <c r="Z753" t="str">
        <f>Matchs!M754</f>
        <v>Brazil</v>
      </c>
      <c r="AA753" s="6" t="str">
        <f t="shared" si="222"/>
        <v>",WinNote="</v>
      </c>
      <c r="AB753" t="str">
        <f>IF(Matchs!N754="","",Matchs!N754)</f>
        <v/>
      </c>
      <c r="AC753" s="6" t="str">
        <f t="shared" si="223"/>
        <v xml:space="preserve">",Stadium=" </v>
      </c>
      <c r="AD753" s="11" t="str">
        <f>Matchs!O754</f>
        <v xml:space="preserve">Moses Mabhida Stadium </v>
      </c>
      <c r="AE753" s="6" t="str">
        <f t="shared" si="224"/>
        <v>",Referee= "</v>
      </c>
      <c r="AF753" s="11" t="str">
        <f>Matchs!P754</f>
        <v xml:space="preserve">Benito Archundia </v>
      </c>
      <c r="AG753" s="6" t="str">
        <f t="shared" si="225"/>
        <v xml:space="preserve">",Visistors= </v>
      </c>
      <c r="AH753" s="11">
        <f>Matchs!Q754</f>
        <v>62712</v>
      </c>
      <c r="AI753" s="11" t="str">
        <f t="shared" si="226"/>
        <v>,Status= "</v>
      </c>
      <c r="AJ753" s="11" t="str">
        <f>Matchs!R754</f>
        <v>Finished</v>
      </c>
      <c r="AK753" t="str">
        <f t="shared" si="227"/>
        <v>" },</v>
      </c>
    </row>
    <row r="754" spans="1:37" x14ac:dyDescent="0.25">
      <c r="A754" t="str">
        <f t="shared" si="209"/>
        <v>new Match { MatchId= "</v>
      </c>
      <c r="B754" t="str">
        <f>Matchs!A755</f>
        <v>FIFAWC2010-46</v>
      </c>
      <c r="C754" t="str">
        <f t="shared" si="210"/>
        <v>",MatchNumer=</v>
      </c>
      <c r="D754">
        <f>Matchs!B755</f>
        <v>46</v>
      </c>
      <c r="E754" t="str">
        <f t="shared" si="211"/>
        <v>,DateMatch=DateTime.Parse("</v>
      </c>
      <c r="F754" s="3">
        <f>Matchs!C755</f>
        <v>40354</v>
      </c>
      <c r="G754" s="10" t="str">
        <f t="shared" si="212"/>
        <v>"),TimeMatch=TimeSpan.Parse("</v>
      </c>
      <c r="H754" s="9">
        <f>Matchs!D755</f>
        <v>0.875</v>
      </c>
      <c r="I754" t="str">
        <f t="shared" si="213"/>
        <v>"),MatchYear=</v>
      </c>
      <c r="J754">
        <f>Matchs!E755</f>
        <v>2010</v>
      </c>
      <c r="K754" t="str">
        <f t="shared" si="214"/>
        <v>, SeasonId= "</v>
      </c>
      <c r="L754" t="str">
        <f>Matchs!F755</f>
        <v>FIFAWC2010</v>
      </c>
      <c r="M754" t="str">
        <f t="shared" si="215"/>
        <v>",Round= "</v>
      </c>
      <c r="N754" t="str">
        <f>Matchs!G755</f>
        <v>Final Round</v>
      </c>
      <c r="O754" s="6" t="str">
        <f t="shared" si="216"/>
        <v>",Stage= "</v>
      </c>
      <c r="P754" t="str">
        <f>Matchs!H755</f>
        <v>Group</v>
      </c>
      <c r="Q754" s="6" t="str">
        <f t="shared" si="217"/>
        <v>",SubStage= "</v>
      </c>
      <c r="R754" t="str">
        <f>Matchs!I755</f>
        <v xml:space="preserve">Group G </v>
      </c>
      <c r="S754" s="6" t="str">
        <f t="shared" si="218"/>
        <v>",HTeam= "</v>
      </c>
      <c r="T754" t="str">
        <f>Matchs!J755</f>
        <v>North Korea</v>
      </c>
      <c r="U754" s="6" t="str">
        <f t="shared" si="219"/>
        <v>",HGoal=</v>
      </c>
      <c r="V754">
        <f>Matchs!K755</f>
        <v>0</v>
      </c>
      <c r="W754" s="6" t="str">
        <f t="shared" si="220"/>
        <v>,GGoal=</v>
      </c>
      <c r="X754">
        <f>Matchs!L755</f>
        <v>3</v>
      </c>
      <c r="Y754" s="6" t="str">
        <f t="shared" si="221"/>
        <v>,GTeam= "</v>
      </c>
      <c r="Z754" t="str">
        <f>Matchs!M755</f>
        <v>Cote D'Ivoire</v>
      </c>
      <c r="AA754" s="6" t="str">
        <f t="shared" si="222"/>
        <v>",WinNote="</v>
      </c>
      <c r="AB754" t="str">
        <f>IF(Matchs!N755="","",Matchs!N755)</f>
        <v/>
      </c>
      <c r="AC754" s="6" t="str">
        <f t="shared" si="223"/>
        <v xml:space="preserve">",Stadium=" </v>
      </c>
      <c r="AD754" s="11" t="str">
        <f>Matchs!O755</f>
        <v xml:space="preserve">Mbombela Stadium </v>
      </c>
      <c r="AE754" s="6" t="str">
        <f t="shared" si="224"/>
        <v>",Referee= "</v>
      </c>
      <c r="AF754" s="11" t="str">
        <f>Matchs!P755</f>
        <v xml:space="preserve">Alberto Undiano Mallenco </v>
      </c>
      <c r="AG754" s="6" t="str">
        <f t="shared" si="225"/>
        <v xml:space="preserve">",Visistors= </v>
      </c>
      <c r="AH754" s="11">
        <f>Matchs!Q755</f>
        <v>34763</v>
      </c>
      <c r="AI754" s="11" t="str">
        <f t="shared" si="226"/>
        <v>,Status= "</v>
      </c>
      <c r="AJ754" s="11" t="str">
        <f>Matchs!R755</f>
        <v>Finished</v>
      </c>
      <c r="AK754" t="str">
        <f t="shared" si="227"/>
        <v>" },</v>
      </c>
    </row>
    <row r="755" spans="1:37" x14ac:dyDescent="0.25">
      <c r="A755" t="str">
        <f t="shared" si="209"/>
        <v>new Match { MatchId= "</v>
      </c>
      <c r="B755" t="str">
        <f>Matchs!A756</f>
        <v>FIFAWC2010-48</v>
      </c>
      <c r="C755" t="str">
        <f t="shared" si="210"/>
        <v>",MatchNumer=</v>
      </c>
      <c r="D755">
        <f>Matchs!B756</f>
        <v>48</v>
      </c>
      <c r="E755" t="str">
        <f t="shared" si="211"/>
        <v>,DateMatch=DateTime.Parse("</v>
      </c>
      <c r="F755" s="3">
        <f>Matchs!C756</f>
        <v>40355</v>
      </c>
      <c r="G755" s="10" t="str">
        <f t="shared" si="212"/>
        <v>"),TimeMatch=TimeSpan.Parse("</v>
      </c>
      <c r="H755" s="9">
        <f>Matchs!D756</f>
        <v>6.25E-2</v>
      </c>
      <c r="I755" t="str">
        <f t="shared" si="213"/>
        <v>"),MatchYear=</v>
      </c>
      <c r="J755">
        <f>Matchs!E756</f>
        <v>2010</v>
      </c>
      <c r="K755" t="str">
        <f t="shared" si="214"/>
        <v>, SeasonId= "</v>
      </c>
      <c r="L755" t="str">
        <f>Matchs!F756</f>
        <v>FIFAWC2010</v>
      </c>
      <c r="M755" t="str">
        <f t="shared" si="215"/>
        <v>",Round= "</v>
      </c>
      <c r="N755" t="str">
        <f>Matchs!G756</f>
        <v>Final Round</v>
      </c>
      <c r="O755" s="6" t="str">
        <f t="shared" si="216"/>
        <v>",Stage= "</v>
      </c>
      <c r="P755" t="str">
        <f>Matchs!H756</f>
        <v>Group</v>
      </c>
      <c r="Q755" s="6" t="str">
        <f t="shared" si="217"/>
        <v>",SubStage= "</v>
      </c>
      <c r="R755" t="str">
        <f>Matchs!I756</f>
        <v xml:space="preserve">Group H </v>
      </c>
      <c r="S755" s="6" t="str">
        <f t="shared" si="218"/>
        <v>",HTeam= "</v>
      </c>
      <c r="T755" t="str">
        <f>Matchs!J756</f>
        <v>Switzerland</v>
      </c>
      <c r="U755" s="6" t="str">
        <f t="shared" si="219"/>
        <v>",HGoal=</v>
      </c>
      <c r="V755">
        <f>Matchs!K756</f>
        <v>0</v>
      </c>
      <c r="W755" s="6" t="str">
        <f t="shared" si="220"/>
        <v>,GGoal=</v>
      </c>
      <c r="X755">
        <f>Matchs!L756</f>
        <v>0</v>
      </c>
      <c r="Y755" s="6" t="str">
        <f t="shared" si="221"/>
        <v>,GTeam= "</v>
      </c>
      <c r="Z755" t="str">
        <f>Matchs!M756</f>
        <v>Honduras</v>
      </c>
      <c r="AA755" s="6" t="str">
        <f t="shared" si="222"/>
        <v>",WinNote="</v>
      </c>
      <c r="AB755" t="str">
        <f>IF(Matchs!N756="","",Matchs!N756)</f>
        <v/>
      </c>
      <c r="AC755" s="6" t="str">
        <f t="shared" si="223"/>
        <v xml:space="preserve">",Stadium=" </v>
      </c>
      <c r="AD755" s="11" t="str">
        <f>Matchs!O756</f>
        <v xml:space="preserve">Free State Stadium </v>
      </c>
      <c r="AE755" s="6" t="str">
        <f t="shared" si="224"/>
        <v>",Referee= "</v>
      </c>
      <c r="AF755" s="11" t="str">
        <f>Matchs!P756</f>
        <v xml:space="preserve">Héctor Baldassi </v>
      </c>
      <c r="AG755" s="6" t="str">
        <f t="shared" si="225"/>
        <v xml:space="preserve">",Visistors= </v>
      </c>
      <c r="AH755" s="11">
        <f>Matchs!Q756</f>
        <v>28042</v>
      </c>
      <c r="AI755" s="11" t="str">
        <f t="shared" si="226"/>
        <v>,Status= "</v>
      </c>
      <c r="AJ755" s="11" t="str">
        <f>Matchs!R756</f>
        <v>Finished</v>
      </c>
      <c r="AK755" t="str">
        <f t="shared" si="227"/>
        <v>" },</v>
      </c>
    </row>
    <row r="756" spans="1:37" x14ac:dyDescent="0.25">
      <c r="A756" t="str">
        <f t="shared" si="209"/>
        <v>new Match { MatchId= "</v>
      </c>
      <c r="B756" t="str">
        <f>Matchs!A757</f>
        <v>FIFAWC2010-47</v>
      </c>
      <c r="C756" t="str">
        <f t="shared" si="210"/>
        <v>",MatchNumer=</v>
      </c>
      <c r="D756">
        <f>Matchs!B757</f>
        <v>47</v>
      </c>
      <c r="E756" t="str">
        <f t="shared" si="211"/>
        <v>,DateMatch=DateTime.Parse("</v>
      </c>
      <c r="F756" s="3">
        <f>Matchs!C757</f>
        <v>40355</v>
      </c>
      <c r="G756" s="10" t="str">
        <f t="shared" si="212"/>
        <v>"),TimeMatch=TimeSpan.Parse("</v>
      </c>
      <c r="H756" s="9">
        <f>Matchs!D757</f>
        <v>6.25E-2</v>
      </c>
      <c r="I756" t="str">
        <f t="shared" si="213"/>
        <v>"),MatchYear=</v>
      </c>
      <c r="J756">
        <f>Matchs!E757</f>
        <v>2010</v>
      </c>
      <c r="K756" t="str">
        <f t="shared" si="214"/>
        <v>, SeasonId= "</v>
      </c>
      <c r="L756" t="str">
        <f>Matchs!F757</f>
        <v>FIFAWC2010</v>
      </c>
      <c r="M756" t="str">
        <f t="shared" si="215"/>
        <v>",Round= "</v>
      </c>
      <c r="N756" t="str">
        <f>Matchs!G757</f>
        <v>Final Round</v>
      </c>
      <c r="O756" s="6" t="str">
        <f t="shared" si="216"/>
        <v>",Stage= "</v>
      </c>
      <c r="P756" t="str">
        <f>Matchs!H757</f>
        <v>Group</v>
      </c>
      <c r="Q756" s="6" t="str">
        <f t="shared" si="217"/>
        <v>",SubStage= "</v>
      </c>
      <c r="R756" t="str">
        <f>Matchs!I757</f>
        <v xml:space="preserve">Group H </v>
      </c>
      <c r="S756" s="6" t="str">
        <f t="shared" si="218"/>
        <v>",HTeam= "</v>
      </c>
      <c r="T756" t="str">
        <f>Matchs!J757</f>
        <v>Chile</v>
      </c>
      <c r="U756" s="6" t="str">
        <f t="shared" si="219"/>
        <v>",HGoal=</v>
      </c>
      <c r="V756">
        <f>Matchs!K757</f>
        <v>1</v>
      </c>
      <c r="W756" s="6" t="str">
        <f t="shared" si="220"/>
        <v>,GGoal=</v>
      </c>
      <c r="X756">
        <f>Matchs!L757</f>
        <v>2</v>
      </c>
      <c r="Y756" s="6" t="str">
        <f t="shared" si="221"/>
        <v>,GTeam= "</v>
      </c>
      <c r="Z756" t="str">
        <f>Matchs!M757</f>
        <v>Spain</v>
      </c>
      <c r="AA756" s="6" t="str">
        <f t="shared" si="222"/>
        <v>",WinNote="</v>
      </c>
      <c r="AB756" t="str">
        <f>IF(Matchs!N757="","",Matchs!N757)</f>
        <v/>
      </c>
      <c r="AC756" s="6" t="str">
        <f t="shared" si="223"/>
        <v xml:space="preserve">",Stadium=" </v>
      </c>
      <c r="AD756" s="11" t="str">
        <f>Matchs!O757</f>
        <v xml:space="preserve">Loftus Versfeld Stadium </v>
      </c>
      <c r="AE756" s="6" t="str">
        <f t="shared" si="224"/>
        <v>",Referee= "</v>
      </c>
      <c r="AF756" s="11" t="str">
        <f>Matchs!P757</f>
        <v xml:space="preserve">Marco Rodríguez </v>
      </c>
      <c r="AG756" s="6" t="str">
        <f t="shared" si="225"/>
        <v xml:space="preserve">",Visistors= </v>
      </c>
      <c r="AH756" s="11">
        <f>Matchs!Q757</f>
        <v>41958</v>
      </c>
      <c r="AI756" s="11" t="str">
        <f t="shared" si="226"/>
        <v>,Status= "</v>
      </c>
      <c r="AJ756" s="11" t="str">
        <f>Matchs!R757</f>
        <v>Finished</v>
      </c>
      <c r="AK756" t="str">
        <f t="shared" si="227"/>
        <v>" },</v>
      </c>
    </row>
    <row r="757" spans="1:37" x14ac:dyDescent="0.25">
      <c r="A757" t="str">
        <f t="shared" si="209"/>
        <v>new Match { MatchId= "</v>
      </c>
      <c r="B757" t="str">
        <f>Matchs!A758</f>
        <v>FIFAWC2010-49</v>
      </c>
      <c r="C757" t="str">
        <f t="shared" si="210"/>
        <v>",MatchNumer=</v>
      </c>
      <c r="D757">
        <f>Matchs!B758</f>
        <v>49</v>
      </c>
      <c r="E757" t="str">
        <f t="shared" si="211"/>
        <v>,DateMatch=DateTime.Parse("</v>
      </c>
      <c r="F757" s="3">
        <f>Matchs!C758</f>
        <v>40355</v>
      </c>
      <c r="G757" s="10" t="str">
        <f t="shared" si="212"/>
        <v>"),TimeMatch=TimeSpan.Parse("</v>
      </c>
      <c r="H757" s="9">
        <f>Matchs!D758</f>
        <v>0.875</v>
      </c>
      <c r="I757" t="str">
        <f t="shared" si="213"/>
        <v>"),MatchYear=</v>
      </c>
      <c r="J757">
        <f>Matchs!E758</f>
        <v>2010</v>
      </c>
      <c r="K757" t="str">
        <f t="shared" si="214"/>
        <v>, SeasonId= "</v>
      </c>
      <c r="L757" t="str">
        <f>Matchs!F758</f>
        <v>FIFAWC2010</v>
      </c>
      <c r="M757" t="str">
        <f t="shared" si="215"/>
        <v>",Round= "</v>
      </c>
      <c r="N757" t="str">
        <f>Matchs!G758</f>
        <v>Final Round</v>
      </c>
      <c r="O757" s="6" t="str">
        <f t="shared" si="216"/>
        <v>",Stage= "</v>
      </c>
      <c r="P757" t="str">
        <f>Matchs!H758</f>
        <v>Knockouts</v>
      </c>
      <c r="Q757" s="6" t="str">
        <f t="shared" si="217"/>
        <v>",SubStage= "</v>
      </c>
      <c r="R757" t="str">
        <f>Matchs!I758</f>
        <v xml:space="preserve">Round of 16 </v>
      </c>
      <c r="S757" s="6" t="str">
        <f t="shared" si="218"/>
        <v>",HTeam= "</v>
      </c>
      <c r="T757" t="str">
        <f>Matchs!J758</f>
        <v>Uruguay</v>
      </c>
      <c r="U757" s="6" t="str">
        <f t="shared" si="219"/>
        <v>",HGoal=</v>
      </c>
      <c r="V757">
        <f>Matchs!K758</f>
        <v>2</v>
      </c>
      <c r="W757" s="6" t="str">
        <f t="shared" si="220"/>
        <v>,GGoal=</v>
      </c>
      <c r="X757">
        <f>Matchs!L758</f>
        <v>1</v>
      </c>
      <c r="Y757" s="6" t="str">
        <f t="shared" si="221"/>
        <v>,GTeam= "</v>
      </c>
      <c r="Z757" t="str">
        <f>Matchs!M758</f>
        <v>South Korea</v>
      </c>
      <c r="AA757" s="6" t="str">
        <f t="shared" si="222"/>
        <v>",WinNote="</v>
      </c>
      <c r="AB757" t="str">
        <f>IF(Matchs!N758="","",Matchs!N758)</f>
        <v/>
      </c>
      <c r="AC757" s="6" t="str">
        <f t="shared" si="223"/>
        <v xml:space="preserve">",Stadium=" </v>
      </c>
      <c r="AD757" s="11" t="str">
        <f>Matchs!O758</f>
        <v xml:space="preserve">Nelson Mandela Bay Stadium </v>
      </c>
      <c r="AE757" s="6" t="str">
        <f t="shared" si="224"/>
        <v>",Referee= "</v>
      </c>
      <c r="AF757" s="11" t="str">
        <f>Matchs!P758</f>
        <v xml:space="preserve">Wolfgang Stark </v>
      </c>
      <c r="AG757" s="6" t="str">
        <f t="shared" si="225"/>
        <v xml:space="preserve">",Visistors= </v>
      </c>
      <c r="AH757" s="11">
        <f>Matchs!Q758</f>
        <v>30597</v>
      </c>
      <c r="AI757" s="11" t="str">
        <f t="shared" si="226"/>
        <v>,Status= "</v>
      </c>
      <c r="AJ757" s="11" t="str">
        <f>Matchs!R758</f>
        <v>Finished</v>
      </c>
      <c r="AK757" t="str">
        <f t="shared" si="227"/>
        <v>" },</v>
      </c>
    </row>
    <row r="758" spans="1:37" x14ac:dyDescent="0.25">
      <c r="A758" t="str">
        <f t="shared" si="209"/>
        <v>new Match { MatchId= "</v>
      </c>
      <c r="B758" t="str">
        <f>Matchs!A759</f>
        <v>FIFAWC2010-50</v>
      </c>
      <c r="C758" t="str">
        <f t="shared" si="210"/>
        <v>",MatchNumer=</v>
      </c>
      <c r="D758">
        <f>Matchs!B759</f>
        <v>50</v>
      </c>
      <c r="E758" t="str">
        <f t="shared" si="211"/>
        <v>,DateMatch=DateTime.Parse("</v>
      </c>
      <c r="F758" s="3">
        <f>Matchs!C759</f>
        <v>40356</v>
      </c>
      <c r="G758" s="10" t="str">
        <f t="shared" si="212"/>
        <v>"),TimeMatch=TimeSpan.Parse("</v>
      </c>
      <c r="H758" s="9">
        <f>Matchs!D759</f>
        <v>6.25E-2</v>
      </c>
      <c r="I758" t="str">
        <f t="shared" si="213"/>
        <v>"),MatchYear=</v>
      </c>
      <c r="J758">
        <f>Matchs!E759</f>
        <v>2010</v>
      </c>
      <c r="K758" t="str">
        <f t="shared" si="214"/>
        <v>, SeasonId= "</v>
      </c>
      <c r="L758" t="str">
        <f>Matchs!F759</f>
        <v>FIFAWC2010</v>
      </c>
      <c r="M758" t="str">
        <f t="shared" si="215"/>
        <v>",Round= "</v>
      </c>
      <c r="N758" t="str">
        <f>Matchs!G759</f>
        <v>Final Round</v>
      </c>
      <c r="O758" s="6" t="str">
        <f t="shared" si="216"/>
        <v>",Stage= "</v>
      </c>
      <c r="P758" t="str">
        <f>Matchs!H759</f>
        <v>Knockouts</v>
      </c>
      <c r="Q758" s="6" t="str">
        <f t="shared" si="217"/>
        <v>",SubStage= "</v>
      </c>
      <c r="R758" t="str">
        <f>Matchs!I759</f>
        <v xml:space="preserve">Round of 16 </v>
      </c>
      <c r="S758" s="6" t="str">
        <f t="shared" si="218"/>
        <v>",HTeam= "</v>
      </c>
      <c r="T758" t="str">
        <f>Matchs!J759</f>
        <v>USA</v>
      </c>
      <c r="U758" s="6" t="str">
        <f t="shared" si="219"/>
        <v>",HGoal=</v>
      </c>
      <c r="V758">
        <f>Matchs!K759</f>
        <v>1</v>
      </c>
      <c r="W758" s="6" t="str">
        <f t="shared" si="220"/>
        <v>,GGoal=</v>
      </c>
      <c r="X758">
        <f>Matchs!L759</f>
        <v>2</v>
      </c>
      <c r="Y758" s="6" t="str">
        <f t="shared" si="221"/>
        <v>,GTeam= "</v>
      </c>
      <c r="Z758" t="str">
        <f>Matchs!M759</f>
        <v>Ghana</v>
      </c>
      <c r="AA758" s="6" t="str">
        <f t="shared" si="222"/>
        <v>",WinNote="</v>
      </c>
      <c r="AB758" t="str">
        <f>IF(Matchs!N759="","",Matchs!N759)</f>
        <v/>
      </c>
      <c r="AC758" s="6" t="str">
        <f t="shared" si="223"/>
        <v xml:space="preserve">",Stadium=" </v>
      </c>
      <c r="AD758" s="11" t="str">
        <f>Matchs!O759</f>
        <v xml:space="preserve">Royal Bafokeng Stadium </v>
      </c>
      <c r="AE758" s="6" t="str">
        <f t="shared" si="224"/>
        <v>",Referee= "</v>
      </c>
      <c r="AF758" s="11" t="str">
        <f>Matchs!P759</f>
        <v xml:space="preserve">Viktor Kassai </v>
      </c>
      <c r="AG758" s="6" t="str">
        <f t="shared" si="225"/>
        <v xml:space="preserve">",Visistors= </v>
      </c>
      <c r="AH758" s="11">
        <f>Matchs!Q759</f>
        <v>34976</v>
      </c>
      <c r="AI758" s="11" t="str">
        <f t="shared" si="226"/>
        <v>,Status= "</v>
      </c>
      <c r="AJ758" s="11" t="str">
        <f>Matchs!R759</f>
        <v>Finished</v>
      </c>
      <c r="AK758" t="str">
        <f t="shared" si="227"/>
        <v>" },</v>
      </c>
    </row>
    <row r="759" spans="1:37" x14ac:dyDescent="0.25">
      <c r="A759" t="str">
        <f t="shared" si="209"/>
        <v>new Match { MatchId= "</v>
      </c>
      <c r="B759" t="str">
        <f>Matchs!A760</f>
        <v>FIFAWC2010-51</v>
      </c>
      <c r="C759" t="str">
        <f t="shared" si="210"/>
        <v>",MatchNumer=</v>
      </c>
      <c r="D759">
        <f>Matchs!B760</f>
        <v>51</v>
      </c>
      <c r="E759" t="str">
        <f t="shared" si="211"/>
        <v>,DateMatch=DateTime.Parse("</v>
      </c>
      <c r="F759" s="3">
        <f>Matchs!C760</f>
        <v>40356</v>
      </c>
      <c r="G759" s="10" t="str">
        <f t="shared" si="212"/>
        <v>"),TimeMatch=TimeSpan.Parse("</v>
      </c>
      <c r="H759" s="9">
        <f>Matchs!D760</f>
        <v>0.875</v>
      </c>
      <c r="I759" t="str">
        <f t="shared" si="213"/>
        <v>"),MatchYear=</v>
      </c>
      <c r="J759">
        <f>Matchs!E760</f>
        <v>2010</v>
      </c>
      <c r="K759" t="str">
        <f t="shared" si="214"/>
        <v>, SeasonId= "</v>
      </c>
      <c r="L759" t="str">
        <f>Matchs!F760</f>
        <v>FIFAWC2010</v>
      </c>
      <c r="M759" t="str">
        <f t="shared" si="215"/>
        <v>",Round= "</v>
      </c>
      <c r="N759" t="str">
        <f>Matchs!G760</f>
        <v>Final Round</v>
      </c>
      <c r="O759" s="6" t="str">
        <f t="shared" si="216"/>
        <v>",Stage= "</v>
      </c>
      <c r="P759" t="str">
        <f>Matchs!H760</f>
        <v>Knockouts</v>
      </c>
      <c r="Q759" s="6" t="str">
        <f t="shared" si="217"/>
        <v>",SubStage= "</v>
      </c>
      <c r="R759" t="str">
        <f>Matchs!I760</f>
        <v xml:space="preserve">Round of 16 </v>
      </c>
      <c r="S759" s="6" t="str">
        <f t="shared" si="218"/>
        <v>",HTeam= "</v>
      </c>
      <c r="T759" t="str">
        <f>Matchs!J760</f>
        <v>Germany</v>
      </c>
      <c r="U759" s="6" t="str">
        <f t="shared" si="219"/>
        <v>",HGoal=</v>
      </c>
      <c r="V759">
        <f>Matchs!K760</f>
        <v>4</v>
      </c>
      <c r="W759" s="6" t="str">
        <f t="shared" si="220"/>
        <v>,GGoal=</v>
      </c>
      <c r="X759">
        <f>Matchs!L760</f>
        <v>1</v>
      </c>
      <c r="Y759" s="6" t="str">
        <f t="shared" si="221"/>
        <v>,GTeam= "</v>
      </c>
      <c r="Z759" t="str">
        <f>Matchs!M760</f>
        <v>England</v>
      </c>
      <c r="AA759" s="6" t="str">
        <f t="shared" si="222"/>
        <v>",WinNote="</v>
      </c>
      <c r="AB759" t="str">
        <f>IF(Matchs!N760="","",Matchs!N760)</f>
        <v/>
      </c>
      <c r="AC759" s="6" t="str">
        <f t="shared" si="223"/>
        <v xml:space="preserve">",Stadium=" </v>
      </c>
      <c r="AD759" s="11" t="str">
        <f>Matchs!O760</f>
        <v xml:space="preserve">Free State Stadium </v>
      </c>
      <c r="AE759" s="6" t="str">
        <f t="shared" si="224"/>
        <v>",Referee= "</v>
      </c>
      <c r="AF759" s="11" t="str">
        <f>Matchs!P760</f>
        <v xml:space="preserve">Jorge Larrionda </v>
      </c>
      <c r="AG759" s="6" t="str">
        <f t="shared" si="225"/>
        <v xml:space="preserve">",Visistors= </v>
      </c>
      <c r="AH759" s="11">
        <f>Matchs!Q760</f>
        <v>40510</v>
      </c>
      <c r="AI759" s="11" t="str">
        <f t="shared" si="226"/>
        <v>,Status= "</v>
      </c>
      <c r="AJ759" s="11" t="str">
        <f>Matchs!R760</f>
        <v>Finished</v>
      </c>
      <c r="AK759" t="str">
        <f t="shared" si="227"/>
        <v>" },</v>
      </c>
    </row>
    <row r="760" spans="1:37" x14ac:dyDescent="0.25">
      <c r="A760" t="str">
        <f t="shared" si="209"/>
        <v>new Match { MatchId= "</v>
      </c>
      <c r="B760" t="str">
        <f>Matchs!A761</f>
        <v>FIFAWC2010-52</v>
      </c>
      <c r="C760" t="str">
        <f t="shared" si="210"/>
        <v>",MatchNumer=</v>
      </c>
      <c r="D760">
        <f>Matchs!B761</f>
        <v>52</v>
      </c>
      <c r="E760" t="str">
        <f t="shared" si="211"/>
        <v>,DateMatch=DateTime.Parse("</v>
      </c>
      <c r="F760" s="3">
        <f>Matchs!C761</f>
        <v>40357</v>
      </c>
      <c r="G760" s="10" t="str">
        <f t="shared" si="212"/>
        <v>"),TimeMatch=TimeSpan.Parse("</v>
      </c>
      <c r="H760" s="9">
        <f>Matchs!D761</f>
        <v>6.25E-2</v>
      </c>
      <c r="I760" t="str">
        <f t="shared" si="213"/>
        <v>"),MatchYear=</v>
      </c>
      <c r="J760">
        <f>Matchs!E761</f>
        <v>2010</v>
      </c>
      <c r="K760" t="str">
        <f t="shared" si="214"/>
        <v>, SeasonId= "</v>
      </c>
      <c r="L760" t="str">
        <f>Matchs!F761</f>
        <v>FIFAWC2010</v>
      </c>
      <c r="M760" t="str">
        <f t="shared" si="215"/>
        <v>",Round= "</v>
      </c>
      <c r="N760" t="str">
        <f>Matchs!G761</f>
        <v>Final Round</v>
      </c>
      <c r="O760" s="6" t="str">
        <f t="shared" si="216"/>
        <v>",Stage= "</v>
      </c>
      <c r="P760" t="str">
        <f>Matchs!H761</f>
        <v>Knockouts</v>
      </c>
      <c r="Q760" s="6" t="str">
        <f t="shared" si="217"/>
        <v>",SubStage= "</v>
      </c>
      <c r="R760" t="str">
        <f>Matchs!I761</f>
        <v xml:space="preserve">Round of 16 </v>
      </c>
      <c r="S760" s="6" t="str">
        <f t="shared" si="218"/>
        <v>",HTeam= "</v>
      </c>
      <c r="T760" t="str">
        <f>Matchs!J761</f>
        <v>Argentina</v>
      </c>
      <c r="U760" s="6" t="str">
        <f t="shared" si="219"/>
        <v>",HGoal=</v>
      </c>
      <c r="V760">
        <f>Matchs!K761</f>
        <v>3</v>
      </c>
      <c r="W760" s="6" t="str">
        <f t="shared" si="220"/>
        <v>,GGoal=</v>
      </c>
      <c r="X760">
        <f>Matchs!L761</f>
        <v>1</v>
      </c>
      <c r="Y760" s="6" t="str">
        <f t="shared" si="221"/>
        <v>,GTeam= "</v>
      </c>
      <c r="Z760" t="str">
        <f>Matchs!M761</f>
        <v>Mexico</v>
      </c>
      <c r="AA760" s="6" t="str">
        <f t="shared" si="222"/>
        <v>",WinNote="</v>
      </c>
      <c r="AB760" t="str">
        <f>IF(Matchs!N761="","",Matchs!N761)</f>
        <v/>
      </c>
      <c r="AC760" s="6" t="str">
        <f t="shared" si="223"/>
        <v xml:space="preserve">",Stadium=" </v>
      </c>
      <c r="AD760" s="11" t="str">
        <f>Matchs!O761</f>
        <v xml:space="preserve">Soccer City </v>
      </c>
      <c r="AE760" s="6" t="str">
        <f t="shared" si="224"/>
        <v>",Referee= "</v>
      </c>
      <c r="AF760" s="11" t="str">
        <f>Matchs!P761</f>
        <v xml:space="preserve">Roberto Rosetti </v>
      </c>
      <c r="AG760" s="6" t="str">
        <f t="shared" si="225"/>
        <v xml:space="preserve">",Visistors= </v>
      </c>
      <c r="AH760" s="11">
        <f>Matchs!Q761</f>
        <v>84377</v>
      </c>
      <c r="AI760" s="11" t="str">
        <f t="shared" si="226"/>
        <v>,Status= "</v>
      </c>
      <c r="AJ760" s="11" t="str">
        <f>Matchs!R761</f>
        <v>Finished</v>
      </c>
      <c r="AK760" t="str">
        <f t="shared" si="227"/>
        <v>" },</v>
      </c>
    </row>
    <row r="761" spans="1:37" x14ac:dyDescent="0.25">
      <c r="A761" t="str">
        <f t="shared" si="209"/>
        <v>new Match { MatchId= "</v>
      </c>
      <c r="B761" t="str">
        <f>Matchs!A762</f>
        <v>FIFAWC2010-53</v>
      </c>
      <c r="C761" t="str">
        <f t="shared" si="210"/>
        <v>",MatchNumer=</v>
      </c>
      <c r="D761">
        <f>Matchs!B762</f>
        <v>53</v>
      </c>
      <c r="E761" t="str">
        <f t="shared" si="211"/>
        <v>,DateMatch=DateTime.Parse("</v>
      </c>
      <c r="F761" s="3">
        <f>Matchs!C762</f>
        <v>40357</v>
      </c>
      <c r="G761" s="10" t="str">
        <f t="shared" si="212"/>
        <v>"),TimeMatch=TimeSpan.Parse("</v>
      </c>
      <c r="H761" s="9">
        <f>Matchs!D762</f>
        <v>0.875</v>
      </c>
      <c r="I761" t="str">
        <f t="shared" si="213"/>
        <v>"),MatchYear=</v>
      </c>
      <c r="J761">
        <f>Matchs!E762</f>
        <v>2010</v>
      </c>
      <c r="K761" t="str">
        <f t="shared" si="214"/>
        <v>, SeasonId= "</v>
      </c>
      <c r="L761" t="str">
        <f>Matchs!F762</f>
        <v>FIFAWC2010</v>
      </c>
      <c r="M761" t="str">
        <f t="shared" si="215"/>
        <v>",Round= "</v>
      </c>
      <c r="N761" t="str">
        <f>Matchs!G762</f>
        <v>Final Round</v>
      </c>
      <c r="O761" s="6" t="str">
        <f t="shared" si="216"/>
        <v>",Stage= "</v>
      </c>
      <c r="P761" t="str">
        <f>Matchs!H762</f>
        <v>Knockouts</v>
      </c>
      <c r="Q761" s="6" t="str">
        <f t="shared" si="217"/>
        <v>",SubStage= "</v>
      </c>
      <c r="R761" t="str">
        <f>Matchs!I762</f>
        <v xml:space="preserve">Round of 16 </v>
      </c>
      <c r="S761" s="6" t="str">
        <f t="shared" si="218"/>
        <v>",HTeam= "</v>
      </c>
      <c r="T761" t="str">
        <f>Matchs!J762</f>
        <v>Netherlands</v>
      </c>
      <c r="U761" s="6" t="str">
        <f t="shared" si="219"/>
        <v>",HGoal=</v>
      </c>
      <c r="V761">
        <f>Matchs!K762</f>
        <v>2</v>
      </c>
      <c r="W761" s="6" t="str">
        <f t="shared" si="220"/>
        <v>,GGoal=</v>
      </c>
      <c r="X761">
        <f>Matchs!L762</f>
        <v>1</v>
      </c>
      <c r="Y761" s="6" t="str">
        <f t="shared" si="221"/>
        <v>,GTeam= "</v>
      </c>
      <c r="Z761" t="str">
        <f>Matchs!M762</f>
        <v>Slovakia</v>
      </c>
      <c r="AA761" s="6" t="str">
        <f t="shared" si="222"/>
        <v>",WinNote="</v>
      </c>
      <c r="AB761" t="str">
        <f>IF(Matchs!N762="","",Matchs!N762)</f>
        <v/>
      </c>
      <c r="AC761" s="6" t="str">
        <f t="shared" si="223"/>
        <v xml:space="preserve">",Stadium=" </v>
      </c>
      <c r="AD761" s="11" t="str">
        <f>Matchs!O762</f>
        <v xml:space="preserve">Moses Mabhida Stadium </v>
      </c>
      <c r="AE761" s="6" t="str">
        <f t="shared" si="224"/>
        <v>",Referee= "</v>
      </c>
      <c r="AF761" s="11" t="str">
        <f>Matchs!P762</f>
        <v xml:space="preserve">Alberto Undiano Mallenco </v>
      </c>
      <c r="AG761" s="6" t="str">
        <f t="shared" si="225"/>
        <v xml:space="preserve">",Visistors= </v>
      </c>
      <c r="AH761" s="11">
        <f>Matchs!Q762</f>
        <v>61962</v>
      </c>
      <c r="AI761" s="11" t="str">
        <f t="shared" si="226"/>
        <v>,Status= "</v>
      </c>
      <c r="AJ761" s="11" t="str">
        <f>Matchs!R762</f>
        <v>Finished</v>
      </c>
      <c r="AK761" t="str">
        <f t="shared" si="227"/>
        <v>" },</v>
      </c>
    </row>
    <row r="762" spans="1:37" x14ac:dyDescent="0.25">
      <c r="A762" t="str">
        <f t="shared" si="209"/>
        <v>new Match { MatchId= "</v>
      </c>
      <c r="B762" t="str">
        <f>Matchs!A763</f>
        <v>FIFAWC2010-54</v>
      </c>
      <c r="C762" t="str">
        <f t="shared" si="210"/>
        <v>",MatchNumer=</v>
      </c>
      <c r="D762">
        <f>Matchs!B763</f>
        <v>54</v>
      </c>
      <c r="E762" t="str">
        <f t="shared" si="211"/>
        <v>,DateMatch=DateTime.Parse("</v>
      </c>
      <c r="F762" s="3">
        <f>Matchs!C763</f>
        <v>40357</v>
      </c>
      <c r="G762" s="10" t="str">
        <f t="shared" si="212"/>
        <v>"),TimeMatch=TimeSpan.Parse("</v>
      </c>
      <c r="H762" s="9">
        <f>Matchs!D763</f>
        <v>6.25E-2</v>
      </c>
      <c r="I762" t="str">
        <f t="shared" si="213"/>
        <v>"),MatchYear=</v>
      </c>
      <c r="J762">
        <f>Matchs!E763</f>
        <v>2010</v>
      </c>
      <c r="K762" t="str">
        <f t="shared" si="214"/>
        <v>, SeasonId= "</v>
      </c>
      <c r="L762" t="str">
        <f>Matchs!F763</f>
        <v>FIFAWC2010</v>
      </c>
      <c r="M762" t="str">
        <f t="shared" si="215"/>
        <v>",Round= "</v>
      </c>
      <c r="N762" t="str">
        <f>Matchs!G763</f>
        <v>Final Round</v>
      </c>
      <c r="O762" s="6" t="str">
        <f t="shared" si="216"/>
        <v>",Stage= "</v>
      </c>
      <c r="P762" t="str">
        <f>Matchs!H763</f>
        <v>Knockouts</v>
      </c>
      <c r="Q762" s="6" t="str">
        <f t="shared" si="217"/>
        <v>",SubStage= "</v>
      </c>
      <c r="R762" t="str">
        <f>Matchs!I763</f>
        <v xml:space="preserve">Round of 16 </v>
      </c>
      <c r="S762" s="6" t="str">
        <f t="shared" si="218"/>
        <v>",HTeam= "</v>
      </c>
      <c r="T762" t="str">
        <f>Matchs!J763</f>
        <v>Brazil</v>
      </c>
      <c r="U762" s="6" t="str">
        <f t="shared" si="219"/>
        <v>",HGoal=</v>
      </c>
      <c r="V762">
        <f>Matchs!K763</f>
        <v>3</v>
      </c>
      <c r="W762" s="6" t="str">
        <f t="shared" si="220"/>
        <v>,GGoal=</v>
      </c>
      <c r="X762">
        <f>Matchs!L763</f>
        <v>0</v>
      </c>
      <c r="Y762" s="6" t="str">
        <f t="shared" si="221"/>
        <v>,GTeam= "</v>
      </c>
      <c r="Z762" t="str">
        <f>Matchs!M763</f>
        <v>Chile</v>
      </c>
      <c r="AA762" s="6" t="str">
        <f t="shared" si="222"/>
        <v>",WinNote="</v>
      </c>
      <c r="AB762" t="str">
        <f>IF(Matchs!N763="","",Matchs!N763)</f>
        <v/>
      </c>
      <c r="AC762" s="6" t="str">
        <f t="shared" si="223"/>
        <v xml:space="preserve">",Stadium=" </v>
      </c>
      <c r="AD762" s="11" t="str">
        <f>Matchs!O763</f>
        <v xml:space="preserve">Ellis Park Stadium </v>
      </c>
      <c r="AE762" s="6" t="str">
        <f t="shared" si="224"/>
        <v>",Referee= "</v>
      </c>
      <c r="AF762" s="11" t="str">
        <f>Matchs!P763</f>
        <v xml:space="preserve">Howard Webb </v>
      </c>
      <c r="AG762" s="6" t="str">
        <f t="shared" si="225"/>
        <v xml:space="preserve">",Visistors= </v>
      </c>
      <c r="AH762" s="11">
        <f>Matchs!Q763</f>
        <v>54096</v>
      </c>
      <c r="AI762" s="11" t="str">
        <f t="shared" si="226"/>
        <v>,Status= "</v>
      </c>
      <c r="AJ762" s="11" t="str">
        <f>Matchs!R763</f>
        <v>Finished</v>
      </c>
      <c r="AK762" t="str">
        <f t="shared" si="227"/>
        <v>" },</v>
      </c>
    </row>
    <row r="763" spans="1:37" x14ac:dyDescent="0.25">
      <c r="A763" t="str">
        <f t="shared" si="209"/>
        <v>new Match { MatchId= "</v>
      </c>
      <c r="B763" t="str">
        <f>Matchs!A764</f>
        <v>FIFAWC2010-55</v>
      </c>
      <c r="C763" t="str">
        <f t="shared" si="210"/>
        <v>",MatchNumer=</v>
      </c>
      <c r="D763">
        <f>Matchs!B764</f>
        <v>55</v>
      </c>
      <c r="E763" t="str">
        <f t="shared" si="211"/>
        <v>,DateMatch=DateTime.Parse("</v>
      </c>
      <c r="F763" s="3">
        <f>Matchs!C764</f>
        <v>40358</v>
      </c>
      <c r="G763" s="10" t="str">
        <f t="shared" si="212"/>
        <v>"),TimeMatch=TimeSpan.Parse("</v>
      </c>
      <c r="H763" s="9">
        <f>Matchs!D764</f>
        <v>0.875</v>
      </c>
      <c r="I763" t="str">
        <f t="shared" si="213"/>
        <v>"),MatchYear=</v>
      </c>
      <c r="J763">
        <f>Matchs!E764</f>
        <v>2010</v>
      </c>
      <c r="K763" t="str">
        <f t="shared" si="214"/>
        <v>, SeasonId= "</v>
      </c>
      <c r="L763" t="str">
        <f>Matchs!F764</f>
        <v>FIFAWC2010</v>
      </c>
      <c r="M763" t="str">
        <f t="shared" si="215"/>
        <v>",Round= "</v>
      </c>
      <c r="N763" t="str">
        <f>Matchs!G764</f>
        <v>Final Round</v>
      </c>
      <c r="O763" s="6" t="str">
        <f t="shared" si="216"/>
        <v>",Stage= "</v>
      </c>
      <c r="P763" t="str">
        <f>Matchs!H764</f>
        <v>Knockouts</v>
      </c>
      <c r="Q763" s="6" t="str">
        <f t="shared" si="217"/>
        <v>",SubStage= "</v>
      </c>
      <c r="R763" t="str">
        <f>Matchs!I764</f>
        <v xml:space="preserve">Round of 16 </v>
      </c>
      <c r="S763" s="6" t="str">
        <f t="shared" si="218"/>
        <v>",HTeam= "</v>
      </c>
      <c r="T763" t="str">
        <f>Matchs!J764</f>
        <v>Paraguay</v>
      </c>
      <c r="U763" s="6" t="str">
        <f t="shared" si="219"/>
        <v>",HGoal=</v>
      </c>
      <c r="V763">
        <f>Matchs!K764</f>
        <v>0</v>
      </c>
      <c r="W763" s="6" t="str">
        <f t="shared" si="220"/>
        <v>,GGoal=</v>
      </c>
      <c r="X763">
        <f>Matchs!L764</f>
        <v>0</v>
      </c>
      <c r="Y763" s="6" t="str">
        <f t="shared" si="221"/>
        <v>,GTeam= "</v>
      </c>
      <c r="Z763" t="str">
        <f>Matchs!M764</f>
        <v>Japan</v>
      </c>
      <c r="AA763" s="6" t="str">
        <f t="shared" si="222"/>
        <v>",WinNote="</v>
      </c>
      <c r="AB763" t="str">
        <f>IF(Matchs!N764="","",Matchs!N764)</f>
        <v>Paraguay win 5 - 3 on penalties</v>
      </c>
      <c r="AC763" s="6" t="str">
        <f t="shared" si="223"/>
        <v xml:space="preserve">",Stadium=" </v>
      </c>
      <c r="AD763" s="11" t="str">
        <f>Matchs!O764</f>
        <v xml:space="preserve">Loftus Versfeld Stadium </v>
      </c>
      <c r="AE763" s="6" t="str">
        <f t="shared" si="224"/>
        <v>",Referee= "</v>
      </c>
      <c r="AF763" s="11" t="str">
        <f>Matchs!P764</f>
        <v xml:space="preserve">Frank de Bleeckere </v>
      </c>
      <c r="AG763" s="6" t="str">
        <f t="shared" si="225"/>
        <v xml:space="preserve">",Visistors= </v>
      </c>
      <c r="AH763" s="11">
        <f>Matchs!Q764</f>
        <v>36742</v>
      </c>
      <c r="AI763" s="11" t="str">
        <f t="shared" si="226"/>
        <v>,Status= "</v>
      </c>
      <c r="AJ763" s="11" t="str">
        <f>Matchs!R764</f>
        <v>Finished</v>
      </c>
      <c r="AK763" t="str">
        <f t="shared" si="227"/>
        <v>" },</v>
      </c>
    </row>
    <row r="764" spans="1:37" x14ac:dyDescent="0.25">
      <c r="A764" t="str">
        <f t="shared" si="209"/>
        <v>new Match { MatchId= "</v>
      </c>
      <c r="B764" t="str">
        <f>Matchs!A765</f>
        <v>FIFAWC2010-56</v>
      </c>
      <c r="C764" t="str">
        <f t="shared" si="210"/>
        <v>",MatchNumer=</v>
      </c>
      <c r="D764">
        <f>Matchs!B765</f>
        <v>56</v>
      </c>
      <c r="E764" t="str">
        <f t="shared" si="211"/>
        <v>,DateMatch=DateTime.Parse("</v>
      </c>
      <c r="F764" s="3">
        <f>Matchs!C765</f>
        <v>40358</v>
      </c>
      <c r="G764" s="10" t="str">
        <f t="shared" si="212"/>
        <v>"),TimeMatch=TimeSpan.Parse("</v>
      </c>
      <c r="H764" s="9">
        <f>Matchs!D765</f>
        <v>6.25E-2</v>
      </c>
      <c r="I764" t="str">
        <f t="shared" si="213"/>
        <v>"),MatchYear=</v>
      </c>
      <c r="J764">
        <f>Matchs!E765</f>
        <v>2010</v>
      </c>
      <c r="K764" t="str">
        <f t="shared" si="214"/>
        <v>, SeasonId= "</v>
      </c>
      <c r="L764" t="str">
        <f>Matchs!F765</f>
        <v>FIFAWC2010</v>
      </c>
      <c r="M764" t="str">
        <f t="shared" si="215"/>
        <v>",Round= "</v>
      </c>
      <c r="N764" t="str">
        <f>Matchs!G765</f>
        <v>Final Round</v>
      </c>
      <c r="O764" s="6" t="str">
        <f t="shared" si="216"/>
        <v>",Stage= "</v>
      </c>
      <c r="P764" t="str">
        <f>Matchs!H765</f>
        <v>Knockouts</v>
      </c>
      <c r="Q764" s="6" t="str">
        <f t="shared" si="217"/>
        <v>",SubStage= "</v>
      </c>
      <c r="R764" t="str">
        <f>Matchs!I765</f>
        <v xml:space="preserve">Round of 16 </v>
      </c>
      <c r="S764" s="6" t="str">
        <f t="shared" si="218"/>
        <v>",HTeam= "</v>
      </c>
      <c r="T764" t="str">
        <f>Matchs!J765</f>
        <v>Spain</v>
      </c>
      <c r="U764" s="6" t="str">
        <f t="shared" si="219"/>
        <v>",HGoal=</v>
      </c>
      <c r="V764">
        <f>Matchs!K765</f>
        <v>1</v>
      </c>
      <c r="W764" s="6" t="str">
        <f t="shared" si="220"/>
        <v>,GGoal=</v>
      </c>
      <c r="X764">
        <f>Matchs!L765</f>
        <v>0</v>
      </c>
      <c r="Y764" s="6" t="str">
        <f t="shared" si="221"/>
        <v>,GTeam= "</v>
      </c>
      <c r="Z764" t="str">
        <f>Matchs!M765</f>
        <v>Portugal</v>
      </c>
      <c r="AA764" s="6" t="str">
        <f t="shared" si="222"/>
        <v>",WinNote="</v>
      </c>
      <c r="AB764" t="str">
        <f>IF(Matchs!N765="","",Matchs!N765)</f>
        <v/>
      </c>
      <c r="AC764" s="6" t="str">
        <f t="shared" si="223"/>
        <v xml:space="preserve">",Stadium=" </v>
      </c>
      <c r="AD764" s="11" t="str">
        <f>Matchs!O765</f>
        <v xml:space="preserve">Cape Town Stadium </v>
      </c>
      <c r="AE764" s="6" t="str">
        <f t="shared" si="224"/>
        <v>",Referee= "</v>
      </c>
      <c r="AF764" s="11" t="str">
        <f>Matchs!P765</f>
        <v xml:space="preserve">Héctor Baldassi </v>
      </c>
      <c r="AG764" s="6" t="str">
        <f t="shared" si="225"/>
        <v xml:space="preserve">",Visistors= </v>
      </c>
      <c r="AH764" s="11">
        <f>Matchs!Q765</f>
        <v>62955</v>
      </c>
      <c r="AI764" s="11" t="str">
        <f t="shared" si="226"/>
        <v>,Status= "</v>
      </c>
      <c r="AJ764" s="11" t="str">
        <f>Matchs!R765</f>
        <v>Finished</v>
      </c>
      <c r="AK764" t="str">
        <f t="shared" si="227"/>
        <v>" },</v>
      </c>
    </row>
    <row r="765" spans="1:37" x14ac:dyDescent="0.25">
      <c r="A765" t="str">
        <f t="shared" si="209"/>
        <v>new Match { MatchId= "</v>
      </c>
      <c r="B765" t="str">
        <f>Matchs!A766</f>
        <v>FIFAWC2010-57</v>
      </c>
      <c r="C765" t="str">
        <f t="shared" si="210"/>
        <v>",MatchNumer=</v>
      </c>
      <c r="D765">
        <f>Matchs!B766</f>
        <v>57</v>
      </c>
      <c r="E765" t="str">
        <f t="shared" si="211"/>
        <v>,DateMatch=DateTime.Parse("</v>
      </c>
      <c r="F765" s="3">
        <f>Matchs!C766</f>
        <v>40361</v>
      </c>
      <c r="G765" s="10" t="str">
        <f t="shared" si="212"/>
        <v>"),TimeMatch=TimeSpan.Parse("</v>
      </c>
      <c r="H765" s="9">
        <f>Matchs!D766</f>
        <v>0.875</v>
      </c>
      <c r="I765" t="str">
        <f t="shared" si="213"/>
        <v>"),MatchYear=</v>
      </c>
      <c r="J765">
        <f>Matchs!E766</f>
        <v>2010</v>
      </c>
      <c r="K765" t="str">
        <f t="shared" si="214"/>
        <v>, SeasonId= "</v>
      </c>
      <c r="L765" t="str">
        <f>Matchs!F766</f>
        <v>FIFAWC2010</v>
      </c>
      <c r="M765" t="str">
        <f t="shared" si="215"/>
        <v>",Round= "</v>
      </c>
      <c r="N765" t="str">
        <f>Matchs!G766</f>
        <v>Final Round</v>
      </c>
      <c r="O765" s="6" t="str">
        <f t="shared" si="216"/>
        <v>",Stage= "</v>
      </c>
      <c r="P765" t="str">
        <f>Matchs!H766</f>
        <v>Knockouts</v>
      </c>
      <c r="Q765" s="6" t="str">
        <f t="shared" si="217"/>
        <v>",SubStage= "</v>
      </c>
      <c r="R765" t="str">
        <f>Matchs!I766</f>
        <v>Quaterfinal</v>
      </c>
      <c r="S765" s="6" t="str">
        <f t="shared" si="218"/>
        <v>",HTeam= "</v>
      </c>
      <c r="T765" t="str">
        <f>Matchs!J766</f>
        <v>Netherlands</v>
      </c>
      <c r="U765" s="6" t="str">
        <f t="shared" si="219"/>
        <v>",HGoal=</v>
      </c>
      <c r="V765">
        <f>Matchs!K766</f>
        <v>2</v>
      </c>
      <c r="W765" s="6" t="str">
        <f t="shared" si="220"/>
        <v>,GGoal=</v>
      </c>
      <c r="X765">
        <f>Matchs!L766</f>
        <v>1</v>
      </c>
      <c r="Y765" s="6" t="str">
        <f t="shared" si="221"/>
        <v>,GTeam= "</v>
      </c>
      <c r="Z765" t="str">
        <f>Matchs!M766</f>
        <v>Brazil</v>
      </c>
      <c r="AA765" s="6" t="str">
        <f t="shared" si="222"/>
        <v>",WinNote="</v>
      </c>
      <c r="AB765" t="str">
        <f>IF(Matchs!N766="","",Matchs!N766)</f>
        <v/>
      </c>
      <c r="AC765" s="6" t="str">
        <f t="shared" si="223"/>
        <v xml:space="preserve">",Stadium=" </v>
      </c>
      <c r="AD765" s="11" t="str">
        <f>Matchs!O766</f>
        <v xml:space="preserve">Nelson Mandela Bay Stadium </v>
      </c>
      <c r="AE765" s="6" t="str">
        <f t="shared" si="224"/>
        <v>",Referee= "</v>
      </c>
      <c r="AF765" s="11" t="str">
        <f>Matchs!P766</f>
        <v xml:space="preserve">Yuichi Nishimura </v>
      </c>
      <c r="AG765" s="6" t="str">
        <f t="shared" si="225"/>
        <v xml:space="preserve">",Visistors= </v>
      </c>
      <c r="AH765" s="11">
        <f>Matchs!Q766</f>
        <v>40186</v>
      </c>
      <c r="AI765" s="11" t="str">
        <f t="shared" si="226"/>
        <v>,Status= "</v>
      </c>
      <c r="AJ765" s="11" t="str">
        <f>Matchs!R766</f>
        <v>Finished</v>
      </c>
      <c r="AK765" t="str">
        <f t="shared" si="227"/>
        <v>" },</v>
      </c>
    </row>
    <row r="766" spans="1:37" x14ac:dyDescent="0.25">
      <c r="A766" t="str">
        <f t="shared" si="209"/>
        <v>new Match { MatchId= "</v>
      </c>
      <c r="B766" t="str">
        <f>Matchs!A767</f>
        <v>FIFAWC2010-58</v>
      </c>
      <c r="C766" t="str">
        <f t="shared" si="210"/>
        <v>",MatchNumer=</v>
      </c>
      <c r="D766">
        <f>Matchs!B767</f>
        <v>58</v>
      </c>
      <c r="E766" t="str">
        <f t="shared" si="211"/>
        <v>,DateMatch=DateTime.Parse("</v>
      </c>
      <c r="F766" s="3">
        <f>Matchs!C767</f>
        <v>40362</v>
      </c>
      <c r="G766" s="10" t="str">
        <f t="shared" si="212"/>
        <v>"),TimeMatch=TimeSpan.Parse("</v>
      </c>
      <c r="H766" s="9">
        <f>Matchs!D767</f>
        <v>6.25E-2</v>
      </c>
      <c r="I766" t="str">
        <f t="shared" si="213"/>
        <v>"),MatchYear=</v>
      </c>
      <c r="J766">
        <f>Matchs!E767</f>
        <v>2010</v>
      </c>
      <c r="K766" t="str">
        <f t="shared" si="214"/>
        <v>, SeasonId= "</v>
      </c>
      <c r="L766" t="str">
        <f>Matchs!F767</f>
        <v>FIFAWC2010</v>
      </c>
      <c r="M766" t="str">
        <f t="shared" si="215"/>
        <v>",Round= "</v>
      </c>
      <c r="N766" t="str">
        <f>Matchs!G767</f>
        <v>Final Round</v>
      </c>
      <c r="O766" s="6" t="str">
        <f t="shared" si="216"/>
        <v>",Stage= "</v>
      </c>
      <c r="P766" t="str">
        <f>Matchs!H767</f>
        <v>Knockouts</v>
      </c>
      <c r="Q766" s="6" t="str">
        <f t="shared" si="217"/>
        <v>",SubStage= "</v>
      </c>
      <c r="R766" t="str">
        <f>Matchs!I767</f>
        <v>Quaterfinal</v>
      </c>
      <c r="S766" s="6" t="str">
        <f t="shared" si="218"/>
        <v>",HTeam= "</v>
      </c>
      <c r="T766" t="str">
        <f>Matchs!J767</f>
        <v>Uruguay</v>
      </c>
      <c r="U766" s="6" t="str">
        <f t="shared" si="219"/>
        <v>",HGoal=</v>
      </c>
      <c r="V766">
        <f>Matchs!K767</f>
        <v>1</v>
      </c>
      <c r="W766" s="6" t="str">
        <f t="shared" si="220"/>
        <v>,GGoal=</v>
      </c>
      <c r="X766">
        <f>Matchs!L767</f>
        <v>1</v>
      </c>
      <c r="Y766" s="6" t="str">
        <f t="shared" si="221"/>
        <v>,GTeam= "</v>
      </c>
      <c r="Z766" t="str">
        <f>Matchs!M767</f>
        <v>Ghana</v>
      </c>
      <c r="AA766" s="6" t="str">
        <f t="shared" si="222"/>
        <v>",WinNote="</v>
      </c>
      <c r="AB766" t="str">
        <f>IF(Matchs!N767="","",Matchs!N767)</f>
        <v>Uruguay win 4 - 2 on penalties</v>
      </c>
      <c r="AC766" s="6" t="str">
        <f t="shared" si="223"/>
        <v xml:space="preserve">",Stadium=" </v>
      </c>
      <c r="AD766" s="11" t="str">
        <f>Matchs!O767</f>
        <v xml:space="preserve">Soccer City </v>
      </c>
      <c r="AE766" s="6" t="str">
        <f t="shared" si="224"/>
        <v>",Referee= "</v>
      </c>
      <c r="AF766" s="11" t="str">
        <f>Matchs!P767</f>
        <v xml:space="preserve">Olegario Benquerenca </v>
      </c>
      <c r="AG766" s="6" t="str">
        <f t="shared" si="225"/>
        <v xml:space="preserve">",Visistors= </v>
      </c>
      <c r="AH766" s="11">
        <f>Matchs!Q767</f>
        <v>84017</v>
      </c>
      <c r="AI766" s="11" t="str">
        <f t="shared" si="226"/>
        <v>,Status= "</v>
      </c>
      <c r="AJ766" s="11" t="str">
        <f>Matchs!R767</f>
        <v>Finished</v>
      </c>
      <c r="AK766" t="str">
        <f t="shared" si="227"/>
        <v>" },</v>
      </c>
    </row>
    <row r="767" spans="1:37" x14ac:dyDescent="0.25">
      <c r="A767" t="str">
        <f t="shared" si="209"/>
        <v>new Match { MatchId= "</v>
      </c>
      <c r="B767" t="str">
        <f>Matchs!A768</f>
        <v>FIFAWC2010-59</v>
      </c>
      <c r="C767" t="str">
        <f t="shared" si="210"/>
        <v>",MatchNumer=</v>
      </c>
      <c r="D767">
        <f>Matchs!B768</f>
        <v>59</v>
      </c>
      <c r="E767" t="str">
        <f t="shared" si="211"/>
        <v>,DateMatch=DateTime.Parse("</v>
      </c>
      <c r="F767" s="3">
        <f>Matchs!C768</f>
        <v>40362</v>
      </c>
      <c r="G767" s="10" t="str">
        <f t="shared" si="212"/>
        <v>"),TimeMatch=TimeSpan.Parse("</v>
      </c>
      <c r="H767" s="9">
        <f>Matchs!D768</f>
        <v>0.875</v>
      </c>
      <c r="I767" t="str">
        <f t="shared" si="213"/>
        <v>"),MatchYear=</v>
      </c>
      <c r="J767">
        <f>Matchs!E768</f>
        <v>2010</v>
      </c>
      <c r="K767" t="str">
        <f t="shared" si="214"/>
        <v>, SeasonId= "</v>
      </c>
      <c r="L767" t="str">
        <f>Matchs!F768</f>
        <v>FIFAWC2010</v>
      </c>
      <c r="M767" t="str">
        <f t="shared" si="215"/>
        <v>",Round= "</v>
      </c>
      <c r="N767" t="str">
        <f>Matchs!G768</f>
        <v>Final Round</v>
      </c>
      <c r="O767" s="6" t="str">
        <f t="shared" si="216"/>
        <v>",Stage= "</v>
      </c>
      <c r="P767" t="str">
        <f>Matchs!H768</f>
        <v>Knockouts</v>
      </c>
      <c r="Q767" s="6" t="str">
        <f t="shared" si="217"/>
        <v>",SubStage= "</v>
      </c>
      <c r="R767" t="str">
        <f>Matchs!I768</f>
        <v>Quaterfinal</v>
      </c>
      <c r="S767" s="6" t="str">
        <f t="shared" si="218"/>
        <v>",HTeam= "</v>
      </c>
      <c r="T767" t="str">
        <f>Matchs!J768</f>
        <v>Argentina</v>
      </c>
      <c r="U767" s="6" t="str">
        <f t="shared" si="219"/>
        <v>",HGoal=</v>
      </c>
      <c r="V767">
        <f>Matchs!K768</f>
        <v>0</v>
      </c>
      <c r="W767" s="6" t="str">
        <f t="shared" si="220"/>
        <v>,GGoal=</v>
      </c>
      <c r="X767">
        <f>Matchs!L768</f>
        <v>4</v>
      </c>
      <c r="Y767" s="6" t="str">
        <f t="shared" si="221"/>
        <v>,GTeam= "</v>
      </c>
      <c r="Z767" t="str">
        <f>Matchs!M768</f>
        <v>Germany</v>
      </c>
      <c r="AA767" s="6" t="str">
        <f t="shared" si="222"/>
        <v>",WinNote="</v>
      </c>
      <c r="AB767" t="str">
        <f>IF(Matchs!N768="","",Matchs!N768)</f>
        <v/>
      </c>
      <c r="AC767" s="6" t="str">
        <f t="shared" si="223"/>
        <v xml:space="preserve">",Stadium=" </v>
      </c>
      <c r="AD767" s="11" t="str">
        <f>Matchs!O768</f>
        <v xml:space="preserve">Cape Town Stadium </v>
      </c>
      <c r="AE767" s="6" t="str">
        <f t="shared" si="224"/>
        <v>",Referee= "</v>
      </c>
      <c r="AF767" s="11" t="str">
        <f>Matchs!P768</f>
        <v xml:space="preserve">Ravshan Irmatov </v>
      </c>
      <c r="AG767" s="6" t="str">
        <f t="shared" si="225"/>
        <v xml:space="preserve">",Visistors= </v>
      </c>
      <c r="AH767" s="11">
        <f>Matchs!Q768</f>
        <v>64100</v>
      </c>
      <c r="AI767" s="11" t="str">
        <f t="shared" si="226"/>
        <v>,Status= "</v>
      </c>
      <c r="AJ767" s="11" t="str">
        <f>Matchs!R768</f>
        <v>Finished</v>
      </c>
      <c r="AK767" t="str">
        <f t="shared" si="227"/>
        <v>" },</v>
      </c>
    </row>
    <row r="768" spans="1:37" x14ac:dyDescent="0.25">
      <c r="A768" t="str">
        <f t="shared" si="209"/>
        <v>new Match { MatchId= "</v>
      </c>
      <c r="B768" t="str">
        <f>Matchs!A769</f>
        <v>FIFAWC2010-60</v>
      </c>
      <c r="C768" t="str">
        <f t="shared" si="210"/>
        <v>",MatchNumer=</v>
      </c>
      <c r="D768">
        <f>Matchs!B769</f>
        <v>60</v>
      </c>
      <c r="E768" t="str">
        <f t="shared" si="211"/>
        <v>,DateMatch=DateTime.Parse("</v>
      </c>
      <c r="F768" s="3">
        <f>Matchs!C769</f>
        <v>40363</v>
      </c>
      <c r="G768" s="10" t="str">
        <f t="shared" si="212"/>
        <v>"),TimeMatch=TimeSpan.Parse("</v>
      </c>
      <c r="H768" s="9">
        <f>Matchs!D769</f>
        <v>6.25E-2</v>
      </c>
      <c r="I768" t="str">
        <f t="shared" si="213"/>
        <v>"),MatchYear=</v>
      </c>
      <c r="J768">
        <f>Matchs!E769</f>
        <v>2010</v>
      </c>
      <c r="K768" t="str">
        <f t="shared" si="214"/>
        <v>, SeasonId= "</v>
      </c>
      <c r="L768" t="str">
        <f>Matchs!F769</f>
        <v>FIFAWC2010</v>
      </c>
      <c r="M768" t="str">
        <f t="shared" si="215"/>
        <v>",Round= "</v>
      </c>
      <c r="N768" t="str">
        <f>Matchs!G769</f>
        <v>Final Round</v>
      </c>
      <c r="O768" s="6" t="str">
        <f t="shared" si="216"/>
        <v>",Stage= "</v>
      </c>
      <c r="P768" t="str">
        <f>Matchs!H769</f>
        <v>Knockouts</v>
      </c>
      <c r="Q768" s="6" t="str">
        <f t="shared" si="217"/>
        <v>",SubStage= "</v>
      </c>
      <c r="R768" t="str">
        <f>Matchs!I769</f>
        <v>Quaterfinal</v>
      </c>
      <c r="S768" s="6" t="str">
        <f t="shared" si="218"/>
        <v>",HTeam= "</v>
      </c>
      <c r="T768" t="str">
        <f>Matchs!J769</f>
        <v>Paraguay</v>
      </c>
      <c r="U768" s="6" t="str">
        <f t="shared" si="219"/>
        <v>",HGoal=</v>
      </c>
      <c r="V768">
        <f>Matchs!K769</f>
        <v>0</v>
      </c>
      <c r="W768" s="6" t="str">
        <f t="shared" si="220"/>
        <v>,GGoal=</v>
      </c>
      <c r="X768">
        <f>Matchs!L769</f>
        <v>1</v>
      </c>
      <c r="Y768" s="6" t="str">
        <f t="shared" si="221"/>
        <v>,GTeam= "</v>
      </c>
      <c r="Z768" t="str">
        <f>Matchs!M769</f>
        <v>Spain</v>
      </c>
      <c r="AA768" s="6" t="str">
        <f t="shared" si="222"/>
        <v>",WinNote="</v>
      </c>
      <c r="AB768" t="str">
        <f>IF(Matchs!N769="","",Matchs!N769)</f>
        <v/>
      </c>
      <c r="AC768" s="6" t="str">
        <f t="shared" si="223"/>
        <v xml:space="preserve">",Stadium=" </v>
      </c>
      <c r="AD768" s="11" t="str">
        <f>Matchs!O769</f>
        <v xml:space="preserve">Ellis Park Stadium </v>
      </c>
      <c r="AE768" s="6" t="str">
        <f t="shared" si="224"/>
        <v>",Referee= "</v>
      </c>
      <c r="AF768" s="11" t="str">
        <f>Matchs!P769</f>
        <v xml:space="preserve">Carlos Batres </v>
      </c>
      <c r="AG768" s="6" t="str">
        <f t="shared" si="225"/>
        <v xml:space="preserve">",Visistors= </v>
      </c>
      <c r="AH768" s="11">
        <f>Matchs!Q769</f>
        <v>55359</v>
      </c>
      <c r="AI768" s="11" t="str">
        <f t="shared" si="226"/>
        <v>,Status= "</v>
      </c>
      <c r="AJ768" s="11" t="str">
        <f>Matchs!R769</f>
        <v>Finished</v>
      </c>
      <c r="AK768" t="str">
        <f t="shared" si="227"/>
        <v>" },</v>
      </c>
    </row>
    <row r="769" spans="1:37" x14ac:dyDescent="0.25">
      <c r="A769" t="str">
        <f t="shared" si="209"/>
        <v>new Match { MatchId= "</v>
      </c>
      <c r="B769" t="str">
        <f>Matchs!A770</f>
        <v>FIFAWC2010-61</v>
      </c>
      <c r="C769" t="str">
        <f t="shared" si="210"/>
        <v>",MatchNumer=</v>
      </c>
      <c r="D769">
        <f>Matchs!B770</f>
        <v>61</v>
      </c>
      <c r="E769" t="str">
        <f t="shared" si="211"/>
        <v>,DateMatch=DateTime.Parse("</v>
      </c>
      <c r="F769" s="3">
        <f>Matchs!C770</f>
        <v>40366</v>
      </c>
      <c r="G769" s="10" t="str">
        <f t="shared" si="212"/>
        <v>"),TimeMatch=TimeSpan.Parse("</v>
      </c>
      <c r="H769" s="9">
        <f>Matchs!D770</f>
        <v>6.25E-2</v>
      </c>
      <c r="I769" t="str">
        <f t="shared" si="213"/>
        <v>"),MatchYear=</v>
      </c>
      <c r="J769">
        <f>Matchs!E770</f>
        <v>2010</v>
      </c>
      <c r="K769" t="str">
        <f t="shared" si="214"/>
        <v>, SeasonId= "</v>
      </c>
      <c r="L769" t="str">
        <f>Matchs!F770</f>
        <v>FIFAWC2010</v>
      </c>
      <c r="M769" t="str">
        <f t="shared" si="215"/>
        <v>",Round= "</v>
      </c>
      <c r="N769" t="str">
        <f>Matchs!G770</f>
        <v>Final Round</v>
      </c>
      <c r="O769" s="6" t="str">
        <f t="shared" si="216"/>
        <v>",Stage= "</v>
      </c>
      <c r="P769" t="str">
        <f>Matchs!H770</f>
        <v>Knockouts</v>
      </c>
      <c r="Q769" s="6" t="str">
        <f t="shared" si="217"/>
        <v>",SubStage= "</v>
      </c>
      <c r="R769" t="str">
        <f>Matchs!I770</f>
        <v>Semifinal</v>
      </c>
      <c r="S769" s="6" t="str">
        <f t="shared" si="218"/>
        <v>",HTeam= "</v>
      </c>
      <c r="T769" t="str">
        <f>Matchs!J770</f>
        <v>Uruguay</v>
      </c>
      <c r="U769" s="6" t="str">
        <f t="shared" si="219"/>
        <v>",HGoal=</v>
      </c>
      <c r="V769">
        <f>Matchs!K770</f>
        <v>2</v>
      </c>
      <c r="W769" s="6" t="str">
        <f t="shared" si="220"/>
        <v>,GGoal=</v>
      </c>
      <c r="X769">
        <f>Matchs!L770</f>
        <v>3</v>
      </c>
      <c r="Y769" s="6" t="str">
        <f t="shared" si="221"/>
        <v>,GTeam= "</v>
      </c>
      <c r="Z769" t="str">
        <f>Matchs!M770</f>
        <v>Netherlands</v>
      </c>
      <c r="AA769" s="6" t="str">
        <f t="shared" si="222"/>
        <v>",WinNote="</v>
      </c>
      <c r="AB769" t="str">
        <f>IF(Matchs!N770="","",Matchs!N770)</f>
        <v/>
      </c>
      <c r="AC769" s="6" t="str">
        <f t="shared" si="223"/>
        <v xml:space="preserve">",Stadium=" </v>
      </c>
      <c r="AD769" s="11" t="str">
        <f>Matchs!O770</f>
        <v xml:space="preserve">Cape Town Stadium </v>
      </c>
      <c r="AE769" s="6" t="str">
        <f t="shared" si="224"/>
        <v>",Referee= "</v>
      </c>
      <c r="AF769" s="11" t="str">
        <f>Matchs!P770</f>
        <v xml:space="preserve">Ravshan Irmatov </v>
      </c>
      <c r="AG769" s="6" t="str">
        <f t="shared" si="225"/>
        <v xml:space="preserve">",Visistors= </v>
      </c>
      <c r="AH769" s="11">
        <f>Matchs!Q770</f>
        <v>62479</v>
      </c>
      <c r="AI769" s="11" t="str">
        <f t="shared" si="226"/>
        <v>,Status= "</v>
      </c>
      <c r="AJ769" s="11" t="str">
        <f>Matchs!R770</f>
        <v>Finished</v>
      </c>
      <c r="AK769" t="str">
        <f t="shared" si="227"/>
        <v>" },</v>
      </c>
    </row>
    <row r="770" spans="1:37" x14ac:dyDescent="0.25">
      <c r="A770" t="str">
        <f t="shared" si="209"/>
        <v>new Match { MatchId= "</v>
      </c>
      <c r="B770" t="str">
        <f>Matchs!A771</f>
        <v>FIFAWC2010-62</v>
      </c>
      <c r="C770" t="str">
        <f t="shared" si="210"/>
        <v>",MatchNumer=</v>
      </c>
      <c r="D770">
        <f>Matchs!B771</f>
        <v>62</v>
      </c>
      <c r="E770" t="str">
        <f t="shared" si="211"/>
        <v>,DateMatch=DateTime.Parse("</v>
      </c>
      <c r="F770" s="3">
        <f>Matchs!C771</f>
        <v>40367</v>
      </c>
      <c r="G770" s="10" t="str">
        <f t="shared" si="212"/>
        <v>"),TimeMatch=TimeSpan.Parse("</v>
      </c>
      <c r="H770" s="9">
        <f>Matchs!D771</f>
        <v>6.25E-2</v>
      </c>
      <c r="I770" t="str">
        <f t="shared" si="213"/>
        <v>"),MatchYear=</v>
      </c>
      <c r="J770">
        <f>Matchs!E771</f>
        <v>2010</v>
      </c>
      <c r="K770" t="str">
        <f t="shared" si="214"/>
        <v>, SeasonId= "</v>
      </c>
      <c r="L770" t="str">
        <f>Matchs!F771</f>
        <v>FIFAWC2010</v>
      </c>
      <c r="M770" t="str">
        <f t="shared" si="215"/>
        <v>",Round= "</v>
      </c>
      <c r="N770" t="str">
        <f>Matchs!G771</f>
        <v>Final Round</v>
      </c>
      <c r="O770" s="6" t="str">
        <f t="shared" si="216"/>
        <v>",Stage= "</v>
      </c>
      <c r="P770" t="str">
        <f>Matchs!H771</f>
        <v>Knockouts</v>
      </c>
      <c r="Q770" s="6" t="str">
        <f t="shared" si="217"/>
        <v>",SubStage= "</v>
      </c>
      <c r="R770" t="str">
        <f>Matchs!I771</f>
        <v>Semifinal</v>
      </c>
      <c r="S770" s="6" t="str">
        <f t="shared" si="218"/>
        <v>",HTeam= "</v>
      </c>
      <c r="T770" t="str">
        <f>Matchs!J771</f>
        <v>Germany</v>
      </c>
      <c r="U770" s="6" t="str">
        <f t="shared" si="219"/>
        <v>",HGoal=</v>
      </c>
      <c r="V770">
        <f>Matchs!K771</f>
        <v>0</v>
      </c>
      <c r="W770" s="6" t="str">
        <f t="shared" si="220"/>
        <v>,GGoal=</v>
      </c>
      <c r="X770">
        <f>Matchs!L771</f>
        <v>1</v>
      </c>
      <c r="Y770" s="6" t="str">
        <f t="shared" si="221"/>
        <v>,GTeam= "</v>
      </c>
      <c r="Z770" t="str">
        <f>Matchs!M771</f>
        <v>Spain</v>
      </c>
      <c r="AA770" s="6" t="str">
        <f t="shared" si="222"/>
        <v>",WinNote="</v>
      </c>
      <c r="AB770" t="str">
        <f>IF(Matchs!N771="","",Matchs!N771)</f>
        <v/>
      </c>
      <c r="AC770" s="6" t="str">
        <f t="shared" si="223"/>
        <v xml:space="preserve">",Stadium=" </v>
      </c>
      <c r="AD770" s="11" t="str">
        <f>Matchs!O771</f>
        <v xml:space="preserve">Moses Mabhida Stadium </v>
      </c>
      <c r="AE770" s="6" t="str">
        <f t="shared" si="224"/>
        <v>",Referee= "</v>
      </c>
      <c r="AF770" s="11" t="str">
        <f>Matchs!P771</f>
        <v xml:space="preserve">Viktor Kassai </v>
      </c>
      <c r="AG770" s="6" t="str">
        <f t="shared" si="225"/>
        <v xml:space="preserve">",Visistors= </v>
      </c>
      <c r="AH770" s="11">
        <f>Matchs!Q771</f>
        <v>60960</v>
      </c>
      <c r="AI770" s="11" t="str">
        <f t="shared" si="226"/>
        <v>,Status= "</v>
      </c>
      <c r="AJ770" s="11" t="str">
        <f>Matchs!R771</f>
        <v>Finished</v>
      </c>
      <c r="AK770" t="str">
        <f t="shared" si="227"/>
        <v>" },</v>
      </c>
    </row>
    <row r="771" spans="1:37" x14ac:dyDescent="0.25">
      <c r="A771" t="str">
        <f t="shared" ref="A771:A834" si="228">A770</f>
        <v>new Match { MatchId= "</v>
      </c>
      <c r="B771" t="str">
        <f>Matchs!A772</f>
        <v>FIFAWC2010-63</v>
      </c>
      <c r="C771" t="str">
        <f t="shared" ref="C771:C834" si="229">C770</f>
        <v>",MatchNumer=</v>
      </c>
      <c r="D771">
        <f>Matchs!B772</f>
        <v>63</v>
      </c>
      <c r="E771" t="str">
        <f t="shared" ref="E771:E834" si="230">E770</f>
        <v>,DateMatch=DateTime.Parse("</v>
      </c>
      <c r="F771" s="3">
        <f>Matchs!C772</f>
        <v>40369</v>
      </c>
      <c r="G771" s="10" t="str">
        <f t="shared" ref="G771:G834" si="231">G770</f>
        <v>"),TimeMatch=TimeSpan.Parse("</v>
      </c>
      <c r="H771" s="9">
        <f>Matchs!D772</f>
        <v>6.25E-2</v>
      </c>
      <c r="I771" t="str">
        <f t="shared" ref="I771:I834" si="232">I770</f>
        <v>"),MatchYear=</v>
      </c>
      <c r="J771">
        <f>Matchs!E772</f>
        <v>2010</v>
      </c>
      <c r="K771" t="str">
        <f t="shared" ref="K771:K834" si="233">K770</f>
        <v>, SeasonId= "</v>
      </c>
      <c r="L771" t="str">
        <f>Matchs!F772</f>
        <v>FIFAWC2010</v>
      </c>
      <c r="M771" t="str">
        <f t="shared" ref="M771:M834" si="234">M770</f>
        <v>",Round= "</v>
      </c>
      <c r="N771" t="str">
        <f>Matchs!G772</f>
        <v>Final Round</v>
      </c>
      <c r="O771" s="6" t="str">
        <f t="shared" ref="O771:O834" si="235">O770</f>
        <v>",Stage= "</v>
      </c>
      <c r="P771" t="str">
        <f>Matchs!H772</f>
        <v>Knockouts</v>
      </c>
      <c r="Q771" s="6" t="str">
        <f t="shared" ref="Q771:Q834" si="236">Q770</f>
        <v>",SubStage= "</v>
      </c>
      <c r="R771" t="str">
        <f>Matchs!I772</f>
        <v>3rd place</v>
      </c>
      <c r="S771" s="6" t="str">
        <f t="shared" ref="S771:S834" si="237">S770</f>
        <v>",HTeam= "</v>
      </c>
      <c r="T771" t="str">
        <f>Matchs!J772</f>
        <v>Uruguay</v>
      </c>
      <c r="U771" s="6" t="str">
        <f t="shared" ref="U771:U834" si="238">U770</f>
        <v>",HGoal=</v>
      </c>
      <c r="V771">
        <f>Matchs!K772</f>
        <v>2</v>
      </c>
      <c r="W771" s="6" t="str">
        <f t="shared" ref="W771:W834" si="239">W770</f>
        <v>,GGoal=</v>
      </c>
      <c r="X771">
        <f>Matchs!L772</f>
        <v>3</v>
      </c>
      <c r="Y771" s="6" t="str">
        <f t="shared" ref="Y771:Y834" si="240">Y770</f>
        <v>,GTeam= "</v>
      </c>
      <c r="Z771" t="str">
        <f>Matchs!M772</f>
        <v>Germany</v>
      </c>
      <c r="AA771" s="6" t="str">
        <f t="shared" ref="AA771:AA834" si="241">AA770</f>
        <v>",WinNote="</v>
      </c>
      <c r="AB771" t="str">
        <f>IF(Matchs!N772="","",Matchs!N772)</f>
        <v/>
      </c>
      <c r="AC771" s="6" t="str">
        <f t="shared" ref="AC771:AC834" si="242">AC770</f>
        <v xml:space="preserve">",Stadium=" </v>
      </c>
      <c r="AD771" s="11" t="str">
        <f>Matchs!O772</f>
        <v xml:space="preserve">Nelson Mandela Bay Stadium </v>
      </c>
      <c r="AE771" s="6" t="str">
        <f t="shared" ref="AE771:AE834" si="243">AE770</f>
        <v>",Referee= "</v>
      </c>
      <c r="AF771" s="11" t="str">
        <f>Matchs!P772</f>
        <v xml:space="preserve">Benito Archundia </v>
      </c>
      <c r="AG771" s="6" t="str">
        <f t="shared" ref="AG771:AG834" si="244">AG770</f>
        <v xml:space="preserve">",Visistors= </v>
      </c>
      <c r="AH771" s="11">
        <f>Matchs!Q772</f>
        <v>36254</v>
      </c>
      <c r="AI771" s="11" t="str">
        <f t="shared" ref="AI771:AI834" si="245">AI770</f>
        <v>,Status= "</v>
      </c>
      <c r="AJ771" s="11" t="str">
        <f>Matchs!R772</f>
        <v>Finished</v>
      </c>
      <c r="AK771" t="str">
        <f t="shared" ref="AK771:AK834" si="246">AK770</f>
        <v>" },</v>
      </c>
    </row>
    <row r="772" spans="1:37" x14ac:dyDescent="0.25">
      <c r="A772" t="str">
        <f t="shared" si="228"/>
        <v>new Match { MatchId= "</v>
      </c>
      <c r="B772" t="str">
        <f>Matchs!A773</f>
        <v>FIFAWC2010-64</v>
      </c>
      <c r="C772" t="str">
        <f t="shared" si="229"/>
        <v>",MatchNumer=</v>
      </c>
      <c r="D772">
        <f>Matchs!B773</f>
        <v>64</v>
      </c>
      <c r="E772" t="str">
        <f t="shared" si="230"/>
        <v>,DateMatch=DateTime.Parse("</v>
      </c>
      <c r="F772" s="3">
        <f>Matchs!C773</f>
        <v>40371</v>
      </c>
      <c r="G772" s="10" t="str">
        <f t="shared" si="231"/>
        <v>"),TimeMatch=TimeSpan.Parse("</v>
      </c>
      <c r="H772" s="9">
        <f>Matchs!D773</f>
        <v>6.25E-2</v>
      </c>
      <c r="I772" t="str">
        <f t="shared" si="232"/>
        <v>"),MatchYear=</v>
      </c>
      <c r="J772">
        <f>Matchs!E773</f>
        <v>2010</v>
      </c>
      <c r="K772" t="str">
        <f t="shared" si="233"/>
        <v>, SeasonId= "</v>
      </c>
      <c r="L772" t="str">
        <f>Matchs!F773</f>
        <v>FIFAWC2010</v>
      </c>
      <c r="M772" t="str">
        <f t="shared" si="234"/>
        <v>",Round= "</v>
      </c>
      <c r="N772" t="str">
        <f>Matchs!G773</f>
        <v>Final Round</v>
      </c>
      <c r="O772" s="6" t="str">
        <f t="shared" si="235"/>
        <v>",Stage= "</v>
      </c>
      <c r="P772" t="str">
        <f>Matchs!H773</f>
        <v>Knockouts</v>
      </c>
      <c r="Q772" s="6" t="str">
        <f t="shared" si="236"/>
        <v>",SubStage= "</v>
      </c>
      <c r="R772" t="str">
        <f>Matchs!I773</f>
        <v>Final</v>
      </c>
      <c r="S772" s="6" t="str">
        <f t="shared" si="237"/>
        <v>",HTeam= "</v>
      </c>
      <c r="T772" t="str">
        <f>Matchs!J773</f>
        <v>Netherlands</v>
      </c>
      <c r="U772" s="6" t="str">
        <f t="shared" si="238"/>
        <v>",HGoal=</v>
      </c>
      <c r="V772">
        <f>Matchs!K773</f>
        <v>0</v>
      </c>
      <c r="W772" s="6" t="str">
        <f t="shared" si="239"/>
        <v>,GGoal=</v>
      </c>
      <c r="X772">
        <f>Matchs!L773</f>
        <v>1</v>
      </c>
      <c r="Y772" s="6" t="str">
        <f t="shared" si="240"/>
        <v>,GTeam= "</v>
      </c>
      <c r="Z772" t="str">
        <f>Matchs!M773</f>
        <v>Spain</v>
      </c>
      <c r="AA772" s="6" t="str">
        <f t="shared" si="241"/>
        <v>",WinNote="</v>
      </c>
      <c r="AB772" t="str">
        <f>IF(Matchs!N773="","",Matchs!N773)</f>
        <v/>
      </c>
      <c r="AC772" s="6" t="str">
        <f t="shared" si="242"/>
        <v xml:space="preserve">",Stadium=" </v>
      </c>
      <c r="AD772" s="11" t="str">
        <f>Matchs!O773</f>
        <v xml:space="preserve">Soccer City </v>
      </c>
      <c r="AE772" s="6" t="str">
        <f t="shared" si="243"/>
        <v>",Referee= "</v>
      </c>
      <c r="AF772" s="11" t="str">
        <f>Matchs!P773</f>
        <v xml:space="preserve">Howard Webb </v>
      </c>
      <c r="AG772" s="6" t="str">
        <f t="shared" si="244"/>
        <v xml:space="preserve">",Visistors= </v>
      </c>
      <c r="AH772" s="11">
        <f>Matchs!Q773</f>
        <v>84490</v>
      </c>
      <c r="AI772" s="11" t="str">
        <f t="shared" si="245"/>
        <v>,Status= "</v>
      </c>
      <c r="AJ772" s="11" t="str">
        <f>Matchs!R773</f>
        <v>Finished</v>
      </c>
      <c r="AK772" t="str">
        <f t="shared" si="246"/>
        <v>" },</v>
      </c>
    </row>
    <row r="773" spans="1:37" x14ac:dyDescent="0.25">
      <c r="A773" t="str">
        <f t="shared" si="228"/>
        <v>new Match { MatchId= "</v>
      </c>
      <c r="B773" t="str">
        <f>Matchs!A774</f>
        <v>FIFAWC2014-1</v>
      </c>
      <c r="C773" t="str">
        <f t="shared" si="229"/>
        <v>",MatchNumer=</v>
      </c>
      <c r="D773">
        <f>Matchs!B774</f>
        <v>1</v>
      </c>
      <c r="E773" t="str">
        <f t="shared" si="230"/>
        <v>,DateMatch=DateTime.Parse("</v>
      </c>
      <c r="F773" s="3">
        <f>Matchs!C774</f>
        <v>41803</v>
      </c>
      <c r="G773" s="10" t="str">
        <f t="shared" si="231"/>
        <v>"),TimeMatch=TimeSpan.Parse("</v>
      </c>
      <c r="H773" s="9">
        <f>Matchs!D774</f>
        <v>0.125</v>
      </c>
      <c r="I773" t="str">
        <f t="shared" si="232"/>
        <v>"),MatchYear=</v>
      </c>
      <c r="J773">
        <f>Matchs!E774</f>
        <v>2014</v>
      </c>
      <c r="K773" t="str">
        <f t="shared" si="233"/>
        <v>, SeasonId= "</v>
      </c>
      <c r="L773" t="str">
        <f>Matchs!F774</f>
        <v>FIFAWC2014</v>
      </c>
      <c r="M773" t="str">
        <f t="shared" si="234"/>
        <v>",Round= "</v>
      </c>
      <c r="N773" t="str">
        <f>Matchs!G774</f>
        <v>Final Round</v>
      </c>
      <c r="O773" s="6" t="str">
        <f t="shared" si="235"/>
        <v>",Stage= "</v>
      </c>
      <c r="P773" t="str">
        <f>Matchs!H774</f>
        <v>Group</v>
      </c>
      <c r="Q773" s="6" t="str">
        <f t="shared" si="236"/>
        <v>",SubStage= "</v>
      </c>
      <c r="R773" t="str">
        <f>Matchs!I774</f>
        <v xml:space="preserve">Group A </v>
      </c>
      <c r="S773" s="6" t="str">
        <f t="shared" si="237"/>
        <v>",HTeam= "</v>
      </c>
      <c r="T773" t="str">
        <f>Matchs!J774</f>
        <v>Brazil</v>
      </c>
      <c r="U773" s="6" t="str">
        <f t="shared" si="238"/>
        <v>",HGoal=</v>
      </c>
      <c r="V773">
        <f>Matchs!K774</f>
        <v>3</v>
      </c>
      <c r="W773" s="6" t="str">
        <f t="shared" si="239"/>
        <v>,GGoal=</v>
      </c>
      <c r="X773">
        <f>Matchs!L774</f>
        <v>1</v>
      </c>
      <c r="Y773" s="6" t="str">
        <f t="shared" si="240"/>
        <v>,GTeam= "</v>
      </c>
      <c r="Z773" t="str">
        <f>Matchs!M774</f>
        <v>Croatia</v>
      </c>
      <c r="AA773" s="6" t="str">
        <f t="shared" si="241"/>
        <v>",WinNote="</v>
      </c>
      <c r="AB773" t="str">
        <f>IF(Matchs!N774="","",Matchs!N774)</f>
        <v/>
      </c>
      <c r="AC773" s="6" t="str">
        <f t="shared" si="242"/>
        <v xml:space="preserve">",Stadium=" </v>
      </c>
      <c r="AD773" s="11" t="str">
        <f>Matchs!O774</f>
        <v xml:space="preserve">Arena de Sao Paulo </v>
      </c>
      <c r="AE773" s="6" t="str">
        <f t="shared" si="243"/>
        <v>",Referee= "</v>
      </c>
      <c r="AF773" s="11" t="str">
        <f>Matchs!P774</f>
        <v xml:space="preserve">Yuichi Nishimura </v>
      </c>
      <c r="AG773" s="6" t="str">
        <f t="shared" si="244"/>
        <v xml:space="preserve">",Visistors= </v>
      </c>
      <c r="AH773" s="11">
        <f>Matchs!Q774</f>
        <v>62103</v>
      </c>
      <c r="AI773" s="11" t="str">
        <f t="shared" si="245"/>
        <v>,Status= "</v>
      </c>
      <c r="AJ773" s="11" t="str">
        <f>Matchs!R774</f>
        <v>Finished</v>
      </c>
      <c r="AK773" t="str">
        <f t="shared" si="246"/>
        <v>" },</v>
      </c>
    </row>
    <row r="774" spans="1:37" x14ac:dyDescent="0.25">
      <c r="A774" t="str">
        <f t="shared" si="228"/>
        <v>new Match { MatchId= "</v>
      </c>
      <c r="B774" t="str">
        <f>Matchs!A775</f>
        <v>FIFAWC2014-2</v>
      </c>
      <c r="C774" t="str">
        <f t="shared" si="229"/>
        <v>",MatchNumer=</v>
      </c>
      <c r="D774">
        <f>Matchs!B775</f>
        <v>2</v>
      </c>
      <c r="E774" t="str">
        <f t="shared" si="230"/>
        <v>,DateMatch=DateTime.Parse("</v>
      </c>
      <c r="F774" s="3">
        <f>Matchs!C775</f>
        <v>41803</v>
      </c>
      <c r="G774" s="10" t="str">
        <f t="shared" si="231"/>
        <v>"),TimeMatch=TimeSpan.Parse("</v>
      </c>
      <c r="H774" s="9">
        <f>Matchs!D775</f>
        <v>0.95833333333333337</v>
      </c>
      <c r="I774" t="str">
        <f t="shared" si="232"/>
        <v>"),MatchYear=</v>
      </c>
      <c r="J774">
        <f>Matchs!E775</f>
        <v>2014</v>
      </c>
      <c r="K774" t="str">
        <f t="shared" si="233"/>
        <v>, SeasonId= "</v>
      </c>
      <c r="L774" t="str">
        <f>Matchs!F775</f>
        <v>FIFAWC2014</v>
      </c>
      <c r="M774" t="str">
        <f t="shared" si="234"/>
        <v>",Round= "</v>
      </c>
      <c r="N774" t="str">
        <f>Matchs!G775</f>
        <v>Final Round</v>
      </c>
      <c r="O774" s="6" t="str">
        <f t="shared" si="235"/>
        <v>",Stage= "</v>
      </c>
      <c r="P774" t="str">
        <f>Matchs!H775</f>
        <v>Group</v>
      </c>
      <c r="Q774" s="6" t="str">
        <f t="shared" si="236"/>
        <v>",SubStage= "</v>
      </c>
      <c r="R774" t="str">
        <f>Matchs!I775</f>
        <v xml:space="preserve">Group A </v>
      </c>
      <c r="S774" s="6" t="str">
        <f t="shared" si="237"/>
        <v>",HTeam= "</v>
      </c>
      <c r="T774" t="str">
        <f>Matchs!J775</f>
        <v>Mexico</v>
      </c>
      <c r="U774" s="6" t="str">
        <f t="shared" si="238"/>
        <v>",HGoal=</v>
      </c>
      <c r="V774">
        <f>Matchs!K775</f>
        <v>1</v>
      </c>
      <c r="W774" s="6" t="str">
        <f t="shared" si="239"/>
        <v>,GGoal=</v>
      </c>
      <c r="X774">
        <f>Matchs!L775</f>
        <v>0</v>
      </c>
      <c r="Y774" s="6" t="str">
        <f t="shared" si="240"/>
        <v>,GTeam= "</v>
      </c>
      <c r="Z774" t="str">
        <f>Matchs!M775</f>
        <v>Cameroon</v>
      </c>
      <c r="AA774" s="6" t="str">
        <f t="shared" si="241"/>
        <v>",WinNote="</v>
      </c>
      <c r="AB774" t="str">
        <f>IF(Matchs!N775="","",Matchs!N775)</f>
        <v/>
      </c>
      <c r="AC774" s="6" t="str">
        <f t="shared" si="242"/>
        <v xml:space="preserve">",Stadium=" </v>
      </c>
      <c r="AD774" s="11" t="str">
        <f>Matchs!O775</f>
        <v xml:space="preserve">Arena das Dunas </v>
      </c>
      <c r="AE774" s="6" t="str">
        <f t="shared" si="243"/>
        <v>",Referee= "</v>
      </c>
      <c r="AF774" s="11" t="str">
        <f>Matchs!P775</f>
        <v xml:space="preserve">Wilmar Roldan </v>
      </c>
      <c r="AG774" s="6" t="str">
        <f t="shared" si="244"/>
        <v xml:space="preserve">",Visistors= </v>
      </c>
      <c r="AH774" s="11">
        <f>Matchs!Q775</f>
        <v>39216</v>
      </c>
      <c r="AI774" s="11" t="str">
        <f t="shared" si="245"/>
        <v>,Status= "</v>
      </c>
      <c r="AJ774" s="11" t="str">
        <f>Matchs!R775</f>
        <v>Finished</v>
      </c>
      <c r="AK774" t="str">
        <f t="shared" si="246"/>
        <v>" },</v>
      </c>
    </row>
    <row r="775" spans="1:37" x14ac:dyDescent="0.25">
      <c r="A775" t="str">
        <f t="shared" si="228"/>
        <v>new Match { MatchId= "</v>
      </c>
      <c r="B775" t="str">
        <f>Matchs!A776</f>
        <v>FIFAWC2014-3</v>
      </c>
      <c r="C775" t="str">
        <f t="shared" si="229"/>
        <v>",MatchNumer=</v>
      </c>
      <c r="D775">
        <f>Matchs!B776</f>
        <v>3</v>
      </c>
      <c r="E775" t="str">
        <f t="shared" si="230"/>
        <v>,DateMatch=DateTime.Parse("</v>
      </c>
      <c r="F775" s="3">
        <f>Matchs!C776</f>
        <v>41804</v>
      </c>
      <c r="G775" s="10" t="str">
        <f t="shared" si="231"/>
        <v>"),TimeMatch=TimeSpan.Parse("</v>
      </c>
      <c r="H775" s="9">
        <f>Matchs!D776</f>
        <v>8.3333333333333329E-2</v>
      </c>
      <c r="I775" t="str">
        <f t="shared" si="232"/>
        <v>"),MatchYear=</v>
      </c>
      <c r="J775">
        <f>Matchs!E776</f>
        <v>2014</v>
      </c>
      <c r="K775" t="str">
        <f t="shared" si="233"/>
        <v>, SeasonId= "</v>
      </c>
      <c r="L775" t="str">
        <f>Matchs!F776</f>
        <v>FIFAWC2014</v>
      </c>
      <c r="M775" t="str">
        <f t="shared" si="234"/>
        <v>",Round= "</v>
      </c>
      <c r="N775" t="str">
        <f>Matchs!G776</f>
        <v>Final Round</v>
      </c>
      <c r="O775" s="6" t="str">
        <f t="shared" si="235"/>
        <v>",Stage= "</v>
      </c>
      <c r="P775" t="str">
        <f>Matchs!H776</f>
        <v>Group</v>
      </c>
      <c r="Q775" s="6" t="str">
        <f t="shared" si="236"/>
        <v>",SubStage= "</v>
      </c>
      <c r="R775" t="str">
        <f>Matchs!I776</f>
        <v xml:space="preserve">Group B </v>
      </c>
      <c r="S775" s="6" t="str">
        <f t="shared" si="237"/>
        <v>",HTeam= "</v>
      </c>
      <c r="T775" t="str">
        <f>Matchs!J776</f>
        <v>Spain</v>
      </c>
      <c r="U775" s="6" t="str">
        <f t="shared" si="238"/>
        <v>",HGoal=</v>
      </c>
      <c r="V775">
        <f>Matchs!K776</f>
        <v>1</v>
      </c>
      <c r="W775" s="6" t="str">
        <f t="shared" si="239"/>
        <v>,GGoal=</v>
      </c>
      <c r="X775">
        <f>Matchs!L776</f>
        <v>5</v>
      </c>
      <c r="Y775" s="6" t="str">
        <f t="shared" si="240"/>
        <v>,GTeam= "</v>
      </c>
      <c r="Z775" t="str">
        <f>Matchs!M776</f>
        <v>Netherlands</v>
      </c>
      <c r="AA775" s="6" t="str">
        <f t="shared" si="241"/>
        <v>",WinNote="</v>
      </c>
      <c r="AB775" t="str">
        <f>IF(Matchs!N776="","",Matchs!N776)</f>
        <v/>
      </c>
      <c r="AC775" s="6" t="str">
        <f t="shared" si="242"/>
        <v xml:space="preserve">",Stadium=" </v>
      </c>
      <c r="AD775" s="11" t="str">
        <f>Matchs!O776</f>
        <v xml:space="preserve">Arena Fonte Nova </v>
      </c>
      <c r="AE775" s="6" t="str">
        <f t="shared" si="243"/>
        <v>",Referee= "</v>
      </c>
      <c r="AF775" s="11" t="str">
        <f>Matchs!P776</f>
        <v xml:space="preserve">Nicola Rizzoli </v>
      </c>
      <c r="AG775" s="6" t="str">
        <f t="shared" si="244"/>
        <v xml:space="preserve">",Visistors= </v>
      </c>
      <c r="AH775" s="11">
        <f>Matchs!Q776</f>
        <v>48173</v>
      </c>
      <c r="AI775" s="11" t="str">
        <f t="shared" si="245"/>
        <v>,Status= "</v>
      </c>
      <c r="AJ775" s="11" t="str">
        <f>Matchs!R776</f>
        <v>Finished</v>
      </c>
      <c r="AK775" t="str">
        <f t="shared" si="246"/>
        <v>" },</v>
      </c>
    </row>
    <row r="776" spans="1:37" x14ac:dyDescent="0.25">
      <c r="A776" t="str">
        <f t="shared" si="228"/>
        <v>new Match { MatchId= "</v>
      </c>
      <c r="B776" t="str">
        <f>Matchs!A777</f>
        <v>FIFAWC2014-4</v>
      </c>
      <c r="C776" t="str">
        <f t="shared" si="229"/>
        <v>",MatchNumer=</v>
      </c>
      <c r="D776">
        <f>Matchs!B777</f>
        <v>4</v>
      </c>
      <c r="E776" t="str">
        <f t="shared" si="230"/>
        <v>,DateMatch=DateTime.Parse("</v>
      </c>
      <c r="F776" s="3">
        <f>Matchs!C777</f>
        <v>41804</v>
      </c>
      <c r="G776" s="10" t="str">
        <f t="shared" si="231"/>
        <v>"),TimeMatch=TimeSpan.Parse("</v>
      </c>
      <c r="H776" s="9">
        <f>Matchs!D777</f>
        <v>0.20833333333333334</v>
      </c>
      <c r="I776" t="str">
        <f t="shared" si="232"/>
        <v>"),MatchYear=</v>
      </c>
      <c r="J776">
        <f>Matchs!E777</f>
        <v>2014</v>
      </c>
      <c r="K776" t="str">
        <f t="shared" si="233"/>
        <v>, SeasonId= "</v>
      </c>
      <c r="L776" t="str">
        <f>Matchs!F777</f>
        <v>FIFAWC2014</v>
      </c>
      <c r="M776" t="str">
        <f t="shared" si="234"/>
        <v>",Round= "</v>
      </c>
      <c r="N776" t="str">
        <f>Matchs!G777</f>
        <v>Final Round</v>
      </c>
      <c r="O776" s="6" t="str">
        <f t="shared" si="235"/>
        <v>",Stage= "</v>
      </c>
      <c r="P776" t="str">
        <f>Matchs!H777</f>
        <v>Group</v>
      </c>
      <c r="Q776" s="6" t="str">
        <f t="shared" si="236"/>
        <v>",SubStage= "</v>
      </c>
      <c r="R776" t="str">
        <f>Matchs!I777</f>
        <v xml:space="preserve">Group B </v>
      </c>
      <c r="S776" s="6" t="str">
        <f t="shared" si="237"/>
        <v>",HTeam= "</v>
      </c>
      <c r="T776" t="str">
        <f>Matchs!J777</f>
        <v>Chile</v>
      </c>
      <c r="U776" s="6" t="str">
        <f t="shared" si="238"/>
        <v>",HGoal=</v>
      </c>
      <c r="V776">
        <f>Matchs!K777</f>
        <v>3</v>
      </c>
      <c r="W776" s="6" t="str">
        <f t="shared" si="239"/>
        <v>,GGoal=</v>
      </c>
      <c r="X776">
        <f>Matchs!L777</f>
        <v>1</v>
      </c>
      <c r="Y776" s="6" t="str">
        <f t="shared" si="240"/>
        <v>,GTeam= "</v>
      </c>
      <c r="Z776" t="str">
        <f>Matchs!M777</f>
        <v>Australia</v>
      </c>
      <c r="AA776" s="6" t="str">
        <f t="shared" si="241"/>
        <v>",WinNote="</v>
      </c>
      <c r="AB776" t="str">
        <f>IF(Matchs!N777="","",Matchs!N777)</f>
        <v/>
      </c>
      <c r="AC776" s="6" t="str">
        <f t="shared" si="242"/>
        <v xml:space="preserve">",Stadium=" </v>
      </c>
      <c r="AD776" s="11" t="str">
        <f>Matchs!O777</f>
        <v xml:space="preserve">Arena Pantanal </v>
      </c>
      <c r="AE776" s="6" t="str">
        <f t="shared" si="243"/>
        <v>",Referee= "</v>
      </c>
      <c r="AF776" s="11" t="str">
        <f>Matchs!P777</f>
        <v xml:space="preserve">Noumandiez Doue </v>
      </c>
      <c r="AG776" s="6" t="str">
        <f t="shared" si="244"/>
        <v xml:space="preserve">",Visistors= </v>
      </c>
      <c r="AH776" s="11">
        <f>Matchs!Q777</f>
        <v>40275</v>
      </c>
      <c r="AI776" s="11" t="str">
        <f t="shared" si="245"/>
        <v>,Status= "</v>
      </c>
      <c r="AJ776" s="11" t="str">
        <f>Matchs!R777</f>
        <v>Finished</v>
      </c>
      <c r="AK776" t="str">
        <f t="shared" si="246"/>
        <v>" },</v>
      </c>
    </row>
    <row r="777" spans="1:37" x14ac:dyDescent="0.25">
      <c r="A777" t="str">
        <f t="shared" si="228"/>
        <v>new Match { MatchId= "</v>
      </c>
      <c r="B777" t="str">
        <f>Matchs!A778</f>
        <v>FIFAWC2014-5</v>
      </c>
      <c r="C777" t="str">
        <f t="shared" si="229"/>
        <v>",MatchNumer=</v>
      </c>
      <c r="D777">
        <f>Matchs!B778</f>
        <v>5</v>
      </c>
      <c r="E777" t="str">
        <f t="shared" si="230"/>
        <v>,DateMatch=DateTime.Parse("</v>
      </c>
      <c r="F777" s="3">
        <f>Matchs!C778</f>
        <v>41804</v>
      </c>
      <c r="G777" s="10" t="str">
        <f t="shared" si="231"/>
        <v>"),TimeMatch=TimeSpan.Parse("</v>
      </c>
      <c r="H777" s="9">
        <f>Matchs!D778</f>
        <v>0.95833333333333337</v>
      </c>
      <c r="I777" t="str">
        <f t="shared" si="232"/>
        <v>"),MatchYear=</v>
      </c>
      <c r="J777">
        <f>Matchs!E778</f>
        <v>2014</v>
      </c>
      <c r="K777" t="str">
        <f t="shared" si="233"/>
        <v>, SeasonId= "</v>
      </c>
      <c r="L777" t="str">
        <f>Matchs!F778</f>
        <v>FIFAWC2014</v>
      </c>
      <c r="M777" t="str">
        <f t="shared" si="234"/>
        <v>",Round= "</v>
      </c>
      <c r="N777" t="str">
        <f>Matchs!G778</f>
        <v>Final Round</v>
      </c>
      <c r="O777" s="6" t="str">
        <f t="shared" si="235"/>
        <v>",Stage= "</v>
      </c>
      <c r="P777" t="str">
        <f>Matchs!H778</f>
        <v>Group</v>
      </c>
      <c r="Q777" s="6" t="str">
        <f t="shared" si="236"/>
        <v>",SubStage= "</v>
      </c>
      <c r="R777" t="str">
        <f>Matchs!I778</f>
        <v xml:space="preserve">Group C </v>
      </c>
      <c r="S777" s="6" t="str">
        <f t="shared" si="237"/>
        <v>",HTeam= "</v>
      </c>
      <c r="T777" t="str">
        <f>Matchs!J778</f>
        <v>Colombia</v>
      </c>
      <c r="U777" s="6" t="str">
        <f t="shared" si="238"/>
        <v>",HGoal=</v>
      </c>
      <c r="V777">
        <f>Matchs!K778</f>
        <v>3</v>
      </c>
      <c r="W777" s="6" t="str">
        <f t="shared" si="239"/>
        <v>,GGoal=</v>
      </c>
      <c r="X777">
        <f>Matchs!L778</f>
        <v>0</v>
      </c>
      <c r="Y777" s="6" t="str">
        <f t="shared" si="240"/>
        <v>,GTeam= "</v>
      </c>
      <c r="Z777" t="str">
        <f>Matchs!M778</f>
        <v>Greece</v>
      </c>
      <c r="AA777" s="6" t="str">
        <f t="shared" si="241"/>
        <v>",WinNote="</v>
      </c>
      <c r="AB777" t="str">
        <f>IF(Matchs!N778="","",Matchs!N778)</f>
        <v/>
      </c>
      <c r="AC777" s="6" t="str">
        <f t="shared" si="242"/>
        <v xml:space="preserve">",Stadium=" </v>
      </c>
      <c r="AD777" s="11" t="str">
        <f>Matchs!O778</f>
        <v xml:space="preserve">Mineirão </v>
      </c>
      <c r="AE777" s="6" t="str">
        <f t="shared" si="243"/>
        <v>",Referee= "</v>
      </c>
      <c r="AF777" s="11" t="str">
        <f>Matchs!P778</f>
        <v xml:space="preserve">Mark Geiger </v>
      </c>
      <c r="AG777" s="6" t="str">
        <f t="shared" si="244"/>
        <v xml:space="preserve">",Visistors= </v>
      </c>
      <c r="AH777" s="11">
        <f>Matchs!Q778</f>
        <v>57174</v>
      </c>
      <c r="AI777" s="11" t="str">
        <f t="shared" si="245"/>
        <v>,Status= "</v>
      </c>
      <c r="AJ777" s="11" t="str">
        <f>Matchs!R778</f>
        <v>Finished</v>
      </c>
      <c r="AK777" t="str">
        <f t="shared" si="246"/>
        <v>" },</v>
      </c>
    </row>
    <row r="778" spans="1:37" x14ac:dyDescent="0.25">
      <c r="A778" t="str">
        <f t="shared" si="228"/>
        <v>new Match { MatchId= "</v>
      </c>
      <c r="B778" t="str">
        <f>Matchs!A779</f>
        <v>FIFAWC2014-6</v>
      </c>
      <c r="C778" t="str">
        <f t="shared" si="229"/>
        <v>",MatchNumer=</v>
      </c>
      <c r="D778">
        <f>Matchs!B779</f>
        <v>6</v>
      </c>
      <c r="E778" t="str">
        <f t="shared" si="230"/>
        <v>,DateMatch=DateTime.Parse("</v>
      </c>
      <c r="F778" s="3">
        <f>Matchs!C779</f>
        <v>41805</v>
      </c>
      <c r="G778" s="10" t="str">
        <f t="shared" si="231"/>
        <v>"),TimeMatch=TimeSpan.Parse("</v>
      </c>
      <c r="H778" s="9">
        <f>Matchs!D779</f>
        <v>8.3333333333333329E-2</v>
      </c>
      <c r="I778" t="str">
        <f t="shared" si="232"/>
        <v>"),MatchYear=</v>
      </c>
      <c r="J778">
        <f>Matchs!E779</f>
        <v>2014</v>
      </c>
      <c r="K778" t="str">
        <f t="shared" si="233"/>
        <v>, SeasonId= "</v>
      </c>
      <c r="L778" t="str">
        <f>Matchs!F779</f>
        <v>FIFAWC2014</v>
      </c>
      <c r="M778" t="str">
        <f t="shared" si="234"/>
        <v>",Round= "</v>
      </c>
      <c r="N778" t="str">
        <f>Matchs!G779</f>
        <v>Final Round</v>
      </c>
      <c r="O778" s="6" t="str">
        <f t="shared" si="235"/>
        <v>",Stage= "</v>
      </c>
      <c r="P778" t="str">
        <f>Matchs!H779</f>
        <v>Group</v>
      </c>
      <c r="Q778" s="6" t="str">
        <f t="shared" si="236"/>
        <v>",SubStage= "</v>
      </c>
      <c r="R778" t="str">
        <f>Matchs!I779</f>
        <v xml:space="preserve">Group D </v>
      </c>
      <c r="S778" s="6" t="str">
        <f t="shared" si="237"/>
        <v>",HTeam= "</v>
      </c>
      <c r="T778" t="str">
        <f>Matchs!J779</f>
        <v>Uruguay</v>
      </c>
      <c r="U778" s="6" t="str">
        <f t="shared" si="238"/>
        <v>",HGoal=</v>
      </c>
      <c r="V778">
        <f>Matchs!K779</f>
        <v>1</v>
      </c>
      <c r="W778" s="6" t="str">
        <f t="shared" si="239"/>
        <v>,GGoal=</v>
      </c>
      <c r="X778">
        <f>Matchs!L779</f>
        <v>3</v>
      </c>
      <c r="Y778" s="6" t="str">
        <f t="shared" si="240"/>
        <v>,GTeam= "</v>
      </c>
      <c r="Z778" t="str">
        <f>Matchs!M779</f>
        <v>Costa Rica</v>
      </c>
      <c r="AA778" s="6" t="str">
        <f t="shared" si="241"/>
        <v>",WinNote="</v>
      </c>
      <c r="AB778" t="str">
        <f>IF(Matchs!N779="","",Matchs!N779)</f>
        <v/>
      </c>
      <c r="AC778" s="6" t="str">
        <f t="shared" si="242"/>
        <v xml:space="preserve">",Stadium=" </v>
      </c>
      <c r="AD778" s="11" t="str">
        <f>Matchs!O779</f>
        <v xml:space="preserve">Estadio Castelao </v>
      </c>
      <c r="AE778" s="6" t="str">
        <f t="shared" si="243"/>
        <v>",Referee= "</v>
      </c>
      <c r="AF778" s="11" t="str">
        <f>Matchs!P779</f>
        <v xml:space="preserve">Felix Brych </v>
      </c>
      <c r="AG778" s="6" t="str">
        <f t="shared" si="244"/>
        <v xml:space="preserve">",Visistors= </v>
      </c>
      <c r="AH778" s="11">
        <f>Matchs!Q779</f>
        <v>58679</v>
      </c>
      <c r="AI778" s="11" t="str">
        <f t="shared" si="245"/>
        <v>,Status= "</v>
      </c>
      <c r="AJ778" s="11" t="str">
        <f>Matchs!R779</f>
        <v>Finished</v>
      </c>
      <c r="AK778" t="str">
        <f t="shared" si="246"/>
        <v>" },</v>
      </c>
    </row>
    <row r="779" spans="1:37" x14ac:dyDescent="0.25">
      <c r="A779" t="str">
        <f t="shared" si="228"/>
        <v>new Match { MatchId= "</v>
      </c>
      <c r="B779" t="str">
        <f>Matchs!A780</f>
        <v>FIFAWC2014-7</v>
      </c>
      <c r="C779" t="str">
        <f t="shared" si="229"/>
        <v>",MatchNumer=</v>
      </c>
      <c r="D779">
        <f>Matchs!B780</f>
        <v>7</v>
      </c>
      <c r="E779" t="str">
        <f t="shared" si="230"/>
        <v>,DateMatch=DateTime.Parse("</v>
      </c>
      <c r="F779" s="3">
        <f>Matchs!C780</f>
        <v>41805</v>
      </c>
      <c r="G779" s="10" t="str">
        <f t="shared" si="231"/>
        <v>"),TimeMatch=TimeSpan.Parse("</v>
      </c>
      <c r="H779" s="9">
        <f>Matchs!D780</f>
        <v>0.20833333333333334</v>
      </c>
      <c r="I779" t="str">
        <f t="shared" si="232"/>
        <v>"),MatchYear=</v>
      </c>
      <c r="J779">
        <f>Matchs!E780</f>
        <v>2014</v>
      </c>
      <c r="K779" t="str">
        <f t="shared" si="233"/>
        <v>, SeasonId= "</v>
      </c>
      <c r="L779" t="str">
        <f>Matchs!F780</f>
        <v>FIFAWC2014</v>
      </c>
      <c r="M779" t="str">
        <f t="shared" si="234"/>
        <v>",Round= "</v>
      </c>
      <c r="N779" t="str">
        <f>Matchs!G780</f>
        <v>Final Round</v>
      </c>
      <c r="O779" s="6" t="str">
        <f t="shared" si="235"/>
        <v>",Stage= "</v>
      </c>
      <c r="P779" t="str">
        <f>Matchs!H780</f>
        <v>Group</v>
      </c>
      <c r="Q779" s="6" t="str">
        <f t="shared" si="236"/>
        <v>",SubStage= "</v>
      </c>
      <c r="R779" t="str">
        <f>Matchs!I780</f>
        <v xml:space="preserve">Group D </v>
      </c>
      <c r="S779" s="6" t="str">
        <f t="shared" si="237"/>
        <v>",HTeam= "</v>
      </c>
      <c r="T779" t="str">
        <f>Matchs!J780</f>
        <v>England</v>
      </c>
      <c r="U779" s="6" t="str">
        <f t="shared" si="238"/>
        <v>",HGoal=</v>
      </c>
      <c r="V779">
        <f>Matchs!K780</f>
        <v>1</v>
      </c>
      <c r="W779" s="6" t="str">
        <f t="shared" si="239"/>
        <v>,GGoal=</v>
      </c>
      <c r="X779">
        <f>Matchs!L780</f>
        <v>2</v>
      </c>
      <c r="Y779" s="6" t="str">
        <f t="shared" si="240"/>
        <v>,GTeam= "</v>
      </c>
      <c r="Z779" t="str">
        <f>Matchs!M780</f>
        <v>Italy</v>
      </c>
      <c r="AA779" s="6" t="str">
        <f t="shared" si="241"/>
        <v>",WinNote="</v>
      </c>
      <c r="AB779" t="str">
        <f>IF(Matchs!N780="","",Matchs!N780)</f>
        <v/>
      </c>
      <c r="AC779" s="6" t="str">
        <f t="shared" si="242"/>
        <v xml:space="preserve">",Stadium=" </v>
      </c>
      <c r="AD779" s="11" t="str">
        <f>Matchs!O780</f>
        <v xml:space="preserve">Arena Amazonia </v>
      </c>
      <c r="AE779" s="6" t="str">
        <f t="shared" si="243"/>
        <v>",Referee= "</v>
      </c>
      <c r="AF779" s="11" t="str">
        <f>Matchs!P780</f>
        <v xml:space="preserve">Bjorn Kuipers </v>
      </c>
      <c r="AG779" s="6" t="str">
        <f t="shared" si="244"/>
        <v xml:space="preserve">",Visistors= </v>
      </c>
      <c r="AH779" s="11">
        <f>Matchs!Q780</f>
        <v>39800</v>
      </c>
      <c r="AI779" s="11" t="str">
        <f t="shared" si="245"/>
        <v>,Status= "</v>
      </c>
      <c r="AJ779" s="11" t="str">
        <f>Matchs!R780</f>
        <v>Finished</v>
      </c>
      <c r="AK779" t="str">
        <f t="shared" si="246"/>
        <v>" },</v>
      </c>
    </row>
    <row r="780" spans="1:37" x14ac:dyDescent="0.25">
      <c r="A780" t="str">
        <f t="shared" si="228"/>
        <v>new Match { MatchId= "</v>
      </c>
      <c r="B780" t="str">
        <f>Matchs!A781</f>
        <v>FIFAWC2014-8</v>
      </c>
      <c r="C780" t="str">
        <f t="shared" si="229"/>
        <v>",MatchNumer=</v>
      </c>
      <c r="D780">
        <f>Matchs!B781</f>
        <v>8</v>
      </c>
      <c r="E780" t="str">
        <f t="shared" si="230"/>
        <v>,DateMatch=DateTime.Parse("</v>
      </c>
      <c r="F780" s="3">
        <f>Matchs!C781</f>
        <v>41805</v>
      </c>
      <c r="G780" s="10" t="str">
        <f t="shared" si="231"/>
        <v>"),TimeMatch=TimeSpan.Parse("</v>
      </c>
      <c r="H780" s="9">
        <f>Matchs!D781</f>
        <v>0.33333333333333331</v>
      </c>
      <c r="I780" t="str">
        <f t="shared" si="232"/>
        <v>"),MatchYear=</v>
      </c>
      <c r="J780">
        <f>Matchs!E781</f>
        <v>2014</v>
      </c>
      <c r="K780" t="str">
        <f t="shared" si="233"/>
        <v>, SeasonId= "</v>
      </c>
      <c r="L780" t="str">
        <f>Matchs!F781</f>
        <v>FIFAWC2014</v>
      </c>
      <c r="M780" t="str">
        <f t="shared" si="234"/>
        <v>",Round= "</v>
      </c>
      <c r="N780" t="str">
        <f>Matchs!G781</f>
        <v>Final Round</v>
      </c>
      <c r="O780" s="6" t="str">
        <f t="shared" si="235"/>
        <v>",Stage= "</v>
      </c>
      <c r="P780" t="str">
        <f>Matchs!H781</f>
        <v>Group</v>
      </c>
      <c r="Q780" s="6" t="str">
        <f t="shared" si="236"/>
        <v>",SubStage= "</v>
      </c>
      <c r="R780" t="str">
        <f>Matchs!I781</f>
        <v xml:space="preserve">Group C </v>
      </c>
      <c r="S780" s="6" t="str">
        <f t="shared" si="237"/>
        <v>",HTeam= "</v>
      </c>
      <c r="T780" t="str">
        <f>Matchs!J781</f>
        <v>Cote D'Ivoire</v>
      </c>
      <c r="U780" s="6" t="str">
        <f t="shared" si="238"/>
        <v>",HGoal=</v>
      </c>
      <c r="V780">
        <f>Matchs!K781</f>
        <v>2</v>
      </c>
      <c r="W780" s="6" t="str">
        <f t="shared" si="239"/>
        <v>,GGoal=</v>
      </c>
      <c r="X780">
        <f>Matchs!L781</f>
        <v>1</v>
      </c>
      <c r="Y780" s="6" t="str">
        <f t="shared" si="240"/>
        <v>,GTeam= "</v>
      </c>
      <c r="Z780" t="str">
        <f>Matchs!M781</f>
        <v>Japan</v>
      </c>
      <c r="AA780" s="6" t="str">
        <f t="shared" si="241"/>
        <v>",WinNote="</v>
      </c>
      <c r="AB780" t="str">
        <f>IF(Matchs!N781="","",Matchs!N781)</f>
        <v/>
      </c>
      <c r="AC780" s="6" t="str">
        <f t="shared" si="242"/>
        <v xml:space="preserve">",Stadium=" </v>
      </c>
      <c r="AD780" s="11">
        <f>Matchs!O781</f>
        <v>0</v>
      </c>
      <c r="AE780" s="6" t="str">
        <f t="shared" si="243"/>
        <v>",Referee= "</v>
      </c>
      <c r="AF780" s="11">
        <f>Matchs!P781</f>
        <v>0</v>
      </c>
      <c r="AG780" s="6" t="str">
        <f t="shared" si="244"/>
        <v xml:space="preserve">",Visistors= </v>
      </c>
      <c r="AH780" s="11">
        <f>Matchs!Q781</f>
        <v>40267</v>
      </c>
      <c r="AI780" s="11" t="str">
        <f t="shared" si="245"/>
        <v>,Status= "</v>
      </c>
      <c r="AJ780" s="11" t="str">
        <f>Matchs!R781</f>
        <v>Finished</v>
      </c>
      <c r="AK780" t="str">
        <f t="shared" si="246"/>
        <v>" },</v>
      </c>
    </row>
    <row r="781" spans="1:37" x14ac:dyDescent="0.25">
      <c r="A781" t="str">
        <f t="shared" si="228"/>
        <v>new Match { MatchId= "</v>
      </c>
      <c r="B781" t="str">
        <f>Matchs!A782</f>
        <v>FIFAWC2014-9</v>
      </c>
      <c r="C781" t="str">
        <f t="shared" si="229"/>
        <v>",MatchNumer=</v>
      </c>
      <c r="D781">
        <f>Matchs!B782</f>
        <v>9</v>
      </c>
      <c r="E781" t="str">
        <f t="shared" si="230"/>
        <v>,DateMatch=DateTime.Parse("</v>
      </c>
      <c r="F781" s="3">
        <f>Matchs!C782</f>
        <v>41805</v>
      </c>
      <c r="G781" s="10" t="str">
        <f t="shared" si="231"/>
        <v>"),TimeMatch=TimeSpan.Parse("</v>
      </c>
      <c r="H781" s="9">
        <f>Matchs!D782</f>
        <v>0.95833333333333337</v>
      </c>
      <c r="I781" t="str">
        <f t="shared" si="232"/>
        <v>"),MatchYear=</v>
      </c>
      <c r="J781">
        <f>Matchs!E782</f>
        <v>2014</v>
      </c>
      <c r="K781" t="str">
        <f t="shared" si="233"/>
        <v>, SeasonId= "</v>
      </c>
      <c r="L781" t="str">
        <f>Matchs!F782</f>
        <v>FIFAWC2014</v>
      </c>
      <c r="M781" t="str">
        <f t="shared" si="234"/>
        <v>",Round= "</v>
      </c>
      <c r="N781" t="str">
        <f>Matchs!G782</f>
        <v>Final Round</v>
      </c>
      <c r="O781" s="6" t="str">
        <f t="shared" si="235"/>
        <v>",Stage= "</v>
      </c>
      <c r="P781" t="str">
        <f>Matchs!H782</f>
        <v>Group</v>
      </c>
      <c r="Q781" s="6" t="str">
        <f t="shared" si="236"/>
        <v>",SubStage= "</v>
      </c>
      <c r="R781" t="str">
        <f>Matchs!I782</f>
        <v xml:space="preserve">Group E </v>
      </c>
      <c r="S781" s="6" t="str">
        <f t="shared" si="237"/>
        <v>",HTeam= "</v>
      </c>
      <c r="T781" t="str">
        <f>Matchs!J782</f>
        <v>Switzerland</v>
      </c>
      <c r="U781" s="6" t="str">
        <f t="shared" si="238"/>
        <v>",HGoal=</v>
      </c>
      <c r="V781">
        <f>Matchs!K782</f>
        <v>2</v>
      </c>
      <c r="W781" s="6" t="str">
        <f t="shared" si="239"/>
        <v>,GGoal=</v>
      </c>
      <c r="X781">
        <f>Matchs!L782</f>
        <v>1</v>
      </c>
      <c r="Y781" s="6" t="str">
        <f t="shared" si="240"/>
        <v>,GTeam= "</v>
      </c>
      <c r="Z781" t="str">
        <f>Matchs!M782</f>
        <v>Ecuador</v>
      </c>
      <c r="AA781" s="6" t="str">
        <f t="shared" si="241"/>
        <v>",WinNote="</v>
      </c>
      <c r="AB781" t="str">
        <f>IF(Matchs!N782="","",Matchs!N782)</f>
        <v/>
      </c>
      <c r="AC781" s="6" t="str">
        <f t="shared" si="242"/>
        <v xml:space="preserve">",Stadium=" </v>
      </c>
      <c r="AD781" s="11" t="str">
        <f>Matchs!O782</f>
        <v xml:space="preserve">Estadio Nacional Mane Garrincha </v>
      </c>
      <c r="AE781" s="6" t="str">
        <f t="shared" si="243"/>
        <v>",Referee= "</v>
      </c>
      <c r="AF781" s="11" t="str">
        <f>Matchs!P782</f>
        <v xml:space="preserve">Ravshan Irmatov </v>
      </c>
      <c r="AG781" s="6" t="str">
        <f t="shared" si="244"/>
        <v xml:space="preserve">",Visistors= </v>
      </c>
      <c r="AH781" s="11">
        <f>Matchs!Q782</f>
        <v>68351</v>
      </c>
      <c r="AI781" s="11" t="str">
        <f t="shared" si="245"/>
        <v>,Status= "</v>
      </c>
      <c r="AJ781" s="11" t="str">
        <f>Matchs!R782</f>
        <v>Finished</v>
      </c>
      <c r="AK781" t="str">
        <f t="shared" si="246"/>
        <v>" },</v>
      </c>
    </row>
    <row r="782" spans="1:37" x14ac:dyDescent="0.25">
      <c r="A782" t="str">
        <f t="shared" si="228"/>
        <v>new Match { MatchId= "</v>
      </c>
      <c r="B782" t="str">
        <f>Matchs!A783</f>
        <v>FIFAWC2014-10</v>
      </c>
      <c r="C782" t="str">
        <f t="shared" si="229"/>
        <v>",MatchNumer=</v>
      </c>
      <c r="D782">
        <f>Matchs!B783</f>
        <v>10</v>
      </c>
      <c r="E782" t="str">
        <f t="shared" si="230"/>
        <v>,DateMatch=DateTime.Parse("</v>
      </c>
      <c r="F782" s="3">
        <f>Matchs!C783</f>
        <v>41806</v>
      </c>
      <c r="G782" s="10" t="str">
        <f t="shared" si="231"/>
        <v>"),TimeMatch=TimeSpan.Parse("</v>
      </c>
      <c r="H782" s="9">
        <f>Matchs!D783</f>
        <v>8.3333333333333329E-2</v>
      </c>
      <c r="I782" t="str">
        <f t="shared" si="232"/>
        <v>"),MatchYear=</v>
      </c>
      <c r="J782">
        <f>Matchs!E783</f>
        <v>2014</v>
      </c>
      <c r="K782" t="str">
        <f t="shared" si="233"/>
        <v>, SeasonId= "</v>
      </c>
      <c r="L782" t="str">
        <f>Matchs!F783</f>
        <v>FIFAWC2014</v>
      </c>
      <c r="M782" t="str">
        <f t="shared" si="234"/>
        <v>",Round= "</v>
      </c>
      <c r="N782" t="str">
        <f>Matchs!G783</f>
        <v>Final Round</v>
      </c>
      <c r="O782" s="6" t="str">
        <f t="shared" si="235"/>
        <v>",Stage= "</v>
      </c>
      <c r="P782" t="str">
        <f>Matchs!H783</f>
        <v>Group</v>
      </c>
      <c r="Q782" s="6" t="str">
        <f t="shared" si="236"/>
        <v>",SubStage= "</v>
      </c>
      <c r="R782" t="str">
        <f>Matchs!I783</f>
        <v xml:space="preserve">Group E </v>
      </c>
      <c r="S782" s="6" t="str">
        <f t="shared" si="237"/>
        <v>",HTeam= "</v>
      </c>
      <c r="T782" t="str">
        <f>Matchs!J783</f>
        <v>France</v>
      </c>
      <c r="U782" s="6" t="str">
        <f t="shared" si="238"/>
        <v>",HGoal=</v>
      </c>
      <c r="V782">
        <f>Matchs!K783</f>
        <v>3</v>
      </c>
      <c r="W782" s="6" t="str">
        <f t="shared" si="239"/>
        <v>,GGoal=</v>
      </c>
      <c r="X782">
        <f>Matchs!L783</f>
        <v>0</v>
      </c>
      <c r="Y782" s="6" t="str">
        <f t="shared" si="240"/>
        <v>,GTeam= "</v>
      </c>
      <c r="Z782" t="str">
        <f>Matchs!M783</f>
        <v>Honduras</v>
      </c>
      <c r="AA782" s="6" t="str">
        <f t="shared" si="241"/>
        <v>",WinNote="</v>
      </c>
      <c r="AB782" t="str">
        <f>IF(Matchs!N783="","",Matchs!N783)</f>
        <v/>
      </c>
      <c r="AC782" s="6" t="str">
        <f t="shared" si="242"/>
        <v xml:space="preserve">",Stadium=" </v>
      </c>
      <c r="AD782" s="11" t="str">
        <f>Matchs!O783</f>
        <v xml:space="preserve">Estádio Beira-Rio </v>
      </c>
      <c r="AE782" s="6" t="str">
        <f t="shared" si="243"/>
        <v>",Referee= "</v>
      </c>
      <c r="AF782" s="11" t="str">
        <f>Matchs!P783</f>
        <v xml:space="preserve">Sandro Ricci </v>
      </c>
      <c r="AG782" s="6" t="str">
        <f t="shared" si="244"/>
        <v xml:space="preserve">",Visistors= </v>
      </c>
      <c r="AH782" s="11">
        <f>Matchs!Q783</f>
        <v>43012</v>
      </c>
      <c r="AI782" s="11" t="str">
        <f t="shared" si="245"/>
        <v>,Status= "</v>
      </c>
      <c r="AJ782" s="11" t="str">
        <f>Matchs!R783</f>
        <v>Finished</v>
      </c>
      <c r="AK782" t="str">
        <f t="shared" si="246"/>
        <v>" },</v>
      </c>
    </row>
    <row r="783" spans="1:37" x14ac:dyDescent="0.25">
      <c r="A783" t="str">
        <f t="shared" si="228"/>
        <v>new Match { MatchId= "</v>
      </c>
      <c r="B783" t="str">
        <f>Matchs!A784</f>
        <v>FIFAWC2014-11</v>
      </c>
      <c r="C783" t="str">
        <f t="shared" si="229"/>
        <v>",MatchNumer=</v>
      </c>
      <c r="D783">
        <f>Matchs!B784</f>
        <v>11</v>
      </c>
      <c r="E783" t="str">
        <f t="shared" si="230"/>
        <v>,DateMatch=DateTime.Parse("</v>
      </c>
      <c r="F783" s="3">
        <f>Matchs!C784</f>
        <v>41806</v>
      </c>
      <c r="G783" s="10" t="str">
        <f t="shared" si="231"/>
        <v>"),TimeMatch=TimeSpan.Parse("</v>
      </c>
      <c r="H783" s="9">
        <f>Matchs!D784</f>
        <v>0.20833333333333334</v>
      </c>
      <c r="I783" t="str">
        <f t="shared" si="232"/>
        <v>"),MatchYear=</v>
      </c>
      <c r="J783">
        <f>Matchs!E784</f>
        <v>2014</v>
      </c>
      <c r="K783" t="str">
        <f t="shared" si="233"/>
        <v>, SeasonId= "</v>
      </c>
      <c r="L783" t="str">
        <f>Matchs!F784</f>
        <v>FIFAWC2014</v>
      </c>
      <c r="M783" t="str">
        <f t="shared" si="234"/>
        <v>",Round= "</v>
      </c>
      <c r="N783" t="str">
        <f>Matchs!G784</f>
        <v>Final Round</v>
      </c>
      <c r="O783" s="6" t="str">
        <f t="shared" si="235"/>
        <v>",Stage= "</v>
      </c>
      <c r="P783" t="str">
        <f>Matchs!H784</f>
        <v>Group</v>
      </c>
      <c r="Q783" s="6" t="str">
        <f t="shared" si="236"/>
        <v>",SubStage= "</v>
      </c>
      <c r="R783" t="str">
        <f>Matchs!I784</f>
        <v xml:space="preserve">Group F </v>
      </c>
      <c r="S783" s="6" t="str">
        <f t="shared" si="237"/>
        <v>",HTeam= "</v>
      </c>
      <c r="T783" t="str">
        <f>Matchs!J784</f>
        <v>Argentina</v>
      </c>
      <c r="U783" s="6" t="str">
        <f t="shared" si="238"/>
        <v>",HGoal=</v>
      </c>
      <c r="V783">
        <f>Matchs!K784</f>
        <v>2</v>
      </c>
      <c r="W783" s="6" t="str">
        <f t="shared" si="239"/>
        <v>,GGoal=</v>
      </c>
      <c r="X783">
        <f>Matchs!L784</f>
        <v>1</v>
      </c>
      <c r="Y783" s="6" t="str">
        <f t="shared" si="240"/>
        <v>,GTeam= "</v>
      </c>
      <c r="Z783" t="str">
        <f>Matchs!M784</f>
        <v>Bosnia and Herzegovina</v>
      </c>
      <c r="AA783" s="6" t="str">
        <f t="shared" si="241"/>
        <v>",WinNote="</v>
      </c>
      <c r="AB783" t="str">
        <f>IF(Matchs!N784="","",Matchs!N784)</f>
        <v/>
      </c>
      <c r="AC783" s="6" t="str">
        <f t="shared" si="242"/>
        <v xml:space="preserve">",Stadium=" </v>
      </c>
      <c r="AD783" s="11" t="str">
        <f>Matchs!O784</f>
        <v xml:space="preserve">Estádio do Maracanã </v>
      </c>
      <c r="AE783" s="6" t="str">
        <f t="shared" si="243"/>
        <v>",Referee= "</v>
      </c>
      <c r="AF783" s="11" t="str">
        <f>Matchs!P784</f>
        <v xml:space="preserve">Joel Aguilar </v>
      </c>
      <c r="AG783" s="6" t="str">
        <f t="shared" si="244"/>
        <v xml:space="preserve">",Visistors= </v>
      </c>
      <c r="AH783" s="11">
        <f>Matchs!Q784</f>
        <v>74738</v>
      </c>
      <c r="AI783" s="11" t="str">
        <f t="shared" si="245"/>
        <v>,Status= "</v>
      </c>
      <c r="AJ783" s="11" t="str">
        <f>Matchs!R784</f>
        <v>Finished</v>
      </c>
      <c r="AK783" t="str">
        <f t="shared" si="246"/>
        <v>" },</v>
      </c>
    </row>
    <row r="784" spans="1:37" x14ac:dyDescent="0.25">
      <c r="A784" t="str">
        <f t="shared" si="228"/>
        <v>new Match { MatchId= "</v>
      </c>
      <c r="B784" t="str">
        <f>Matchs!A785</f>
        <v>FIFAWC2014-12</v>
      </c>
      <c r="C784" t="str">
        <f t="shared" si="229"/>
        <v>",MatchNumer=</v>
      </c>
      <c r="D784">
        <f>Matchs!B785</f>
        <v>12</v>
      </c>
      <c r="E784" t="str">
        <f t="shared" si="230"/>
        <v>,DateMatch=DateTime.Parse("</v>
      </c>
      <c r="F784" s="3">
        <f>Matchs!C785</f>
        <v>41806</v>
      </c>
      <c r="G784" s="10" t="str">
        <f t="shared" si="231"/>
        <v>"),TimeMatch=TimeSpan.Parse("</v>
      </c>
      <c r="H784" s="9">
        <f>Matchs!D785</f>
        <v>0.95833333333333337</v>
      </c>
      <c r="I784" t="str">
        <f t="shared" si="232"/>
        <v>"),MatchYear=</v>
      </c>
      <c r="J784">
        <f>Matchs!E785</f>
        <v>2014</v>
      </c>
      <c r="K784" t="str">
        <f t="shared" si="233"/>
        <v>, SeasonId= "</v>
      </c>
      <c r="L784" t="str">
        <f>Matchs!F785</f>
        <v>FIFAWC2014</v>
      </c>
      <c r="M784" t="str">
        <f t="shared" si="234"/>
        <v>",Round= "</v>
      </c>
      <c r="N784" t="str">
        <f>Matchs!G785</f>
        <v>Final Round</v>
      </c>
      <c r="O784" s="6" t="str">
        <f t="shared" si="235"/>
        <v>",Stage= "</v>
      </c>
      <c r="P784" t="str">
        <f>Matchs!H785</f>
        <v>Group</v>
      </c>
      <c r="Q784" s="6" t="str">
        <f t="shared" si="236"/>
        <v>",SubStage= "</v>
      </c>
      <c r="R784" t="str">
        <f>Matchs!I785</f>
        <v xml:space="preserve">Group G </v>
      </c>
      <c r="S784" s="6" t="str">
        <f t="shared" si="237"/>
        <v>",HTeam= "</v>
      </c>
      <c r="T784" t="str">
        <f>Matchs!J785</f>
        <v>Germany</v>
      </c>
      <c r="U784" s="6" t="str">
        <f t="shared" si="238"/>
        <v>",HGoal=</v>
      </c>
      <c r="V784">
        <f>Matchs!K785</f>
        <v>4</v>
      </c>
      <c r="W784" s="6" t="str">
        <f t="shared" si="239"/>
        <v>,GGoal=</v>
      </c>
      <c r="X784">
        <f>Matchs!L785</f>
        <v>0</v>
      </c>
      <c r="Y784" s="6" t="str">
        <f t="shared" si="240"/>
        <v>,GTeam= "</v>
      </c>
      <c r="Z784" t="str">
        <f>Matchs!M785</f>
        <v>Portugal</v>
      </c>
      <c r="AA784" s="6" t="str">
        <f t="shared" si="241"/>
        <v>",WinNote="</v>
      </c>
      <c r="AB784" t="str">
        <f>IF(Matchs!N785="","",Matchs!N785)</f>
        <v/>
      </c>
      <c r="AC784" s="6" t="str">
        <f t="shared" si="242"/>
        <v xml:space="preserve">",Stadium=" </v>
      </c>
      <c r="AD784" s="11" t="str">
        <f>Matchs!O785</f>
        <v xml:space="preserve">Arena Fonte Nova </v>
      </c>
      <c r="AE784" s="6" t="str">
        <f t="shared" si="243"/>
        <v>",Referee= "</v>
      </c>
      <c r="AF784" s="11" t="str">
        <f>Matchs!P785</f>
        <v xml:space="preserve">Milorad Mazic </v>
      </c>
      <c r="AG784" s="6" t="str">
        <f t="shared" si="244"/>
        <v xml:space="preserve">",Visistors= </v>
      </c>
      <c r="AH784" s="11">
        <f>Matchs!Q785</f>
        <v>51081</v>
      </c>
      <c r="AI784" s="11" t="str">
        <f t="shared" si="245"/>
        <v>,Status= "</v>
      </c>
      <c r="AJ784" s="11" t="str">
        <f>Matchs!R785</f>
        <v>Finished</v>
      </c>
      <c r="AK784" t="str">
        <f t="shared" si="246"/>
        <v>" },</v>
      </c>
    </row>
    <row r="785" spans="1:37" x14ac:dyDescent="0.25">
      <c r="A785" t="str">
        <f t="shared" si="228"/>
        <v>new Match { MatchId= "</v>
      </c>
      <c r="B785" t="str">
        <f>Matchs!A786</f>
        <v>FIFAWC2014-13</v>
      </c>
      <c r="C785" t="str">
        <f t="shared" si="229"/>
        <v>",MatchNumer=</v>
      </c>
      <c r="D785">
        <f>Matchs!B786</f>
        <v>13</v>
      </c>
      <c r="E785" t="str">
        <f t="shared" si="230"/>
        <v>,DateMatch=DateTime.Parse("</v>
      </c>
      <c r="F785" s="3">
        <f>Matchs!C786</f>
        <v>41807</v>
      </c>
      <c r="G785" s="10" t="str">
        <f t="shared" si="231"/>
        <v>"),TimeMatch=TimeSpan.Parse("</v>
      </c>
      <c r="H785" s="9">
        <f>Matchs!D786</f>
        <v>8.3333333333333329E-2</v>
      </c>
      <c r="I785" t="str">
        <f t="shared" si="232"/>
        <v>"),MatchYear=</v>
      </c>
      <c r="J785">
        <f>Matchs!E786</f>
        <v>2014</v>
      </c>
      <c r="K785" t="str">
        <f t="shared" si="233"/>
        <v>, SeasonId= "</v>
      </c>
      <c r="L785" t="str">
        <f>Matchs!F786</f>
        <v>FIFAWC2014</v>
      </c>
      <c r="M785" t="str">
        <f t="shared" si="234"/>
        <v>",Round= "</v>
      </c>
      <c r="N785" t="str">
        <f>Matchs!G786</f>
        <v>Final Round</v>
      </c>
      <c r="O785" s="6" t="str">
        <f t="shared" si="235"/>
        <v>",Stage= "</v>
      </c>
      <c r="P785" t="str">
        <f>Matchs!H786</f>
        <v>Group</v>
      </c>
      <c r="Q785" s="6" t="str">
        <f t="shared" si="236"/>
        <v>",SubStage= "</v>
      </c>
      <c r="R785" t="str">
        <f>Matchs!I786</f>
        <v xml:space="preserve">Group F </v>
      </c>
      <c r="S785" s="6" t="str">
        <f t="shared" si="237"/>
        <v>",HTeam= "</v>
      </c>
      <c r="T785" t="str">
        <f>Matchs!J786</f>
        <v>Iran</v>
      </c>
      <c r="U785" s="6" t="str">
        <f t="shared" si="238"/>
        <v>",HGoal=</v>
      </c>
      <c r="V785">
        <f>Matchs!K786</f>
        <v>0</v>
      </c>
      <c r="W785" s="6" t="str">
        <f t="shared" si="239"/>
        <v>,GGoal=</v>
      </c>
      <c r="X785">
        <f>Matchs!L786</f>
        <v>0</v>
      </c>
      <c r="Y785" s="6" t="str">
        <f t="shared" si="240"/>
        <v>,GTeam= "</v>
      </c>
      <c r="Z785" t="str">
        <f>Matchs!M786</f>
        <v>Nigeria</v>
      </c>
      <c r="AA785" s="6" t="str">
        <f t="shared" si="241"/>
        <v>",WinNote="</v>
      </c>
      <c r="AB785" t="str">
        <f>IF(Matchs!N786="","",Matchs!N786)</f>
        <v/>
      </c>
      <c r="AC785" s="6" t="str">
        <f t="shared" si="242"/>
        <v xml:space="preserve">",Stadium=" </v>
      </c>
      <c r="AD785" s="11" t="str">
        <f>Matchs!O786</f>
        <v xml:space="preserve">Arena de Baixada </v>
      </c>
      <c r="AE785" s="6" t="str">
        <f t="shared" si="243"/>
        <v>",Referee= "</v>
      </c>
      <c r="AF785" s="11" t="str">
        <f>Matchs!P786</f>
        <v xml:space="preserve">Carlos Vera </v>
      </c>
      <c r="AG785" s="6" t="str">
        <f t="shared" si="244"/>
        <v xml:space="preserve">",Visistors= </v>
      </c>
      <c r="AH785" s="11">
        <f>Matchs!Q786</f>
        <v>39081</v>
      </c>
      <c r="AI785" s="11" t="str">
        <f t="shared" si="245"/>
        <v>,Status= "</v>
      </c>
      <c r="AJ785" s="11" t="str">
        <f>Matchs!R786</f>
        <v>Finished</v>
      </c>
      <c r="AK785" t="str">
        <f t="shared" si="246"/>
        <v>" },</v>
      </c>
    </row>
    <row r="786" spans="1:37" x14ac:dyDescent="0.25">
      <c r="A786" t="str">
        <f t="shared" si="228"/>
        <v>new Match { MatchId= "</v>
      </c>
      <c r="B786" t="str">
        <f>Matchs!A787</f>
        <v>FIFAWC2014-14</v>
      </c>
      <c r="C786" t="str">
        <f t="shared" si="229"/>
        <v>",MatchNumer=</v>
      </c>
      <c r="D786">
        <f>Matchs!B787</f>
        <v>14</v>
      </c>
      <c r="E786" t="str">
        <f t="shared" si="230"/>
        <v>,DateMatch=DateTime.Parse("</v>
      </c>
      <c r="F786" s="3">
        <f>Matchs!C787</f>
        <v>41807</v>
      </c>
      <c r="G786" s="10" t="str">
        <f t="shared" si="231"/>
        <v>"),TimeMatch=TimeSpan.Parse("</v>
      </c>
      <c r="H786" s="9">
        <f>Matchs!D787</f>
        <v>0.20833333333333334</v>
      </c>
      <c r="I786" t="str">
        <f t="shared" si="232"/>
        <v>"),MatchYear=</v>
      </c>
      <c r="J786">
        <f>Matchs!E787</f>
        <v>2014</v>
      </c>
      <c r="K786" t="str">
        <f t="shared" si="233"/>
        <v>, SeasonId= "</v>
      </c>
      <c r="L786" t="str">
        <f>Matchs!F787</f>
        <v>FIFAWC2014</v>
      </c>
      <c r="M786" t="str">
        <f t="shared" si="234"/>
        <v>",Round= "</v>
      </c>
      <c r="N786" t="str">
        <f>Matchs!G787</f>
        <v>Final Round</v>
      </c>
      <c r="O786" s="6" t="str">
        <f t="shared" si="235"/>
        <v>",Stage= "</v>
      </c>
      <c r="P786" t="str">
        <f>Matchs!H787</f>
        <v>Group</v>
      </c>
      <c r="Q786" s="6" t="str">
        <f t="shared" si="236"/>
        <v>",SubStage= "</v>
      </c>
      <c r="R786" t="str">
        <f>Matchs!I787</f>
        <v xml:space="preserve">Group G </v>
      </c>
      <c r="S786" s="6" t="str">
        <f t="shared" si="237"/>
        <v>",HTeam= "</v>
      </c>
      <c r="T786" t="str">
        <f>Matchs!J787</f>
        <v>Ghana</v>
      </c>
      <c r="U786" s="6" t="str">
        <f t="shared" si="238"/>
        <v>",HGoal=</v>
      </c>
      <c r="V786">
        <f>Matchs!K787</f>
        <v>1</v>
      </c>
      <c r="W786" s="6" t="str">
        <f t="shared" si="239"/>
        <v>,GGoal=</v>
      </c>
      <c r="X786">
        <f>Matchs!L787</f>
        <v>2</v>
      </c>
      <c r="Y786" s="6" t="str">
        <f t="shared" si="240"/>
        <v>,GTeam= "</v>
      </c>
      <c r="Z786" t="str">
        <f>Matchs!M787</f>
        <v>USA</v>
      </c>
      <c r="AA786" s="6" t="str">
        <f t="shared" si="241"/>
        <v>",WinNote="</v>
      </c>
      <c r="AB786" t="str">
        <f>IF(Matchs!N787="","",Matchs!N787)</f>
        <v/>
      </c>
      <c r="AC786" s="6" t="str">
        <f t="shared" si="242"/>
        <v xml:space="preserve">",Stadium=" </v>
      </c>
      <c r="AD786" s="11" t="str">
        <f>Matchs!O787</f>
        <v xml:space="preserve">Arena das Dunas </v>
      </c>
      <c r="AE786" s="6" t="str">
        <f t="shared" si="243"/>
        <v>",Referee= "</v>
      </c>
      <c r="AF786" s="11" t="str">
        <f>Matchs!P787</f>
        <v xml:space="preserve">Jonas Eriksson </v>
      </c>
      <c r="AG786" s="6" t="str">
        <f t="shared" si="244"/>
        <v xml:space="preserve">",Visistors= </v>
      </c>
      <c r="AH786" s="11">
        <f>Matchs!Q787</f>
        <v>39760</v>
      </c>
      <c r="AI786" s="11" t="str">
        <f t="shared" si="245"/>
        <v>,Status= "</v>
      </c>
      <c r="AJ786" s="11" t="str">
        <f>Matchs!R787</f>
        <v>Finished</v>
      </c>
      <c r="AK786" t="str">
        <f t="shared" si="246"/>
        <v>" },</v>
      </c>
    </row>
    <row r="787" spans="1:37" x14ac:dyDescent="0.25">
      <c r="A787" t="str">
        <f t="shared" si="228"/>
        <v>new Match { MatchId= "</v>
      </c>
      <c r="B787" t="str">
        <f>Matchs!A788</f>
        <v>FIFAWC2014-15</v>
      </c>
      <c r="C787" t="str">
        <f t="shared" si="229"/>
        <v>",MatchNumer=</v>
      </c>
      <c r="D787">
        <f>Matchs!B788</f>
        <v>15</v>
      </c>
      <c r="E787" t="str">
        <f t="shared" si="230"/>
        <v>,DateMatch=DateTime.Parse("</v>
      </c>
      <c r="F787" s="3">
        <f>Matchs!C788</f>
        <v>41807</v>
      </c>
      <c r="G787" s="10" t="str">
        <f t="shared" si="231"/>
        <v>"),TimeMatch=TimeSpan.Parse("</v>
      </c>
      <c r="H787" s="9">
        <f>Matchs!D788</f>
        <v>0.95833333333333337</v>
      </c>
      <c r="I787" t="str">
        <f t="shared" si="232"/>
        <v>"),MatchYear=</v>
      </c>
      <c r="J787">
        <f>Matchs!E788</f>
        <v>2014</v>
      </c>
      <c r="K787" t="str">
        <f t="shared" si="233"/>
        <v>, SeasonId= "</v>
      </c>
      <c r="L787" t="str">
        <f>Matchs!F788</f>
        <v>FIFAWC2014</v>
      </c>
      <c r="M787" t="str">
        <f t="shared" si="234"/>
        <v>",Round= "</v>
      </c>
      <c r="N787" t="str">
        <f>Matchs!G788</f>
        <v>Final Round</v>
      </c>
      <c r="O787" s="6" t="str">
        <f t="shared" si="235"/>
        <v>",Stage= "</v>
      </c>
      <c r="P787" t="str">
        <f>Matchs!H788</f>
        <v>Group</v>
      </c>
      <c r="Q787" s="6" t="str">
        <f t="shared" si="236"/>
        <v>",SubStage= "</v>
      </c>
      <c r="R787" t="str">
        <f>Matchs!I788</f>
        <v xml:space="preserve">Group H </v>
      </c>
      <c r="S787" s="6" t="str">
        <f t="shared" si="237"/>
        <v>",HTeam= "</v>
      </c>
      <c r="T787" t="str">
        <f>Matchs!J788</f>
        <v>Belgium</v>
      </c>
      <c r="U787" s="6" t="str">
        <f t="shared" si="238"/>
        <v>",HGoal=</v>
      </c>
      <c r="V787">
        <f>Matchs!K788</f>
        <v>2</v>
      </c>
      <c r="W787" s="6" t="str">
        <f t="shared" si="239"/>
        <v>,GGoal=</v>
      </c>
      <c r="X787">
        <f>Matchs!L788</f>
        <v>1</v>
      </c>
      <c r="Y787" s="6" t="str">
        <f t="shared" si="240"/>
        <v>,GTeam= "</v>
      </c>
      <c r="Z787" t="str">
        <f>Matchs!M788</f>
        <v>Algeria</v>
      </c>
      <c r="AA787" s="6" t="str">
        <f t="shared" si="241"/>
        <v>",WinNote="</v>
      </c>
      <c r="AB787" t="str">
        <f>IF(Matchs!N788="","",Matchs!N788)</f>
        <v/>
      </c>
      <c r="AC787" s="6" t="str">
        <f t="shared" si="242"/>
        <v xml:space="preserve">",Stadium=" </v>
      </c>
      <c r="AD787" s="11" t="str">
        <f>Matchs!O788</f>
        <v xml:space="preserve">Mineirão </v>
      </c>
      <c r="AE787" s="6" t="str">
        <f t="shared" si="243"/>
        <v>",Referee= "</v>
      </c>
      <c r="AF787" s="11" t="str">
        <f>Matchs!P788</f>
        <v xml:space="preserve">Marco Rodríguez </v>
      </c>
      <c r="AG787" s="6" t="str">
        <f t="shared" si="244"/>
        <v xml:space="preserve">",Visistors= </v>
      </c>
      <c r="AH787" s="11">
        <f>Matchs!Q788</f>
        <v>56800</v>
      </c>
      <c r="AI787" s="11" t="str">
        <f t="shared" si="245"/>
        <v>,Status= "</v>
      </c>
      <c r="AJ787" s="11" t="str">
        <f>Matchs!R788</f>
        <v>Finished</v>
      </c>
      <c r="AK787" t="str">
        <f t="shared" si="246"/>
        <v>" },</v>
      </c>
    </row>
    <row r="788" spans="1:37" x14ac:dyDescent="0.25">
      <c r="A788" t="str">
        <f t="shared" si="228"/>
        <v>new Match { MatchId= "</v>
      </c>
      <c r="B788" t="str">
        <f>Matchs!A789</f>
        <v>FIFAWC2014-16</v>
      </c>
      <c r="C788" t="str">
        <f t="shared" si="229"/>
        <v>",MatchNumer=</v>
      </c>
      <c r="D788">
        <f>Matchs!B789</f>
        <v>16</v>
      </c>
      <c r="E788" t="str">
        <f t="shared" si="230"/>
        <v>,DateMatch=DateTime.Parse("</v>
      </c>
      <c r="F788" s="3">
        <f>Matchs!C789</f>
        <v>41808</v>
      </c>
      <c r="G788" s="10" t="str">
        <f t="shared" si="231"/>
        <v>"),TimeMatch=TimeSpan.Parse("</v>
      </c>
      <c r="H788" s="9">
        <f>Matchs!D789</f>
        <v>8.3333333333333329E-2</v>
      </c>
      <c r="I788" t="str">
        <f t="shared" si="232"/>
        <v>"),MatchYear=</v>
      </c>
      <c r="J788">
        <f>Matchs!E789</f>
        <v>2014</v>
      </c>
      <c r="K788" t="str">
        <f t="shared" si="233"/>
        <v>, SeasonId= "</v>
      </c>
      <c r="L788" t="str">
        <f>Matchs!F789</f>
        <v>FIFAWC2014</v>
      </c>
      <c r="M788" t="str">
        <f t="shared" si="234"/>
        <v>",Round= "</v>
      </c>
      <c r="N788" t="str">
        <f>Matchs!G789</f>
        <v>Final Round</v>
      </c>
      <c r="O788" s="6" t="str">
        <f t="shared" si="235"/>
        <v>",Stage= "</v>
      </c>
      <c r="P788" t="str">
        <f>Matchs!H789</f>
        <v>Group</v>
      </c>
      <c r="Q788" s="6" t="str">
        <f t="shared" si="236"/>
        <v>",SubStage= "</v>
      </c>
      <c r="R788" t="str">
        <f>Matchs!I789</f>
        <v xml:space="preserve">Group A </v>
      </c>
      <c r="S788" s="6" t="str">
        <f t="shared" si="237"/>
        <v>",HTeam= "</v>
      </c>
      <c r="T788" t="str">
        <f>Matchs!J789</f>
        <v>Brazil</v>
      </c>
      <c r="U788" s="6" t="str">
        <f t="shared" si="238"/>
        <v>",HGoal=</v>
      </c>
      <c r="V788">
        <f>Matchs!K789</f>
        <v>0</v>
      </c>
      <c r="W788" s="6" t="str">
        <f t="shared" si="239"/>
        <v>,GGoal=</v>
      </c>
      <c r="X788">
        <f>Matchs!L789</f>
        <v>0</v>
      </c>
      <c r="Y788" s="6" t="str">
        <f t="shared" si="240"/>
        <v>,GTeam= "</v>
      </c>
      <c r="Z788" t="str">
        <f>Matchs!M789</f>
        <v>Mexico</v>
      </c>
      <c r="AA788" s="6" t="str">
        <f t="shared" si="241"/>
        <v>",WinNote="</v>
      </c>
      <c r="AB788" t="str">
        <f>IF(Matchs!N789="","",Matchs!N789)</f>
        <v/>
      </c>
      <c r="AC788" s="6" t="str">
        <f t="shared" si="242"/>
        <v xml:space="preserve">",Stadium=" </v>
      </c>
      <c r="AD788" s="11" t="str">
        <f>Matchs!O789</f>
        <v xml:space="preserve">Estadio Castelao </v>
      </c>
      <c r="AE788" s="6" t="str">
        <f t="shared" si="243"/>
        <v>",Referee= "</v>
      </c>
      <c r="AF788" s="11" t="str">
        <f>Matchs!P789</f>
        <v xml:space="preserve">Cüneyt Cakir </v>
      </c>
      <c r="AG788" s="6" t="str">
        <f t="shared" si="244"/>
        <v xml:space="preserve">",Visistors= </v>
      </c>
      <c r="AH788" s="11">
        <f>Matchs!Q789</f>
        <v>60342</v>
      </c>
      <c r="AI788" s="11" t="str">
        <f t="shared" si="245"/>
        <v>,Status= "</v>
      </c>
      <c r="AJ788" s="11" t="str">
        <f>Matchs!R789</f>
        <v>Finished</v>
      </c>
      <c r="AK788" t="str">
        <f t="shared" si="246"/>
        <v>" },</v>
      </c>
    </row>
    <row r="789" spans="1:37" x14ac:dyDescent="0.25">
      <c r="A789" t="str">
        <f t="shared" si="228"/>
        <v>new Match { MatchId= "</v>
      </c>
      <c r="B789" t="str">
        <f>Matchs!A790</f>
        <v>FIFAWC2014-17</v>
      </c>
      <c r="C789" t="str">
        <f t="shared" si="229"/>
        <v>",MatchNumer=</v>
      </c>
      <c r="D789">
        <f>Matchs!B790</f>
        <v>17</v>
      </c>
      <c r="E789" t="str">
        <f t="shared" si="230"/>
        <v>,DateMatch=DateTime.Parse("</v>
      </c>
      <c r="F789" s="3">
        <f>Matchs!C790</f>
        <v>41808</v>
      </c>
      <c r="G789" s="10" t="str">
        <f t="shared" si="231"/>
        <v>"),TimeMatch=TimeSpan.Parse("</v>
      </c>
      <c r="H789" s="9">
        <f>Matchs!D790</f>
        <v>0.20833333333333334</v>
      </c>
      <c r="I789" t="str">
        <f t="shared" si="232"/>
        <v>"),MatchYear=</v>
      </c>
      <c r="J789">
        <f>Matchs!E790</f>
        <v>2014</v>
      </c>
      <c r="K789" t="str">
        <f t="shared" si="233"/>
        <v>, SeasonId= "</v>
      </c>
      <c r="L789" t="str">
        <f>Matchs!F790</f>
        <v>FIFAWC2014</v>
      </c>
      <c r="M789" t="str">
        <f t="shared" si="234"/>
        <v>",Round= "</v>
      </c>
      <c r="N789" t="str">
        <f>Matchs!G790</f>
        <v>Final Round</v>
      </c>
      <c r="O789" s="6" t="str">
        <f t="shared" si="235"/>
        <v>",Stage= "</v>
      </c>
      <c r="P789" t="str">
        <f>Matchs!H790</f>
        <v>Group</v>
      </c>
      <c r="Q789" s="6" t="str">
        <f t="shared" si="236"/>
        <v>",SubStage= "</v>
      </c>
      <c r="R789" t="str">
        <f>Matchs!I790</f>
        <v xml:space="preserve">Group H </v>
      </c>
      <c r="S789" s="6" t="str">
        <f t="shared" si="237"/>
        <v>",HTeam= "</v>
      </c>
      <c r="T789" t="str">
        <f>Matchs!J790</f>
        <v>Russia</v>
      </c>
      <c r="U789" s="6" t="str">
        <f t="shared" si="238"/>
        <v>",HGoal=</v>
      </c>
      <c r="V789">
        <f>Matchs!K790</f>
        <v>1</v>
      </c>
      <c r="W789" s="6" t="str">
        <f t="shared" si="239"/>
        <v>,GGoal=</v>
      </c>
      <c r="X789">
        <f>Matchs!L790</f>
        <v>1</v>
      </c>
      <c r="Y789" s="6" t="str">
        <f t="shared" si="240"/>
        <v>,GTeam= "</v>
      </c>
      <c r="Z789" t="str">
        <f>Matchs!M790</f>
        <v>South Korea</v>
      </c>
      <c r="AA789" s="6" t="str">
        <f t="shared" si="241"/>
        <v>",WinNote="</v>
      </c>
      <c r="AB789" t="str">
        <f>IF(Matchs!N790="","",Matchs!N790)</f>
        <v/>
      </c>
      <c r="AC789" s="6" t="str">
        <f t="shared" si="242"/>
        <v xml:space="preserve">",Stadium=" </v>
      </c>
      <c r="AD789" s="11" t="str">
        <f>Matchs!O790</f>
        <v xml:space="preserve">Arena Pantanal </v>
      </c>
      <c r="AE789" s="6" t="str">
        <f t="shared" si="243"/>
        <v>",Referee= "</v>
      </c>
      <c r="AF789" s="11" t="str">
        <f>Matchs!P790</f>
        <v xml:space="preserve">Nestor Pitana </v>
      </c>
      <c r="AG789" s="6" t="str">
        <f t="shared" si="244"/>
        <v xml:space="preserve">",Visistors= </v>
      </c>
      <c r="AH789" s="11">
        <f>Matchs!Q790</f>
        <v>37603</v>
      </c>
      <c r="AI789" s="11" t="str">
        <f t="shared" si="245"/>
        <v>,Status= "</v>
      </c>
      <c r="AJ789" s="11" t="str">
        <f>Matchs!R790</f>
        <v>Finished</v>
      </c>
      <c r="AK789" t="str">
        <f t="shared" si="246"/>
        <v>" },</v>
      </c>
    </row>
    <row r="790" spans="1:37" x14ac:dyDescent="0.25">
      <c r="A790" t="str">
        <f t="shared" si="228"/>
        <v>new Match { MatchId= "</v>
      </c>
      <c r="B790" t="str">
        <f>Matchs!A791</f>
        <v>FIFAWC2014-18</v>
      </c>
      <c r="C790" t="str">
        <f t="shared" si="229"/>
        <v>",MatchNumer=</v>
      </c>
      <c r="D790">
        <f>Matchs!B791</f>
        <v>18</v>
      </c>
      <c r="E790" t="str">
        <f t="shared" si="230"/>
        <v>,DateMatch=DateTime.Parse("</v>
      </c>
      <c r="F790" s="3">
        <f>Matchs!C791</f>
        <v>41808</v>
      </c>
      <c r="G790" s="10" t="str">
        <f t="shared" si="231"/>
        <v>"),TimeMatch=TimeSpan.Parse("</v>
      </c>
      <c r="H790" s="9">
        <f>Matchs!D791</f>
        <v>0.95833333333333337</v>
      </c>
      <c r="I790" t="str">
        <f t="shared" si="232"/>
        <v>"),MatchYear=</v>
      </c>
      <c r="J790">
        <f>Matchs!E791</f>
        <v>2014</v>
      </c>
      <c r="K790" t="str">
        <f t="shared" si="233"/>
        <v>, SeasonId= "</v>
      </c>
      <c r="L790" t="str">
        <f>Matchs!F791</f>
        <v>FIFAWC2014</v>
      </c>
      <c r="M790" t="str">
        <f t="shared" si="234"/>
        <v>",Round= "</v>
      </c>
      <c r="N790" t="str">
        <f>Matchs!G791</f>
        <v>Final Round</v>
      </c>
      <c r="O790" s="6" t="str">
        <f t="shared" si="235"/>
        <v>",Stage= "</v>
      </c>
      <c r="P790" t="str">
        <f>Matchs!H791</f>
        <v>Group</v>
      </c>
      <c r="Q790" s="6" t="str">
        <f t="shared" si="236"/>
        <v>",SubStage= "</v>
      </c>
      <c r="R790" t="str">
        <f>Matchs!I791</f>
        <v xml:space="preserve">Group B </v>
      </c>
      <c r="S790" s="6" t="str">
        <f t="shared" si="237"/>
        <v>",HTeam= "</v>
      </c>
      <c r="T790" t="str">
        <f>Matchs!J791</f>
        <v>Australia</v>
      </c>
      <c r="U790" s="6" t="str">
        <f t="shared" si="238"/>
        <v>",HGoal=</v>
      </c>
      <c r="V790">
        <f>Matchs!K791</f>
        <v>2</v>
      </c>
      <c r="W790" s="6" t="str">
        <f t="shared" si="239"/>
        <v>,GGoal=</v>
      </c>
      <c r="X790">
        <f>Matchs!L791</f>
        <v>3</v>
      </c>
      <c r="Y790" s="6" t="str">
        <f t="shared" si="240"/>
        <v>,GTeam= "</v>
      </c>
      <c r="Z790" t="str">
        <f>Matchs!M791</f>
        <v>Netherlands</v>
      </c>
      <c r="AA790" s="6" t="str">
        <f t="shared" si="241"/>
        <v>",WinNote="</v>
      </c>
      <c r="AB790" t="str">
        <f>IF(Matchs!N791="","",Matchs!N791)</f>
        <v/>
      </c>
      <c r="AC790" s="6" t="str">
        <f t="shared" si="242"/>
        <v xml:space="preserve">",Stadium=" </v>
      </c>
      <c r="AD790" s="11" t="str">
        <f>Matchs!O791</f>
        <v xml:space="preserve">Estádio Beira-Rio </v>
      </c>
      <c r="AE790" s="6" t="str">
        <f t="shared" si="243"/>
        <v>",Referee= "</v>
      </c>
      <c r="AF790" s="11" t="str">
        <f>Matchs!P791</f>
        <v xml:space="preserve">Djamel Haimoudi </v>
      </c>
      <c r="AG790" s="6" t="str">
        <f t="shared" si="244"/>
        <v xml:space="preserve">",Visistors= </v>
      </c>
      <c r="AH790" s="11">
        <f>Matchs!Q791</f>
        <v>42877</v>
      </c>
      <c r="AI790" s="11" t="str">
        <f t="shared" si="245"/>
        <v>,Status= "</v>
      </c>
      <c r="AJ790" s="11" t="str">
        <f>Matchs!R791</f>
        <v>Finished</v>
      </c>
      <c r="AK790" t="str">
        <f t="shared" si="246"/>
        <v>" },</v>
      </c>
    </row>
    <row r="791" spans="1:37" x14ac:dyDescent="0.25">
      <c r="A791" t="str">
        <f t="shared" si="228"/>
        <v>new Match { MatchId= "</v>
      </c>
      <c r="B791" t="str">
        <f>Matchs!A792</f>
        <v>FIFAWC2014-19</v>
      </c>
      <c r="C791" t="str">
        <f t="shared" si="229"/>
        <v>",MatchNumer=</v>
      </c>
      <c r="D791">
        <f>Matchs!B792</f>
        <v>19</v>
      </c>
      <c r="E791" t="str">
        <f t="shared" si="230"/>
        <v>,DateMatch=DateTime.Parse("</v>
      </c>
      <c r="F791" s="3">
        <f>Matchs!C792</f>
        <v>41809</v>
      </c>
      <c r="G791" s="10" t="str">
        <f t="shared" si="231"/>
        <v>"),TimeMatch=TimeSpan.Parse("</v>
      </c>
      <c r="H791" s="9">
        <f>Matchs!D792</f>
        <v>8.3333333333333329E-2</v>
      </c>
      <c r="I791" t="str">
        <f t="shared" si="232"/>
        <v>"),MatchYear=</v>
      </c>
      <c r="J791">
        <f>Matchs!E792</f>
        <v>2014</v>
      </c>
      <c r="K791" t="str">
        <f t="shared" si="233"/>
        <v>, SeasonId= "</v>
      </c>
      <c r="L791" t="str">
        <f>Matchs!F792</f>
        <v>FIFAWC2014</v>
      </c>
      <c r="M791" t="str">
        <f t="shared" si="234"/>
        <v>",Round= "</v>
      </c>
      <c r="N791" t="str">
        <f>Matchs!G792</f>
        <v>Final Round</v>
      </c>
      <c r="O791" s="6" t="str">
        <f t="shared" si="235"/>
        <v>",Stage= "</v>
      </c>
      <c r="P791" t="str">
        <f>Matchs!H792</f>
        <v>Group</v>
      </c>
      <c r="Q791" s="6" t="str">
        <f t="shared" si="236"/>
        <v>",SubStage= "</v>
      </c>
      <c r="R791" t="str">
        <f>Matchs!I792</f>
        <v xml:space="preserve">Group B </v>
      </c>
      <c r="S791" s="6" t="str">
        <f t="shared" si="237"/>
        <v>",HTeam= "</v>
      </c>
      <c r="T791" t="str">
        <f>Matchs!J792</f>
        <v>Spain</v>
      </c>
      <c r="U791" s="6" t="str">
        <f t="shared" si="238"/>
        <v>",HGoal=</v>
      </c>
      <c r="V791">
        <f>Matchs!K792</f>
        <v>0</v>
      </c>
      <c r="W791" s="6" t="str">
        <f t="shared" si="239"/>
        <v>,GGoal=</v>
      </c>
      <c r="X791">
        <f>Matchs!L792</f>
        <v>2</v>
      </c>
      <c r="Y791" s="6" t="str">
        <f t="shared" si="240"/>
        <v>,GTeam= "</v>
      </c>
      <c r="Z791" t="str">
        <f>Matchs!M792</f>
        <v>Chile</v>
      </c>
      <c r="AA791" s="6" t="str">
        <f t="shared" si="241"/>
        <v>",WinNote="</v>
      </c>
      <c r="AB791" t="str">
        <f>IF(Matchs!N792="","",Matchs!N792)</f>
        <v/>
      </c>
      <c r="AC791" s="6" t="str">
        <f t="shared" si="242"/>
        <v xml:space="preserve">",Stadium=" </v>
      </c>
      <c r="AD791" s="11" t="str">
        <f>Matchs!O792</f>
        <v xml:space="preserve">Estádio do Maracanã </v>
      </c>
      <c r="AE791" s="6" t="str">
        <f t="shared" si="243"/>
        <v>",Referee= "</v>
      </c>
      <c r="AF791" s="11" t="str">
        <f>Matchs!P792</f>
        <v xml:space="preserve">Mark Geiger </v>
      </c>
      <c r="AG791" s="6" t="str">
        <f t="shared" si="244"/>
        <v xml:space="preserve">",Visistors= </v>
      </c>
      <c r="AH791" s="11">
        <f>Matchs!Q792</f>
        <v>0</v>
      </c>
      <c r="AI791" s="11" t="str">
        <f t="shared" si="245"/>
        <v>,Status= "</v>
      </c>
      <c r="AJ791" s="11" t="str">
        <f>Matchs!R792</f>
        <v>Finished</v>
      </c>
      <c r="AK791" t="str">
        <f t="shared" si="246"/>
        <v>" },</v>
      </c>
    </row>
    <row r="792" spans="1:37" x14ac:dyDescent="0.25">
      <c r="A792" t="str">
        <f t="shared" si="228"/>
        <v>new Match { MatchId= "</v>
      </c>
      <c r="B792" t="str">
        <f>Matchs!A793</f>
        <v>FIFAWC2014-20</v>
      </c>
      <c r="C792" t="str">
        <f t="shared" si="229"/>
        <v>",MatchNumer=</v>
      </c>
      <c r="D792">
        <f>Matchs!B793</f>
        <v>20</v>
      </c>
      <c r="E792" t="str">
        <f t="shared" si="230"/>
        <v>,DateMatch=DateTime.Parse("</v>
      </c>
      <c r="F792" s="3">
        <f>Matchs!C793</f>
        <v>41809</v>
      </c>
      <c r="G792" s="10" t="str">
        <f t="shared" si="231"/>
        <v>"),TimeMatch=TimeSpan.Parse("</v>
      </c>
      <c r="H792" s="9">
        <f>Matchs!D793</f>
        <v>0.20833333333333334</v>
      </c>
      <c r="I792" t="str">
        <f t="shared" si="232"/>
        <v>"),MatchYear=</v>
      </c>
      <c r="J792">
        <f>Matchs!E793</f>
        <v>2014</v>
      </c>
      <c r="K792" t="str">
        <f t="shared" si="233"/>
        <v>, SeasonId= "</v>
      </c>
      <c r="L792" t="str">
        <f>Matchs!F793</f>
        <v>FIFAWC2014</v>
      </c>
      <c r="M792" t="str">
        <f t="shared" si="234"/>
        <v>",Round= "</v>
      </c>
      <c r="N792" t="str">
        <f>Matchs!G793</f>
        <v>Final Round</v>
      </c>
      <c r="O792" s="6" t="str">
        <f t="shared" si="235"/>
        <v>",Stage= "</v>
      </c>
      <c r="P792" t="str">
        <f>Matchs!H793</f>
        <v>Group</v>
      </c>
      <c r="Q792" s="6" t="str">
        <f t="shared" si="236"/>
        <v>",SubStage= "</v>
      </c>
      <c r="R792" t="str">
        <f>Matchs!I793</f>
        <v xml:space="preserve">Group A </v>
      </c>
      <c r="S792" s="6" t="str">
        <f t="shared" si="237"/>
        <v>",HTeam= "</v>
      </c>
      <c r="T792" t="str">
        <f>Matchs!J793</f>
        <v>Cameroon</v>
      </c>
      <c r="U792" s="6" t="str">
        <f t="shared" si="238"/>
        <v>",HGoal=</v>
      </c>
      <c r="V792">
        <f>Matchs!K793</f>
        <v>0</v>
      </c>
      <c r="W792" s="6" t="str">
        <f t="shared" si="239"/>
        <v>,GGoal=</v>
      </c>
      <c r="X792">
        <f>Matchs!L793</f>
        <v>4</v>
      </c>
      <c r="Y792" s="6" t="str">
        <f t="shared" si="240"/>
        <v>,GTeam= "</v>
      </c>
      <c r="Z792" t="str">
        <f>Matchs!M793</f>
        <v>Croatia</v>
      </c>
      <c r="AA792" s="6" t="str">
        <f t="shared" si="241"/>
        <v>",WinNote="</v>
      </c>
      <c r="AB792" t="str">
        <f>IF(Matchs!N793="","",Matchs!N793)</f>
        <v/>
      </c>
      <c r="AC792" s="6" t="str">
        <f t="shared" si="242"/>
        <v xml:space="preserve">",Stadium=" </v>
      </c>
      <c r="AD792" s="11" t="str">
        <f>Matchs!O793</f>
        <v xml:space="preserve">Arena Amazonia </v>
      </c>
      <c r="AE792" s="6" t="str">
        <f t="shared" si="243"/>
        <v>",Referee= "</v>
      </c>
      <c r="AF792" s="11" t="str">
        <f>Matchs!P793</f>
        <v xml:space="preserve">Pedro Proenca </v>
      </c>
      <c r="AG792" s="6" t="str">
        <f t="shared" si="244"/>
        <v xml:space="preserve">",Visistors= </v>
      </c>
      <c r="AH792" s="11">
        <f>Matchs!Q793</f>
        <v>39982</v>
      </c>
      <c r="AI792" s="11" t="str">
        <f t="shared" si="245"/>
        <v>,Status= "</v>
      </c>
      <c r="AJ792" s="11" t="str">
        <f>Matchs!R793</f>
        <v>Finished</v>
      </c>
      <c r="AK792" t="str">
        <f t="shared" si="246"/>
        <v>" },</v>
      </c>
    </row>
    <row r="793" spans="1:37" x14ac:dyDescent="0.25">
      <c r="A793" t="str">
        <f t="shared" si="228"/>
        <v>new Match { MatchId= "</v>
      </c>
      <c r="B793" t="str">
        <f>Matchs!A794</f>
        <v>FIFAWC2014-21</v>
      </c>
      <c r="C793" t="str">
        <f t="shared" si="229"/>
        <v>",MatchNumer=</v>
      </c>
      <c r="D793">
        <f>Matchs!B794</f>
        <v>21</v>
      </c>
      <c r="E793" t="str">
        <f t="shared" si="230"/>
        <v>,DateMatch=DateTime.Parse("</v>
      </c>
      <c r="F793" s="3">
        <f>Matchs!C794</f>
        <v>41809</v>
      </c>
      <c r="G793" s="10" t="str">
        <f t="shared" si="231"/>
        <v>"),TimeMatch=TimeSpan.Parse("</v>
      </c>
      <c r="H793" s="9">
        <f>Matchs!D794</f>
        <v>0.95833333333333337</v>
      </c>
      <c r="I793" t="str">
        <f t="shared" si="232"/>
        <v>"),MatchYear=</v>
      </c>
      <c r="J793">
        <f>Matchs!E794</f>
        <v>2014</v>
      </c>
      <c r="K793" t="str">
        <f t="shared" si="233"/>
        <v>, SeasonId= "</v>
      </c>
      <c r="L793" t="str">
        <f>Matchs!F794</f>
        <v>FIFAWC2014</v>
      </c>
      <c r="M793" t="str">
        <f t="shared" si="234"/>
        <v>",Round= "</v>
      </c>
      <c r="N793" t="str">
        <f>Matchs!G794</f>
        <v>Final Round</v>
      </c>
      <c r="O793" s="6" t="str">
        <f t="shared" si="235"/>
        <v>",Stage= "</v>
      </c>
      <c r="P793" t="str">
        <f>Matchs!H794</f>
        <v>Group</v>
      </c>
      <c r="Q793" s="6" t="str">
        <f t="shared" si="236"/>
        <v>",SubStage= "</v>
      </c>
      <c r="R793" t="str">
        <f>Matchs!I794</f>
        <v xml:space="preserve">Group C </v>
      </c>
      <c r="S793" s="6" t="str">
        <f t="shared" si="237"/>
        <v>",HTeam= "</v>
      </c>
      <c r="T793" t="str">
        <f>Matchs!J794</f>
        <v>Colombia</v>
      </c>
      <c r="U793" s="6" t="str">
        <f t="shared" si="238"/>
        <v>",HGoal=</v>
      </c>
      <c r="V793">
        <f>Matchs!K794</f>
        <v>2</v>
      </c>
      <c r="W793" s="6" t="str">
        <f t="shared" si="239"/>
        <v>,GGoal=</v>
      </c>
      <c r="X793">
        <f>Matchs!L794</f>
        <v>1</v>
      </c>
      <c r="Y793" s="6" t="str">
        <f t="shared" si="240"/>
        <v>,GTeam= "</v>
      </c>
      <c r="Z793" t="str">
        <f>Matchs!M794</f>
        <v>Cote D'Ivoire</v>
      </c>
      <c r="AA793" s="6" t="str">
        <f t="shared" si="241"/>
        <v>",WinNote="</v>
      </c>
      <c r="AB793" t="str">
        <f>IF(Matchs!N794="","",Matchs!N794)</f>
        <v/>
      </c>
      <c r="AC793" s="6" t="str">
        <f t="shared" si="242"/>
        <v xml:space="preserve">",Stadium=" </v>
      </c>
      <c r="AD793" s="11" t="str">
        <f>Matchs!O794</f>
        <v xml:space="preserve">Estadio Nacional Mane Garrincha </v>
      </c>
      <c r="AE793" s="6" t="str">
        <f t="shared" si="243"/>
        <v>",Referee= "</v>
      </c>
      <c r="AF793" s="11" t="str">
        <f>Matchs!P794</f>
        <v xml:space="preserve">Howard Webb </v>
      </c>
      <c r="AG793" s="6" t="str">
        <f t="shared" si="244"/>
        <v xml:space="preserve">",Visistors= </v>
      </c>
      <c r="AH793" s="11">
        <f>Matchs!Q794</f>
        <v>68748</v>
      </c>
      <c r="AI793" s="11" t="str">
        <f t="shared" si="245"/>
        <v>,Status= "</v>
      </c>
      <c r="AJ793" s="11" t="str">
        <f>Matchs!R794</f>
        <v>Finished</v>
      </c>
      <c r="AK793" t="str">
        <f t="shared" si="246"/>
        <v>" },</v>
      </c>
    </row>
    <row r="794" spans="1:37" x14ac:dyDescent="0.25">
      <c r="A794" t="str">
        <f t="shared" si="228"/>
        <v>new Match { MatchId= "</v>
      </c>
      <c r="B794" t="str">
        <f>Matchs!A795</f>
        <v>FIFAWC2014-22</v>
      </c>
      <c r="C794" t="str">
        <f t="shared" si="229"/>
        <v>",MatchNumer=</v>
      </c>
      <c r="D794">
        <f>Matchs!B795</f>
        <v>22</v>
      </c>
      <c r="E794" t="str">
        <f t="shared" si="230"/>
        <v>,DateMatch=DateTime.Parse("</v>
      </c>
      <c r="F794" s="3">
        <f>Matchs!C795</f>
        <v>41810</v>
      </c>
      <c r="G794" s="10" t="str">
        <f t="shared" si="231"/>
        <v>"),TimeMatch=TimeSpan.Parse("</v>
      </c>
      <c r="H794" s="9">
        <f>Matchs!D795</f>
        <v>8.3333333333333329E-2</v>
      </c>
      <c r="I794" t="str">
        <f t="shared" si="232"/>
        <v>"),MatchYear=</v>
      </c>
      <c r="J794">
        <f>Matchs!E795</f>
        <v>2014</v>
      </c>
      <c r="K794" t="str">
        <f t="shared" si="233"/>
        <v>, SeasonId= "</v>
      </c>
      <c r="L794" t="str">
        <f>Matchs!F795</f>
        <v>FIFAWC2014</v>
      </c>
      <c r="M794" t="str">
        <f t="shared" si="234"/>
        <v>",Round= "</v>
      </c>
      <c r="N794" t="str">
        <f>Matchs!G795</f>
        <v>Final Round</v>
      </c>
      <c r="O794" s="6" t="str">
        <f t="shared" si="235"/>
        <v>",Stage= "</v>
      </c>
      <c r="P794" t="str">
        <f>Matchs!H795</f>
        <v>Group</v>
      </c>
      <c r="Q794" s="6" t="str">
        <f t="shared" si="236"/>
        <v>",SubStage= "</v>
      </c>
      <c r="R794" t="str">
        <f>Matchs!I795</f>
        <v xml:space="preserve">Group D </v>
      </c>
      <c r="S794" s="6" t="str">
        <f t="shared" si="237"/>
        <v>",HTeam= "</v>
      </c>
      <c r="T794" t="str">
        <f>Matchs!J795</f>
        <v>Uruguay</v>
      </c>
      <c r="U794" s="6" t="str">
        <f t="shared" si="238"/>
        <v>",HGoal=</v>
      </c>
      <c r="V794">
        <f>Matchs!K795</f>
        <v>2</v>
      </c>
      <c r="W794" s="6" t="str">
        <f t="shared" si="239"/>
        <v>,GGoal=</v>
      </c>
      <c r="X794">
        <f>Matchs!L795</f>
        <v>1</v>
      </c>
      <c r="Y794" s="6" t="str">
        <f t="shared" si="240"/>
        <v>,GTeam= "</v>
      </c>
      <c r="Z794" t="str">
        <f>Matchs!M795</f>
        <v>England</v>
      </c>
      <c r="AA794" s="6" t="str">
        <f t="shared" si="241"/>
        <v>",WinNote="</v>
      </c>
      <c r="AB794" t="str">
        <f>IF(Matchs!N795="","",Matchs!N795)</f>
        <v/>
      </c>
      <c r="AC794" s="6" t="str">
        <f t="shared" si="242"/>
        <v xml:space="preserve">",Stadium=" </v>
      </c>
      <c r="AD794" s="11" t="str">
        <f>Matchs!O795</f>
        <v xml:space="preserve">Arena de Sao Paulo </v>
      </c>
      <c r="AE794" s="6" t="str">
        <f t="shared" si="243"/>
        <v>",Referee= "</v>
      </c>
      <c r="AF794" s="11" t="str">
        <f>Matchs!P795</f>
        <v xml:space="preserve">Carlos Velasco Carballo </v>
      </c>
      <c r="AG794" s="6" t="str">
        <f t="shared" si="244"/>
        <v xml:space="preserve">",Visistors= </v>
      </c>
      <c r="AH794" s="11">
        <f>Matchs!Q795</f>
        <v>62575</v>
      </c>
      <c r="AI794" s="11" t="str">
        <f t="shared" si="245"/>
        <v>,Status= "</v>
      </c>
      <c r="AJ794" s="11" t="str">
        <f>Matchs!R795</f>
        <v>Finished</v>
      </c>
      <c r="AK794" t="str">
        <f t="shared" si="246"/>
        <v>" },</v>
      </c>
    </row>
    <row r="795" spans="1:37" x14ac:dyDescent="0.25">
      <c r="A795" t="str">
        <f t="shared" si="228"/>
        <v>new Match { MatchId= "</v>
      </c>
      <c r="B795" t="str">
        <f>Matchs!A796</f>
        <v>FIFAWC2014-23</v>
      </c>
      <c r="C795" t="str">
        <f t="shared" si="229"/>
        <v>",MatchNumer=</v>
      </c>
      <c r="D795">
        <f>Matchs!B796</f>
        <v>23</v>
      </c>
      <c r="E795" t="str">
        <f t="shared" si="230"/>
        <v>,DateMatch=DateTime.Parse("</v>
      </c>
      <c r="F795" s="3">
        <f>Matchs!C796</f>
        <v>41810</v>
      </c>
      <c r="G795" s="10" t="str">
        <f t="shared" si="231"/>
        <v>"),TimeMatch=TimeSpan.Parse("</v>
      </c>
      <c r="H795" s="9">
        <f>Matchs!D796</f>
        <v>0.20833333333333334</v>
      </c>
      <c r="I795" t="str">
        <f t="shared" si="232"/>
        <v>"),MatchYear=</v>
      </c>
      <c r="J795">
        <f>Matchs!E796</f>
        <v>2014</v>
      </c>
      <c r="K795" t="str">
        <f t="shared" si="233"/>
        <v>, SeasonId= "</v>
      </c>
      <c r="L795" t="str">
        <f>Matchs!F796</f>
        <v>FIFAWC2014</v>
      </c>
      <c r="M795" t="str">
        <f t="shared" si="234"/>
        <v>",Round= "</v>
      </c>
      <c r="N795" t="str">
        <f>Matchs!G796</f>
        <v>Final Round</v>
      </c>
      <c r="O795" s="6" t="str">
        <f t="shared" si="235"/>
        <v>",Stage= "</v>
      </c>
      <c r="P795" t="str">
        <f>Matchs!H796</f>
        <v>Group</v>
      </c>
      <c r="Q795" s="6" t="str">
        <f t="shared" si="236"/>
        <v>",SubStage= "</v>
      </c>
      <c r="R795" t="str">
        <f>Matchs!I796</f>
        <v xml:space="preserve">Group C </v>
      </c>
      <c r="S795" s="6" t="str">
        <f t="shared" si="237"/>
        <v>",HTeam= "</v>
      </c>
      <c r="T795" t="str">
        <f>Matchs!J796</f>
        <v>Japan</v>
      </c>
      <c r="U795" s="6" t="str">
        <f t="shared" si="238"/>
        <v>",HGoal=</v>
      </c>
      <c r="V795">
        <f>Matchs!K796</f>
        <v>0</v>
      </c>
      <c r="W795" s="6" t="str">
        <f t="shared" si="239"/>
        <v>,GGoal=</v>
      </c>
      <c r="X795">
        <f>Matchs!L796</f>
        <v>0</v>
      </c>
      <c r="Y795" s="6" t="str">
        <f t="shared" si="240"/>
        <v>,GTeam= "</v>
      </c>
      <c r="Z795" t="str">
        <f>Matchs!M796</f>
        <v>Greece</v>
      </c>
      <c r="AA795" s="6" t="str">
        <f t="shared" si="241"/>
        <v>",WinNote="</v>
      </c>
      <c r="AB795" t="str">
        <f>IF(Matchs!N796="","",Matchs!N796)</f>
        <v/>
      </c>
      <c r="AC795" s="6" t="str">
        <f t="shared" si="242"/>
        <v xml:space="preserve">",Stadium=" </v>
      </c>
      <c r="AD795" s="11" t="str">
        <f>Matchs!O796</f>
        <v xml:space="preserve">Arena das Dunas </v>
      </c>
      <c r="AE795" s="6" t="str">
        <f t="shared" si="243"/>
        <v>",Referee= "</v>
      </c>
      <c r="AF795" s="11" t="str">
        <f>Matchs!P796</f>
        <v xml:space="preserve">Joel Aguilar </v>
      </c>
      <c r="AG795" s="6" t="str">
        <f t="shared" si="244"/>
        <v xml:space="preserve">",Visistors= </v>
      </c>
      <c r="AH795" s="11">
        <f>Matchs!Q796</f>
        <v>39485</v>
      </c>
      <c r="AI795" s="11" t="str">
        <f t="shared" si="245"/>
        <v>,Status= "</v>
      </c>
      <c r="AJ795" s="11" t="str">
        <f>Matchs!R796</f>
        <v>Finished</v>
      </c>
      <c r="AK795" t="str">
        <f t="shared" si="246"/>
        <v>" },</v>
      </c>
    </row>
    <row r="796" spans="1:37" x14ac:dyDescent="0.25">
      <c r="A796" t="str">
        <f t="shared" si="228"/>
        <v>new Match { MatchId= "</v>
      </c>
      <c r="B796" t="str">
        <f>Matchs!A797</f>
        <v>FIFAWC2014-24</v>
      </c>
      <c r="C796" t="str">
        <f t="shared" si="229"/>
        <v>",MatchNumer=</v>
      </c>
      <c r="D796">
        <f>Matchs!B797</f>
        <v>24</v>
      </c>
      <c r="E796" t="str">
        <f t="shared" si="230"/>
        <v>,DateMatch=DateTime.Parse("</v>
      </c>
      <c r="F796" s="3">
        <f>Matchs!C797</f>
        <v>41810</v>
      </c>
      <c r="G796" s="10" t="str">
        <f t="shared" si="231"/>
        <v>"),TimeMatch=TimeSpan.Parse("</v>
      </c>
      <c r="H796" s="9">
        <f>Matchs!D797</f>
        <v>0.95833333333333337</v>
      </c>
      <c r="I796" t="str">
        <f t="shared" si="232"/>
        <v>"),MatchYear=</v>
      </c>
      <c r="J796">
        <f>Matchs!E797</f>
        <v>2014</v>
      </c>
      <c r="K796" t="str">
        <f t="shared" si="233"/>
        <v>, SeasonId= "</v>
      </c>
      <c r="L796" t="str">
        <f>Matchs!F797</f>
        <v>FIFAWC2014</v>
      </c>
      <c r="M796" t="str">
        <f t="shared" si="234"/>
        <v>",Round= "</v>
      </c>
      <c r="N796" t="str">
        <f>Matchs!G797</f>
        <v>Final Round</v>
      </c>
      <c r="O796" s="6" t="str">
        <f t="shared" si="235"/>
        <v>",Stage= "</v>
      </c>
      <c r="P796" t="str">
        <f>Matchs!H797</f>
        <v>Group</v>
      </c>
      <c r="Q796" s="6" t="str">
        <f t="shared" si="236"/>
        <v>",SubStage= "</v>
      </c>
      <c r="R796" t="str">
        <f>Matchs!I797</f>
        <v xml:space="preserve">Group D </v>
      </c>
      <c r="S796" s="6" t="str">
        <f t="shared" si="237"/>
        <v>",HTeam= "</v>
      </c>
      <c r="T796" t="str">
        <f>Matchs!J797</f>
        <v>Italy</v>
      </c>
      <c r="U796" s="6" t="str">
        <f t="shared" si="238"/>
        <v>",HGoal=</v>
      </c>
      <c r="V796">
        <f>Matchs!K797</f>
        <v>0</v>
      </c>
      <c r="W796" s="6" t="str">
        <f t="shared" si="239"/>
        <v>,GGoal=</v>
      </c>
      <c r="X796">
        <f>Matchs!L797</f>
        <v>1</v>
      </c>
      <c r="Y796" s="6" t="str">
        <f t="shared" si="240"/>
        <v>,GTeam= "</v>
      </c>
      <c r="Z796" t="str">
        <f>Matchs!M797</f>
        <v>Costa Rica</v>
      </c>
      <c r="AA796" s="6" t="str">
        <f t="shared" si="241"/>
        <v>",WinNote="</v>
      </c>
      <c r="AB796" t="str">
        <f>IF(Matchs!N797="","",Matchs!N797)</f>
        <v/>
      </c>
      <c r="AC796" s="6" t="str">
        <f t="shared" si="242"/>
        <v xml:space="preserve">",Stadium=" </v>
      </c>
      <c r="AD796" s="11" t="str">
        <f>Matchs!O797</f>
        <v xml:space="preserve">Arena Pernambucano </v>
      </c>
      <c r="AE796" s="6" t="str">
        <f t="shared" si="243"/>
        <v>",Referee= "</v>
      </c>
      <c r="AF796" s="11" t="str">
        <f>Matchs!P797</f>
        <v xml:space="preserve">Enrique Osses </v>
      </c>
      <c r="AG796" s="6" t="str">
        <f t="shared" si="244"/>
        <v xml:space="preserve">",Visistors= </v>
      </c>
      <c r="AH796" s="11">
        <f>Matchs!Q797</f>
        <v>40285</v>
      </c>
      <c r="AI796" s="11" t="str">
        <f t="shared" si="245"/>
        <v>,Status= "</v>
      </c>
      <c r="AJ796" s="11" t="str">
        <f>Matchs!R797</f>
        <v>Finished</v>
      </c>
      <c r="AK796" t="str">
        <f t="shared" si="246"/>
        <v>" },</v>
      </c>
    </row>
    <row r="797" spans="1:37" x14ac:dyDescent="0.25">
      <c r="A797" t="str">
        <f t="shared" si="228"/>
        <v>new Match { MatchId= "</v>
      </c>
      <c r="B797" t="str">
        <f>Matchs!A798</f>
        <v>FIFAWC2014-25</v>
      </c>
      <c r="C797" t="str">
        <f t="shared" si="229"/>
        <v>",MatchNumer=</v>
      </c>
      <c r="D797">
        <f>Matchs!B798</f>
        <v>25</v>
      </c>
      <c r="E797" t="str">
        <f t="shared" si="230"/>
        <v>,DateMatch=DateTime.Parse("</v>
      </c>
      <c r="F797" s="3">
        <f>Matchs!C798</f>
        <v>41811</v>
      </c>
      <c r="G797" s="10" t="str">
        <f t="shared" si="231"/>
        <v>"),TimeMatch=TimeSpan.Parse("</v>
      </c>
      <c r="H797" s="9">
        <f>Matchs!D798</f>
        <v>8.3333333333333329E-2</v>
      </c>
      <c r="I797" t="str">
        <f t="shared" si="232"/>
        <v>"),MatchYear=</v>
      </c>
      <c r="J797">
        <f>Matchs!E798</f>
        <v>2014</v>
      </c>
      <c r="K797" t="str">
        <f t="shared" si="233"/>
        <v>, SeasonId= "</v>
      </c>
      <c r="L797" t="str">
        <f>Matchs!F798</f>
        <v>FIFAWC2014</v>
      </c>
      <c r="M797" t="str">
        <f t="shared" si="234"/>
        <v>",Round= "</v>
      </c>
      <c r="N797" t="str">
        <f>Matchs!G798</f>
        <v>Final Round</v>
      </c>
      <c r="O797" s="6" t="str">
        <f t="shared" si="235"/>
        <v>",Stage= "</v>
      </c>
      <c r="P797" t="str">
        <f>Matchs!H798</f>
        <v>Group</v>
      </c>
      <c r="Q797" s="6" t="str">
        <f t="shared" si="236"/>
        <v>",SubStage= "</v>
      </c>
      <c r="R797" t="str">
        <f>Matchs!I798</f>
        <v xml:space="preserve">Group E </v>
      </c>
      <c r="S797" s="6" t="str">
        <f t="shared" si="237"/>
        <v>",HTeam= "</v>
      </c>
      <c r="T797" t="str">
        <f>Matchs!J798</f>
        <v>Switzerland</v>
      </c>
      <c r="U797" s="6" t="str">
        <f t="shared" si="238"/>
        <v>",HGoal=</v>
      </c>
      <c r="V797">
        <f>Matchs!K798</f>
        <v>2</v>
      </c>
      <c r="W797" s="6" t="str">
        <f t="shared" si="239"/>
        <v>,GGoal=</v>
      </c>
      <c r="X797">
        <f>Matchs!L798</f>
        <v>5</v>
      </c>
      <c r="Y797" s="6" t="str">
        <f t="shared" si="240"/>
        <v>,GTeam= "</v>
      </c>
      <c r="Z797" t="str">
        <f>Matchs!M798</f>
        <v>France</v>
      </c>
      <c r="AA797" s="6" t="str">
        <f t="shared" si="241"/>
        <v>",WinNote="</v>
      </c>
      <c r="AB797" t="str">
        <f>IF(Matchs!N798="","",Matchs!N798)</f>
        <v/>
      </c>
      <c r="AC797" s="6" t="str">
        <f t="shared" si="242"/>
        <v xml:space="preserve">",Stadium=" </v>
      </c>
      <c r="AD797" s="11" t="str">
        <f>Matchs!O798</f>
        <v xml:space="preserve">Arena Fonte Nova </v>
      </c>
      <c r="AE797" s="6" t="str">
        <f t="shared" si="243"/>
        <v>",Referee= "</v>
      </c>
      <c r="AF797" s="11" t="str">
        <f>Matchs!P798</f>
        <v xml:space="preserve">Bjorn Kuipers </v>
      </c>
      <c r="AG797" s="6" t="str">
        <f t="shared" si="244"/>
        <v xml:space="preserve">",Visistors= </v>
      </c>
      <c r="AH797" s="11">
        <f>Matchs!Q798</f>
        <v>51003</v>
      </c>
      <c r="AI797" s="11" t="str">
        <f t="shared" si="245"/>
        <v>,Status= "</v>
      </c>
      <c r="AJ797" s="11" t="str">
        <f>Matchs!R798</f>
        <v>Finished</v>
      </c>
      <c r="AK797" t="str">
        <f t="shared" si="246"/>
        <v>" },</v>
      </c>
    </row>
    <row r="798" spans="1:37" x14ac:dyDescent="0.25">
      <c r="A798" t="str">
        <f t="shared" si="228"/>
        <v>new Match { MatchId= "</v>
      </c>
      <c r="B798" t="str">
        <f>Matchs!A799</f>
        <v>FIFAWC2014-26</v>
      </c>
      <c r="C798" t="str">
        <f t="shared" si="229"/>
        <v>",MatchNumer=</v>
      </c>
      <c r="D798">
        <f>Matchs!B799</f>
        <v>26</v>
      </c>
      <c r="E798" t="str">
        <f t="shared" si="230"/>
        <v>,DateMatch=DateTime.Parse("</v>
      </c>
      <c r="F798" s="3">
        <f>Matchs!C799</f>
        <v>41811</v>
      </c>
      <c r="G798" s="10" t="str">
        <f t="shared" si="231"/>
        <v>"),TimeMatch=TimeSpan.Parse("</v>
      </c>
      <c r="H798" s="9">
        <f>Matchs!D799</f>
        <v>0.20833333333333334</v>
      </c>
      <c r="I798" t="str">
        <f t="shared" si="232"/>
        <v>"),MatchYear=</v>
      </c>
      <c r="J798">
        <f>Matchs!E799</f>
        <v>2014</v>
      </c>
      <c r="K798" t="str">
        <f t="shared" si="233"/>
        <v>, SeasonId= "</v>
      </c>
      <c r="L798" t="str">
        <f>Matchs!F799</f>
        <v>FIFAWC2014</v>
      </c>
      <c r="M798" t="str">
        <f t="shared" si="234"/>
        <v>",Round= "</v>
      </c>
      <c r="N798" t="str">
        <f>Matchs!G799</f>
        <v>Final Round</v>
      </c>
      <c r="O798" s="6" t="str">
        <f t="shared" si="235"/>
        <v>",Stage= "</v>
      </c>
      <c r="P798" t="str">
        <f>Matchs!H799</f>
        <v>Group</v>
      </c>
      <c r="Q798" s="6" t="str">
        <f t="shared" si="236"/>
        <v>",SubStage= "</v>
      </c>
      <c r="R798" t="str">
        <f>Matchs!I799</f>
        <v xml:space="preserve">Group E </v>
      </c>
      <c r="S798" s="6" t="str">
        <f t="shared" si="237"/>
        <v>",HTeam= "</v>
      </c>
      <c r="T798" t="str">
        <f>Matchs!J799</f>
        <v>Honduras</v>
      </c>
      <c r="U798" s="6" t="str">
        <f t="shared" si="238"/>
        <v>",HGoal=</v>
      </c>
      <c r="V798">
        <f>Matchs!K799</f>
        <v>1</v>
      </c>
      <c r="W798" s="6" t="str">
        <f t="shared" si="239"/>
        <v>,GGoal=</v>
      </c>
      <c r="X798">
        <f>Matchs!L799</f>
        <v>2</v>
      </c>
      <c r="Y798" s="6" t="str">
        <f t="shared" si="240"/>
        <v>,GTeam= "</v>
      </c>
      <c r="Z798" t="str">
        <f>Matchs!M799</f>
        <v>Ecuador</v>
      </c>
      <c r="AA798" s="6" t="str">
        <f t="shared" si="241"/>
        <v>",WinNote="</v>
      </c>
      <c r="AB798" t="str">
        <f>IF(Matchs!N799="","",Matchs!N799)</f>
        <v/>
      </c>
      <c r="AC798" s="6" t="str">
        <f t="shared" si="242"/>
        <v xml:space="preserve">",Stadium=" </v>
      </c>
      <c r="AD798" s="11" t="str">
        <f>Matchs!O799</f>
        <v xml:space="preserve">Arena de Baixada </v>
      </c>
      <c r="AE798" s="6" t="str">
        <f t="shared" si="243"/>
        <v>",Referee= "</v>
      </c>
      <c r="AF798" s="11" t="str">
        <f>Matchs!P799</f>
        <v xml:space="preserve">Ben Williams </v>
      </c>
      <c r="AG798" s="6" t="str">
        <f t="shared" si="244"/>
        <v xml:space="preserve">",Visistors= </v>
      </c>
      <c r="AH798" s="11">
        <f>Matchs!Q799</f>
        <v>39224</v>
      </c>
      <c r="AI798" s="11" t="str">
        <f t="shared" si="245"/>
        <v>,Status= "</v>
      </c>
      <c r="AJ798" s="11" t="str">
        <f>Matchs!R799</f>
        <v>Finished</v>
      </c>
      <c r="AK798" t="str">
        <f t="shared" si="246"/>
        <v>" },</v>
      </c>
    </row>
    <row r="799" spans="1:37" x14ac:dyDescent="0.25">
      <c r="A799" t="str">
        <f t="shared" si="228"/>
        <v>new Match { MatchId= "</v>
      </c>
      <c r="B799" t="str">
        <f>Matchs!A800</f>
        <v>FIFAWC2014-27</v>
      </c>
      <c r="C799" t="str">
        <f t="shared" si="229"/>
        <v>",MatchNumer=</v>
      </c>
      <c r="D799">
        <f>Matchs!B800</f>
        <v>27</v>
      </c>
      <c r="E799" t="str">
        <f t="shared" si="230"/>
        <v>,DateMatch=DateTime.Parse("</v>
      </c>
      <c r="F799" s="3">
        <f>Matchs!C800</f>
        <v>41811</v>
      </c>
      <c r="G799" s="10" t="str">
        <f t="shared" si="231"/>
        <v>"),TimeMatch=TimeSpan.Parse("</v>
      </c>
      <c r="H799" s="9">
        <f>Matchs!D800</f>
        <v>0.95833333333333337</v>
      </c>
      <c r="I799" t="str">
        <f t="shared" si="232"/>
        <v>"),MatchYear=</v>
      </c>
      <c r="J799">
        <f>Matchs!E800</f>
        <v>2014</v>
      </c>
      <c r="K799" t="str">
        <f t="shared" si="233"/>
        <v>, SeasonId= "</v>
      </c>
      <c r="L799" t="str">
        <f>Matchs!F800</f>
        <v>FIFAWC2014</v>
      </c>
      <c r="M799" t="str">
        <f t="shared" si="234"/>
        <v>",Round= "</v>
      </c>
      <c r="N799" t="str">
        <f>Matchs!G800</f>
        <v>Final Round</v>
      </c>
      <c r="O799" s="6" t="str">
        <f t="shared" si="235"/>
        <v>",Stage= "</v>
      </c>
      <c r="P799" t="str">
        <f>Matchs!H800</f>
        <v>Group</v>
      </c>
      <c r="Q799" s="6" t="str">
        <f t="shared" si="236"/>
        <v>",SubStage= "</v>
      </c>
      <c r="R799" t="str">
        <f>Matchs!I800</f>
        <v xml:space="preserve">Group F </v>
      </c>
      <c r="S799" s="6" t="str">
        <f t="shared" si="237"/>
        <v>",HTeam= "</v>
      </c>
      <c r="T799" t="str">
        <f>Matchs!J800</f>
        <v>Argentina</v>
      </c>
      <c r="U799" s="6" t="str">
        <f t="shared" si="238"/>
        <v>",HGoal=</v>
      </c>
      <c r="V799">
        <f>Matchs!K800</f>
        <v>1</v>
      </c>
      <c r="W799" s="6" t="str">
        <f t="shared" si="239"/>
        <v>,GGoal=</v>
      </c>
      <c r="X799">
        <f>Matchs!L800</f>
        <v>0</v>
      </c>
      <c r="Y799" s="6" t="str">
        <f t="shared" si="240"/>
        <v>,GTeam= "</v>
      </c>
      <c r="Z799" t="str">
        <f>Matchs!M800</f>
        <v>Iran</v>
      </c>
      <c r="AA799" s="6" t="str">
        <f t="shared" si="241"/>
        <v>",WinNote="</v>
      </c>
      <c r="AB799" t="str">
        <f>IF(Matchs!N800="","",Matchs!N800)</f>
        <v/>
      </c>
      <c r="AC799" s="6" t="str">
        <f t="shared" si="242"/>
        <v xml:space="preserve">",Stadium=" </v>
      </c>
      <c r="AD799" s="11" t="str">
        <f>Matchs!O800</f>
        <v xml:space="preserve">Mineirão </v>
      </c>
      <c r="AE799" s="6" t="str">
        <f t="shared" si="243"/>
        <v>",Referee= "</v>
      </c>
      <c r="AF799" s="11" t="str">
        <f>Matchs!P800</f>
        <v xml:space="preserve">Milorad Mazic </v>
      </c>
      <c r="AG799" s="6" t="str">
        <f t="shared" si="244"/>
        <v xml:space="preserve">",Visistors= </v>
      </c>
      <c r="AH799" s="11">
        <f>Matchs!Q800</f>
        <v>57698</v>
      </c>
      <c r="AI799" s="11" t="str">
        <f t="shared" si="245"/>
        <v>,Status= "</v>
      </c>
      <c r="AJ799" s="11" t="str">
        <f>Matchs!R800</f>
        <v>Finished</v>
      </c>
      <c r="AK799" t="str">
        <f t="shared" si="246"/>
        <v>" },</v>
      </c>
    </row>
    <row r="800" spans="1:37" x14ac:dyDescent="0.25">
      <c r="A800" t="str">
        <f t="shared" si="228"/>
        <v>new Match { MatchId= "</v>
      </c>
      <c r="B800" t="str">
        <f>Matchs!A801</f>
        <v>FIFAWC2014-28</v>
      </c>
      <c r="C800" t="str">
        <f t="shared" si="229"/>
        <v>",MatchNumer=</v>
      </c>
      <c r="D800">
        <f>Matchs!B801</f>
        <v>28</v>
      </c>
      <c r="E800" t="str">
        <f t="shared" si="230"/>
        <v>,DateMatch=DateTime.Parse("</v>
      </c>
      <c r="F800" s="3">
        <f>Matchs!C801</f>
        <v>41812</v>
      </c>
      <c r="G800" s="10" t="str">
        <f t="shared" si="231"/>
        <v>"),TimeMatch=TimeSpan.Parse("</v>
      </c>
      <c r="H800" s="9">
        <f>Matchs!D801</f>
        <v>8.3333333333333329E-2</v>
      </c>
      <c r="I800" t="str">
        <f t="shared" si="232"/>
        <v>"),MatchYear=</v>
      </c>
      <c r="J800">
        <f>Matchs!E801</f>
        <v>2014</v>
      </c>
      <c r="K800" t="str">
        <f t="shared" si="233"/>
        <v>, SeasonId= "</v>
      </c>
      <c r="L800" t="str">
        <f>Matchs!F801</f>
        <v>FIFAWC2014</v>
      </c>
      <c r="M800" t="str">
        <f t="shared" si="234"/>
        <v>",Round= "</v>
      </c>
      <c r="N800" t="str">
        <f>Matchs!G801</f>
        <v>Final Round</v>
      </c>
      <c r="O800" s="6" t="str">
        <f t="shared" si="235"/>
        <v>",Stage= "</v>
      </c>
      <c r="P800" t="str">
        <f>Matchs!H801</f>
        <v>Group</v>
      </c>
      <c r="Q800" s="6" t="str">
        <f t="shared" si="236"/>
        <v>",SubStage= "</v>
      </c>
      <c r="R800" t="str">
        <f>Matchs!I801</f>
        <v xml:space="preserve">Group G </v>
      </c>
      <c r="S800" s="6" t="str">
        <f t="shared" si="237"/>
        <v>",HTeam= "</v>
      </c>
      <c r="T800" t="str">
        <f>Matchs!J801</f>
        <v>Germany</v>
      </c>
      <c r="U800" s="6" t="str">
        <f t="shared" si="238"/>
        <v>",HGoal=</v>
      </c>
      <c r="V800">
        <f>Matchs!K801</f>
        <v>2</v>
      </c>
      <c r="W800" s="6" t="str">
        <f t="shared" si="239"/>
        <v>,GGoal=</v>
      </c>
      <c r="X800">
        <f>Matchs!L801</f>
        <v>2</v>
      </c>
      <c r="Y800" s="6" t="str">
        <f t="shared" si="240"/>
        <v>,GTeam= "</v>
      </c>
      <c r="Z800" t="str">
        <f>Matchs!M801</f>
        <v>Ghana</v>
      </c>
      <c r="AA800" s="6" t="str">
        <f t="shared" si="241"/>
        <v>",WinNote="</v>
      </c>
      <c r="AB800" t="str">
        <f>IF(Matchs!N801="","",Matchs!N801)</f>
        <v/>
      </c>
      <c r="AC800" s="6" t="str">
        <f t="shared" si="242"/>
        <v xml:space="preserve">",Stadium=" </v>
      </c>
      <c r="AD800" s="11" t="str">
        <f>Matchs!O801</f>
        <v xml:space="preserve">Estadio Castelao </v>
      </c>
      <c r="AE800" s="6" t="str">
        <f t="shared" si="243"/>
        <v>",Referee= "</v>
      </c>
      <c r="AF800" s="11" t="str">
        <f>Matchs!P801</f>
        <v xml:space="preserve">Sandro Ricci </v>
      </c>
      <c r="AG800" s="6" t="str">
        <f t="shared" si="244"/>
        <v xml:space="preserve">",Visistors= </v>
      </c>
      <c r="AH800" s="11">
        <f>Matchs!Q801</f>
        <v>59621</v>
      </c>
      <c r="AI800" s="11" t="str">
        <f t="shared" si="245"/>
        <v>,Status= "</v>
      </c>
      <c r="AJ800" s="11" t="str">
        <f>Matchs!R801</f>
        <v>Finished</v>
      </c>
      <c r="AK800" t="str">
        <f t="shared" si="246"/>
        <v>" },</v>
      </c>
    </row>
    <row r="801" spans="1:37" x14ac:dyDescent="0.25">
      <c r="A801" t="str">
        <f t="shared" si="228"/>
        <v>new Match { MatchId= "</v>
      </c>
      <c r="B801" t="str">
        <f>Matchs!A802</f>
        <v>FIFAWC2014-29</v>
      </c>
      <c r="C801" t="str">
        <f t="shared" si="229"/>
        <v>",MatchNumer=</v>
      </c>
      <c r="D801">
        <f>Matchs!B802</f>
        <v>29</v>
      </c>
      <c r="E801" t="str">
        <f t="shared" si="230"/>
        <v>,DateMatch=DateTime.Parse("</v>
      </c>
      <c r="F801" s="3">
        <f>Matchs!C802</f>
        <v>41812</v>
      </c>
      <c r="G801" s="10" t="str">
        <f t="shared" si="231"/>
        <v>"),TimeMatch=TimeSpan.Parse("</v>
      </c>
      <c r="H801" s="9">
        <f>Matchs!D802</f>
        <v>0.20833333333333334</v>
      </c>
      <c r="I801" t="str">
        <f t="shared" si="232"/>
        <v>"),MatchYear=</v>
      </c>
      <c r="J801">
        <f>Matchs!E802</f>
        <v>2014</v>
      </c>
      <c r="K801" t="str">
        <f t="shared" si="233"/>
        <v>, SeasonId= "</v>
      </c>
      <c r="L801" t="str">
        <f>Matchs!F802</f>
        <v>FIFAWC2014</v>
      </c>
      <c r="M801" t="str">
        <f t="shared" si="234"/>
        <v>",Round= "</v>
      </c>
      <c r="N801" t="str">
        <f>Matchs!G802</f>
        <v>Final Round</v>
      </c>
      <c r="O801" s="6" t="str">
        <f t="shared" si="235"/>
        <v>",Stage= "</v>
      </c>
      <c r="P801" t="str">
        <f>Matchs!H802</f>
        <v>Group</v>
      </c>
      <c r="Q801" s="6" t="str">
        <f t="shared" si="236"/>
        <v>",SubStage= "</v>
      </c>
      <c r="R801" t="str">
        <f>Matchs!I802</f>
        <v xml:space="preserve">Group F </v>
      </c>
      <c r="S801" s="6" t="str">
        <f t="shared" si="237"/>
        <v>",HTeam= "</v>
      </c>
      <c r="T801" t="str">
        <f>Matchs!J802</f>
        <v>Nigeria</v>
      </c>
      <c r="U801" s="6" t="str">
        <f t="shared" si="238"/>
        <v>",HGoal=</v>
      </c>
      <c r="V801">
        <f>Matchs!K802</f>
        <v>1</v>
      </c>
      <c r="W801" s="6" t="str">
        <f t="shared" si="239"/>
        <v>,GGoal=</v>
      </c>
      <c r="X801">
        <f>Matchs!L802</f>
        <v>0</v>
      </c>
      <c r="Y801" s="6" t="str">
        <f t="shared" si="240"/>
        <v>,GTeam= "</v>
      </c>
      <c r="Z801" t="str">
        <f>Matchs!M802</f>
        <v>Bosnia and Herzegovina</v>
      </c>
      <c r="AA801" s="6" t="str">
        <f t="shared" si="241"/>
        <v>",WinNote="</v>
      </c>
      <c r="AB801" t="str">
        <f>IF(Matchs!N802="","",Matchs!N802)</f>
        <v/>
      </c>
      <c r="AC801" s="6" t="str">
        <f t="shared" si="242"/>
        <v xml:space="preserve">",Stadium=" </v>
      </c>
      <c r="AD801" s="11" t="str">
        <f>Matchs!O802</f>
        <v xml:space="preserve">Arena Pantanal </v>
      </c>
      <c r="AE801" s="6" t="str">
        <f t="shared" si="243"/>
        <v>",Referee= "</v>
      </c>
      <c r="AF801" s="11" t="str">
        <f>Matchs!P802</f>
        <v xml:space="preserve">Peter O'Leary </v>
      </c>
      <c r="AG801" s="6" t="str">
        <f t="shared" si="244"/>
        <v xml:space="preserve">",Visistors= </v>
      </c>
      <c r="AH801" s="11">
        <f>Matchs!Q802</f>
        <v>40499</v>
      </c>
      <c r="AI801" s="11" t="str">
        <f t="shared" si="245"/>
        <v>,Status= "</v>
      </c>
      <c r="AJ801" s="11" t="str">
        <f>Matchs!R802</f>
        <v>Finished</v>
      </c>
      <c r="AK801" t="str">
        <f t="shared" si="246"/>
        <v>" },</v>
      </c>
    </row>
    <row r="802" spans="1:37" x14ac:dyDescent="0.25">
      <c r="A802" t="str">
        <f t="shared" si="228"/>
        <v>new Match { MatchId= "</v>
      </c>
      <c r="B802" t="str">
        <f>Matchs!A803</f>
        <v>FIFAWC2014-30</v>
      </c>
      <c r="C802" t="str">
        <f t="shared" si="229"/>
        <v>",MatchNumer=</v>
      </c>
      <c r="D802">
        <f>Matchs!B803</f>
        <v>30</v>
      </c>
      <c r="E802" t="str">
        <f t="shared" si="230"/>
        <v>,DateMatch=DateTime.Parse("</v>
      </c>
      <c r="F802" s="3">
        <f>Matchs!C803</f>
        <v>41812</v>
      </c>
      <c r="G802" s="10" t="str">
        <f t="shared" si="231"/>
        <v>"),TimeMatch=TimeSpan.Parse("</v>
      </c>
      <c r="H802" s="9">
        <f>Matchs!D803</f>
        <v>0.95833333333333337</v>
      </c>
      <c r="I802" t="str">
        <f t="shared" si="232"/>
        <v>"),MatchYear=</v>
      </c>
      <c r="J802">
        <f>Matchs!E803</f>
        <v>2014</v>
      </c>
      <c r="K802" t="str">
        <f t="shared" si="233"/>
        <v>, SeasonId= "</v>
      </c>
      <c r="L802" t="str">
        <f>Matchs!F803</f>
        <v>FIFAWC2014</v>
      </c>
      <c r="M802" t="str">
        <f t="shared" si="234"/>
        <v>",Round= "</v>
      </c>
      <c r="N802" t="str">
        <f>Matchs!G803</f>
        <v>Final Round</v>
      </c>
      <c r="O802" s="6" t="str">
        <f t="shared" si="235"/>
        <v>",Stage= "</v>
      </c>
      <c r="P802" t="str">
        <f>Matchs!H803</f>
        <v>Group</v>
      </c>
      <c r="Q802" s="6" t="str">
        <f t="shared" si="236"/>
        <v>",SubStage= "</v>
      </c>
      <c r="R802" t="str">
        <f>Matchs!I803</f>
        <v xml:space="preserve">Group H </v>
      </c>
      <c r="S802" s="6" t="str">
        <f t="shared" si="237"/>
        <v>",HTeam= "</v>
      </c>
      <c r="T802" t="str">
        <f>Matchs!J803</f>
        <v>Belgium</v>
      </c>
      <c r="U802" s="6" t="str">
        <f t="shared" si="238"/>
        <v>",HGoal=</v>
      </c>
      <c r="V802">
        <f>Matchs!K803</f>
        <v>1</v>
      </c>
      <c r="W802" s="6" t="str">
        <f t="shared" si="239"/>
        <v>,GGoal=</v>
      </c>
      <c r="X802">
        <f>Matchs!L803</f>
        <v>0</v>
      </c>
      <c r="Y802" s="6" t="str">
        <f t="shared" si="240"/>
        <v>,GTeam= "</v>
      </c>
      <c r="Z802" t="str">
        <f>Matchs!M803</f>
        <v>Russia</v>
      </c>
      <c r="AA802" s="6" t="str">
        <f t="shared" si="241"/>
        <v>",WinNote="</v>
      </c>
      <c r="AB802" t="str">
        <f>IF(Matchs!N803="","",Matchs!N803)</f>
        <v/>
      </c>
      <c r="AC802" s="6" t="str">
        <f t="shared" si="242"/>
        <v xml:space="preserve">",Stadium=" </v>
      </c>
      <c r="AD802" s="11" t="str">
        <f>Matchs!O803</f>
        <v xml:space="preserve">Estádio do Maracanã </v>
      </c>
      <c r="AE802" s="6" t="str">
        <f t="shared" si="243"/>
        <v>",Referee= "</v>
      </c>
      <c r="AF802" s="11" t="str">
        <f>Matchs!P803</f>
        <v xml:space="preserve">Felix Brych </v>
      </c>
      <c r="AG802" s="6" t="str">
        <f t="shared" si="244"/>
        <v xml:space="preserve">",Visistors= </v>
      </c>
      <c r="AH802" s="11">
        <f>Matchs!Q803</f>
        <v>73819</v>
      </c>
      <c r="AI802" s="11" t="str">
        <f t="shared" si="245"/>
        <v>,Status= "</v>
      </c>
      <c r="AJ802" s="11" t="str">
        <f>Matchs!R803</f>
        <v>Finished</v>
      </c>
      <c r="AK802" t="str">
        <f t="shared" si="246"/>
        <v>" },</v>
      </c>
    </row>
    <row r="803" spans="1:37" x14ac:dyDescent="0.25">
      <c r="A803" t="str">
        <f t="shared" si="228"/>
        <v>new Match { MatchId= "</v>
      </c>
      <c r="B803" t="str">
        <f>Matchs!A804</f>
        <v>FIFAWC2014-31</v>
      </c>
      <c r="C803" t="str">
        <f t="shared" si="229"/>
        <v>",MatchNumer=</v>
      </c>
      <c r="D803">
        <f>Matchs!B804</f>
        <v>31</v>
      </c>
      <c r="E803" t="str">
        <f t="shared" si="230"/>
        <v>,DateMatch=DateTime.Parse("</v>
      </c>
      <c r="F803" s="3">
        <f>Matchs!C804</f>
        <v>41813</v>
      </c>
      <c r="G803" s="10" t="str">
        <f t="shared" si="231"/>
        <v>"),TimeMatch=TimeSpan.Parse("</v>
      </c>
      <c r="H803" s="9">
        <f>Matchs!D804</f>
        <v>8.3333333333333329E-2</v>
      </c>
      <c r="I803" t="str">
        <f t="shared" si="232"/>
        <v>"),MatchYear=</v>
      </c>
      <c r="J803">
        <f>Matchs!E804</f>
        <v>2014</v>
      </c>
      <c r="K803" t="str">
        <f t="shared" si="233"/>
        <v>, SeasonId= "</v>
      </c>
      <c r="L803" t="str">
        <f>Matchs!F804</f>
        <v>FIFAWC2014</v>
      </c>
      <c r="M803" t="str">
        <f t="shared" si="234"/>
        <v>",Round= "</v>
      </c>
      <c r="N803" t="str">
        <f>Matchs!G804</f>
        <v>Final Round</v>
      </c>
      <c r="O803" s="6" t="str">
        <f t="shared" si="235"/>
        <v>",Stage= "</v>
      </c>
      <c r="P803" t="str">
        <f>Matchs!H804</f>
        <v>Group</v>
      </c>
      <c r="Q803" s="6" t="str">
        <f t="shared" si="236"/>
        <v>",SubStage= "</v>
      </c>
      <c r="R803" t="str">
        <f>Matchs!I804</f>
        <v xml:space="preserve">Group H </v>
      </c>
      <c r="S803" s="6" t="str">
        <f t="shared" si="237"/>
        <v>",HTeam= "</v>
      </c>
      <c r="T803" t="str">
        <f>Matchs!J804</f>
        <v>South Korea</v>
      </c>
      <c r="U803" s="6" t="str">
        <f t="shared" si="238"/>
        <v>",HGoal=</v>
      </c>
      <c r="V803">
        <f>Matchs!K804</f>
        <v>2</v>
      </c>
      <c r="W803" s="6" t="str">
        <f t="shared" si="239"/>
        <v>,GGoal=</v>
      </c>
      <c r="X803">
        <f>Matchs!L804</f>
        <v>4</v>
      </c>
      <c r="Y803" s="6" t="str">
        <f t="shared" si="240"/>
        <v>,GTeam= "</v>
      </c>
      <c r="Z803" t="str">
        <f>Matchs!M804</f>
        <v>Algeria</v>
      </c>
      <c r="AA803" s="6" t="str">
        <f t="shared" si="241"/>
        <v>",WinNote="</v>
      </c>
      <c r="AB803" t="str">
        <f>IF(Matchs!N804="","",Matchs!N804)</f>
        <v/>
      </c>
      <c r="AC803" s="6" t="str">
        <f t="shared" si="242"/>
        <v xml:space="preserve">",Stadium=" </v>
      </c>
      <c r="AD803" s="11" t="str">
        <f>Matchs!O804</f>
        <v xml:space="preserve">Estádio Beira-Rio </v>
      </c>
      <c r="AE803" s="6" t="str">
        <f t="shared" si="243"/>
        <v>",Referee= "</v>
      </c>
      <c r="AF803" s="11" t="str">
        <f>Matchs!P804</f>
        <v xml:space="preserve">Wilmar Roldan </v>
      </c>
      <c r="AG803" s="6" t="str">
        <f t="shared" si="244"/>
        <v xml:space="preserve">",Visistors= </v>
      </c>
      <c r="AH803" s="11">
        <f>Matchs!Q804</f>
        <v>42732</v>
      </c>
      <c r="AI803" s="11" t="str">
        <f t="shared" si="245"/>
        <v>,Status= "</v>
      </c>
      <c r="AJ803" s="11" t="str">
        <f>Matchs!R804</f>
        <v>Finished</v>
      </c>
      <c r="AK803" t="str">
        <f t="shared" si="246"/>
        <v>" },</v>
      </c>
    </row>
    <row r="804" spans="1:37" x14ac:dyDescent="0.25">
      <c r="A804" t="str">
        <f t="shared" si="228"/>
        <v>new Match { MatchId= "</v>
      </c>
      <c r="B804" t="str">
        <f>Matchs!A805</f>
        <v>FIFAWC2014-32</v>
      </c>
      <c r="C804" t="str">
        <f t="shared" si="229"/>
        <v>",MatchNumer=</v>
      </c>
      <c r="D804">
        <f>Matchs!B805</f>
        <v>32</v>
      </c>
      <c r="E804" t="str">
        <f t="shared" si="230"/>
        <v>,DateMatch=DateTime.Parse("</v>
      </c>
      <c r="F804" s="3">
        <f>Matchs!C805</f>
        <v>41813</v>
      </c>
      <c r="G804" s="10" t="str">
        <f t="shared" si="231"/>
        <v>"),TimeMatch=TimeSpan.Parse("</v>
      </c>
      <c r="H804" s="9">
        <f>Matchs!D805</f>
        <v>0.20833333333333334</v>
      </c>
      <c r="I804" t="str">
        <f t="shared" si="232"/>
        <v>"),MatchYear=</v>
      </c>
      <c r="J804">
        <f>Matchs!E805</f>
        <v>2014</v>
      </c>
      <c r="K804" t="str">
        <f t="shared" si="233"/>
        <v>, SeasonId= "</v>
      </c>
      <c r="L804" t="str">
        <f>Matchs!F805</f>
        <v>FIFAWC2014</v>
      </c>
      <c r="M804" t="str">
        <f t="shared" si="234"/>
        <v>",Round= "</v>
      </c>
      <c r="N804" t="str">
        <f>Matchs!G805</f>
        <v>Final Round</v>
      </c>
      <c r="O804" s="6" t="str">
        <f t="shared" si="235"/>
        <v>",Stage= "</v>
      </c>
      <c r="P804" t="str">
        <f>Matchs!H805</f>
        <v>Group</v>
      </c>
      <c r="Q804" s="6" t="str">
        <f t="shared" si="236"/>
        <v>",SubStage= "</v>
      </c>
      <c r="R804" t="str">
        <f>Matchs!I805</f>
        <v xml:space="preserve">Group G </v>
      </c>
      <c r="S804" s="6" t="str">
        <f t="shared" si="237"/>
        <v>",HTeam= "</v>
      </c>
      <c r="T804" t="str">
        <f>Matchs!J805</f>
        <v>USA</v>
      </c>
      <c r="U804" s="6" t="str">
        <f t="shared" si="238"/>
        <v>",HGoal=</v>
      </c>
      <c r="V804">
        <f>Matchs!K805</f>
        <v>2</v>
      </c>
      <c r="W804" s="6" t="str">
        <f t="shared" si="239"/>
        <v>,GGoal=</v>
      </c>
      <c r="X804">
        <f>Matchs!L805</f>
        <v>2</v>
      </c>
      <c r="Y804" s="6" t="str">
        <f t="shared" si="240"/>
        <v>,GTeam= "</v>
      </c>
      <c r="Z804" t="str">
        <f>Matchs!M805</f>
        <v>Portugal</v>
      </c>
      <c r="AA804" s="6" t="str">
        <f t="shared" si="241"/>
        <v>",WinNote="</v>
      </c>
      <c r="AB804" t="str">
        <f>IF(Matchs!N805="","",Matchs!N805)</f>
        <v/>
      </c>
      <c r="AC804" s="6" t="str">
        <f t="shared" si="242"/>
        <v xml:space="preserve">",Stadium=" </v>
      </c>
      <c r="AD804" s="11" t="str">
        <f>Matchs!O805</f>
        <v xml:space="preserve">Arena Amazonia </v>
      </c>
      <c r="AE804" s="6" t="str">
        <f t="shared" si="243"/>
        <v>",Referee= "</v>
      </c>
      <c r="AF804" s="11" t="str">
        <f>Matchs!P805</f>
        <v xml:space="preserve">Nestor Pitana </v>
      </c>
      <c r="AG804" s="6" t="str">
        <f t="shared" si="244"/>
        <v xml:space="preserve">",Visistors= </v>
      </c>
      <c r="AH804" s="11">
        <f>Matchs!Q805</f>
        <v>40123</v>
      </c>
      <c r="AI804" s="11" t="str">
        <f t="shared" si="245"/>
        <v>,Status= "</v>
      </c>
      <c r="AJ804" s="11" t="str">
        <f>Matchs!R805</f>
        <v>Finished</v>
      </c>
      <c r="AK804" t="str">
        <f t="shared" si="246"/>
        <v>" },</v>
      </c>
    </row>
    <row r="805" spans="1:37" x14ac:dyDescent="0.25">
      <c r="A805" t="str">
        <f t="shared" si="228"/>
        <v>new Match { MatchId= "</v>
      </c>
      <c r="B805" t="str">
        <f>Matchs!A806</f>
        <v>FIFAWC2014-33</v>
      </c>
      <c r="C805" t="str">
        <f t="shared" si="229"/>
        <v>",MatchNumer=</v>
      </c>
      <c r="D805">
        <f>Matchs!B806</f>
        <v>33</v>
      </c>
      <c r="E805" t="str">
        <f t="shared" si="230"/>
        <v>,DateMatch=DateTime.Parse("</v>
      </c>
      <c r="F805" s="3">
        <f>Matchs!C806</f>
        <v>41813</v>
      </c>
      <c r="G805" s="10" t="str">
        <f t="shared" si="231"/>
        <v>"),TimeMatch=TimeSpan.Parse("</v>
      </c>
      <c r="H805" s="9">
        <f>Matchs!D806</f>
        <v>0.95833333333333337</v>
      </c>
      <c r="I805" t="str">
        <f t="shared" si="232"/>
        <v>"),MatchYear=</v>
      </c>
      <c r="J805">
        <f>Matchs!E806</f>
        <v>2014</v>
      </c>
      <c r="K805" t="str">
        <f t="shared" si="233"/>
        <v>, SeasonId= "</v>
      </c>
      <c r="L805" t="str">
        <f>Matchs!F806</f>
        <v>FIFAWC2014</v>
      </c>
      <c r="M805" t="str">
        <f t="shared" si="234"/>
        <v>",Round= "</v>
      </c>
      <c r="N805" t="str">
        <f>Matchs!G806</f>
        <v>Final Round</v>
      </c>
      <c r="O805" s="6" t="str">
        <f t="shared" si="235"/>
        <v>",Stage= "</v>
      </c>
      <c r="P805" t="str">
        <f>Matchs!H806</f>
        <v>Group</v>
      </c>
      <c r="Q805" s="6" t="str">
        <f t="shared" si="236"/>
        <v>",SubStage= "</v>
      </c>
      <c r="R805" t="str">
        <f>Matchs!I806</f>
        <v xml:space="preserve">Group B </v>
      </c>
      <c r="S805" s="6" t="str">
        <f t="shared" si="237"/>
        <v>",HTeam= "</v>
      </c>
      <c r="T805" t="str">
        <f>Matchs!J806</f>
        <v>Netherlands</v>
      </c>
      <c r="U805" s="6" t="str">
        <f t="shared" si="238"/>
        <v>",HGoal=</v>
      </c>
      <c r="V805">
        <f>Matchs!K806</f>
        <v>2</v>
      </c>
      <c r="W805" s="6" t="str">
        <f t="shared" si="239"/>
        <v>,GGoal=</v>
      </c>
      <c r="X805">
        <f>Matchs!L806</f>
        <v>0</v>
      </c>
      <c r="Y805" s="6" t="str">
        <f t="shared" si="240"/>
        <v>,GTeam= "</v>
      </c>
      <c r="Z805" t="str">
        <f>Matchs!M806</f>
        <v>Chile</v>
      </c>
      <c r="AA805" s="6" t="str">
        <f t="shared" si="241"/>
        <v>",WinNote="</v>
      </c>
      <c r="AB805" t="str">
        <f>IF(Matchs!N806="","",Matchs!N806)</f>
        <v/>
      </c>
      <c r="AC805" s="6" t="str">
        <f t="shared" si="242"/>
        <v xml:space="preserve">",Stadium=" </v>
      </c>
      <c r="AD805" s="11" t="str">
        <f>Matchs!O806</f>
        <v xml:space="preserve">Arena de Sao Paulo </v>
      </c>
      <c r="AE805" s="6" t="str">
        <f t="shared" si="243"/>
        <v>",Referee= "</v>
      </c>
      <c r="AF805" s="11" t="str">
        <f>Matchs!P806</f>
        <v xml:space="preserve">Bakary Gassama </v>
      </c>
      <c r="AG805" s="6" t="str">
        <f t="shared" si="244"/>
        <v xml:space="preserve">",Visistors= </v>
      </c>
      <c r="AH805" s="11">
        <f>Matchs!Q806</f>
        <v>62996</v>
      </c>
      <c r="AI805" s="11" t="str">
        <f t="shared" si="245"/>
        <v>,Status= "</v>
      </c>
      <c r="AJ805" s="11" t="str">
        <f>Matchs!R806</f>
        <v>Finished</v>
      </c>
      <c r="AK805" t="str">
        <f t="shared" si="246"/>
        <v>" },</v>
      </c>
    </row>
    <row r="806" spans="1:37" x14ac:dyDescent="0.25">
      <c r="A806" t="str">
        <f t="shared" si="228"/>
        <v>new Match { MatchId= "</v>
      </c>
      <c r="B806" t="str">
        <f>Matchs!A807</f>
        <v>FIFAWC2014-34</v>
      </c>
      <c r="C806" t="str">
        <f t="shared" si="229"/>
        <v>",MatchNumer=</v>
      </c>
      <c r="D806">
        <f>Matchs!B807</f>
        <v>34</v>
      </c>
      <c r="E806" t="str">
        <f t="shared" si="230"/>
        <v>,DateMatch=DateTime.Parse("</v>
      </c>
      <c r="F806" s="3">
        <f>Matchs!C807</f>
        <v>41813</v>
      </c>
      <c r="G806" s="10" t="str">
        <f t="shared" si="231"/>
        <v>"),TimeMatch=TimeSpan.Parse("</v>
      </c>
      <c r="H806" s="9">
        <f>Matchs!D807</f>
        <v>0.95833333333333337</v>
      </c>
      <c r="I806" t="str">
        <f t="shared" si="232"/>
        <v>"),MatchYear=</v>
      </c>
      <c r="J806">
        <f>Matchs!E807</f>
        <v>2014</v>
      </c>
      <c r="K806" t="str">
        <f t="shared" si="233"/>
        <v>, SeasonId= "</v>
      </c>
      <c r="L806" t="str">
        <f>Matchs!F807</f>
        <v>FIFAWC2014</v>
      </c>
      <c r="M806" t="str">
        <f t="shared" si="234"/>
        <v>",Round= "</v>
      </c>
      <c r="N806" t="str">
        <f>Matchs!G807</f>
        <v>Final Round</v>
      </c>
      <c r="O806" s="6" t="str">
        <f t="shared" si="235"/>
        <v>",Stage= "</v>
      </c>
      <c r="P806" t="str">
        <f>Matchs!H807</f>
        <v>Group</v>
      </c>
      <c r="Q806" s="6" t="str">
        <f t="shared" si="236"/>
        <v>",SubStage= "</v>
      </c>
      <c r="R806" t="str">
        <f>Matchs!I807</f>
        <v xml:space="preserve">Group B </v>
      </c>
      <c r="S806" s="6" t="str">
        <f t="shared" si="237"/>
        <v>",HTeam= "</v>
      </c>
      <c r="T806" t="str">
        <f>Matchs!J807</f>
        <v>Australia</v>
      </c>
      <c r="U806" s="6" t="str">
        <f t="shared" si="238"/>
        <v>",HGoal=</v>
      </c>
      <c r="V806">
        <f>Matchs!K807</f>
        <v>0</v>
      </c>
      <c r="W806" s="6" t="str">
        <f t="shared" si="239"/>
        <v>,GGoal=</v>
      </c>
      <c r="X806">
        <f>Matchs!L807</f>
        <v>3</v>
      </c>
      <c r="Y806" s="6" t="str">
        <f t="shared" si="240"/>
        <v>,GTeam= "</v>
      </c>
      <c r="Z806" t="str">
        <f>Matchs!M807</f>
        <v>Spain</v>
      </c>
      <c r="AA806" s="6" t="str">
        <f t="shared" si="241"/>
        <v>",WinNote="</v>
      </c>
      <c r="AB806" t="str">
        <f>IF(Matchs!N807="","",Matchs!N807)</f>
        <v/>
      </c>
      <c r="AC806" s="6" t="str">
        <f t="shared" si="242"/>
        <v xml:space="preserve">",Stadium=" </v>
      </c>
      <c r="AD806" s="11" t="str">
        <f>Matchs!O807</f>
        <v xml:space="preserve">Arena de Baixada </v>
      </c>
      <c r="AE806" s="6" t="str">
        <f t="shared" si="243"/>
        <v>",Referee= "</v>
      </c>
      <c r="AF806" s="11" t="str">
        <f>Matchs!P807</f>
        <v xml:space="preserve">Nawaf Shukralla </v>
      </c>
      <c r="AG806" s="6" t="str">
        <f t="shared" si="244"/>
        <v xml:space="preserve">",Visistors= </v>
      </c>
      <c r="AH806" s="11">
        <f>Matchs!Q807</f>
        <v>39375</v>
      </c>
      <c r="AI806" s="11" t="str">
        <f t="shared" si="245"/>
        <v>,Status= "</v>
      </c>
      <c r="AJ806" s="11" t="str">
        <f>Matchs!R807</f>
        <v>Finished</v>
      </c>
      <c r="AK806" t="str">
        <f t="shared" si="246"/>
        <v>" },</v>
      </c>
    </row>
    <row r="807" spans="1:37" x14ac:dyDescent="0.25">
      <c r="A807" t="str">
        <f t="shared" si="228"/>
        <v>new Match { MatchId= "</v>
      </c>
      <c r="B807" t="str">
        <f>Matchs!A808</f>
        <v>FIFAWC2014-35</v>
      </c>
      <c r="C807" t="str">
        <f t="shared" si="229"/>
        <v>",MatchNumer=</v>
      </c>
      <c r="D807">
        <f>Matchs!B808</f>
        <v>35</v>
      </c>
      <c r="E807" t="str">
        <f t="shared" si="230"/>
        <v>,DateMatch=DateTime.Parse("</v>
      </c>
      <c r="F807" s="3">
        <f>Matchs!C808</f>
        <v>41813</v>
      </c>
      <c r="G807" s="10" t="str">
        <f t="shared" si="231"/>
        <v>"),TimeMatch=TimeSpan.Parse("</v>
      </c>
      <c r="H807" s="9">
        <f>Matchs!D808</f>
        <v>0.125</v>
      </c>
      <c r="I807" t="str">
        <f t="shared" si="232"/>
        <v>"),MatchYear=</v>
      </c>
      <c r="J807">
        <f>Matchs!E808</f>
        <v>2014</v>
      </c>
      <c r="K807" t="str">
        <f t="shared" si="233"/>
        <v>, SeasonId= "</v>
      </c>
      <c r="L807" t="str">
        <f>Matchs!F808</f>
        <v>FIFAWC2014</v>
      </c>
      <c r="M807" t="str">
        <f t="shared" si="234"/>
        <v>",Round= "</v>
      </c>
      <c r="N807" t="str">
        <f>Matchs!G808</f>
        <v>Final Round</v>
      </c>
      <c r="O807" s="6" t="str">
        <f t="shared" si="235"/>
        <v>",Stage= "</v>
      </c>
      <c r="P807" t="str">
        <f>Matchs!H808</f>
        <v>Group</v>
      </c>
      <c r="Q807" s="6" t="str">
        <f t="shared" si="236"/>
        <v>",SubStage= "</v>
      </c>
      <c r="R807" t="str">
        <f>Matchs!I808</f>
        <v xml:space="preserve">Group A </v>
      </c>
      <c r="S807" s="6" t="str">
        <f t="shared" si="237"/>
        <v>",HTeam= "</v>
      </c>
      <c r="T807" t="str">
        <f>Matchs!J808</f>
        <v>Cameroon</v>
      </c>
      <c r="U807" s="6" t="str">
        <f t="shared" si="238"/>
        <v>",HGoal=</v>
      </c>
      <c r="V807">
        <f>Matchs!K808</f>
        <v>1</v>
      </c>
      <c r="W807" s="6" t="str">
        <f t="shared" si="239"/>
        <v>,GGoal=</v>
      </c>
      <c r="X807">
        <f>Matchs!L808</f>
        <v>4</v>
      </c>
      <c r="Y807" s="6" t="str">
        <f t="shared" si="240"/>
        <v>,GTeam= "</v>
      </c>
      <c r="Z807" t="str">
        <f>Matchs!M808</f>
        <v>Brazil</v>
      </c>
      <c r="AA807" s="6" t="str">
        <f t="shared" si="241"/>
        <v>",WinNote="</v>
      </c>
      <c r="AB807" t="str">
        <f>IF(Matchs!N808="","",Matchs!N808)</f>
        <v/>
      </c>
      <c r="AC807" s="6" t="str">
        <f t="shared" si="242"/>
        <v xml:space="preserve">",Stadium=" </v>
      </c>
      <c r="AD807" s="11" t="str">
        <f>Matchs!O808</f>
        <v xml:space="preserve">Estadio Nacional Mane Garrincha </v>
      </c>
      <c r="AE807" s="6" t="str">
        <f t="shared" si="243"/>
        <v>",Referee= "</v>
      </c>
      <c r="AF807" s="11" t="str">
        <f>Matchs!P808</f>
        <v xml:space="preserve">Jonas Eriksson </v>
      </c>
      <c r="AG807" s="6" t="str">
        <f t="shared" si="244"/>
        <v xml:space="preserve">",Visistors= </v>
      </c>
      <c r="AH807" s="11">
        <f>Matchs!Q808</f>
        <v>69112</v>
      </c>
      <c r="AI807" s="11" t="str">
        <f t="shared" si="245"/>
        <v>,Status= "</v>
      </c>
      <c r="AJ807" s="11" t="str">
        <f>Matchs!R808</f>
        <v>Finished</v>
      </c>
      <c r="AK807" t="str">
        <f t="shared" si="246"/>
        <v>" },</v>
      </c>
    </row>
    <row r="808" spans="1:37" x14ac:dyDescent="0.25">
      <c r="A808" t="str">
        <f t="shared" si="228"/>
        <v>new Match { MatchId= "</v>
      </c>
      <c r="B808" t="str">
        <f>Matchs!A809</f>
        <v>FIFAWC2014-36</v>
      </c>
      <c r="C808" t="str">
        <f t="shared" si="229"/>
        <v>",MatchNumer=</v>
      </c>
      <c r="D808">
        <f>Matchs!B809</f>
        <v>36</v>
      </c>
      <c r="E808" t="str">
        <f t="shared" si="230"/>
        <v>,DateMatch=DateTime.Parse("</v>
      </c>
      <c r="F808" s="3">
        <f>Matchs!C809</f>
        <v>41813</v>
      </c>
      <c r="G808" s="10" t="str">
        <f t="shared" si="231"/>
        <v>"),TimeMatch=TimeSpan.Parse("</v>
      </c>
      <c r="H808" s="9">
        <f>Matchs!D809</f>
        <v>0.125</v>
      </c>
      <c r="I808" t="str">
        <f t="shared" si="232"/>
        <v>"),MatchYear=</v>
      </c>
      <c r="J808">
        <f>Matchs!E809</f>
        <v>2014</v>
      </c>
      <c r="K808" t="str">
        <f t="shared" si="233"/>
        <v>, SeasonId= "</v>
      </c>
      <c r="L808" t="str">
        <f>Matchs!F809</f>
        <v>FIFAWC2014</v>
      </c>
      <c r="M808" t="str">
        <f t="shared" si="234"/>
        <v>",Round= "</v>
      </c>
      <c r="N808" t="str">
        <f>Matchs!G809</f>
        <v>Final Round</v>
      </c>
      <c r="O808" s="6" t="str">
        <f t="shared" si="235"/>
        <v>",Stage= "</v>
      </c>
      <c r="P808" t="str">
        <f>Matchs!H809</f>
        <v>Group</v>
      </c>
      <c r="Q808" s="6" t="str">
        <f t="shared" si="236"/>
        <v>",SubStage= "</v>
      </c>
      <c r="R808" t="str">
        <f>Matchs!I809</f>
        <v xml:space="preserve">Group A </v>
      </c>
      <c r="S808" s="6" t="str">
        <f t="shared" si="237"/>
        <v>",HTeam= "</v>
      </c>
      <c r="T808" t="str">
        <f>Matchs!J809</f>
        <v>Croatia</v>
      </c>
      <c r="U808" s="6" t="str">
        <f t="shared" si="238"/>
        <v>",HGoal=</v>
      </c>
      <c r="V808">
        <f>Matchs!K809</f>
        <v>1</v>
      </c>
      <c r="W808" s="6" t="str">
        <f t="shared" si="239"/>
        <v>,GGoal=</v>
      </c>
      <c r="X808">
        <f>Matchs!L809</f>
        <v>3</v>
      </c>
      <c r="Y808" s="6" t="str">
        <f t="shared" si="240"/>
        <v>,GTeam= "</v>
      </c>
      <c r="Z808" t="str">
        <f>Matchs!M809</f>
        <v>Mexico</v>
      </c>
      <c r="AA808" s="6" t="str">
        <f t="shared" si="241"/>
        <v>",WinNote="</v>
      </c>
      <c r="AB808" t="str">
        <f>IF(Matchs!N809="","",Matchs!N809)</f>
        <v/>
      </c>
      <c r="AC808" s="6" t="str">
        <f t="shared" si="242"/>
        <v xml:space="preserve">",Stadium=" </v>
      </c>
      <c r="AD808" s="11" t="str">
        <f>Matchs!O809</f>
        <v xml:space="preserve">Arena Pernambucano </v>
      </c>
      <c r="AE808" s="6" t="str">
        <f t="shared" si="243"/>
        <v>",Referee= "</v>
      </c>
      <c r="AF808" s="11" t="str">
        <f>Matchs!P809</f>
        <v xml:space="preserve">Ravshan Irmatov </v>
      </c>
      <c r="AG808" s="6" t="str">
        <f t="shared" si="244"/>
        <v xml:space="preserve">",Visistors= </v>
      </c>
      <c r="AH808" s="11">
        <f>Matchs!Q809</f>
        <v>41212</v>
      </c>
      <c r="AI808" s="11" t="str">
        <f t="shared" si="245"/>
        <v>,Status= "</v>
      </c>
      <c r="AJ808" s="11" t="str">
        <f>Matchs!R809</f>
        <v>Finished</v>
      </c>
      <c r="AK808" t="str">
        <f t="shared" si="246"/>
        <v>" },</v>
      </c>
    </row>
    <row r="809" spans="1:37" x14ac:dyDescent="0.25">
      <c r="A809" t="str">
        <f t="shared" si="228"/>
        <v>new Match { MatchId= "</v>
      </c>
      <c r="B809" t="str">
        <f>Matchs!A810</f>
        <v>FIFAWC2014-37</v>
      </c>
      <c r="C809" t="str">
        <f t="shared" si="229"/>
        <v>",MatchNumer=</v>
      </c>
      <c r="D809">
        <f>Matchs!B810</f>
        <v>37</v>
      </c>
      <c r="E809" t="str">
        <f t="shared" si="230"/>
        <v>,DateMatch=DateTime.Parse("</v>
      </c>
      <c r="F809" s="3">
        <f>Matchs!C810</f>
        <v>41814</v>
      </c>
      <c r="G809" s="10" t="str">
        <f t="shared" si="231"/>
        <v>"),TimeMatch=TimeSpan.Parse("</v>
      </c>
      <c r="H809" s="9">
        <f>Matchs!D810</f>
        <v>0.95833333333333337</v>
      </c>
      <c r="I809" t="str">
        <f t="shared" si="232"/>
        <v>"),MatchYear=</v>
      </c>
      <c r="J809">
        <f>Matchs!E810</f>
        <v>2014</v>
      </c>
      <c r="K809" t="str">
        <f t="shared" si="233"/>
        <v>, SeasonId= "</v>
      </c>
      <c r="L809" t="str">
        <f>Matchs!F810</f>
        <v>FIFAWC2014</v>
      </c>
      <c r="M809" t="str">
        <f t="shared" si="234"/>
        <v>",Round= "</v>
      </c>
      <c r="N809" t="str">
        <f>Matchs!G810</f>
        <v>Final Round</v>
      </c>
      <c r="O809" s="6" t="str">
        <f t="shared" si="235"/>
        <v>",Stage= "</v>
      </c>
      <c r="P809" t="str">
        <f>Matchs!H810</f>
        <v>Group</v>
      </c>
      <c r="Q809" s="6" t="str">
        <f t="shared" si="236"/>
        <v>",SubStage= "</v>
      </c>
      <c r="R809" t="str">
        <f>Matchs!I810</f>
        <v xml:space="preserve">Group D </v>
      </c>
      <c r="S809" s="6" t="str">
        <f t="shared" si="237"/>
        <v>",HTeam= "</v>
      </c>
      <c r="T809" t="str">
        <f>Matchs!J810</f>
        <v>Italy</v>
      </c>
      <c r="U809" s="6" t="str">
        <f t="shared" si="238"/>
        <v>",HGoal=</v>
      </c>
      <c r="V809">
        <f>Matchs!K810</f>
        <v>0</v>
      </c>
      <c r="W809" s="6" t="str">
        <f t="shared" si="239"/>
        <v>,GGoal=</v>
      </c>
      <c r="X809">
        <f>Matchs!L810</f>
        <v>1</v>
      </c>
      <c r="Y809" s="6" t="str">
        <f t="shared" si="240"/>
        <v>,GTeam= "</v>
      </c>
      <c r="Z809" t="str">
        <f>Matchs!M810</f>
        <v>Uruguay</v>
      </c>
      <c r="AA809" s="6" t="str">
        <f t="shared" si="241"/>
        <v>",WinNote="</v>
      </c>
      <c r="AB809" t="str">
        <f>IF(Matchs!N810="","",Matchs!N810)</f>
        <v/>
      </c>
      <c r="AC809" s="6" t="str">
        <f t="shared" si="242"/>
        <v xml:space="preserve">",Stadium=" </v>
      </c>
      <c r="AD809" s="11" t="str">
        <f>Matchs!O810</f>
        <v xml:space="preserve">Arena das Dunas </v>
      </c>
      <c r="AE809" s="6" t="str">
        <f t="shared" si="243"/>
        <v>",Referee= "</v>
      </c>
      <c r="AF809" s="11" t="str">
        <f>Matchs!P810</f>
        <v xml:space="preserve">Marco Rodríguez </v>
      </c>
      <c r="AG809" s="6" t="str">
        <f t="shared" si="244"/>
        <v xml:space="preserve">",Visistors= </v>
      </c>
      <c r="AH809" s="11">
        <f>Matchs!Q810</f>
        <v>39706</v>
      </c>
      <c r="AI809" s="11" t="str">
        <f t="shared" si="245"/>
        <v>,Status= "</v>
      </c>
      <c r="AJ809" s="11" t="str">
        <f>Matchs!R810</f>
        <v>Finished</v>
      </c>
      <c r="AK809" t="str">
        <f t="shared" si="246"/>
        <v>" },</v>
      </c>
    </row>
    <row r="810" spans="1:37" x14ac:dyDescent="0.25">
      <c r="A810" t="str">
        <f t="shared" si="228"/>
        <v>new Match { MatchId= "</v>
      </c>
      <c r="B810" t="str">
        <f>Matchs!A811</f>
        <v>FIFAWC2014-38</v>
      </c>
      <c r="C810" t="str">
        <f t="shared" si="229"/>
        <v>",MatchNumer=</v>
      </c>
      <c r="D810">
        <f>Matchs!B811</f>
        <v>38</v>
      </c>
      <c r="E810" t="str">
        <f t="shared" si="230"/>
        <v>,DateMatch=DateTime.Parse("</v>
      </c>
      <c r="F810" s="3">
        <f>Matchs!C811</f>
        <v>41814</v>
      </c>
      <c r="G810" s="10" t="str">
        <f t="shared" si="231"/>
        <v>"),TimeMatch=TimeSpan.Parse("</v>
      </c>
      <c r="H810" s="9">
        <f>Matchs!D811</f>
        <v>0.95833333333333337</v>
      </c>
      <c r="I810" t="str">
        <f t="shared" si="232"/>
        <v>"),MatchYear=</v>
      </c>
      <c r="J810">
        <f>Matchs!E811</f>
        <v>2014</v>
      </c>
      <c r="K810" t="str">
        <f t="shared" si="233"/>
        <v>, SeasonId= "</v>
      </c>
      <c r="L810" t="str">
        <f>Matchs!F811</f>
        <v>FIFAWC2014</v>
      </c>
      <c r="M810" t="str">
        <f t="shared" si="234"/>
        <v>",Round= "</v>
      </c>
      <c r="N810" t="str">
        <f>Matchs!G811</f>
        <v>Final Round</v>
      </c>
      <c r="O810" s="6" t="str">
        <f t="shared" si="235"/>
        <v>",Stage= "</v>
      </c>
      <c r="P810" t="str">
        <f>Matchs!H811</f>
        <v>Group</v>
      </c>
      <c r="Q810" s="6" t="str">
        <f t="shared" si="236"/>
        <v>",SubStage= "</v>
      </c>
      <c r="R810" t="str">
        <f>Matchs!I811</f>
        <v xml:space="preserve">Group D </v>
      </c>
      <c r="S810" s="6" t="str">
        <f t="shared" si="237"/>
        <v>",HTeam= "</v>
      </c>
      <c r="T810" t="str">
        <f>Matchs!J811</f>
        <v>Costa Rica</v>
      </c>
      <c r="U810" s="6" t="str">
        <f t="shared" si="238"/>
        <v>",HGoal=</v>
      </c>
      <c r="V810">
        <f>Matchs!K811</f>
        <v>0</v>
      </c>
      <c r="W810" s="6" t="str">
        <f t="shared" si="239"/>
        <v>,GGoal=</v>
      </c>
      <c r="X810">
        <f>Matchs!L811</f>
        <v>0</v>
      </c>
      <c r="Y810" s="6" t="str">
        <f t="shared" si="240"/>
        <v>,GTeam= "</v>
      </c>
      <c r="Z810" t="str">
        <f>Matchs!M811</f>
        <v>England</v>
      </c>
      <c r="AA810" s="6" t="str">
        <f t="shared" si="241"/>
        <v>",WinNote="</v>
      </c>
      <c r="AB810" t="str">
        <f>IF(Matchs!N811="","",Matchs!N811)</f>
        <v/>
      </c>
      <c r="AC810" s="6" t="str">
        <f t="shared" si="242"/>
        <v xml:space="preserve">",Stadium=" </v>
      </c>
      <c r="AD810" s="11" t="str">
        <f>Matchs!O811</f>
        <v xml:space="preserve">Mineirão </v>
      </c>
      <c r="AE810" s="6" t="str">
        <f t="shared" si="243"/>
        <v>",Referee= "</v>
      </c>
      <c r="AF810" s="11" t="str">
        <f>Matchs!P811</f>
        <v xml:space="preserve">Djamel Haimoudi </v>
      </c>
      <c r="AG810" s="6" t="str">
        <f t="shared" si="244"/>
        <v xml:space="preserve">",Visistors= </v>
      </c>
      <c r="AH810" s="11">
        <f>Matchs!Q811</f>
        <v>57823</v>
      </c>
      <c r="AI810" s="11" t="str">
        <f t="shared" si="245"/>
        <v>,Status= "</v>
      </c>
      <c r="AJ810" s="11" t="str">
        <f>Matchs!R811</f>
        <v>Finished</v>
      </c>
      <c r="AK810" t="str">
        <f t="shared" si="246"/>
        <v>" },</v>
      </c>
    </row>
    <row r="811" spans="1:37" x14ac:dyDescent="0.25">
      <c r="A811" t="str">
        <f t="shared" si="228"/>
        <v>new Match { MatchId= "</v>
      </c>
      <c r="B811" t="str">
        <f>Matchs!A812</f>
        <v>FIFAWC2014-39</v>
      </c>
      <c r="C811" t="str">
        <f t="shared" si="229"/>
        <v>",MatchNumer=</v>
      </c>
      <c r="D811">
        <f>Matchs!B812</f>
        <v>39</v>
      </c>
      <c r="E811" t="str">
        <f t="shared" si="230"/>
        <v>,DateMatch=DateTime.Parse("</v>
      </c>
      <c r="F811" s="3">
        <f>Matchs!C812</f>
        <v>41815</v>
      </c>
      <c r="G811" s="10" t="str">
        <f t="shared" si="231"/>
        <v>"),TimeMatch=TimeSpan.Parse("</v>
      </c>
      <c r="H811" s="9">
        <f>Matchs!D812</f>
        <v>0.125</v>
      </c>
      <c r="I811" t="str">
        <f t="shared" si="232"/>
        <v>"),MatchYear=</v>
      </c>
      <c r="J811">
        <f>Matchs!E812</f>
        <v>2014</v>
      </c>
      <c r="K811" t="str">
        <f t="shared" si="233"/>
        <v>, SeasonId= "</v>
      </c>
      <c r="L811" t="str">
        <f>Matchs!F812</f>
        <v>FIFAWC2014</v>
      </c>
      <c r="M811" t="str">
        <f t="shared" si="234"/>
        <v>",Round= "</v>
      </c>
      <c r="N811" t="str">
        <f>Matchs!G812</f>
        <v>Final Round</v>
      </c>
      <c r="O811" s="6" t="str">
        <f t="shared" si="235"/>
        <v>",Stage= "</v>
      </c>
      <c r="P811" t="str">
        <f>Matchs!H812</f>
        <v>Group</v>
      </c>
      <c r="Q811" s="6" t="str">
        <f t="shared" si="236"/>
        <v>",SubStage= "</v>
      </c>
      <c r="R811" t="str">
        <f>Matchs!I812</f>
        <v xml:space="preserve">Group C </v>
      </c>
      <c r="S811" s="6" t="str">
        <f t="shared" si="237"/>
        <v>",HTeam= "</v>
      </c>
      <c r="T811" t="str">
        <f>Matchs!J812</f>
        <v>Greece</v>
      </c>
      <c r="U811" s="6" t="str">
        <f t="shared" si="238"/>
        <v>",HGoal=</v>
      </c>
      <c r="V811">
        <f>Matchs!K812</f>
        <v>2</v>
      </c>
      <c r="W811" s="6" t="str">
        <f t="shared" si="239"/>
        <v>,GGoal=</v>
      </c>
      <c r="X811">
        <f>Matchs!L812</f>
        <v>1</v>
      </c>
      <c r="Y811" s="6" t="str">
        <f t="shared" si="240"/>
        <v>,GTeam= "</v>
      </c>
      <c r="Z811" t="str">
        <f>Matchs!M812</f>
        <v>Cote D'Ivoire</v>
      </c>
      <c r="AA811" s="6" t="str">
        <f t="shared" si="241"/>
        <v>",WinNote="</v>
      </c>
      <c r="AB811" t="str">
        <f>IF(Matchs!N812="","",Matchs!N812)</f>
        <v/>
      </c>
      <c r="AC811" s="6" t="str">
        <f t="shared" si="242"/>
        <v xml:space="preserve">",Stadium=" </v>
      </c>
      <c r="AD811" s="11" t="str">
        <f>Matchs!O812</f>
        <v xml:space="preserve">Estadio Castelao </v>
      </c>
      <c r="AE811" s="6" t="str">
        <f t="shared" si="243"/>
        <v>",Referee= "</v>
      </c>
      <c r="AF811" s="11" t="str">
        <f>Matchs!P812</f>
        <v xml:space="preserve">Carlos Vera </v>
      </c>
      <c r="AG811" s="6" t="str">
        <f t="shared" si="244"/>
        <v xml:space="preserve">",Visistors= </v>
      </c>
      <c r="AH811" s="11">
        <f>Matchs!Q812</f>
        <v>59095</v>
      </c>
      <c r="AI811" s="11" t="str">
        <f t="shared" si="245"/>
        <v>,Status= "</v>
      </c>
      <c r="AJ811" s="11" t="str">
        <f>Matchs!R812</f>
        <v>Finished</v>
      </c>
      <c r="AK811" t="str">
        <f t="shared" si="246"/>
        <v>" },</v>
      </c>
    </row>
    <row r="812" spans="1:37" x14ac:dyDescent="0.25">
      <c r="A812" t="str">
        <f t="shared" si="228"/>
        <v>new Match { MatchId= "</v>
      </c>
      <c r="B812" t="str">
        <f>Matchs!A813</f>
        <v>FIFAWC2014-40</v>
      </c>
      <c r="C812" t="str">
        <f t="shared" si="229"/>
        <v>",MatchNumer=</v>
      </c>
      <c r="D812">
        <f>Matchs!B813</f>
        <v>40</v>
      </c>
      <c r="E812" t="str">
        <f t="shared" si="230"/>
        <v>,DateMatch=DateTime.Parse("</v>
      </c>
      <c r="F812" s="3">
        <f>Matchs!C813</f>
        <v>41815</v>
      </c>
      <c r="G812" s="10" t="str">
        <f t="shared" si="231"/>
        <v>"),TimeMatch=TimeSpan.Parse("</v>
      </c>
      <c r="H812" s="9">
        <f>Matchs!D813</f>
        <v>0.125</v>
      </c>
      <c r="I812" t="str">
        <f t="shared" si="232"/>
        <v>"),MatchYear=</v>
      </c>
      <c r="J812">
        <f>Matchs!E813</f>
        <v>2014</v>
      </c>
      <c r="K812" t="str">
        <f t="shared" si="233"/>
        <v>, SeasonId= "</v>
      </c>
      <c r="L812" t="str">
        <f>Matchs!F813</f>
        <v>FIFAWC2014</v>
      </c>
      <c r="M812" t="str">
        <f t="shared" si="234"/>
        <v>",Round= "</v>
      </c>
      <c r="N812" t="str">
        <f>Matchs!G813</f>
        <v>Final Round</v>
      </c>
      <c r="O812" s="6" t="str">
        <f t="shared" si="235"/>
        <v>",Stage= "</v>
      </c>
      <c r="P812" t="str">
        <f>Matchs!H813</f>
        <v>Group</v>
      </c>
      <c r="Q812" s="6" t="str">
        <f t="shared" si="236"/>
        <v>",SubStage= "</v>
      </c>
      <c r="R812" t="str">
        <f>Matchs!I813</f>
        <v xml:space="preserve">Group C </v>
      </c>
      <c r="S812" s="6" t="str">
        <f t="shared" si="237"/>
        <v>",HTeam= "</v>
      </c>
      <c r="T812" t="str">
        <f>Matchs!J813</f>
        <v>Japan</v>
      </c>
      <c r="U812" s="6" t="str">
        <f t="shared" si="238"/>
        <v>",HGoal=</v>
      </c>
      <c r="V812">
        <f>Matchs!K813</f>
        <v>1</v>
      </c>
      <c r="W812" s="6" t="str">
        <f t="shared" si="239"/>
        <v>,GGoal=</v>
      </c>
      <c r="X812">
        <f>Matchs!L813</f>
        <v>4</v>
      </c>
      <c r="Y812" s="6" t="str">
        <f t="shared" si="240"/>
        <v>,GTeam= "</v>
      </c>
      <c r="Z812" t="str">
        <f>Matchs!M813</f>
        <v>Colombia</v>
      </c>
      <c r="AA812" s="6" t="str">
        <f t="shared" si="241"/>
        <v>",WinNote="</v>
      </c>
      <c r="AB812" t="str">
        <f>IF(Matchs!N813="","",Matchs!N813)</f>
        <v/>
      </c>
      <c r="AC812" s="6" t="str">
        <f t="shared" si="242"/>
        <v xml:space="preserve">",Stadium=" </v>
      </c>
      <c r="AD812" s="11" t="str">
        <f>Matchs!O813</f>
        <v xml:space="preserve">Arena Pantanal </v>
      </c>
      <c r="AE812" s="6" t="str">
        <f t="shared" si="243"/>
        <v>",Referee= "</v>
      </c>
      <c r="AF812" s="11" t="str">
        <f>Matchs!P813</f>
        <v xml:space="preserve">Pedro Proenca </v>
      </c>
      <c r="AG812" s="6" t="str">
        <f t="shared" si="244"/>
        <v xml:space="preserve">",Visistors= </v>
      </c>
      <c r="AH812" s="11">
        <f>Matchs!Q813</f>
        <v>40340</v>
      </c>
      <c r="AI812" s="11" t="str">
        <f t="shared" si="245"/>
        <v>,Status= "</v>
      </c>
      <c r="AJ812" s="11" t="str">
        <f>Matchs!R813</f>
        <v>Finished</v>
      </c>
      <c r="AK812" t="str">
        <f t="shared" si="246"/>
        <v>" },</v>
      </c>
    </row>
    <row r="813" spans="1:37" x14ac:dyDescent="0.25">
      <c r="A813" t="str">
        <f t="shared" si="228"/>
        <v>new Match { MatchId= "</v>
      </c>
      <c r="B813" t="str">
        <f>Matchs!A814</f>
        <v>FIFAWC2014-41</v>
      </c>
      <c r="C813" t="str">
        <f t="shared" si="229"/>
        <v>",MatchNumer=</v>
      </c>
      <c r="D813">
        <f>Matchs!B814</f>
        <v>41</v>
      </c>
      <c r="E813" t="str">
        <f t="shared" si="230"/>
        <v>,DateMatch=DateTime.Parse("</v>
      </c>
      <c r="F813" s="3">
        <f>Matchs!C814</f>
        <v>41815</v>
      </c>
      <c r="G813" s="10" t="str">
        <f t="shared" si="231"/>
        <v>"),TimeMatch=TimeSpan.Parse("</v>
      </c>
      <c r="H813" s="9">
        <f>Matchs!D814</f>
        <v>0.95833333333333337</v>
      </c>
      <c r="I813" t="str">
        <f t="shared" si="232"/>
        <v>"),MatchYear=</v>
      </c>
      <c r="J813">
        <f>Matchs!E814</f>
        <v>2014</v>
      </c>
      <c r="K813" t="str">
        <f t="shared" si="233"/>
        <v>, SeasonId= "</v>
      </c>
      <c r="L813" t="str">
        <f>Matchs!F814</f>
        <v>FIFAWC2014</v>
      </c>
      <c r="M813" t="str">
        <f t="shared" si="234"/>
        <v>",Round= "</v>
      </c>
      <c r="N813" t="str">
        <f>Matchs!G814</f>
        <v>Final Round</v>
      </c>
      <c r="O813" s="6" t="str">
        <f t="shared" si="235"/>
        <v>",Stage= "</v>
      </c>
      <c r="P813" t="str">
        <f>Matchs!H814</f>
        <v>Group</v>
      </c>
      <c r="Q813" s="6" t="str">
        <f t="shared" si="236"/>
        <v>",SubStage= "</v>
      </c>
      <c r="R813" t="str">
        <f>Matchs!I814</f>
        <v xml:space="preserve">Group F </v>
      </c>
      <c r="S813" s="6" t="str">
        <f t="shared" si="237"/>
        <v>",HTeam= "</v>
      </c>
      <c r="T813" t="str">
        <f>Matchs!J814</f>
        <v>Nigeria</v>
      </c>
      <c r="U813" s="6" t="str">
        <f t="shared" si="238"/>
        <v>",HGoal=</v>
      </c>
      <c r="V813">
        <f>Matchs!K814</f>
        <v>2</v>
      </c>
      <c r="W813" s="6" t="str">
        <f t="shared" si="239"/>
        <v>,GGoal=</v>
      </c>
      <c r="X813">
        <f>Matchs!L814</f>
        <v>3</v>
      </c>
      <c r="Y813" s="6" t="str">
        <f t="shared" si="240"/>
        <v>,GTeam= "</v>
      </c>
      <c r="Z813" t="str">
        <f>Matchs!M814</f>
        <v>Argentina</v>
      </c>
      <c r="AA813" s="6" t="str">
        <f t="shared" si="241"/>
        <v>",WinNote="</v>
      </c>
      <c r="AB813" t="str">
        <f>IF(Matchs!N814="","",Matchs!N814)</f>
        <v/>
      </c>
      <c r="AC813" s="6" t="str">
        <f t="shared" si="242"/>
        <v xml:space="preserve">",Stadium=" </v>
      </c>
      <c r="AD813" s="11" t="str">
        <f>Matchs!O814</f>
        <v xml:space="preserve">Estádio Beira-Rio </v>
      </c>
      <c r="AE813" s="6" t="str">
        <f t="shared" si="243"/>
        <v>",Referee= "</v>
      </c>
      <c r="AF813" s="11" t="str">
        <f>Matchs!P814</f>
        <v xml:space="preserve">Nicola Rizzoli </v>
      </c>
      <c r="AG813" s="6" t="str">
        <f t="shared" si="244"/>
        <v xml:space="preserve">",Visistors= </v>
      </c>
      <c r="AH813" s="11">
        <f>Matchs!Q814</f>
        <v>43285</v>
      </c>
      <c r="AI813" s="11" t="str">
        <f t="shared" si="245"/>
        <v>,Status= "</v>
      </c>
      <c r="AJ813" s="11" t="str">
        <f>Matchs!R814</f>
        <v>Finished</v>
      </c>
      <c r="AK813" t="str">
        <f t="shared" si="246"/>
        <v>" },</v>
      </c>
    </row>
    <row r="814" spans="1:37" x14ac:dyDescent="0.25">
      <c r="A814" t="str">
        <f t="shared" si="228"/>
        <v>new Match { MatchId= "</v>
      </c>
      <c r="B814" t="str">
        <f>Matchs!A815</f>
        <v>FIFAWC2014-42</v>
      </c>
      <c r="C814" t="str">
        <f t="shared" si="229"/>
        <v>",MatchNumer=</v>
      </c>
      <c r="D814">
        <f>Matchs!B815</f>
        <v>42</v>
      </c>
      <c r="E814" t="str">
        <f t="shared" si="230"/>
        <v>,DateMatch=DateTime.Parse("</v>
      </c>
      <c r="F814" s="3">
        <f>Matchs!C815</f>
        <v>41815</v>
      </c>
      <c r="G814" s="10" t="str">
        <f t="shared" si="231"/>
        <v>"),TimeMatch=TimeSpan.Parse("</v>
      </c>
      <c r="H814" s="9">
        <f>Matchs!D815</f>
        <v>0.95833333333333337</v>
      </c>
      <c r="I814" t="str">
        <f t="shared" si="232"/>
        <v>"),MatchYear=</v>
      </c>
      <c r="J814">
        <f>Matchs!E815</f>
        <v>2014</v>
      </c>
      <c r="K814" t="str">
        <f t="shared" si="233"/>
        <v>, SeasonId= "</v>
      </c>
      <c r="L814" t="str">
        <f>Matchs!F815</f>
        <v>FIFAWC2014</v>
      </c>
      <c r="M814" t="str">
        <f t="shared" si="234"/>
        <v>",Round= "</v>
      </c>
      <c r="N814" t="str">
        <f>Matchs!G815</f>
        <v>Final Round</v>
      </c>
      <c r="O814" s="6" t="str">
        <f t="shared" si="235"/>
        <v>",Stage= "</v>
      </c>
      <c r="P814" t="str">
        <f>Matchs!H815</f>
        <v>Group</v>
      </c>
      <c r="Q814" s="6" t="str">
        <f t="shared" si="236"/>
        <v>",SubStage= "</v>
      </c>
      <c r="R814" t="str">
        <f>Matchs!I815</f>
        <v xml:space="preserve">Group F </v>
      </c>
      <c r="S814" s="6" t="str">
        <f t="shared" si="237"/>
        <v>",HTeam= "</v>
      </c>
      <c r="T814" t="str">
        <f>Matchs!J815</f>
        <v>Bosnia and Herzegovina</v>
      </c>
      <c r="U814" s="6" t="str">
        <f t="shared" si="238"/>
        <v>",HGoal=</v>
      </c>
      <c r="V814">
        <f>Matchs!K815</f>
        <v>3</v>
      </c>
      <c r="W814" s="6" t="str">
        <f t="shared" si="239"/>
        <v>,GGoal=</v>
      </c>
      <c r="X814">
        <f>Matchs!L815</f>
        <v>1</v>
      </c>
      <c r="Y814" s="6" t="str">
        <f t="shared" si="240"/>
        <v>,GTeam= "</v>
      </c>
      <c r="Z814" t="str">
        <f>Matchs!M815</f>
        <v>Iran</v>
      </c>
      <c r="AA814" s="6" t="str">
        <f t="shared" si="241"/>
        <v>",WinNote="</v>
      </c>
      <c r="AB814" t="str">
        <f>IF(Matchs!N815="","",Matchs!N815)</f>
        <v/>
      </c>
      <c r="AC814" s="6" t="str">
        <f t="shared" si="242"/>
        <v xml:space="preserve">",Stadium=" </v>
      </c>
      <c r="AD814" s="11" t="str">
        <f>Matchs!O815</f>
        <v xml:space="preserve">Arena Fonte Nova </v>
      </c>
      <c r="AE814" s="6" t="str">
        <f t="shared" si="243"/>
        <v>",Referee= "</v>
      </c>
      <c r="AF814" s="11" t="str">
        <f>Matchs!P815</f>
        <v xml:space="preserve">Carlos Velasco Carballo </v>
      </c>
      <c r="AG814" s="6" t="str">
        <f t="shared" si="244"/>
        <v xml:space="preserve">",Visistors= </v>
      </c>
      <c r="AH814" s="11">
        <f>Matchs!Q815</f>
        <v>48011</v>
      </c>
      <c r="AI814" s="11" t="str">
        <f t="shared" si="245"/>
        <v>,Status= "</v>
      </c>
      <c r="AJ814" s="11" t="str">
        <f>Matchs!R815</f>
        <v>Finished</v>
      </c>
      <c r="AK814" t="str">
        <f t="shared" si="246"/>
        <v>" },</v>
      </c>
    </row>
    <row r="815" spans="1:37" x14ac:dyDescent="0.25">
      <c r="A815" t="str">
        <f t="shared" si="228"/>
        <v>new Match { MatchId= "</v>
      </c>
      <c r="B815" t="str">
        <f>Matchs!A816</f>
        <v>FIFAWC2014-43</v>
      </c>
      <c r="C815" t="str">
        <f t="shared" si="229"/>
        <v>",MatchNumer=</v>
      </c>
      <c r="D815">
        <f>Matchs!B816</f>
        <v>43</v>
      </c>
      <c r="E815" t="str">
        <f t="shared" si="230"/>
        <v>,DateMatch=DateTime.Parse("</v>
      </c>
      <c r="F815" s="3">
        <f>Matchs!C816</f>
        <v>41816</v>
      </c>
      <c r="G815" s="10" t="str">
        <f t="shared" si="231"/>
        <v>"),TimeMatch=TimeSpan.Parse("</v>
      </c>
      <c r="H815" s="9">
        <f>Matchs!D816</f>
        <v>0.125</v>
      </c>
      <c r="I815" t="str">
        <f t="shared" si="232"/>
        <v>"),MatchYear=</v>
      </c>
      <c r="J815">
        <f>Matchs!E816</f>
        <v>2014</v>
      </c>
      <c r="K815" t="str">
        <f t="shared" si="233"/>
        <v>, SeasonId= "</v>
      </c>
      <c r="L815" t="str">
        <f>Matchs!F816</f>
        <v>FIFAWC2014</v>
      </c>
      <c r="M815" t="str">
        <f t="shared" si="234"/>
        <v>",Round= "</v>
      </c>
      <c r="N815" t="str">
        <f>Matchs!G816</f>
        <v>Final Round</v>
      </c>
      <c r="O815" s="6" t="str">
        <f t="shared" si="235"/>
        <v>",Stage= "</v>
      </c>
      <c r="P815" t="str">
        <f>Matchs!H816</f>
        <v>Group</v>
      </c>
      <c r="Q815" s="6" t="str">
        <f t="shared" si="236"/>
        <v>",SubStage= "</v>
      </c>
      <c r="R815" t="str">
        <f>Matchs!I816</f>
        <v xml:space="preserve">Group E </v>
      </c>
      <c r="S815" s="6" t="str">
        <f t="shared" si="237"/>
        <v>",HTeam= "</v>
      </c>
      <c r="T815" t="str">
        <f>Matchs!J816</f>
        <v>Honduras</v>
      </c>
      <c r="U815" s="6" t="str">
        <f t="shared" si="238"/>
        <v>",HGoal=</v>
      </c>
      <c r="V815">
        <f>Matchs!K816</f>
        <v>0</v>
      </c>
      <c r="W815" s="6" t="str">
        <f t="shared" si="239"/>
        <v>,GGoal=</v>
      </c>
      <c r="X815">
        <f>Matchs!L816</f>
        <v>3</v>
      </c>
      <c r="Y815" s="6" t="str">
        <f t="shared" si="240"/>
        <v>,GTeam= "</v>
      </c>
      <c r="Z815" t="str">
        <f>Matchs!M816</f>
        <v>Switzerland</v>
      </c>
      <c r="AA815" s="6" t="str">
        <f t="shared" si="241"/>
        <v>",WinNote="</v>
      </c>
      <c r="AB815" t="str">
        <f>IF(Matchs!N816="","",Matchs!N816)</f>
        <v/>
      </c>
      <c r="AC815" s="6" t="str">
        <f t="shared" si="242"/>
        <v xml:space="preserve">",Stadium=" </v>
      </c>
      <c r="AD815" s="11" t="str">
        <f>Matchs!O816</f>
        <v xml:space="preserve">Arena Amazonia </v>
      </c>
      <c r="AE815" s="6" t="str">
        <f t="shared" si="243"/>
        <v>",Referee= "</v>
      </c>
      <c r="AF815" s="11" t="str">
        <f>Matchs!P816</f>
        <v xml:space="preserve">Nestor Pitana </v>
      </c>
      <c r="AG815" s="6" t="str">
        <f t="shared" si="244"/>
        <v xml:space="preserve">",Visistors= </v>
      </c>
      <c r="AH815" s="11">
        <f>Matchs!Q816</f>
        <v>40322</v>
      </c>
      <c r="AI815" s="11" t="str">
        <f t="shared" si="245"/>
        <v>,Status= "</v>
      </c>
      <c r="AJ815" s="11" t="str">
        <f>Matchs!R816</f>
        <v>Finished</v>
      </c>
      <c r="AK815" t="str">
        <f t="shared" si="246"/>
        <v>" },</v>
      </c>
    </row>
    <row r="816" spans="1:37" x14ac:dyDescent="0.25">
      <c r="A816" t="str">
        <f t="shared" si="228"/>
        <v>new Match { MatchId= "</v>
      </c>
      <c r="B816" t="str">
        <f>Matchs!A817</f>
        <v>FIFAWC2014-44</v>
      </c>
      <c r="C816" t="str">
        <f t="shared" si="229"/>
        <v>",MatchNumer=</v>
      </c>
      <c r="D816">
        <f>Matchs!B817</f>
        <v>44</v>
      </c>
      <c r="E816" t="str">
        <f t="shared" si="230"/>
        <v>,DateMatch=DateTime.Parse("</v>
      </c>
      <c r="F816" s="3">
        <f>Matchs!C817</f>
        <v>41816</v>
      </c>
      <c r="G816" s="10" t="str">
        <f t="shared" si="231"/>
        <v>"),TimeMatch=TimeSpan.Parse("</v>
      </c>
      <c r="H816" s="9">
        <f>Matchs!D817</f>
        <v>0.125</v>
      </c>
      <c r="I816" t="str">
        <f t="shared" si="232"/>
        <v>"),MatchYear=</v>
      </c>
      <c r="J816">
        <f>Matchs!E817</f>
        <v>2014</v>
      </c>
      <c r="K816" t="str">
        <f t="shared" si="233"/>
        <v>, SeasonId= "</v>
      </c>
      <c r="L816" t="str">
        <f>Matchs!F817</f>
        <v>FIFAWC2014</v>
      </c>
      <c r="M816" t="str">
        <f t="shared" si="234"/>
        <v>",Round= "</v>
      </c>
      <c r="N816" t="str">
        <f>Matchs!G817</f>
        <v>Final Round</v>
      </c>
      <c r="O816" s="6" t="str">
        <f t="shared" si="235"/>
        <v>",Stage= "</v>
      </c>
      <c r="P816" t="str">
        <f>Matchs!H817</f>
        <v>Group</v>
      </c>
      <c r="Q816" s="6" t="str">
        <f t="shared" si="236"/>
        <v>",SubStage= "</v>
      </c>
      <c r="R816" t="str">
        <f>Matchs!I817</f>
        <v xml:space="preserve">Group E </v>
      </c>
      <c r="S816" s="6" t="str">
        <f t="shared" si="237"/>
        <v>",HTeam= "</v>
      </c>
      <c r="T816" t="str">
        <f>Matchs!J817</f>
        <v>Ecuador</v>
      </c>
      <c r="U816" s="6" t="str">
        <f t="shared" si="238"/>
        <v>",HGoal=</v>
      </c>
      <c r="V816">
        <f>Matchs!K817</f>
        <v>0</v>
      </c>
      <c r="W816" s="6" t="str">
        <f t="shared" si="239"/>
        <v>,GGoal=</v>
      </c>
      <c r="X816">
        <f>Matchs!L817</f>
        <v>0</v>
      </c>
      <c r="Y816" s="6" t="str">
        <f t="shared" si="240"/>
        <v>,GTeam= "</v>
      </c>
      <c r="Z816" t="str">
        <f>Matchs!M817</f>
        <v>France</v>
      </c>
      <c r="AA816" s="6" t="str">
        <f t="shared" si="241"/>
        <v>",WinNote="</v>
      </c>
      <c r="AB816" t="str">
        <f>IF(Matchs!N817="","",Matchs!N817)</f>
        <v/>
      </c>
      <c r="AC816" s="6" t="str">
        <f t="shared" si="242"/>
        <v xml:space="preserve">",Stadium=" </v>
      </c>
      <c r="AD816" s="11" t="str">
        <f>Matchs!O817</f>
        <v xml:space="preserve">Estádio do Maracanã </v>
      </c>
      <c r="AE816" s="6" t="str">
        <f t="shared" si="243"/>
        <v>",Referee= "</v>
      </c>
      <c r="AF816" s="11" t="str">
        <f>Matchs!P817</f>
        <v xml:space="preserve">Noumandiez Doue </v>
      </c>
      <c r="AG816" s="6" t="str">
        <f t="shared" si="244"/>
        <v xml:space="preserve">",Visistors= </v>
      </c>
      <c r="AH816" s="11">
        <f>Matchs!Q817</f>
        <v>73749</v>
      </c>
      <c r="AI816" s="11" t="str">
        <f t="shared" si="245"/>
        <v>,Status= "</v>
      </c>
      <c r="AJ816" s="11" t="str">
        <f>Matchs!R817</f>
        <v>Finished</v>
      </c>
      <c r="AK816" t="str">
        <f t="shared" si="246"/>
        <v>" },</v>
      </c>
    </row>
    <row r="817" spans="1:37" x14ac:dyDescent="0.25">
      <c r="A817" t="str">
        <f t="shared" si="228"/>
        <v>new Match { MatchId= "</v>
      </c>
      <c r="B817" t="str">
        <f>Matchs!A818</f>
        <v>FIFAWC2014-45</v>
      </c>
      <c r="C817" t="str">
        <f t="shared" si="229"/>
        <v>",MatchNumer=</v>
      </c>
      <c r="D817">
        <f>Matchs!B818</f>
        <v>45</v>
      </c>
      <c r="E817" t="str">
        <f t="shared" si="230"/>
        <v>,DateMatch=DateTime.Parse("</v>
      </c>
      <c r="F817" s="3">
        <f>Matchs!C818</f>
        <v>41816</v>
      </c>
      <c r="G817" s="10" t="str">
        <f t="shared" si="231"/>
        <v>"),TimeMatch=TimeSpan.Parse("</v>
      </c>
      <c r="H817" s="9">
        <f>Matchs!D818</f>
        <v>0.95833333333333337</v>
      </c>
      <c r="I817" t="str">
        <f t="shared" si="232"/>
        <v>"),MatchYear=</v>
      </c>
      <c r="J817">
        <f>Matchs!E818</f>
        <v>2014</v>
      </c>
      <c r="K817" t="str">
        <f t="shared" si="233"/>
        <v>, SeasonId= "</v>
      </c>
      <c r="L817" t="str">
        <f>Matchs!F818</f>
        <v>FIFAWC2014</v>
      </c>
      <c r="M817" t="str">
        <f t="shared" si="234"/>
        <v>",Round= "</v>
      </c>
      <c r="N817" t="str">
        <f>Matchs!G818</f>
        <v>Final Round</v>
      </c>
      <c r="O817" s="6" t="str">
        <f t="shared" si="235"/>
        <v>",Stage= "</v>
      </c>
      <c r="P817" t="str">
        <f>Matchs!H818</f>
        <v>Group</v>
      </c>
      <c r="Q817" s="6" t="str">
        <f t="shared" si="236"/>
        <v>",SubStage= "</v>
      </c>
      <c r="R817" t="str">
        <f>Matchs!I818</f>
        <v xml:space="preserve">Group G </v>
      </c>
      <c r="S817" s="6" t="str">
        <f t="shared" si="237"/>
        <v>",HTeam= "</v>
      </c>
      <c r="T817" t="str">
        <f>Matchs!J818</f>
        <v>Germany</v>
      </c>
      <c r="U817" s="6" t="str">
        <f t="shared" si="238"/>
        <v>",HGoal=</v>
      </c>
      <c r="V817">
        <f>Matchs!K818</f>
        <v>0</v>
      </c>
      <c r="W817" s="6" t="str">
        <f t="shared" si="239"/>
        <v>,GGoal=</v>
      </c>
      <c r="X817">
        <f>Matchs!L818</f>
        <v>1</v>
      </c>
      <c r="Y817" s="6" t="str">
        <f t="shared" si="240"/>
        <v>,GTeam= "</v>
      </c>
      <c r="Z817" t="str">
        <f>Matchs!M818</f>
        <v>Germany</v>
      </c>
      <c r="AA817" s="6" t="str">
        <f t="shared" si="241"/>
        <v>",WinNote="</v>
      </c>
      <c r="AB817" t="str">
        <f>IF(Matchs!N818="","",Matchs!N818)</f>
        <v/>
      </c>
      <c r="AC817" s="6" t="str">
        <f t="shared" si="242"/>
        <v xml:space="preserve">",Stadium=" </v>
      </c>
      <c r="AD817" s="11" t="str">
        <f>Matchs!O818</f>
        <v xml:space="preserve">Arena Pernambuco </v>
      </c>
      <c r="AE817" s="6" t="str">
        <f t="shared" si="243"/>
        <v>",Referee= "</v>
      </c>
      <c r="AF817" s="11" t="str">
        <f>Matchs!P818</f>
        <v xml:space="preserve">Ravshan Irmatov </v>
      </c>
      <c r="AG817" s="6" t="str">
        <f t="shared" si="244"/>
        <v xml:space="preserve">",Visistors= </v>
      </c>
      <c r="AH817" s="11">
        <f>Matchs!Q818</f>
        <v>41876</v>
      </c>
      <c r="AI817" s="11" t="str">
        <f t="shared" si="245"/>
        <v>,Status= "</v>
      </c>
      <c r="AJ817" s="11" t="str">
        <f>Matchs!R818</f>
        <v>Finished</v>
      </c>
      <c r="AK817" t="str">
        <f t="shared" si="246"/>
        <v>" },</v>
      </c>
    </row>
    <row r="818" spans="1:37" x14ac:dyDescent="0.25">
      <c r="A818" t="str">
        <f t="shared" si="228"/>
        <v>new Match { MatchId= "</v>
      </c>
      <c r="B818" t="str">
        <f>Matchs!A819</f>
        <v>FIFAWC2014-46</v>
      </c>
      <c r="C818" t="str">
        <f t="shared" si="229"/>
        <v>",MatchNumer=</v>
      </c>
      <c r="D818">
        <f>Matchs!B819</f>
        <v>46</v>
      </c>
      <c r="E818" t="str">
        <f t="shared" si="230"/>
        <v>,DateMatch=DateTime.Parse("</v>
      </c>
      <c r="F818" s="3">
        <f>Matchs!C819</f>
        <v>41816</v>
      </c>
      <c r="G818" s="10" t="str">
        <f t="shared" si="231"/>
        <v>"),TimeMatch=TimeSpan.Parse("</v>
      </c>
      <c r="H818" s="9">
        <f>Matchs!D819</f>
        <v>0.95833333333333337</v>
      </c>
      <c r="I818" t="str">
        <f t="shared" si="232"/>
        <v>"),MatchYear=</v>
      </c>
      <c r="J818">
        <f>Matchs!E819</f>
        <v>2014</v>
      </c>
      <c r="K818" t="str">
        <f t="shared" si="233"/>
        <v>, SeasonId= "</v>
      </c>
      <c r="L818" t="str">
        <f>Matchs!F819</f>
        <v>FIFAWC2014</v>
      </c>
      <c r="M818" t="str">
        <f t="shared" si="234"/>
        <v>",Round= "</v>
      </c>
      <c r="N818" t="str">
        <f>Matchs!G819</f>
        <v>Final Round</v>
      </c>
      <c r="O818" s="6" t="str">
        <f t="shared" si="235"/>
        <v>",Stage= "</v>
      </c>
      <c r="P818" t="str">
        <f>Matchs!H819</f>
        <v>Group</v>
      </c>
      <c r="Q818" s="6" t="str">
        <f t="shared" si="236"/>
        <v>",SubStage= "</v>
      </c>
      <c r="R818" t="str">
        <f>Matchs!I819</f>
        <v xml:space="preserve">Group G </v>
      </c>
      <c r="S818" s="6" t="str">
        <f t="shared" si="237"/>
        <v>",HTeam= "</v>
      </c>
      <c r="T818" t="str">
        <f>Matchs!J819</f>
        <v>Portugal</v>
      </c>
      <c r="U818" s="6" t="str">
        <f t="shared" si="238"/>
        <v>",HGoal=</v>
      </c>
      <c r="V818">
        <f>Matchs!K819</f>
        <v>2</v>
      </c>
      <c r="W818" s="6" t="str">
        <f t="shared" si="239"/>
        <v>,GGoal=</v>
      </c>
      <c r="X818">
        <f>Matchs!L819</f>
        <v>1</v>
      </c>
      <c r="Y818" s="6" t="str">
        <f t="shared" si="240"/>
        <v>,GTeam= "</v>
      </c>
      <c r="Z818" t="str">
        <f>Matchs!M819</f>
        <v>Ghana</v>
      </c>
      <c r="AA818" s="6" t="str">
        <f t="shared" si="241"/>
        <v>",WinNote="</v>
      </c>
      <c r="AB818" t="str">
        <f>IF(Matchs!N819="","",Matchs!N819)</f>
        <v/>
      </c>
      <c r="AC818" s="6" t="str">
        <f t="shared" si="242"/>
        <v xml:space="preserve">",Stadium=" </v>
      </c>
      <c r="AD818" s="11" t="str">
        <f>Matchs!O819</f>
        <v xml:space="preserve">Estadio Nacional Mane Garrincha </v>
      </c>
      <c r="AE818" s="6" t="str">
        <f t="shared" si="243"/>
        <v>",Referee= "</v>
      </c>
      <c r="AF818" s="11" t="str">
        <f>Matchs!P819</f>
        <v xml:space="preserve">Nawaf Shukralla </v>
      </c>
      <c r="AG818" s="6" t="str">
        <f t="shared" si="244"/>
        <v xml:space="preserve">",Visistors= </v>
      </c>
      <c r="AH818" s="11">
        <f>Matchs!Q819</f>
        <v>67540</v>
      </c>
      <c r="AI818" s="11" t="str">
        <f t="shared" si="245"/>
        <v>,Status= "</v>
      </c>
      <c r="AJ818" s="11" t="str">
        <f>Matchs!R819</f>
        <v>Finished</v>
      </c>
      <c r="AK818" t="str">
        <f t="shared" si="246"/>
        <v>" },</v>
      </c>
    </row>
    <row r="819" spans="1:37" x14ac:dyDescent="0.25">
      <c r="A819" t="str">
        <f t="shared" si="228"/>
        <v>new Match { MatchId= "</v>
      </c>
      <c r="B819" t="str">
        <f>Matchs!A820</f>
        <v>FIFAWC2014-47</v>
      </c>
      <c r="C819" t="str">
        <f t="shared" si="229"/>
        <v>",MatchNumer=</v>
      </c>
      <c r="D819">
        <f>Matchs!B820</f>
        <v>47</v>
      </c>
      <c r="E819" t="str">
        <f t="shared" si="230"/>
        <v>,DateMatch=DateTime.Parse("</v>
      </c>
      <c r="F819" s="3">
        <f>Matchs!C820</f>
        <v>41817</v>
      </c>
      <c r="G819" s="10" t="str">
        <f t="shared" si="231"/>
        <v>"),TimeMatch=TimeSpan.Parse("</v>
      </c>
      <c r="H819" s="9">
        <f>Matchs!D820</f>
        <v>0.125</v>
      </c>
      <c r="I819" t="str">
        <f t="shared" si="232"/>
        <v>"),MatchYear=</v>
      </c>
      <c r="J819">
        <f>Matchs!E820</f>
        <v>2014</v>
      </c>
      <c r="K819" t="str">
        <f t="shared" si="233"/>
        <v>, SeasonId= "</v>
      </c>
      <c r="L819" t="str">
        <f>Matchs!F820</f>
        <v>FIFAWC2014</v>
      </c>
      <c r="M819" t="str">
        <f t="shared" si="234"/>
        <v>",Round= "</v>
      </c>
      <c r="N819" t="str">
        <f>Matchs!G820</f>
        <v>Final Round</v>
      </c>
      <c r="O819" s="6" t="str">
        <f t="shared" si="235"/>
        <v>",Stage= "</v>
      </c>
      <c r="P819" t="str">
        <f>Matchs!H820</f>
        <v>Group</v>
      </c>
      <c r="Q819" s="6" t="str">
        <f t="shared" si="236"/>
        <v>",SubStage= "</v>
      </c>
      <c r="R819" t="str">
        <f>Matchs!I820</f>
        <v xml:space="preserve">Group H </v>
      </c>
      <c r="S819" s="6" t="str">
        <f t="shared" si="237"/>
        <v>",HTeam= "</v>
      </c>
      <c r="T819" t="str">
        <f>Matchs!J820</f>
        <v>Algeria</v>
      </c>
      <c r="U819" s="6" t="str">
        <f t="shared" si="238"/>
        <v>",HGoal=</v>
      </c>
      <c r="V819">
        <f>Matchs!K820</f>
        <v>1</v>
      </c>
      <c r="W819" s="6" t="str">
        <f t="shared" si="239"/>
        <v>,GGoal=</v>
      </c>
      <c r="X819">
        <f>Matchs!L820</f>
        <v>1</v>
      </c>
      <c r="Y819" s="6" t="str">
        <f t="shared" si="240"/>
        <v>,GTeam= "</v>
      </c>
      <c r="Z819" t="str">
        <f>Matchs!M820</f>
        <v>Russia</v>
      </c>
      <c r="AA819" s="6" t="str">
        <f t="shared" si="241"/>
        <v>",WinNote="</v>
      </c>
      <c r="AB819" t="str">
        <f>IF(Matchs!N820="","",Matchs!N820)</f>
        <v/>
      </c>
      <c r="AC819" s="6" t="str">
        <f t="shared" si="242"/>
        <v xml:space="preserve">",Stadium=" </v>
      </c>
      <c r="AD819" s="11" t="str">
        <f>Matchs!O820</f>
        <v xml:space="preserve">Arena de Baixada </v>
      </c>
      <c r="AE819" s="6" t="str">
        <f t="shared" si="243"/>
        <v>",Referee= "</v>
      </c>
      <c r="AF819" s="11" t="str">
        <f>Matchs!P820</f>
        <v xml:space="preserve">Cüneyt Cakir </v>
      </c>
      <c r="AG819" s="6" t="str">
        <f t="shared" si="244"/>
        <v xml:space="preserve">",Visistors= </v>
      </c>
      <c r="AH819" s="11">
        <f>Matchs!Q820</f>
        <v>39311</v>
      </c>
      <c r="AI819" s="11" t="str">
        <f t="shared" si="245"/>
        <v>,Status= "</v>
      </c>
      <c r="AJ819" s="11" t="str">
        <f>Matchs!R820</f>
        <v>Finished</v>
      </c>
      <c r="AK819" t="str">
        <f t="shared" si="246"/>
        <v>" },</v>
      </c>
    </row>
    <row r="820" spans="1:37" x14ac:dyDescent="0.25">
      <c r="A820" t="str">
        <f t="shared" si="228"/>
        <v>new Match { MatchId= "</v>
      </c>
      <c r="B820" t="str">
        <f>Matchs!A821</f>
        <v>FIFAWC2014-48</v>
      </c>
      <c r="C820" t="str">
        <f t="shared" si="229"/>
        <v>",MatchNumer=</v>
      </c>
      <c r="D820">
        <f>Matchs!B821</f>
        <v>48</v>
      </c>
      <c r="E820" t="str">
        <f t="shared" si="230"/>
        <v>,DateMatch=DateTime.Parse("</v>
      </c>
      <c r="F820" s="3">
        <f>Matchs!C821</f>
        <v>41817</v>
      </c>
      <c r="G820" s="10" t="str">
        <f t="shared" si="231"/>
        <v>"),TimeMatch=TimeSpan.Parse("</v>
      </c>
      <c r="H820" s="9">
        <f>Matchs!D821</f>
        <v>0.125</v>
      </c>
      <c r="I820" t="str">
        <f t="shared" si="232"/>
        <v>"),MatchYear=</v>
      </c>
      <c r="J820">
        <f>Matchs!E821</f>
        <v>2014</v>
      </c>
      <c r="K820" t="str">
        <f t="shared" si="233"/>
        <v>, SeasonId= "</v>
      </c>
      <c r="L820" t="str">
        <f>Matchs!F821</f>
        <v>FIFAWC2014</v>
      </c>
      <c r="M820" t="str">
        <f t="shared" si="234"/>
        <v>",Round= "</v>
      </c>
      <c r="N820" t="str">
        <f>Matchs!G821</f>
        <v>Final Round</v>
      </c>
      <c r="O820" s="6" t="str">
        <f t="shared" si="235"/>
        <v>",Stage= "</v>
      </c>
      <c r="P820" t="str">
        <f>Matchs!H821</f>
        <v>Group</v>
      </c>
      <c r="Q820" s="6" t="str">
        <f t="shared" si="236"/>
        <v>",SubStage= "</v>
      </c>
      <c r="R820" t="str">
        <f>Matchs!I821</f>
        <v xml:space="preserve">Group H </v>
      </c>
      <c r="S820" s="6" t="str">
        <f t="shared" si="237"/>
        <v>",HTeam= "</v>
      </c>
      <c r="T820" t="str">
        <f>Matchs!J821</f>
        <v>South Korea</v>
      </c>
      <c r="U820" s="6" t="str">
        <f t="shared" si="238"/>
        <v>",HGoal=</v>
      </c>
      <c r="V820">
        <f>Matchs!K821</f>
        <v>0</v>
      </c>
      <c r="W820" s="6" t="str">
        <f t="shared" si="239"/>
        <v>,GGoal=</v>
      </c>
      <c r="X820">
        <f>Matchs!L821</f>
        <v>1</v>
      </c>
      <c r="Y820" s="6" t="str">
        <f t="shared" si="240"/>
        <v>,GTeam= "</v>
      </c>
      <c r="Z820" t="str">
        <f>Matchs!M821</f>
        <v>Belgium</v>
      </c>
      <c r="AA820" s="6" t="str">
        <f t="shared" si="241"/>
        <v>",WinNote="</v>
      </c>
      <c r="AB820" t="str">
        <f>IF(Matchs!N821="","",Matchs!N821)</f>
        <v/>
      </c>
      <c r="AC820" s="6" t="str">
        <f t="shared" si="242"/>
        <v xml:space="preserve">",Stadium=" </v>
      </c>
      <c r="AD820" s="11" t="str">
        <f>Matchs!O821</f>
        <v xml:space="preserve">Arena de Sao Paulo </v>
      </c>
      <c r="AE820" s="6" t="str">
        <f t="shared" si="243"/>
        <v>",Referee= "</v>
      </c>
      <c r="AF820" s="11" t="str">
        <f>Matchs!P821</f>
        <v xml:space="preserve">Ben Williams </v>
      </c>
      <c r="AG820" s="6" t="str">
        <f t="shared" si="244"/>
        <v xml:space="preserve">",Visistors= </v>
      </c>
      <c r="AH820" s="11">
        <f>Matchs!Q821</f>
        <v>61397</v>
      </c>
      <c r="AI820" s="11" t="str">
        <f t="shared" si="245"/>
        <v>,Status= "</v>
      </c>
      <c r="AJ820" s="11" t="str">
        <f>Matchs!R821</f>
        <v>Finished</v>
      </c>
      <c r="AK820" t="str">
        <f t="shared" si="246"/>
        <v>" },</v>
      </c>
    </row>
    <row r="821" spans="1:37" x14ac:dyDescent="0.25">
      <c r="A821" t="str">
        <f t="shared" si="228"/>
        <v>new Match { MatchId= "</v>
      </c>
      <c r="B821" t="str">
        <f>Matchs!A822</f>
        <v>FIFAWC2014-49</v>
      </c>
      <c r="C821" t="str">
        <f t="shared" si="229"/>
        <v>",MatchNumer=</v>
      </c>
      <c r="D821">
        <f>Matchs!B822</f>
        <v>49</v>
      </c>
      <c r="E821" t="str">
        <f t="shared" si="230"/>
        <v>,DateMatch=DateTime.Parse("</v>
      </c>
      <c r="F821" s="3">
        <f>Matchs!C822</f>
        <v>41818</v>
      </c>
      <c r="G821" s="10" t="str">
        <f t="shared" si="231"/>
        <v>"),TimeMatch=TimeSpan.Parse("</v>
      </c>
      <c r="H821" s="9">
        <f>Matchs!D822</f>
        <v>0.125</v>
      </c>
      <c r="I821" t="str">
        <f t="shared" si="232"/>
        <v>"),MatchYear=</v>
      </c>
      <c r="J821">
        <f>Matchs!E822</f>
        <v>2014</v>
      </c>
      <c r="K821" t="str">
        <f t="shared" si="233"/>
        <v>, SeasonId= "</v>
      </c>
      <c r="L821" t="str">
        <f>Matchs!F822</f>
        <v>FIFAWC2014</v>
      </c>
      <c r="M821" t="str">
        <f t="shared" si="234"/>
        <v>",Round= "</v>
      </c>
      <c r="N821" t="str">
        <f>Matchs!G822</f>
        <v>Final Round</v>
      </c>
      <c r="O821" s="6" t="str">
        <f t="shared" si="235"/>
        <v>",Stage= "</v>
      </c>
      <c r="P821" t="str">
        <f>Matchs!H822</f>
        <v>Knockouts</v>
      </c>
      <c r="Q821" s="6" t="str">
        <f t="shared" si="236"/>
        <v>",SubStage= "</v>
      </c>
      <c r="R821" t="str">
        <f>Matchs!I822</f>
        <v xml:space="preserve">Round of 16 </v>
      </c>
      <c r="S821" s="6" t="str">
        <f t="shared" si="237"/>
        <v>",HTeam= "</v>
      </c>
      <c r="T821" t="str">
        <f>Matchs!J822</f>
        <v>Brazil</v>
      </c>
      <c r="U821" s="6" t="str">
        <f t="shared" si="238"/>
        <v>",HGoal=</v>
      </c>
      <c r="V821">
        <f>Matchs!K822</f>
        <v>1</v>
      </c>
      <c r="W821" s="6" t="str">
        <f t="shared" si="239"/>
        <v>,GGoal=</v>
      </c>
      <c r="X821">
        <f>Matchs!L822</f>
        <v>1</v>
      </c>
      <c r="Y821" s="6" t="str">
        <f t="shared" si="240"/>
        <v>,GTeam= "</v>
      </c>
      <c r="Z821" t="str">
        <f>Matchs!M822</f>
        <v>Chile</v>
      </c>
      <c r="AA821" s="6" t="str">
        <f t="shared" si="241"/>
        <v>",WinNote="</v>
      </c>
      <c r="AB821" t="str">
        <f>IF(Matchs!N822="","",Matchs!N822)</f>
        <v>Brazil win 3 - 2 on penalties</v>
      </c>
      <c r="AC821" s="6" t="str">
        <f t="shared" si="242"/>
        <v xml:space="preserve">",Stadium=" </v>
      </c>
      <c r="AD821" s="11" t="str">
        <f>Matchs!O822</f>
        <v xml:space="preserve">Mineirão </v>
      </c>
      <c r="AE821" s="6" t="str">
        <f t="shared" si="243"/>
        <v>",Referee= "</v>
      </c>
      <c r="AF821" s="11" t="str">
        <f>Matchs!P822</f>
        <v xml:space="preserve">Howard Webb </v>
      </c>
      <c r="AG821" s="6" t="str">
        <f t="shared" si="244"/>
        <v xml:space="preserve">",Visistors= </v>
      </c>
      <c r="AH821" s="11">
        <f>Matchs!Q822</f>
        <v>57714</v>
      </c>
      <c r="AI821" s="11" t="str">
        <f t="shared" si="245"/>
        <v>,Status= "</v>
      </c>
      <c r="AJ821" s="11" t="str">
        <f>Matchs!R822</f>
        <v>Finished</v>
      </c>
      <c r="AK821" t="str">
        <f t="shared" si="246"/>
        <v>" },</v>
      </c>
    </row>
    <row r="822" spans="1:37" x14ac:dyDescent="0.25">
      <c r="A822" t="str">
        <f t="shared" si="228"/>
        <v>new Match { MatchId= "</v>
      </c>
      <c r="B822" t="str">
        <f>Matchs!A823</f>
        <v>FIFAWC2014-50</v>
      </c>
      <c r="C822" t="str">
        <f t="shared" si="229"/>
        <v>",MatchNumer=</v>
      </c>
      <c r="D822">
        <f>Matchs!B823</f>
        <v>50</v>
      </c>
      <c r="E822" t="str">
        <f t="shared" si="230"/>
        <v>,DateMatch=DateTime.Parse("</v>
      </c>
      <c r="F822" s="3">
        <f>Matchs!C823</f>
        <v>41819</v>
      </c>
      <c r="G822" s="10" t="str">
        <f t="shared" si="231"/>
        <v>"),TimeMatch=TimeSpan.Parse("</v>
      </c>
      <c r="H822" s="9">
        <f>Matchs!D823</f>
        <v>0.95833333333333337</v>
      </c>
      <c r="I822" t="str">
        <f t="shared" si="232"/>
        <v>"),MatchYear=</v>
      </c>
      <c r="J822">
        <f>Matchs!E823</f>
        <v>2014</v>
      </c>
      <c r="K822" t="str">
        <f t="shared" si="233"/>
        <v>, SeasonId= "</v>
      </c>
      <c r="L822" t="str">
        <f>Matchs!F823</f>
        <v>FIFAWC2014</v>
      </c>
      <c r="M822" t="str">
        <f t="shared" si="234"/>
        <v>",Round= "</v>
      </c>
      <c r="N822" t="str">
        <f>Matchs!G823</f>
        <v>Final Round</v>
      </c>
      <c r="O822" s="6" t="str">
        <f t="shared" si="235"/>
        <v>",Stage= "</v>
      </c>
      <c r="P822" t="str">
        <f>Matchs!H823</f>
        <v>Knockouts</v>
      </c>
      <c r="Q822" s="6" t="str">
        <f t="shared" si="236"/>
        <v>",SubStage= "</v>
      </c>
      <c r="R822" t="str">
        <f>Matchs!I823</f>
        <v xml:space="preserve">Round of 16 </v>
      </c>
      <c r="S822" s="6" t="str">
        <f t="shared" si="237"/>
        <v>",HTeam= "</v>
      </c>
      <c r="T822" t="str">
        <f>Matchs!J823</f>
        <v>Colombia</v>
      </c>
      <c r="U822" s="6" t="str">
        <f t="shared" si="238"/>
        <v>",HGoal=</v>
      </c>
      <c r="V822">
        <f>Matchs!K823</f>
        <v>2</v>
      </c>
      <c r="W822" s="6" t="str">
        <f t="shared" si="239"/>
        <v>,GGoal=</v>
      </c>
      <c r="X822">
        <f>Matchs!L823</f>
        <v>0</v>
      </c>
      <c r="Y822" s="6" t="str">
        <f t="shared" si="240"/>
        <v>,GTeam= "</v>
      </c>
      <c r="Z822" t="str">
        <f>Matchs!M823</f>
        <v>Uruguay</v>
      </c>
      <c r="AA822" s="6" t="str">
        <f t="shared" si="241"/>
        <v>",WinNote="</v>
      </c>
      <c r="AB822" t="str">
        <f>IF(Matchs!N823="","",Matchs!N823)</f>
        <v/>
      </c>
      <c r="AC822" s="6" t="str">
        <f t="shared" si="242"/>
        <v xml:space="preserve">",Stadium=" </v>
      </c>
      <c r="AD822" s="11" t="str">
        <f>Matchs!O823</f>
        <v xml:space="preserve">Estádio do Maracanã </v>
      </c>
      <c r="AE822" s="6" t="str">
        <f t="shared" si="243"/>
        <v>",Referee= "</v>
      </c>
      <c r="AF822" s="11" t="str">
        <f>Matchs!P823</f>
        <v xml:space="preserve">Bjorn Kuipers </v>
      </c>
      <c r="AG822" s="6" t="str">
        <f t="shared" si="244"/>
        <v xml:space="preserve">",Visistors= </v>
      </c>
      <c r="AH822" s="11">
        <f>Matchs!Q823</f>
        <v>73804</v>
      </c>
      <c r="AI822" s="11" t="str">
        <f t="shared" si="245"/>
        <v>,Status= "</v>
      </c>
      <c r="AJ822" s="11" t="str">
        <f>Matchs!R823</f>
        <v>Finished</v>
      </c>
      <c r="AK822" t="str">
        <f t="shared" si="246"/>
        <v>" },</v>
      </c>
    </row>
    <row r="823" spans="1:37" x14ac:dyDescent="0.25">
      <c r="A823" t="str">
        <f t="shared" si="228"/>
        <v>new Match { MatchId= "</v>
      </c>
      <c r="B823" t="str">
        <f>Matchs!A824</f>
        <v>FIFAWC2014-51</v>
      </c>
      <c r="C823" t="str">
        <f t="shared" si="229"/>
        <v>",MatchNumer=</v>
      </c>
      <c r="D823">
        <f>Matchs!B824</f>
        <v>51</v>
      </c>
      <c r="E823" t="str">
        <f t="shared" si="230"/>
        <v>,DateMatch=DateTime.Parse("</v>
      </c>
      <c r="F823" s="3">
        <f>Matchs!C824</f>
        <v>41819</v>
      </c>
      <c r="G823" s="10" t="str">
        <f t="shared" si="231"/>
        <v>"),TimeMatch=TimeSpan.Parse("</v>
      </c>
      <c r="H823" s="9">
        <f>Matchs!D824</f>
        <v>0.95833333333333337</v>
      </c>
      <c r="I823" t="str">
        <f t="shared" si="232"/>
        <v>"),MatchYear=</v>
      </c>
      <c r="J823">
        <f>Matchs!E824</f>
        <v>2014</v>
      </c>
      <c r="K823" t="str">
        <f t="shared" si="233"/>
        <v>, SeasonId= "</v>
      </c>
      <c r="L823" t="str">
        <f>Matchs!F824</f>
        <v>FIFAWC2014</v>
      </c>
      <c r="M823" t="str">
        <f t="shared" si="234"/>
        <v>",Round= "</v>
      </c>
      <c r="N823" t="str">
        <f>Matchs!G824</f>
        <v>Final Round</v>
      </c>
      <c r="O823" s="6" t="str">
        <f t="shared" si="235"/>
        <v>",Stage= "</v>
      </c>
      <c r="P823" t="str">
        <f>Matchs!H824</f>
        <v>Knockouts</v>
      </c>
      <c r="Q823" s="6" t="str">
        <f t="shared" si="236"/>
        <v>",SubStage= "</v>
      </c>
      <c r="R823" t="str">
        <f>Matchs!I824</f>
        <v xml:space="preserve">Round of 16 </v>
      </c>
      <c r="S823" s="6" t="str">
        <f t="shared" si="237"/>
        <v>",HTeam= "</v>
      </c>
      <c r="T823" t="str">
        <f>Matchs!J824</f>
        <v>Netherlands</v>
      </c>
      <c r="U823" s="6" t="str">
        <f t="shared" si="238"/>
        <v>",HGoal=</v>
      </c>
      <c r="V823">
        <f>Matchs!K824</f>
        <v>2</v>
      </c>
      <c r="W823" s="6" t="str">
        <f t="shared" si="239"/>
        <v>,GGoal=</v>
      </c>
      <c r="X823">
        <f>Matchs!L824</f>
        <v>1</v>
      </c>
      <c r="Y823" s="6" t="str">
        <f t="shared" si="240"/>
        <v>,GTeam= "</v>
      </c>
      <c r="Z823" t="str">
        <f>Matchs!M824</f>
        <v>Mexico</v>
      </c>
      <c r="AA823" s="6" t="str">
        <f t="shared" si="241"/>
        <v>",WinNote="</v>
      </c>
      <c r="AB823" t="str">
        <f>IF(Matchs!N824="","",Matchs!N824)</f>
        <v/>
      </c>
      <c r="AC823" s="6" t="str">
        <f t="shared" si="242"/>
        <v xml:space="preserve">",Stadium=" </v>
      </c>
      <c r="AD823" s="11" t="str">
        <f>Matchs!O824</f>
        <v xml:space="preserve">Estadio Castelao </v>
      </c>
      <c r="AE823" s="6" t="str">
        <f t="shared" si="243"/>
        <v>",Referee= "</v>
      </c>
      <c r="AF823" s="11" t="str">
        <f>Matchs!P824</f>
        <v xml:space="preserve">Pedro Proenca </v>
      </c>
      <c r="AG823" s="6" t="str">
        <f t="shared" si="244"/>
        <v xml:space="preserve">",Visistors= </v>
      </c>
      <c r="AH823" s="11">
        <f>Matchs!Q824</f>
        <v>58817</v>
      </c>
      <c r="AI823" s="11" t="str">
        <f t="shared" si="245"/>
        <v>,Status= "</v>
      </c>
      <c r="AJ823" s="11" t="str">
        <f>Matchs!R824</f>
        <v>Finished</v>
      </c>
      <c r="AK823" t="str">
        <f t="shared" si="246"/>
        <v>" },</v>
      </c>
    </row>
    <row r="824" spans="1:37" x14ac:dyDescent="0.25">
      <c r="A824" t="str">
        <f t="shared" si="228"/>
        <v>new Match { MatchId= "</v>
      </c>
      <c r="B824" t="str">
        <f>Matchs!A825</f>
        <v>FIFAWC2014-52</v>
      </c>
      <c r="C824" t="str">
        <f t="shared" si="229"/>
        <v>",MatchNumer=</v>
      </c>
      <c r="D824">
        <f>Matchs!B825</f>
        <v>52</v>
      </c>
      <c r="E824" t="str">
        <f t="shared" si="230"/>
        <v>,DateMatch=DateTime.Parse("</v>
      </c>
      <c r="F824" s="3">
        <f>Matchs!C825</f>
        <v>41820</v>
      </c>
      <c r="G824" s="10" t="str">
        <f t="shared" si="231"/>
        <v>"),TimeMatch=TimeSpan.Parse("</v>
      </c>
      <c r="H824" s="9">
        <f>Matchs!D825</f>
        <v>0.125</v>
      </c>
      <c r="I824" t="str">
        <f t="shared" si="232"/>
        <v>"),MatchYear=</v>
      </c>
      <c r="J824">
        <f>Matchs!E825</f>
        <v>2014</v>
      </c>
      <c r="K824" t="str">
        <f t="shared" si="233"/>
        <v>, SeasonId= "</v>
      </c>
      <c r="L824" t="str">
        <f>Matchs!F825</f>
        <v>FIFAWC2014</v>
      </c>
      <c r="M824" t="str">
        <f t="shared" si="234"/>
        <v>",Round= "</v>
      </c>
      <c r="N824" t="str">
        <f>Matchs!G825</f>
        <v>Final Round</v>
      </c>
      <c r="O824" s="6" t="str">
        <f t="shared" si="235"/>
        <v>",Stage= "</v>
      </c>
      <c r="P824" t="str">
        <f>Matchs!H825</f>
        <v>Knockouts</v>
      </c>
      <c r="Q824" s="6" t="str">
        <f t="shared" si="236"/>
        <v>",SubStage= "</v>
      </c>
      <c r="R824" t="str">
        <f>Matchs!I825</f>
        <v xml:space="preserve">Round of 16 </v>
      </c>
      <c r="S824" s="6" t="str">
        <f t="shared" si="237"/>
        <v>",HTeam= "</v>
      </c>
      <c r="T824" t="str">
        <f>Matchs!J825</f>
        <v>Costa Rica</v>
      </c>
      <c r="U824" s="6" t="str">
        <f t="shared" si="238"/>
        <v>",HGoal=</v>
      </c>
      <c r="V824">
        <f>Matchs!K825</f>
        <v>1</v>
      </c>
      <c r="W824" s="6" t="str">
        <f t="shared" si="239"/>
        <v>,GGoal=</v>
      </c>
      <c r="X824">
        <f>Matchs!L825</f>
        <v>1</v>
      </c>
      <c r="Y824" s="6" t="str">
        <f t="shared" si="240"/>
        <v>,GTeam= "</v>
      </c>
      <c r="Z824" t="str">
        <f>Matchs!M825</f>
        <v>Greece</v>
      </c>
      <c r="AA824" s="6" t="str">
        <f t="shared" si="241"/>
        <v>",WinNote="</v>
      </c>
      <c r="AB824" t="str">
        <f>IF(Matchs!N825="","",Matchs!N825)</f>
        <v>Costa Rica win 5 - 3 on penalties</v>
      </c>
      <c r="AC824" s="6" t="str">
        <f t="shared" si="242"/>
        <v xml:space="preserve">",Stadium=" </v>
      </c>
      <c r="AD824" s="11" t="str">
        <f>Matchs!O825</f>
        <v xml:space="preserve">Arena Pernambucano </v>
      </c>
      <c r="AE824" s="6" t="str">
        <f t="shared" si="243"/>
        <v>",Referee= "</v>
      </c>
      <c r="AF824" s="11" t="str">
        <f>Matchs!P825</f>
        <v xml:space="preserve">Ben Williams </v>
      </c>
      <c r="AG824" s="6" t="str">
        <f t="shared" si="244"/>
        <v xml:space="preserve">",Visistors= </v>
      </c>
      <c r="AH824" s="11">
        <f>Matchs!Q825</f>
        <v>41242</v>
      </c>
      <c r="AI824" s="11" t="str">
        <f t="shared" si="245"/>
        <v>,Status= "</v>
      </c>
      <c r="AJ824" s="11" t="str">
        <f>Matchs!R825</f>
        <v>Finished</v>
      </c>
      <c r="AK824" t="str">
        <f t="shared" si="246"/>
        <v>" },</v>
      </c>
    </row>
    <row r="825" spans="1:37" x14ac:dyDescent="0.25">
      <c r="A825" t="str">
        <f t="shared" si="228"/>
        <v>new Match { MatchId= "</v>
      </c>
      <c r="B825" t="str">
        <f>Matchs!A826</f>
        <v>FIFAWC2014-53</v>
      </c>
      <c r="C825" t="str">
        <f t="shared" si="229"/>
        <v>",MatchNumer=</v>
      </c>
      <c r="D825">
        <f>Matchs!B826</f>
        <v>53</v>
      </c>
      <c r="E825" t="str">
        <f t="shared" si="230"/>
        <v>,DateMatch=DateTime.Parse("</v>
      </c>
      <c r="F825" s="3">
        <f>Matchs!C826</f>
        <v>41820</v>
      </c>
      <c r="G825" s="10" t="str">
        <f t="shared" si="231"/>
        <v>"),TimeMatch=TimeSpan.Parse("</v>
      </c>
      <c r="H825" s="9">
        <f>Matchs!D826</f>
        <v>0.95833333333333337</v>
      </c>
      <c r="I825" t="str">
        <f t="shared" si="232"/>
        <v>"),MatchYear=</v>
      </c>
      <c r="J825">
        <f>Matchs!E826</f>
        <v>2014</v>
      </c>
      <c r="K825" t="str">
        <f t="shared" si="233"/>
        <v>, SeasonId= "</v>
      </c>
      <c r="L825" t="str">
        <f>Matchs!F826</f>
        <v>FIFAWC2014</v>
      </c>
      <c r="M825" t="str">
        <f t="shared" si="234"/>
        <v>",Round= "</v>
      </c>
      <c r="N825" t="str">
        <f>Matchs!G826</f>
        <v>Final Round</v>
      </c>
      <c r="O825" s="6" t="str">
        <f t="shared" si="235"/>
        <v>",Stage= "</v>
      </c>
      <c r="P825" t="str">
        <f>Matchs!H826</f>
        <v>Knockouts</v>
      </c>
      <c r="Q825" s="6" t="str">
        <f t="shared" si="236"/>
        <v>",SubStage= "</v>
      </c>
      <c r="R825" t="str">
        <f>Matchs!I826</f>
        <v xml:space="preserve">Round of 16 </v>
      </c>
      <c r="S825" s="6" t="str">
        <f t="shared" si="237"/>
        <v>",HTeam= "</v>
      </c>
      <c r="T825" t="str">
        <f>Matchs!J826</f>
        <v>France</v>
      </c>
      <c r="U825" s="6" t="str">
        <f t="shared" si="238"/>
        <v>",HGoal=</v>
      </c>
      <c r="V825">
        <f>Matchs!K826</f>
        <v>2</v>
      </c>
      <c r="W825" s="6" t="str">
        <f t="shared" si="239"/>
        <v>,GGoal=</v>
      </c>
      <c r="X825">
        <f>Matchs!L826</f>
        <v>0</v>
      </c>
      <c r="Y825" s="6" t="str">
        <f t="shared" si="240"/>
        <v>,GTeam= "</v>
      </c>
      <c r="Z825" t="str">
        <f>Matchs!M826</f>
        <v>Nigeria</v>
      </c>
      <c r="AA825" s="6" t="str">
        <f t="shared" si="241"/>
        <v>",WinNote="</v>
      </c>
      <c r="AB825" t="str">
        <f>IF(Matchs!N826="","",Matchs!N826)</f>
        <v/>
      </c>
      <c r="AC825" s="6" t="str">
        <f t="shared" si="242"/>
        <v xml:space="preserve">",Stadium=" </v>
      </c>
      <c r="AD825" s="11" t="str">
        <f>Matchs!O826</f>
        <v xml:space="preserve">Estadio Nacional Mane Garrincha </v>
      </c>
      <c r="AE825" s="6" t="str">
        <f t="shared" si="243"/>
        <v>",Referee= "</v>
      </c>
      <c r="AF825" s="11" t="str">
        <f>Matchs!P826</f>
        <v xml:space="preserve">Mark Geiger </v>
      </c>
      <c r="AG825" s="6" t="str">
        <f t="shared" si="244"/>
        <v xml:space="preserve">",Visistors= </v>
      </c>
      <c r="AH825" s="11">
        <f>Matchs!Q826</f>
        <v>67882</v>
      </c>
      <c r="AI825" s="11" t="str">
        <f t="shared" si="245"/>
        <v>,Status= "</v>
      </c>
      <c r="AJ825" s="11" t="str">
        <f>Matchs!R826</f>
        <v>Finished</v>
      </c>
      <c r="AK825" t="str">
        <f t="shared" si="246"/>
        <v>" },</v>
      </c>
    </row>
    <row r="826" spans="1:37" x14ac:dyDescent="0.25">
      <c r="A826" t="str">
        <f t="shared" si="228"/>
        <v>new Match { MatchId= "</v>
      </c>
      <c r="B826" t="str">
        <f>Matchs!A827</f>
        <v>FIFAWC2014-54</v>
      </c>
      <c r="C826" t="str">
        <f t="shared" si="229"/>
        <v>",MatchNumer=</v>
      </c>
      <c r="D826">
        <f>Matchs!B827</f>
        <v>54</v>
      </c>
      <c r="E826" t="str">
        <f t="shared" si="230"/>
        <v>,DateMatch=DateTime.Parse("</v>
      </c>
      <c r="F826" s="3">
        <f>Matchs!C827</f>
        <v>41821</v>
      </c>
      <c r="G826" s="10" t="str">
        <f t="shared" si="231"/>
        <v>"),TimeMatch=TimeSpan.Parse("</v>
      </c>
      <c r="H826" s="9">
        <f>Matchs!D827</f>
        <v>0.125</v>
      </c>
      <c r="I826" t="str">
        <f t="shared" si="232"/>
        <v>"),MatchYear=</v>
      </c>
      <c r="J826">
        <f>Matchs!E827</f>
        <v>2014</v>
      </c>
      <c r="K826" t="str">
        <f t="shared" si="233"/>
        <v>, SeasonId= "</v>
      </c>
      <c r="L826" t="str">
        <f>Matchs!F827</f>
        <v>FIFAWC2014</v>
      </c>
      <c r="M826" t="str">
        <f t="shared" si="234"/>
        <v>",Round= "</v>
      </c>
      <c r="N826" t="str">
        <f>Matchs!G827</f>
        <v>Final Round</v>
      </c>
      <c r="O826" s="6" t="str">
        <f t="shared" si="235"/>
        <v>",Stage= "</v>
      </c>
      <c r="P826" t="str">
        <f>Matchs!H827</f>
        <v>Knockouts</v>
      </c>
      <c r="Q826" s="6" t="str">
        <f t="shared" si="236"/>
        <v>",SubStage= "</v>
      </c>
      <c r="R826" t="str">
        <f>Matchs!I827</f>
        <v xml:space="preserve">Round of 16 </v>
      </c>
      <c r="S826" s="6" t="str">
        <f t="shared" si="237"/>
        <v>",HTeam= "</v>
      </c>
      <c r="T826" t="str">
        <f>Matchs!J827</f>
        <v>Germany</v>
      </c>
      <c r="U826" s="6" t="str">
        <f t="shared" si="238"/>
        <v>",HGoal=</v>
      </c>
      <c r="V826">
        <f>Matchs!K827</f>
        <v>2</v>
      </c>
      <c r="W826" s="6" t="str">
        <f t="shared" si="239"/>
        <v>,GGoal=</v>
      </c>
      <c r="X826">
        <f>Matchs!L827</f>
        <v>1</v>
      </c>
      <c r="Y826" s="6" t="str">
        <f t="shared" si="240"/>
        <v>,GTeam= "</v>
      </c>
      <c r="Z826" t="str">
        <f>Matchs!M827</f>
        <v>Algeria</v>
      </c>
      <c r="AA826" s="6" t="str">
        <f t="shared" si="241"/>
        <v>",WinNote="</v>
      </c>
      <c r="AB826" t="str">
        <f>IF(Matchs!N827="","",Matchs!N827)</f>
        <v/>
      </c>
      <c r="AC826" s="6" t="str">
        <f t="shared" si="242"/>
        <v xml:space="preserve">",Stadium=" </v>
      </c>
      <c r="AD826" s="11" t="str">
        <f>Matchs!O827</f>
        <v xml:space="preserve">Estádio Beira-Rio </v>
      </c>
      <c r="AE826" s="6" t="str">
        <f t="shared" si="243"/>
        <v>",Referee= "</v>
      </c>
      <c r="AF826" s="11" t="str">
        <f>Matchs!P827</f>
        <v xml:space="preserve">Sandro Ricci </v>
      </c>
      <c r="AG826" s="6" t="str">
        <f t="shared" si="244"/>
        <v xml:space="preserve">",Visistors= </v>
      </c>
      <c r="AH826" s="11">
        <f>Matchs!Q827</f>
        <v>43063</v>
      </c>
      <c r="AI826" s="11" t="str">
        <f t="shared" si="245"/>
        <v>,Status= "</v>
      </c>
      <c r="AJ826" s="11" t="str">
        <f>Matchs!R827</f>
        <v>Finished</v>
      </c>
      <c r="AK826" t="str">
        <f t="shared" si="246"/>
        <v>" },</v>
      </c>
    </row>
    <row r="827" spans="1:37" x14ac:dyDescent="0.25">
      <c r="A827" t="str">
        <f t="shared" si="228"/>
        <v>new Match { MatchId= "</v>
      </c>
      <c r="B827" t="str">
        <f>Matchs!A828</f>
        <v>FIFAWC2014-55</v>
      </c>
      <c r="C827" t="str">
        <f t="shared" si="229"/>
        <v>",MatchNumer=</v>
      </c>
      <c r="D827">
        <f>Matchs!B828</f>
        <v>55</v>
      </c>
      <c r="E827" t="str">
        <f t="shared" si="230"/>
        <v>,DateMatch=DateTime.Parse("</v>
      </c>
      <c r="F827" s="3">
        <f>Matchs!C828</f>
        <v>41821</v>
      </c>
      <c r="G827" s="10" t="str">
        <f t="shared" si="231"/>
        <v>"),TimeMatch=TimeSpan.Parse("</v>
      </c>
      <c r="H827" s="9">
        <f>Matchs!D828</f>
        <v>0.95833333333333337</v>
      </c>
      <c r="I827" t="str">
        <f t="shared" si="232"/>
        <v>"),MatchYear=</v>
      </c>
      <c r="J827">
        <f>Matchs!E828</f>
        <v>2014</v>
      </c>
      <c r="K827" t="str">
        <f t="shared" si="233"/>
        <v>, SeasonId= "</v>
      </c>
      <c r="L827" t="str">
        <f>Matchs!F828</f>
        <v>FIFAWC2014</v>
      </c>
      <c r="M827" t="str">
        <f t="shared" si="234"/>
        <v>",Round= "</v>
      </c>
      <c r="N827" t="str">
        <f>Matchs!G828</f>
        <v>Final Round</v>
      </c>
      <c r="O827" s="6" t="str">
        <f t="shared" si="235"/>
        <v>",Stage= "</v>
      </c>
      <c r="P827" t="str">
        <f>Matchs!H828</f>
        <v>Knockouts</v>
      </c>
      <c r="Q827" s="6" t="str">
        <f t="shared" si="236"/>
        <v>",SubStage= "</v>
      </c>
      <c r="R827" t="str">
        <f>Matchs!I828</f>
        <v xml:space="preserve">Round of 16 </v>
      </c>
      <c r="S827" s="6" t="str">
        <f t="shared" si="237"/>
        <v>",HTeam= "</v>
      </c>
      <c r="T827" t="str">
        <f>Matchs!J828</f>
        <v>Argentina</v>
      </c>
      <c r="U827" s="6" t="str">
        <f t="shared" si="238"/>
        <v>",HGoal=</v>
      </c>
      <c r="V827">
        <f>Matchs!K828</f>
        <v>1</v>
      </c>
      <c r="W827" s="6" t="str">
        <f t="shared" si="239"/>
        <v>,GGoal=</v>
      </c>
      <c r="X827">
        <f>Matchs!L828</f>
        <v>0</v>
      </c>
      <c r="Y827" s="6" t="str">
        <f t="shared" si="240"/>
        <v>,GTeam= "</v>
      </c>
      <c r="Z827" t="str">
        <f>Matchs!M828</f>
        <v>Switzerland</v>
      </c>
      <c r="AA827" s="6" t="str">
        <f t="shared" si="241"/>
        <v>",WinNote="</v>
      </c>
      <c r="AB827" t="str">
        <f>IF(Matchs!N828="","",Matchs!N828)</f>
        <v/>
      </c>
      <c r="AC827" s="6" t="str">
        <f t="shared" si="242"/>
        <v xml:space="preserve">",Stadium=" </v>
      </c>
      <c r="AD827" s="11" t="str">
        <f>Matchs!O828</f>
        <v xml:space="preserve">Arena de Sao Paulo </v>
      </c>
      <c r="AE827" s="6" t="str">
        <f t="shared" si="243"/>
        <v>",Referee= "</v>
      </c>
      <c r="AF827" s="11" t="str">
        <f>Matchs!P828</f>
        <v xml:space="preserve">Jonas Eriksson </v>
      </c>
      <c r="AG827" s="6" t="str">
        <f t="shared" si="244"/>
        <v xml:space="preserve">",Visistors= </v>
      </c>
      <c r="AH827" s="11">
        <f>Matchs!Q828</f>
        <v>63255</v>
      </c>
      <c r="AI827" s="11" t="str">
        <f t="shared" si="245"/>
        <v>,Status= "</v>
      </c>
      <c r="AJ827" s="11" t="str">
        <f>Matchs!R828</f>
        <v>Finished</v>
      </c>
      <c r="AK827" t="str">
        <f t="shared" si="246"/>
        <v>" },</v>
      </c>
    </row>
    <row r="828" spans="1:37" x14ac:dyDescent="0.25">
      <c r="A828" t="str">
        <f t="shared" si="228"/>
        <v>new Match { MatchId= "</v>
      </c>
      <c r="B828" t="str">
        <f>Matchs!A829</f>
        <v>FIFAWC2014-56</v>
      </c>
      <c r="C828" t="str">
        <f t="shared" si="229"/>
        <v>",MatchNumer=</v>
      </c>
      <c r="D828">
        <f>Matchs!B829</f>
        <v>56</v>
      </c>
      <c r="E828" t="str">
        <f t="shared" si="230"/>
        <v>,DateMatch=DateTime.Parse("</v>
      </c>
      <c r="F828" s="3">
        <f>Matchs!C829</f>
        <v>41822</v>
      </c>
      <c r="G828" s="10" t="str">
        <f t="shared" si="231"/>
        <v>"),TimeMatch=TimeSpan.Parse("</v>
      </c>
      <c r="H828" s="9">
        <f>Matchs!D829</f>
        <v>0.125</v>
      </c>
      <c r="I828" t="str">
        <f t="shared" si="232"/>
        <v>"),MatchYear=</v>
      </c>
      <c r="J828">
        <f>Matchs!E829</f>
        <v>2014</v>
      </c>
      <c r="K828" t="str">
        <f t="shared" si="233"/>
        <v>, SeasonId= "</v>
      </c>
      <c r="L828" t="str">
        <f>Matchs!F829</f>
        <v>FIFAWC2014</v>
      </c>
      <c r="M828" t="str">
        <f t="shared" si="234"/>
        <v>",Round= "</v>
      </c>
      <c r="N828" t="str">
        <f>Matchs!G829</f>
        <v>Final Round</v>
      </c>
      <c r="O828" s="6" t="str">
        <f t="shared" si="235"/>
        <v>",Stage= "</v>
      </c>
      <c r="P828" t="str">
        <f>Matchs!H829</f>
        <v>Knockouts</v>
      </c>
      <c r="Q828" s="6" t="str">
        <f t="shared" si="236"/>
        <v>",SubStage= "</v>
      </c>
      <c r="R828" t="str">
        <f>Matchs!I829</f>
        <v xml:space="preserve">Round of 16 </v>
      </c>
      <c r="S828" s="6" t="str">
        <f t="shared" si="237"/>
        <v>",HTeam= "</v>
      </c>
      <c r="T828" t="str">
        <f>Matchs!J829</f>
        <v>Belgium</v>
      </c>
      <c r="U828" s="6" t="str">
        <f t="shared" si="238"/>
        <v>",HGoal=</v>
      </c>
      <c r="V828">
        <f>Matchs!K829</f>
        <v>2</v>
      </c>
      <c r="W828" s="6" t="str">
        <f t="shared" si="239"/>
        <v>,GGoal=</v>
      </c>
      <c r="X828">
        <f>Matchs!L829</f>
        <v>1</v>
      </c>
      <c r="Y828" s="6" t="str">
        <f t="shared" si="240"/>
        <v>,GTeam= "</v>
      </c>
      <c r="Z828" t="str">
        <f>Matchs!M829</f>
        <v>United States</v>
      </c>
      <c r="AA828" s="6" t="str">
        <f t="shared" si="241"/>
        <v>",WinNote="</v>
      </c>
      <c r="AB828" t="str">
        <f>IF(Matchs!N829="","",Matchs!N829)</f>
        <v/>
      </c>
      <c r="AC828" s="6" t="str">
        <f t="shared" si="242"/>
        <v xml:space="preserve">",Stadium=" </v>
      </c>
      <c r="AD828" s="11" t="str">
        <f>Matchs!O829</f>
        <v xml:space="preserve">Arena Fonte Nova </v>
      </c>
      <c r="AE828" s="6" t="str">
        <f t="shared" si="243"/>
        <v>",Referee= "</v>
      </c>
      <c r="AF828" s="11" t="str">
        <f>Matchs!P829</f>
        <v xml:space="preserve">Djamel Haimoudi </v>
      </c>
      <c r="AG828" s="6" t="str">
        <f t="shared" si="244"/>
        <v xml:space="preserve">",Visistors= </v>
      </c>
      <c r="AH828" s="11">
        <f>Matchs!Q829</f>
        <v>51227</v>
      </c>
      <c r="AI828" s="11" t="str">
        <f t="shared" si="245"/>
        <v>,Status= "</v>
      </c>
      <c r="AJ828" s="11" t="str">
        <f>Matchs!R829</f>
        <v>Finished</v>
      </c>
      <c r="AK828" t="str">
        <f t="shared" si="246"/>
        <v>" },</v>
      </c>
    </row>
    <row r="829" spans="1:37" x14ac:dyDescent="0.25">
      <c r="A829" t="str">
        <f t="shared" si="228"/>
        <v>new Match { MatchId= "</v>
      </c>
      <c r="B829" t="str">
        <f>Matchs!A830</f>
        <v>FIFAWC2014-57</v>
      </c>
      <c r="C829" t="str">
        <f t="shared" si="229"/>
        <v>",MatchNumer=</v>
      </c>
      <c r="D829">
        <f>Matchs!B830</f>
        <v>57</v>
      </c>
      <c r="E829" t="str">
        <f t="shared" si="230"/>
        <v>,DateMatch=DateTime.Parse("</v>
      </c>
      <c r="F829" s="3">
        <f>Matchs!C830</f>
        <v>41824</v>
      </c>
      <c r="G829" s="10" t="str">
        <f t="shared" si="231"/>
        <v>"),TimeMatch=TimeSpan.Parse("</v>
      </c>
      <c r="H829" s="9">
        <f>Matchs!D830</f>
        <v>0.95833333333333337</v>
      </c>
      <c r="I829" t="str">
        <f t="shared" si="232"/>
        <v>"),MatchYear=</v>
      </c>
      <c r="J829">
        <f>Matchs!E830</f>
        <v>2014</v>
      </c>
      <c r="K829" t="str">
        <f t="shared" si="233"/>
        <v>, SeasonId= "</v>
      </c>
      <c r="L829" t="str">
        <f>Matchs!F830</f>
        <v>FIFAWC2014</v>
      </c>
      <c r="M829" t="str">
        <f t="shared" si="234"/>
        <v>",Round= "</v>
      </c>
      <c r="N829" t="str">
        <f>Matchs!G830</f>
        <v>Final Round</v>
      </c>
      <c r="O829" s="6" t="str">
        <f t="shared" si="235"/>
        <v>",Stage= "</v>
      </c>
      <c r="P829" t="str">
        <f>Matchs!H830</f>
        <v>Knockouts</v>
      </c>
      <c r="Q829" s="6" t="str">
        <f t="shared" si="236"/>
        <v>",SubStage= "</v>
      </c>
      <c r="R829" t="str">
        <f>Matchs!I830</f>
        <v>Quaterfinal</v>
      </c>
      <c r="S829" s="6" t="str">
        <f t="shared" si="237"/>
        <v>",HTeam= "</v>
      </c>
      <c r="T829" t="str">
        <f>Matchs!J830</f>
        <v>France</v>
      </c>
      <c r="U829" s="6" t="str">
        <f t="shared" si="238"/>
        <v>",HGoal=</v>
      </c>
      <c r="V829">
        <f>Matchs!K830</f>
        <v>0</v>
      </c>
      <c r="W829" s="6" t="str">
        <f t="shared" si="239"/>
        <v>,GGoal=</v>
      </c>
      <c r="X829">
        <f>Matchs!L830</f>
        <v>1</v>
      </c>
      <c r="Y829" s="6" t="str">
        <f t="shared" si="240"/>
        <v>,GTeam= "</v>
      </c>
      <c r="Z829" t="str">
        <f>Matchs!M830</f>
        <v>Germany</v>
      </c>
      <c r="AA829" s="6" t="str">
        <f t="shared" si="241"/>
        <v>",WinNote="</v>
      </c>
      <c r="AB829" t="str">
        <f>IF(Matchs!N830="","",Matchs!N830)</f>
        <v/>
      </c>
      <c r="AC829" s="6" t="str">
        <f t="shared" si="242"/>
        <v xml:space="preserve">",Stadium=" </v>
      </c>
      <c r="AD829" s="11" t="str">
        <f>Matchs!O830</f>
        <v xml:space="preserve">Estádio do Maracanã </v>
      </c>
      <c r="AE829" s="6" t="str">
        <f t="shared" si="243"/>
        <v>",Referee= "</v>
      </c>
      <c r="AF829" s="11" t="str">
        <f>Matchs!P830</f>
        <v xml:space="preserve">Nestor Pitana </v>
      </c>
      <c r="AG829" s="6" t="str">
        <f t="shared" si="244"/>
        <v xml:space="preserve">",Visistors= </v>
      </c>
      <c r="AH829" s="11">
        <f>Matchs!Q830</f>
        <v>74240</v>
      </c>
      <c r="AI829" s="11" t="str">
        <f t="shared" si="245"/>
        <v>,Status= "</v>
      </c>
      <c r="AJ829" s="11" t="str">
        <f>Matchs!R830</f>
        <v>Finished</v>
      </c>
      <c r="AK829" t="str">
        <f t="shared" si="246"/>
        <v>" },</v>
      </c>
    </row>
    <row r="830" spans="1:37" x14ac:dyDescent="0.25">
      <c r="A830" t="str">
        <f t="shared" si="228"/>
        <v>new Match { MatchId= "</v>
      </c>
      <c r="B830" t="str">
        <f>Matchs!A831</f>
        <v>FIFAWC2014-58</v>
      </c>
      <c r="C830" t="str">
        <f t="shared" si="229"/>
        <v>",MatchNumer=</v>
      </c>
      <c r="D830">
        <f>Matchs!B831</f>
        <v>58</v>
      </c>
      <c r="E830" t="str">
        <f t="shared" si="230"/>
        <v>,DateMatch=DateTime.Parse("</v>
      </c>
      <c r="F830" s="3">
        <f>Matchs!C831</f>
        <v>41825</v>
      </c>
      <c r="G830" s="10" t="str">
        <f t="shared" si="231"/>
        <v>"),TimeMatch=TimeSpan.Parse("</v>
      </c>
      <c r="H830" s="9">
        <f>Matchs!D831</f>
        <v>0.125</v>
      </c>
      <c r="I830" t="str">
        <f t="shared" si="232"/>
        <v>"),MatchYear=</v>
      </c>
      <c r="J830">
        <f>Matchs!E831</f>
        <v>2014</v>
      </c>
      <c r="K830" t="str">
        <f t="shared" si="233"/>
        <v>, SeasonId= "</v>
      </c>
      <c r="L830" t="str">
        <f>Matchs!F831</f>
        <v>FIFAWC2014</v>
      </c>
      <c r="M830" t="str">
        <f t="shared" si="234"/>
        <v>",Round= "</v>
      </c>
      <c r="N830" t="str">
        <f>Matchs!G831</f>
        <v>Final Round</v>
      </c>
      <c r="O830" s="6" t="str">
        <f t="shared" si="235"/>
        <v>",Stage= "</v>
      </c>
      <c r="P830" t="str">
        <f>Matchs!H831</f>
        <v>Knockouts</v>
      </c>
      <c r="Q830" s="6" t="str">
        <f t="shared" si="236"/>
        <v>",SubStage= "</v>
      </c>
      <c r="R830" t="str">
        <f>Matchs!I831</f>
        <v>Quaterfinal</v>
      </c>
      <c r="S830" s="6" t="str">
        <f t="shared" si="237"/>
        <v>",HTeam= "</v>
      </c>
      <c r="T830" t="str">
        <f>Matchs!J831</f>
        <v>Brazil</v>
      </c>
      <c r="U830" s="6" t="str">
        <f t="shared" si="238"/>
        <v>",HGoal=</v>
      </c>
      <c r="V830">
        <f>Matchs!K831</f>
        <v>2</v>
      </c>
      <c r="W830" s="6" t="str">
        <f t="shared" si="239"/>
        <v>,GGoal=</v>
      </c>
      <c r="X830">
        <f>Matchs!L831</f>
        <v>1</v>
      </c>
      <c r="Y830" s="6" t="str">
        <f t="shared" si="240"/>
        <v>,GTeam= "</v>
      </c>
      <c r="Z830" t="str">
        <f>Matchs!M831</f>
        <v>Colombia</v>
      </c>
      <c r="AA830" s="6" t="str">
        <f t="shared" si="241"/>
        <v>",WinNote="</v>
      </c>
      <c r="AB830" t="str">
        <f>IF(Matchs!N831="","",Matchs!N831)</f>
        <v/>
      </c>
      <c r="AC830" s="6" t="str">
        <f t="shared" si="242"/>
        <v xml:space="preserve">",Stadium=" </v>
      </c>
      <c r="AD830" s="11" t="str">
        <f>Matchs!O831</f>
        <v xml:space="preserve">Estadio Castelao </v>
      </c>
      <c r="AE830" s="6" t="str">
        <f t="shared" si="243"/>
        <v>",Referee= "</v>
      </c>
      <c r="AF830" s="11" t="str">
        <f>Matchs!P831</f>
        <v xml:space="preserve">Carlos Velasco Carballo </v>
      </c>
      <c r="AG830" s="6" t="str">
        <f t="shared" si="244"/>
        <v xml:space="preserve">",Visistors= </v>
      </c>
      <c r="AH830" s="11">
        <f>Matchs!Q831</f>
        <v>60342</v>
      </c>
      <c r="AI830" s="11" t="str">
        <f t="shared" si="245"/>
        <v>,Status= "</v>
      </c>
      <c r="AJ830" s="11" t="str">
        <f>Matchs!R831</f>
        <v>Finished</v>
      </c>
      <c r="AK830" t="str">
        <f t="shared" si="246"/>
        <v>" },</v>
      </c>
    </row>
    <row r="831" spans="1:37" x14ac:dyDescent="0.25">
      <c r="A831" t="str">
        <f t="shared" si="228"/>
        <v>new Match { MatchId= "</v>
      </c>
      <c r="B831" t="str">
        <f>Matchs!A832</f>
        <v>FIFAWC2014-59</v>
      </c>
      <c r="C831" t="str">
        <f t="shared" si="229"/>
        <v>",MatchNumer=</v>
      </c>
      <c r="D831">
        <f>Matchs!B832</f>
        <v>59</v>
      </c>
      <c r="E831" t="str">
        <f t="shared" si="230"/>
        <v>,DateMatch=DateTime.Parse("</v>
      </c>
      <c r="F831" s="3">
        <f>Matchs!C832</f>
        <v>41825</v>
      </c>
      <c r="G831" s="10" t="str">
        <f t="shared" si="231"/>
        <v>"),TimeMatch=TimeSpan.Parse("</v>
      </c>
      <c r="H831" s="9">
        <f>Matchs!D832</f>
        <v>0.95833333333333337</v>
      </c>
      <c r="I831" t="str">
        <f t="shared" si="232"/>
        <v>"),MatchYear=</v>
      </c>
      <c r="J831">
        <f>Matchs!E832</f>
        <v>2014</v>
      </c>
      <c r="K831" t="str">
        <f t="shared" si="233"/>
        <v>, SeasonId= "</v>
      </c>
      <c r="L831" t="str">
        <f>Matchs!F832</f>
        <v>FIFAWC2014</v>
      </c>
      <c r="M831" t="str">
        <f t="shared" si="234"/>
        <v>",Round= "</v>
      </c>
      <c r="N831" t="str">
        <f>Matchs!G832</f>
        <v>Final Round</v>
      </c>
      <c r="O831" s="6" t="str">
        <f t="shared" si="235"/>
        <v>",Stage= "</v>
      </c>
      <c r="P831" t="str">
        <f>Matchs!H832</f>
        <v>Knockouts</v>
      </c>
      <c r="Q831" s="6" t="str">
        <f t="shared" si="236"/>
        <v>",SubStage= "</v>
      </c>
      <c r="R831" t="str">
        <f>Matchs!I832</f>
        <v>Quaterfinal</v>
      </c>
      <c r="S831" s="6" t="str">
        <f t="shared" si="237"/>
        <v>",HTeam= "</v>
      </c>
      <c r="T831" t="str">
        <f>Matchs!J832</f>
        <v>Argentina</v>
      </c>
      <c r="U831" s="6" t="str">
        <f t="shared" si="238"/>
        <v>",HGoal=</v>
      </c>
      <c r="V831">
        <f>Matchs!K832</f>
        <v>1</v>
      </c>
      <c r="W831" s="6" t="str">
        <f t="shared" si="239"/>
        <v>,GGoal=</v>
      </c>
      <c r="X831">
        <f>Matchs!L832</f>
        <v>0</v>
      </c>
      <c r="Y831" s="6" t="str">
        <f t="shared" si="240"/>
        <v>,GTeam= "</v>
      </c>
      <c r="Z831" t="str">
        <f>Matchs!M832</f>
        <v>Belgium</v>
      </c>
      <c r="AA831" s="6" t="str">
        <f t="shared" si="241"/>
        <v>",WinNote="</v>
      </c>
      <c r="AB831" t="str">
        <f>IF(Matchs!N832="","",Matchs!N832)</f>
        <v/>
      </c>
      <c r="AC831" s="6" t="str">
        <f t="shared" si="242"/>
        <v xml:space="preserve">",Stadium=" </v>
      </c>
      <c r="AD831" s="11" t="str">
        <f>Matchs!O832</f>
        <v xml:space="preserve">Estadio Nacional Mane Garrincha </v>
      </c>
      <c r="AE831" s="6" t="str">
        <f t="shared" si="243"/>
        <v>",Referee= "</v>
      </c>
      <c r="AF831" s="11" t="str">
        <f>Matchs!P832</f>
        <v xml:space="preserve">Nicola Rizzoli </v>
      </c>
      <c r="AG831" s="6" t="str">
        <f t="shared" si="244"/>
        <v xml:space="preserve">",Visistors= </v>
      </c>
      <c r="AH831" s="11">
        <f>Matchs!Q832</f>
        <v>68551</v>
      </c>
      <c r="AI831" s="11" t="str">
        <f t="shared" si="245"/>
        <v>,Status= "</v>
      </c>
      <c r="AJ831" s="11" t="str">
        <f>Matchs!R832</f>
        <v>Finished</v>
      </c>
      <c r="AK831" t="str">
        <f t="shared" si="246"/>
        <v>" },</v>
      </c>
    </row>
    <row r="832" spans="1:37" x14ac:dyDescent="0.25">
      <c r="A832" t="str">
        <f t="shared" si="228"/>
        <v>new Match { MatchId= "</v>
      </c>
      <c r="B832" t="str">
        <f>Matchs!A833</f>
        <v>FIFAWC2014-60</v>
      </c>
      <c r="C832" t="str">
        <f t="shared" si="229"/>
        <v>",MatchNumer=</v>
      </c>
      <c r="D832">
        <f>Matchs!B833</f>
        <v>60</v>
      </c>
      <c r="E832" t="str">
        <f t="shared" si="230"/>
        <v>,DateMatch=DateTime.Parse("</v>
      </c>
      <c r="F832" s="3">
        <f>Matchs!C833</f>
        <v>41826</v>
      </c>
      <c r="G832" s="10" t="str">
        <f t="shared" si="231"/>
        <v>"),TimeMatch=TimeSpan.Parse("</v>
      </c>
      <c r="H832" s="9">
        <f>Matchs!D833</f>
        <v>0.125</v>
      </c>
      <c r="I832" t="str">
        <f t="shared" si="232"/>
        <v>"),MatchYear=</v>
      </c>
      <c r="J832">
        <f>Matchs!E833</f>
        <v>2014</v>
      </c>
      <c r="K832" t="str">
        <f t="shared" si="233"/>
        <v>, SeasonId= "</v>
      </c>
      <c r="L832" t="str">
        <f>Matchs!F833</f>
        <v>FIFAWC2014</v>
      </c>
      <c r="M832" t="str">
        <f t="shared" si="234"/>
        <v>",Round= "</v>
      </c>
      <c r="N832" t="str">
        <f>Matchs!G833</f>
        <v>Final Round</v>
      </c>
      <c r="O832" s="6" t="str">
        <f t="shared" si="235"/>
        <v>",Stage= "</v>
      </c>
      <c r="P832" t="str">
        <f>Matchs!H833</f>
        <v>Knockouts</v>
      </c>
      <c r="Q832" s="6" t="str">
        <f t="shared" si="236"/>
        <v>",SubStage= "</v>
      </c>
      <c r="R832" t="str">
        <f>Matchs!I833</f>
        <v>Quaterfinal</v>
      </c>
      <c r="S832" s="6" t="str">
        <f t="shared" si="237"/>
        <v>",HTeam= "</v>
      </c>
      <c r="T832" t="str">
        <f>Matchs!J833</f>
        <v>Netherlands</v>
      </c>
      <c r="U832" s="6" t="str">
        <f t="shared" si="238"/>
        <v>",HGoal=</v>
      </c>
      <c r="V832">
        <f>Matchs!K833</f>
        <v>0</v>
      </c>
      <c r="W832" s="6" t="str">
        <f t="shared" si="239"/>
        <v>,GGoal=</v>
      </c>
      <c r="X832">
        <f>Matchs!L833</f>
        <v>0</v>
      </c>
      <c r="Y832" s="6" t="str">
        <f t="shared" si="240"/>
        <v>,GTeam= "</v>
      </c>
      <c r="Z832" t="str">
        <f>Matchs!M833</f>
        <v>Costa Rica</v>
      </c>
      <c r="AA832" s="6" t="str">
        <f t="shared" si="241"/>
        <v>",WinNote="</v>
      </c>
      <c r="AB832" t="str">
        <f>IF(Matchs!N833="","",Matchs!N833)</f>
        <v>Netherlands win 4 - 3 on penalties</v>
      </c>
      <c r="AC832" s="6" t="str">
        <f t="shared" si="242"/>
        <v xml:space="preserve">",Stadium=" </v>
      </c>
      <c r="AD832" s="11" t="str">
        <f>Matchs!O833</f>
        <v xml:space="preserve">Arena Fonte Nova </v>
      </c>
      <c r="AE832" s="6" t="str">
        <f t="shared" si="243"/>
        <v>",Referee= "</v>
      </c>
      <c r="AF832" s="11" t="str">
        <f>Matchs!P833</f>
        <v xml:space="preserve">Ravshan Irmatov </v>
      </c>
      <c r="AG832" s="6" t="str">
        <f t="shared" si="244"/>
        <v xml:space="preserve">",Visistors= </v>
      </c>
      <c r="AH832" s="11">
        <f>Matchs!Q833</f>
        <v>51179</v>
      </c>
      <c r="AI832" s="11" t="str">
        <f t="shared" si="245"/>
        <v>,Status= "</v>
      </c>
      <c r="AJ832" s="11" t="str">
        <f>Matchs!R833</f>
        <v>Finished</v>
      </c>
      <c r="AK832" t="str">
        <f t="shared" si="246"/>
        <v>" },</v>
      </c>
    </row>
    <row r="833" spans="1:37" x14ac:dyDescent="0.25">
      <c r="A833" t="str">
        <f t="shared" si="228"/>
        <v>new Match { MatchId= "</v>
      </c>
      <c r="B833" t="str">
        <f>Matchs!A834</f>
        <v>FIFAWC2014-61</v>
      </c>
      <c r="C833" t="str">
        <f t="shared" si="229"/>
        <v>",MatchNumer=</v>
      </c>
      <c r="D833">
        <f>Matchs!B834</f>
        <v>61</v>
      </c>
      <c r="E833" t="str">
        <f t="shared" si="230"/>
        <v>,DateMatch=DateTime.Parse("</v>
      </c>
      <c r="F833" s="3">
        <f>Matchs!C834</f>
        <v>41829</v>
      </c>
      <c r="G833" s="10" t="str">
        <f t="shared" si="231"/>
        <v>"),TimeMatch=TimeSpan.Parse("</v>
      </c>
      <c r="H833" s="9">
        <f>Matchs!D834</f>
        <v>0.125</v>
      </c>
      <c r="I833" t="str">
        <f t="shared" si="232"/>
        <v>"),MatchYear=</v>
      </c>
      <c r="J833">
        <f>Matchs!E834</f>
        <v>2014</v>
      </c>
      <c r="K833" t="str">
        <f t="shared" si="233"/>
        <v>, SeasonId= "</v>
      </c>
      <c r="L833" t="str">
        <f>Matchs!F834</f>
        <v>FIFAWC2014</v>
      </c>
      <c r="M833" t="str">
        <f t="shared" si="234"/>
        <v>",Round= "</v>
      </c>
      <c r="N833" t="str">
        <f>Matchs!G834</f>
        <v>Final Round</v>
      </c>
      <c r="O833" s="6" t="str">
        <f t="shared" si="235"/>
        <v>",Stage= "</v>
      </c>
      <c r="P833" t="str">
        <f>Matchs!H834</f>
        <v>Knockouts</v>
      </c>
      <c r="Q833" s="6" t="str">
        <f t="shared" si="236"/>
        <v>",SubStage= "</v>
      </c>
      <c r="R833" t="str">
        <f>Matchs!I834</f>
        <v>Semifinal</v>
      </c>
      <c r="S833" s="6" t="str">
        <f t="shared" si="237"/>
        <v>",HTeam= "</v>
      </c>
      <c r="T833" t="str">
        <f>Matchs!J834</f>
        <v>Brazil</v>
      </c>
      <c r="U833" s="6" t="str">
        <f t="shared" si="238"/>
        <v>",HGoal=</v>
      </c>
      <c r="V833">
        <f>Matchs!K834</f>
        <v>1</v>
      </c>
      <c r="W833" s="6" t="str">
        <f t="shared" si="239"/>
        <v>,GGoal=</v>
      </c>
      <c r="X833">
        <f>Matchs!L834</f>
        <v>7</v>
      </c>
      <c r="Y833" s="6" t="str">
        <f t="shared" si="240"/>
        <v>,GTeam= "</v>
      </c>
      <c r="Z833" t="str">
        <f>Matchs!M834</f>
        <v>Germany</v>
      </c>
      <c r="AA833" s="6" t="str">
        <f t="shared" si="241"/>
        <v>",WinNote="</v>
      </c>
      <c r="AB833" t="str">
        <f>IF(Matchs!N834="","",Matchs!N834)</f>
        <v/>
      </c>
      <c r="AC833" s="6" t="str">
        <f t="shared" si="242"/>
        <v xml:space="preserve">",Stadium=" </v>
      </c>
      <c r="AD833" s="11" t="str">
        <f>Matchs!O834</f>
        <v xml:space="preserve">Mineirão </v>
      </c>
      <c r="AE833" s="6" t="str">
        <f t="shared" si="243"/>
        <v>",Referee= "</v>
      </c>
      <c r="AF833" s="11" t="str">
        <f>Matchs!P834</f>
        <v xml:space="preserve">Marco Rodríguez </v>
      </c>
      <c r="AG833" s="6" t="str">
        <f t="shared" si="244"/>
        <v xml:space="preserve">",Visistors= </v>
      </c>
      <c r="AH833" s="11">
        <f>Matchs!Q834</f>
        <v>58141</v>
      </c>
      <c r="AI833" s="11" t="str">
        <f t="shared" si="245"/>
        <v>,Status= "</v>
      </c>
      <c r="AJ833" s="11" t="str">
        <f>Matchs!R834</f>
        <v>Finished</v>
      </c>
      <c r="AK833" t="str">
        <f t="shared" si="246"/>
        <v>" },</v>
      </c>
    </row>
    <row r="834" spans="1:37" x14ac:dyDescent="0.25">
      <c r="A834" t="str">
        <f t="shared" si="228"/>
        <v>new Match { MatchId= "</v>
      </c>
      <c r="B834" t="str">
        <f>Matchs!A835</f>
        <v>FIFAWC2014-62</v>
      </c>
      <c r="C834" t="str">
        <f t="shared" si="229"/>
        <v>",MatchNumer=</v>
      </c>
      <c r="D834">
        <f>Matchs!B835</f>
        <v>62</v>
      </c>
      <c r="E834" t="str">
        <f t="shared" si="230"/>
        <v>,DateMatch=DateTime.Parse("</v>
      </c>
      <c r="F834" s="3">
        <f>Matchs!C835</f>
        <v>41830</v>
      </c>
      <c r="G834" s="10" t="str">
        <f t="shared" si="231"/>
        <v>"),TimeMatch=TimeSpan.Parse("</v>
      </c>
      <c r="H834" s="9">
        <f>Matchs!D835</f>
        <v>0.125</v>
      </c>
      <c r="I834" t="str">
        <f t="shared" si="232"/>
        <v>"),MatchYear=</v>
      </c>
      <c r="J834">
        <f>Matchs!E835</f>
        <v>2014</v>
      </c>
      <c r="K834" t="str">
        <f t="shared" si="233"/>
        <v>, SeasonId= "</v>
      </c>
      <c r="L834" t="str">
        <f>Matchs!F835</f>
        <v>FIFAWC2014</v>
      </c>
      <c r="M834" t="str">
        <f t="shared" si="234"/>
        <v>",Round= "</v>
      </c>
      <c r="N834" t="str">
        <f>Matchs!G835</f>
        <v>Final Round</v>
      </c>
      <c r="O834" s="6" t="str">
        <f t="shared" si="235"/>
        <v>",Stage= "</v>
      </c>
      <c r="P834" t="str">
        <f>Matchs!H835</f>
        <v>Knockouts</v>
      </c>
      <c r="Q834" s="6" t="str">
        <f t="shared" si="236"/>
        <v>",SubStage= "</v>
      </c>
      <c r="R834" t="str">
        <f>Matchs!I835</f>
        <v>Semifinal</v>
      </c>
      <c r="S834" s="6" t="str">
        <f t="shared" si="237"/>
        <v>",HTeam= "</v>
      </c>
      <c r="T834" t="str">
        <f>Matchs!J835</f>
        <v>Netherlands</v>
      </c>
      <c r="U834" s="6" t="str">
        <f t="shared" si="238"/>
        <v>",HGoal=</v>
      </c>
      <c r="V834">
        <f>Matchs!K835</f>
        <v>0</v>
      </c>
      <c r="W834" s="6" t="str">
        <f t="shared" si="239"/>
        <v>,GGoal=</v>
      </c>
      <c r="X834">
        <f>Matchs!L835</f>
        <v>0</v>
      </c>
      <c r="Y834" s="6" t="str">
        <f t="shared" si="240"/>
        <v>,GTeam= "</v>
      </c>
      <c r="Z834" t="str">
        <f>Matchs!M835</f>
        <v>Argentina</v>
      </c>
      <c r="AA834" s="6" t="str">
        <f t="shared" si="241"/>
        <v>",WinNote="</v>
      </c>
      <c r="AB834" t="str">
        <f>IF(Matchs!N835="","",Matchs!N835)</f>
        <v>Argentina win 2 - 4 on penalties</v>
      </c>
      <c r="AC834" s="6" t="str">
        <f t="shared" si="242"/>
        <v xml:space="preserve">",Stadium=" </v>
      </c>
      <c r="AD834" s="11" t="str">
        <f>Matchs!O835</f>
        <v xml:space="preserve">Arena do Sao Paulo </v>
      </c>
      <c r="AE834" s="6" t="str">
        <f t="shared" si="243"/>
        <v>",Referee= "</v>
      </c>
      <c r="AF834" s="11" t="str">
        <f>Matchs!P835</f>
        <v xml:space="preserve">Cüneyt Cakir </v>
      </c>
      <c r="AG834" s="6" t="str">
        <f t="shared" si="244"/>
        <v xml:space="preserve">",Visistors= </v>
      </c>
      <c r="AH834" s="11">
        <f>Matchs!Q835</f>
        <v>63267</v>
      </c>
      <c r="AI834" s="11" t="str">
        <f t="shared" si="245"/>
        <v>,Status= "</v>
      </c>
      <c r="AJ834" s="11" t="str">
        <f>Matchs!R835</f>
        <v>Finished</v>
      </c>
      <c r="AK834" t="str">
        <f t="shared" si="246"/>
        <v>" },</v>
      </c>
    </row>
    <row r="835" spans="1:37" x14ac:dyDescent="0.25">
      <c r="A835" t="str">
        <f t="shared" ref="A835:A898" si="247">A834</f>
        <v>new Match { MatchId= "</v>
      </c>
      <c r="B835" t="str">
        <f>Matchs!A836</f>
        <v>FIFAWC2014-63</v>
      </c>
      <c r="C835" t="str">
        <f t="shared" ref="C835:C898" si="248">C834</f>
        <v>",MatchNumer=</v>
      </c>
      <c r="D835">
        <f>Matchs!B836</f>
        <v>63</v>
      </c>
      <c r="E835" t="str">
        <f t="shared" ref="E835:E898" si="249">E834</f>
        <v>,DateMatch=DateTime.Parse("</v>
      </c>
      <c r="F835" s="3">
        <f>Matchs!C836</f>
        <v>41833</v>
      </c>
      <c r="G835" s="10" t="str">
        <f t="shared" ref="G835:G898" si="250">G834</f>
        <v>"),TimeMatch=TimeSpan.Parse("</v>
      </c>
      <c r="H835" s="9">
        <f>Matchs!D836</f>
        <v>0.125</v>
      </c>
      <c r="I835" t="str">
        <f t="shared" ref="I835:I898" si="251">I834</f>
        <v>"),MatchYear=</v>
      </c>
      <c r="J835">
        <f>Matchs!E836</f>
        <v>2014</v>
      </c>
      <c r="K835" t="str">
        <f t="shared" ref="K835:K898" si="252">K834</f>
        <v>, SeasonId= "</v>
      </c>
      <c r="L835" t="str">
        <f>Matchs!F836</f>
        <v>FIFAWC2014</v>
      </c>
      <c r="M835" t="str">
        <f t="shared" ref="M835:M898" si="253">M834</f>
        <v>",Round= "</v>
      </c>
      <c r="N835" t="str">
        <f>Matchs!G836</f>
        <v>Final Round</v>
      </c>
      <c r="O835" s="6" t="str">
        <f t="shared" ref="O835:O898" si="254">O834</f>
        <v>",Stage= "</v>
      </c>
      <c r="P835" t="str">
        <f>Matchs!H836</f>
        <v>Knockouts</v>
      </c>
      <c r="Q835" s="6" t="str">
        <f t="shared" ref="Q835:Q898" si="255">Q834</f>
        <v>",SubStage= "</v>
      </c>
      <c r="R835" t="str">
        <f>Matchs!I836</f>
        <v>3rd place</v>
      </c>
      <c r="S835" s="6" t="str">
        <f t="shared" ref="S835:S898" si="256">S834</f>
        <v>",HTeam= "</v>
      </c>
      <c r="T835" t="str">
        <f>Matchs!J836</f>
        <v>Brazil</v>
      </c>
      <c r="U835" s="6" t="str">
        <f t="shared" ref="U835:U898" si="257">U834</f>
        <v>",HGoal=</v>
      </c>
      <c r="V835">
        <f>Matchs!K836</f>
        <v>0</v>
      </c>
      <c r="W835" s="6" t="str">
        <f t="shared" ref="W835:W898" si="258">W834</f>
        <v>,GGoal=</v>
      </c>
      <c r="X835">
        <f>Matchs!L836</f>
        <v>3</v>
      </c>
      <c r="Y835" s="6" t="str">
        <f t="shared" ref="Y835:Y898" si="259">Y834</f>
        <v>,GTeam= "</v>
      </c>
      <c r="Z835" t="str">
        <f>Matchs!M836</f>
        <v>Netherlands</v>
      </c>
      <c r="AA835" s="6" t="str">
        <f t="shared" ref="AA835:AA898" si="260">AA834</f>
        <v>",WinNote="</v>
      </c>
      <c r="AB835" t="str">
        <f>IF(Matchs!N836="","",Matchs!N836)</f>
        <v/>
      </c>
      <c r="AC835" s="6" t="str">
        <f t="shared" ref="AC835:AC898" si="261">AC834</f>
        <v xml:space="preserve">",Stadium=" </v>
      </c>
      <c r="AD835" s="11" t="str">
        <f>Matchs!O836</f>
        <v xml:space="preserve">Estadio Nacional Mane Garrincha </v>
      </c>
      <c r="AE835" s="6" t="str">
        <f t="shared" ref="AE835:AE898" si="262">AE834</f>
        <v>",Referee= "</v>
      </c>
      <c r="AF835" s="11" t="str">
        <f>Matchs!P836</f>
        <v xml:space="preserve">Djamel Haimoudi </v>
      </c>
      <c r="AG835" s="6" t="str">
        <f t="shared" ref="AG835:AG898" si="263">AG834</f>
        <v xml:space="preserve">",Visistors= </v>
      </c>
      <c r="AH835" s="11">
        <f>Matchs!Q836</f>
        <v>68034</v>
      </c>
      <c r="AI835" s="11" t="str">
        <f t="shared" ref="AI835:AI898" si="264">AI834</f>
        <v>,Status= "</v>
      </c>
      <c r="AJ835" s="11" t="str">
        <f>Matchs!R836</f>
        <v>Finished</v>
      </c>
      <c r="AK835" t="str">
        <f t="shared" ref="AK835:AK898" si="265">AK834</f>
        <v>" },</v>
      </c>
    </row>
    <row r="836" spans="1:37" x14ac:dyDescent="0.25">
      <c r="A836" t="str">
        <f t="shared" si="247"/>
        <v>new Match { MatchId= "</v>
      </c>
      <c r="B836" t="str">
        <f>Matchs!A837</f>
        <v>FIFAWC2014-64</v>
      </c>
      <c r="C836" t="str">
        <f t="shared" si="248"/>
        <v>",MatchNumer=</v>
      </c>
      <c r="D836">
        <f>Matchs!B837</f>
        <v>64</v>
      </c>
      <c r="E836" t="str">
        <f t="shared" si="249"/>
        <v>,DateMatch=DateTime.Parse("</v>
      </c>
      <c r="F836" s="3">
        <f>Matchs!C837</f>
        <v>41834</v>
      </c>
      <c r="G836" s="10" t="str">
        <f t="shared" si="250"/>
        <v>"),TimeMatch=TimeSpan.Parse("</v>
      </c>
      <c r="H836" s="9">
        <f>Matchs!D837</f>
        <v>8.3333333333333329E-2</v>
      </c>
      <c r="I836" t="str">
        <f t="shared" si="251"/>
        <v>"),MatchYear=</v>
      </c>
      <c r="J836">
        <f>Matchs!E837</f>
        <v>2014</v>
      </c>
      <c r="K836" t="str">
        <f t="shared" si="252"/>
        <v>, SeasonId= "</v>
      </c>
      <c r="L836" t="str">
        <f>Matchs!F837</f>
        <v>FIFAWC2014</v>
      </c>
      <c r="M836" t="str">
        <f t="shared" si="253"/>
        <v>",Round= "</v>
      </c>
      <c r="N836" t="str">
        <f>Matchs!G837</f>
        <v>Final Round</v>
      </c>
      <c r="O836" s="6" t="str">
        <f t="shared" si="254"/>
        <v>",Stage= "</v>
      </c>
      <c r="P836" t="str">
        <f>Matchs!H837</f>
        <v>Knockouts</v>
      </c>
      <c r="Q836" s="6" t="str">
        <f t="shared" si="255"/>
        <v>",SubStage= "</v>
      </c>
      <c r="R836" t="str">
        <f>Matchs!I837</f>
        <v>Final</v>
      </c>
      <c r="S836" s="6" t="str">
        <f t="shared" si="256"/>
        <v>",HTeam= "</v>
      </c>
      <c r="T836" t="str">
        <f>Matchs!J837</f>
        <v>Germany</v>
      </c>
      <c r="U836" s="6" t="str">
        <f t="shared" si="257"/>
        <v>",HGoal=</v>
      </c>
      <c r="V836">
        <f>Matchs!K837</f>
        <v>1</v>
      </c>
      <c r="W836" s="6" t="str">
        <f t="shared" si="258"/>
        <v>,GGoal=</v>
      </c>
      <c r="X836">
        <f>Matchs!L837</f>
        <v>0</v>
      </c>
      <c r="Y836" s="6" t="str">
        <f t="shared" si="259"/>
        <v>,GTeam= "</v>
      </c>
      <c r="Z836" t="str">
        <f>Matchs!M837</f>
        <v>Argentina</v>
      </c>
      <c r="AA836" s="6" t="str">
        <f t="shared" si="260"/>
        <v>",WinNote="</v>
      </c>
      <c r="AB836" t="str">
        <f>IF(Matchs!N837="","",Matchs!N837)</f>
        <v/>
      </c>
      <c r="AC836" s="6" t="str">
        <f t="shared" si="261"/>
        <v xml:space="preserve">",Stadium=" </v>
      </c>
      <c r="AD836" s="11" t="str">
        <f>Matchs!O837</f>
        <v xml:space="preserve">Estádio do Maracanã </v>
      </c>
      <c r="AE836" s="6" t="str">
        <f t="shared" si="262"/>
        <v>",Referee= "</v>
      </c>
      <c r="AF836" s="11" t="str">
        <f>Matchs!P837</f>
        <v xml:space="preserve">Nicola Rizzoli </v>
      </c>
      <c r="AG836" s="6" t="str">
        <f t="shared" si="263"/>
        <v xml:space="preserve">",Visistors= </v>
      </c>
      <c r="AH836" s="11">
        <f>Matchs!Q837</f>
        <v>74738</v>
      </c>
      <c r="AI836" s="11" t="str">
        <f t="shared" si="264"/>
        <v>,Status= "</v>
      </c>
      <c r="AJ836" s="11" t="str">
        <f>Matchs!R837</f>
        <v>Finished</v>
      </c>
      <c r="AK836" t="str">
        <f t="shared" si="265"/>
        <v>" },</v>
      </c>
    </row>
    <row r="837" spans="1:37" x14ac:dyDescent="0.25">
      <c r="A837" t="str">
        <f t="shared" si="247"/>
        <v>new Match { MatchId= "</v>
      </c>
      <c r="B837" t="str">
        <f>Matchs!A838</f>
        <v>FIFAWC2018-1</v>
      </c>
      <c r="C837" t="str">
        <f t="shared" si="248"/>
        <v>",MatchNumer=</v>
      </c>
      <c r="D837">
        <f>Matchs!B838</f>
        <v>1</v>
      </c>
      <c r="E837" t="str">
        <f t="shared" si="249"/>
        <v>,DateMatch=DateTime.Parse("</v>
      </c>
      <c r="F837" s="3">
        <f>Matchs!C838</f>
        <v>43265</v>
      </c>
      <c r="G837" s="10" t="str">
        <f t="shared" si="250"/>
        <v>"),TimeMatch=TimeSpan.Parse("</v>
      </c>
      <c r="H837" s="9">
        <f>Matchs!D838</f>
        <v>0.91666666666666663</v>
      </c>
      <c r="I837" t="str">
        <f t="shared" si="251"/>
        <v>"),MatchYear=</v>
      </c>
      <c r="J837">
        <f>Matchs!E838</f>
        <v>2018</v>
      </c>
      <c r="K837" t="str">
        <f t="shared" si="252"/>
        <v>, SeasonId= "</v>
      </c>
      <c r="L837" t="str">
        <f>Matchs!F838</f>
        <v>FIFAWC2018</v>
      </c>
      <c r="M837" t="str">
        <f t="shared" si="253"/>
        <v>",Round= "</v>
      </c>
      <c r="N837" t="str">
        <f>Matchs!G838</f>
        <v>Final Round</v>
      </c>
      <c r="O837" s="6" t="str">
        <f t="shared" si="254"/>
        <v>",Stage= "</v>
      </c>
      <c r="P837" t="str">
        <f>Matchs!H838</f>
        <v>Group</v>
      </c>
      <c r="Q837" s="6" t="str">
        <f t="shared" si="255"/>
        <v>",SubStage= "</v>
      </c>
      <c r="R837" t="str">
        <f>Matchs!I838</f>
        <v>Group A</v>
      </c>
      <c r="S837" s="6" t="str">
        <f t="shared" si="256"/>
        <v>",HTeam= "</v>
      </c>
      <c r="T837" t="str">
        <f>Matchs!J838</f>
        <v>Russia</v>
      </c>
      <c r="U837" s="6" t="str">
        <f t="shared" si="257"/>
        <v>",HGoal=</v>
      </c>
      <c r="V837">
        <f>Matchs!K838</f>
        <v>5</v>
      </c>
      <c r="W837" s="6" t="str">
        <f t="shared" si="258"/>
        <v>,GGoal=</v>
      </c>
      <c r="X837">
        <f>Matchs!L838</f>
        <v>0</v>
      </c>
      <c r="Y837" s="6" t="str">
        <f t="shared" si="259"/>
        <v>,GTeam= "</v>
      </c>
      <c r="Z837" t="str">
        <f>Matchs!M838</f>
        <v>Saudi Arabia</v>
      </c>
      <c r="AA837" s="6" t="str">
        <f t="shared" si="260"/>
        <v>",WinNote="</v>
      </c>
      <c r="AB837" t="str">
        <f>IF(Matchs!N838="","",Matchs!N838)</f>
        <v/>
      </c>
      <c r="AC837" s="6" t="str">
        <f t="shared" si="261"/>
        <v xml:space="preserve">",Stadium=" </v>
      </c>
      <c r="AD837" s="11" t="str">
        <f>Matchs!O838</f>
        <v>Luzhniki Stadium</v>
      </c>
      <c r="AE837" s="6" t="str">
        <f t="shared" si="262"/>
        <v>",Referee= "</v>
      </c>
      <c r="AF837" s="11">
        <f>Matchs!P838</f>
        <v>0</v>
      </c>
      <c r="AG837" s="6" t="str">
        <f t="shared" si="263"/>
        <v xml:space="preserve">",Visistors= </v>
      </c>
      <c r="AH837" s="11">
        <f>Matchs!Q838</f>
        <v>0</v>
      </c>
      <c r="AI837" s="11" t="str">
        <f t="shared" si="264"/>
        <v>,Status= "</v>
      </c>
      <c r="AJ837" s="11" t="str">
        <f>Matchs!R838</f>
        <v>Finished</v>
      </c>
      <c r="AK837" t="str">
        <f t="shared" si="265"/>
        <v>" },</v>
      </c>
    </row>
    <row r="838" spans="1:37" x14ac:dyDescent="0.25">
      <c r="A838" t="str">
        <f t="shared" si="247"/>
        <v>new Match { MatchId= "</v>
      </c>
      <c r="B838" t="str">
        <f>Matchs!A839</f>
        <v>FIFAWC2018-2</v>
      </c>
      <c r="C838" t="str">
        <f t="shared" si="248"/>
        <v>",MatchNumer=</v>
      </c>
      <c r="D838">
        <f>Matchs!B839</f>
        <v>2</v>
      </c>
      <c r="E838" t="str">
        <f t="shared" si="249"/>
        <v>,DateMatch=DateTime.Parse("</v>
      </c>
      <c r="F838" s="3">
        <f>Matchs!C839</f>
        <v>43266</v>
      </c>
      <c r="G838" s="10" t="str">
        <f t="shared" si="250"/>
        <v>"),TimeMatch=TimeSpan.Parse("</v>
      </c>
      <c r="H838" s="9">
        <f>Matchs!D839</f>
        <v>0.79166666666666663</v>
      </c>
      <c r="I838" t="str">
        <f t="shared" si="251"/>
        <v>"),MatchYear=</v>
      </c>
      <c r="J838">
        <f>Matchs!E839</f>
        <v>2018</v>
      </c>
      <c r="K838" t="str">
        <f t="shared" si="252"/>
        <v>, SeasonId= "</v>
      </c>
      <c r="L838" t="str">
        <f>Matchs!F839</f>
        <v>FIFAWC2018</v>
      </c>
      <c r="M838" t="str">
        <f t="shared" si="253"/>
        <v>",Round= "</v>
      </c>
      <c r="N838" t="str">
        <f>Matchs!G839</f>
        <v>Final Round</v>
      </c>
      <c r="O838" s="6" t="str">
        <f t="shared" si="254"/>
        <v>",Stage= "</v>
      </c>
      <c r="P838" t="str">
        <f>Matchs!H839</f>
        <v>Group</v>
      </c>
      <c r="Q838" s="6" t="str">
        <f t="shared" si="255"/>
        <v>",SubStage= "</v>
      </c>
      <c r="R838" t="str">
        <f>Matchs!I839</f>
        <v>Group A</v>
      </c>
      <c r="S838" s="6" t="str">
        <f t="shared" si="256"/>
        <v>",HTeam= "</v>
      </c>
      <c r="T838" t="str">
        <f>Matchs!J839</f>
        <v>Egypt</v>
      </c>
      <c r="U838" s="6" t="str">
        <f t="shared" si="257"/>
        <v>",HGoal=</v>
      </c>
      <c r="V838">
        <f>Matchs!K839</f>
        <v>0</v>
      </c>
      <c r="W838" s="6" t="str">
        <f t="shared" si="258"/>
        <v>,GGoal=</v>
      </c>
      <c r="X838">
        <f>Matchs!L839</f>
        <v>1</v>
      </c>
      <c r="Y838" s="6" t="str">
        <f t="shared" si="259"/>
        <v>,GTeam= "</v>
      </c>
      <c r="Z838" t="str">
        <f>Matchs!M839</f>
        <v>Uruguay</v>
      </c>
      <c r="AA838" s="6" t="str">
        <f t="shared" si="260"/>
        <v>",WinNote="</v>
      </c>
      <c r="AB838" t="str">
        <f>IF(Matchs!N839="","",Matchs!N839)</f>
        <v/>
      </c>
      <c r="AC838" s="6" t="str">
        <f t="shared" si="261"/>
        <v xml:space="preserve">",Stadium=" </v>
      </c>
      <c r="AD838" s="11" t="str">
        <f>Matchs!O839</f>
        <v>Ekaterinburg Arena</v>
      </c>
      <c r="AE838" s="6" t="str">
        <f t="shared" si="262"/>
        <v>",Referee= "</v>
      </c>
      <c r="AF838" s="11">
        <f>Matchs!P839</f>
        <v>0</v>
      </c>
      <c r="AG838" s="6" t="str">
        <f t="shared" si="263"/>
        <v xml:space="preserve">",Visistors= </v>
      </c>
      <c r="AH838" s="11">
        <f>Matchs!Q839</f>
        <v>0</v>
      </c>
      <c r="AI838" s="11" t="str">
        <f t="shared" si="264"/>
        <v>,Status= "</v>
      </c>
      <c r="AJ838" s="11" t="str">
        <f>Matchs!R839</f>
        <v>Finished</v>
      </c>
      <c r="AK838" t="str">
        <f t="shared" si="265"/>
        <v>" },</v>
      </c>
    </row>
    <row r="839" spans="1:37" x14ac:dyDescent="0.25">
      <c r="A839" t="str">
        <f t="shared" si="247"/>
        <v>new Match { MatchId= "</v>
      </c>
      <c r="B839" t="str">
        <f>Matchs!A841</f>
        <v>FIFAWC2018-4</v>
      </c>
      <c r="C839" t="str">
        <f t="shared" si="248"/>
        <v>",MatchNumer=</v>
      </c>
      <c r="D839">
        <f>Matchs!B841</f>
        <v>4</v>
      </c>
      <c r="E839" t="str">
        <f t="shared" si="249"/>
        <v>,DateMatch=DateTime.Parse("</v>
      </c>
      <c r="F839" s="3">
        <f>Matchs!C841</f>
        <v>43267</v>
      </c>
      <c r="G839" s="10" t="str">
        <f t="shared" si="250"/>
        <v>"),TimeMatch=TimeSpan.Parse("</v>
      </c>
      <c r="H839" s="9">
        <f>Matchs!D841</f>
        <v>4.1666666666666664E-2</v>
      </c>
      <c r="I839" t="str">
        <f t="shared" si="251"/>
        <v>"),MatchYear=</v>
      </c>
      <c r="J839">
        <f>Matchs!E841</f>
        <v>2018</v>
      </c>
      <c r="K839" t="str">
        <f t="shared" si="252"/>
        <v>, SeasonId= "</v>
      </c>
      <c r="L839" t="str">
        <f>Matchs!F841</f>
        <v>FIFAWC2018</v>
      </c>
      <c r="M839" t="str">
        <f t="shared" si="253"/>
        <v>",Round= "</v>
      </c>
      <c r="N839" t="str">
        <f>Matchs!G841</f>
        <v>Final Round</v>
      </c>
      <c r="O839" s="6" t="str">
        <f t="shared" si="254"/>
        <v>",Stage= "</v>
      </c>
      <c r="P839" t="str">
        <f>Matchs!H841</f>
        <v>Group</v>
      </c>
      <c r="Q839" s="6" t="str">
        <f t="shared" si="255"/>
        <v>",SubStage= "</v>
      </c>
      <c r="R839" t="str">
        <f>Matchs!I841</f>
        <v>Group B</v>
      </c>
      <c r="S839" s="6" t="str">
        <f t="shared" si="256"/>
        <v>",HTeam= "</v>
      </c>
      <c r="T839" t="str">
        <f>Matchs!J841</f>
        <v>Portugal</v>
      </c>
      <c r="U839" s="6" t="str">
        <f t="shared" si="257"/>
        <v>",HGoal=</v>
      </c>
      <c r="V839">
        <f>Matchs!K841</f>
        <v>3</v>
      </c>
      <c r="W839" s="6" t="str">
        <f t="shared" si="258"/>
        <v>,GGoal=</v>
      </c>
      <c r="X839">
        <f>Matchs!L841</f>
        <v>3</v>
      </c>
      <c r="Y839" s="6" t="str">
        <f t="shared" si="259"/>
        <v>,GTeam= "</v>
      </c>
      <c r="Z839" t="str">
        <f>Matchs!M841</f>
        <v>Spain</v>
      </c>
      <c r="AA839" s="6" t="str">
        <f t="shared" si="260"/>
        <v>",WinNote="</v>
      </c>
      <c r="AB839" t="str">
        <f>IF(Matchs!N840="","",Matchs!N840)</f>
        <v/>
      </c>
      <c r="AC839" s="6" t="str">
        <f t="shared" si="261"/>
        <v xml:space="preserve">",Stadium=" </v>
      </c>
      <c r="AD839" s="11" t="str">
        <f>Matchs!O840</f>
        <v>Saint Petersburg Stadium</v>
      </c>
      <c r="AE839" s="6" t="str">
        <f t="shared" si="262"/>
        <v>",Referee= "</v>
      </c>
      <c r="AF839" s="11">
        <f>Matchs!P840</f>
        <v>0</v>
      </c>
      <c r="AG839" s="6" t="str">
        <f t="shared" si="263"/>
        <v xml:space="preserve">",Visistors= </v>
      </c>
      <c r="AH839" s="11">
        <f>Matchs!Q840</f>
        <v>0</v>
      </c>
      <c r="AI839" s="11" t="str">
        <f t="shared" si="264"/>
        <v>,Status= "</v>
      </c>
      <c r="AJ839" s="11" t="str">
        <f>Matchs!R840</f>
        <v>Finished</v>
      </c>
      <c r="AK839" t="str">
        <f t="shared" si="265"/>
        <v>" },</v>
      </c>
    </row>
    <row r="840" spans="1:37" x14ac:dyDescent="0.25">
      <c r="A840" t="str">
        <f t="shared" si="247"/>
        <v>new Match { MatchId= "</v>
      </c>
      <c r="B840" t="str">
        <f>Matchs!A840</f>
        <v>FIFAWC2018-3</v>
      </c>
      <c r="C840" t="str">
        <f t="shared" si="248"/>
        <v>",MatchNumer=</v>
      </c>
      <c r="D840">
        <f>Matchs!B840</f>
        <v>3</v>
      </c>
      <c r="E840" t="str">
        <f t="shared" si="249"/>
        <v>,DateMatch=DateTime.Parse("</v>
      </c>
      <c r="F840" s="3">
        <f>Matchs!C840</f>
        <v>43266</v>
      </c>
      <c r="G840" s="10" t="str">
        <f t="shared" si="250"/>
        <v>"),TimeMatch=TimeSpan.Parse("</v>
      </c>
      <c r="H840" s="9">
        <f>Matchs!D840</f>
        <v>0.91666666666666663</v>
      </c>
      <c r="I840" t="str">
        <f t="shared" si="251"/>
        <v>"),MatchYear=</v>
      </c>
      <c r="J840">
        <f>Matchs!E840</f>
        <v>2018</v>
      </c>
      <c r="K840" t="str">
        <f t="shared" si="252"/>
        <v>, SeasonId= "</v>
      </c>
      <c r="L840" t="str">
        <f>Matchs!F840</f>
        <v>FIFAWC2018</v>
      </c>
      <c r="M840" t="str">
        <f t="shared" si="253"/>
        <v>",Round= "</v>
      </c>
      <c r="N840" t="str">
        <f>Matchs!G840</f>
        <v>Final Round</v>
      </c>
      <c r="O840" s="6" t="str">
        <f t="shared" si="254"/>
        <v>",Stage= "</v>
      </c>
      <c r="P840" t="str">
        <f>Matchs!H840</f>
        <v>Group</v>
      </c>
      <c r="Q840" s="6" t="str">
        <f t="shared" si="255"/>
        <v>",SubStage= "</v>
      </c>
      <c r="R840" t="str">
        <f>Matchs!I840</f>
        <v>Group B</v>
      </c>
      <c r="S840" s="6" t="str">
        <f t="shared" si="256"/>
        <v>",HTeam= "</v>
      </c>
      <c r="T840" t="str">
        <f>Matchs!J840</f>
        <v>Morocco</v>
      </c>
      <c r="U840" s="6" t="str">
        <f t="shared" si="257"/>
        <v>",HGoal=</v>
      </c>
      <c r="V840">
        <f>Matchs!K840</f>
        <v>0</v>
      </c>
      <c r="W840" s="6" t="str">
        <f t="shared" si="258"/>
        <v>,GGoal=</v>
      </c>
      <c r="X840">
        <f>Matchs!L840</f>
        <v>1</v>
      </c>
      <c r="Y840" s="6" t="str">
        <f t="shared" si="259"/>
        <v>,GTeam= "</v>
      </c>
      <c r="Z840" t="str">
        <f>Matchs!M840</f>
        <v>Iran</v>
      </c>
      <c r="AA840" s="6" t="str">
        <f t="shared" si="260"/>
        <v>",WinNote="</v>
      </c>
      <c r="AB840" t="str">
        <f>IF(Matchs!N841="","",Matchs!N841)</f>
        <v/>
      </c>
      <c r="AC840" s="6" t="str">
        <f t="shared" si="261"/>
        <v xml:space="preserve">",Stadium=" </v>
      </c>
      <c r="AD840" s="11" t="str">
        <f>Matchs!O841</f>
        <v>Fisht Stadium</v>
      </c>
      <c r="AE840" s="6" t="str">
        <f t="shared" si="262"/>
        <v>",Referee= "</v>
      </c>
      <c r="AF840" s="11">
        <f>Matchs!P841</f>
        <v>0</v>
      </c>
      <c r="AG840" s="6" t="str">
        <f t="shared" si="263"/>
        <v xml:space="preserve">",Visistors= </v>
      </c>
      <c r="AH840" s="11">
        <f>Matchs!Q841</f>
        <v>0</v>
      </c>
      <c r="AI840" s="11" t="str">
        <f t="shared" si="264"/>
        <v>,Status= "</v>
      </c>
      <c r="AJ840" s="11" t="str">
        <f>Matchs!R841</f>
        <v>Finished</v>
      </c>
      <c r="AK840" t="str">
        <f t="shared" si="265"/>
        <v>" },</v>
      </c>
    </row>
    <row r="841" spans="1:37" x14ac:dyDescent="0.25">
      <c r="A841" t="str">
        <f t="shared" si="247"/>
        <v>new Match { MatchId= "</v>
      </c>
      <c r="B841" t="str">
        <f>Matchs!A842</f>
        <v>FIFAWC2018-5</v>
      </c>
      <c r="C841" t="str">
        <f t="shared" si="248"/>
        <v>",MatchNumer=</v>
      </c>
      <c r="D841">
        <f>Matchs!B842</f>
        <v>5</v>
      </c>
      <c r="E841" t="str">
        <f t="shared" si="249"/>
        <v>,DateMatch=DateTime.Parse("</v>
      </c>
      <c r="F841" s="3">
        <f>Matchs!C842</f>
        <v>43267</v>
      </c>
      <c r="G841" s="10" t="str">
        <f t="shared" si="250"/>
        <v>"),TimeMatch=TimeSpan.Parse("</v>
      </c>
      <c r="H841" s="9">
        <f>Matchs!D842</f>
        <v>0.70833333333333337</v>
      </c>
      <c r="I841" t="str">
        <f t="shared" si="251"/>
        <v>"),MatchYear=</v>
      </c>
      <c r="J841">
        <f>Matchs!E842</f>
        <v>2018</v>
      </c>
      <c r="K841" t="str">
        <f t="shared" si="252"/>
        <v>, SeasonId= "</v>
      </c>
      <c r="L841" t="str">
        <f>Matchs!F842</f>
        <v>FIFAWC2018</v>
      </c>
      <c r="M841" t="str">
        <f t="shared" si="253"/>
        <v>",Round= "</v>
      </c>
      <c r="N841" t="str">
        <f>Matchs!G842</f>
        <v>Final Round</v>
      </c>
      <c r="O841" s="6" t="str">
        <f t="shared" si="254"/>
        <v>",Stage= "</v>
      </c>
      <c r="P841" t="str">
        <f>Matchs!H842</f>
        <v>Group</v>
      </c>
      <c r="Q841" s="6" t="str">
        <f t="shared" si="255"/>
        <v>",SubStage= "</v>
      </c>
      <c r="R841" t="str">
        <f>Matchs!I842</f>
        <v>Group C</v>
      </c>
      <c r="S841" s="6" t="str">
        <f t="shared" si="256"/>
        <v>",HTeam= "</v>
      </c>
      <c r="T841" t="str">
        <f>Matchs!J842</f>
        <v>France</v>
      </c>
      <c r="U841" s="6" t="str">
        <f t="shared" si="257"/>
        <v>",HGoal=</v>
      </c>
      <c r="V841">
        <f>Matchs!K842</f>
        <v>2</v>
      </c>
      <c r="W841" s="6" t="str">
        <f t="shared" si="258"/>
        <v>,GGoal=</v>
      </c>
      <c r="X841">
        <f>Matchs!L842</f>
        <v>1</v>
      </c>
      <c r="Y841" s="6" t="str">
        <f t="shared" si="259"/>
        <v>,GTeam= "</v>
      </c>
      <c r="Z841" t="str">
        <f>Matchs!M842</f>
        <v>Australia</v>
      </c>
      <c r="AA841" s="6" t="str">
        <f t="shared" si="260"/>
        <v>",WinNote="</v>
      </c>
      <c r="AB841" t="str">
        <f>IF(Matchs!N842="","",Matchs!N842)</f>
        <v/>
      </c>
      <c r="AC841" s="6" t="str">
        <f t="shared" si="261"/>
        <v xml:space="preserve">",Stadium=" </v>
      </c>
      <c r="AD841" s="11" t="str">
        <f>Matchs!O842</f>
        <v>Kazan Arena</v>
      </c>
      <c r="AE841" s="6" t="str">
        <f t="shared" si="262"/>
        <v>",Referee= "</v>
      </c>
      <c r="AF841" s="11">
        <f>Matchs!P842</f>
        <v>0</v>
      </c>
      <c r="AG841" s="6" t="str">
        <f t="shared" si="263"/>
        <v xml:space="preserve">",Visistors= </v>
      </c>
      <c r="AH841" s="11">
        <f>Matchs!Q842</f>
        <v>0</v>
      </c>
      <c r="AI841" s="11" t="str">
        <f t="shared" si="264"/>
        <v>,Status= "</v>
      </c>
      <c r="AJ841" s="11" t="str">
        <f>Matchs!R842</f>
        <v>Finished</v>
      </c>
      <c r="AK841" t="str">
        <f t="shared" si="265"/>
        <v>" },</v>
      </c>
    </row>
    <row r="842" spans="1:37" x14ac:dyDescent="0.25">
      <c r="A842" t="str">
        <f t="shared" si="247"/>
        <v>new Match { MatchId= "</v>
      </c>
      <c r="B842" t="str">
        <f>Matchs!A844</f>
        <v>FIFAWC2018-7</v>
      </c>
      <c r="C842" t="str">
        <f t="shared" si="248"/>
        <v>",MatchNumer=</v>
      </c>
      <c r="D842">
        <f>Matchs!B844</f>
        <v>7</v>
      </c>
      <c r="E842" t="str">
        <f t="shared" si="249"/>
        <v>,DateMatch=DateTime.Parse("</v>
      </c>
      <c r="F842" s="3">
        <f>Matchs!C844</f>
        <v>43267</v>
      </c>
      <c r="G842" s="10" t="str">
        <f t="shared" si="250"/>
        <v>"),TimeMatch=TimeSpan.Parse("</v>
      </c>
      <c r="H842" s="9">
        <f>Matchs!D844</f>
        <v>0.95833333333333337</v>
      </c>
      <c r="I842" t="str">
        <f t="shared" si="251"/>
        <v>"),MatchYear=</v>
      </c>
      <c r="J842">
        <f>Matchs!E844</f>
        <v>2018</v>
      </c>
      <c r="K842" t="str">
        <f t="shared" si="252"/>
        <v>, SeasonId= "</v>
      </c>
      <c r="L842" t="str">
        <f>Matchs!F844</f>
        <v>FIFAWC2018</v>
      </c>
      <c r="M842" t="str">
        <f t="shared" si="253"/>
        <v>",Round= "</v>
      </c>
      <c r="N842" t="str">
        <f>Matchs!G844</f>
        <v>Final Round</v>
      </c>
      <c r="O842" s="6" t="str">
        <f t="shared" si="254"/>
        <v>",Stage= "</v>
      </c>
      <c r="P842" t="str">
        <f>Matchs!H844</f>
        <v>Group</v>
      </c>
      <c r="Q842" s="6" t="str">
        <f t="shared" si="255"/>
        <v>",SubStage= "</v>
      </c>
      <c r="R842" t="str">
        <f>Matchs!I844</f>
        <v>Group C</v>
      </c>
      <c r="S842" s="6" t="str">
        <f t="shared" si="256"/>
        <v>",HTeam= "</v>
      </c>
      <c r="T842" t="str">
        <f>Matchs!J844</f>
        <v>Peru</v>
      </c>
      <c r="U842" s="6" t="str">
        <f t="shared" si="257"/>
        <v>",HGoal=</v>
      </c>
      <c r="V842">
        <f>Matchs!K844</f>
        <v>0</v>
      </c>
      <c r="W842" s="6" t="str">
        <f t="shared" si="258"/>
        <v>,GGoal=</v>
      </c>
      <c r="X842">
        <f>Matchs!L844</f>
        <v>1</v>
      </c>
      <c r="Y842" s="6" t="str">
        <f t="shared" si="259"/>
        <v>,GTeam= "</v>
      </c>
      <c r="Z842" t="str">
        <f>Matchs!M844</f>
        <v>Denmark</v>
      </c>
      <c r="AA842" s="6" t="str">
        <f t="shared" si="260"/>
        <v>",WinNote="</v>
      </c>
      <c r="AB842" t="str">
        <f>IF(Matchs!N843="","",Matchs!N843)</f>
        <v/>
      </c>
      <c r="AC842" s="6" t="str">
        <f t="shared" si="261"/>
        <v xml:space="preserve">",Stadium=" </v>
      </c>
      <c r="AD842" s="11" t="str">
        <f>Matchs!O843</f>
        <v>Spartak Stadium</v>
      </c>
      <c r="AE842" s="6" t="str">
        <f t="shared" si="262"/>
        <v>",Referee= "</v>
      </c>
      <c r="AF842" s="11">
        <f>Matchs!P843</f>
        <v>0</v>
      </c>
      <c r="AG842" s="6" t="str">
        <f t="shared" si="263"/>
        <v xml:space="preserve">",Visistors= </v>
      </c>
      <c r="AH842" s="11">
        <f>Matchs!Q843</f>
        <v>0</v>
      </c>
      <c r="AI842" s="11" t="str">
        <f t="shared" si="264"/>
        <v>,Status= "</v>
      </c>
      <c r="AJ842" s="11" t="str">
        <f>Matchs!R843</f>
        <v>Finished</v>
      </c>
      <c r="AK842" t="str">
        <f t="shared" si="265"/>
        <v>" },</v>
      </c>
    </row>
    <row r="843" spans="1:37" x14ac:dyDescent="0.25">
      <c r="A843" t="str">
        <f t="shared" si="247"/>
        <v>new Match { MatchId= "</v>
      </c>
      <c r="B843" t="str">
        <f>Matchs!A843</f>
        <v>FIFAWC2018-6</v>
      </c>
      <c r="C843" t="str">
        <f t="shared" si="248"/>
        <v>",MatchNumer=</v>
      </c>
      <c r="D843">
        <f>Matchs!B843</f>
        <v>6</v>
      </c>
      <c r="E843" t="str">
        <f t="shared" si="249"/>
        <v>,DateMatch=DateTime.Parse("</v>
      </c>
      <c r="F843" s="3">
        <f>Matchs!C843</f>
        <v>43267</v>
      </c>
      <c r="G843" s="10" t="str">
        <f t="shared" si="250"/>
        <v>"),TimeMatch=TimeSpan.Parse("</v>
      </c>
      <c r="H843" s="9">
        <f>Matchs!D843</f>
        <v>0.83333333333333337</v>
      </c>
      <c r="I843" t="str">
        <f t="shared" si="251"/>
        <v>"),MatchYear=</v>
      </c>
      <c r="J843">
        <f>Matchs!E843</f>
        <v>2018</v>
      </c>
      <c r="K843" t="str">
        <f t="shared" si="252"/>
        <v>, SeasonId= "</v>
      </c>
      <c r="L843" t="str">
        <f>Matchs!F843</f>
        <v>FIFAWC2018</v>
      </c>
      <c r="M843" t="str">
        <f t="shared" si="253"/>
        <v>",Round= "</v>
      </c>
      <c r="N843" t="str">
        <f>Matchs!G843</f>
        <v>Final Round</v>
      </c>
      <c r="O843" s="6" t="str">
        <f t="shared" si="254"/>
        <v>",Stage= "</v>
      </c>
      <c r="P843" t="str">
        <f>Matchs!H843</f>
        <v>Group</v>
      </c>
      <c r="Q843" s="6" t="str">
        <f t="shared" si="255"/>
        <v>",SubStage= "</v>
      </c>
      <c r="R843" t="str">
        <f>Matchs!I843</f>
        <v>Group D</v>
      </c>
      <c r="S843" s="6" t="str">
        <f t="shared" si="256"/>
        <v>",HTeam= "</v>
      </c>
      <c r="T843" t="str">
        <f>Matchs!J843</f>
        <v>Argentina</v>
      </c>
      <c r="U843" s="6" t="str">
        <f t="shared" si="257"/>
        <v>",HGoal=</v>
      </c>
      <c r="V843">
        <f>Matchs!K843</f>
        <v>1</v>
      </c>
      <c r="W843" s="6" t="str">
        <f t="shared" si="258"/>
        <v>,GGoal=</v>
      </c>
      <c r="X843">
        <f>Matchs!L843</f>
        <v>1</v>
      </c>
      <c r="Y843" s="6" t="str">
        <f t="shared" si="259"/>
        <v>,GTeam= "</v>
      </c>
      <c r="Z843" t="str">
        <f>Matchs!M843</f>
        <v>Iceland</v>
      </c>
      <c r="AA843" s="6" t="str">
        <f t="shared" si="260"/>
        <v>",WinNote="</v>
      </c>
      <c r="AB843" t="str">
        <f>IF(Matchs!N844="","",Matchs!N844)</f>
        <v/>
      </c>
      <c r="AC843" s="6" t="str">
        <f t="shared" si="261"/>
        <v xml:space="preserve">",Stadium=" </v>
      </c>
      <c r="AD843" s="11" t="str">
        <f>Matchs!O844</f>
        <v>Mordovia Arena</v>
      </c>
      <c r="AE843" s="6" t="str">
        <f t="shared" si="262"/>
        <v>",Referee= "</v>
      </c>
      <c r="AF843" s="11">
        <f>Matchs!P844</f>
        <v>0</v>
      </c>
      <c r="AG843" s="6" t="str">
        <f t="shared" si="263"/>
        <v xml:space="preserve">",Visistors= </v>
      </c>
      <c r="AH843" s="11">
        <f>Matchs!Q844</f>
        <v>0</v>
      </c>
      <c r="AI843" s="11" t="str">
        <f t="shared" si="264"/>
        <v>,Status= "</v>
      </c>
      <c r="AJ843" s="11" t="str">
        <f>Matchs!R844</f>
        <v>Finished</v>
      </c>
      <c r="AK843" t="str">
        <f t="shared" si="265"/>
        <v>" },</v>
      </c>
    </row>
    <row r="844" spans="1:37" x14ac:dyDescent="0.25">
      <c r="A844" t="str">
        <f t="shared" si="247"/>
        <v>new Match { MatchId= "</v>
      </c>
      <c r="B844" t="str">
        <f>Matchs!A845</f>
        <v>FIFAWC2018-8</v>
      </c>
      <c r="C844" t="str">
        <f t="shared" si="248"/>
        <v>",MatchNumer=</v>
      </c>
      <c r="D844">
        <f>Matchs!B845</f>
        <v>8</v>
      </c>
      <c r="E844" t="str">
        <f t="shared" si="249"/>
        <v>,DateMatch=DateTime.Parse("</v>
      </c>
      <c r="F844" s="3">
        <f>Matchs!C845</f>
        <v>43268</v>
      </c>
      <c r="G844" s="10" t="str">
        <f t="shared" si="250"/>
        <v>"),TimeMatch=TimeSpan.Parse("</v>
      </c>
      <c r="H844" s="9">
        <f>Matchs!D845</f>
        <v>8.3333333333333329E-2</v>
      </c>
      <c r="I844" t="str">
        <f t="shared" si="251"/>
        <v>"),MatchYear=</v>
      </c>
      <c r="J844">
        <f>Matchs!E845</f>
        <v>2018</v>
      </c>
      <c r="K844" t="str">
        <f t="shared" si="252"/>
        <v>, SeasonId= "</v>
      </c>
      <c r="L844" t="str">
        <f>Matchs!F845</f>
        <v>FIFAWC2018</v>
      </c>
      <c r="M844" t="str">
        <f t="shared" si="253"/>
        <v>",Round= "</v>
      </c>
      <c r="N844" t="str">
        <f>Matchs!G845</f>
        <v>Final Round</v>
      </c>
      <c r="O844" s="6" t="str">
        <f t="shared" si="254"/>
        <v>",Stage= "</v>
      </c>
      <c r="P844" t="str">
        <f>Matchs!H845</f>
        <v>Group</v>
      </c>
      <c r="Q844" s="6" t="str">
        <f t="shared" si="255"/>
        <v>",SubStage= "</v>
      </c>
      <c r="R844" t="str">
        <f>Matchs!I845</f>
        <v>Group D</v>
      </c>
      <c r="S844" s="6" t="str">
        <f t="shared" si="256"/>
        <v>",HTeam= "</v>
      </c>
      <c r="T844" t="str">
        <f>Matchs!J845</f>
        <v>Croatia</v>
      </c>
      <c r="U844" s="6" t="str">
        <f t="shared" si="257"/>
        <v>",HGoal=</v>
      </c>
      <c r="V844">
        <f>Matchs!K845</f>
        <v>2</v>
      </c>
      <c r="W844" s="6" t="str">
        <f t="shared" si="258"/>
        <v>,GGoal=</v>
      </c>
      <c r="X844">
        <f>Matchs!L845</f>
        <v>0</v>
      </c>
      <c r="Y844" s="6" t="str">
        <f t="shared" si="259"/>
        <v>,GTeam= "</v>
      </c>
      <c r="Z844" t="str">
        <f>Matchs!M845</f>
        <v>Nigeria</v>
      </c>
      <c r="AA844" s="6" t="str">
        <f t="shared" si="260"/>
        <v>",WinNote="</v>
      </c>
      <c r="AB844" t="str">
        <f>IF(Matchs!N845="","",Matchs!N845)</f>
        <v/>
      </c>
      <c r="AC844" s="6" t="str">
        <f t="shared" si="261"/>
        <v xml:space="preserve">",Stadium=" </v>
      </c>
      <c r="AD844" s="11" t="str">
        <f>Matchs!O845</f>
        <v>Kaliningrad Stadium</v>
      </c>
      <c r="AE844" s="6" t="str">
        <f t="shared" si="262"/>
        <v>",Referee= "</v>
      </c>
      <c r="AF844" s="11">
        <f>Matchs!P845</f>
        <v>0</v>
      </c>
      <c r="AG844" s="6" t="str">
        <f t="shared" si="263"/>
        <v xml:space="preserve">",Visistors= </v>
      </c>
      <c r="AH844" s="11">
        <f>Matchs!Q845</f>
        <v>0</v>
      </c>
      <c r="AI844" s="11" t="str">
        <f t="shared" si="264"/>
        <v>,Status= "</v>
      </c>
      <c r="AJ844" s="11" t="str">
        <f>Matchs!R845</f>
        <v>Finished</v>
      </c>
      <c r="AK844" t="str">
        <f t="shared" si="265"/>
        <v>" },</v>
      </c>
    </row>
    <row r="845" spans="1:37" x14ac:dyDescent="0.25">
      <c r="A845" t="str">
        <f t="shared" si="247"/>
        <v>new Match { MatchId= "</v>
      </c>
      <c r="B845" t="str">
        <f>Matchs!A848</f>
        <v>FIFAWC2018-11</v>
      </c>
      <c r="C845" t="str">
        <f t="shared" si="248"/>
        <v>",MatchNumer=</v>
      </c>
      <c r="D845">
        <f>Matchs!B848</f>
        <v>11</v>
      </c>
      <c r="E845" t="str">
        <f t="shared" si="249"/>
        <v>,DateMatch=DateTime.Parse("</v>
      </c>
      <c r="F845" s="3">
        <f>Matchs!C848</f>
        <v>43269</v>
      </c>
      <c r="G845" s="10" t="str">
        <f t="shared" si="250"/>
        <v>"),TimeMatch=TimeSpan.Parse("</v>
      </c>
      <c r="H845" s="9">
        <f>Matchs!D848</f>
        <v>4.1666666666666664E-2</v>
      </c>
      <c r="I845" t="str">
        <f t="shared" si="251"/>
        <v>"),MatchYear=</v>
      </c>
      <c r="J845">
        <f>Matchs!E848</f>
        <v>2018</v>
      </c>
      <c r="K845" t="str">
        <f t="shared" si="252"/>
        <v>, SeasonId= "</v>
      </c>
      <c r="L845" t="str">
        <f>Matchs!F848</f>
        <v>FIFAWC2018</v>
      </c>
      <c r="M845" t="str">
        <f t="shared" si="253"/>
        <v>",Round= "</v>
      </c>
      <c r="N845" t="str">
        <f>Matchs!G848</f>
        <v>Final Round</v>
      </c>
      <c r="O845" s="6" t="str">
        <f t="shared" si="254"/>
        <v>",Stage= "</v>
      </c>
      <c r="P845" t="str">
        <f>Matchs!H848</f>
        <v>Group</v>
      </c>
      <c r="Q845" s="6" t="str">
        <f t="shared" si="255"/>
        <v>",SubStage= "</v>
      </c>
      <c r="R845" t="str">
        <f>Matchs!I848</f>
        <v>Group E</v>
      </c>
      <c r="S845" s="6" t="str">
        <f t="shared" si="256"/>
        <v>",HTeam= "</v>
      </c>
      <c r="T845" t="str">
        <f>Matchs!J848</f>
        <v>Brazil</v>
      </c>
      <c r="U845" s="6" t="str">
        <f t="shared" si="257"/>
        <v>",HGoal=</v>
      </c>
      <c r="V845">
        <f>Matchs!K848</f>
        <v>1</v>
      </c>
      <c r="W845" s="6" t="str">
        <f t="shared" si="258"/>
        <v>,GGoal=</v>
      </c>
      <c r="X845">
        <f>Matchs!L848</f>
        <v>1</v>
      </c>
      <c r="Y845" s="6" t="str">
        <f t="shared" si="259"/>
        <v>,GTeam= "</v>
      </c>
      <c r="Z845" t="str">
        <f>Matchs!M848</f>
        <v>Switzerland</v>
      </c>
      <c r="AA845" s="6" t="str">
        <f t="shared" si="260"/>
        <v>",WinNote="</v>
      </c>
      <c r="AB845" t="str">
        <f>IF(Matchs!N846="","",Matchs!N846)</f>
        <v/>
      </c>
      <c r="AC845" s="6" t="str">
        <f t="shared" si="261"/>
        <v xml:space="preserve">",Stadium=" </v>
      </c>
      <c r="AD845" s="11" t="str">
        <f>Matchs!O846</f>
        <v>Samara Arena</v>
      </c>
      <c r="AE845" s="6" t="str">
        <f t="shared" si="262"/>
        <v>",Referee= "</v>
      </c>
      <c r="AF845" s="11">
        <f>Matchs!P846</f>
        <v>0</v>
      </c>
      <c r="AG845" s="6" t="str">
        <f t="shared" si="263"/>
        <v xml:space="preserve">",Visistors= </v>
      </c>
      <c r="AH845" s="11">
        <f>Matchs!Q846</f>
        <v>0</v>
      </c>
      <c r="AI845" s="11" t="str">
        <f t="shared" si="264"/>
        <v>,Status= "</v>
      </c>
      <c r="AJ845" s="11" t="str">
        <f>Matchs!R846</f>
        <v>Finished</v>
      </c>
      <c r="AK845" t="str">
        <f t="shared" si="265"/>
        <v>" },</v>
      </c>
    </row>
    <row r="846" spans="1:37" x14ac:dyDescent="0.25">
      <c r="A846" t="str">
        <f t="shared" si="247"/>
        <v>new Match { MatchId= "</v>
      </c>
      <c r="B846" t="str">
        <f>Matchs!A846</f>
        <v>FIFAWC2018-9</v>
      </c>
      <c r="C846" t="str">
        <f t="shared" si="248"/>
        <v>",MatchNumer=</v>
      </c>
      <c r="D846">
        <f>Matchs!B846</f>
        <v>9</v>
      </c>
      <c r="E846" t="str">
        <f t="shared" si="249"/>
        <v>,DateMatch=DateTime.Parse("</v>
      </c>
      <c r="F846" s="3">
        <f>Matchs!C846</f>
        <v>43268</v>
      </c>
      <c r="G846" s="10" t="str">
        <f t="shared" si="250"/>
        <v>"),TimeMatch=TimeSpan.Parse("</v>
      </c>
      <c r="H846" s="9">
        <f>Matchs!D846</f>
        <v>0.79166666666666663</v>
      </c>
      <c r="I846" t="str">
        <f t="shared" si="251"/>
        <v>"),MatchYear=</v>
      </c>
      <c r="J846">
        <f>Matchs!E846</f>
        <v>2018</v>
      </c>
      <c r="K846" t="str">
        <f t="shared" si="252"/>
        <v>, SeasonId= "</v>
      </c>
      <c r="L846" t="str">
        <f>Matchs!F846</f>
        <v>FIFAWC2018</v>
      </c>
      <c r="M846" t="str">
        <f t="shared" si="253"/>
        <v>",Round= "</v>
      </c>
      <c r="N846" t="str">
        <f>Matchs!G846</f>
        <v>Final Round</v>
      </c>
      <c r="O846" s="6" t="str">
        <f t="shared" si="254"/>
        <v>",Stage= "</v>
      </c>
      <c r="P846" t="str">
        <f>Matchs!H846</f>
        <v>Group</v>
      </c>
      <c r="Q846" s="6" t="str">
        <f t="shared" si="255"/>
        <v>",SubStage= "</v>
      </c>
      <c r="R846" t="str">
        <f>Matchs!I846</f>
        <v>Group E</v>
      </c>
      <c r="S846" s="6" t="str">
        <f t="shared" si="256"/>
        <v>",HTeam= "</v>
      </c>
      <c r="T846" t="str">
        <f>Matchs!J846</f>
        <v>Costa Rica</v>
      </c>
      <c r="U846" s="6" t="str">
        <f t="shared" si="257"/>
        <v>",HGoal=</v>
      </c>
      <c r="V846">
        <f>Matchs!K846</f>
        <v>0</v>
      </c>
      <c r="W846" s="6" t="str">
        <f t="shared" si="258"/>
        <v>,GGoal=</v>
      </c>
      <c r="X846">
        <f>Matchs!L846</f>
        <v>1</v>
      </c>
      <c r="Y846" s="6" t="str">
        <f t="shared" si="259"/>
        <v>,GTeam= "</v>
      </c>
      <c r="Z846" t="str">
        <f>Matchs!M846</f>
        <v>Serbia</v>
      </c>
      <c r="AA846" s="6" t="str">
        <f t="shared" si="260"/>
        <v>",WinNote="</v>
      </c>
      <c r="AB846" t="str">
        <f>IF(Matchs!N847="","",Matchs!N847)</f>
        <v/>
      </c>
      <c r="AC846" s="6" t="str">
        <f t="shared" si="261"/>
        <v xml:space="preserve">",Stadium=" </v>
      </c>
      <c r="AD846" s="11" t="str">
        <f>Matchs!O847</f>
        <v>Luzhniki Stadium</v>
      </c>
      <c r="AE846" s="6" t="str">
        <f t="shared" si="262"/>
        <v>",Referee= "</v>
      </c>
      <c r="AF846" s="11">
        <f>Matchs!P847</f>
        <v>0</v>
      </c>
      <c r="AG846" s="6" t="str">
        <f t="shared" si="263"/>
        <v xml:space="preserve">",Visistors= </v>
      </c>
      <c r="AH846" s="11">
        <f>Matchs!Q847</f>
        <v>0</v>
      </c>
      <c r="AI846" s="11" t="str">
        <f t="shared" si="264"/>
        <v>,Status= "</v>
      </c>
      <c r="AJ846" s="11" t="str">
        <f>Matchs!R847</f>
        <v>Finished</v>
      </c>
      <c r="AK846" t="str">
        <f t="shared" si="265"/>
        <v>" },</v>
      </c>
    </row>
    <row r="847" spans="1:37" x14ac:dyDescent="0.25">
      <c r="A847" t="str">
        <f t="shared" si="247"/>
        <v>new Match { MatchId= "</v>
      </c>
      <c r="B847" t="str">
        <f>Matchs!A847</f>
        <v>FIFAWC2018-10</v>
      </c>
      <c r="C847" t="str">
        <f t="shared" si="248"/>
        <v>",MatchNumer=</v>
      </c>
      <c r="D847">
        <f>Matchs!B847</f>
        <v>10</v>
      </c>
      <c r="E847" t="str">
        <f t="shared" si="249"/>
        <v>,DateMatch=DateTime.Parse("</v>
      </c>
      <c r="F847" s="3">
        <f>Matchs!C847</f>
        <v>43268</v>
      </c>
      <c r="G847" s="10" t="str">
        <f t="shared" si="250"/>
        <v>"),TimeMatch=TimeSpan.Parse("</v>
      </c>
      <c r="H847" s="9">
        <f>Matchs!D847</f>
        <v>0.91666666666666663</v>
      </c>
      <c r="I847" t="str">
        <f t="shared" si="251"/>
        <v>"),MatchYear=</v>
      </c>
      <c r="J847">
        <f>Matchs!E847</f>
        <v>2018</v>
      </c>
      <c r="K847" t="str">
        <f t="shared" si="252"/>
        <v>, SeasonId= "</v>
      </c>
      <c r="L847" t="str">
        <f>Matchs!F847</f>
        <v>FIFAWC2018</v>
      </c>
      <c r="M847" t="str">
        <f t="shared" si="253"/>
        <v>",Round= "</v>
      </c>
      <c r="N847" t="str">
        <f>Matchs!G847</f>
        <v>Final Round</v>
      </c>
      <c r="O847" s="6" t="str">
        <f t="shared" si="254"/>
        <v>",Stage= "</v>
      </c>
      <c r="P847" t="str">
        <f>Matchs!H847</f>
        <v>Group</v>
      </c>
      <c r="Q847" s="6" t="str">
        <f t="shared" si="255"/>
        <v>",SubStage= "</v>
      </c>
      <c r="R847" t="str">
        <f>Matchs!I847</f>
        <v>Group F</v>
      </c>
      <c r="S847" s="6" t="str">
        <f t="shared" si="256"/>
        <v>",HTeam= "</v>
      </c>
      <c r="T847" t="str">
        <f>Matchs!J847</f>
        <v>Germany</v>
      </c>
      <c r="U847" s="6" t="str">
        <f t="shared" si="257"/>
        <v>",HGoal=</v>
      </c>
      <c r="V847">
        <f>Matchs!K847</f>
        <v>0</v>
      </c>
      <c r="W847" s="6" t="str">
        <f t="shared" si="258"/>
        <v>,GGoal=</v>
      </c>
      <c r="X847">
        <f>Matchs!L847</f>
        <v>1</v>
      </c>
      <c r="Y847" s="6" t="str">
        <f t="shared" si="259"/>
        <v>,GTeam= "</v>
      </c>
      <c r="Z847" t="str">
        <f>Matchs!M847</f>
        <v>Mexico</v>
      </c>
      <c r="AA847" s="6" t="str">
        <f t="shared" si="260"/>
        <v>",WinNote="</v>
      </c>
      <c r="AB847" t="str">
        <f>IF(Matchs!N848="","",Matchs!N848)</f>
        <v/>
      </c>
      <c r="AC847" s="6" t="str">
        <f t="shared" si="261"/>
        <v xml:space="preserve">",Stadium=" </v>
      </c>
      <c r="AD847" s="11" t="str">
        <f>Matchs!O848</f>
        <v>Rostov Arena</v>
      </c>
      <c r="AE847" s="6" t="str">
        <f t="shared" si="262"/>
        <v>",Referee= "</v>
      </c>
      <c r="AF847" s="11">
        <f>Matchs!P848</f>
        <v>0</v>
      </c>
      <c r="AG847" s="6" t="str">
        <f t="shared" si="263"/>
        <v xml:space="preserve">",Visistors= </v>
      </c>
      <c r="AH847" s="11">
        <f>Matchs!Q848</f>
        <v>0</v>
      </c>
      <c r="AI847" s="11" t="str">
        <f t="shared" si="264"/>
        <v>,Status= "</v>
      </c>
      <c r="AJ847" s="11" t="str">
        <f>Matchs!R848</f>
        <v>Finished</v>
      </c>
      <c r="AK847" t="str">
        <f t="shared" si="265"/>
        <v>" },</v>
      </c>
    </row>
    <row r="848" spans="1:37" x14ac:dyDescent="0.25">
      <c r="A848" t="str">
        <f t="shared" si="247"/>
        <v>new Match { MatchId= "</v>
      </c>
      <c r="B848" t="str">
        <f>Matchs!A849</f>
        <v>FIFAWC2018-12</v>
      </c>
      <c r="C848" t="str">
        <f t="shared" si="248"/>
        <v>",MatchNumer=</v>
      </c>
      <c r="D848">
        <f>Matchs!B849</f>
        <v>12</v>
      </c>
      <c r="E848" t="str">
        <f t="shared" si="249"/>
        <v>,DateMatch=DateTime.Parse("</v>
      </c>
      <c r="F848" s="3">
        <f>Matchs!C849</f>
        <v>43269</v>
      </c>
      <c r="G848" s="10" t="str">
        <f t="shared" si="250"/>
        <v>"),TimeMatch=TimeSpan.Parse("</v>
      </c>
      <c r="H848" s="9">
        <f>Matchs!D849</f>
        <v>0.79166666666666663</v>
      </c>
      <c r="I848" t="str">
        <f t="shared" si="251"/>
        <v>"),MatchYear=</v>
      </c>
      <c r="J848">
        <f>Matchs!E849</f>
        <v>2018</v>
      </c>
      <c r="K848" t="str">
        <f t="shared" si="252"/>
        <v>, SeasonId= "</v>
      </c>
      <c r="L848" t="str">
        <f>Matchs!F849</f>
        <v>FIFAWC2018</v>
      </c>
      <c r="M848" t="str">
        <f t="shared" si="253"/>
        <v>",Round= "</v>
      </c>
      <c r="N848" t="str">
        <f>Matchs!G849</f>
        <v>Final Round</v>
      </c>
      <c r="O848" s="6" t="str">
        <f t="shared" si="254"/>
        <v>",Stage= "</v>
      </c>
      <c r="P848" t="str">
        <f>Matchs!H849</f>
        <v>Group</v>
      </c>
      <c r="Q848" s="6" t="str">
        <f t="shared" si="255"/>
        <v>",SubStage= "</v>
      </c>
      <c r="R848" t="str">
        <f>Matchs!I849</f>
        <v>Group F</v>
      </c>
      <c r="S848" s="6" t="str">
        <f t="shared" si="256"/>
        <v>",HTeam= "</v>
      </c>
      <c r="T848" t="str">
        <f>Matchs!J849</f>
        <v>Sweden</v>
      </c>
      <c r="U848" s="6" t="str">
        <f t="shared" si="257"/>
        <v>",HGoal=</v>
      </c>
      <c r="V848">
        <f>Matchs!K849</f>
        <v>1</v>
      </c>
      <c r="W848" s="6" t="str">
        <f t="shared" si="258"/>
        <v>,GGoal=</v>
      </c>
      <c r="X848">
        <f>Matchs!L849</f>
        <v>0</v>
      </c>
      <c r="Y848" s="6" t="str">
        <f t="shared" si="259"/>
        <v>,GTeam= "</v>
      </c>
      <c r="Z848" t="str">
        <f>Matchs!M849</f>
        <v>Korea Republic</v>
      </c>
      <c r="AA848" s="6" t="str">
        <f t="shared" si="260"/>
        <v>",WinNote="</v>
      </c>
      <c r="AB848" t="str">
        <f>IF(Matchs!N849="","",Matchs!N849)</f>
        <v/>
      </c>
      <c r="AC848" s="6" t="str">
        <f t="shared" si="261"/>
        <v xml:space="preserve">",Stadium=" </v>
      </c>
      <c r="AD848" s="11" t="str">
        <f>Matchs!O849</f>
        <v>Nizhny Novgorod Stadium</v>
      </c>
      <c r="AE848" s="6" t="str">
        <f t="shared" si="262"/>
        <v>",Referee= "</v>
      </c>
      <c r="AF848" s="11">
        <f>Matchs!P849</f>
        <v>0</v>
      </c>
      <c r="AG848" s="6" t="str">
        <f t="shared" si="263"/>
        <v xml:space="preserve">",Visistors= </v>
      </c>
      <c r="AH848" s="11">
        <f>Matchs!Q849</f>
        <v>0</v>
      </c>
      <c r="AI848" s="11" t="str">
        <f t="shared" si="264"/>
        <v>,Status= "</v>
      </c>
      <c r="AJ848" s="11" t="str">
        <f>Matchs!R849</f>
        <v>Finished</v>
      </c>
      <c r="AK848" t="str">
        <f t="shared" si="265"/>
        <v>" },</v>
      </c>
    </row>
    <row r="849" spans="1:37" x14ac:dyDescent="0.25">
      <c r="A849" t="str">
        <f t="shared" si="247"/>
        <v>new Match { MatchId= "</v>
      </c>
      <c r="B849" t="str">
        <f>Matchs!A850</f>
        <v>FIFAWC2018-13</v>
      </c>
      <c r="C849" t="str">
        <f t="shared" si="248"/>
        <v>",MatchNumer=</v>
      </c>
      <c r="D849">
        <f>Matchs!B850</f>
        <v>13</v>
      </c>
      <c r="E849" t="str">
        <f t="shared" si="249"/>
        <v>,DateMatch=DateTime.Parse("</v>
      </c>
      <c r="F849" s="3">
        <f>Matchs!C850</f>
        <v>43269</v>
      </c>
      <c r="G849" s="10" t="str">
        <f t="shared" si="250"/>
        <v>"),TimeMatch=TimeSpan.Parse("</v>
      </c>
      <c r="H849" s="9">
        <f>Matchs!D850</f>
        <v>0.91666666666666663</v>
      </c>
      <c r="I849" t="str">
        <f t="shared" si="251"/>
        <v>"),MatchYear=</v>
      </c>
      <c r="J849">
        <f>Matchs!E850</f>
        <v>2018</v>
      </c>
      <c r="K849" t="str">
        <f t="shared" si="252"/>
        <v>, SeasonId= "</v>
      </c>
      <c r="L849" t="str">
        <f>Matchs!F850</f>
        <v>FIFAWC2018</v>
      </c>
      <c r="M849" t="str">
        <f t="shared" si="253"/>
        <v>",Round= "</v>
      </c>
      <c r="N849" t="str">
        <f>Matchs!G850</f>
        <v>Final Round</v>
      </c>
      <c r="O849" s="6" t="str">
        <f t="shared" si="254"/>
        <v>",Stage= "</v>
      </c>
      <c r="P849" t="str">
        <f>Matchs!H850</f>
        <v>Group</v>
      </c>
      <c r="Q849" s="6" t="str">
        <f t="shared" si="255"/>
        <v>",SubStage= "</v>
      </c>
      <c r="R849" t="str">
        <f>Matchs!I850</f>
        <v>Group G</v>
      </c>
      <c r="S849" s="6" t="str">
        <f t="shared" si="256"/>
        <v>",HTeam= "</v>
      </c>
      <c r="T849" t="str">
        <f>Matchs!J850</f>
        <v>Belgium</v>
      </c>
      <c r="U849" s="6" t="str">
        <f t="shared" si="257"/>
        <v>",HGoal=</v>
      </c>
      <c r="V849">
        <f>Matchs!K850</f>
        <v>3</v>
      </c>
      <c r="W849" s="6" t="str">
        <f t="shared" si="258"/>
        <v>,GGoal=</v>
      </c>
      <c r="X849">
        <f>Matchs!L850</f>
        <v>0</v>
      </c>
      <c r="Y849" s="6" t="str">
        <f t="shared" si="259"/>
        <v>,GTeam= "</v>
      </c>
      <c r="Z849" t="str">
        <f>Matchs!M850</f>
        <v>Panama</v>
      </c>
      <c r="AA849" s="6" t="str">
        <f t="shared" si="260"/>
        <v>",WinNote="</v>
      </c>
      <c r="AB849" t="str">
        <f>IF(Matchs!N850="","",Matchs!N850)</f>
        <v/>
      </c>
      <c r="AC849" s="6" t="str">
        <f t="shared" si="261"/>
        <v xml:space="preserve">",Stadium=" </v>
      </c>
      <c r="AD849" s="11" t="str">
        <f>Matchs!O850</f>
        <v>Fisht Stadium</v>
      </c>
      <c r="AE849" s="6" t="str">
        <f t="shared" si="262"/>
        <v>",Referee= "</v>
      </c>
      <c r="AF849" s="11">
        <f>Matchs!P850</f>
        <v>0</v>
      </c>
      <c r="AG849" s="6" t="str">
        <f t="shared" si="263"/>
        <v xml:space="preserve">",Visistors= </v>
      </c>
      <c r="AH849" s="11">
        <f>Matchs!Q850</f>
        <v>0</v>
      </c>
      <c r="AI849" s="11" t="str">
        <f t="shared" si="264"/>
        <v>,Status= "</v>
      </c>
      <c r="AJ849" s="11" t="str">
        <f>Matchs!R850</f>
        <v>Finished</v>
      </c>
      <c r="AK849" t="str">
        <f t="shared" si="265"/>
        <v>" },</v>
      </c>
    </row>
    <row r="850" spans="1:37" x14ac:dyDescent="0.25">
      <c r="A850" t="str">
        <f t="shared" si="247"/>
        <v>new Match { MatchId= "</v>
      </c>
      <c r="B850" t="str">
        <f>Matchs!A851</f>
        <v>FIFAWC2018-14</v>
      </c>
      <c r="C850" t="str">
        <f t="shared" si="248"/>
        <v>",MatchNumer=</v>
      </c>
      <c r="D850">
        <f>Matchs!B851</f>
        <v>14</v>
      </c>
      <c r="E850" t="str">
        <f t="shared" si="249"/>
        <v>,DateMatch=DateTime.Parse("</v>
      </c>
      <c r="F850" s="3">
        <f>Matchs!C851</f>
        <v>43269</v>
      </c>
      <c r="G850" s="10" t="str">
        <f t="shared" si="250"/>
        <v>"),TimeMatch=TimeSpan.Parse("</v>
      </c>
      <c r="H850" s="9">
        <f>Matchs!D851</f>
        <v>4.1666666666666664E-2</v>
      </c>
      <c r="I850" t="str">
        <f t="shared" si="251"/>
        <v>"),MatchYear=</v>
      </c>
      <c r="J850">
        <f>Matchs!E851</f>
        <v>2018</v>
      </c>
      <c r="K850" t="str">
        <f t="shared" si="252"/>
        <v>, SeasonId= "</v>
      </c>
      <c r="L850" t="str">
        <f>Matchs!F851</f>
        <v>FIFAWC2018</v>
      </c>
      <c r="M850" t="str">
        <f t="shared" si="253"/>
        <v>",Round= "</v>
      </c>
      <c r="N850" t="str">
        <f>Matchs!G851</f>
        <v>Final Round</v>
      </c>
      <c r="O850" s="6" t="str">
        <f t="shared" si="254"/>
        <v>",Stage= "</v>
      </c>
      <c r="P850" t="str">
        <f>Matchs!H851</f>
        <v>Group</v>
      </c>
      <c r="Q850" s="6" t="str">
        <f t="shared" si="255"/>
        <v>",SubStage= "</v>
      </c>
      <c r="R850" t="str">
        <f>Matchs!I851</f>
        <v>Group G</v>
      </c>
      <c r="S850" s="6" t="str">
        <f t="shared" si="256"/>
        <v>",HTeam= "</v>
      </c>
      <c r="T850" t="str">
        <f>Matchs!J851</f>
        <v>Tunisia</v>
      </c>
      <c r="U850" s="6" t="str">
        <f t="shared" si="257"/>
        <v>",HGoal=</v>
      </c>
      <c r="V850">
        <f>Matchs!K851</f>
        <v>1</v>
      </c>
      <c r="W850" s="6" t="str">
        <f t="shared" si="258"/>
        <v>,GGoal=</v>
      </c>
      <c r="X850">
        <f>Matchs!L851</f>
        <v>2</v>
      </c>
      <c r="Y850" s="6" t="str">
        <f t="shared" si="259"/>
        <v>,GTeam= "</v>
      </c>
      <c r="Z850" t="str">
        <f>Matchs!M851</f>
        <v>England</v>
      </c>
      <c r="AA850" s="6" t="str">
        <f t="shared" si="260"/>
        <v>",WinNote="</v>
      </c>
      <c r="AB850" t="str">
        <f>IF(Matchs!N851="","",Matchs!N851)</f>
        <v/>
      </c>
      <c r="AC850" s="6" t="str">
        <f t="shared" si="261"/>
        <v xml:space="preserve">",Stadium=" </v>
      </c>
      <c r="AD850" s="11" t="str">
        <f>Matchs!O851</f>
        <v>Volgograd Arena</v>
      </c>
      <c r="AE850" s="6" t="str">
        <f t="shared" si="262"/>
        <v>",Referee= "</v>
      </c>
      <c r="AF850" s="11">
        <f>Matchs!P851</f>
        <v>0</v>
      </c>
      <c r="AG850" s="6" t="str">
        <f t="shared" si="263"/>
        <v xml:space="preserve">",Visistors= </v>
      </c>
      <c r="AH850" s="11">
        <f>Matchs!Q851</f>
        <v>0</v>
      </c>
      <c r="AI850" s="11" t="str">
        <f t="shared" si="264"/>
        <v>,Status= "</v>
      </c>
      <c r="AJ850" s="11" t="str">
        <f>Matchs!R851</f>
        <v>Finished</v>
      </c>
      <c r="AK850" t="str">
        <f t="shared" si="265"/>
        <v>" },</v>
      </c>
    </row>
    <row r="851" spans="1:37" x14ac:dyDescent="0.25">
      <c r="A851" t="str">
        <f t="shared" si="247"/>
        <v>new Match { MatchId= "</v>
      </c>
      <c r="B851" t="str">
        <f>Matchs!A853</f>
        <v>FIFAWC2018-16</v>
      </c>
      <c r="C851" t="str">
        <f t="shared" si="248"/>
        <v>",MatchNumer=</v>
      </c>
      <c r="D851">
        <f>Matchs!B853</f>
        <v>16</v>
      </c>
      <c r="E851" t="str">
        <f t="shared" si="249"/>
        <v>,DateMatch=DateTime.Parse("</v>
      </c>
      <c r="F851" s="3">
        <f>Matchs!C853</f>
        <v>43270</v>
      </c>
      <c r="G851" s="10" t="str">
        <f t="shared" si="250"/>
        <v>"),TimeMatch=TimeSpan.Parse("</v>
      </c>
      <c r="H851" s="9">
        <f>Matchs!D853</f>
        <v>0.91666666666666663</v>
      </c>
      <c r="I851" t="str">
        <f t="shared" si="251"/>
        <v>"),MatchYear=</v>
      </c>
      <c r="J851">
        <f>Matchs!E853</f>
        <v>2018</v>
      </c>
      <c r="K851" t="str">
        <f t="shared" si="252"/>
        <v>, SeasonId= "</v>
      </c>
      <c r="L851" t="str">
        <f>Matchs!F853</f>
        <v>FIFAWC2018</v>
      </c>
      <c r="M851" t="str">
        <f t="shared" si="253"/>
        <v>",Round= "</v>
      </c>
      <c r="N851" t="str">
        <f>Matchs!G853</f>
        <v>Final Round</v>
      </c>
      <c r="O851" s="6" t="str">
        <f t="shared" si="254"/>
        <v>",Stage= "</v>
      </c>
      <c r="P851" t="str">
        <f>Matchs!H853</f>
        <v>Group</v>
      </c>
      <c r="Q851" s="6" t="str">
        <f t="shared" si="255"/>
        <v>",SubStage= "</v>
      </c>
      <c r="R851" t="str">
        <f>Matchs!I853</f>
        <v>Group H</v>
      </c>
      <c r="S851" s="6" t="str">
        <f t="shared" si="256"/>
        <v>",HTeam= "</v>
      </c>
      <c r="T851" t="str">
        <f>Matchs!J853</f>
        <v>Poland</v>
      </c>
      <c r="U851" s="6" t="str">
        <f t="shared" si="257"/>
        <v>",HGoal=</v>
      </c>
      <c r="V851">
        <f>Matchs!K853</f>
        <v>1</v>
      </c>
      <c r="W851" s="6" t="str">
        <f t="shared" si="258"/>
        <v>,GGoal=</v>
      </c>
      <c r="X851">
        <f>Matchs!L853</f>
        <v>2</v>
      </c>
      <c r="Y851" s="6" t="str">
        <f t="shared" si="259"/>
        <v>,GTeam= "</v>
      </c>
      <c r="Z851" t="str">
        <f>Matchs!M853</f>
        <v>Senegal</v>
      </c>
      <c r="AA851" s="6" t="str">
        <f t="shared" si="260"/>
        <v>",WinNote="</v>
      </c>
      <c r="AB851" t="str">
        <f>IF(Matchs!N852="","",Matchs!N852)</f>
        <v/>
      </c>
      <c r="AC851" s="6" t="str">
        <f t="shared" si="261"/>
        <v xml:space="preserve">",Stadium=" </v>
      </c>
      <c r="AD851" s="11" t="str">
        <f>Matchs!O852</f>
        <v>Mordovia Arena</v>
      </c>
      <c r="AE851" s="6" t="str">
        <f t="shared" si="262"/>
        <v>",Referee= "</v>
      </c>
      <c r="AF851" s="11">
        <f>Matchs!P852</f>
        <v>0</v>
      </c>
      <c r="AG851" s="6" t="str">
        <f t="shared" si="263"/>
        <v xml:space="preserve">",Visistors= </v>
      </c>
      <c r="AH851" s="11">
        <f>Matchs!Q852</f>
        <v>0</v>
      </c>
      <c r="AI851" s="11" t="str">
        <f t="shared" si="264"/>
        <v>,Status= "</v>
      </c>
      <c r="AJ851" s="11" t="str">
        <f>Matchs!R852</f>
        <v>Finished</v>
      </c>
      <c r="AK851" t="str">
        <f t="shared" si="265"/>
        <v>" },</v>
      </c>
    </row>
    <row r="852" spans="1:37" x14ac:dyDescent="0.25">
      <c r="A852" t="str">
        <f t="shared" si="247"/>
        <v>new Match { MatchId= "</v>
      </c>
      <c r="B852" t="str">
        <f>Matchs!A852</f>
        <v>FIFAWC2018-15</v>
      </c>
      <c r="C852" t="str">
        <f t="shared" si="248"/>
        <v>",MatchNumer=</v>
      </c>
      <c r="D852">
        <f>Matchs!B852</f>
        <v>15</v>
      </c>
      <c r="E852" t="str">
        <f t="shared" si="249"/>
        <v>,DateMatch=DateTime.Parse("</v>
      </c>
      <c r="F852" s="3">
        <f>Matchs!C852</f>
        <v>43270</v>
      </c>
      <c r="G852" s="10" t="str">
        <f t="shared" si="250"/>
        <v>"),TimeMatch=TimeSpan.Parse("</v>
      </c>
      <c r="H852" s="9">
        <f>Matchs!D852</f>
        <v>0.79166666666666663</v>
      </c>
      <c r="I852" t="str">
        <f t="shared" si="251"/>
        <v>"),MatchYear=</v>
      </c>
      <c r="J852">
        <f>Matchs!E852</f>
        <v>2018</v>
      </c>
      <c r="K852" t="str">
        <f t="shared" si="252"/>
        <v>, SeasonId= "</v>
      </c>
      <c r="L852" t="str">
        <f>Matchs!F852</f>
        <v>FIFAWC2018</v>
      </c>
      <c r="M852" t="str">
        <f t="shared" si="253"/>
        <v>",Round= "</v>
      </c>
      <c r="N852" t="str">
        <f>Matchs!G852</f>
        <v>Final Round</v>
      </c>
      <c r="O852" s="6" t="str">
        <f t="shared" si="254"/>
        <v>",Stage= "</v>
      </c>
      <c r="P852" t="str">
        <f>Matchs!H852</f>
        <v>Group</v>
      </c>
      <c r="Q852" s="6" t="str">
        <f t="shared" si="255"/>
        <v>",SubStage= "</v>
      </c>
      <c r="R852" t="str">
        <f>Matchs!I852</f>
        <v>Group H</v>
      </c>
      <c r="S852" s="6" t="str">
        <f t="shared" si="256"/>
        <v>",HTeam= "</v>
      </c>
      <c r="T852" t="str">
        <f>Matchs!J852</f>
        <v>Colombia</v>
      </c>
      <c r="U852" s="6" t="str">
        <f t="shared" si="257"/>
        <v>",HGoal=</v>
      </c>
      <c r="V852">
        <f>Matchs!K852</f>
        <v>1</v>
      </c>
      <c r="W852" s="6" t="str">
        <f t="shared" si="258"/>
        <v>,GGoal=</v>
      </c>
      <c r="X852">
        <f>Matchs!L852</f>
        <v>2</v>
      </c>
      <c r="Y852" s="6" t="str">
        <f t="shared" si="259"/>
        <v>,GTeam= "</v>
      </c>
      <c r="Z852" t="str">
        <f>Matchs!M852</f>
        <v>Japan</v>
      </c>
      <c r="AA852" s="6" t="str">
        <f t="shared" si="260"/>
        <v>",WinNote="</v>
      </c>
      <c r="AB852" t="str">
        <f>IF(Matchs!N853="","",Matchs!N853)</f>
        <v/>
      </c>
      <c r="AC852" s="6" t="str">
        <f t="shared" si="261"/>
        <v xml:space="preserve">",Stadium=" </v>
      </c>
      <c r="AD852" s="11" t="str">
        <f>Matchs!O853</f>
        <v>Spartak Stadium</v>
      </c>
      <c r="AE852" s="6" t="str">
        <f t="shared" si="262"/>
        <v>",Referee= "</v>
      </c>
      <c r="AF852" s="11">
        <f>Matchs!P853</f>
        <v>0</v>
      </c>
      <c r="AG852" s="6" t="str">
        <f t="shared" si="263"/>
        <v xml:space="preserve">",Visistors= </v>
      </c>
      <c r="AH852" s="11">
        <f>Matchs!Q853</f>
        <v>0</v>
      </c>
      <c r="AI852" s="11" t="str">
        <f t="shared" si="264"/>
        <v>,Status= "</v>
      </c>
      <c r="AJ852" s="11" t="str">
        <f>Matchs!R853</f>
        <v>Finished</v>
      </c>
      <c r="AK852" t="str">
        <f t="shared" si="265"/>
        <v>" },</v>
      </c>
    </row>
    <row r="853" spans="1:37" x14ac:dyDescent="0.25">
      <c r="A853" t="str">
        <f t="shared" si="247"/>
        <v>new Match { MatchId= "</v>
      </c>
      <c r="B853" t="str">
        <f>Matchs!A854</f>
        <v>FIFAWC2018-17</v>
      </c>
      <c r="C853" t="str">
        <f t="shared" si="248"/>
        <v>",MatchNumer=</v>
      </c>
      <c r="D853">
        <f>Matchs!B854</f>
        <v>17</v>
      </c>
      <c r="E853" t="str">
        <f t="shared" si="249"/>
        <v>,DateMatch=DateTime.Parse("</v>
      </c>
      <c r="F853" s="3">
        <f>Matchs!C854</f>
        <v>43271</v>
      </c>
      <c r="G853" s="10" t="str">
        <f t="shared" si="250"/>
        <v>"),TimeMatch=TimeSpan.Parse("</v>
      </c>
      <c r="H853" s="9">
        <f>Matchs!D854</f>
        <v>4.1666666666666664E-2</v>
      </c>
      <c r="I853" t="str">
        <f t="shared" si="251"/>
        <v>"),MatchYear=</v>
      </c>
      <c r="J853">
        <f>Matchs!E854</f>
        <v>2018</v>
      </c>
      <c r="K853" t="str">
        <f t="shared" si="252"/>
        <v>, SeasonId= "</v>
      </c>
      <c r="L853" t="str">
        <f>Matchs!F854</f>
        <v>FIFAWC2018</v>
      </c>
      <c r="M853" t="str">
        <f t="shared" si="253"/>
        <v>",Round= "</v>
      </c>
      <c r="N853" t="str">
        <f>Matchs!G854</f>
        <v>Final Round</v>
      </c>
      <c r="O853" s="6" t="str">
        <f t="shared" si="254"/>
        <v>",Stage= "</v>
      </c>
      <c r="P853" t="str">
        <f>Matchs!H854</f>
        <v>Group</v>
      </c>
      <c r="Q853" s="6" t="str">
        <f t="shared" si="255"/>
        <v>",SubStage= "</v>
      </c>
      <c r="R853" t="str">
        <f>Matchs!I854</f>
        <v>Group A</v>
      </c>
      <c r="S853" s="6" t="str">
        <f t="shared" si="256"/>
        <v>",HTeam= "</v>
      </c>
      <c r="T853" t="str">
        <f>Matchs!J854</f>
        <v>Russia</v>
      </c>
      <c r="U853" s="6" t="str">
        <f t="shared" si="257"/>
        <v>",HGoal=</v>
      </c>
      <c r="V853">
        <f>Matchs!K854</f>
        <v>3</v>
      </c>
      <c r="W853" s="6" t="str">
        <f t="shared" si="258"/>
        <v>,GGoal=</v>
      </c>
      <c r="X853">
        <f>Matchs!L854</f>
        <v>1</v>
      </c>
      <c r="Y853" s="6" t="str">
        <f t="shared" si="259"/>
        <v>,GTeam= "</v>
      </c>
      <c r="Z853" t="str">
        <f>Matchs!M854</f>
        <v>Egypt</v>
      </c>
      <c r="AA853" s="6" t="str">
        <f t="shared" si="260"/>
        <v>",WinNote="</v>
      </c>
      <c r="AB853" t="str">
        <f>IF(Matchs!N854="","",Matchs!N854)</f>
        <v/>
      </c>
      <c r="AC853" s="6" t="str">
        <f t="shared" si="261"/>
        <v xml:space="preserve">",Stadium=" </v>
      </c>
      <c r="AD853" s="11" t="str">
        <f>Matchs!O854</f>
        <v>Saint Petersburg Stadium</v>
      </c>
      <c r="AE853" s="6" t="str">
        <f t="shared" si="262"/>
        <v>",Referee= "</v>
      </c>
      <c r="AF853" s="11">
        <f>Matchs!P854</f>
        <v>0</v>
      </c>
      <c r="AG853" s="6" t="str">
        <f t="shared" si="263"/>
        <v xml:space="preserve">",Visistors= </v>
      </c>
      <c r="AH853" s="11">
        <f>Matchs!Q854</f>
        <v>0</v>
      </c>
      <c r="AI853" s="11" t="str">
        <f t="shared" si="264"/>
        <v>,Status= "</v>
      </c>
      <c r="AJ853" s="11" t="str">
        <f>Matchs!R854</f>
        <v>Finished</v>
      </c>
      <c r="AK853" t="str">
        <f t="shared" si="265"/>
        <v>" },</v>
      </c>
    </row>
    <row r="854" spans="1:37" x14ac:dyDescent="0.25">
      <c r="A854" t="str">
        <f t="shared" si="247"/>
        <v>new Match { MatchId= "</v>
      </c>
      <c r="B854" t="str">
        <f>Matchs!A856</f>
        <v>FIFAWC2018-18</v>
      </c>
      <c r="C854" t="str">
        <f t="shared" si="248"/>
        <v>",MatchNumer=</v>
      </c>
      <c r="D854">
        <f>Matchs!B856</f>
        <v>18</v>
      </c>
      <c r="E854" t="str">
        <f t="shared" si="249"/>
        <v>,DateMatch=DateTime.Parse("</v>
      </c>
      <c r="F854" s="3">
        <f>Matchs!C856</f>
        <v>43271</v>
      </c>
      <c r="G854" s="10" t="str">
        <f t="shared" si="250"/>
        <v>"),TimeMatch=TimeSpan.Parse("</v>
      </c>
      <c r="H854" s="9">
        <f>Matchs!D856</f>
        <v>0.91666666666666663</v>
      </c>
      <c r="I854" t="str">
        <f t="shared" si="251"/>
        <v>"),MatchYear=</v>
      </c>
      <c r="J854">
        <f>Matchs!E856</f>
        <v>2018</v>
      </c>
      <c r="K854" t="str">
        <f t="shared" si="252"/>
        <v>, SeasonId= "</v>
      </c>
      <c r="L854" t="str">
        <f>Matchs!F856</f>
        <v>FIFAWC2018</v>
      </c>
      <c r="M854" t="str">
        <f t="shared" si="253"/>
        <v>",Round= "</v>
      </c>
      <c r="N854" t="str">
        <f>Matchs!G856</f>
        <v>Final Round</v>
      </c>
      <c r="O854" s="6" t="str">
        <f t="shared" si="254"/>
        <v>",Stage= "</v>
      </c>
      <c r="P854" t="str">
        <f>Matchs!H856</f>
        <v>Group</v>
      </c>
      <c r="Q854" s="6" t="str">
        <f t="shared" si="255"/>
        <v>",SubStage= "</v>
      </c>
      <c r="R854" t="str">
        <f>Matchs!I856</f>
        <v>Group A</v>
      </c>
      <c r="S854" s="6" t="str">
        <f t="shared" si="256"/>
        <v>",HTeam= "</v>
      </c>
      <c r="T854" t="str">
        <f>Matchs!J856</f>
        <v>Uruguay</v>
      </c>
      <c r="U854" s="6" t="str">
        <f t="shared" si="257"/>
        <v>",HGoal=</v>
      </c>
      <c r="V854">
        <f>Matchs!K856</f>
        <v>1</v>
      </c>
      <c r="W854" s="6" t="str">
        <f t="shared" si="258"/>
        <v>,GGoal=</v>
      </c>
      <c r="X854">
        <f>Matchs!L856</f>
        <v>0</v>
      </c>
      <c r="Y854" s="6" t="str">
        <f t="shared" si="259"/>
        <v>,GTeam= "</v>
      </c>
      <c r="Z854" t="str">
        <f>Matchs!M856</f>
        <v>Saudi Arabia</v>
      </c>
      <c r="AA854" s="6" t="str">
        <f t="shared" si="260"/>
        <v>",WinNote="</v>
      </c>
      <c r="AB854" t="str">
        <f>IF(Matchs!N855="","",Matchs!N855)</f>
        <v/>
      </c>
      <c r="AC854" s="6" t="str">
        <f t="shared" si="261"/>
        <v xml:space="preserve">",Stadium=" </v>
      </c>
      <c r="AD854" s="11" t="str">
        <f>Matchs!O855</f>
        <v>Luzhniki Stadium</v>
      </c>
      <c r="AE854" s="6" t="str">
        <f t="shared" si="262"/>
        <v>",Referee= "</v>
      </c>
      <c r="AF854" s="11">
        <f>Matchs!P855</f>
        <v>0</v>
      </c>
      <c r="AG854" s="6" t="str">
        <f t="shared" si="263"/>
        <v xml:space="preserve">",Visistors= </v>
      </c>
      <c r="AH854" s="11">
        <f>Matchs!Q855</f>
        <v>0</v>
      </c>
      <c r="AI854" s="11" t="str">
        <f t="shared" si="264"/>
        <v>,Status= "</v>
      </c>
      <c r="AJ854" s="11" t="str">
        <f>Matchs!R855</f>
        <v>Finished</v>
      </c>
      <c r="AK854" t="str">
        <f t="shared" si="265"/>
        <v>" },</v>
      </c>
    </row>
    <row r="855" spans="1:37" x14ac:dyDescent="0.25">
      <c r="A855" t="str">
        <f t="shared" si="247"/>
        <v>new Match { MatchId= "</v>
      </c>
      <c r="B855" t="str">
        <f>Matchs!A855</f>
        <v>FIFAWC2018-19</v>
      </c>
      <c r="C855" t="str">
        <f t="shared" si="248"/>
        <v>",MatchNumer=</v>
      </c>
      <c r="D855">
        <f>Matchs!B855</f>
        <v>19</v>
      </c>
      <c r="E855" t="str">
        <f t="shared" si="249"/>
        <v>,DateMatch=DateTime.Parse("</v>
      </c>
      <c r="F855" s="3">
        <f>Matchs!C855</f>
        <v>43271</v>
      </c>
      <c r="G855" s="10" t="str">
        <f t="shared" si="250"/>
        <v>"),TimeMatch=TimeSpan.Parse("</v>
      </c>
      <c r="H855" s="9">
        <f>Matchs!D855</f>
        <v>0.79166666666666663</v>
      </c>
      <c r="I855" t="str">
        <f t="shared" si="251"/>
        <v>"),MatchYear=</v>
      </c>
      <c r="J855">
        <f>Matchs!E855</f>
        <v>2018</v>
      </c>
      <c r="K855" t="str">
        <f t="shared" si="252"/>
        <v>, SeasonId= "</v>
      </c>
      <c r="L855" t="str">
        <f>Matchs!F855</f>
        <v>FIFAWC2018</v>
      </c>
      <c r="M855" t="str">
        <f t="shared" si="253"/>
        <v>",Round= "</v>
      </c>
      <c r="N855" t="str">
        <f>Matchs!G855</f>
        <v>Final Round</v>
      </c>
      <c r="O855" s="6" t="str">
        <f t="shared" si="254"/>
        <v>",Stage= "</v>
      </c>
      <c r="P855" t="str">
        <f>Matchs!H855</f>
        <v>Group</v>
      </c>
      <c r="Q855" s="6" t="str">
        <f t="shared" si="255"/>
        <v>",SubStage= "</v>
      </c>
      <c r="R855" t="str">
        <f>Matchs!I855</f>
        <v>Group B</v>
      </c>
      <c r="S855" s="6" t="str">
        <f t="shared" si="256"/>
        <v>",HTeam= "</v>
      </c>
      <c r="T855" t="str">
        <f>Matchs!J855</f>
        <v>Portugal</v>
      </c>
      <c r="U855" s="6" t="str">
        <f t="shared" si="257"/>
        <v>",HGoal=</v>
      </c>
      <c r="V855">
        <f>Matchs!K855</f>
        <v>1</v>
      </c>
      <c r="W855" s="6" t="str">
        <f t="shared" si="258"/>
        <v>,GGoal=</v>
      </c>
      <c r="X855">
        <f>Matchs!L855</f>
        <v>0</v>
      </c>
      <c r="Y855" s="6" t="str">
        <f t="shared" si="259"/>
        <v>,GTeam= "</v>
      </c>
      <c r="Z855" t="str">
        <f>Matchs!M855</f>
        <v>Morocco</v>
      </c>
      <c r="AA855" s="6" t="str">
        <f t="shared" si="260"/>
        <v>",WinNote="</v>
      </c>
      <c r="AB855" t="str">
        <f>IF(Matchs!N856="","",Matchs!N856)</f>
        <v/>
      </c>
      <c r="AC855" s="6" t="str">
        <f t="shared" si="261"/>
        <v xml:space="preserve">",Stadium=" </v>
      </c>
      <c r="AD855" s="11" t="str">
        <f>Matchs!O856</f>
        <v>Rostov Arena</v>
      </c>
      <c r="AE855" s="6" t="str">
        <f t="shared" si="262"/>
        <v>",Referee= "</v>
      </c>
      <c r="AF855" s="11">
        <f>Matchs!P856</f>
        <v>0</v>
      </c>
      <c r="AG855" s="6" t="str">
        <f t="shared" si="263"/>
        <v xml:space="preserve">",Visistors= </v>
      </c>
      <c r="AH855" s="11">
        <f>Matchs!Q856</f>
        <v>0</v>
      </c>
      <c r="AI855" s="11" t="str">
        <f t="shared" si="264"/>
        <v>,Status= "</v>
      </c>
      <c r="AJ855" s="11" t="str">
        <f>Matchs!R856</f>
        <v>Finished</v>
      </c>
      <c r="AK855" t="str">
        <f t="shared" si="265"/>
        <v>" },</v>
      </c>
    </row>
    <row r="856" spans="1:37" x14ac:dyDescent="0.25">
      <c r="A856" t="str">
        <f t="shared" si="247"/>
        <v>new Match { MatchId= "</v>
      </c>
      <c r="B856" t="str">
        <f>Matchs!A857</f>
        <v>FIFAWC2018-20</v>
      </c>
      <c r="C856" t="str">
        <f t="shared" si="248"/>
        <v>",MatchNumer=</v>
      </c>
      <c r="D856">
        <f>Matchs!B857</f>
        <v>20</v>
      </c>
      <c r="E856" t="str">
        <f t="shared" si="249"/>
        <v>,DateMatch=DateTime.Parse("</v>
      </c>
      <c r="F856" s="3">
        <f>Matchs!C857</f>
        <v>43272</v>
      </c>
      <c r="G856" s="10" t="str">
        <f t="shared" si="250"/>
        <v>"),TimeMatch=TimeSpan.Parse("</v>
      </c>
      <c r="H856" s="9">
        <f>Matchs!D857</f>
        <v>4.1666666666666664E-2</v>
      </c>
      <c r="I856" t="str">
        <f t="shared" si="251"/>
        <v>"),MatchYear=</v>
      </c>
      <c r="J856">
        <f>Matchs!E857</f>
        <v>2018</v>
      </c>
      <c r="K856" t="str">
        <f t="shared" si="252"/>
        <v>, SeasonId= "</v>
      </c>
      <c r="L856" t="str">
        <f>Matchs!F857</f>
        <v>FIFAWC2018</v>
      </c>
      <c r="M856" t="str">
        <f t="shared" si="253"/>
        <v>",Round= "</v>
      </c>
      <c r="N856" t="str">
        <f>Matchs!G857</f>
        <v>Final Round</v>
      </c>
      <c r="O856" s="6" t="str">
        <f t="shared" si="254"/>
        <v>",Stage= "</v>
      </c>
      <c r="P856" t="str">
        <f>Matchs!H857</f>
        <v>Group</v>
      </c>
      <c r="Q856" s="6" t="str">
        <f t="shared" si="255"/>
        <v>",SubStage= "</v>
      </c>
      <c r="R856" t="str">
        <f>Matchs!I857</f>
        <v>Group B</v>
      </c>
      <c r="S856" s="6" t="str">
        <f t="shared" si="256"/>
        <v>",HTeam= "</v>
      </c>
      <c r="T856" t="str">
        <f>Matchs!J857</f>
        <v>Iran</v>
      </c>
      <c r="U856" s="6" t="str">
        <f t="shared" si="257"/>
        <v>",HGoal=</v>
      </c>
      <c r="V856">
        <f>Matchs!K857</f>
        <v>0</v>
      </c>
      <c r="W856" s="6" t="str">
        <f t="shared" si="258"/>
        <v>,GGoal=</v>
      </c>
      <c r="X856">
        <f>Matchs!L857</f>
        <v>1</v>
      </c>
      <c r="Y856" s="6" t="str">
        <f t="shared" si="259"/>
        <v>,GTeam= "</v>
      </c>
      <c r="Z856" t="str">
        <f>Matchs!M857</f>
        <v>Spain</v>
      </c>
      <c r="AA856" s="6" t="str">
        <f t="shared" si="260"/>
        <v>",WinNote="</v>
      </c>
      <c r="AB856" t="str">
        <f>IF(Matchs!N857="","",Matchs!N857)</f>
        <v/>
      </c>
      <c r="AC856" s="6" t="str">
        <f t="shared" si="261"/>
        <v xml:space="preserve">",Stadium=" </v>
      </c>
      <c r="AD856" s="11" t="str">
        <f>Matchs!O857</f>
        <v>Kazan Arena</v>
      </c>
      <c r="AE856" s="6" t="str">
        <f t="shared" si="262"/>
        <v>",Referee= "</v>
      </c>
      <c r="AF856" s="11">
        <f>Matchs!P857</f>
        <v>0</v>
      </c>
      <c r="AG856" s="6" t="str">
        <f t="shared" si="263"/>
        <v xml:space="preserve">",Visistors= </v>
      </c>
      <c r="AH856" s="11">
        <f>Matchs!Q857</f>
        <v>0</v>
      </c>
      <c r="AI856" s="11" t="str">
        <f t="shared" si="264"/>
        <v>,Status= "</v>
      </c>
      <c r="AJ856" s="11" t="str">
        <f>Matchs!R857</f>
        <v>Finished</v>
      </c>
      <c r="AK856" t="str">
        <f t="shared" si="265"/>
        <v>" },</v>
      </c>
    </row>
    <row r="857" spans="1:37" x14ac:dyDescent="0.25">
      <c r="A857" t="str">
        <f t="shared" si="247"/>
        <v>new Match { MatchId= "</v>
      </c>
      <c r="B857" t="str">
        <f>Matchs!A859</f>
        <v>FIFAWC2018-21</v>
      </c>
      <c r="C857" t="str">
        <f t="shared" si="248"/>
        <v>",MatchNumer=</v>
      </c>
      <c r="D857">
        <f>Matchs!B859</f>
        <v>21</v>
      </c>
      <c r="E857" t="str">
        <f t="shared" si="249"/>
        <v>,DateMatch=DateTime.Parse("</v>
      </c>
      <c r="F857" s="3">
        <f>Matchs!C859</f>
        <v>43272</v>
      </c>
      <c r="G857" s="10" t="str">
        <f t="shared" si="250"/>
        <v>"),TimeMatch=TimeSpan.Parse("</v>
      </c>
      <c r="H857" s="9">
        <f>Matchs!D859</f>
        <v>0.91666666666666663</v>
      </c>
      <c r="I857" t="str">
        <f t="shared" si="251"/>
        <v>"),MatchYear=</v>
      </c>
      <c r="J857">
        <f>Matchs!E859</f>
        <v>2018</v>
      </c>
      <c r="K857" t="str">
        <f t="shared" si="252"/>
        <v>, SeasonId= "</v>
      </c>
      <c r="L857" t="str">
        <f>Matchs!F859</f>
        <v>FIFAWC2018</v>
      </c>
      <c r="M857" t="str">
        <f t="shared" si="253"/>
        <v>",Round= "</v>
      </c>
      <c r="N857" t="str">
        <f>Matchs!G859</f>
        <v>Final Round</v>
      </c>
      <c r="O857" s="6" t="str">
        <f t="shared" si="254"/>
        <v>",Stage= "</v>
      </c>
      <c r="P857" t="str">
        <f>Matchs!H859</f>
        <v>Group</v>
      </c>
      <c r="Q857" s="6" t="str">
        <f t="shared" si="255"/>
        <v>",SubStage= "</v>
      </c>
      <c r="R857" t="str">
        <f>Matchs!I859</f>
        <v>Group C</v>
      </c>
      <c r="S857" s="6" t="str">
        <f t="shared" si="256"/>
        <v>",HTeam= "</v>
      </c>
      <c r="T857" t="str">
        <f>Matchs!J859</f>
        <v>France</v>
      </c>
      <c r="U857" s="6" t="str">
        <f t="shared" si="257"/>
        <v>",HGoal=</v>
      </c>
      <c r="V857">
        <f>Matchs!K859</f>
        <v>1</v>
      </c>
      <c r="W857" s="6" t="str">
        <f t="shared" si="258"/>
        <v>,GGoal=</v>
      </c>
      <c r="X857">
        <f>Matchs!L859</f>
        <v>0</v>
      </c>
      <c r="Y857" s="6" t="str">
        <f t="shared" si="259"/>
        <v>,GTeam= "</v>
      </c>
      <c r="Z857" t="str">
        <f>Matchs!M859</f>
        <v>Peru</v>
      </c>
      <c r="AA857" s="6" t="str">
        <f t="shared" si="260"/>
        <v>",WinNote="</v>
      </c>
      <c r="AB857" t="str">
        <f>IF(Matchs!N858="","",Matchs!N858)</f>
        <v/>
      </c>
      <c r="AC857" s="6" t="str">
        <f t="shared" si="261"/>
        <v xml:space="preserve">",Stadium=" </v>
      </c>
      <c r="AD857" s="11" t="str">
        <f>Matchs!O858</f>
        <v>Samara Arena</v>
      </c>
      <c r="AE857" s="6" t="str">
        <f t="shared" si="262"/>
        <v>",Referee= "</v>
      </c>
      <c r="AF857" s="11">
        <f>Matchs!P858</f>
        <v>0</v>
      </c>
      <c r="AG857" s="6" t="str">
        <f t="shared" si="263"/>
        <v xml:space="preserve">",Visistors= </v>
      </c>
      <c r="AH857" s="11">
        <f>Matchs!Q858</f>
        <v>0</v>
      </c>
      <c r="AI857" s="11" t="str">
        <f t="shared" si="264"/>
        <v>,Status= "</v>
      </c>
      <c r="AJ857" s="11" t="str">
        <f>Matchs!R858</f>
        <v>Finished</v>
      </c>
      <c r="AK857" t="str">
        <f t="shared" si="265"/>
        <v>" },</v>
      </c>
    </row>
    <row r="858" spans="1:37" x14ac:dyDescent="0.25">
      <c r="A858" t="str">
        <f t="shared" si="247"/>
        <v>new Match { MatchId= "</v>
      </c>
      <c r="B858" t="str">
        <f>Matchs!A858</f>
        <v>FIFAWC2018-22</v>
      </c>
      <c r="C858" t="str">
        <f t="shared" si="248"/>
        <v>",MatchNumer=</v>
      </c>
      <c r="D858">
        <f>Matchs!B858</f>
        <v>22</v>
      </c>
      <c r="E858" t="str">
        <f t="shared" si="249"/>
        <v>,DateMatch=DateTime.Parse("</v>
      </c>
      <c r="F858" s="3">
        <f>Matchs!C858</f>
        <v>43272</v>
      </c>
      <c r="G858" s="10" t="str">
        <f t="shared" si="250"/>
        <v>"),TimeMatch=TimeSpan.Parse("</v>
      </c>
      <c r="H858" s="9">
        <f>Matchs!D858</f>
        <v>0.79166666666666663</v>
      </c>
      <c r="I858" t="str">
        <f t="shared" si="251"/>
        <v>"),MatchYear=</v>
      </c>
      <c r="J858">
        <f>Matchs!E858</f>
        <v>2018</v>
      </c>
      <c r="K858" t="str">
        <f t="shared" si="252"/>
        <v>, SeasonId= "</v>
      </c>
      <c r="L858" t="str">
        <f>Matchs!F858</f>
        <v>FIFAWC2018</v>
      </c>
      <c r="M858" t="str">
        <f t="shared" si="253"/>
        <v>",Round= "</v>
      </c>
      <c r="N858" t="str">
        <f>Matchs!G858</f>
        <v>Final Round</v>
      </c>
      <c r="O858" s="6" t="str">
        <f t="shared" si="254"/>
        <v>",Stage= "</v>
      </c>
      <c r="P858" t="str">
        <f>Matchs!H858</f>
        <v>Group</v>
      </c>
      <c r="Q858" s="6" t="str">
        <f t="shared" si="255"/>
        <v>",SubStage= "</v>
      </c>
      <c r="R858" t="str">
        <f>Matchs!I858</f>
        <v>Group C</v>
      </c>
      <c r="S858" s="6" t="str">
        <f t="shared" si="256"/>
        <v>",HTeam= "</v>
      </c>
      <c r="T858" t="str">
        <f>Matchs!J858</f>
        <v>Denmark</v>
      </c>
      <c r="U858" s="6" t="str">
        <f t="shared" si="257"/>
        <v>",HGoal=</v>
      </c>
      <c r="V858">
        <f>Matchs!K858</f>
        <v>1</v>
      </c>
      <c r="W858" s="6" t="str">
        <f t="shared" si="258"/>
        <v>,GGoal=</v>
      </c>
      <c r="X858">
        <f>Matchs!L858</f>
        <v>1</v>
      </c>
      <c r="Y858" s="6" t="str">
        <f t="shared" si="259"/>
        <v>,GTeam= "</v>
      </c>
      <c r="Z858" t="str">
        <f>Matchs!M858</f>
        <v>Australia</v>
      </c>
      <c r="AA858" s="6" t="str">
        <f t="shared" si="260"/>
        <v>",WinNote="</v>
      </c>
      <c r="AB858" t="str">
        <f>IF(Matchs!N859="","",Matchs!N859)</f>
        <v/>
      </c>
      <c r="AC858" s="6" t="str">
        <f t="shared" si="261"/>
        <v xml:space="preserve">",Stadium=" </v>
      </c>
      <c r="AD858" s="11" t="str">
        <f>Matchs!O859</f>
        <v>Samara Arena</v>
      </c>
      <c r="AE858" s="6" t="str">
        <f t="shared" si="262"/>
        <v>",Referee= "</v>
      </c>
      <c r="AF858" s="11">
        <f>Matchs!P859</f>
        <v>0</v>
      </c>
      <c r="AG858" s="6" t="str">
        <f t="shared" si="263"/>
        <v xml:space="preserve">",Visistors= </v>
      </c>
      <c r="AH858" s="11">
        <f>Matchs!Q859</f>
        <v>0</v>
      </c>
      <c r="AI858" s="11" t="str">
        <f t="shared" si="264"/>
        <v>,Status= "</v>
      </c>
      <c r="AJ858" s="11" t="str">
        <f>Matchs!R859</f>
        <v>Finished</v>
      </c>
      <c r="AK858" t="str">
        <f t="shared" si="265"/>
        <v>" },</v>
      </c>
    </row>
    <row r="859" spans="1:37" x14ac:dyDescent="0.25">
      <c r="A859" t="str">
        <f t="shared" si="247"/>
        <v>new Match { MatchId= "</v>
      </c>
      <c r="B859" t="str">
        <f>Matchs!A860</f>
        <v>FIFAWC2018-23</v>
      </c>
      <c r="C859" t="str">
        <f t="shared" si="248"/>
        <v>",MatchNumer=</v>
      </c>
      <c r="D859">
        <f>Matchs!B860</f>
        <v>23</v>
      </c>
      <c r="E859" t="str">
        <f t="shared" si="249"/>
        <v>,DateMatch=DateTime.Parse("</v>
      </c>
      <c r="F859" s="3">
        <f>Matchs!C860</f>
        <v>43273</v>
      </c>
      <c r="G859" s="10" t="str">
        <f t="shared" si="250"/>
        <v>"),TimeMatch=TimeSpan.Parse("</v>
      </c>
      <c r="H859" s="9">
        <f>Matchs!D860</f>
        <v>4.1666666666666664E-2</v>
      </c>
      <c r="I859" t="str">
        <f t="shared" si="251"/>
        <v>"),MatchYear=</v>
      </c>
      <c r="J859">
        <f>Matchs!E860</f>
        <v>2018</v>
      </c>
      <c r="K859" t="str">
        <f t="shared" si="252"/>
        <v>, SeasonId= "</v>
      </c>
      <c r="L859" t="str">
        <f>Matchs!F860</f>
        <v>FIFAWC2018</v>
      </c>
      <c r="M859" t="str">
        <f t="shared" si="253"/>
        <v>",Round= "</v>
      </c>
      <c r="N859" t="str">
        <f>Matchs!G860</f>
        <v>Final Round</v>
      </c>
      <c r="O859" s="6" t="str">
        <f t="shared" si="254"/>
        <v>",Stage= "</v>
      </c>
      <c r="P859" t="str">
        <f>Matchs!H860</f>
        <v>Group</v>
      </c>
      <c r="Q859" s="6" t="str">
        <f t="shared" si="255"/>
        <v>",SubStage= "</v>
      </c>
      <c r="R859" t="str">
        <f>Matchs!I860</f>
        <v>Group D</v>
      </c>
      <c r="S859" s="6" t="str">
        <f t="shared" si="256"/>
        <v>",HTeam= "</v>
      </c>
      <c r="T859" t="str">
        <f>Matchs!J860</f>
        <v>Argentina</v>
      </c>
      <c r="U859" s="6" t="str">
        <f t="shared" si="257"/>
        <v>",HGoal=</v>
      </c>
      <c r="V859">
        <f>Matchs!K860</f>
        <v>0</v>
      </c>
      <c r="W859" s="6" t="str">
        <f t="shared" si="258"/>
        <v>,GGoal=</v>
      </c>
      <c r="X859">
        <f>Matchs!L860</f>
        <v>3</v>
      </c>
      <c r="Y859" s="6" t="str">
        <f t="shared" si="259"/>
        <v>,GTeam= "</v>
      </c>
      <c r="Z859" t="str">
        <f>Matchs!M860</f>
        <v>Croatia</v>
      </c>
      <c r="AA859" s="6" t="str">
        <f t="shared" si="260"/>
        <v>",WinNote="</v>
      </c>
      <c r="AB859" t="str">
        <f>IF(Matchs!N860="","",Matchs!N860)</f>
        <v/>
      </c>
      <c r="AC859" s="6" t="str">
        <f t="shared" si="261"/>
        <v xml:space="preserve">",Stadium=" </v>
      </c>
      <c r="AD859" s="11" t="str">
        <f>Matchs!O860</f>
        <v>Nizhny Novgorod Stadium</v>
      </c>
      <c r="AE859" s="6" t="str">
        <f t="shared" si="262"/>
        <v>",Referee= "</v>
      </c>
      <c r="AF859" s="11">
        <f>Matchs!P860</f>
        <v>0</v>
      </c>
      <c r="AG859" s="6" t="str">
        <f t="shared" si="263"/>
        <v xml:space="preserve">",Visistors= </v>
      </c>
      <c r="AH859" s="11">
        <f>Matchs!Q860</f>
        <v>0</v>
      </c>
      <c r="AI859" s="11" t="str">
        <f t="shared" si="264"/>
        <v>,Status= "</v>
      </c>
      <c r="AJ859" s="11" t="str">
        <f>Matchs!R860</f>
        <v>Finished</v>
      </c>
      <c r="AK859" t="str">
        <f t="shared" si="265"/>
        <v>" },</v>
      </c>
    </row>
    <row r="860" spans="1:37" x14ac:dyDescent="0.25">
      <c r="A860" t="str">
        <f t="shared" si="247"/>
        <v>new Match { MatchId= "</v>
      </c>
      <c r="B860" t="str">
        <f>Matchs!A861</f>
        <v>FIFAWC2018-24</v>
      </c>
      <c r="C860" t="str">
        <f t="shared" si="248"/>
        <v>",MatchNumer=</v>
      </c>
      <c r="D860">
        <f>Matchs!B861</f>
        <v>24</v>
      </c>
      <c r="E860" t="str">
        <f t="shared" si="249"/>
        <v>,DateMatch=DateTime.Parse("</v>
      </c>
      <c r="F860" s="3">
        <f>Matchs!C861</f>
        <v>43273</v>
      </c>
      <c r="G860" s="10" t="str">
        <f t="shared" si="250"/>
        <v>"),TimeMatch=TimeSpan.Parse("</v>
      </c>
      <c r="H860" s="9">
        <f>Matchs!D861</f>
        <v>0.79166666666666663</v>
      </c>
      <c r="I860" t="str">
        <f t="shared" si="251"/>
        <v>"),MatchYear=</v>
      </c>
      <c r="J860">
        <f>Matchs!E861</f>
        <v>2018</v>
      </c>
      <c r="K860" t="str">
        <f t="shared" si="252"/>
        <v>, SeasonId= "</v>
      </c>
      <c r="L860" t="str">
        <f>Matchs!F861</f>
        <v>FIFAWC2018</v>
      </c>
      <c r="M860" t="str">
        <f t="shared" si="253"/>
        <v>",Round= "</v>
      </c>
      <c r="N860" t="str">
        <f>Matchs!G861</f>
        <v>Final Round</v>
      </c>
      <c r="O860" s="6" t="str">
        <f t="shared" si="254"/>
        <v>",Stage= "</v>
      </c>
      <c r="P860" t="str">
        <f>Matchs!H861</f>
        <v>Group</v>
      </c>
      <c r="Q860" s="6" t="str">
        <f t="shared" si="255"/>
        <v>",SubStage= "</v>
      </c>
      <c r="R860" t="str">
        <f>Matchs!I861</f>
        <v>Group D</v>
      </c>
      <c r="S860" s="6" t="str">
        <f t="shared" si="256"/>
        <v>",HTeam= "</v>
      </c>
      <c r="T860" t="str">
        <f>Matchs!J861</f>
        <v>Nigeria</v>
      </c>
      <c r="U860" s="6" t="str">
        <f t="shared" si="257"/>
        <v>",HGoal=</v>
      </c>
      <c r="V860">
        <f>Matchs!K861</f>
        <v>2</v>
      </c>
      <c r="W860" s="6" t="str">
        <f t="shared" si="258"/>
        <v>,GGoal=</v>
      </c>
      <c r="X860">
        <f>Matchs!L861</f>
        <v>0</v>
      </c>
      <c r="Y860" s="6" t="str">
        <f t="shared" si="259"/>
        <v>,GTeam= "</v>
      </c>
      <c r="Z860" t="str">
        <f>Matchs!M861</f>
        <v>Iceland</v>
      </c>
      <c r="AA860" s="6" t="str">
        <f t="shared" si="260"/>
        <v>",WinNote="</v>
      </c>
      <c r="AB860" t="str">
        <f>IF(Matchs!N861="","",Matchs!N861)</f>
        <v/>
      </c>
      <c r="AC860" s="6" t="str">
        <f t="shared" si="261"/>
        <v xml:space="preserve">",Stadium=" </v>
      </c>
      <c r="AD860" s="11" t="str">
        <f>Matchs!O861</f>
        <v>Samara Arena</v>
      </c>
      <c r="AE860" s="6" t="str">
        <f t="shared" si="262"/>
        <v>",Referee= "</v>
      </c>
      <c r="AF860" s="11">
        <f>Matchs!P861</f>
        <v>0</v>
      </c>
      <c r="AG860" s="6" t="str">
        <f t="shared" si="263"/>
        <v xml:space="preserve">",Visistors= </v>
      </c>
      <c r="AH860" s="11">
        <f>Matchs!Q861</f>
        <v>0</v>
      </c>
      <c r="AI860" s="11" t="str">
        <f t="shared" si="264"/>
        <v>,Status= "</v>
      </c>
      <c r="AJ860" s="11" t="str">
        <f>Matchs!R861</f>
        <v>Finished</v>
      </c>
      <c r="AK860" t="str">
        <f t="shared" si="265"/>
        <v>" },</v>
      </c>
    </row>
    <row r="861" spans="1:37" x14ac:dyDescent="0.25">
      <c r="A861" t="str">
        <f t="shared" si="247"/>
        <v>new Match { MatchId= "</v>
      </c>
      <c r="B861" t="str">
        <f>Matchs!A862</f>
        <v>FIFAWC2018-25</v>
      </c>
      <c r="C861" t="str">
        <f t="shared" si="248"/>
        <v>",MatchNumer=</v>
      </c>
      <c r="D861">
        <f>Matchs!B862</f>
        <v>25</v>
      </c>
      <c r="E861" t="str">
        <f t="shared" si="249"/>
        <v>,DateMatch=DateTime.Parse("</v>
      </c>
      <c r="F861" s="3">
        <f>Matchs!C862</f>
        <v>43273</v>
      </c>
      <c r="G861" s="10" t="str">
        <f t="shared" si="250"/>
        <v>"),TimeMatch=TimeSpan.Parse("</v>
      </c>
      <c r="H861" s="9">
        <f>Matchs!D862</f>
        <v>0.91666666666666663</v>
      </c>
      <c r="I861" t="str">
        <f t="shared" si="251"/>
        <v>"),MatchYear=</v>
      </c>
      <c r="J861">
        <f>Matchs!E862</f>
        <v>2018</v>
      </c>
      <c r="K861" t="str">
        <f t="shared" si="252"/>
        <v>, SeasonId= "</v>
      </c>
      <c r="L861" t="str">
        <f>Matchs!F862</f>
        <v>FIFAWC2018</v>
      </c>
      <c r="M861" t="str">
        <f t="shared" si="253"/>
        <v>",Round= "</v>
      </c>
      <c r="N861" t="str">
        <f>Matchs!G862</f>
        <v>Final Round</v>
      </c>
      <c r="O861" s="6" t="str">
        <f t="shared" si="254"/>
        <v>",Stage= "</v>
      </c>
      <c r="P861" t="str">
        <f>Matchs!H862</f>
        <v>Group</v>
      </c>
      <c r="Q861" s="6" t="str">
        <f t="shared" si="255"/>
        <v>",SubStage= "</v>
      </c>
      <c r="R861" t="str">
        <f>Matchs!I862</f>
        <v>Group E</v>
      </c>
      <c r="S861" s="6" t="str">
        <f t="shared" si="256"/>
        <v>",HTeam= "</v>
      </c>
      <c r="T861" t="str">
        <f>Matchs!J862</f>
        <v>Brazil</v>
      </c>
      <c r="U861" s="6" t="str">
        <f t="shared" si="257"/>
        <v>",HGoal=</v>
      </c>
      <c r="V861">
        <f>Matchs!K862</f>
        <v>2</v>
      </c>
      <c r="W861" s="6" t="str">
        <f t="shared" si="258"/>
        <v>,GGoal=</v>
      </c>
      <c r="X861">
        <f>Matchs!L862</f>
        <v>0</v>
      </c>
      <c r="Y861" s="6" t="str">
        <f t="shared" si="259"/>
        <v>,GTeam= "</v>
      </c>
      <c r="Z861" t="str">
        <f>Matchs!M862</f>
        <v>Costa Rica</v>
      </c>
      <c r="AA861" s="6" t="str">
        <f t="shared" si="260"/>
        <v>",WinNote="</v>
      </c>
      <c r="AB861" t="str">
        <f>IF(Matchs!N862="","",Matchs!N862)</f>
        <v/>
      </c>
      <c r="AC861" s="6" t="str">
        <f t="shared" si="261"/>
        <v xml:space="preserve">",Stadium=" </v>
      </c>
      <c r="AD861" s="11" t="str">
        <f>Matchs!O862</f>
        <v>Saint Petersburg Stadium</v>
      </c>
      <c r="AE861" s="6" t="str">
        <f t="shared" si="262"/>
        <v>",Referee= "</v>
      </c>
      <c r="AF861" s="11">
        <f>Matchs!P862</f>
        <v>0</v>
      </c>
      <c r="AG861" s="6" t="str">
        <f t="shared" si="263"/>
        <v xml:space="preserve">",Visistors= </v>
      </c>
      <c r="AH861" s="11">
        <f>Matchs!Q862</f>
        <v>0</v>
      </c>
      <c r="AI861" s="11" t="str">
        <f t="shared" si="264"/>
        <v>,Status= "</v>
      </c>
      <c r="AJ861" s="11" t="str">
        <f>Matchs!R862</f>
        <v>Finished</v>
      </c>
      <c r="AK861" t="str">
        <f t="shared" si="265"/>
        <v>" },</v>
      </c>
    </row>
    <row r="862" spans="1:37" x14ac:dyDescent="0.25">
      <c r="A862" t="str">
        <f t="shared" si="247"/>
        <v>new Match { MatchId= "</v>
      </c>
      <c r="B862" t="str">
        <f>Matchs!A863</f>
        <v>FIFAWC2018-26</v>
      </c>
      <c r="C862" t="str">
        <f t="shared" si="248"/>
        <v>",MatchNumer=</v>
      </c>
      <c r="D862">
        <f>Matchs!B863</f>
        <v>26</v>
      </c>
      <c r="E862" t="str">
        <f t="shared" si="249"/>
        <v>,DateMatch=DateTime.Parse("</v>
      </c>
      <c r="F862" s="3">
        <f>Matchs!C863</f>
        <v>43274</v>
      </c>
      <c r="G862" s="10" t="str">
        <f t="shared" si="250"/>
        <v>"),TimeMatch=TimeSpan.Parse("</v>
      </c>
      <c r="H862" s="9">
        <f>Matchs!D863</f>
        <v>4.1666666666666664E-2</v>
      </c>
      <c r="I862" t="str">
        <f t="shared" si="251"/>
        <v>"),MatchYear=</v>
      </c>
      <c r="J862">
        <f>Matchs!E863</f>
        <v>2018</v>
      </c>
      <c r="K862" t="str">
        <f t="shared" si="252"/>
        <v>, SeasonId= "</v>
      </c>
      <c r="L862" t="str">
        <f>Matchs!F863</f>
        <v>FIFAWC2018</v>
      </c>
      <c r="M862" t="str">
        <f t="shared" si="253"/>
        <v>",Round= "</v>
      </c>
      <c r="N862" t="str">
        <f>Matchs!G863</f>
        <v>Final Round</v>
      </c>
      <c r="O862" s="6" t="str">
        <f t="shared" si="254"/>
        <v>",Stage= "</v>
      </c>
      <c r="P862" t="str">
        <f>Matchs!H863</f>
        <v>Group</v>
      </c>
      <c r="Q862" s="6" t="str">
        <f t="shared" si="255"/>
        <v>",SubStage= "</v>
      </c>
      <c r="R862" t="str">
        <f>Matchs!I863</f>
        <v>Group E</v>
      </c>
      <c r="S862" s="6" t="str">
        <f t="shared" si="256"/>
        <v>",HTeam= "</v>
      </c>
      <c r="T862" t="str">
        <f>Matchs!J863</f>
        <v>Serbia</v>
      </c>
      <c r="U862" s="6" t="str">
        <f t="shared" si="257"/>
        <v>",HGoal=</v>
      </c>
      <c r="V862">
        <f>Matchs!K863</f>
        <v>1</v>
      </c>
      <c r="W862" s="6" t="str">
        <f t="shared" si="258"/>
        <v>,GGoal=</v>
      </c>
      <c r="X862">
        <f>Matchs!L863</f>
        <v>2</v>
      </c>
      <c r="Y862" s="6" t="str">
        <f t="shared" si="259"/>
        <v>,GTeam= "</v>
      </c>
      <c r="Z862" t="str">
        <f>Matchs!M863</f>
        <v>Switzerland</v>
      </c>
      <c r="AA862" s="6" t="str">
        <f t="shared" si="260"/>
        <v>",WinNote="</v>
      </c>
      <c r="AB862" t="str">
        <f>IF(Matchs!N863="","",Matchs!N863)</f>
        <v/>
      </c>
      <c r="AC862" s="6" t="str">
        <f t="shared" si="261"/>
        <v xml:space="preserve">",Stadium=" </v>
      </c>
      <c r="AD862" s="11" t="str">
        <f>Matchs!O863</f>
        <v>Kaliningrad Stadium</v>
      </c>
      <c r="AE862" s="6" t="str">
        <f t="shared" si="262"/>
        <v>",Referee= "</v>
      </c>
      <c r="AF862" s="11">
        <f>Matchs!P863</f>
        <v>0</v>
      </c>
      <c r="AG862" s="6" t="str">
        <f t="shared" si="263"/>
        <v xml:space="preserve">",Visistors= </v>
      </c>
      <c r="AH862" s="11">
        <f>Matchs!Q863</f>
        <v>0</v>
      </c>
      <c r="AI862" s="11" t="str">
        <f t="shared" si="264"/>
        <v>,Status= "</v>
      </c>
      <c r="AJ862" s="11" t="str">
        <f>Matchs!R863</f>
        <v>Finished</v>
      </c>
      <c r="AK862" t="str">
        <f t="shared" si="265"/>
        <v>" },</v>
      </c>
    </row>
    <row r="863" spans="1:37" x14ac:dyDescent="0.25">
      <c r="A863" t="str">
        <f t="shared" si="247"/>
        <v>new Match { MatchId= "</v>
      </c>
      <c r="B863" t="str">
        <f>Matchs!A866</f>
        <v>FIFAWC2018-27</v>
      </c>
      <c r="C863" t="str">
        <f t="shared" si="248"/>
        <v>",MatchNumer=</v>
      </c>
      <c r="D863">
        <f>Matchs!B866</f>
        <v>27</v>
      </c>
      <c r="E863" t="str">
        <f t="shared" si="249"/>
        <v>,DateMatch=DateTime.Parse("</v>
      </c>
      <c r="F863" s="3">
        <f>Matchs!C866</f>
        <v>43275</v>
      </c>
      <c r="G863" s="10" t="str">
        <f t="shared" si="250"/>
        <v>"),TimeMatch=TimeSpan.Parse("</v>
      </c>
      <c r="H863" s="9">
        <f>Matchs!D866</f>
        <v>4.1666666666666664E-2</v>
      </c>
      <c r="I863" t="str">
        <f t="shared" si="251"/>
        <v>"),MatchYear=</v>
      </c>
      <c r="J863">
        <f>Matchs!E866</f>
        <v>2018</v>
      </c>
      <c r="K863" t="str">
        <f t="shared" si="252"/>
        <v>, SeasonId= "</v>
      </c>
      <c r="L863" t="str">
        <f>Matchs!F866</f>
        <v>FIFAWC2018</v>
      </c>
      <c r="M863" t="str">
        <f t="shared" si="253"/>
        <v>",Round= "</v>
      </c>
      <c r="N863" t="str">
        <f>Matchs!G866</f>
        <v>Final Round</v>
      </c>
      <c r="O863" s="6" t="str">
        <f t="shared" si="254"/>
        <v>",Stage= "</v>
      </c>
      <c r="P863" t="str">
        <f>Matchs!H866</f>
        <v>Group</v>
      </c>
      <c r="Q863" s="6" t="str">
        <f t="shared" si="255"/>
        <v>",SubStage= "</v>
      </c>
      <c r="R863" t="str">
        <f>Matchs!I866</f>
        <v>Group F</v>
      </c>
      <c r="S863" s="6" t="str">
        <f t="shared" si="256"/>
        <v>",HTeam= "</v>
      </c>
      <c r="T863" t="str">
        <f>Matchs!J866</f>
        <v>Germany</v>
      </c>
      <c r="U863" s="6" t="str">
        <f t="shared" si="257"/>
        <v>",HGoal=</v>
      </c>
      <c r="V863">
        <f>Matchs!K866</f>
        <v>2</v>
      </c>
      <c r="W863" s="6" t="str">
        <f t="shared" si="258"/>
        <v>,GGoal=</v>
      </c>
      <c r="X863">
        <f>Matchs!L866</f>
        <v>1</v>
      </c>
      <c r="Y863" s="6" t="str">
        <f t="shared" si="259"/>
        <v>,GTeam= "</v>
      </c>
      <c r="Z863" t="str">
        <f>Matchs!M866</f>
        <v>Sweden</v>
      </c>
      <c r="AA863" s="6" t="str">
        <f t="shared" si="260"/>
        <v>",WinNote="</v>
      </c>
      <c r="AB863" t="str">
        <f>IF(Matchs!N864="","",Matchs!N864)</f>
        <v/>
      </c>
      <c r="AC863" s="6" t="str">
        <f t="shared" si="261"/>
        <v xml:space="preserve">",Stadium=" </v>
      </c>
      <c r="AD863" s="11" t="str">
        <f>Matchs!O864</f>
        <v>Spartak Stadium</v>
      </c>
      <c r="AE863" s="6" t="str">
        <f t="shared" si="262"/>
        <v>",Referee= "</v>
      </c>
      <c r="AF863" s="11">
        <f>Matchs!P864</f>
        <v>0</v>
      </c>
      <c r="AG863" s="6" t="str">
        <f t="shared" si="263"/>
        <v xml:space="preserve">",Visistors= </v>
      </c>
      <c r="AH863" s="11">
        <f>Matchs!Q864</f>
        <v>0</v>
      </c>
      <c r="AI863" s="11" t="str">
        <f t="shared" si="264"/>
        <v>,Status= "</v>
      </c>
      <c r="AJ863" s="11" t="str">
        <f>Matchs!R864</f>
        <v>Finished</v>
      </c>
      <c r="AK863" t="str">
        <f t="shared" si="265"/>
        <v>" },</v>
      </c>
    </row>
    <row r="864" spans="1:37" x14ac:dyDescent="0.25">
      <c r="A864" t="str">
        <f t="shared" si="247"/>
        <v>new Match { MatchId= "</v>
      </c>
      <c r="B864" t="str">
        <f>Matchs!A865</f>
        <v>FIFAWC2018-28</v>
      </c>
      <c r="C864" t="str">
        <f t="shared" si="248"/>
        <v>",MatchNumer=</v>
      </c>
      <c r="D864">
        <f>Matchs!B865</f>
        <v>28</v>
      </c>
      <c r="E864" t="str">
        <f t="shared" si="249"/>
        <v>,DateMatch=DateTime.Parse("</v>
      </c>
      <c r="F864" s="3">
        <f>Matchs!C865</f>
        <v>43274</v>
      </c>
      <c r="G864" s="10" t="str">
        <f t="shared" si="250"/>
        <v>"),TimeMatch=TimeSpan.Parse("</v>
      </c>
      <c r="H864" s="9">
        <f>Matchs!D865</f>
        <v>0.91666666666666663</v>
      </c>
      <c r="I864" t="str">
        <f t="shared" si="251"/>
        <v>"),MatchYear=</v>
      </c>
      <c r="J864">
        <f>Matchs!E865</f>
        <v>2018</v>
      </c>
      <c r="K864" t="str">
        <f t="shared" si="252"/>
        <v>, SeasonId= "</v>
      </c>
      <c r="L864" t="str">
        <f>Matchs!F865</f>
        <v>FIFAWC2018</v>
      </c>
      <c r="M864" t="str">
        <f t="shared" si="253"/>
        <v>",Round= "</v>
      </c>
      <c r="N864" t="str">
        <f>Matchs!G865</f>
        <v>Final Round</v>
      </c>
      <c r="O864" s="6" t="str">
        <f t="shared" si="254"/>
        <v>",Stage= "</v>
      </c>
      <c r="P864" t="str">
        <f>Matchs!H865</f>
        <v>Group</v>
      </c>
      <c r="Q864" s="6" t="str">
        <f t="shared" si="255"/>
        <v>",SubStage= "</v>
      </c>
      <c r="R864" t="str">
        <f>Matchs!I865</f>
        <v>Group F</v>
      </c>
      <c r="S864" s="6" t="str">
        <f t="shared" si="256"/>
        <v>",HTeam= "</v>
      </c>
      <c r="T864" t="str">
        <f>Matchs!J865</f>
        <v>Korea Republic</v>
      </c>
      <c r="U864" s="6" t="str">
        <f t="shared" si="257"/>
        <v>",HGoal=</v>
      </c>
      <c r="V864">
        <f>Matchs!K865</f>
        <v>1</v>
      </c>
      <c r="W864" s="6" t="str">
        <f t="shared" si="258"/>
        <v>,GGoal=</v>
      </c>
      <c r="X864">
        <f>Matchs!L865</f>
        <v>2</v>
      </c>
      <c r="Y864" s="6" t="str">
        <f t="shared" si="259"/>
        <v>,GTeam= "</v>
      </c>
      <c r="Z864" t="str">
        <f>Matchs!M865</f>
        <v>Mexico</v>
      </c>
      <c r="AA864" s="6" t="str">
        <f t="shared" si="260"/>
        <v>",WinNote="</v>
      </c>
      <c r="AB864" t="str">
        <f>IF(Matchs!N865="","",Matchs!N865)</f>
        <v/>
      </c>
      <c r="AC864" s="6" t="str">
        <f t="shared" si="261"/>
        <v xml:space="preserve">",Stadium=" </v>
      </c>
      <c r="AD864" s="11" t="str">
        <f>Matchs!O865</f>
        <v>Rostov Arena</v>
      </c>
      <c r="AE864" s="6" t="str">
        <f t="shared" si="262"/>
        <v>",Referee= "</v>
      </c>
      <c r="AF864" s="11">
        <f>Matchs!P865</f>
        <v>0</v>
      </c>
      <c r="AG864" s="6" t="str">
        <f t="shared" si="263"/>
        <v xml:space="preserve">",Visistors= </v>
      </c>
      <c r="AH864" s="11">
        <f>Matchs!Q865</f>
        <v>0</v>
      </c>
      <c r="AI864" s="11" t="str">
        <f t="shared" si="264"/>
        <v>,Status= "</v>
      </c>
      <c r="AJ864" s="11" t="str">
        <f>Matchs!R865</f>
        <v>Finished</v>
      </c>
      <c r="AK864" t="str">
        <f t="shared" si="265"/>
        <v>" },</v>
      </c>
    </row>
    <row r="865" spans="1:37" x14ac:dyDescent="0.25">
      <c r="A865" t="str">
        <f t="shared" si="247"/>
        <v>new Match { MatchId= "</v>
      </c>
      <c r="B865" t="str">
        <f>Matchs!A864</f>
        <v>FIFAWC2018-29</v>
      </c>
      <c r="C865" t="str">
        <f t="shared" si="248"/>
        <v>",MatchNumer=</v>
      </c>
      <c r="D865">
        <f>Matchs!B864</f>
        <v>29</v>
      </c>
      <c r="E865" t="str">
        <f t="shared" si="249"/>
        <v>,DateMatch=DateTime.Parse("</v>
      </c>
      <c r="F865" s="3">
        <f>Matchs!C864</f>
        <v>43274</v>
      </c>
      <c r="G865" s="10" t="str">
        <f t="shared" si="250"/>
        <v>"),TimeMatch=TimeSpan.Parse("</v>
      </c>
      <c r="H865" s="9">
        <f>Matchs!D864</f>
        <v>0.79166666666666663</v>
      </c>
      <c r="I865" t="str">
        <f t="shared" si="251"/>
        <v>"),MatchYear=</v>
      </c>
      <c r="J865">
        <f>Matchs!E864</f>
        <v>2018</v>
      </c>
      <c r="K865" t="str">
        <f t="shared" si="252"/>
        <v>, SeasonId= "</v>
      </c>
      <c r="L865" t="str">
        <f>Matchs!F864</f>
        <v>FIFAWC2018</v>
      </c>
      <c r="M865" t="str">
        <f t="shared" si="253"/>
        <v>",Round= "</v>
      </c>
      <c r="N865" t="str">
        <f>Matchs!G864</f>
        <v>Final Round</v>
      </c>
      <c r="O865" s="6" t="str">
        <f t="shared" si="254"/>
        <v>",Stage= "</v>
      </c>
      <c r="P865" t="str">
        <f>Matchs!H864</f>
        <v>Group</v>
      </c>
      <c r="Q865" s="6" t="str">
        <f t="shared" si="255"/>
        <v>",SubStage= "</v>
      </c>
      <c r="R865" t="str">
        <f>Matchs!I864</f>
        <v>Group G</v>
      </c>
      <c r="S865" s="6" t="str">
        <f t="shared" si="256"/>
        <v>",HTeam= "</v>
      </c>
      <c r="T865" t="str">
        <f>Matchs!J864</f>
        <v>Belgium</v>
      </c>
      <c r="U865" s="6" t="str">
        <f t="shared" si="257"/>
        <v>",HGoal=</v>
      </c>
      <c r="V865">
        <f>Matchs!K864</f>
        <v>5</v>
      </c>
      <c r="W865" s="6" t="str">
        <f t="shared" si="258"/>
        <v>,GGoal=</v>
      </c>
      <c r="X865">
        <f>Matchs!L864</f>
        <v>2</v>
      </c>
      <c r="Y865" s="6" t="str">
        <f t="shared" si="259"/>
        <v>,GTeam= "</v>
      </c>
      <c r="Z865" t="str">
        <f>Matchs!M864</f>
        <v>Tunisia</v>
      </c>
      <c r="AA865" s="6" t="str">
        <f t="shared" si="260"/>
        <v>",WinNote="</v>
      </c>
      <c r="AB865" t="str">
        <f>IF(Matchs!N866="","",Matchs!N866)</f>
        <v/>
      </c>
      <c r="AC865" s="6" t="str">
        <f t="shared" si="261"/>
        <v xml:space="preserve">",Stadium=" </v>
      </c>
      <c r="AD865" s="11" t="str">
        <f>Matchs!O866</f>
        <v>Fisht Stadium</v>
      </c>
      <c r="AE865" s="6" t="str">
        <f t="shared" si="262"/>
        <v>",Referee= "</v>
      </c>
      <c r="AF865" s="11">
        <f>Matchs!P866</f>
        <v>0</v>
      </c>
      <c r="AG865" s="6" t="str">
        <f t="shared" si="263"/>
        <v xml:space="preserve">",Visistors= </v>
      </c>
      <c r="AH865" s="11">
        <f>Matchs!Q866</f>
        <v>0</v>
      </c>
      <c r="AI865" s="11" t="str">
        <f t="shared" si="264"/>
        <v>,Status= "</v>
      </c>
      <c r="AJ865" s="11" t="str">
        <f>Matchs!R866</f>
        <v>Finished</v>
      </c>
      <c r="AK865" t="str">
        <f t="shared" si="265"/>
        <v>" },</v>
      </c>
    </row>
    <row r="866" spans="1:37" x14ac:dyDescent="0.25">
      <c r="A866" t="str">
        <f t="shared" si="247"/>
        <v>new Match { MatchId= "</v>
      </c>
      <c r="B866" t="str">
        <f>Matchs!A867</f>
        <v>FIFAWC2018-30</v>
      </c>
      <c r="C866" t="str">
        <f t="shared" si="248"/>
        <v>",MatchNumer=</v>
      </c>
      <c r="D866">
        <f>Matchs!B867</f>
        <v>30</v>
      </c>
      <c r="E866" t="str">
        <f t="shared" si="249"/>
        <v>,DateMatch=DateTime.Parse("</v>
      </c>
      <c r="F866" s="3">
        <f>Matchs!C867</f>
        <v>43275</v>
      </c>
      <c r="G866" s="10" t="str">
        <f t="shared" si="250"/>
        <v>"),TimeMatch=TimeSpan.Parse("</v>
      </c>
      <c r="H866" s="9">
        <f>Matchs!D867</f>
        <v>0.79166666666666663</v>
      </c>
      <c r="I866" t="str">
        <f t="shared" si="251"/>
        <v>"),MatchYear=</v>
      </c>
      <c r="J866">
        <f>Matchs!E867</f>
        <v>2018</v>
      </c>
      <c r="K866" t="str">
        <f t="shared" si="252"/>
        <v>, SeasonId= "</v>
      </c>
      <c r="L866" t="str">
        <f>Matchs!F867</f>
        <v>FIFAWC2018</v>
      </c>
      <c r="M866" t="str">
        <f t="shared" si="253"/>
        <v>",Round= "</v>
      </c>
      <c r="N866" t="str">
        <f>Matchs!G867</f>
        <v>Final Round</v>
      </c>
      <c r="O866" s="6" t="str">
        <f t="shared" si="254"/>
        <v>",Stage= "</v>
      </c>
      <c r="P866" t="str">
        <f>Matchs!H867</f>
        <v>Group</v>
      </c>
      <c r="Q866" s="6" t="str">
        <f t="shared" si="255"/>
        <v>",SubStage= "</v>
      </c>
      <c r="R866" t="str">
        <f>Matchs!I867</f>
        <v>Group G</v>
      </c>
      <c r="S866" s="6" t="str">
        <f t="shared" si="256"/>
        <v>",HTeam= "</v>
      </c>
      <c r="T866" t="str">
        <f>Matchs!J867</f>
        <v>England</v>
      </c>
      <c r="U866" s="6" t="str">
        <f t="shared" si="257"/>
        <v>",HGoal=</v>
      </c>
      <c r="V866">
        <f>Matchs!K867</f>
        <v>6</v>
      </c>
      <c r="W866" s="6" t="str">
        <f t="shared" si="258"/>
        <v>,GGoal=</v>
      </c>
      <c r="X866">
        <f>Matchs!L867</f>
        <v>1</v>
      </c>
      <c r="Y866" s="6" t="str">
        <f t="shared" si="259"/>
        <v>,GTeam= "</v>
      </c>
      <c r="Z866" t="str">
        <f>Matchs!M867</f>
        <v>Panama</v>
      </c>
      <c r="AA866" s="6" t="str">
        <f t="shared" si="260"/>
        <v>",WinNote="</v>
      </c>
      <c r="AB866" t="str">
        <f>IF(Matchs!N867="","",Matchs!N867)</f>
        <v/>
      </c>
      <c r="AC866" s="6" t="str">
        <f t="shared" si="261"/>
        <v xml:space="preserve">",Stadium=" </v>
      </c>
      <c r="AD866" s="11" t="str">
        <f>Matchs!O867</f>
        <v>Nizhny Novgorod Stadium</v>
      </c>
      <c r="AE866" s="6" t="str">
        <f t="shared" si="262"/>
        <v>",Referee= "</v>
      </c>
      <c r="AF866" s="11">
        <f>Matchs!P867</f>
        <v>0</v>
      </c>
      <c r="AG866" s="6" t="str">
        <f t="shared" si="263"/>
        <v xml:space="preserve">",Visistors= </v>
      </c>
      <c r="AH866" s="11">
        <f>Matchs!Q867</f>
        <v>0</v>
      </c>
      <c r="AI866" s="11" t="str">
        <f t="shared" si="264"/>
        <v>,Status= "</v>
      </c>
      <c r="AJ866" s="11" t="str">
        <f>Matchs!R867</f>
        <v>Finished</v>
      </c>
      <c r="AK866" t="str">
        <f t="shared" si="265"/>
        <v>" },</v>
      </c>
    </row>
    <row r="867" spans="1:37" x14ac:dyDescent="0.25">
      <c r="A867" t="str">
        <f t="shared" si="247"/>
        <v>new Match { MatchId= "</v>
      </c>
      <c r="B867" t="str">
        <f>Matchs!A869</f>
        <v>FIFAWC2018-31</v>
      </c>
      <c r="C867" t="str">
        <f t="shared" si="248"/>
        <v>",MatchNumer=</v>
      </c>
      <c r="D867">
        <f>Matchs!B869</f>
        <v>31</v>
      </c>
      <c r="E867" t="str">
        <f t="shared" si="249"/>
        <v>,DateMatch=DateTime.Parse("</v>
      </c>
      <c r="F867" s="3">
        <f>Matchs!C869</f>
        <v>43275</v>
      </c>
      <c r="G867" s="10" t="str">
        <f t="shared" si="250"/>
        <v>"),TimeMatch=TimeSpan.Parse("</v>
      </c>
      <c r="H867" s="9">
        <f>Matchs!D869</f>
        <v>4.1666666666666664E-2</v>
      </c>
      <c r="I867" t="str">
        <f t="shared" si="251"/>
        <v>"),MatchYear=</v>
      </c>
      <c r="J867">
        <f>Matchs!E869</f>
        <v>2018</v>
      </c>
      <c r="K867" t="str">
        <f t="shared" si="252"/>
        <v>, SeasonId= "</v>
      </c>
      <c r="L867" t="str">
        <f>Matchs!F869</f>
        <v>FIFAWC2018</v>
      </c>
      <c r="M867" t="str">
        <f t="shared" si="253"/>
        <v>",Round= "</v>
      </c>
      <c r="N867" t="str">
        <f>Matchs!G869</f>
        <v>Final Round</v>
      </c>
      <c r="O867" s="6" t="str">
        <f t="shared" si="254"/>
        <v>",Stage= "</v>
      </c>
      <c r="P867" t="str">
        <f>Matchs!H869</f>
        <v>Group</v>
      </c>
      <c r="Q867" s="6" t="str">
        <f t="shared" si="255"/>
        <v>",SubStage= "</v>
      </c>
      <c r="R867" t="str">
        <f>Matchs!I869</f>
        <v>Group H</v>
      </c>
      <c r="S867" s="6" t="str">
        <f t="shared" si="256"/>
        <v>",HTeam= "</v>
      </c>
      <c r="T867" t="str">
        <f>Matchs!J869</f>
        <v>Poland</v>
      </c>
      <c r="U867" s="6" t="str">
        <f t="shared" si="257"/>
        <v>",HGoal=</v>
      </c>
      <c r="V867">
        <f>Matchs!K869</f>
        <v>0</v>
      </c>
      <c r="W867" s="6" t="str">
        <f t="shared" si="258"/>
        <v>,GGoal=</v>
      </c>
      <c r="X867">
        <f>Matchs!L869</f>
        <v>3</v>
      </c>
      <c r="Y867" s="6" t="str">
        <f t="shared" si="259"/>
        <v>,GTeam= "</v>
      </c>
      <c r="Z867" t="str">
        <f>Matchs!M869</f>
        <v>Colombia</v>
      </c>
      <c r="AA867" s="6" t="str">
        <f t="shared" si="260"/>
        <v>",WinNote="</v>
      </c>
      <c r="AB867" t="str">
        <f>IF(Matchs!N868="","",Matchs!N868)</f>
        <v/>
      </c>
      <c r="AC867" s="6" t="str">
        <f t="shared" si="261"/>
        <v xml:space="preserve">",Stadium=" </v>
      </c>
      <c r="AD867" s="11" t="str">
        <f>Matchs!O868</f>
        <v>Ekaterinburg Arena</v>
      </c>
      <c r="AE867" s="6" t="str">
        <f t="shared" si="262"/>
        <v>",Referee= "</v>
      </c>
      <c r="AF867" s="11">
        <f>Matchs!P868</f>
        <v>0</v>
      </c>
      <c r="AG867" s="6" t="str">
        <f t="shared" si="263"/>
        <v xml:space="preserve">",Visistors= </v>
      </c>
      <c r="AH867" s="11">
        <f>Matchs!Q868</f>
        <v>0</v>
      </c>
      <c r="AI867" s="11" t="str">
        <f t="shared" si="264"/>
        <v>,Status= "</v>
      </c>
      <c r="AJ867" s="11" t="str">
        <f>Matchs!R868</f>
        <v>Finished</v>
      </c>
      <c r="AK867" t="str">
        <f t="shared" si="265"/>
        <v>" },</v>
      </c>
    </row>
    <row r="868" spans="1:37" x14ac:dyDescent="0.25">
      <c r="A868" t="str">
        <f t="shared" si="247"/>
        <v>new Match { MatchId= "</v>
      </c>
      <c r="B868" t="str">
        <f>Matchs!A868</f>
        <v>FIFAWC2018-32</v>
      </c>
      <c r="C868" t="str">
        <f t="shared" si="248"/>
        <v>",MatchNumer=</v>
      </c>
      <c r="D868">
        <f>Matchs!B868</f>
        <v>32</v>
      </c>
      <c r="E868" t="str">
        <f t="shared" si="249"/>
        <v>,DateMatch=DateTime.Parse("</v>
      </c>
      <c r="F868" s="3">
        <f>Matchs!C868</f>
        <v>43275</v>
      </c>
      <c r="G868" s="10" t="str">
        <f t="shared" si="250"/>
        <v>"),TimeMatch=TimeSpan.Parse("</v>
      </c>
      <c r="H868" s="9">
        <f>Matchs!D868</f>
        <v>0.91666666666666663</v>
      </c>
      <c r="I868" t="str">
        <f t="shared" si="251"/>
        <v>"),MatchYear=</v>
      </c>
      <c r="J868">
        <f>Matchs!E868</f>
        <v>2018</v>
      </c>
      <c r="K868" t="str">
        <f t="shared" si="252"/>
        <v>, SeasonId= "</v>
      </c>
      <c r="L868" t="str">
        <f>Matchs!F868</f>
        <v>FIFAWC2018</v>
      </c>
      <c r="M868" t="str">
        <f t="shared" si="253"/>
        <v>",Round= "</v>
      </c>
      <c r="N868" t="str">
        <f>Matchs!G868</f>
        <v>Final Round</v>
      </c>
      <c r="O868" s="6" t="str">
        <f t="shared" si="254"/>
        <v>",Stage= "</v>
      </c>
      <c r="P868" t="str">
        <f>Matchs!H868</f>
        <v>Group</v>
      </c>
      <c r="Q868" s="6" t="str">
        <f t="shared" si="255"/>
        <v>",SubStage= "</v>
      </c>
      <c r="R868" t="str">
        <f>Matchs!I868</f>
        <v>Group H</v>
      </c>
      <c r="S868" s="6" t="str">
        <f t="shared" si="256"/>
        <v>",HTeam= "</v>
      </c>
      <c r="T868" t="str">
        <f>Matchs!J868</f>
        <v>Japan</v>
      </c>
      <c r="U868" s="6" t="str">
        <f t="shared" si="257"/>
        <v>",HGoal=</v>
      </c>
      <c r="V868">
        <f>Matchs!K868</f>
        <v>2</v>
      </c>
      <c r="W868" s="6" t="str">
        <f t="shared" si="258"/>
        <v>,GGoal=</v>
      </c>
      <c r="X868">
        <f>Matchs!L868</f>
        <v>2</v>
      </c>
      <c r="Y868" s="6" t="str">
        <f t="shared" si="259"/>
        <v>,GTeam= "</v>
      </c>
      <c r="Z868" t="str">
        <f>Matchs!M868</f>
        <v>Senegal</v>
      </c>
      <c r="AA868" s="6" t="str">
        <f t="shared" si="260"/>
        <v>",WinNote="</v>
      </c>
      <c r="AB868" t="str">
        <f>IF(Matchs!N869="","",Matchs!N869)</f>
        <v/>
      </c>
      <c r="AC868" s="6" t="str">
        <f t="shared" si="261"/>
        <v xml:space="preserve">",Stadium=" </v>
      </c>
      <c r="AD868" s="11" t="str">
        <f>Matchs!O869</f>
        <v>Kazan Arena</v>
      </c>
      <c r="AE868" s="6" t="str">
        <f t="shared" si="262"/>
        <v>",Referee= "</v>
      </c>
      <c r="AF868" s="11">
        <f>Matchs!P869</f>
        <v>0</v>
      </c>
      <c r="AG868" s="6" t="str">
        <f t="shared" si="263"/>
        <v xml:space="preserve">",Visistors= </v>
      </c>
      <c r="AH868" s="11">
        <f>Matchs!Q869</f>
        <v>0</v>
      </c>
      <c r="AI868" s="11" t="str">
        <f t="shared" si="264"/>
        <v>,Status= "</v>
      </c>
      <c r="AJ868" s="11" t="str">
        <f>Matchs!R869</f>
        <v>Finished</v>
      </c>
      <c r="AK868" t="str">
        <f t="shared" si="265"/>
        <v>" },</v>
      </c>
    </row>
    <row r="869" spans="1:37" x14ac:dyDescent="0.25">
      <c r="A869" t="str">
        <f t="shared" si="247"/>
        <v>new Match { MatchId= "</v>
      </c>
      <c r="B869" t="str">
        <f>Matchs!A870</f>
        <v>FIFAWC2018-33</v>
      </c>
      <c r="C869" t="str">
        <f t="shared" si="248"/>
        <v>",MatchNumer=</v>
      </c>
      <c r="D869">
        <f>Matchs!B870</f>
        <v>33</v>
      </c>
      <c r="E869" t="str">
        <f t="shared" si="249"/>
        <v>,DateMatch=DateTime.Parse("</v>
      </c>
      <c r="F869" s="3">
        <f>Matchs!C870</f>
        <v>43276</v>
      </c>
      <c r="G869" s="10" t="str">
        <f t="shared" si="250"/>
        <v>"),TimeMatch=TimeSpan.Parse("</v>
      </c>
      <c r="H869" s="9">
        <f>Matchs!D870</f>
        <v>0.79166666666666663</v>
      </c>
      <c r="I869" t="str">
        <f t="shared" si="251"/>
        <v>"),MatchYear=</v>
      </c>
      <c r="J869">
        <f>Matchs!E870</f>
        <v>2018</v>
      </c>
      <c r="K869" t="str">
        <f t="shared" si="252"/>
        <v>, SeasonId= "</v>
      </c>
      <c r="L869" t="str">
        <f>Matchs!F870</f>
        <v>FIFAWC2018</v>
      </c>
      <c r="M869" t="str">
        <f t="shared" si="253"/>
        <v>",Round= "</v>
      </c>
      <c r="N869" t="str">
        <f>Matchs!G870</f>
        <v>Final Round</v>
      </c>
      <c r="O869" s="6" t="str">
        <f t="shared" si="254"/>
        <v>",Stage= "</v>
      </c>
      <c r="P869" t="str">
        <f>Matchs!H870</f>
        <v>Group</v>
      </c>
      <c r="Q869" s="6" t="str">
        <f t="shared" si="255"/>
        <v>",SubStage= "</v>
      </c>
      <c r="R869" t="str">
        <f>Matchs!I870</f>
        <v>Group A</v>
      </c>
      <c r="S869" s="6" t="str">
        <f t="shared" si="256"/>
        <v>",HTeam= "</v>
      </c>
      <c r="T869" t="str">
        <f>Matchs!J870</f>
        <v>Uruguay</v>
      </c>
      <c r="U869" s="6" t="str">
        <f t="shared" si="257"/>
        <v>",HGoal=</v>
      </c>
      <c r="V869">
        <f>Matchs!K870</f>
        <v>3</v>
      </c>
      <c r="W869" s="6" t="str">
        <f t="shared" si="258"/>
        <v>,GGoal=</v>
      </c>
      <c r="X869">
        <f>Matchs!L870</f>
        <v>0</v>
      </c>
      <c r="Y869" s="6" t="str">
        <f t="shared" si="259"/>
        <v>,GTeam= "</v>
      </c>
      <c r="Z869" t="str">
        <f>Matchs!M870</f>
        <v>Russia</v>
      </c>
      <c r="AA869" s="6" t="str">
        <f t="shared" si="260"/>
        <v>",WinNote="</v>
      </c>
      <c r="AB869" t="str">
        <f>IF(Matchs!N870="","",Matchs!N870)</f>
        <v/>
      </c>
      <c r="AC869" s="6" t="str">
        <f t="shared" si="261"/>
        <v xml:space="preserve">",Stadium=" </v>
      </c>
      <c r="AD869" s="11" t="str">
        <f>Matchs!O870</f>
        <v>Samara Arena</v>
      </c>
      <c r="AE869" s="6" t="str">
        <f t="shared" si="262"/>
        <v>",Referee= "</v>
      </c>
      <c r="AF869" s="11">
        <f>Matchs!P870</f>
        <v>0</v>
      </c>
      <c r="AG869" s="6" t="str">
        <f t="shared" si="263"/>
        <v xml:space="preserve">",Visistors= </v>
      </c>
      <c r="AH869" s="11">
        <f>Matchs!Q870</f>
        <v>0</v>
      </c>
      <c r="AI869" s="11" t="str">
        <f t="shared" si="264"/>
        <v>,Status= "</v>
      </c>
      <c r="AJ869" s="11" t="str">
        <f>Matchs!R870</f>
        <v>Finished</v>
      </c>
      <c r="AK869" t="str">
        <f t="shared" si="265"/>
        <v>" },</v>
      </c>
    </row>
    <row r="870" spans="1:37" x14ac:dyDescent="0.25">
      <c r="A870" t="str">
        <f t="shared" si="247"/>
        <v>new Match { MatchId= "</v>
      </c>
      <c r="B870" t="str">
        <f>Matchs!A871</f>
        <v>FIFAWC2018-34</v>
      </c>
      <c r="C870" t="str">
        <f t="shared" si="248"/>
        <v>",MatchNumer=</v>
      </c>
      <c r="D870">
        <f>Matchs!B871</f>
        <v>34</v>
      </c>
      <c r="E870" t="str">
        <f t="shared" si="249"/>
        <v>,DateMatch=DateTime.Parse("</v>
      </c>
      <c r="F870" s="3">
        <f>Matchs!C871</f>
        <v>43276</v>
      </c>
      <c r="G870" s="10" t="str">
        <f t="shared" si="250"/>
        <v>"),TimeMatch=TimeSpan.Parse("</v>
      </c>
      <c r="H870" s="9">
        <f>Matchs!D871</f>
        <v>0.91666666666666663</v>
      </c>
      <c r="I870" t="str">
        <f t="shared" si="251"/>
        <v>"),MatchYear=</v>
      </c>
      <c r="J870">
        <f>Matchs!E871</f>
        <v>2018</v>
      </c>
      <c r="K870" t="str">
        <f t="shared" si="252"/>
        <v>, SeasonId= "</v>
      </c>
      <c r="L870" t="str">
        <f>Matchs!F871</f>
        <v>FIFAWC2018</v>
      </c>
      <c r="M870" t="str">
        <f t="shared" si="253"/>
        <v>",Round= "</v>
      </c>
      <c r="N870" t="str">
        <f>Matchs!G871</f>
        <v>Final Round</v>
      </c>
      <c r="O870" s="6" t="str">
        <f t="shared" si="254"/>
        <v>",Stage= "</v>
      </c>
      <c r="P870" t="str">
        <f>Matchs!H871</f>
        <v>Group</v>
      </c>
      <c r="Q870" s="6" t="str">
        <f t="shared" si="255"/>
        <v>",SubStage= "</v>
      </c>
      <c r="R870" t="str">
        <f>Matchs!I871</f>
        <v>Group A</v>
      </c>
      <c r="S870" s="6" t="str">
        <f t="shared" si="256"/>
        <v>",HTeam= "</v>
      </c>
      <c r="T870" t="str">
        <f>Matchs!J871</f>
        <v>Saudi Arabia</v>
      </c>
      <c r="U870" s="6" t="str">
        <f t="shared" si="257"/>
        <v>",HGoal=</v>
      </c>
      <c r="V870">
        <f>Matchs!K871</f>
        <v>2</v>
      </c>
      <c r="W870" s="6" t="str">
        <f t="shared" si="258"/>
        <v>,GGoal=</v>
      </c>
      <c r="X870">
        <f>Matchs!L871</f>
        <v>1</v>
      </c>
      <c r="Y870" s="6" t="str">
        <f t="shared" si="259"/>
        <v>,GTeam= "</v>
      </c>
      <c r="Z870" t="str">
        <f>Matchs!M871</f>
        <v>Egypt</v>
      </c>
      <c r="AA870" s="6" t="str">
        <f t="shared" si="260"/>
        <v>",WinNote="</v>
      </c>
      <c r="AB870" t="str">
        <f>IF(Matchs!N871="","",Matchs!N871)</f>
        <v/>
      </c>
      <c r="AC870" s="6" t="str">
        <f t="shared" si="261"/>
        <v xml:space="preserve">",Stadium=" </v>
      </c>
      <c r="AD870" s="11" t="str">
        <f>Matchs!O871</f>
        <v>Volgograd Arena</v>
      </c>
      <c r="AE870" s="6" t="str">
        <f t="shared" si="262"/>
        <v>",Referee= "</v>
      </c>
      <c r="AF870" s="11">
        <f>Matchs!P871</f>
        <v>0</v>
      </c>
      <c r="AG870" s="6" t="str">
        <f t="shared" si="263"/>
        <v xml:space="preserve">",Visistors= </v>
      </c>
      <c r="AH870" s="11">
        <f>Matchs!Q871</f>
        <v>0</v>
      </c>
      <c r="AI870" s="11" t="str">
        <f t="shared" si="264"/>
        <v>,Status= "</v>
      </c>
      <c r="AJ870" s="11" t="str">
        <f>Matchs!R871</f>
        <v>Finished</v>
      </c>
      <c r="AK870" t="str">
        <f t="shared" si="265"/>
        <v>" },</v>
      </c>
    </row>
    <row r="871" spans="1:37" x14ac:dyDescent="0.25">
      <c r="A871" t="str">
        <f t="shared" si="247"/>
        <v>new Match { MatchId= "</v>
      </c>
      <c r="B871" t="str">
        <f>Matchs!A873</f>
        <v>FIFAWC2018-35</v>
      </c>
      <c r="C871" t="str">
        <f t="shared" si="248"/>
        <v>",MatchNumer=</v>
      </c>
      <c r="D871">
        <f>Matchs!B873</f>
        <v>35</v>
      </c>
      <c r="E871" t="str">
        <f t="shared" si="249"/>
        <v>,DateMatch=DateTime.Parse("</v>
      </c>
      <c r="F871" s="3">
        <f>Matchs!C873</f>
        <v>43277</v>
      </c>
      <c r="G871" s="10" t="str">
        <f t="shared" si="250"/>
        <v>"),TimeMatch=TimeSpan.Parse("</v>
      </c>
      <c r="H871" s="9">
        <f>Matchs!D873</f>
        <v>4.1666666666666664E-2</v>
      </c>
      <c r="I871" t="str">
        <f t="shared" si="251"/>
        <v>"),MatchYear=</v>
      </c>
      <c r="J871">
        <f>Matchs!E873</f>
        <v>2018</v>
      </c>
      <c r="K871" t="str">
        <f t="shared" si="252"/>
        <v>, SeasonId= "</v>
      </c>
      <c r="L871" t="str">
        <f>Matchs!F873</f>
        <v>FIFAWC2018</v>
      </c>
      <c r="M871" t="str">
        <f t="shared" si="253"/>
        <v>",Round= "</v>
      </c>
      <c r="N871" t="str">
        <f>Matchs!G873</f>
        <v>Final Round</v>
      </c>
      <c r="O871" s="6" t="str">
        <f t="shared" si="254"/>
        <v>",Stage= "</v>
      </c>
      <c r="P871" t="str">
        <f>Matchs!H873</f>
        <v>Group</v>
      </c>
      <c r="Q871" s="6" t="str">
        <f t="shared" si="255"/>
        <v>",SubStage= "</v>
      </c>
      <c r="R871" t="str">
        <f>Matchs!I873</f>
        <v>Group B</v>
      </c>
      <c r="S871" s="6" t="str">
        <f t="shared" si="256"/>
        <v>",HTeam= "</v>
      </c>
      <c r="T871" t="str">
        <f>Matchs!J873</f>
        <v>Iran</v>
      </c>
      <c r="U871" s="6" t="str">
        <f t="shared" si="257"/>
        <v>",HGoal=</v>
      </c>
      <c r="V871">
        <f>Matchs!K873</f>
        <v>1</v>
      </c>
      <c r="W871" s="6" t="str">
        <f t="shared" si="258"/>
        <v>,GGoal=</v>
      </c>
      <c r="X871">
        <f>Matchs!L873</f>
        <v>1</v>
      </c>
      <c r="Y871" s="6" t="str">
        <f t="shared" si="259"/>
        <v>,GTeam= "</v>
      </c>
      <c r="Z871" t="str">
        <f>Matchs!M873</f>
        <v>Portugal</v>
      </c>
      <c r="AA871" s="6" t="str">
        <f t="shared" si="260"/>
        <v>",WinNote="</v>
      </c>
      <c r="AB871" t="str">
        <f>IF(Matchs!N872="","",Matchs!N872)</f>
        <v/>
      </c>
      <c r="AC871" s="6" t="str">
        <f t="shared" si="261"/>
        <v xml:space="preserve">",Stadium=" </v>
      </c>
      <c r="AD871" s="11" t="str">
        <f>Matchs!O872</f>
        <v>Kaliningrad Stadium</v>
      </c>
      <c r="AE871" s="6" t="str">
        <f t="shared" si="262"/>
        <v>",Referee= "</v>
      </c>
      <c r="AF871" s="11">
        <f>Matchs!P872</f>
        <v>0</v>
      </c>
      <c r="AG871" s="6" t="str">
        <f t="shared" si="263"/>
        <v xml:space="preserve">",Visistors= </v>
      </c>
      <c r="AH871" s="11">
        <f>Matchs!Q872</f>
        <v>0</v>
      </c>
      <c r="AI871" s="11" t="str">
        <f t="shared" si="264"/>
        <v>,Status= "</v>
      </c>
      <c r="AJ871" s="11" t="str">
        <f>Matchs!R872</f>
        <v>Finished</v>
      </c>
      <c r="AK871" t="str">
        <f t="shared" si="265"/>
        <v>" },</v>
      </c>
    </row>
    <row r="872" spans="1:37" x14ac:dyDescent="0.25">
      <c r="A872" t="str">
        <f t="shared" si="247"/>
        <v>new Match { MatchId= "</v>
      </c>
      <c r="B872" t="str">
        <f>Matchs!A872</f>
        <v>FIFAWC2018-36</v>
      </c>
      <c r="C872" t="str">
        <f t="shared" si="248"/>
        <v>",MatchNumer=</v>
      </c>
      <c r="D872">
        <f>Matchs!B872</f>
        <v>36</v>
      </c>
      <c r="E872" t="str">
        <f t="shared" si="249"/>
        <v>,DateMatch=DateTime.Parse("</v>
      </c>
      <c r="F872" s="3">
        <f>Matchs!C872</f>
        <v>43277</v>
      </c>
      <c r="G872" s="10" t="str">
        <f t="shared" si="250"/>
        <v>"),TimeMatch=TimeSpan.Parse("</v>
      </c>
      <c r="H872" s="9">
        <f>Matchs!D872</f>
        <v>4.1666666666666664E-2</v>
      </c>
      <c r="I872" t="str">
        <f t="shared" si="251"/>
        <v>"),MatchYear=</v>
      </c>
      <c r="J872">
        <f>Matchs!E872</f>
        <v>2018</v>
      </c>
      <c r="K872" t="str">
        <f t="shared" si="252"/>
        <v>, SeasonId= "</v>
      </c>
      <c r="L872" t="str">
        <f>Matchs!F872</f>
        <v>FIFAWC2018</v>
      </c>
      <c r="M872" t="str">
        <f t="shared" si="253"/>
        <v>",Round= "</v>
      </c>
      <c r="N872" t="str">
        <f>Matchs!G872</f>
        <v>Final Round</v>
      </c>
      <c r="O872" s="6" t="str">
        <f t="shared" si="254"/>
        <v>",Stage= "</v>
      </c>
      <c r="P872" t="str">
        <f>Matchs!H872</f>
        <v>Group</v>
      </c>
      <c r="Q872" s="6" t="str">
        <f t="shared" si="255"/>
        <v>",SubStage= "</v>
      </c>
      <c r="R872" t="str">
        <f>Matchs!I872</f>
        <v>Group B</v>
      </c>
      <c r="S872" s="6" t="str">
        <f t="shared" si="256"/>
        <v>",HTeam= "</v>
      </c>
      <c r="T872" t="str">
        <f>Matchs!J872</f>
        <v>Spain</v>
      </c>
      <c r="U872" s="6" t="str">
        <f t="shared" si="257"/>
        <v>",HGoal=</v>
      </c>
      <c r="V872">
        <f>Matchs!K872</f>
        <v>2</v>
      </c>
      <c r="W872" s="6" t="str">
        <f t="shared" si="258"/>
        <v>,GGoal=</v>
      </c>
      <c r="X872">
        <f>Matchs!L872</f>
        <v>2</v>
      </c>
      <c r="Y872" s="6" t="str">
        <f t="shared" si="259"/>
        <v>,GTeam= "</v>
      </c>
      <c r="Z872" t="str">
        <f>Matchs!M872</f>
        <v>Morocco</v>
      </c>
      <c r="AA872" s="6" t="str">
        <f t="shared" si="260"/>
        <v>",WinNote="</v>
      </c>
      <c r="AB872" t="str">
        <f>IF(Matchs!N873="","",Matchs!N873)</f>
        <v/>
      </c>
      <c r="AC872" s="6" t="str">
        <f t="shared" si="261"/>
        <v xml:space="preserve">",Stadium=" </v>
      </c>
      <c r="AD872" s="11" t="str">
        <f>Matchs!O873</f>
        <v>Mordovia Arena</v>
      </c>
      <c r="AE872" s="6" t="str">
        <f t="shared" si="262"/>
        <v>",Referee= "</v>
      </c>
      <c r="AF872" s="11">
        <f>Matchs!P873</f>
        <v>0</v>
      </c>
      <c r="AG872" s="6" t="str">
        <f t="shared" si="263"/>
        <v xml:space="preserve">",Visistors= </v>
      </c>
      <c r="AH872" s="11">
        <f>Matchs!Q873</f>
        <v>0</v>
      </c>
      <c r="AI872" s="11" t="str">
        <f t="shared" si="264"/>
        <v>,Status= "</v>
      </c>
      <c r="AJ872" s="11" t="str">
        <f>Matchs!R873</f>
        <v>Finished</v>
      </c>
      <c r="AK872" t="str">
        <f t="shared" si="265"/>
        <v>" },</v>
      </c>
    </row>
    <row r="873" spans="1:37" x14ac:dyDescent="0.25">
      <c r="A873" t="str">
        <f t="shared" si="247"/>
        <v>new Match { MatchId= "</v>
      </c>
      <c r="B873" t="str">
        <f>Matchs!A875</f>
        <v>FIFAWC2018-37</v>
      </c>
      <c r="C873" t="str">
        <f t="shared" si="248"/>
        <v>",MatchNumer=</v>
      </c>
      <c r="D873">
        <f>Matchs!B875</f>
        <v>37</v>
      </c>
      <c r="E873" t="str">
        <f t="shared" si="249"/>
        <v>,DateMatch=DateTime.Parse("</v>
      </c>
      <c r="F873" s="3">
        <f>Matchs!C875</f>
        <v>43277</v>
      </c>
      <c r="G873" s="10" t="str">
        <f t="shared" si="250"/>
        <v>"),TimeMatch=TimeSpan.Parse("</v>
      </c>
      <c r="H873" s="9">
        <f>Matchs!D875</f>
        <v>0.875</v>
      </c>
      <c r="I873" t="str">
        <f t="shared" si="251"/>
        <v>"),MatchYear=</v>
      </c>
      <c r="J873">
        <f>Matchs!E875</f>
        <v>2018</v>
      </c>
      <c r="K873" t="str">
        <f t="shared" si="252"/>
        <v>, SeasonId= "</v>
      </c>
      <c r="L873" t="str">
        <f>Matchs!F875</f>
        <v>FIFAWC2018</v>
      </c>
      <c r="M873" t="str">
        <f t="shared" si="253"/>
        <v>",Round= "</v>
      </c>
      <c r="N873" t="str">
        <f>Matchs!G875</f>
        <v>Final Round</v>
      </c>
      <c r="O873" s="6" t="str">
        <f t="shared" si="254"/>
        <v>",Stage= "</v>
      </c>
      <c r="P873" t="str">
        <f>Matchs!H875</f>
        <v>Group</v>
      </c>
      <c r="Q873" s="6" t="str">
        <f t="shared" si="255"/>
        <v>",SubStage= "</v>
      </c>
      <c r="R873" t="str">
        <f>Matchs!I875</f>
        <v>Group C</v>
      </c>
      <c r="S873" s="6" t="str">
        <f t="shared" si="256"/>
        <v>",HTeam= "</v>
      </c>
      <c r="T873" t="str">
        <f>Matchs!J875</f>
        <v>Denmark</v>
      </c>
      <c r="U873" s="6" t="str">
        <f t="shared" si="257"/>
        <v>",HGoal=</v>
      </c>
      <c r="V873">
        <f>Matchs!K875</f>
        <v>0</v>
      </c>
      <c r="W873" s="6" t="str">
        <f t="shared" si="258"/>
        <v>,GGoal=</v>
      </c>
      <c r="X873">
        <f>Matchs!L875</f>
        <v>0</v>
      </c>
      <c r="Y873" s="6" t="str">
        <f t="shared" si="259"/>
        <v>,GTeam= "</v>
      </c>
      <c r="Z873" t="str">
        <f>Matchs!M875</f>
        <v>France</v>
      </c>
      <c r="AA873" s="6" t="str">
        <f t="shared" si="260"/>
        <v>",WinNote="</v>
      </c>
      <c r="AB873" t="str">
        <f>IF(Matchs!N874="","",Matchs!N874)</f>
        <v/>
      </c>
      <c r="AC873" s="6" t="str">
        <f t="shared" si="261"/>
        <v xml:space="preserve">",Stadium=" </v>
      </c>
      <c r="AD873" s="11" t="str">
        <f>Matchs!O874</f>
        <v>Fisht Stadium</v>
      </c>
      <c r="AE873" s="6" t="str">
        <f t="shared" si="262"/>
        <v>",Referee= "</v>
      </c>
      <c r="AF873" s="11">
        <f>Matchs!P874</f>
        <v>0</v>
      </c>
      <c r="AG873" s="6" t="str">
        <f t="shared" si="263"/>
        <v xml:space="preserve">",Visistors= </v>
      </c>
      <c r="AH873" s="11">
        <f>Matchs!Q874</f>
        <v>0</v>
      </c>
      <c r="AI873" s="11" t="str">
        <f t="shared" si="264"/>
        <v>,Status= "</v>
      </c>
      <c r="AJ873" s="11" t="str">
        <f>Matchs!R874</f>
        <v>Finished</v>
      </c>
      <c r="AK873" t="str">
        <f t="shared" si="265"/>
        <v>" },</v>
      </c>
    </row>
    <row r="874" spans="1:37" x14ac:dyDescent="0.25">
      <c r="A874" t="str">
        <f t="shared" si="247"/>
        <v>new Match { MatchId= "</v>
      </c>
      <c r="B874" t="str">
        <f>Matchs!A874</f>
        <v>FIFAWC2018-38</v>
      </c>
      <c r="C874" t="str">
        <f t="shared" si="248"/>
        <v>",MatchNumer=</v>
      </c>
      <c r="D874">
        <f>Matchs!B874</f>
        <v>38</v>
      </c>
      <c r="E874" t="str">
        <f t="shared" si="249"/>
        <v>,DateMatch=DateTime.Parse("</v>
      </c>
      <c r="F874" s="3">
        <f>Matchs!C874</f>
        <v>43277</v>
      </c>
      <c r="G874" s="10" t="str">
        <f t="shared" si="250"/>
        <v>"),TimeMatch=TimeSpan.Parse("</v>
      </c>
      <c r="H874" s="9">
        <f>Matchs!D874</f>
        <v>0.875</v>
      </c>
      <c r="I874" t="str">
        <f t="shared" si="251"/>
        <v>"),MatchYear=</v>
      </c>
      <c r="J874">
        <f>Matchs!E874</f>
        <v>2018</v>
      </c>
      <c r="K874" t="str">
        <f t="shared" si="252"/>
        <v>, SeasonId= "</v>
      </c>
      <c r="L874" t="str">
        <f>Matchs!F874</f>
        <v>FIFAWC2018</v>
      </c>
      <c r="M874" t="str">
        <f t="shared" si="253"/>
        <v>",Round= "</v>
      </c>
      <c r="N874" t="str">
        <f>Matchs!G874</f>
        <v>Final Round</v>
      </c>
      <c r="O874" s="6" t="str">
        <f t="shared" si="254"/>
        <v>",Stage= "</v>
      </c>
      <c r="P874" t="str">
        <f>Matchs!H874</f>
        <v>Group</v>
      </c>
      <c r="Q874" s="6" t="str">
        <f t="shared" si="255"/>
        <v>",SubStage= "</v>
      </c>
      <c r="R874" t="str">
        <f>Matchs!I874</f>
        <v>Group C</v>
      </c>
      <c r="S874" s="6" t="str">
        <f t="shared" si="256"/>
        <v>",HTeam= "</v>
      </c>
      <c r="T874" t="str">
        <f>Matchs!J874</f>
        <v>Australia</v>
      </c>
      <c r="U874" s="6" t="str">
        <f t="shared" si="257"/>
        <v>",HGoal=</v>
      </c>
      <c r="V874">
        <f>Matchs!K874</f>
        <v>0</v>
      </c>
      <c r="W874" s="6" t="str">
        <f t="shared" si="258"/>
        <v>,GGoal=</v>
      </c>
      <c r="X874">
        <f>Matchs!L874</f>
        <v>2</v>
      </c>
      <c r="Y874" s="6" t="str">
        <f t="shared" si="259"/>
        <v>,GTeam= "</v>
      </c>
      <c r="Z874" t="str">
        <f>Matchs!M874</f>
        <v>Peru</v>
      </c>
      <c r="AA874" s="6" t="str">
        <f t="shared" si="260"/>
        <v>",WinNote="</v>
      </c>
      <c r="AB874" t="str">
        <f>IF(Matchs!N875="","",Matchs!N875)</f>
        <v/>
      </c>
      <c r="AC874" s="6" t="str">
        <f t="shared" si="261"/>
        <v xml:space="preserve">",Stadium=" </v>
      </c>
      <c r="AD874" s="11" t="str">
        <f>Matchs!O875</f>
        <v>Luzhniki Stadium</v>
      </c>
      <c r="AE874" s="6" t="str">
        <f t="shared" si="262"/>
        <v>",Referee= "</v>
      </c>
      <c r="AF874" s="11">
        <f>Matchs!P875</f>
        <v>0</v>
      </c>
      <c r="AG874" s="6" t="str">
        <f t="shared" si="263"/>
        <v xml:space="preserve">",Visistors= </v>
      </c>
      <c r="AH874" s="11">
        <f>Matchs!Q875</f>
        <v>0</v>
      </c>
      <c r="AI874" s="11" t="str">
        <f t="shared" si="264"/>
        <v>,Status= "</v>
      </c>
      <c r="AJ874" s="11" t="str">
        <f>Matchs!R875</f>
        <v>Finished</v>
      </c>
      <c r="AK874" t="str">
        <f t="shared" si="265"/>
        <v>" },</v>
      </c>
    </row>
    <row r="875" spans="1:37" x14ac:dyDescent="0.25">
      <c r="A875" t="str">
        <f t="shared" si="247"/>
        <v>new Match { MatchId= "</v>
      </c>
      <c r="B875" t="str">
        <f>Matchs!A876</f>
        <v>FIFAWC2018-39</v>
      </c>
      <c r="C875" t="str">
        <f t="shared" si="248"/>
        <v>",MatchNumer=</v>
      </c>
      <c r="D875">
        <f>Matchs!B876</f>
        <v>39</v>
      </c>
      <c r="E875" t="str">
        <f t="shared" si="249"/>
        <v>,DateMatch=DateTime.Parse("</v>
      </c>
      <c r="F875" s="3">
        <f>Matchs!C876</f>
        <v>43278</v>
      </c>
      <c r="G875" s="10" t="str">
        <f t="shared" si="250"/>
        <v>"),TimeMatch=TimeSpan.Parse("</v>
      </c>
      <c r="H875" s="9">
        <f>Matchs!D876</f>
        <v>4.1666666666666664E-2</v>
      </c>
      <c r="I875" t="str">
        <f t="shared" si="251"/>
        <v>"),MatchYear=</v>
      </c>
      <c r="J875">
        <f>Matchs!E876</f>
        <v>2018</v>
      </c>
      <c r="K875" t="str">
        <f t="shared" si="252"/>
        <v>, SeasonId= "</v>
      </c>
      <c r="L875" t="str">
        <f>Matchs!F876</f>
        <v>FIFAWC2018</v>
      </c>
      <c r="M875" t="str">
        <f t="shared" si="253"/>
        <v>",Round= "</v>
      </c>
      <c r="N875" t="str">
        <f>Matchs!G876</f>
        <v>Final Round</v>
      </c>
      <c r="O875" s="6" t="str">
        <f t="shared" si="254"/>
        <v>",Stage= "</v>
      </c>
      <c r="P875" t="str">
        <f>Matchs!H876</f>
        <v>Group</v>
      </c>
      <c r="Q875" s="6" t="str">
        <f t="shared" si="255"/>
        <v>",SubStage= "</v>
      </c>
      <c r="R875" t="str">
        <f>Matchs!I876</f>
        <v>Group D</v>
      </c>
      <c r="S875" s="6" t="str">
        <f t="shared" si="256"/>
        <v>",HTeam= "</v>
      </c>
      <c r="T875" t="str">
        <f>Matchs!J876</f>
        <v>Nigeria</v>
      </c>
      <c r="U875" s="6" t="str">
        <f t="shared" si="257"/>
        <v>",HGoal=</v>
      </c>
      <c r="V875">
        <f>Matchs!K876</f>
        <v>1</v>
      </c>
      <c r="W875" s="6" t="str">
        <f t="shared" si="258"/>
        <v>,GGoal=</v>
      </c>
      <c r="X875">
        <f>Matchs!L876</f>
        <v>2</v>
      </c>
      <c r="Y875" s="6" t="str">
        <f t="shared" si="259"/>
        <v>,GTeam= "</v>
      </c>
      <c r="Z875" t="str">
        <f>Matchs!M876</f>
        <v>Argentina</v>
      </c>
      <c r="AA875" s="6" t="str">
        <f t="shared" si="260"/>
        <v>",WinNote="</v>
      </c>
      <c r="AB875" t="str">
        <f>IF(Matchs!N876="","",Matchs!N876)</f>
        <v/>
      </c>
      <c r="AC875" s="6" t="str">
        <f t="shared" si="261"/>
        <v xml:space="preserve">",Stadium=" </v>
      </c>
      <c r="AD875" s="11" t="str">
        <f>Matchs!O876</f>
        <v>Saint Petersburg Stadium</v>
      </c>
      <c r="AE875" s="6" t="str">
        <f t="shared" si="262"/>
        <v>",Referee= "</v>
      </c>
      <c r="AF875" s="11">
        <f>Matchs!P876</f>
        <v>0</v>
      </c>
      <c r="AG875" s="6" t="str">
        <f t="shared" si="263"/>
        <v xml:space="preserve">",Visistors= </v>
      </c>
      <c r="AH875" s="11">
        <f>Matchs!Q876</f>
        <v>0</v>
      </c>
      <c r="AI875" s="11" t="str">
        <f t="shared" si="264"/>
        <v>,Status= "</v>
      </c>
      <c r="AJ875" s="11" t="str">
        <f>Matchs!R876</f>
        <v>Finished</v>
      </c>
      <c r="AK875" t="str">
        <f t="shared" si="265"/>
        <v>" },</v>
      </c>
    </row>
    <row r="876" spans="1:37" x14ac:dyDescent="0.25">
      <c r="A876" t="str">
        <f t="shared" si="247"/>
        <v>new Match { MatchId= "</v>
      </c>
      <c r="B876" t="str">
        <f>Matchs!A877</f>
        <v>FIFAWC2018-40</v>
      </c>
      <c r="C876" t="str">
        <f t="shared" si="248"/>
        <v>",MatchNumer=</v>
      </c>
      <c r="D876">
        <f>Matchs!B877</f>
        <v>40</v>
      </c>
      <c r="E876" t="str">
        <f t="shared" si="249"/>
        <v>,DateMatch=DateTime.Parse("</v>
      </c>
      <c r="F876" s="3">
        <f>Matchs!C877</f>
        <v>43278</v>
      </c>
      <c r="G876" s="10" t="str">
        <f t="shared" si="250"/>
        <v>"),TimeMatch=TimeSpan.Parse("</v>
      </c>
      <c r="H876" s="9">
        <f>Matchs!D877</f>
        <v>4.1666666666666664E-2</v>
      </c>
      <c r="I876" t="str">
        <f t="shared" si="251"/>
        <v>"),MatchYear=</v>
      </c>
      <c r="J876">
        <f>Matchs!E877</f>
        <v>2018</v>
      </c>
      <c r="K876" t="str">
        <f t="shared" si="252"/>
        <v>, SeasonId= "</v>
      </c>
      <c r="L876" t="str">
        <f>Matchs!F877</f>
        <v>FIFAWC2018</v>
      </c>
      <c r="M876" t="str">
        <f t="shared" si="253"/>
        <v>",Round= "</v>
      </c>
      <c r="N876" t="str">
        <f>Matchs!G877</f>
        <v>Final Round</v>
      </c>
      <c r="O876" s="6" t="str">
        <f t="shared" si="254"/>
        <v>",Stage= "</v>
      </c>
      <c r="P876" t="str">
        <f>Matchs!H877</f>
        <v>Group</v>
      </c>
      <c r="Q876" s="6" t="str">
        <f t="shared" si="255"/>
        <v>",SubStage= "</v>
      </c>
      <c r="R876" t="str">
        <f>Matchs!I877</f>
        <v>Group D</v>
      </c>
      <c r="S876" s="6" t="str">
        <f t="shared" si="256"/>
        <v>",HTeam= "</v>
      </c>
      <c r="T876" t="str">
        <f>Matchs!J877</f>
        <v>Iceland</v>
      </c>
      <c r="U876" s="6" t="str">
        <f t="shared" si="257"/>
        <v>",HGoal=</v>
      </c>
      <c r="V876">
        <f>Matchs!K877</f>
        <v>1</v>
      </c>
      <c r="W876" s="6" t="str">
        <f t="shared" si="258"/>
        <v>,GGoal=</v>
      </c>
      <c r="X876">
        <f>Matchs!L877</f>
        <v>2</v>
      </c>
      <c r="Y876" s="6" t="str">
        <f t="shared" si="259"/>
        <v>,GTeam= "</v>
      </c>
      <c r="Z876" t="str">
        <f>Matchs!M877</f>
        <v>Croatia</v>
      </c>
      <c r="AA876" s="6" t="str">
        <f t="shared" si="260"/>
        <v>",WinNote="</v>
      </c>
      <c r="AB876" t="str">
        <f>IF(Matchs!N877="","",Matchs!N877)</f>
        <v/>
      </c>
      <c r="AC876" s="6" t="str">
        <f t="shared" si="261"/>
        <v xml:space="preserve">",Stadium=" </v>
      </c>
      <c r="AD876" s="11" t="str">
        <f>Matchs!O877</f>
        <v>Rostov Arena</v>
      </c>
      <c r="AE876" s="6" t="str">
        <f t="shared" si="262"/>
        <v>",Referee= "</v>
      </c>
      <c r="AF876" s="11">
        <f>Matchs!P877</f>
        <v>0</v>
      </c>
      <c r="AG876" s="6" t="str">
        <f t="shared" si="263"/>
        <v xml:space="preserve">",Visistors= </v>
      </c>
      <c r="AH876" s="11">
        <f>Matchs!Q877</f>
        <v>0</v>
      </c>
      <c r="AI876" s="11" t="str">
        <f t="shared" si="264"/>
        <v>,Status= "</v>
      </c>
      <c r="AJ876" s="11" t="str">
        <f>Matchs!R877</f>
        <v>Finished</v>
      </c>
      <c r="AK876" t="str">
        <f t="shared" si="265"/>
        <v>" },</v>
      </c>
    </row>
    <row r="877" spans="1:37" x14ac:dyDescent="0.25">
      <c r="A877" t="str">
        <f t="shared" si="247"/>
        <v>new Match { MatchId= "</v>
      </c>
      <c r="B877" t="str">
        <f>Matchs!A880</f>
        <v>FIFAWC2018-41</v>
      </c>
      <c r="C877" t="str">
        <f t="shared" si="248"/>
        <v>",MatchNumer=</v>
      </c>
      <c r="D877">
        <f>Matchs!B880</f>
        <v>41</v>
      </c>
      <c r="E877" t="str">
        <f t="shared" si="249"/>
        <v>,DateMatch=DateTime.Parse("</v>
      </c>
      <c r="F877" s="3">
        <f>Matchs!C880</f>
        <v>43279</v>
      </c>
      <c r="G877" s="10" t="str">
        <f t="shared" si="250"/>
        <v>"),TimeMatch=TimeSpan.Parse("</v>
      </c>
      <c r="H877" s="9">
        <f>Matchs!D880</f>
        <v>4.1666666666666664E-2</v>
      </c>
      <c r="I877" t="str">
        <f t="shared" si="251"/>
        <v>"),MatchYear=</v>
      </c>
      <c r="J877">
        <f>Matchs!E880</f>
        <v>2018</v>
      </c>
      <c r="K877" t="str">
        <f t="shared" si="252"/>
        <v>, SeasonId= "</v>
      </c>
      <c r="L877" t="str">
        <f>Matchs!F880</f>
        <v>FIFAWC2018</v>
      </c>
      <c r="M877" t="str">
        <f t="shared" si="253"/>
        <v>",Round= "</v>
      </c>
      <c r="N877" t="str">
        <f>Matchs!G880</f>
        <v>Final Round</v>
      </c>
      <c r="O877" s="6" t="str">
        <f t="shared" si="254"/>
        <v>",Stage= "</v>
      </c>
      <c r="P877" t="str">
        <f>Matchs!H880</f>
        <v>Group</v>
      </c>
      <c r="Q877" s="6" t="str">
        <f t="shared" si="255"/>
        <v>",SubStage= "</v>
      </c>
      <c r="R877" t="str">
        <f>Matchs!I880</f>
        <v>Group E</v>
      </c>
      <c r="S877" s="6" t="str">
        <f t="shared" si="256"/>
        <v>",HTeam= "</v>
      </c>
      <c r="T877" t="str">
        <f>Matchs!J880</f>
        <v>Serbia</v>
      </c>
      <c r="U877" s="6" t="str">
        <f t="shared" si="257"/>
        <v>",HGoal=</v>
      </c>
      <c r="V877">
        <f>Matchs!K880</f>
        <v>0</v>
      </c>
      <c r="W877" s="6" t="str">
        <f t="shared" si="258"/>
        <v>,GGoal=</v>
      </c>
      <c r="X877">
        <f>Matchs!L880</f>
        <v>2</v>
      </c>
      <c r="Y877" s="6" t="str">
        <f t="shared" si="259"/>
        <v>,GTeam= "</v>
      </c>
      <c r="Z877" t="str">
        <f>Matchs!M880</f>
        <v>Brazil</v>
      </c>
      <c r="AA877" s="6" t="str">
        <f t="shared" si="260"/>
        <v>",WinNote="</v>
      </c>
      <c r="AB877" t="str">
        <f>IF(Matchs!N878="","",Matchs!N878)</f>
        <v/>
      </c>
      <c r="AC877" s="6" t="str">
        <f t="shared" si="261"/>
        <v xml:space="preserve">",Stadium=" </v>
      </c>
      <c r="AD877" s="11" t="str">
        <f>Matchs!O878</f>
        <v>Kazan Arena</v>
      </c>
      <c r="AE877" s="6" t="str">
        <f t="shared" si="262"/>
        <v>",Referee= "</v>
      </c>
      <c r="AF877" s="11">
        <f>Matchs!P878</f>
        <v>0</v>
      </c>
      <c r="AG877" s="6" t="str">
        <f t="shared" si="263"/>
        <v xml:space="preserve">",Visistors= </v>
      </c>
      <c r="AH877" s="11">
        <f>Matchs!Q878</f>
        <v>0</v>
      </c>
      <c r="AI877" s="11" t="str">
        <f t="shared" si="264"/>
        <v>,Status= "</v>
      </c>
      <c r="AJ877" s="11" t="str">
        <f>Matchs!R878</f>
        <v>Finished</v>
      </c>
      <c r="AK877" t="str">
        <f t="shared" si="265"/>
        <v>" },</v>
      </c>
    </row>
    <row r="878" spans="1:37" x14ac:dyDescent="0.25">
      <c r="A878" t="str">
        <f t="shared" si="247"/>
        <v>new Match { MatchId= "</v>
      </c>
      <c r="B878" t="str">
        <f>Matchs!A881</f>
        <v>FIFAWC2018-42</v>
      </c>
      <c r="C878" t="str">
        <f t="shared" si="248"/>
        <v>",MatchNumer=</v>
      </c>
      <c r="D878">
        <f>Matchs!B881</f>
        <v>42</v>
      </c>
      <c r="E878" t="str">
        <f t="shared" si="249"/>
        <v>,DateMatch=DateTime.Parse("</v>
      </c>
      <c r="F878" s="3">
        <f>Matchs!C881</f>
        <v>43279</v>
      </c>
      <c r="G878" s="10" t="str">
        <f t="shared" si="250"/>
        <v>"),TimeMatch=TimeSpan.Parse("</v>
      </c>
      <c r="H878" s="9">
        <f>Matchs!D881</f>
        <v>4.1666666666666664E-2</v>
      </c>
      <c r="I878" t="str">
        <f t="shared" si="251"/>
        <v>"),MatchYear=</v>
      </c>
      <c r="J878">
        <f>Matchs!E881</f>
        <v>2018</v>
      </c>
      <c r="K878" t="str">
        <f t="shared" si="252"/>
        <v>, SeasonId= "</v>
      </c>
      <c r="L878" t="str">
        <f>Matchs!F881</f>
        <v>FIFAWC2018</v>
      </c>
      <c r="M878" t="str">
        <f t="shared" si="253"/>
        <v>",Round= "</v>
      </c>
      <c r="N878" t="str">
        <f>Matchs!G881</f>
        <v>Final Round</v>
      </c>
      <c r="O878" s="6" t="str">
        <f t="shared" si="254"/>
        <v>",Stage= "</v>
      </c>
      <c r="P878" t="str">
        <f>Matchs!H881</f>
        <v>Group</v>
      </c>
      <c r="Q878" s="6" t="str">
        <f t="shared" si="255"/>
        <v>",SubStage= "</v>
      </c>
      <c r="R878" t="str">
        <f>Matchs!I881</f>
        <v>Group E</v>
      </c>
      <c r="S878" s="6" t="str">
        <f t="shared" si="256"/>
        <v>",HTeam= "</v>
      </c>
      <c r="T878" t="str">
        <f>Matchs!J881</f>
        <v>Switzerland</v>
      </c>
      <c r="U878" s="6" t="str">
        <f t="shared" si="257"/>
        <v>",HGoal=</v>
      </c>
      <c r="V878">
        <f>Matchs!K881</f>
        <v>2</v>
      </c>
      <c r="W878" s="6" t="str">
        <f t="shared" si="258"/>
        <v>,GGoal=</v>
      </c>
      <c r="X878">
        <f>Matchs!L881</f>
        <v>2</v>
      </c>
      <c r="Y878" s="6" t="str">
        <f t="shared" si="259"/>
        <v>,GTeam= "</v>
      </c>
      <c r="Z878" t="str">
        <f>Matchs!M881</f>
        <v>Costa Rica</v>
      </c>
      <c r="AA878" s="6" t="str">
        <f t="shared" si="260"/>
        <v>",WinNote="</v>
      </c>
      <c r="AB878" t="str">
        <f>IF(Matchs!N879="","",Matchs!N879)</f>
        <v/>
      </c>
      <c r="AC878" s="6" t="str">
        <f t="shared" si="261"/>
        <v xml:space="preserve">",Stadium=" </v>
      </c>
      <c r="AD878" s="11" t="str">
        <f>Matchs!O879</f>
        <v>Ekaterinburg Arena</v>
      </c>
      <c r="AE878" s="6" t="str">
        <f t="shared" si="262"/>
        <v>",Referee= "</v>
      </c>
      <c r="AF878" s="11">
        <f>Matchs!P879</f>
        <v>0</v>
      </c>
      <c r="AG878" s="6" t="str">
        <f t="shared" si="263"/>
        <v xml:space="preserve">",Visistors= </v>
      </c>
      <c r="AH878" s="11">
        <f>Matchs!Q879</f>
        <v>0</v>
      </c>
      <c r="AI878" s="11" t="str">
        <f t="shared" si="264"/>
        <v>,Status= "</v>
      </c>
      <c r="AJ878" s="11" t="str">
        <f>Matchs!R879</f>
        <v>Finished</v>
      </c>
      <c r="AK878" t="str">
        <f t="shared" si="265"/>
        <v>" },</v>
      </c>
    </row>
    <row r="879" spans="1:37" x14ac:dyDescent="0.25">
      <c r="A879" t="str">
        <f t="shared" si="247"/>
        <v>new Match { MatchId= "</v>
      </c>
      <c r="B879" t="str">
        <f>Matchs!A878</f>
        <v>FIFAWC2018-43</v>
      </c>
      <c r="C879" t="str">
        <f t="shared" si="248"/>
        <v>",MatchNumer=</v>
      </c>
      <c r="D879">
        <f>Matchs!B878</f>
        <v>43</v>
      </c>
      <c r="E879" t="str">
        <f t="shared" si="249"/>
        <v>,DateMatch=DateTime.Parse("</v>
      </c>
      <c r="F879" s="3">
        <f>Matchs!C878</f>
        <v>43278</v>
      </c>
      <c r="G879" s="10" t="str">
        <f t="shared" si="250"/>
        <v>"),TimeMatch=TimeSpan.Parse("</v>
      </c>
      <c r="H879" s="9">
        <f>Matchs!D878</f>
        <v>0.875</v>
      </c>
      <c r="I879" t="str">
        <f t="shared" si="251"/>
        <v>"),MatchYear=</v>
      </c>
      <c r="J879">
        <f>Matchs!E878</f>
        <v>2018</v>
      </c>
      <c r="K879" t="str">
        <f t="shared" si="252"/>
        <v>, SeasonId= "</v>
      </c>
      <c r="L879" t="str">
        <f>Matchs!F878</f>
        <v>FIFAWC2018</v>
      </c>
      <c r="M879" t="str">
        <f t="shared" si="253"/>
        <v>",Round= "</v>
      </c>
      <c r="N879" t="str">
        <f>Matchs!G878</f>
        <v>Final Round</v>
      </c>
      <c r="O879" s="6" t="str">
        <f t="shared" si="254"/>
        <v>",Stage= "</v>
      </c>
      <c r="P879" t="str">
        <f>Matchs!H878</f>
        <v>Group</v>
      </c>
      <c r="Q879" s="6" t="str">
        <f t="shared" si="255"/>
        <v>",SubStage= "</v>
      </c>
      <c r="R879" t="str">
        <f>Matchs!I878</f>
        <v>Group F</v>
      </c>
      <c r="S879" s="6" t="str">
        <f t="shared" si="256"/>
        <v>",HTeam= "</v>
      </c>
      <c r="T879" t="str">
        <f>Matchs!J878</f>
        <v>Korea Republic</v>
      </c>
      <c r="U879" s="6" t="str">
        <f t="shared" si="257"/>
        <v>",HGoal=</v>
      </c>
      <c r="V879">
        <f>Matchs!K878</f>
        <v>2</v>
      </c>
      <c r="W879" s="6" t="str">
        <f t="shared" si="258"/>
        <v>,GGoal=</v>
      </c>
      <c r="X879">
        <f>Matchs!L878</f>
        <v>0</v>
      </c>
      <c r="Y879" s="6" t="str">
        <f t="shared" si="259"/>
        <v>,GTeam= "</v>
      </c>
      <c r="Z879" t="str">
        <f>Matchs!M878</f>
        <v>Germany</v>
      </c>
      <c r="AA879" s="6" t="str">
        <f t="shared" si="260"/>
        <v>",WinNote="</v>
      </c>
      <c r="AB879" t="str">
        <f>IF(Matchs!N880="","",Matchs!N880)</f>
        <v/>
      </c>
      <c r="AC879" s="6" t="str">
        <f t="shared" si="261"/>
        <v xml:space="preserve">",Stadium=" </v>
      </c>
      <c r="AD879" s="11" t="str">
        <f>Matchs!O880</f>
        <v>Spartak Stadium</v>
      </c>
      <c r="AE879" s="6" t="str">
        <f t="shared" si="262"/>
        <v>",Referee= "</v>
      </c>
      <c r="AF879" s="11">
        <f>Matchs!P880</f>
        <v>0</v>
      </c>
      <c r="AG879" s="6" t="str">
        <f t="shared" si="263"/>
        <v xml:space="preserve">",Visistors= </v>
      </c>
      <c r="AH879" s="11">
        <f>Matchs!Q880</f>
        <v>0</v>
      </c>
      <c r="AI879" s="11" t="str">
        <f t="shared" si="264"/>
        <v>,Status= "</v>
      </c>
      <c r="AJ879" s="11" t="str">
        <f>Matchs!R880</f>
        <v>Finished</v>
      </c>
      <c r="AK879" t="str">
        <f t="shared" si="265"/>
        <v>" },</v>
      </c>
    </row>
    <row r="880" spans="1:37" x14ac:dyDescent="0.25">
      <c r="A880" t="str">
        <f t="shared" si="247"/>
        <v>new Match { MatchId= "</v>
      </c>
      <c r="B880" t="str">
        <f>Matchs!A879</f>
        <v>FIFAWC2018-44</v>
      </c>
      <c r="C880" t="str">
        <f t="shared" si="248"/>
        <v>",MatchNumer=</v>
      </c>
      <c r="D880">
        <f>Matchs!B879</f>
        <v>44</v>
      </c>
      <c r="E880" t="str">
        <f t="shared" si="249"/>
        <v>,DateMatch=DateTime.Parse("</v>
      </c>
      <c r="F880" s="3">
        <f>Matchs!C879</f>
        <v>43278</v>
      </c>
      <c r="G880" s="10" t="str">
        <f t="shared" si="250"/>
        <v>"),TimeMatch=TimeSpan.Parse("</v>
      </c>
      <c r="H880" s="9">
        <f>Matchs!D879</f>
        <v>0.875</v>
      </c>
      <c r="I880" t="str">
        <f t="shared" si="251"/>
        <v>"),MatchYear=</v>
      </c>
      <c r="J880">
        <f>Matchs!E879</f>
        <v>2018</v>
      </c>
      <c r="K880" t="str">
        <f t="shared" si="252"/>
        <v>, SeasonId= "</v>
      </c>
      <c r="L880" t="str">
        <f>Matchs!F879</f>
        <v>FIFAWC2018</v>
      </c>
      <c r="M880" t="str">
        <f t="shared" si="253"/>
        <v>",Round= "</v>
      </c>
      <c r="N880" t="str">
        <f>Matchs!G879</f>
        <v>Final Round</v>
      </c>
      <c r="O880" s="6" t="str">
        <f t="shared" si="254"/>
        <v>",Stage= "</v>
      </c>
      <c r="P880" t="str">
        <f>Matchs!H879</f>
        <v>Group</v>
      </c>
      <c r="Q880" s="6" t="str">
        <f t="shared" si="255"/>
        <v>",SubStage= "</v>
      </c>
      <c r="R880" t="str">
        <f>Matchs!I879</f>
        <v>Group F</v>
      </c>
      <c r="S880" s="6" t="str">
        <f t="shared" si="256"/>
        <v>",HTeam= "</v>
      </c>
      <c r="T880" t="str">
        <f>Matchs!J879</f>
        <v>Mexico</v>
      </c>
      <c r="U880" s="6" t="str">
        <f t="shared" si="257"/>
        <v>",HGoal=</v>
      </c>
      <c r="V880">
        <f>Matchs!K879</f>
        <v>0</v>
      </c>
      <c r="W880" s="6" t="str">
        <f t="shared" si="258"/>
        <v>,GGoal=</v>
      </c>
      <c r="X880">
        <f>Matchs!L879</f>
        <v>3</v>
      </c>
      <c r="Y880" s="6" t="str">
        <f t="shared" si="259"/>
        <v>,GTeam= "</v>
      </c>
      <c r="Z880" t="str">
        <f>Matchs!M879</f>
        <v>Sweden</v>
      </c>
      <c r="AA880" s="6" t="str">
        <f t="shared" si="260"/>
        <v>",WinNote="</v>
      </c>
      <c r="AB880" t="str">
        <f>IF(Matchs!N881="","",Matchs!N881)</f>
        <v/>
      </c>
      <c r="AC880" s="6" t="str">
        <f t="shared" si="261"/>
        <v xml:space="preserve">",Stadium=" </v>
      </c>
      <c r="AD880" s="11" t="str">
        <f>Matchs!O881</f>
        <v>Nizhny Novgorod Stadium</v>
      </c>
      <c r="AE880" s="6" t="str">
        <f t="shared" si="262"/>
        <v>",Referee= "</v>
      </c>
      <c r="AF880" s="11">
        <f>Matchs!P881</f>
        <v>0</v>
      </c>
      <c r="AG880" s="6" t="str">
        <f t="shared" si="263"/>
        <v xml:space="preserve">",Visistors= </v>
      </c>
      <c r="AH880" s="11">
        <f>Matchs!Q881</f>
        <v>0</v>
      </c>
      <c r="AI880" s="11" t="str">
        <f t="shared" si="264"/>
        <v>,Status= "</v>
      </c>
      <c r="AJ880" s="11" t="str">
        <f>Matchs!R881</f>
        <v>Finished</v>
      </c>
      <c r="AK880" t="str">
        <f t="shared" si="265"/>
        <v>" },</v>
      </c>
    </row>
    <row r="881" spans="1:37" x14ac:dyDescent="0.25">
      <c r="A881" t="str">
        <f t="shared" si="247"/>
        <v>new Match { MatchId= "</v>
      </c>
      <c r="B881" t="str">
        <f>Matchs!A884</f>
        <v>FIFAWC2018-45</v>
      </c>
      <c r="C881" t="str">
        <f t="shared" si="248"/>
        <v>",MatchNumer=</v>
      </c>
      <c r="D881">
        <f>Matchs!B884</f>
        <v>45</v>
      </c>
      <c r="E881" t="str">
        <f t="shared" si="249"/>
        <v>,DateMatch=DateTime.Parse("</v>
      </c>
      <c r="F881" s="3">
        <f>Matchs!C884</f>
        <v>43279</v>
      </c>
      <c r="G881" s="10" t="str">
        <f t="shared" si="250"/>
        <v>"),TimeMatch=TimeSpan.Parse("</v>
      </c>
      <c r="H881" s="9">
        <f>Matchs!D884</f>
        <v>4.1666666666666664E-2</v>
      </c>
      <c r="I881" t="str">
        <f t="shared" si="251"/>
        <v>"),MatchYear=</v>
      </c>
      <c r="J881">
        <f>Matchs!E884</f>
        <v>2018</v>
      </c>
      <c r="K881" t="str">
        <f t="shared" si="252"/>
        <v>, SeasonId= "</v>
      </c>
      <c r="L881" t="str">
        <f>Matchs!F884</f>
        <v>FIFAWC2018</v>
      </c>
      <c r="M881" t="str">
        <f t="shared" si="253"/>
        <v>",Round= "</v>
      </c>
      <c r="N881" t="str">
        <f>Matchs!G884</f>
        <v>Final Round</v>
      </c>
      <c r="O881" s="6" t="str">
        <f t="shared" si="254"/>
        <v>",Stage= "</v>
      </c>
      <c r="P881" t="str">
        <f>Matchs!H884</f>
        <v>Group</v>
      </c>
      <c r="Q881" s="6" t="str">
        <f t="shared" si="255"/>
        <v>",SubStage= "</v>
      </c>
      <c r="R881" t="str">
        <f>Matchs!I884</f>
        <v>Group G</v>
      </c>
      <c r="S881" s="6" t="str">
        <f t="shared" si="256"/>
        <v>",HTeam= "</v>
      </c>
      <c r="T881" t="str">
        <f>Matchs!J884</f>
        <v>England</v>
      </c>
      <c r="U881" s="6" t="str">
        <f t="shared" si="257"/>
        <v>",HGoal=</v>
      </c>
      <c r="V881">
        <f>Matchs!K884</f>
        <v>0</v>
      </c>
      <c r="W881" s="6" t="str">
        <f t="shared" si="258"/>
        <v>,GGoal=</v>
      </c>
      <c r="X881">
        <f>Matchs!L884</f>
        <v>1</v>
      </c>
      <c r="Y881" s="6" t="str">
        <f t="shared" si="259"/>
        <v>,GTeam= "</v>
      </c>
      <c r="Z881" t="str">
        <f>Matchs!M884</f>
        <v>Belgium</v>
      </c>
      <c r="AA881" s="6" t="str">
        <f t="shared" si="260"/>
        <v>",WinNote="</v>
      </c>
      <c r="AB881" t="str">
        <f>IF(Matchs!N882="","",Matchs!N882)</f>
        <v/>
      </c>
      <c r="AC881" s="6" t="str">
        <f t="shared" si="261"/>
        <v xml:space="preserve">",Stadium=" </v>
      </c>
      <c r="AD881" s="11" t="str">
        <f>Matchs!O882</f>
        <v>Volgograd Arena</v>
      </c>
      <c r="AE881" s="6" t="str">
        <f t="shared" si="262"/>
        <v>",Referee= "</v>
      </c>
      <c r="AF881" s="11">
        <f>Matchs!P882</f>
        <v>0</v>
      </c>
      <c r="AG881" s="6" t="str">
        <f t="shared" si="263"/>
        <v xml:space="preserve">",Visistors= </v>
      </c>
      <c r="AH881" s="11">
        <f>Matchs!Q882</f>
        <v>0</v>
      </c>
      <c r="AI881" s="11" t="str">
        <f t="shared" si="264"/>
        <v>,Status= "</v>
      </c>
      <c r="AJ881" s="11" t="str">
        <f>Matchs!R882</f>
        <v>Finished</v>
      </c>
      <c r="AK881" t="str">
        <f t="shared" si="265"/>
        <v>" },</v>
      </c>
    </row>
    <row r="882" spans="1:37" x14ac:dyDescent="0.25">
      <c r="A882" t="str">
        <f t="shared" si="247"/>
        <v>new Match { MatchId= "</v>
      </c>
      <c r="B882" t="str">
        <f>Matchs!A885</f>
        <v>FIFAWC2018-46</v>
      </c>
      <c r="C882" t="str">
        <f t="shared" si="248"/>
        <v>",MatchNumer=</v>
      </c>
      <c r="D882">
        <f>Matchs!B885</f>
        <v>46</v>
      </c>
      <c r="E882" t="str">
        <f t="shared" si="249"/>
        <v>,DateMatch=DateTime.Parse("</v>
      </c>
      <c r="F882" s="3">
        <f>Matchs!C885</f>
        <v>43279</v>
      </c>
      <c r="G882" s="10" t="str">
        <f t="shared" si="250"/>
        <v>"),TimeMatch=TimeSpan.Parse("</v>
      </c>
      <c r="H882" s="9">
        <f>Matchs!D885</f>
        <v>4.1666666666666664E-2</v>
      </c>
      <c r="I882" t="str">
        <f t="shared" si="251"/>
        <v>"),MatchYear=</v>
      </c>
      <c r="J882">
        <f>Matchs!E885</f>
        <v>2018</v>
      </c>
      <c r="K882" t="str">
        <f t="shared" si="252"/>
        <v>, SeasonId= "</v>
      </c>
      <c r="L882" t="str">
        <f>Matchs!F885</f>
        <v>FIFAWC2018</v>
      </c>
      <c r="M882" t="str">
        <f t="shared" si="253"/>
        <v>",Round= "</v>
      </c>
      <c r="N882" t="str">
        <f>Matchs!G885</f>
        <v>Final Round</v>
      </c>
      <c r="O882" s="6" t="str">
        <f t="shared" si="254"/>
        <v>",Stage= "</v>
      </c>
      <c r="P882" t="str">
        <f>Matchs!H885</f>
        <v>Group</v>
      </c>
      <c r="Q882" s="6" t="str">
        <f t="shared" si="255"/>
        <v>",SubStage= "</v>
      </c>
      <c r="R882" t="str">
        <f>Matchs!I885</f>
        <v>Group G</v>
      </c>
      <c r="S882" s="6" t="str">
        <f t="shared" si="256"/>
        <v>",HTeam= "</v>
      </c>
      <c r="T882" t="str">
        <f>Matchs!J885</f>
        <v>Panama</v>
      </c>
      <c r="U882" s="6" t="str">
        <f t="shared" si="257"/>
        <v>",HGoal=</v>
      </c>
      <c r="V882">
        <f>Matchs!K885</f>
        <v>1</v>
      </c>
      <c r="W882" s="6" t="str">
        <f t="shared" si="258"/>
        <v>,GGoal=</v>
      </c>
      <c r="X882">
        <f>Matchs!L885</f>
        <v>2</v>
      </c>
      <c r="Y882" s="6" t="str">
        <f t="shared" si="259"/>
        <v>,GTeam= "</v>
      </c>
      <c r="Z882" t="str">
        <f>Matchs!M885</f>
        <v>Tunisia</v>
      </c>
      <c r="AA882" s="6" t="str">
        <f t="shared" si="260"/>
        <v>",WinNote="</v>
      </c>
      <c r="AB882" t="str">
        <f>IF(Matchs!N883="","",Matchs!N883)</f>
        <v/>
      </c>
      <c r="AC882" s="6" t="str">
        <f t="shared" si="261"/>
        <v xml:space="preserve">",Stadium=" </v>
      </c>
      <c r="AD882" s="11" t="str">
        <f>Matchs!O883</f>
        <v>Samara Arena</v>
      </c>
      <c r="AE882" s="6" t="str">
        <f t="shared" si="262"/>
        <v>",Referee= "</v>
      </c>
      <c r="AF882" s="11">
        <f>Matchs!P883</f>
        <v>0</v>
      </c>
      <c r="AG882" s="6" t="str">
        <f t="shared" si="263"/>
        <v xml:space="preserve">",Visistors= </v>
      </c>
      <c r="AH882" s="11">
        <f>Matchs!Q883</f>
        <v>0</v>
      </c>
      <c r="AI882" s="11" t="str">
        <f t="shared" si="264"/>
        <v>,Status= "</v>
      </c>
      <c r="AJ882" s="11" t="str">
        <f>Matchs!R883</f>
        <v>Finished</v>
      </c>
      <c r="AK882" t="str">
        <f t="shared" si="265"/>
        <v>" },</v>
      </c>
    </row>
    <row r="883" spans="1:37" x14ac:dyDescent="0.25">
      <c r="A883" t="str">
        <f t="shared" si="247"/>
        <v>new Match { MatchId= "</v>
      </c>
      <c r="B883" t="str">
        <f>Matchs!A882</f>
        <v>FIFAWC2018-47</v>
      </c>
      <c r="C883" t="str">
        <f t="shared" si="248"/>
        <v>",MatchNumer=</v>
      </c>
      <c r="D883">
        <f>Matchs!B882</f>
        <v>47</v>
      </c>
      <c r="E883" t="str">
        <f t="shared" si="249"/>
        <v>,DateMatch=DateTime.Parse("</v>
      </c>
      <c r="F883" s="3">
        <f>Matchs!C882</f>
        <v>43279</v>
      </c>
      <c r="G883" s="10" t="str">
        <f t="shared" si="250"/>
        <v>"),TimeMatch=TimeSpan.Parse("</v>
      </c>
      <c r="H883" s="9">
        <f>Matchs!D882</f>
        <v>0.875</v>
      </c>
      <c r="I883" t="str">
        <f t="shared" si="251"/>
        <v>"),MatchYear=</v>
      </c>
      <c r="J883">
        <f>Matchs!E882</f>
        <v>2018</v>
      </c>
      <c r="K883" t="str">
        <f t="shared" si="252"/>
        <v>, SeasonId= "</v>
      </c>
      <c r="L883" t="str">
        <f>Matchs!F882</f>
        <v>FIFAWC2018</v>
      </c>
      <c r="M883" t="str">
        <f t="shared" si="253"/>
        <v>",Round= "</v>
      </c>
      <c r="N883" t="str">
        <f>Matchs!G882</f>
        <v>Final Round</v>
      </c>
      <c r="O883" s="6" t="str">
        <f t="shared" si="254"/>
        <v>",Stage= "</v>
      </c>
      <c r="P883" t="str">
        <f>Matchs!H882</f>
        <v>Group</v>
      </c>
      <c r="Q883" s="6" t="str">
        <f t="shared" si="255"/>
        <v>",SubStage= "</v>
      </c>
      <c r="R883" t="str">
        <f>Matchs!I882</f>
        <v>Group H</v>
      </c>
      <c r="S883" s="6" t="str">
        <f t="shared" si="256"/>
        <v>",HTeam= "</v>
      </c>
      <c r="T883" t="str">
        <f>Matchs!J882</f>
        <v>Japan</v>
      </c>
      <c r="U883" s="6" t="str">
        <f t="shared" si="257"/>
        <v>",HGoal=</v>
      </c>
      <c r="V883">
        <f>Matchs!K882</f>
        <v>0</v>
      </c>
      <c r="W883" s="6" t="str">
        <f t="shared" si="258"/>
        <v>,GGoal=</v>
      </c>
      <c r="X883">
        <f>Matchs!L882</f>
        <v>1</v>
      </c>
      <c r="Y883" s="6" t="str">
        <f t="shared" si="259"/>
        <v>,GTeam= "</v>
      </c>
      <c r="Z883" t="str">
        <f>Matchs!M882</f>
        <v>Poland</v>
      </c>
      <c r="AA883" s="6" t="str">
        <f t="shared" si="260"/>
        <v>",WinNote="</v>
      </c>
      <c r="AB883" t="str">
        <f>IF(Matchs!N884="","",Matchs!N884)</f>
        <v/>
      </c>
      <c r="AC883" s="6" t="str">
        <f t="shared" si="261"/>
        <v xml:space="preserve">",Stadium=" </v>
      </c>
      <c r="AD883" s="11" t="str">
        <f>Matchs!O884</f>
        <v>Kaliningrad Stadium</v>
      </c>
      <c r="AE883" s="6" t="str">
        <f t="shared" si="262"/>
        <v>",Referee= "</v>
      </c>
      <c r="AF883" s="11">
        <f>Matchs!P884</f>
        <v>0</v>
      </c>
      <c r="AG883" s="6" t="str">
        <f t="shared" si="263"/>
        <v xml:space="preserve">",Visistors= </v>
      </c>
      <c r="AH883" s="11">
        <f>Matchs!Q884</f>
        <v>0</v>
      </c>
      <c r="AI883" s="11" t="str">
        <f t="shared" si="264"/>
        <v>,Status= "</v>
      </c>
      <c r="AJ883" s="11" t="str">
        <f>Matchs!R884</f>
        <v>Finished</v>
      </c>
      <c r="AK883" t="str">
        <f t="shared" si="265"/>
        <v>" },</v>
      </c>
    </row>
    <row r="884" spans="1:37" x14ac:dyDescent="0.25">
      <c r="A884" t="str">
        <f t="shared" si="247"/>
        <v>new Match { MatchId= "</v>
      </c>
      <c r="B884" t="str">
        <f>Matchs!A883</f>
        <v>FIFAWC2018-48</v>
      </c>
      <c r="C884" t="str">
        <f t="shared" si="248"/>
        <v>",MatchNumer=</v>
      </c>
      <c r="D884">
        <f>Matchs!B883</f>
        <v>48</v>
      </c>
      <c r="E884" t="str">
        <f t="shared" si="249"/>
        <v>,DateMatch=DateTime.Parse("</v>
      </c>
      <c r="F884" s="3">
        <f>Matchs!C883</f>
        <v>43279</v>
      </c>
      <c r="G884" s="10" t="str">
        <f t="shared" si="250"/>
        <v>"),TimeMatch=TimeSpan.Parse("</v>
      </c>
      <c r="H884" s="9">
        <f>Matchs!D883</f>
        <v>0.875</v>
      </c>
      <c r="I884" t="str">
        <f t="shared" si="251"/>
        <v>"),MatchYear=</v>
      </c>
      <c r="J884">
        <f>Matchs!E883</f>
        <v>2018</v>
      </c>
      <c r="K884" t="str">
        <f t="shared" si="252"/>
        <v>, SeasonId= "</v>
      </c>
      <c r="L884" t="str">
        <f>Matchs!F883</f>
        <v>FIFAWC2018</v>
      </c>
      <c r="M884" t="str">
        <f t="shared" si="253"/>
        <v>",Round= "</v>
      </c>
      <c r="N884" t="str">
        <f>Matchs!G883</f>
        <v>Final Round</v>
      </c>
      <c r="O884" s="6" t="str">
        <f t="shared" si="254"/>
        <v>",Stage= "</v>
      </c>
      <c r="P884" t="str">
        <f>Matchs!H883</f>
        <v>Group</v>
      </c>
      <c r="Q884" s="6" t="str">
        <f t="shared" si="255"/>
        <v>",SubStage= "</v>
      </c>
      <c r="R884" t="str">
        <f>Matchs!I883</f>
        <v>Group H</v>
      </c>
      <c r="S884" s="6" t="str">
        <f t="shared" si="256"/>
        <v>",HTeam= "</v>
      </c>
      <c r="T884" t="str">
        <f>Matchs!J883</f>
        <v>Senegal</v>
      </c>
      <c r="U884" s="6" t="str">
        <f t="shared" si="257"/>
        <v>",HGoal=</v>
      </c>
      <c r="V884">
        <f>Matchs!K883</f>
        <v>0</v>
      </c>
      <c r="W884" s="6" t="str">
        <f t="shared" si="258"/>
        <v>,GGoal=</v>
      </c>
      <c r="X884">
        <f>Matchs!L883</f>
        <v>1</v>
      </c>
      <c r="Y884" s="6" t="str">
        <f t="shared" si="259"/>
        <v>,GTeam= "</v>
      </c>
      <c r="Z884" t="str">
        <f>Matchs!M883</f>
        <v>Colombia</v>
      </c>
      <c r="AA884" s="6" t="str">
        <f t="shared" si="260"/>
        <v>",WinNote="</v>
      </c>
      <c r="AB884" t="str">
        <f>IF(Matchs!N885="","",Matchs!N885)</f>
        <v/>
      </c>
      <c r="AC884" s="6" t="str">
        <f t="shared" si="261"/>
        <v xml:space="preserve">",Stadium=" </v>
      </c>
      <c r="AD884" s="11" t="str">
        <f>Matchs!O885</f>
        <v>Mordovia Arena</v>
      </c>
      <c r="AE884" s="6" t="str">
        <f t="shared" si="262"/>
        <v>",Referee= "</v>
      </c>
      <c r="AF884" s="11">
        <f>Matchs!P885</f>
        <v>0</v>
      </c>
      <c r="AG884" s="6" t="str">
        <f t="shared" si="263"/>
        <v xml:space="preserve">",Visistors= </v>
      </c>
      <c r="AH884" s="11">
        <f>Matchs!Q885</f>
        <v>0</v>
      </c>
      <c r="AI884" s="11" t="str">
        <f t="shared" si="264"/>
        <v>,Status= "</v>
      </c>
      <c r="AJ884" s="11" t="str">
        <f>Matchs!R885</f>
        <v>Finished</v>
      </c>
      <c r="AK884" t="str">
        <f t="shared" si="265"/>
        <v>" },</v>
      </c>
    </row>
    <row r="885" spans="1:37" x14ac:dyDescent="0.25">
      <c r="A885" t="str">
        <f t="shared" si="247"/>
        <v>new Match { MatchId= "</v>
      </c>
      <c r="B885" t="str">
        <f>Matchs!A886</f>
        <v>FIFAWC2018-49</v>
      </c>
      <c r="C885" t="str">
        <f t="shared" si="248"/>
        <v>",MatchNumer=</v>
      </c>
      <c r="D885">
        <f>Matchs!B886</f>
        <v>49</v>
      </c>
      <c r="E885" t="str">
        <f t="shared" si="249"/>
        <v>,DateMatch=DateTime.Parse("</v>
      </c>
      <c r="F885" s="3">
        <f>Matchs!C886</f>
        <v>43281</v>
      </c>
      <c r="G885" s="10" t="str">
        <f t="shared" si="250"/>
        <v>"),TimeMatch=TimeSpan.Parse("</v>
      </c>
      <c r="H885" s="9">
        <f>Matchs!D886</f>
        <v>0.875</v>
      </c>
      <c r="I885" t="str">
        <f t="shared" si="251"/>
        <v>"),MatchYear=</v>
      </c>
      <c r="J885">
        <f>Matchs!E886</f>
        <v>2018</v>
      </c>
      <c r="K885" t="str">
        <f t="shared" si="252"/>
        <v>, SeasonId= "</v>
      </c>
      <c r="L885" t="str">
        <f>Matchs!F886</f>
        <v>FIFAWC2018</v>
      </c>
      <c r="M885" t="str">
        <f t="shared" si="253"/>
        <v>",Round= "</v>
      </c>
      <c r="N885" t="str">
        <f>Matchs!G886</f>
        <v>Final Round</v>
      </c>
      <c r="O885" s="6" t="str">
        <f t="shared" si="254"/>
        <v>",Stage= "</v>
      </c>
      <c r="P885" t="str">
        <f>Matchs!H886</f>
        <v>Knockouts</v>
      </c>
      <c r="Q885" s="6" t="str">
        <f t="shared" si="255"/>
        <v>",SubStage= "</v>
      </c>
      <c r="R885" t="str">
        <f>Matchs!I886</f>
        <v xml:space="preserve">Round of 16 </v>
      </c>
      <c r="S885" s="6" t="str">
        <f t="shared" si="256"/>
        <v>",HTeam= "</v>
      </c>
      <c r="T885" t="str">
        <f>Matchs!J886</f>
        <v>France</v>
      </c>
      <c r="U885" s="6" t="str">
        <f t="shared" si="257"/>
        <v>",HGoal=</v>
      </c>
      <c r="V885">
        <f>Matchs!K886</f>
        <v>4</v>
      </c>
      <c r="W885" s="6" t="str">
        <f t="shared" si="258"/>
        <v>,GGoal=</v>
      </c>
      <c r="X885">
        <f>Matchs!L886</f>
        <v>3</v>
      </c>
      <c r="Y885" s="6" t="str">
        <f t="shared" si="259"/>
        <v>,GTeam= "</v>
      </c>
      <c r="Z885" t="str">
        <f>Matchs!M886</f>
        <v>Argentina</v>
      </c>
      <c r="AA885" s="6" t="str">
        <f t="shared" si="260"/>
        <v>",WinNote="</v>
      </c>
      <c r="AB885" t="str">
        <f>IF(Matchs!N886="","",Matchs!N886)</f>
        <v/>
      </c>
      <c r="AC885" s="6" t="str">
        <f t="shared" si="261"/>
        <v xml:space="preserve">",Stadium=" </v>
      </c>
      <c r="AD885" s="11" t="str">
        <f>Matchs!O886</f>
        <v>Kazan Arena</v>
      </c>
      <c r="AE885" s="6" t="str">
        <f t="shared" si="262"/>
        <v>",Referee= "</v>
      </c>
      <c r="AF885" s="11">
        <f>Matchs!P886</f>
        <v>0</v>
      </c>
      <c r="AG885" s="6" t="str">
        <f t="shared" si="263"/>
        <v xml:space="preserve">",Visistors= </v>
      </c>
      <c r="AH885" s="11">
        <f>Matchs!Q886</f>
        <v>0</v>
      </c>
      <c r="AI885" s="11" t="str">
        <f t="shared" si="264"/>
        <v>,Status= "</v>
      </c>
      <c r="AJ885" s="11" t="str">
        <f>Matchs!R886</f>
        <v>Finished</v>
      </c>
      <c r="AK885" t="str">
        <f t="shared" si="265"/>
        <v>" },</v>
      </c>
    </row>
    <row r="886" spans="1:37" x14ac:dyDescent="0.25">
      <c r="A886" t="str">
        <f t="shared" si="247"/>
        <v>new Match { MatchId= "</v>
      </c>
      <c r="B886" t="str">
        <f>Matchs!A887</f>
        <v>FIFAWC2018-50</v>
      </c>
      <c r="C886" t="str">
        <f t="shared" si="248"/>
        <v>",MatchNumer=</v>
      </c>
      <c r="D886">
        <f>Matchs!B887</f>
        <v>50</v>
      </c>
      <c r="E886" t="str">
        <f t="shared" si="249"/>
        <v>,DateMatch=DateTime.Parse("</v>
      </c>
      <c r="F886" s="3">
        <f>Matchs!C887</f>
        <v>43282</v>
      </c>
      <c r="G886" s="10" t="str">
        <f t="shared" si="250"/>
        <v>"),TimeMatch=TimeSpan.Parse("</v>
      </c>
      <c r="H886" s="9">
        <f>Matchs!D887</f>
        <v>4.1666666666666664E-2</v>
      </c>
      <c r="I886" t="str">
        <f t="shared" si="251"/>
        <v>"),MatchYear=</v>
      </c>
      <c r="J886">
        <f>Matchs!E887</f>
        <v>2018</v>
      </c>
      <c r="K886" t="str">
        <f t="shared" si="252"/>
        <v>, SeasonId= "</v>
      </c>
      <c r="L886" t="str">
        <f>Matchs!F887</f>
        <v>FIFAWC2018</v>
      </c>
      <c r="M886" t="str">
        <f t="shared" si="253"/>
        <v>",Round= "</v>
      </c>
      <c r="N886" t="str">
        <f>Matchs!G887</f>
        <v>Final Round</v>
      </c>
      <c r="O886" s="6" t="str">
        <f t="shared" si="254"/>
        <v>",Stage= "</v>
      </c>
      <c r="P886" t="str">
        <f>Matchs!H887</f>
        <v>Knockouts</v>
      </c>
      <c r="Q886" s="6" t="str">
        <f t="shared" si="255"/>
        <v>",SubStage= "</v>
      </c>
      <c r="R886" t="str">
        <f>Matchs!I887</f>
        <v xml:space="preserve">Round of 16 </v>
      </c>
      <c r="S886" s="6" t="str">
        <f t="shared" si="256"/>
        <v>",HTeam= "</v>
      </c>
      <c r="T886" t="str">
        <f>Matchs!J887</f>
        <v>Uruguay</v>
      </c>
      <c r="U886" s="6" t="str">
        <f t="shared" si="257"/>
        <v>",HGoal=</v>
      </c>
      <c r="V886">
        <f>Matchs!K887</f>
        <v>2</v>
      </c>
      <c r="W886" s="6" t="str">
        <f t="shared" si="258"/>
        <v>,GGoal=</v>
      </c>
      <c r="X886">
        <f>Matchs!L887</f>
        <v>1</v>
      </c>
      <c r="Y886" s="6" t="str">
        <f t="shared" si="259"/>
        <v>,GTeam= "</v>
      </c>
      <c r="Z886" t="str">
        <f>Matchs!M887</f>
        <v>Portugal</v>
      </c>
      <c r="AA886" s="6" t="str">
        <f t="shared" si="260"/>
        <v>",WinNote="</v>
      </c>
      <c r="AB886" t="str">
        <f>IF(Matchs!N887="","",Matchs!N887)</f>
        <v/>
      </c>
      <c r="AC886" s="6" t="str">
        <f t="shared" si="261"/>
        <v xml:space="preserve">",Stadium=" </v>
      </c>
      <c r="AD886" s="11" t="str">
        <f>Matchs!O887</f>
        <v>Fisht Stadium</v>
      </c>
      <c r="AE886" s="6" t="str">
        <f t="shared" si="262"/>
        <v>",Referee= "</v>
      </c>
      <c r="AF886" s="11">
        <f>Matchs!P887</f>
        <v>0</v>
      </c>
      <c r="AG886" s="6" t="str">
        <f t="shared" si="263"/>
        <v xml:space="preserve">",Visistors= </v>
      </c>
      <c r="AH886" s="11">
        <f>Matchs!Q887</f>
        <v>0</v>
      </c>
      <c r="AI886" s="11" t="str">
        <f t="shared" si="264"/>
        <v>,Status= "</v>
      </c>
      <c r="AJ886" s="11" t="str">
        <f>Matchs!R887</f>
        <v>Finished</v>
      </c>
      <c r="AK886" t="str">
        <f t="shared" si="265"/>
        <v>" },</v>
      </c>
    </row>
    <row r="887" spans="1:37" x14ac:dyDescent="0.25">
      <c r="A887" t="str">
        <f t="shared" si="247"/>
        <v>new Match { MatchId= "</v>
      </c>
      <c r="B887" t="str">
        <f>Matchs!A888</f>
        <v>FIFAWC2018-51</v>
      </c>
      <c r="C887" t="str">
        <f t="shared" si="248"/>
        <v>",MatchNumer=</v>
      </c>
      <c r="D887">
        <f>Matchs!B888</f>
        <v>51</v>
      </c>
      <c r="E887" t="str">
        <f t="shared" si="249"/>
        <v>,DateMatch=DateTime.Parse("</v>
      </c>
      <c r="F887" s="3">
        <f>Matchs!C888</f>
        <v>43282</v>
      </c>
      <c r="G887" s="10" t="str">
        <f t="shared" si="250"/>
        <v>"),TimeMatch=TimeSpan.Parse("</v>
      </c>
      <c r="H887" s="9">
        <f>Matchs!D888</f>
        <v>0.875</v>
      </c>
      <c r="I887" t="str">
        <f t="shared" si="251"/>
        <v>"),MatchYear=</v>
      </c>
      <c r="J887">
        <f>Matchs!E888</f>
        <v>2018</v>
      </c>
      <c r="K887" t="str">
        <f t="shared" si="252"/>
        <v>, SeasonId= "</v>
      </c>
      <c r="L887" t="str">
        <f>Matchs!F888</f>
        <v>FIFAWC2018</v>
      </c>
      <c r="M887" t="str">
        <f t="shared" si="253"/>
        <v>",Round= "</v>
      </c>
      <c r="N887" t="str">
        <f>Matchs!G888</f>
        <v>Final Round</v>
      </c>
      <c r="O887" s="6" t="str">
        <f t="shared" si="254"/>
        <v>",Stage= "</v>
      </c>
      <c r="P887" t="str">
        <f>Matchs!H888</f>
        <v>Knockouts</v>
      </c>
      <c r="Q887" s="6" t="str">
        <f t="shared" si="255"/>
        <v>",SubStage= "</v>
      </c>
      <c r="R887" t="str">
        <f>Matchs!I888</f>
        <v xml:space="preserve">Round of 16 </v>
      </c>
      <c r="S887" s="6" t="str">
        <f t="shared" si="256"/>
        <v>",HTeam= "</v>
      </c>
      <c r="T887" t="str">
        <f>Matchs!J888</f>
        <v>Russia</v>
      </c>
      <c r="U887" s="6" t="str">
        <f t="shared" si="257"/>
        <v>",HGoal=</v>
      </c>
      <c r="V887">
        <f>Matchs!K888</f>
        <v>1</v>
      </c>
      <c r="W887" s="6" t="str">
        <f t="shared" si="258"/>
        <v>,GGoal=</v>
      </c>
      <c r="X887">
        <f>Matchs!L888</f>
        <v>1</v>
      </c>
      <c r="Y887" s="6" t="str">
        <f t="shared" si="259"/>
        <v>,GTeam= "</v>
      </c>
      <c r="Z887" t="str">
        <f>Matchs!M888</f>
        <v>Spain</v>
      </c>
      <c r="AA887" s="6" t="str">
        <f t="shared" si="260"/>
        <v>",WinNote="</v>
      </c>
      <c r="AB887" t="str">
        <f>IF(Matchs!N888="","",Matchs!N888)</f>
        <v>Russia win 3 - 4 on penalties</v>
      </c>
      <c r="AC887" s="6" t="str">
        <f t="shared" si="261"/>
        <v xml:space="preserve">",Stadium=" </v>
      </c>
      <c r="AD887" s="11" t="str">
        <f>Matchs!O888</f>
        <v>Luzhniki Stadium</v>
      </c>
      <c r="AE887" s="6" t="str">
        <f t="shared" si="262"/>
        <v>",Referee= "</v>
      </c>
      <c r="AF887" s="11">
        <f>Matchs!P888</f>
        <v>0</v>
      </c>
      <c r="AG887" s="6" t="str">
        <f t="shared" si="263"/>
        <v xml:space="preserve">",Visistors= </v>
      </c>
      <c r="AH887" s="11">
        <f>Matchs!Q888</f>
        <v>0</v>
      </c>
      <c r="AI887" s="11" t="str">
        <f t="shared" si="264"/>
        <v>,Status= "</v>
      </c>
      <c r="AJ887" s="11" t="str">
        <f>Matchs!R888</f>
        <v>Finished</v>
      </c>
      <c r="AK887" t="str">
        <f t="shared" si="265"/>
        <v>" },</v>
      </c>
    </row>
    <row r="888" spans="1:37" x14ac:dyDescent="0.25">
      <c r="A888" t="str">
        <f t="shared" si="247"/>
        <v>new Match { MatchId= "</v>
      </c>
      <c r="B888" t="str">
        <f>Matchs!A889</f>
        <v>FIFAWC2018-52</v>
      </c>
      <c r="C888" t="str">
        <f t="shared" si="248"/>
        <v>",MatchNumer=</v>
      </c>
      <c r="D888">
        <f>Matchs!B889</f>
        <v>52</v>
      </c>
      <c r="E888" t="str">
        <f t="shared" si="249"/>
        <v>,DateMatch=DateTime.Parse("</v>
      </c>
      <c r="F888" s="3">
        <f>Matchs!C889</f>
        <v>43283</v>
      </c>
      <c r="G888" s="10" t="str">
        <f t="shared" si="250"/>
        <v>"),TimeMatch=TimeSpan.Parse("</v>
      </c>
      <c r="H888" s="9">
        <f>Matchs!D889</f>
        <v>4.1666666666666664E-2</v>
      </c>
      <c r="I888" t="str">
        <f t="shared" si="251"/>
        <v>"),MatchYear=</v>
      </c>
      <c r="J888">
        <f>Matchs!E889</f>
        <v>2018</v>
      </c>
      <c r="K888" t="str">
        <f t="shared" si="252"/>
        <v>, SeasonId= "</v>
      </c>
      <c r="L888" t="str">
        <f>Matchs!F889</f>
        <v>FIFAWC2018</v>
      </c>
      <c r="M888" t="str">
        <f t="shared" si="253"/>
        <v>",Round= "</v>
      </c>
      <c r="N888" t="str">
        <f>Matchs!G889</f>
        <v>Final Round</v>
      </c>
      <c r="O888" s="6" t="str">
        <f t="shared" si="254"/>
        <v>",Stage= "</v>
      </c>
      <c r="P888" t="str">
        <f>Matchs!H889</f>
        <v>Knockouts</v>
      </c>
      <c r="Q888" s="6" t="str">
        <f t="shared" si="255"/>
        <v>",SubStage= "</v>
      </c>
      <c r="R888" t="str">
        <f>Matchs!I889</f>
        <v xml:space="preserve">Round of 16 </v>
      </c>
      <c r="S888" s="6" t="str">
        <f t="shared" si="256"/>
        <v>",HTeam= "</v>
      </c>
      <c r="T888" t="str">
        <f>Matchs!J889</f>
        <v>Denmark</v>
      </c>
      <c r="U888" s="6" t="str">
        <f t="shared" si="257"/>
        <v>",HGoal=</v>
      </c>
      <c r="V888">
        <f>Matchs!K889</f>
        <v>1</v>
      </c>
      <c r="W888" s="6" t="str">
        <f t="shared" si="258"/>
        <v>,GGoal=</v>
      </c>
      <c r="X888">
        <f>Matchs!L889</f>
        <v>1</v>
      </c>
      <c r="Y888" s="6" t="str">
        <f t="shared" si="259"/>
        <v>,GTeam= "</v>
      </c>
      <c r="Z888" t="str">
        <f>Matchs!M889</f>
        <v>Croatia</v>
      </c>
      <c r="AA888" s="6" t="str">
        <f t="shared" si="260"/>
        <v>",WinNote="</v>
      </c>
      <c r="AB888" t="str">
        <f>IF(Matchs!N889="","",Matchs!N889)</f>
        <v>Croatia win 3 - 2 on penalties</v>
      </c>
      <c r="AC888" s="6" t="str">
        <f t="shared" si="261"/>
        <v xml:space="preserve">",Stadium=" </v>
      </c>
      <c r="AD888" s="11" t="str">
        <f>Matchs!O889</f>
        <v>Nizhny Novgorod Stadium</v>
      </c>
      <c r="AE888" s="6" t="str">
        <f t="shared" si="262"/>
        <v>",Referee= "</v>
      </c>
      <c r="AF888" s="11">
        <f>Matchs!P889</f>
        <v>0</v>
      </c>
      <c r="AG888" s="6" t="str">
        <f t="shared" si="263"/>
        <v xml:space="preserve">",Visistors= </v>
      </c>
      <c r="AH888" s="11">
        <f>Matchs!Q889</f>
        <v>0</v>
      </c>
      <c r="AI888" s="11" t="str">
        <f t="shared" si="264"/>
        <v>,Status= "</v>
      </c>
      <c r="AJ888" s="11" t="str">
        <f>Matchs!R889</f>
        <v>Finished</v>
      </c>
      <c r="AK888" t="str">
        <f t="shared" si="265"/>
        <v>" },</v>
      </c>
    </row>
    <row r="889" spans="1:37" x14ac:dyDescent="0.25">
      <c r="A889" t="str">
        <f t="shared" si="247"/>
        <v>new Match { MatchId= "</v>
      </c>
      <c r="B889" t="str">
        <f>Matchs!A890</f>
        <v>FIFAWC2018-53</v>
      </c>
      <c r="C889" t="str">
        <f t="shared" si="248"/>
        <v>",MatchNumer=</v>
      </c>
      <c r="D889">
        <f>Matchs!B890</f>
        <v>53</v>
      </c>
      <c r="E889" t="str">
        <f t="shared" si="249"/>
        <v>,DateMatch=DateTime.Parse("</v>
      </c>
      <c r="F889" s="3">
        <f>Matchs!C890</f>
        <v>43283</v>
      </c>
      <c r="G889" s="10" t="str">
        <f t="shared" si="250"/>
        <v>"),TimeMatch=TimeSpan.Parse("</v>
      </c>
      <c r="H889" s="9">
        <f>Matchs!D890</f>
        <v>0.875</v>
      </c>
      <c r="I889" t="str">
        <f t="shared" si="251"/>
        <v>"),MatchYear=</v>
      </c>
      <c r="J889">
        <f>Matchs!E890</f>
        <v>2018</v>
      </c>
      <c r="K889" t="str">
        <f t="shared" si="252"/>
        <v>, SeasonId= "</v>
      </c>
      <c r="L889" t="str">
        <f>Matchs!F890</f>
        <v>FIFAWC2018</v>
      </c>
      <c r="M889" t="str">
        <f t="shared" si="253"/>
        <v>",Round= "</v>
      </c>
      <c r="N889" t="str">
        <f>Matchs!G890</f>
        <v>Final Round</v>
      </c>
      <c r="O889" s="6" t="str">
        <f t="shared" si="254"/>
        <v>",Stage= "</v>
      </c>
      <c r="P889" t="str">
        <f>Matchs!H890</f>
        <v>Knockouts</v>
      </c>
      <c r="Q889" s="6" t="str">
        <f t="shared" si="255"/>
        <v>",SubStage= "</v>
      </c>
      <c r="R889" t="str">
        <f>Matchs!I890</f>
        <v xml:space="preserve">Round of 16 </v>
      </c>
      <c r="S889" s="6" t="str">
        <f t="shared" si="256"/>
        <v>",HTeam= "</v>
      </c>
      <c r="T889" t="str">
        <f>Matchs!J890</f>
        <v>Brazil</v>
      </c>
      <c r="U889" s="6" t="str">
        <f t="shared" si="257"/>
        <v>",HGoal=</v>
      </c>
      <c r="V889">
        <f>Matchs!K890</f>
        <v>2</v>
      </c>
      <c r="W889" s="6" t="str">
        <f t="shared" si="258"/>
        <v>,GGoal=</v>
      </c>
      <c r="X889">
        <f>Matchs!L890</f>
        <v>0</v>
      </c>
      <c r="Y889" s="6" t="str">
        <f t="shared" si="259"/>
        <v>,GTeam= "</v>
      </c>
      <c r="Z889" t="str">
        <f>Matchs!M890</f>
        <v>Mexico</v>
      </c>
      <c r="AA889" s="6" t="str">
        <f t="shared" si="260"/>
        <v>",WinNote="</v>
      </c>
      <c r="AB889" t="str">
        <f>IF(Matchs!N890="","",Matchs!N890)</f>
        <v/>
      </c>
      <c r="AC889" s="6" t="str">
        <f t="shared" si="261"/>
        <v xml:space="preserve">",Stadium=" </v>
      </c>
      <c r="AD889" s="11" t="str">
        <f>Matchs!O890</f>
        <v>Samara Arena</v>
      </c>
      <c r="AE889" s="6" t="str">
        <f t="shared" si="262"/>
        <v>",Referee= "</v>
      </c>
      <c r="AF889" s="11">
        <f>Matchs!P890</f>
        <v>0</v>
      </c>
      <c r="AG889" s="6" t="str">
        <f t="shared" si="263"/>
        <v xml:space="preserve">",Visistors= </v>
      </c>
      <c r="AH889" s="11">
        <f>Matchs!Q890</f>
        <v>0</v>
      </c>
      <c r="AI889" s="11" t="str">
        <f t="shared" si="264"/>
        <v>,Status= "</v>
      </c>
      <c r="AJ889" s="11" t="str">
        <f>Matchs!R890</f>
        <v>Finished</v>
      </c>
      <c r="AK889" t="str">
        <f t="shared" si="265"/>
        <v>" },</v>
      </c>
    </row>
    <row r="890" spans="1:37" x14ac:dyDescent="0.25">
      <c r="A890" t="str">
        <f t="shared" si="247"/>
        <v>new Match { MatchId= "</v>
      </c>
      <c r="B890" t="str">
        <f>Matchs!A891</f>
        <v>FIFAWC2018-54</v>
      </c>
      <c r="C890" t="str">
        <f t="shared" si="248"/>
        <v>",MatchNumer=</v>
      </c>
      <c r="D890">
        <f>Matchs!B891</f>
        <v>54</v>
      </c>
      <c r="E890" t="str">
        <f t="shared" si="249"/>
        <v>,DateMatch=DateTime.Parse("</v>
      </c>
      <c r="F890" s="3">
        <f>Matchs!C891</f>
        <v>43284</v>
      </c>
      <c r="G890" s="10" t="str">
        <f t="shared" si="250"/>
        <v>"),TimeMatch=TimeSpan.Parse("</v>
      </c>
      <c r="H890" s="9">
        <f>Matchs!D891</f>
        <v>4.1666666666666664E-2</v>
      </c>
      <c r="I890" t="str">
        <f t="shared" si="251"/>
        <v>"),MatchYear=</v>
      </c>
      <c r="J890">
        <f>Matchs!E891</f>
        <v>2018</v>
      </c>
      <c r="K890" t="str">
        <f t="shared" si="252"/>
        <v>, SeasonId= "</v>
      </c>
      <c r="L890" t="str">
        <f>Matchs!F891</f>
        <v>FIFAWC2018</v>
      </c>
      <c r="M890" t="str">
        <f t="shared" si="253"/>
        <v>",Round= "</v>
      </c>
      <c r="N890" t="str">
        <f>Matchs!G891</f>
        <v>Final Round</v>
      </c>
      <c r="O890" s="6" t="str">
        <f t="shared" si="254"/>
        <v>",Stage= "</v>
      </c>
      <c r="P890" t="str">
        <f>Matchs!H891</f>
        <v>Knockouts</v>
      </c>
      <c r="Q890" s="6" t="str">
        <f t="shared" si="255"/>
        <v>",SubStage= "</v>
      </c>
      <c r="R890" t="str">
        <f>Matchs!I891</f>
        <v xml:space="preserve">Round of 16 </v>
      </c>
      <c r="S890" s="6" t="str">
        <f t="shared" si="256"/>
        <v>",HTeam= "</v>
      </c>
      <c r="T890" t="str">
        <f>Matchs!J891</f>
        <v>Belgium</v>
      </c>
      <c r="U890" s="6" t="str">
        <f t="shared" si="257"/>
        <v>",HGoal=</v>
      </c>
      <c r="V890">
        <f>Matchs!K891</f>
        <v>3</v>
      </c>
      <c r="W890" s="6" t="str">
        <f t="shared" si="258"/>
        <v>,GGoal=</v>
      </c>
      <c r="X890">
        <f>Matchs!L891</f>
        <v>2</v>
      </c>
      <c r="Y890" s="6" t="str">
        <f t="shared" si="259"/>
        <v>,GTeam= "</v>
      </c>
      <c r="Z890" t="str">
        <f>Matchs!M891</f>
        <v>Japan</v>
      </c>
      <c r="AA890" s="6" t="str">
        <f t="shared" si="260"/>
        <v>",WinNote="</v>
      </c>
      <c r="AB890" t="str">
        <f>IF(Matchs!N891="","",Matchs!N891)</f>
        <v/>
      </c>
      <c r="AC890" s="6" t="str">
        <f t="shared" si="261"/>
        <v xml:space="preserve">",Stadium=" </v>
      </c>
      <c r="AD890" s="11" t="str">
        <f>Matchs!O891</f>
        <v>Rostov Arena</v>
      </c>
      <c r="AE890" s="6" t="str">
        <f t="shared" si="262"/>
        <v>",Referee= "</v>
      </c>
      <c r="AF890" s="11">
        <f>Matchs!P891</f>
        <v>0</v>
      </c>
      <c r="AG890" s="6" t="str">
        <f t="shared" si="263"/>
        <v xml:space="preserve">",Visistors= </v>
      </c>
      <c r="AH890" s="11">
        <f>Matchs!Q891</f>
        <v>0</v>
      </c>
      <c r="AI890" s="11" t="str">
        <f t="shared" si="264"/>
        <v>,Status= "</v>
      </c>
      <c r="AJ890" s="11" t="str">
        <f>Matchs!R891</f>
        <v>Finished</v>
      </c>
      <c r="AK890" t="str">
        <f t="shared" si="265"/>
        <v>" },</v>
      </c>
    </row>
    <row r="891" spans="1:37" x14ac:dyDescent="0.25">
      <c r="A891" t="str">
        <f t="shared" si="247"/>
        <v>new Match { MatchId= "</v>
      </c>
      <c r="B891" t="str">
        <f>Matchs!A892</f>
        <v>FIFAWC2018-55</v>
      </c>
      <c r="C891" t="str">
        <f t="shared" si="248"/>
        <v>",MatchNumer=</v>
      </c>
      <c r="D891">
        <f>Matchs!B892</f>
        <v>55</v>
      </c>
      <c r="E891" t="str">
        <f t="shared" si="249"/>
        <v>,DateMatch=DateTime.Parse("</v>
      </c>
      <c r="F891" s="3">
        <f>Matchs!C892</f>
        <v>43284</v>
      </c>
      <c r="G891" s="10" t="str">
        <f t="shared" si="250"/>
        <v>"),TimeMatch=TimeSpan.Parse("</v>
      </c>
      <c r="H891" s="9">
        <f>Matchs!D892</f>
        <v>0.875</v>
      </c>
      <c r="I891" t="str">
        <f t="shared" si="251"/>
        <v>"),MatchYear=</v>
      </c>
      <c r="J891">
        <f>Matchs!E892</f>
        <v>2018</v>
      </c>
      <c r="K891" t="str">
        <f t="shared" si="252"/>
        <v>, SeasonId= "</v>
      </c>
      <c r="L891" t="str">
        <f>Matchs!F892</f>
        <v>FIFAWC2018</v>
      </c>
      <c r="M891" t="str">
        <f t="shared" si="253"/>
        <v>",Round= "</v>
      </c>
      <c r="N891" t="str">
        <f>Matchs!G892</f>
        <v>Final Round</v>
      </c>
      <c r="O891" s="6" t="str">
        <f t="shared" si="254"/>
        <v>",Stage= "</v>
      </c>
      <c r="P891" t="str">
        <f>Matchs!H892</f>
        <v>Knockouts</v>
      </c>
      <c r="Q891" s="6" t="str">
        <f t="shared" si="255"/>
        <v>",SubStage= "</v>
      </c>
      <c r="R891" t="str">
        <f>Matchs!I892</f>
        <v xml:space="preserve">Round of 16 </v>
      </c>
      <c r="S891" s="6" t="str">
        <f t="shared" si="256"/>
        <v>",HTeam= "</v>
      </c>
      <c r="T891" t="str">
        <f>Matchs!J892</f>
        <v>Sweden</v>
      </c>
      <c r="U891" s="6" t="str">
        <f t="shared" si="257"/>
        <v>",HGoal=</v>
      </c>
      <c r="V891">
        <f>Matchs!K892</f>
        <v>1</v>
      </c>
      <c r="W891" s="6" t="str">
        <f t="shared" si="258"/>
        <v>,GGoal=</v>
      </c>
      <c r="X891">
        <f>Matchs!L892</f>
        <v>0</v>
      </c>
      <c r="Y891" s="6" t="str">
        <f t="shared" si="259"/>
        <v>,GTeam= "</v>
      </c>
      <c r="Z891" t="str">
        <f>Matchs!M892</f>
        <v>Switzerland</v>
      </c>
      <c r="AA891" s="6" t="str">
        <f t="shared" si="260"/>
        <v>",WinNote="</v>
      </c>
      <c r="AB891" t="str">
        <f>IF(Matchs!N892="","",Matchs!N892)</f>
        <v/>
      </c>
      <c r="AC891" s="6" t="str">
        <f t="shared" si="261"/>
        <v xml:space="preserve">",Stadium=" </v>
      </c>
      <c r="AD891" s="11" t="str">
        <f>Matchs!O892</f>
        <v>Saint Petersburg Stadium</v>
      </c>
      <c r="AE891" s="6" t="str">
        <f t="shared" si="262"/>
        <v>",Referee= "</v>
      </c>
      <c r="AF891" s="11">
        <f>Matchs!P892</f>
        <v>0</v>
      </c>
      <c r="AG891" s="6" t="str">
        <f t="shared" si="263"/>
        <v xml:space="preserve">",Visistors= </v>
      </c>
      <c r="AH891" s="11">
        <f>Matchs!Q892</f>
        <v>0</v>
      </c>
      <c r="AI891" s="11" t="str">
        <f t="shared" si="264"/>
        <v>,Status= "</v>
      </c>
      <c r="AJ891" s="11" t="str">
        <f>Matchs!R892</f>
        <v>Finished</v>
      </c>
      <c r="AK891" t="str">
        <f t="shared" si="265"/>
        <v>" },</v>
      </c>
    </row>
    <row r="892" spans="1:37" x14ac:dyDescent="0.25">
      <c r="A892" t="str">
        <f t="shared" si="247"/>
        <v>new Match { MatchId= "</v>
      </c>
      <c r="B892" t="str">
        <f>Matchs!A893</f>
        <v>FIFAWC2018-56</v>
      </c>
      <c r="C892" t="str">
        <f t="shared" si="248"/>
        <v>",MatchNumer=</v>
      </c>
      <c r="D892">
        <f>Matchs!B893</f>
        <v>56</v>
      </c>
      <c r="E892" t="str">
        <f t="shared" si="249"/>
        <v>,DateMatch=DateTime.Parse("</v>
      </c>
      <c r="F892" s="3">
        <f>Matchs!C893</f>
        <v>43285</v>
      </c>
      <c r="G892" s="10" t="str">
        <f t="shared" si="250"/>
        <v>"),TimeMatch=TimeSpan.Parse("</v>
      </c>
      <c r="H892" s="9">
        <f>Matchs!D893</f>
        <v>4.1666666666666664E-2</v>
      </c>
      <c r="I892" t="str">
        <f t="shared" si="251"/>
        <v>"),MatchYear=</v>
      </c>
      <c r="J892">
        <f>Matchs!E893</f>
        <v>2018</v>
      </c>
      <c r="K892" t="str">
        <f t="shared" si="252"/>
        <v>, SeasonId= "</v>
      </c>
      <c r="L892" t="str">
        <f>Matchs!F893</f>
        <v>FIFAWC2018</v>
      </c>
      <c r="M892" t="str">
        <f t="shared" si="253"/>
        <v>",Round= "</v>
      </c>
      <c r="N892" t="str">
        <f>Matchs!G893</f>
        <v>Final Round</v>
      </c>
      <c r="O892" s="6" t="str">
        <f t="shared" si="254"/>
        <v>",Stage= "</v>
      </c>
      <c r="P892" t="str">
        <f>Matchs!H893</f>
        <v>Knockouts</v>
      </c>
      <c r="Q892" s="6" t="str">
        <f t="shared" si="255"/>
        <v>",SubStage= "</v>
      </c>
      <c r="R892" t="str">
        <f>Matchs!I893</f>
        <v xml:space="preserve">Round of 16 </v>
      </c>
      <c r="S892" s="6" t="str">
        <f t="shared" si="256"/>
        <v>",HTeam= "</v>
      </c>
      <c r="T892" t="str">
        <f>Matchs!J893</f>
        <v>England</v>
      </c>
      <c r="U892" s="6" t="str">
        <f t="shared" si="257"/>
        <v>",HGoal=</v>
      </c>
      <c r="V892">
        <f>Matchs!K893</f>
        <v>1</v>
      </c>
      <c r="W892" s="6" t="str">
        <f t="shared" si="258"/>
        <v>,GGoal=</v>
      </c>
      <c r="X892">
        <f>Matchs!L893</f>
        <v>1</v>
      </c>
      <c r="Y892" s="6" t="str">
        <f t="shared" si="259"/>
        <v>,GTeam= "</v>
      </c>
      <c r="Z892" t="str">
        <f>Matchs!M893</f>
        <v>Colombia</v>
      </c>
      <c r="AA892" s="6" t="str">
        <f t="shared" si="260"/>
        <v>",WinNote="</v>
      </c>
      <c r="AB892" t="str">
        <f>IF(Matchs!N893="","",Matchs!N893)</f>
        <v>England win 3 - 4 on penalties</v>
      </c>
      <c r="AC892" s="6" t="str">
        <f t="shared" si="261"/>
        <v xml:space="preserve">",Stadium=" </v>
      </c>
      <c r="AD892" s="11" t="str">
        <f>Matchs!O893</f>
        <v>Spartak Stadium</v>
      </c>
      <c r="AE892" s="6" t="str">
        <f t="shared" si="262"/>
        <v>",Referee= "</v>
      </c>
      <c r="AF892" s="11">
        <f>Matchs!P893</f>
        <v>0</v>
      </c>
      <c r="AG892" s="6" t="str">
        <f t="shared" si="263"/>
        <v xml:space="preserve">",Visistors= </v>
      </c>
      <c r="AH892" s="11">
        <f>Matchs!Q893</f>
        <v>0</v>
      </c>
      <c r="AI892" s="11" t="str">
        <f t="shared" si="264"/>
        <v>,Status= "</v>
      </c>
      <c r="AJ892" s="11" t="str">
        <f>Matchs!R893</f>
        <v>Finished</v>
      </c>
      <c r="AK892" t="str">
        <f t="shared" si="265"/>
        <v>" },</v>
      </c>
    </row>
    <row r="893" spans="1:37" x14ac:dyDescent="0.25">
      <c r="A893" t="str">
        <f t="shared" si="247"/>
        <v>new Match { MatchId= "</v>
      </c>
      <c r="B893" t="str">
        <f>Matchs!A894</f>
        <v>FIFAWC2018-57</v>
      </c>
      <c r="C893" t="str">
        <f t="shared" si="248"/>
        <v>",MatchNumer=</v>
      </c>
      <c r="D893">
        <f>Matchs!B894</f>
        <v>57</v>
      </c>
      <c r="E893" t="str">
        <f t="shared" si="249"/>
        <v>,DateMatch=DateTime.Parse("</v>
      </c>
      <c r="F893" s="3">
        <f>Matchs!C894</f>
        <v>43287</v>
      </c>
      <c r="G893" s="10" t="str">
        <f t="shared" si="250"/>
        <v>"),TimeMatch=TimeSpan.Parse("</v>
      </c>
      <c r="H893" s="9">
        <f>Matchs!D894</f>
        <v>0.875</v>
      </c>
      <c r="I893" t="str">
        <f t="shared" si="251"/>
        <v>"),MatchYear=</v>
      </c>
      <c r="J893">
        <f>Matchs!E894</f>
        <v>2018</v>
      </c>
      <c r="K893" t="str">
        <f t="shared" si="252"/>
        <v>, SeasonId= "</v>
      </c>
      <c r="L893" t="str">
        <f>Matchs!F894</f>
        <v>FIFAWC2018</v>
      </c>
      <c r="M893" t="str">
        <f t="shared" si="253"/>
        <v>",Round= "</v>
      </c>
      <c r="N893" t="str">
        <f>Matchs!G894</f>
        <v>Final Round</v>
      </c>
      <c r="O893" s="6" t="str">
        <f t="shared" si="254"/>
        <v>",Stage= "</v>
      </c>
      <c r="P893" t="str">
        <f>Matchs!H894</f>
        <v>Knockouts</v>
      </c>
      <c r="Q893" s="6" t="str">
        <f t="shared" si="255"/>
        <v>",SubStage= "</v>
      </c>
      <c r="R893" t="str">
        <f>Matchs!I894</f>
        <v>Quaterfinal</v>
      </c>
      <c r="S893" s="6" t="str">
        <f t="shared" si="256"/>
        <v>",HTeam= "</v>
      </c>
      <c r="T893" t="str">
        <f>Matchs!J894</f>
        <v>France</v>
      </c>
      <c r="U893" s="6" t="str">
        <f t="shared" si="257"/>
        <v>",HGoal=</v>
      </c>
      <c r="V893">
        <f>Matchs!K894</f>
        <v>2</v>
      </c>
      <c r="W893" s="6" t="str">
        <f t="shared" si="258"/>
        <v>,GGoal=</v>
      </c>
      <c r="X893">
        <f>Matchs!L894</f>
        <v>0</v>
      </c>
      <c r="Y893" s="6" t="str">
        <f t="shared" si="259"/>
        <v>,GTeam= "</v>
      </c>
      <c r="Z893" t="str">
        <f>Matchs!M894</f>
        <v>Uruguay</v>
      </c>
      <c r="AA893" s="6" t="str">
        <f t="shared" si="260"/>
        <v>",WinNote="</v>
      </c>
      <c r="AB893" t="str">
        <f>IF(Matchs!N894="","",Matchs!N894)</f>
        <v/>
      </c>
      <c r="AC893" s="6" t="str">
        <f t="shared" si="261"/>
        <v xml:space="preserve">",Stadium=" </v>
      </c>
      <c r="AD893" s="11" t="str">
        <f>Matchs!O894</f>
        <v>Saint Petersburg Stadium</v>
      </c>
      <c r="AE893" s="6" t="str">
        <f t="shared" si="262"/>
        <v>",Referee= "</v>
      </c>
      <c r="AF893" s="11">
        <f>Matchs!P894</f>
        <v>0</v>
      </c>
      <c r="AG893" s="6" t="str">
        <f t="shared" si="263"/>
        <v xml:space="preserve">",Visistors= </v>
      </c>
      <c r="AH893" s="11">
        <f>Matchs!Q894</f>
        <v>0</v>
      </c>
      <c r="AI893" s="11" t="str">
        <f t="shared" si="264"/>
        <v>,Status= "</v>
      </c>
      <c r="AJ893" s="11" t="str">
        <f>Matchs!R894</f>
        <v>Finished</v>
      </c>
      <c r="AK893" t="str">
        <f t="shared" si="265"/>
        <v>" },</v>
      </c>
    </row>
    <row r="894" spans="1:37" x14ac:dyDescent="0.25">
      <c r="A894" t="str">
        <f t="shared" si="247"/>
        <v>new Match { MatchId= "</v>
      </c>
      <c r="B894" t="str">
        <f>Matchs!A895</f>
        <v>FIFAWC2018-58</v>
      </c>
      <c r="C894" t="str">
        <f t="shared" si="248"/>
        <v>",MatchNumer=</v>
      </c>
      <c r="D894">
        <f>Matchs!B895</f>
        <v>58</v>
      </c>
      <c r="E894" t="str">
        <f t="shared" si="249"/>
        <v>,DateMatch=DateTime.Parse("</v>
      </c>
      <c r="F894" s="3">
        <f>Matchs!C895</f>
        <v>43288</v>
      </c>
      <c r="G894" s="10" t="str">
        <f t="shared" si="250"/>
        <v>"),TimeMatch=TimeSpan.Parse("</v>
      </c>
      <c r="H894" s="9">
        <f>Matchs!D895</f>
        <v>4.1666666666666664E-2</v>
      </c>
      <c r="I894" t="str">
        <f t="shared" si="251"/>
        <v>"),MatchYear=</v>
      </c>
      <c r="J894">
        <f>Matchs!E895</f>
        <v>2018</v>
      </c>
      <c r="K894" t="str">
        <f t="shared" si="252"/>
        <v>, SeasonId= "</v>
      </c>
      <c r="L894" t="str">
        <f>Matchs!F895</f>
        <v>FIFAWC2018</v>
      </c>
      <c r="M894" t="str">
        <f t="shared" si="253"/>
        <v>",Round= "</v>
      </c>
      <c r="N894" t="str">
        <f>Matchs!G895</f>
        <v>Final Round</v>
      </c>
      <c r="O894" s="6" t="str">
        <f t="shared" si="254"/>
        <v>",Stage= "</v>
      </c>
      <c r="P894" t="str">
        <f>Matchs!H895</f>
        <v>Knockouts</v>
      </c>
      <c r="Q894" s="6" t="str">
        <f t="shared" si="255"/>
        <v>",SubStage= "</v>
      </c>
      <c r="R894" t="str">
        <f>Matchs!I895</f>
        <v>Quaterfinal</v>
      </c>
      <c r="S894" s="6" t="str">
        <f t="shared" si="256"/>
        <v>",HTeam= "</v>
      </c>
      <c r="T894" t="str">
        <f>Matchs!J895</f>
        <v>Belgium</v>
      </c>
      <c r="U894" s="6" t="str">
        <f t="shared" si="257"/>
        <v>",HGoal=</v>
      </c>
      <c r="V894">
        <f>Matchs!K895</f>
        <v>2</v>
      </c>
      <c r="W894" s="6" t="str">
        <f t="shared" si="258"/>
        <v>,GGoal=</v>
      </c>
      <c r="X894">
        <f>Matchs!L895</f>
        <v>1</v>
      </c>
      <c r="Y894" s="6" t="str">
        <f t="shared" si="259"/>
        <v>,GTeam= "</v>
      </c>
      <c r="Z894" t="str">
        <f>Matchs!M895</f>
        <v>Brazil</v>
      </c>
      <c r="AA894" s="6" t="str">
        <f t="shared" si="260"/>
        <v>",WinNote="</v>
      </c>
      <c r="AB894" t="str">
        <f>IF(Matchs!N895="","",Matchs!N895)</f>
        <v/>
      </c>
      <c r="AC894" s="6" t="str">
        <f t="shared" si="261"/>
        <v xml:space="preserve">",Stadium=" </v>
      </c>
      <c r="AD894" s="11" t="str">
        <f>Matchs!O895</f>
        <v>Luzhniki Stadium</v>
      </c>
      <c r="AE894" s="6" t="str">
        <f t="shared" si="262"/>
        <v>",Referee= "</v>
      </c>
      <c r="AF894" s="11">
        <f>Matchs!P895</f>
        <v>0</v>
      </c>
      <c r="AG894" s="6" t="str">
        <f t="shared" si="263"/>
        <v xml:space="preserve">",Visistors= </v>
      </c>
      <c r="AH894" s="11">
        <f>Matchs!Q895</f>
        <v>0</v>
      </c>
      <c r="AI894" s="11" t="str">
        <f t="shared" si="264"/>
        <v>,Status= "</v>
      </c>
      <c r="AJ894" s="11" t="str">
        <f>Matchs!R895</f>
        <v>Finished</v>
      </c>
      <c r="AK894" t="str">
        <f t="shared" si="265"/>
        <v>" },</v>
      </c>
    </row>
    <row r="895" spans="1:37" x14ac:dyDescent="0.25">
      <c r="A895" t="str">
        <f t="shared" si="247"/>
        <v>new Match { MatchId= "</v>
      </c>
      <c r="B895" t="str">
        <f>Matchs!A896</f>
        <v>FIFAWC2018-59</v>
      </c>
      <c r="C895" t="str">
        <f t="shared" si="248"/>
        <v>",MatchNumer=</v>
      </c>
      <c r="D895">
        <f>Matchs!B896</f>
        <v>59</v>
      </c>
      <c r="E895" t="str">
        <f t="shared" si="249"/>
        <v>,DateMatch=DateTime.Parse("</v>
      </c>
      <c r="F895" s="3">
        <f>Matchs!C896</f>
        <v>43288</v>
      </c>
      <c r="G895" s="10" t="str">
        <f t="shared" si="250"/>
        <v>"),TimeMatch=TimeSpan.Parse("</v>
      </c>
      <c r="H895" s="9">
        <f>Matchs!D896</f>
        <v>0.875</v>
      </c>
      <c r="I895" t="str">
        <f t="shared" si="251"/>
        <v>"),MatchYear=</v>
      </c>
      <c r="J895">
        <f>Matchs!E896</f>
        <v>2018</v>
      </c>
      <c r="K895" t="str">
        <f t="shared" si="252"/>
        <v>, SeasonId= "</v>
      </c>
      <c r="L895" t="str">
        <f>Matchs!F896</f>
        <v>FIFAWC2018</v>
      </c>
      <c r="M895" t="str">
        <f t="shared" si="253"/>
        <v>",Round= "</v>
      </c>
      <c r="N895" t="str">
        <f>Matchs!G896</f>
        <v>Final Round</v>
      </c>
      <c r="O895" s="6" t="str">
        <f t="shared" si="254"/>
        <v>",Stage= "</v>
      </c>
      <c r="P895" t="str">
        <f>Matchs!H896</f>
        <v>Knockouts</v>
      </c>
      <c r="Q895" s="6" t="str">
        <f t="shared" si="255"/>
        <v>",SubStage= "</v>
      </c>
      <c r="R895" t="str">
        <f>Matchs!I896</f>
        <v>Quaterfinal</v>
      </c>
      <c r="S895" s="6" t="str">
        <f t="shared" si="256"/>
        <v>",HTeam= "</v>
      </c>
      <c r="T895" t="str">
        <f>Matchs!J896</f>
        <v>England</v>
      </c>
      <c r="U895" s="6" t="str">
        <f t="shared" si="257"/>
        <v>",HGoal=</v>
      </c>
      <c r="V895">
        <f>Matchs!K896</f>
        <v>2</v>
      </c>
      <c r="W895" s="6" t="str">
        <f t="shared" si="258"/>
        <v>,GGoal=</v>
      </c>
      <c r="X895">
        <f>Matchs!L896</f>
        <v>0</v>
      </c>
      <c r="Y895" s="6" t="str">
        <f t="shared" si="259"/>
        <v>,GTeam= "</v>
      </c>
      <c r="Z895" t="str">
        <f>Matchs!M896</f>
        <v>Sweden</v>
      </c>
      <c r="AA895" s="6" t="str">
        <f t="shared" si="260"/>
        <v>",WinNote="</v>
      </c>
      <c r="AB895" t="str">
        <f>IF(Matchs!N896="","",Matchs!N896)</f>
        <v/>
      </c>
      <c r="AC895" s="6" t="str">
        <f t="shared" si="261"/>
        <v xml:space="preserve">",Stadium=" </v>
      </c>
      <c r="AD895" s="11" t="str">
        <f>Matchs!O896</f>
        <v>Samara Arena</v>
      </c>
      <c r="AE895" s="6" t="str">
        <f t="shared" si="262"/>
        <v>",Referee= "</v>
      </c>
      <c r="AF895" s="11">
        <f>Matchs!P896</f>
        <v>0</v>
      </c>
      <c r="AG895" s="6" t="str">
        <f t="shared" si="263"/>
        <v xml:space="preserve">",Visistors= </v>
      </c>
      <c r="AH895" s="11">
        <f>Matchs!Q896</f>
        <v>0</v>
      </c>
      <c r="AI895" s="11" t="str">
        <f t="shared" si="264"/>
        <v>,Status= "</v>
      </c>
      <c r="AJ895" s="11" t="str">
        <f>Matchs!R896</f>
        <v>Finished</v>
      </c>
      <c r="AK895" t="str">
        <f t="shared" si="265"/>
        <v>" },</v>
      </c>
    </row>
    <row r="896" spans="1:37" x14ac:dyDescent="0.25">
      <c r="A896" t="str">
        <f t="shared" si="247"/>
        <v>new Match { MatchId= "</v>
      </c>
      <c r="B896" t="str">
        <f>Matchs!A897</f>
        <v>FIFAWC2018-60</v>
      </c>
      <c r="C896" t="str">
        <f t="shared" si="248"/>
        <v>",MatchNumer=</v>
      </c>
      <c r="D896">
        <f>Matchs!B897</f>
        <v>60</v>
      </c>
      <c r="E896" t="str">
        <f t="shared" si="249"/>
        <v>,DateMatch=DateTime.Parse("</v>
      </c>
      <c r="F896" s="3">
        <f>Matchs!C897</f>
        <v>43289</v>
      </c>
      <c r="G896" s="10" t="str">
        <f t="shared" si="250"/>
        <v>"),TimeMatch=TimeSpan.Parse("</v>
      </c>
      <c r="H896" s="9">
        <f>Matchs!D897</f>
        <v>4.1666666666666664E-2</v>
      </c>
      <c r="I896" t="str">
        <f t="shared" si="251"/>
        <v>"),MatchYear=</v>
      </c>
      <c r="J896">
        <f>Matchs!E897</f>
        <v>2018</v>
      </c>
      <c r="K896" t="str">
        <f t="shared" si="252"/>
        <v>, SeasonId= "</v>
      </c>
      <c r="L896" t="str">
        <f>Matchs!F897</f>
        <v>FIFAWC2018</v>
      </c>
      <c r="M896" t="str">
        <f t="shared" si="253"/>
        <v>",Round= "</v>
      </c>
      <c r="N896" t="str">
        <f>Matchs!G897</f>
        <v>Final Round</v>
      </c>
      <c r="O896" s="6" t="str">
        <f t="shared" si="254"/>
        <v>",Stage= "</v>
      </c>
      <c r="P896" t="str">
        <f>Matchs!H897</f>
        <v>Knockouts</v>
      </c>
      <c r="Q896" s="6" t="str">
        <f t="shared" si="255"/>
        <v>",SubStage= "</v>
      </c>
      <c r="R896" t="str">
        <f>Matchs!I897</f>
        <v>Quaterfinal</v>
      </c>
      <c r="S896" s="6" t="str">
        <f t="shared" si="256"/>
        <v>",HTeam= "</v>
      </c>
      <c r="T896" t="str">
        <f>Matchs!J897</f>
        <v>Croatia</v>
      </c>
      <c r="U896" s="6" t="str">
        <f t="shared" si="257"/>
        <v>",HGoal=</v>
      </c>
      <c r="V896">
        <f>Matchs!K897</f>
        <v>1</v>
      </c>
      <c r="W896" s="6" t="str">
        <f t="shared" si="258"/>
        <v>,GGoal=</v>
      </c>
      <c r="X896">
        <f>Matchs!L897</f>
        <v>1</v>
      </c>
      <c r="Y896" s="6" t="str">
        <f t="shared" si="259"/>
        <v>,GTeam= "</v>
      </c>
      <c r="Z896" t="str">
        <f>Matchs!M897</f>
        <v>Russia</v>
      </c>
      <c r="AA896" s="6" t="str">
        <f t="shared" si="260"/>
        <v>",WinNote="</v>
      </c>
      <c r="AB896" t="str">
        <f>IF(Matchs!N897="","",Matchs!N897)</f>
        <v>Croatia win 3 - 4 on penalties</v>
      </c>
      <c r="AC896" s="6" t="str">
        <f t="shared" si="261"/>
        <v xml:space="preserve">",Stadium=" </v>
      </c>
      <c r="AD896" s="11" t="str">
        <f>Matchs!O897</f>
        <v>Fisht Stadium</v>
      </c>
      <c r="AE896" s="6" t="str">
        <f t="shared" si="262"/>
        <v>",Referee= "</v>
      </c>
      <c r="AF896" s="11">
        <f>Matchs!P897</f>
        <v>0</v>
      </c>
      <c r="AG896" s="6" t="str">
        <f t="shared" si="263"/>
        <v xml:space="preserve">",Visistors= </v>
      </c>
      <c r="AH896" s="11">
        <f>Matchs!Q897</f>
        <v>0</v>
      </c>
      <c r="AI896" s="11" t="str">
        <f t="shared" si="264"/>
        <v>,Status= "</v>
      </c>
      <c r="AJ896" s="11" t="str">
        <f>Matchs!R897</f>
        <v>Finished</v>
      </c>
      <c r="AK896" t="str">
        <f t="shared" si="265"/>
        <v>" },</v>
      </c>
    </row>
    <row r="897" spans="1:37" x14ac:dyDescent="0.25">
      <c r="A897" t="str">
        <f t="shared" si="247"/>
        <v>new Match { MatchId= "</v>
      </c>
      <c r="B897" t="str">
        <f>Matchs!A898</f>
        <v>FIFAWC2018-61</v>
      </c>
      <c r="C897" t="str">
        <f t="shared" si="248"/>
        <v>",MatchNumer=</v>
      </c>
      <c r="D897">
        <f>Matchs!B898</f>
        <v>61</v>
      </c>
      <c r="E897" t="str">
        <f t="shared" si="249"/>
        <v>,DateMatch=DateTime.Parse("</v>
      </c>
      <c r="F897" s="3">
        <f>Matchs!C898</f>
        <v>43292</v>
      </c>
      <c r="G897" s="10" t="str">
        <f t="shared" si="250"/>
        <v>"),TimeMatch=TimeSpan.Parse("</v>
      </c>
      <c r="H897" s="9">
        <f>Matchs!D898</f>
        <v>4.1666666666666664E-2</v>
      </c>
      <c r="I897" t="str">
        <f t="shared" si="251"/>
        <v>"),MatchYear=</v>
      </c>
      <c r="J897">
        <f>Matchs!E898</f>
        <v>2018</v>
      </c>
      <c r="K897" t="str">
        <f t="shared" si="252"/>
        <v>, SeasonId= "</v>
      </c>
      <c r="L897" t="str">
        <f>Matchs!F898</f>
        <v>FIFAWC2018</v>
      </c>
      <c r="M897" t="str">
        <f t="shared" si="253"/>
        <v>",Round= "</v>
      </c>
      <c r="N897" t="str">
        <f>Matchs!G898</f>
        <v>Final Round</v>
      </c>
      <c r="O897" s="6" t="str">
        <f t="shared" si="254"/>
        <v>",Stage= "</v>
      </c>
      <c r="P897" t="str">
        <f>Matchs!H898</f>
        <v>Knockouts</v>
      </c>
      <c r="Q897" s="6" t="str">
        <f t="shared" si="255"/>
        <v>",SubStage= "</v>
      </c>
      <c r="R897" t="str">
        <f>Matchs!I898</f>
        <v>Semifinal</v>
      </c>
      <c r="S897" s="6" t="str">
        <f t="shared" si="256"/>
        <v>",HTeam= "</v>
      </c>
      <c r="T897" t="str">
        <f>Matchs!J898</f>
        <v>France</v>
      </c>
      <c r="U897" s="6" t="str">
        <f t="shared" si="257"/>
        <v>",HGoal=</v>
      </c>
      <c r="V897">
        <f>Matchs!K898</f>
        <v>1</v>
      </c>
      <c r="W897" s="6" t="str">
        <f t="shared" si="258"/>
        <v>,GGoal=</v>
      </c>
      <c r="X897">
        <f>Matchs!L898</f>
        <v>0</v>
      </c>
      <c r="Y897" s="6" t="str">
        <f t="shared" si="259"/>
        <v>,GTeam= "</v>
      </c>
      <c r="Z897" t="str">
        <f>Matchs!M898</f>
        <v>Belgium</v>
      </c>
      <c r="AA897" s="6" t="str">
        <f t="shared" si="260"/>
        <v>",WinNote="</v>
      </c>
      <c r="AB897" t="str">
        <f>IF(Matchs!N898="","",Matchs!N898)</f>
        <v/>
      </c>
      <c r="AC897" s="6" t="str">
        <f t="shared" si="261"/>
        <v xml:space="preserve">",Stadium=" </v>
      </c>
      <c r="AD897" s="11" t="str">
        <f>Matchs!O898</f>
        <v>Saint Petersburg Stadium</v>
      </c>
      <c r="AE897" s="6" t="str">
        <f t="shared" si="262"/>
        <v>",Referee= "</v>
      </c>
      <c r="AF897" s="11">
        <f>Matchs!P898</f>
        <v>0</v>
      </c>
      <c r="AG897" s="6" t="str">
        <f t="shared" si="263"/>
        <v xml:space="preserve">",Visistors= </v>
      </c>
      <c r="AH897" s="11">
        <f>Matchs!Q898</f>
        <v>0</v>
      </c>
      <c r="AI897" s="11" t="str">
        <f t="shared" si="264"/>
        <v>,Status= "</v>
      </c>
      <c r="AJ897" s="11" t="str">
        <f>Matchs!R898</f>
        <v>Finished</v>
      </c>
      <c r="AK897" t="str">
        <f t="shared" si="265"/>
        <v>" },</v>
      </c>
    </row>
    <row r="898" spans="1:37" x14ac:dyDescent="0.25">
      <c r="A898" t="str">
        <f t="shared" si="247"/>
        <v>new Match { MatchId= "</v>
      </c>
      <c r="B898" t="str">
        <f>Matchs!A899</f>
        <v>FIFAWC2018-62</v>
      </c>
      <c r="C898" t="str">
        <f t="shared" si="248"/>
        <v>",MatchNumer=</v>
      </c>
      <c r="D898">
        <f>Matchs!B899</f>
        <v>62</v>
      </c>
      <c r="E898" t="str">
        <f t="shared" si="249"/>
        <v>,DateMatch=DateTime.Parse("</v>
      </c>
      <c r="F898" s="3">
        <f>Matchs!C899</f>
        <v>43293</v>
      </c>
      <c r="G898" s="10" t="str">
        <f t="shared" si="250"/>
        <v>"),TimeMatch=TimeSpan.Parse("</v>
      </c>
      <c r="H898" s="9">
        <f>Matchs!D899</f>
        <v>4.1666666666666664E-2</v>
      </c>
      <c r="I898" t="str">
        <f t="shared" si="251"/>
        <v>"),MatchYear=</v>
      </c>
      <c r="J898">
        <f>Matchs!E899</f>
        <v>2018</v>
      </c>
      <c r="K898" t="str">
        <f t="shared" si="252"/>
        <v>, SeasonId= "</v>
      </c>
      <c r="L898" t="str">
        <f>Matchs!F899</f>
        <v>FIFAWC2018</v>
      </c>
      <c r="M898" t="str">
        <f t="shared" si="253"/>
        <v>",Round= "</v>
      </c>
      <c r="N898" t="str">
        <f>Matchs!G899</f>
        <v>Final Round</v>
      </c>
      <c r="O898" s="6" t="str">
        <f t="shared" si="254"/>
        <v>",Stage= "</v>
      </c>
      <c r="P898" t="str">
        <f>Matchs!H899</f>
        <v>Knockouts</v>
      </c>
      <c r="Q898" s="6" t="str">
        <f t="shared" si="255"/>
        <v>",SubStage= "</v>
      </c>
      <c r="R898" t="str">
        <f>Matchs!I899</f>
        <v>Semifinal</v>
      </c>
      <c r="S898" s="6" t="str">
        <f t="shared" si="256"/>
        <v>",HTeam= "</v>
      </c>
      <c r="T898" t="str">
        <f>Matchs!J899</f>
        <v>England</v>
      </c>
      <c r="U898" s="6" t="str">
        <f t="shared" si="257"/>
        <v>",HGoal=</v>
      </c>
      <c r="V898">
        <f>Matchs!K899</f>
        <v>1</v>
      </c>
      <c r="W898" s="6" t="str">
        <f t="shared" si="258"/>
        <v>,GGoal=</v>
      </c>
      <c r="X898">
        <f>Matchs!L899</f>
        <v>1</v>
      </c>
      <c r="Y898" s="6" t="str">
        <f t="shared" si="259"/>
        <v>,GTeam= "</v>
      </c>
      <c r="Z898" t="str">
        <f>Matchs!M899</f>
        <v>Croatia</v>
      </c>
      <c r="AA898" s="6" t="str">
        <f t="shared" si="260"/>
        <v>",WinNote="</v>
      </c>
      <c r="AB898" t="str">
        <f>IF(Matchs!N899="","",Matchs!N899)</f>
        <v/>
      </c>
      <c r="AC898" s="6" t="str">
        <f t="shared" si="261"/>
        <v xml:space="preserve">",Stadium=" </v>
      </c>
      <c r="AD898" s="11" t="str">
        <f>Matchs!O899</f>
        <v>Luzhniki Stadium</v>
      </c>
      <c r="AE898" s="6" t="str">
        <f t="shared" si="262"/>
        <v>",Referee= "</v>
      </c>
      <c r="AF898" s="11">
        <f>Matchs!P899</f>
        <v>0</v>
      </c>
      <c r="AG898" s="6" t="str">
        <f t="shared" si="263"/>
        <v xml:space="preserve">",Visistors= </v>
      </c>
      <c r="AH898" s="11">
        <f>Matchs!Q899</f>
        <v>0</v>
      </c>
      <c r="AI898" s="11" t="str">
        <f t="shared" si="264"/>
        <v>,Status= "</v>
      </c>
      <c r="AJ898" s="11" t="str">
        <f>Matchs!R899</f>
        <v>Finished</v>
      </c>
      <c r="AK898" t="str">
        <f t="shared" si="265"/>
        <v>" },</v>
      </c>
    </row>
    <row r="899" spans="1:37" x14ac:dyDescent="0.25">
      <c r="A899" t="str">
        <f t="shared" ref="A899:A962" si="266">A898</f>
        <v>new Match { MatchId= "</v>
      </c>
      <c r="B899" t="str">
        <f>Matchs!A900</f>
        <v>FIFAWC2018-63</v>
      </c>
      <c r="C899" t="str">
        <f t="shared" ref="C899:C962" si="267">C898</f>
        <v>",MatchNumer=</v>
      </c>
      <c r="D899">
        <f>Matchs!B900</f>
        <v>63</v>
      </c>
      <c r="E899" t="str">
        <f t="shared" ref="E899:E962" si="268">E898</f>
        <v>,DateMatch=DateTime.Parse("</v>
      </c>
      <c r="F899" s="3">
        <f>Matchs!C900</f>
        <v>43295</v>
      </c>
      <c r="G899" s="10" t="str">
        <f t="shared" ref="G899:G962" si="269">G898</f>
        <v>"),TimeMatch=TimeSpan.Parse("</v>
      </c>
      <c r="H899" s="9">
        <f>Matchs!D900</f>
        <v>0.875</v>
      </c>
      <c r="I899" t="str">
        <f t="shared" ref="I899:I962" si="270">I898</f>
        <v>"),MatchYear=</v>
      </c>
      <c r="J899">
        <f>Matchs!E900</f>
        <v>2018</v>
      </c>
      <c r="K899" t="str">
        <f t="shared" ref="K899:K962" si="271">K898</f>
        <v>, SeasonId= "</v>
      </c>
      <c r="L899" t="str">
        <f>Matchs!F900</f>
        <v>FIFAWC2018</v>
      </c>
      <c r="M899" t="str">
        <f t="shared" ref="M899:M962" si="272">M898</f>
        <v>",Round= "</v>
      </c>
      <c r="N899" t="str">
        <f>Matchs!G900</f>
        <v>Final Round</v>
      </c>
      <c r="O899" s="6" t="str">
        <f t="shared" ref="O899:O962" si="273">O898</f>
        <v>",Stage= "</v>
      </c>
      <c r="P899" t="str">
        <f>Matchs!H900</f>
        <v>Knockouts</v>
      </c>
      <c r="Q899" s="6" t="str">
        <f t="shared" ref="Q899:Q962" si="274">Q898</f>
        <v>",SubStage= "</v>
      </c>
      <c r="R899" t="str">
        <f>Matchs!I900</f>
        <v>3rd place</v>
      </c>
      <c r="S899" s="6" t="str">
        <f t="shared" ref="S899:S962" si="275">S898</f>
        <v>",HTeam= "</v>
      </c>
      <c r="T899" t="str">
        <f>Matchs!J900</f>
        <v>Belgium</v>
      </c>
      <c r="U899" s="6" t="str">
        <f t="shared" ref="U899:U962" si="276">U898</f>
        <v>",HGoal=</v>
      </c>
      <c r="V899">
        <f>Matchs!K900</f>
        <v>2</v>
      </c>
      <c r="W899" s="6" t="str">
        <f t="shared" ref="W899:W962" si="277">W898</f>
        <v>,GGoal=</v>
      </c>
      <c r="X899">
        <f>Matchs!L900</f>
        <v>0</v>
      </c>
      <c r="Y899" s="6" t="str">
        <f t="shared" ref="Y899:Y962" si="278">Y898</f>
        <v>,GTeam= "</v>
      </c>
      <c r="Z899" t="str">
        <f>Matchs!M900</f>
        <v>England</v>
      </c>
      <c r="AA899" s="6" t="str">
        <f t="shared" ref="AA899:AA962" si="279">AA898</f>
        <v>",WinNote="</v>
      </c>
      <c r="AB899" t="str">
        <f>IF(Matchs!N900="","",Matchs!N900)</f>
        <v/>
      </c>
      <c r="AC899" s="6" t="str">
        <f t="shared" ref="AC899:AC962" si="280">AC898</f>
        <v xml:space="preserve">",Stadium=" </v>
      </c>
      <c r="AD899" s="11" t="str">
        <f>Matchs!O900</f>
        <v>Saint Petersburg Stadium</v>
      </c>
      <c r="AE899" s="6" t="str">
        <f t="shared" ref="AE899:AE962" si="281">AE898</f>
        <v>",Referee= "</v>
      </c>
      <c r="AF899" s="11">
        <f>Matchs!P900</f>
        <v>0</v>
      </c>
      <c r="AG899" s="6" t="str">
        <f t="shared" ref="AG899:AG962" si="282">AG898</f>
        <v xml:space="preserve">",Visistors= </v>
      </c>
      <c r="AH899" s="11">
        <f>Matchs!Q900</f>
        <v>0</v>
      </c>
      <c r="AI899" s="11" t="str">
        <f t="shared" ref="AI899:AI962" si="283">AI898</f>
        <v>,Status= "</v>
      </c>
      <c r="AJ899" s="11" t="str">
        <f>Matchs!R900</f>
        <v>Finished</v>
      </c>
      <c r="AK899" t="str">
        <f t="shared" ref="AK899:AK962" si="284">AK898</f>
        <v>" },</v>
      </c>
    </row>
    <row r="900" spans="1:37" x14ac:dyDescent="0.25">
      <c r="A900" t="str">
        <f t="shared" si="266"/>
        <v>new Match { MatchId= "</v>
      </c>
      <c r="B900" t="str">
        <f>Matchs!A901</f>
        <v>FIFAWC2018-64</v>
      </c>
      <c r="C900" t="str">
        <f t="shared" si="267"/>
        <v>",MatchNumer=</v>
      </c>
      <c r="D900">
        <f>Matchs!B901</f>
        <v>64</v>
      </c>
      <c r="E900" t="str">
        <f t="shared" si="268"/>
        <v>,DateMatch=DateTime.Parse("</v>
      </c>
      <c r="F900" s="3">
        <f>Matchs!C901</f>
        <v>43296</v>
      </c>
      <c r="G900" s="10" t="str">
        <f t="shared" si="269"/>
        <v>"),TimeMatch=TimeSpan.Parse("</v>
      </c>
      <c r="H900" s="9">
        <f>Matchs!D901</f>
        <v>0.91666666666666663</v>
      </c>
      <c r="I900" t="str">
        <f t="shared" si="270"/>
        <v>"),MatchYear=</v>
      </c>
      <c r="J900">
        <f>Matchs!E901</f>
        <v>2018</v>
      </c>
      <c r="K900" t="str">
        <f t="shared" si="271"/>
        <v>, SeasonId= "</v>
      </c>
      <c r="L900" t="str">
        <f>Matchs!F901</f>
        <v>FIFAWC2018</v>
      </c>
      <c r="M900" t="str">
        <f t="shared" si="272"/>
        <v>",Round= "</v>
      </c>
      <c r="N900" t="str">
        <f>Matchs!G901</f>
        <v>Final Round</v>
      </c>
      <c r="O900" s="6" t="str">
        <f t="shared" si="273"/>
        <v>",Stage= "</v>
      </c>
      <c r="P900" t="str">
        <f>Matchs!H901</f>
        <v>Knockouts</v>
      </c>
      <c r="Q900" s="6" t="str">
        <f t="shared" si="274"/>
        <v>",SubStage= "</v>
      </c>
      <c r="R900" t="str">
        <f>Matchs!I901</f>
        <v>Final</v>
      </c>
      <c r="S900" s="6" t="str">
        <f t="shared" si="275"/>
        <v>",HTeam= "</v>
      </c>
      <c r="T900" t="str">
        <f>Matchs!J901</f>
        <v>France</v>
      </c>
      <c r="U900" s="6" t="str">
        <f t="shared" si="276"/>
        <v>",HGoal=</v>
      </c>
      <c r="V900">
        <f>Matchs!K901</f>
        <v>4</v>
      </c>
      <c r="W900" s="6" t="str">
        <f t="shared" si="277"/>
        <v>,GGoal=</v>
      </c>
      <c r="X900">
        <f>Matchs!L901</f>
        <v>2</v>
      </c>
      <c r="Y900" s="6" t="str">
        <f t="shared" si="278"/>
        <v>,GTeam= "</v>
      </c>
      <c r="Z900" t="str">
        <f>Matchs!M901</f>
        <v>Croatia</v>
      </c>
      <c r="AA900" s="6" t="str">
        <f t="shared" si="279"/>
        <v>",WinNote="</v>
      </c>
      <c r="AB900" t="str">
        <f>IF(Matchs!N901="","",Matchs!N901)</f>
        <v/>
      </c>
      <c r="AC900" s="6" t="str">
        <f t="shared" si="280"/>
        <v xml:space="preserve">",Stadium=" </v>
      </c>
      <c r="AD900" s="11" t="str">
        <f>Matchs!O901</f>
        <v>Luzhniki Stadium</v>
      </c>
      <c r="AE900" s="6" t="str">
        <f t="shared" si="281"/>
        <v>",Referee= "</v>
      </c>
      <c r="AF900" s="11">
        <f>Matchs!P901</f>
        <v>0</v>
      </c>
      <c r="AG900" s="6" t="str">
        <f t="shared" si="282"/>
        <v xml:space="preserve">",Visistors= </v>
      </c>
      <c r="AH900" s="11">
        <f>Matchs!Q901</f>
        <v>0</v>
      </c>
      <c r="AI900" s="11" t="str">
        <f t="shared" si="283"/>
        <v>,Status= "</v>
      </c>
      <c r="AJ900" s="11" t="str">
        <f>Matchs!R901</f>
        <v>Finished</v>
      </c>
      <c r="AK900" t="str">
        <f t="shared" si="284"/>
        <v>" },</v>
      </c>
    </row>
    <row r="901" spans="1:37" s="6" customFormat="1" x14ac:dyDescent="0.25">
      <c r="A901" s="6" t="str">
        <f t="shared" si="266"/>
        <v>new Match { MatchId= "</v>
      </c>
      <c r="B901" s="6">
        <f>Matchs!A902</f>
        <v>0</v>
      </c>
      <c r="C901" s="6" t="str">
        <f t="shared" si="267"/>
        <v>",MatchNumer=</v>
      </c>
      <c r="D901" s="6">
        <f>Matchs!B902</f>
        <v>0</v>
      </c>
      <c r="E901" s="6" t="str">
        <f t="shared" si="268"/>
        <v>,DateMatch=DateTime.Parse("</v>
      </c>
      <c r="F901" s="10">
        <f>Matchs!C902</f>
        <v>0</v>
      </c>
      <c r="G901" s="10" t="str">
        <f t="shared" si="269"/>
        <v>"),TimeMatch=TimeSpan.Parse("</v>
      </c>
      <c r="H901" s="12">
        <f>Matchs!D902</f>
        <v>0</v>
      </c>
      <c r="I901" s="6" t="str">
        <f t="shared" si="270"/>
        <v>"),MatchYear=</v>
      </c>
      <c r="J901" s="6">
        <f>Matchs!E902</f>
        <v>0</v>
      </c>
      <c r="K901" s="6" t="str">
        <f t="shared" si="271"/>
        <v>, SeasonId= "</v>
      </c>
      <c r="L901" s="6">
        <f>Matchs!F902</f>
        <v>0</v>
      </c>
      <c r="M901" s="6" t="str">
        <f t="shared" si="272"/>
        <v>",Round= "</v>
      </c>
      <c r="N901" s="6">
        <f>Matchs!G902</f>
        <v>0</v>
      </c>
      <c r="O901" s="6" t="str">
        <f t="shared" si="273"/>
        <v>",Stage= "</v>
      </c>
      <c r="P901" s="6">
        <f>Matchs!H902</f>
        <v>0</v>
      </c>
      <c r="Q901" s="6" t="str">
        <f t="shared" si="274"/>
        <v>",SubStage= "</v>
      </c>
      <c r="R901" s="6">
        <f>Matchs!I902</f>
        <v>0</v>
      </c>
      <c r="S901" s="6" t="str">
        <f t="shared" si="275"/>
        <v>",HTeam= "</v>
      </c>
      <c r="T901" s="6">
        <f>Matchs!J902</f>
        <v>0</v>
      </c>
      <c r="U901" s="6" t="str">
        <f t="shared" si="276"/>
        <v>",HGoal=</v>
      </c>
      <c r="V901" s="6">
        <f>Matchs!K902</f>
        <v>0</v>
      </c>
      <c r="W901" s="6" t="str">
        <f t="shared" si="277"/>
        <v>,GGoal=</v>
      </c>
      <c r="X901" s="6">
        <f>Matchs!L902</f>
        <v>0</v>
      </c>
      <c r="Y901" s="6" t="str">
        <f t="shared" si="278"/>
        <v>,GTeam= "</v>
      </c>
      <c r="Z901" s="6">
        <f>Matchs!M902</f>
        <v>0</v>
      </c>
      <c r="AA901" s="6" t="str">
        <f t="shared" si="279"/>
        <v>",WinNote="</v>
      </c>
      <c r="AB901" s="6" t="str">
        <f>IF(Matchs!N902="","",Matchs!N902)</f>
        <v/>
      </c>
      <c r="AC901" s="6" t="str">
        <f t="shared" si="280"/>
        <v xml:space="preserve">",Stadium=" </v>
      </c>
      <c r="AD901" s="6">
        <f>Matchs!O902</f>
        <v>0</v>
      </c>
      <c r="AE901" s="6" t="str">
        <f t="shared" si="281"/>
        <v>",Referee= "</v>
      </c>
      <c r="AF901" s="6">
        <f>Matchs!P902</f>
        <v>0</v>
      </c>
      <c r="AG901" s="6" t="str">
        <f t="shared" si="282"/>
        <v xml:space="preserve">",Visistors= </v>
      </c>
      <c r="AH901" s="6">
        <f>Matchs!Q902</f>
        <v>0</v>
      </c>
      <c r="AI901" s="6" t="str">
        <f t="shared" si="283"/>
        <v>,Status= "</v>
      </c>
      <c r="AJ901" s="6">
        <f>Matchs!R902</f>
        <v>0</v>
      </c>
      <c r="AK901" s="6" t="str">
        <f t="shared" si="284"/>
        <v>" },</v>
      </c>
    </row>
    <row r="902" spans="1:37" x14ac:dyDescent="0.25">
      <c r="A902" t="str">
        <f t="shared" si="266"/>
        <v>new Match { MatchId= "</v>
      </c>
      <c r="B902">
        <f>Matchs!A903</f>
        <v>0</v>
      </c>
      <c r="C902" t="str">
        <f t="shared" si="267"/>
        <v>",MatchNumer=</v>
      </c>
      <c r="D902">
        <f>Matchs!B903</f>
        <v>0</v>
      </c>
      <c r="E902" t="str">
        <f t="shared" si="268"/>
        <v>,DateMatch=DateTime.Parse("</v>
      </c>
      <c r="F902" s="3">
        <f>Matchs!C903</f>
        <v>0</v>
      </c>
      <c r="G902" s="10" t="str">
        <f t="shared" si="269"/>
        <v>"),TimeMatch=TimeSpan.Parse("</v>
      </c>
      <c r="H902" s="9">
        <f>Matchs!D903</f>
        <v>0</v>
      </c>
      <c r="I902" t="str">
        <f t="shared" si="270"/>
        <v>"),MatchYear=</v>
      </c>
      <c r="J902">
        <f>Matchs!E903</f>
        <v>0</v>
      </c>
      <c r="K902" t="str">
        <f t="shared" si="271"/>
        <v>, SeasonId= "</v>
      </c>
      <c r="L902">
        <f>Matchs!F903</f>
        <v>0</v>
      </c>
      <c r="M902" t="str">
        <f t="shared" si="272"/>
        <v>",Round= "</v>
      </c>
      <c r="N902">
        <f>Matchs!G903</f>
        <v>0</v>
      </c>
      <c r="O902" s="6" t="str">
        <f t="shared" si="273"/>
        <v>",Stage= "</v>
      </c>
      <c r="P902">
        <f>Matchs!H903</f>
        <v>0</v>
      </c>
      <c r="Q902" s="6" t="str">
        <f t="shared" si="274"/>
        <v>",SubStage= "</v>
      </c>
      <c r="R902">
        <f>Matchs!I903</f>
        <v>0</v>
      </c>
      <c r="S902" s="6" t="str">
        <f t="shared" si="275"/>
        <v>",HTeam= "</v>
      </c>
      <c r="T902">
        <f>Matchs!J903</f>
        <v>0</v>
      </c>
      <c r="U902" s="6" t="str">
        <f t="shared" si="276"/>
        <v>",HGoal=</v>
      </c>
      <c r="V902">
        <f>Matchs!K903</f>
        <v>0</v>
      </c>
      <c r="W902" s="6" t="str">
        <f t="shared" si="277"/>
        <v>,GGoal=</v>
      </c>
      <c r="X902">
        <f>Matchs!L903</f>
        <v>0</v>
      </c>
      <c r="Y902" s="6" t="str">
        <f t="shared" si="278"/>
        <v>,GTeam= "</v>
      </c>
      <c r="Z902">
        <f>Matchs!M903</f>
        <v>0</v>
      </c>
      <c r="AA902" s="6" t="str">
        <f t="shared" si="279"/>
        <v>",WinNote="</v>
      </c>
      <c r="AB902" t="str">
        <f>IF(Matchs!N903="","",Matchs!N903)</f>
        <v/>
      </c>
      <c r="AC902" s="6" t="str">
        <f t="shared" si="280"/>
        <v xml:space="preserve">",Stadium=" </v>
      </c>
      <c r="AD902" s="11">
        <f>Matchs!O903</f>
        <v>0</v>
      </c>
      <c r="AE902" s="6" t="str">
        <f t="shared" si="281"/>
        <v>",Referee= "</v>
      </c>
      <c r="AF902" s="11">
        <f>Matchs!P903</f>
        <v>0</v>
      </c>
      <c r="AG902" s="6" t="str">
        <f t="shared" si="282"/>
        <v xml:space="preserve">",Visistors= </v>
      </c>
      <c r="AH902" s="11">
        <f>Matchs!Q903</f>
        <v>0</v>
      </c>
      <c r="AI902" s="11" t="str">
        <f t="shared" si="283"/>
        <v>,Status= "</v>
      </c>
      <c r="AJ902" s="11">
        <f>Matchs!R903</f>
        <v>0</v>
      </c>
      <c r="AK902" t="str">
        <f t="shared" si="284"/>
        <v>" },</v>
      </c>
    </row>
    <row r="903" spans="1:37" x14ac:dyDescent="0.25">
      <c r="A903" t="str">
        <f t="shared" si="266"/>
        <v>new Match { MatchId= "</v>
      </c>
      <c r="B903">
        <f>Matchs!A904</f>
        <v>0</v>
      </c>
      <c r="C903" t="str">
        <f t="shared" si="267"/>
        <v>",MatchNumer=</v>
      </c>
      <c r="D903">
        <f>Matchs!B904</f>
        <v>0</v>
      </c>
      <c r="E903" t="str">
        <f t="shared" si="268"/>
        <v>,DateMatch=DateTime.Parse("</v>
      </c>
      <c r="F903" s="3">
        <f>Matchs!C904</f>
        <v>0</v>
      </c>
      <c r="G903" s="10" t="str">
        <f t="shared" si="269"/>
        <v>"),TimeMatch=TimeSpan.Parse("</v>
      </c>
      <c r="H903" s="9">
        <f>Matchs!D904</f>
        <v>0</v>
      </c>
      <c r="I903" t="str">
        <f t="shared" si="270"/>
        <v>"),MatchYear=</v>
      </c>
      <c r="J903">
        <f>Matchs!E904</f>
        <v>0</v>
      </c>
      <c r="K903" t="str">
        <f t="shared" si="271"/>
        <v>, SeasonId= "</v>
      </c>
      <c r="L903">
        <f>Matchs!F904</f>
        <v>0</v>
      </c>
      <c r="M903" t="str">
        <f t="shared" si="272"/>
        <v>",Round= "</v>
      </c>
      <c r="N903">
        <f>Matchs!G904</f>
        <v>0</v>
      </c>
      <c r="O903" s="6" t="str">
        <f t="shared" si="273"/>
        <v>",Stage= "</v>
      </c>
      <c r="P903">
        <f>Matchs!H904</f>
        <v>0</v>
      </c>
      <c r="Q903" s="6" t="str">
        <f t="shared" si="274"/>
        <v>",SubStage= "</v>
      </c>
      <c r="R903">
        <f>Matchs!I904</f>
        <v>0</v>
      </c>
      <c r="S903" s="6" t="str">
        <f t="shared" si="275"/>
        <v>",HTeam= "</v>
      </c>
      <c r="T903">
        <f>Matchs!J904</f>
        <v>0</v>
      </c>
      <c r="U903" s="6" t="str">
        <f t="shared" si="276"/>
        <v>",HGoal=</v>
      </c>
      <c r="V903">
        <f>Matchs!K904</f>
        <v>0</v>
      </c>
      <c r="W903" s="6" t="str">
        <f t="shared" si="277"/>
        <v>,GGoal=</v>
      </c>
      <c r="X903">
        <f>Matchs!L904</f>
        <v>0</v>
      </c>
      <c r="Y903" s="6" t="str">
        <f t="shared" si="278"/>
        <v>,GTeam= "</v>
      </c>
      <c r="Z903">
        <f>Matchs!M904</f>
        <v>0</v>
      </c>
      <c r="AA903" s="6" t="str">
        <f t="shared" si="279"/>
        <v>",WinNote="</v>
      </c>
      <c r="AB903" t="str">
        <f>IF(Matchs!N904="","",Matchs!N904)</f>
        <v/>
      </c>
      <c r="AC903" s="6" t="str">
        <f t="shared" si="280"/>
        <v xml:space="preserve">",Stadium=" </v>
      </c>
      <c r="AD903" s="11">
        <f>Matchs!O904</f>
        <v>0</v>
      </c>
      <c r="AE903" s="6" t="str">
        <f t="shared" si="281"/>
        <v>",Referee= "</v>
      </c>
      <c r="AF903" s="11">
        <f>Matchs!P904</f>
        <v>0</v>
      </c>
      <c r="AG903" s="6" t="str">
        <f t="shared" si="282"/>
        <v xml:space="preserve">",Visistors= </v>
      </c>
      <c r="AH903" s="11">
        <f>Matchs!Q904</f>
        <v>0</v>
      </c>
      <c r="AI903" s="11" t="str">
        <f t="shared" si="283"/>
        <v>,Status= "</v>
      </c>
      <c r="AJ903" s="11">
        <f>Matchs!R904</f>
        <v>0</v>
      </c>
      <c r="AK903" t="str">
        <f t="shared" si="284"/>
        <v>" },</v>
      </c>
    </row>
    <row r="904" spans="1:37" x14ac:dyDescent="0.25">
      <c r="A904" t="str">
        <f t="shared" si="266"/>
        <v>new Match { MatchId= "</v>
      </c>
      <c r="B904">
        <f>Matchs!A905</f>
        <v>0</v>
      </c>
      <c r="C904" t="str">
        <f t="shared" si="267"/>
        <v>",MatchNumer=</v>
      </c>
      <c r="D904">
        <f>Matchs!B905</f>
        <v>0</v>
      </c>
      <c r="E904" t="str">
        <f t="shared" si="268"/>
        <v>,DateMatch=DateTime.Parse("</v>
      </c>
      <c r="F904" s="3">
        <f>Matchs!C905</f>
        <v>0</v>
      </c>
      <c r="G904" s="10" t="str">
        <f t="shared" si="269"/>
        <v>"),TimeMatch=TimeSpan.Parse("</v>
      </c>
      <c r="H904" s="9">
        <f>Matchs!D905</f>
        <v>0</v>
      </c>
      <c r="I904" t="str">
        <f t="shared" si="270"/>
        <v>"),MatchYear=</v>
      </c>
      <c r="J904">
        <f>Matchs!E905</f>
        <v>0</v>
      </c>
      <c r="K904" t="str">
        <f t="shared" si="271"/>
        <v>, SeasonId= "</v>
      </c>
      <c r="L904">
        <f>Matchs!F905</f>
        <v>0</v>
      </c>
      <c r="M904" t="str">
        <f t="shared" si="272"/>
        <v>",Round= "</v>
      </c>
      <c r="N904">
        <f>Matchs!G905</f>
        <v>0</v>
      </c>
      <c r="O904" s="6" t="str">
        <f t="shared" si="273"/>
        <v>",Stage= "</v>
      </c>
      <c r="P904">
        <f>Matchs!H905</f>
        <v>0</v>
      </c>
      <c r="Q904" s="6" t="str">
        <f t="shared" si="274"/>
        <v>",SubStage= "</v>
      </c>
      <c r="R904">
        <f>Matchs!I905</f>
        <v>0</v>
      </c>
      <c r="S904" s="6" t="str">
        <f t="shared" si="275"/>
        <v>",HTeam= "</v>
      </c>
      <c r="T904">
        <f>Matchs!J905</f>
        <v>0</v>
      </c>
      <c r="U904" s="6" t="str">
        <f t="shared" si="276"/>
        <v>",HGoal=</v>
      </c>
      <c r="V904">
        <f>Matchs!K905</f>
        <v>0</v>
      </c>
      <c r="W904" s="6" t="str">
        <f t="shared" si="277"/>
        <v>,GGoal=</v>
      </c>
      <c r="X904">
        <f>Matchs!L905</f>
        <v>0</v>
      </c>
      <c r="Y904" s="6" t="str">
        <f t="shared" si="278"/>
        <v>,GTeam= "</v>
      </c>
      <c r="Z904">
        <f>Matchs!M905</f>
        <v>0</v>
      </c>
      <c r="AA904" s="6" t="str">
        <f t="shared" si="279"/>
        <v>",WinNote="</v>
      </c>
      <c r="AB904" t="str">
        <f>IF(Matchs!N905="","",Matchs!N905)</f>
        <v/>
      </c>
      <c r="AC904" s="6" t="str">
        <f t="shared" si="280"/>
        <v xml:space="preserve">",Stadium=" </v>
      </c>
      <c r="AD904" s="11">
        <f>Matchs!O905</f>
        <v>0</v>
      </c>
      <c r="AE904" s="6" t="str">
        <f t="shared" si="281"/>
        <v>",Referee= "</v>
      </c>
      <c r="AF904" s="11">
        <f>Matchs!P905</f>
        <v>0</v>
      </c>
      <c r="AG904" s="6" t="str">
        <f t="shared" si="282"/>
        <v xml:space="preserve">",Visistors= </v>
      </c>
      <c r="AH904" s="11">
        <f>Matchs!Q905</f>
        <v>0</v>
      </c>
      <c r="AI904" s="11" t="str">
        <f t="shared" si="283"/>
        <v>,Status= "</v>
      </c>
      <c r="AJ904" s="11">
        <f>Matchs!R905</f>
        <v>0</v>
      </c>
      <c r="AK904" t="str">
        <f t="shared" si="284"/>
        <v>" },</v>
      </c>
    </row>
    <row r="905" spans="1:37" x14ac:dyDescent="0.25">
      <c r="A905" t="str">
        <f t="shared" si="266"/>
        <v>new Match { MatchId= "</v>
      </c>
      <c r="B905">
        <f>Matchs!A906</f>
        <v>0</v>
      </c>
      <c r="C905" t="str">
        <f t="shared" si="267"/>
        <v>",MatchNumer=</v>
      </c>
      <c r="D905">
        <f>Matchs!B906</f>
        <v>0</v>
      </c>
      <c r="E905" t="str">
        <f t="shared" si="268"/>
        <v>,DateMatch=DateTime.Parse("</v>
      </c>
      <c r="F905" s="3">
        <f>Matchs!C906</f>
        <v>0</v>
      </c>
      <c r="G905" s="10" t="str">
        <f t="shared" si="269"/>
        <v>"),TimeMatch=TimeSpan.Parse("</v>
      </c>
      <c r="H905" s="9">
        <f>Matchs!D906</f>
        <v>0</v>
      </c>
      <c r="I905" t="str">
        <f t="shared" si="270"/>
        <v>"),MatchYear=</v>
      </c>
      <c r="J905">
        <f>Matchs!E906</f>
        <v>0</v>
      </c>
      <c r="K905" t="str">
        <f t="shared" si="271"/>
        <v>, SeasonId= "</v>
      </c>
      <c r="L905">
        <f>Matchs!F906</f>
        <v>0</v>
      </c>
      <c r="M905" t="str">
        <f t="shared" si="272"/>
        <v>",Round= "</v>
      </c>
      <c r="N905">
        <f>Matchs!G906</f>
        <v>0</v>
      </c>
      <c r="O905" s="6" t="str">
        <f t="shared" si="273"/>
        <v>",Stage= "</v>
      </c>
      <c r="P905">
        <f>Matchs!H906</f>
        <v>0</v>
      </c>
      <c r="Q905" s="6" t="str">
        <f t="shared" si="274"/>
        <v>",SubStage= "</v>
      </c>
      <c r="R905">
        <f>Matchs!I906</f>
        <v>0</v>
      </c>
      <c r="S905" s="6" t="str">
        <f t="shared" si="275"/>
        <v>",HTeam= "</v>
      </c>
      <c r="T905">
        <f>Matchs!J906</f>
        <v>0</v>
      </c>
      <c r="U905" s="6" t="str">
        <f t="shared" si="276"/>
        <v>",HGoal=</v>
      </c>
      <c r="V905">
        <f>Matchs!K906</f>
        <v>0</v>
      </c>
      <c r="W905" s="6" t="str">
        <f t="shared" si="277"/>
        <v>,GGoal=</v>
      </c>
      <c r="X905">
        <f>Matchs!L906</f>
        <v>0</v>
      </c>
      <c r="Y905" s="6" t="str">
        <f t="shared" si="278"/>
        <v>,GTeam= "</v>
      </c>
      <c r="Z905">
        <f>Matchs!M906</f>
        <v>0</v>
      </c>
      <c r="AA905" s="6" t="str">
        <f t="shared" si="279"/>
        <v>",WinNote="</v>
      </c>
      <c r="AB905" t="str">
        <f>IF(Matchs!N906="","",Matchs!N906)</f>
        <v/>
      </c>
      <c r="AC905" s="6" t="str">
        <f t="shared" si="280"/>
        <v xml:space="preserve">",Stadium=" </v>
      </c>
      <c r="AD905" s="11">
        <f>Matchs!O906</f>
        <v>0</v>
      </c>
      <c r="AE905" s="6" t="str">
        <f t="shared" si="281"/>
        <v>",Referee= "</v>
      </c>
      <c r="AF905" s="11">
        <f>Matchs!P906</f>
        <v>0</v>
      </c>
      <c r="AG905" s="6" t="str">
        <f t="shared" si="282"/>
        <v xml:space="preserve">",Visistors= </v>
      </c>
      <c r="AH905" s="11">
        <f>Matchs!Q906</f>
        <v>0</v>
      </c>
      <c r="AI905" s="11" t="str">
        <f t="shared" si="283"/>
        <v>,Status= "</v>
      </c>
      <c r="AJ905" s="11">
        <f>Matchs!R906</f>
        <v>0</v>
      </c>
      <c r="AK905" t="str">
        <f t="shared" si="284"/>
        <v>" },</v>
      </c>
    </row>
    <row r="906" spans="1:37" x14ac:dyDescent="0.25">
      <c r="A906" t="str">
        <f t="shared" si="266"/>
        <v>new Match { MatchId= "</v>
      </c>
      <c r="B906">
        <f>Matchs!A907</f>
        <v>0</v>
      </c>
      <c r="C906" t="str">
        <f t="shared" si="267"/>
        <v>",MatchNumer=</v>
      </c>
      <c r="D906">
        <f>Matchs!B907</f>
        <v>0</v>
      </c>
      <c r="E906" t="str">
        <f t="shared" si="268"/>
        <v>,DateMatch=DateTime.Parse("</v>
      </c>
      <c r="F906" s="3">
        <f>Matchs!C907</f>
        <v>0</v>
      </c>
      <c r="G906" s="10" t="str">
        <f t="shared" si="269"/>
        <v>"),TimeMatch=TimeSpan.Parse("</v>
      </c>
      <c r="H906" s="9">
        <f>Matchs!D907</f>
        <v>0</v>
      </c>
      <c r="I906" t="str">
        <f t="shared" si="270"/>
        <v>"),MatchYear=</v>
      </c>
      <c r="J906">
        <f>Matchs!E907</f>
        <v>0</v>
      </c>
      <c r="K906" t="str">
        <f t="shared" si="271"/>
        <v>, SeasonId= "</v>
      </c>
      <c r="L906">
        <f>Matchs!F907</f>
        <v>0</v>
      </c>
      <c r="M906" t="str">
        <f t="shared" si="272"/>
        <v>",Round= "</v>
      </c>
      <c r="N906">
        <f>Matchs!G907</f>
        <v>0</v>
      </c>
      <c r="O906" s="6" t="str">
        <f t="shared" si="273"/>
        <v>",Stage= "</v>
      </c>
      <c r="P906">
        <f>Matchs!H907</f>
        <v>0</v>
      </c>
      <c r="Q906" s="6" t="str">
        <f t="shared" si="274"/>
        <v>",SubStage= "</v>
      </c>
      <c r="R906">
        <f>Matchs!I907</f>
        <v>0</v>
      </c>
      <c r="S906" s="6" t="str">
        <f t="shared" si="275"/>
        <v>",HTeam= "</v>
      </c>
      <c r="T906">
        <f>Matchs!J907</f>
        <v>0</v>
      </c>
      <c r="U906" s="6" t="str">
        <f t="shared" si="276"/>
        <v>",HGoal=</v>
      </c>
      <c r="V906">
        <f>Matchs!K907</f>
        <v>0</v>
      </c>
      <c r="W906" s="6" t="str">
        <f t="shared" si="277"/>
        <v>,GGoal=</v>
      </c>
      <c r="X906">
        <f>Matchs!L907</f>
        <v>0</v>
      </c>
      <c r="Y906" s="6" t="str">
        <f t="shared" si="278"/>
        <v>,GTeam= "</v>
      </c>
      <c r="Z906">
        <f>Matchs!M907</f>
        <v>0</v>
      </c>
      <c r="AA906" s="6" t="str">
        <f t="shared" si="279"/>
        <v>",WinNote="</v>
      </c>
      <c r="AB906" t="str">
        <f>IF(Matchs!N907="","",Matchs!N907)</f>
        <v/>
      </c>
      <c r="AC906" s="6" t="str">
        <f t="shared" si="280"/>
        <v xml:space="preserve">",Stadium=" </v>
      </c>
      <c r="AD906" s="11">
        <f>Matchs!O907</f>
        <v>0</v>
      </c>
      <c r="AE906" s="6" t="str">
        <f t="shared" si="281"/>
        <v>",Referee= "</v>
      </c>
      <c r="AF906" s="11">
        <f>Matchs!P907</f>
        <v>0</v>
      </c>
      <c r="AG906" s="6" t="str">
        <f t="shared" si="282"/>
        <v xml:space="preserve">",Visistors= </v>
      </c>
      <c r="AH906" s="11">
        <f>Matchs!Q907</f>
        <v>0</v>
      </c>
      <c r="AI906" s="11" t="str">
        <f t="shared" si="283"/>
        <v>,Status= "</v>
      </c>
      <c r="AJ906" s="11">
        <f>Matchs!R907</f>
        <v>0</v>
      </c>
      <c r="AK906" t="str">
        <f t="shared" si="284"/>
        <v>" },</v>
      </c>
    </row>
    <row r="907" spans="1:37" x14ac:dyDescent="0.25">
      <c r="A907" t="str">
        <f t="shared" si="266"/>
        <v>new Match { MatchId= "</v>
      </c>
      <c r="B907">
        <f>Matchs!A908</f>
        <v>0</v>
      </c>
      <c r="C907" t="str">
        <f t="shared" si="267"/>
        <v>",MatchNumer=</v>
      </c>
      <c r="D907">
        <f>Matchs!B908</f>
        <v>0</v>
      </c>
      <c r="E907" t="str">
        <f t="shared" si="268"/>
        <v>,DateMatch=DateTime.Parse("</v>
      </c>
      <c r="F907" s="3">
        <f>Matchs!C908</f>
        <v>0</v>
      </c>
      <c r="G907" s="10" t="str">
        <f t="shared" si="269"/>
        <v>"),TimeMatch=TimeSpan.Parse("</v>
      </c>
      <c r="H907" s="9">
        <f>Matchs!D908</f>
        <v>0</v>
      </c>
      <c r="I907" t="str">
        <f t="shared" si="270"/>
        <v>"),MatchYear=</v>
      </c>
      <c r="J907">
        <f>Matchs!E908</f>
        <v>0</v>
      </c>
      <c r="K907" t="str">
        <f t="shared" si="271"/>
        <v>, SeasonId= "</v>
      </c>
      <c r="L907">
        <f>Matchs!F908</f>
        <v>0</v>
      </c>
      <c r="M907" t="str">
        <f t="shared" si="272"/>
        <v>",Round= "</v>
      </c>
      <c r="N907">
        <f>Matchs!G908</f>
        <v>0</v>
      </c>
      <c r="O907" s="6" t="str">
        <f t="shared" si="273"/>
        <v>",Stage= "</v>
      </c>
      <c r="P907">
        <f>Matchs!H908</f>
        <v>0</v>
      </c>
      <c r="Q907" s="6" t="str">
        <f t="shared" si="274"/>
        <v>",SubStage= "</v>
      </c>
      <c r="R907">
        <f>Matchs!I908</f>
        <v>0</v>
      </c>
      <c r="S907" s="6" t="str">
        <f t="shared" si="275"/>
        <v>",HTeam= "</v>
      </c>
      <c r="T907">
        <f>Matchs!J908</f>
        <v>0</v>
      </c>
      <c r="U907" s="6" t="str">
        <f t="shared" si="276"/>
        <v>",HGoal=</v>
      </c>
      <c r="V907">
        <f>Matchs!K908</f>
        <v>0</v>
      </c>
      <c r="W907" s="6" t="str">
        <f t="shared" si="277"/>
        <v>,GGoal=</v>
      </c>
      <c r="X907">
        <f>Matchs!L908</f>
        <v>0</v>
      </c>
      <c r="Y907" s="6" t="str">
        <f t="shared" si="278"/>
        <v>,GTeam= "</v>
      </c>
      <c r="Z907">
        <f>Matchs!M908</f>
        <v>0</v>
      </c>
      <c r="AA907" s="6" t="str">
        <f t="shared" si="279"/>
        <v>",WinNote="</v>
      </c>
      <c r="AB907" t="str">
        <f>IF(Matchs!N908="","",Matchs!N908)</f>
        <v/>
      </c>
      <c r="AC907" s="6" t="str">
        <f t="shared" si="280"/>
        <v xml:space="preserve">",Stadium=" </v>
      </c>
      <c r="AD907" s="11">
        <f>Matchs!O908</f>
        <v>0</v>
      </c>
      <c r="AE907" s="6" t="str">
        <f t="shared" si="281"/>
        <v>",Referee= "</v>
      </c>
      <c r="AF907" s="11">
        <f>Matchs!P908</f>
        <v>0</v>
      </c>
      <c r="AG907" s="6" t="str">
        <f t="shared" si="282"/>
        <v xml:space="preserve">",Visistors= </v>
      </c>
      <c r="AH907" s="11">
        <f>Matchs!Q908</f>
        <v>0</v>
      </c>
      <c r="AI907" s="11" t="str">
        <f t="shared" si="283"/>
        <v>,Status= "</v>
      </c>
      <c r="AJ907" s="11">
        <f>Matchs!R908</f>
        <v>0</v>
      </c>
      <c r="AK907" t="str">
        <f t="shared" si="284"/>
        <v>" },</v>
      </c>
    </row>
    <row r="908" spans="1:37" x14ac:dyDescent="0.25">
      <c r="A908" t="str">
        <f t="shared" si="266"/>
        <v>new Match { MatchId= "</v>
      </c>
      <c r="B908">
        <f>Matchs!A909</f>
        <v>0</v>
      </c>
      <c r="C908" t="str">
        <f t="shared" si="267"/>
        <v>",MatchNumer=</v>
      </c>
      <c r="D908">
        <f>Matchs!B909</f>
        <v>0</v>
      </c>
      <c r="E908" t="str">
        <f t="shared" si="268"/>
        <v>,DateMatch=DateTime.Parse("</v>
      </c>
      <c r="F908" s="3">
        <f>Matchs!C909</f>
        <v>0</v>
      </c>
      <c r="G908" s="10" t="str">
        <f t="shared" si="269"/>
        <v>"),TimeMatch=TimeSpan.Parse("</v>
      </c>
      <c r="H908" s="9">
        <f>Matchs!D909</f>
        <v>0</v>
      </c>
      <c r="I908" t="str">
        <f t="shared" si="270"/>
        <v>"),MatchYear=</v>
      </c>
      <c r="J908">
        <f>Matchs!E909</f>
        <v>0</v>
      </c>
      <c r="K908" t="str">
        <f t="shared" si="271"/>
        <v>, SeasonId= "</v>
      </c>
      <c r="L908">
        <f>Matchs!F909</f>
        <v>0</v>
      </c>
      <c r="M908" t="str">
        <f t="shared" si="272"/>
        <v>",Round= "</v>
      </c>
      <c r="N908">
        <f>Matchs!G909</f>
        <v>0</v>
      </c>
      <c r="O908" s="6" t="str">
        <f t="shared" si="273"/>
        <v>",Stage= "</v>
      </c>
      <c r="P908">
        <f>Matchs!H909</f>
        <v>0</v>
      </c>
      <c r="Q908" s="6" t="str">
        <f t="shared" si="274"/>
        <v>",SubStage= "</v>
      </c>
      <c r="R908">
        <f>Matchs!I909</f>
        <v>0</v>
      </c>
      <c r="S908" s="6" t="str">
        <f t="shared" si="275"/>
        <v>",HTeam= "</v>
      </c>
      <c r="T908">
        <f>Matchs!J909</f>
        <v>0</v>
      </c>
      <c r="U908" s="6" t="str">
        <f t="shared" si="276"/>
        <v>",HGoal=</v>
      </c>
      <c r="V908">
        <f>Matchs!K909</f>
        <v>0</v>
      </c>
      <c r="W908" s="6" t="str">
        <f t="shared" si="277"/>
        <v>,GGoal=</v>
      </c>
      <c r="X908">
        <f>Matchs!L909</f>
        <v>0</v>
      </c>
      <c r="Y908" s="6" t="str">
        <f t="shared" si="278"/>
        <v>,GTeam= "</v>
      </c>
      <c r="Z908">
        <f>Matchs!M909</f>
        <v>0</v>
      </c>
      <c r="AA908" s="6" t="str">
        <f t="shared" si="279"/>
        <v>",WinNote="</v>
      </c>
      <c r="AB908" t="str">
        <f>IF(Matchs!N909="","",Matchs!N909)</f>
        <v/>
      </c>
      <c r="AC908" s="6" t="str">
        <f t="shared" si="280"/>
        <v xml:space="preserve">",Stadium=" </v>
      </c>
      <c r="AD908" s="11">
        <f>Matchs!O909</f>
        <v>0</v>
      </c>
      <c r="AE908" s="6" t="str">
        <f t="shared" si="281"/>
        <v>",Referee= "</v>
      </c>
      <c r="AF908" s="11">
        <f>Matchs!P909</f>
        <v>0</v>
      </c>
      <c r="AG908" s="6" t="str">
        <f t="shared" si="282"/>
        <v xml:space="preserve">",Visistors= </v>
      </c>
      <c r="AH908" s="11">
        <f>Matchs!Q909</f>
        <v>0</v>
      </c>
      <c r="AI908" s="11" t="str">
        <f t="shared" si="283"/>
        <v>,Status= "</v>
      </c>
      <c r="AJ908" s="11">
        <f>Matchs!R909</f>
        <v>0</v>
      </c>
      <c r="AK908" t="str">
        <f t="shared" si="284"/>
        <v>" },</v>
      </c>
    </row>
    <row r="909" spans="1:37" x14ac:dyDescent="0.25">
      <c r="A909" t="str">
        <f t="shared" si="266"/>
        <v>new Match { MatchId= "</v>
      </c>
      <c r="B909">
        <f>Matchs!A910</f>
        <v>0</v>
      </c>
      <c r="C909" t="str">
        <f t="shared" si="267"/>
        <v>",MatchNumer=</v>
      </c>
      <c r="D909">
        <f>Matchs!B910</f>
        <v>0</v>
      </c>
      <c r="E909" t="str">
        <f t="shared" si="268"/>
        <v>,DateMatch=DateTime.Parse("</v>
      </c>
      <c r="F909" s="3">
        <f>Matchs!C910</f>
        <v>0</v>
      </c>
      <c r="G909" s="10" t="str">
        <f t="shared" si="269"/>
        <v>"),TimeMatch=TimeSpan.Parse("</v>
      </c>
      <c r="H909" s="9">
        <f>Matchs!D910</f>
        <v>0</v>
      </c>
      <c r="I909" t="str">
        <f t="shared" si="270"/>
        <v>"),MatchYear=</v>
      </c>
      <c r="J909">
        <f>Matchs!E910</f>
        <v>0</v>
      </c>
      <c r="K909" t="str">
        <f t="shared" si="271"/>
        <v>, SeasonId= "</v>
      </c>
      <c r="L909">
        <f>Matchs!F910</f>
        <v>0</v>
      </c>
      <c r="M909" t="str">
        <f t="shared" si="272"/>
        <v>",Round= "</v>
      </c>
      <c r="N909">
        <f>Matchs!G910</f>
        <v>0</v>
      </c>
      <c r="O909" s="6" t="str">
        <f t="shared" si="273"/>
        <v>",Stage= "</v>
      </c>
      <c r="P909">
        <f>Matchs!H910</f>
        <v>0</v>
      </c>
      <c r="Q909" s="6" t="str">
        <f t="shared" si="274"/>
        <v>",SubStage= "</v>
      </c>
      <c r="R909">
        <f>Matchs!I910</f>
        <v>0</v>
      </c>
      <c r="S909" s="6" t="str">
        <f t="shared" si="275"/>
        <v>",HTeam= "</v>
      </c>
      <c r="T909">
        <f>Matchs!J910</f>
        <v>0</v>
      </c>
      <c r="U909" s="6" t="str">
        <f t="shared" si="276"/>
        <v>",HGoal=</v>
      </c>
      <c r="V909">
        <f>Matchs!K910</f>
        <v>0</v>
      </c>
      <c r="W909" s="6" t="str">
        <f t="shared" si="277"/>
        <v>,GGoal=</v>
      </c>
      <c r="X909">
        <f>Matchs!L910</f>
        <v>0</v>
      </c>
      <c r="Y909" s="6" t="str">
        <f t="shared" si="278"/>
        <v>,GTeam= "</v>
      </c>
      <c r="Z909">
        <f>Matchs!M910</f>
        <v>0</v>
      </c>
      <c r="AA909" s="6" t="str">
        <f t="shared" si="279"/>
        <v>",WinNote="</v>
      </c>
      <c r="AB909" t="str">
        <f>IF(Matchs!N910="","",Matchs!N910)</f>
        <v/>
      </c>
      <c r="AC909" s="6" t="str">
        <f t="shared" si="280"/>
        <v xml:space="preserve">",Stadium=" </v>
      </c>
      <c r="AD909" s="11">
        <f>Matchs!O910</f>
        <v>0</v>
      </c>
      <c r="AE909" s="6" t="str">
        <f t="shared" si="281"/>
        <v>",Referee= "</v>
      </c>
      <c r="AF909" s="11">
        <f>Matchs!P910</f>
        <v>0</v>
      </c>
      <c r="AG909" s="6" t="str">
        <f t="shared" si="282"/>
        <v xml:space="preserve">",Visistors= </v>
      </c>
      <c r="AH909" s="11">
        <f>Matchs!Q910</f>
        <v>0</v>
      </c>
      <c r="AI909" s="11" t="str">
        <f t="shared" si="283"/>
        <v>,Status= "</v>
      </c>
      <c r="AJ909" s="11">
        <f>Matchs!R910</f>
        <v>0</v>
      </c>
      <c r="AK909" t="str">
        <f t="shared" si="284"/>
        <v>" },</v>
      </c>
    </row>
    <row r="910" spans="1:37" x14ac:dyDescent="0.25">
      <c r="A910" t="str">
        <f t="shared" si="266"/>
        <v>new Match { MatchId= "</v>
      </c>
      <c r="B910">
        <f>Matchs!A911</f>
        <v>0</v>
      </c>
      <c r="C910" t="str">
        <f t="shared" si="267"/>
        <v>",MatchNumer=</v>
      </c>
      <c r="D910">
        <f>Matchs!B911</f>
        <v>0</v>
      </c>
      <c r="E910" t="str">
        <f t="shared" si="268"/>
        <v>,DateMatch=DateTime.Parse("</v>
      </c>
      <c r="F910" s="3">
        <f>Matchs!C911</f>
        <v>0</v>
      </c>
      <c r="G910" s="10" t="str">
        <f t="shared" si="269"/>
        <v>"),TimeMatch=TimeSpan.Parse("</v>
      </c>
      <c r="H910" s="9">
        <f>Matchs!D911</f>
        <v>0</v>
      </c>
      <c r="I910" t="str">
        <f t="shared" si="270"/>
        <v>"),MatchYear=</v>
      </c>
      <c r="J910">
        <f>Matchs!E911</f>
        <v>0</v>
      </c>
      <c r="K910" t="str">
        <f t="shared" si="271"/>
        <v>, SeasonId= "</v>
      </c>
      <c r="L910">
        <f>Matchs!F911</f>
        <v>0</v>
      </c>
      <c r="M910" t="str">
        <f t="shared" si="272"/>
        <v>",Round= "</v>
      </c>
      <c r="N910">
        <f>Matchs!G911</f>
        <v>0</v>
      </c>
      <c r="O910" s="6" t="str">
        <f t="shared" si="273"/>
        <v>",Stage= "</v>
      </c>
      <c r="P910">
        <f>Matchs!H911</f>
        <v>0</v>
      </c>
      <c r="Q910" s="6" t="str">
        <f t="shared" si="274"/>
        <v>",SubStage= "</v>
      </c>
      <c r="R910">
        <f>Matchs!I911</f>
        <v>0</v>
      </c>
      <c r="S910" s="6" t="str">
        <f t="shared" si="275"/>
        <v>",HTeam= "</v>
      </c>
      <c r="T910">
        <f>Matchs!J911</f>
        <v>0</v>
      </c>
      <c r="U910" s="6" t="str">
        <f t="shared" si="276"/>
        <v>",HGoal=</v>
      </c>
      <c r="V910">
        <f>Matchs!K911</f>
        <v>0</v>
      </c>
      <c r="W910" s="6" t="str">
        <f t="shared" si="277"/>
        <v>,GGoal=</v>
      </c>
      <c r="X910">
        <f>Matchs!L911</f>
        <v>0</v>
      </c>
      <c r="Y910" s="6" t="str">
        <f t="shared" si="278"/>
        <v>,GTeam= "</v>
      </c>
      <c r="Z910">
        <f>Matchs!M911</f>
        <v>0</v>
      </c>
      <c r="AA910" s="6" t="str">
        <f t="shared" si="279"/>
        <v>",WinNote="</v>
      </c>
      <c r="AB910" t="str">
        <f>IF(Matchs!N911="","",Matchs!N911)</f>
        <v/>
      </c>
      <c r="AC910" s="6" t="str">
        <f t="shared" si="280"/>
        <v xml:space="preserve">",Stadium=" </v>
      </c>
      <c r="AD910" s="11">
        <f>Matchs!O911</f>
        <v>0</v>
      </c>
      <c r="AE910" s="6" t="str">
        <f t="shared" si="281"/>
        <v>",Referee= "</v>
      </c>
      <c r="AF910" s="11">
        <f>Matchs!P911</f>
        <v>0</v>
      </c>
      <c r="AG910" s="6" t="str">
        <f t="shared" si="282"/>
        <v xml:space="preserve">",Visistors= </v>
      </c>
      <c r="AH910" s="11">
        <f>Matchs!Q911</f>
        <v>0</v>
      </c>
      <c r="AI910" s="11" t="str">
        <f t="shared" si="283"/>
        <v>,Status= "</v>
      </c>
      <c r="AJ910" s="11">
        <f>Matchs!R911</f>
        <v>0</v>
      </c>
      <c r="AK910" t="str">
        <f t="shared" si="284"/>
        <v>" },</v>
      </c>
    </row>
    <row r="911" spans="1:37" x14ac:dyDescent="0.25">
      <c r="A911" t="str">
        <f t="shared" si="266"/>
        <v>new Match { MatchId= "</v>
      </c>
      <c r="B911">
        <f>Matchs!A912</f>
        <v>0</v>
      </c>
      <c r="C911" t="str">
        <f t="shared" si="267"/>
        <v>",MatchNumer=</v>
      </c>
      <c r="D911">
        <f>Matchs!B912</f>
        <v>0</v>
      </c>
      <c r="E911" t="str">
        <f t="shared" si="268"/>
        <v>,DateMatch=DateTime.Parse("</v>
      </c>
      <c r="F911" s="3">
        <f>Matchs!C912</f>
        <v>0</v>
      </c>
      <c r="G911" s="10" t="str">
        <f t="shared" si="269"/>
        <v>"),TimeMatch=TimeSpan.Parse("</v>
      </c>
      <c r="H911" s="9">
        <f>Matchs!D912</f>
        <v>0</v>
      </c>
      <c r="I911" t="str">
        <f t="shared" si="270"/>
        <v>"),MatchYear=</v>
      </c>
      <c r="J911">
        <f>Matchs!E912</f>
        <v>0</v>
      </c>
      <c r="K911" t="str">
        <f t="shared" si="271"/>
        <v>, SeasonId= "</v>
      </c>
      <c r="L911">
        <f>Matchs!F912</f>
        <v>0</v>
      </c>
      <c r="M911" t="str">
        <f t="shared" si="272"/>
        <v>",Round= "</v>
      </c>
      <c r="N911">
        <f>Matchs!G912</f>
        <v>0</v>
      </c>
      <c r="O911" s="6" t="str">
        <f t="shared" si="273"/>
        <v>",Stage= "</v>
      </c>
      <c r="P911">
        <f>Matchs!H912</f>
        <v>0</v>
      </c>
      <c r="Q911" s="6" t="str">
        <f t="shared" si="274"/>
        <v>",SubStage= "</v>
      </c>
      <c r="R911">
        <f>Matchs!I912</f>
        <v>0</v>
      </c>
      <c r="S911" s="6" t="str">
        <f t="shared" si="275"/>
        <v>",HTeam= "</v>
      </c>
      <c r="T911">
        <f>Matchs!J912</f>
        <v>0</v>
      </c>
      <c r="U911" s="6" t="str">
        <f t="shared" si="276"/>
        <v>",HGoal=</v>
      </c>
      <c r="V911">
        <f>Matchs!K912</f>
        <v>0</v>
      </c>
      <c r="W911" s="6" t="str">
        <f t="shared" si="277"/>
        <v>,GGoal=</v>
      </c>
      <c r="X911">
        <f>Matchs!L912</f>
        <v>0</v>
      </c>
      <c r="Y911" s="6" t="str">
        <f t="shared" si="278"/>
        <v>,GTeam= "</v>
      </c>
      <c r="Z911">
        <f>Matchs!M912</f>
        <v>0</v>
      </c>
      <c r="AA911" s="6" t="str">
        <f t="shared" si="279"/>
        <v>",WinNote="</v>
      </c>
      <c r="AB911" t="str">
        <f>IF(Matchs!N912="","",Matchs!N912)</f>
        <v/>
      </c>
      <c r="AC911" s="6" t="str">
        <f t="shared" si="280"/>
        <v xml:space="preserve">",Stadium=" </v>
      </c>
      <c r="AD911" s="11">
        <f>Matchs!O912</f>
        <v>0</v>
      </c>
      <c r="AE911" s="6" t="str">
        <f t="shared" si="281"/>
        <v>",Referee= "</v>
      </c>
      <c r="AF911" s="11">
        <f>Matchs!P912</f>
        <v>0</v>
      </c>
      <c r="AG911" s="6" t="str">
        <f t="shared" si="282"/>
        <v xml:space="preserve">",Visistors= </v>
      </c>
      <c r="AH911" s="11">
        <f>Matchs!Q912</f>
        <v>0</v>
      </c>
      <c r="AI911" s="11" t="str">
        <f t="shared" si="283"/>
        <v>,Status= "</v>
      </c>
      <c r="AJ911" s="11">
        <f>Matchs!R912</f>
        <v>0</v>
      </c>
      <c r="AK911" t="str">
        <f t="shared" si="284"/>
        <v>" },</v>
      </c>
    </row>
    <row r="912" spans="1:37" x14ac:dyDescent="0.25">
      <c r="A912" t="str">
        <f t="shared" si="266"/>
        <v>new Match { MatchId= "</v>
      </c>
      <c r="B912">
        <f>Matchs!A913</f>
        <v>0</v>
      </c>
      <c r="C912" t="str">
        <f t="shared" si="267"/>
        <v>",MatchNumer=</v>
      </c>
      <c r="D912">
        <f>Matchs!B913</f>
        <v>0</v>
      </c>
      <c r="E912" t="str">
        <f t="shared" si="268"/>
        <v>,DateMatch=DateTime.Parse("</v>
      </c>
      <c r="F912" s="3">
        <f>Matchs!C913</f>
        <v>0</v>
      </c>
      <c r="G912" s="10" t="str">
        <f t="shared" si="269"/>
        <v>"),TimeMatch=TimeSpan.Parse("</v>
      </c>
      <c r="H912" s="9">
        <f>Matchs!D913</f>
        <v>0</v>
      </c>
      <c r="I912" t="str">
        <f t="shared" si="270"/>
        <v>"),MatchYear=</v>
      </c>
      <c r="J912">
        <f>Matchs!E913</f>
        <v>0</v>
      </c>
      <c r="K912" t="str">
        <f t="shared" si="271"/>
        <v>, SeasonId= "</v>
      </c>
      <c r="L912">
        <f>Matchs!F913</f>
        <v>0</v>
      </c>
      <c r="M912" t="str">
        <f t="shared" si="272"/>
        <v>",Round= "</v>
      </c>
      <c r="N912">
        <f>Matchs!G913</f>
        <v>0</v>
      </c>
      <c r="O912" s="6" t="str">
        <f t="shared" si="273"/>
        <v>",Stage= "</v>
      </c>
      <c r="P912">
        <f>Matchs!H913</f>
        <v>0</v>
      </c>
      <c r="Q912" s="6" t="str">
        <f t="shared" si="274"/>
        <v>",SubStage= "</v>
      </c>
      <c r="R912">
        <f>Matchs!I913</f>
        <v>0</v>
      </c>
      <c r="S912" s="6" t="str">
        <f t="shared" si="275"/>
        <v>",HTeam= "</v>
      </c>
      <c r="T912">
        <f>Matchs!J913</f>
        <v>0</v>
      </c>
      <c r="U912" s="6" t="str">
        <f t="shared" si="276"/>
        <v>",HGoal=</v>
      </c>
      <c r="V912">
        <f>Matchs!K913</f>
        <v>0</v>
      </c>
      <c r="W912" s="6" t="str">
        <f t="shared" si="277"/>
        <v>,GGoal=</v>
      </c>
      <c r="X912">
        <f>Matchs!L913</f>
        <v>0</v>
      </c>
      <c r="Y912" s="6" t="str">
        <f t="shared" si="278"/>
        <v>,GTeam= "</v>
      </c>
      <c r="Z912">
        <f>Matchs!M913</f>
        <v>0</v>
      </c>
      <c r="AA912" s="6" t="str">
        <f t="shared" si="279"/>
        <v>",WinNote="</v>
      </c>
      <c r="AB912" t="str">
        <f>IF(Matchs!N913="","",Matchs!N913)</f>
        <v/>
      </c>
      <c r="AC912" s="6" t="str">
        <f t="shared" si="280"/>
        <v xml:space="preserve">",Stadium=" </v>
      </c>
      <c r="AD912" s="11">
        <f>Matchs!O913</f>
        <v>0</v>
      </c>
      <c r="AE912" s="6" t="str">
        <f t="shared" si="281"/>
        <v>",Referee= "</v>
      </c>
      <c r="AF912" s="11">
        <f>Matchs!P913</f>
        <v>0</v>
      </c>
      <c r="AG912" s="6" t="str">
        <f t="shared" si="282"/>
        <v xml:space="preserve">",Visistors= </v>
      </c>
      <c r="AH912" s="11">
        <f>Matchs!Q913</f>
        <v>0</v>
      </c>
      <c r="AI912" s="11" t="str">
        <f t="shared" si="283"/>
        <v>,Status= "</v>
      </c>
      <c r="AJ912" s="11">
        <f>Matchs!R913</f>
        <v>0</v>
      </c>
      <c r="AK912" t="str">
        <f t="shared" si="284"/>
        <v>" },</v>
      </c>
    </row>
    <row r="913" spans="1:37" x14ac:dyDescent="0.25">
      <c r="A913" t="str">
        <f t="shared" si="266"/>
        <v>new Match { MatchId= "</v>
      </c>
      <c r="B913">
        <f>Matchs!A914</f>
        <v>0</v>
      </c>
      <c r="C913" t="str">
        <f t="shared" si="267"/>
        <v>",MatchNumer=</v>
      </c>
      <c r="D913">
        <f>Matchs!B914</f>
        <v>0</v>
      </c>
      <c r="E913" t="str">
        <f t="shared" si="268"/>
        <v>,DateMatch=DateTime.Parse("</v>
      </c>
      <c r="F913" s="3">
        <f>Matchs!C914</f>
        <v>0</v>
      </c>
      <c r="G913" s="10" t="str">
        <f t="shared" si="269"/>
        <v>"),TimeMatch=TimeSpan.Parse("</v>
      </c>
      <c r="H913" s="9">
        <f>Matchs!D914</f>
        <v>0</v>
      </c>
      <c r="I913" t="str">
        <f t="shared" si="270"/>
        <v>"),MatchYear=</v>
      </c>
      <c r="J913">
        <f>Matchs!E914</f>
        <v>0</v>
      </c>
      <c r="K913" t="str">
        <f t="shared" si="271"/>
        <v>, SeasonId= "</v>
      </c>
      <c r="L913">
        <f>Matchs!F914</f>
        <v>0</v>
      </c>
      <c r="M913" t="str">
        <f t="shared" si="272"/>
        <v>",Round= "</v>
      </c>
      <c r="N913">
        <f>Matchs!G914</f>
        <v>0</v>
      </c>
      <c r="O913" s="6" t="str">
        <f t="shared" si="273"/>
        <v>",Stage= "</v>
      </c>
      <c r="P913">
        <f>Matchs!H914</f>
        <v>0</v>
      </c>
      <c r="Q913" s="6" t="str">
        <f t="shared" si="274"/>
        <v>",SubStage= "</v>
      </c>
      <c r="R913">
        <f>Matchs!I914</f>
        <v>0</v>
      </c>
      <c r="S913" s="6" t="str">
        <f t="shared" si="275"/>
        <v>",HTeam= "</v>
      </c>
      <c r="T913">
        <f>Matchs!J914</f>
        <v>0</v>
      </c>
      <c r="U913" s="6" t="str">
        <f t="shared" si="276"/>
        <v>",HGoal=</v>
      </c>
      <c r="V913">
        <f>Matchs!K914</f>
        <v>0</v>
      </c>
      <c r="W913" s="6" t="str">
        <f t="shared" si="277"/>
        <v>,GGoal=</v>
      </c>
      <c r="X913">
        <f>Matchs!L914</f>
        <v>0</v>
      </c>
      <c r="Y913" s="6" t="str">
        <f t="shared" si="278"/>
        <v>,GTeam= "</v>
      </c>
      <c r="Z913">
        <f>Matchs!M914</f>
        <v>0</v>
      </c>
      <c r="AA913" s="6" t="str">
        <f t="shared" si="279"/>
        <v>",WinNote="</v>
      </c>
      <c r="AB913" t="str">
        <f>IF(Matchs!N914="","",Matchs!N914)</f>
        <v/>
      </c>
      <c r="AC913" s="6" t="str">
        <f t="shared" si="280"/>
        <v xml:space="preserve">",Stadium=" </v>
      </c>
      <c r="AD913" s="11">
        <f>Matchs!O914</f>
        <v>0</v>
      </c>
      <c r="AE913" s="6" t="str">
        <f t="shared" si="281"/>
        <v>",Referee= "</v>
      </c>
      <c r="AF913" s="11">
        <f>Matchs!P914</f>
        <v>0</v>
      </c>
      <c r="AG913" s="6" t="str">
        <f t="shared" si="282"/>
        <v xml:space="preserve">",Visistors= </v>
      </c>
      <c r="AH913" s="11">
        <f>Matchs!Q914</f>
        <v>0</v>
      </c>
      <c r="AI913" s="11" t="str">
        <f t="shared" si="283"/>
        <v>,Status= "</v>
      </c>
      <c r="AJ913" s="11">
        <f>Matchs!R914</f>
        <v>0</v>
      </c>
      <c r="AK913" t="str">
        <f t="shared" si="284"/>
        <v>" },</v>
      </c>
    </row>
    <row r="914" spans="1:37" x14ac:dyDescent="0.25">
      <c r="A914" t="str">
        <f t="shared" si="266"/>
        <v>new Match { MatchId= "</v>
      </c>
      <c r="B914">
        <f>Matchs!A915</f>
        <v>0</v>
      </c>
      <c r="C914" t="str">
        <f t="shared" si="267"/>
        <v>",MatchNumer=</v>
      </c>
      <c r="D914">
        <f>Matchs!B915</f>
        <v>0</v>
      </c>
      <c r="E914" t="str">
        <f t="shared" si="268"/>
        <v>,DateMatch=DateTime.Parse("</v>
      </c>
      <c r="F914" s="3">
        <f>Matchs!C915</f>
        <v>0</v>
      </c>
      <c r="G914" s="10" t="str">
        <f t="shared" si="269"/>
        <v>"),TimeMatch=TimeSpan.Parse("</v>
      </c>
      <c r="H914" s="9">
        <f>Matchs!D915</f>
        <v>0</v>
      </c>
      <c r="I914" t="str">
        <f t="shared" si="270"/>
        <v>"),MatchYear=</v>
      </c>
      <c r="J914">
        <f>Matchs!E915</f>
        <v>0</v>
      </c>
      <c r="K914" t="str">
        <f t="shared" si="271"/>
        <v>, SeasonId= "</v>
      </c>
      <c r="L914">
        <f>Matchs!F915</f>
        <v>0</v>
      </c>
      <c r="M914" t="str">
        <f t="shared" si="272"/>
        <v>",Round= "</v>
      </c>
      <c r="N914">
        <f>Matchs!G915</f>
        <v>0</v>
      </c>
      <c r="O914" s="6" t="str">
        <f t="shared" si="273"/>
        <v>",Stage= "</v>
      </c>
      <c r="P914">
        <f>Matchs!H915</f>
        <v>0</v>
      </c>
      <c r="Q914" s="6" t="str">
        <f t="shared" si="274"/>
        <v>",SubStage= "</v>
      </c>
      <c r="R914">
        <f>Matchs!I915</f>
        <v>0</v>
      </c>
      <c r="S914" s="6" t="str">
        <f t="shared" si="275"/>
        <v>",HTeam= "</v>
      </c>
      <c r="T914">
        <f>Matchs!J915</f>
        <v>0</v>
      </c>
      <c r="U914" s="6" t="str">
        <f t="shared" si="276"/>
        <v>",HGoal=</v>
      </c>
      <c r="V914">
        <f>Matchs!K915</f>
        <v>0</v>
      </c>
      <c r="W914" s="6" t="str">
        <f t="shared" si="277"/>
        <v>,GGoal=</v>
      </c>
      <c r="X914">
        <f>Matchs!L915</f>
        <v>0</v>
      </c>
      <c r="Y914" s="6" t="str">
        <f t="shared" si="278"/>
        <v>,GTeam= "</v>
      </c>
      <c r="Z914">
        <f>Matchs!M915</f>
        <v>0</v>
      </c>
      <c r="AA914" s="6" t="str">
        <f t="shared" si="279"/>
        <v>",WinNote="</v>
      </c>
      <c r="AB914" t="str">
        <f>IF(Matchs!N915="","",Matchs!N915)</f>
        <v/>
      </c>
      <c r="AC914" s="6" t="str">
        <f t="shared" si="280"/>
        <v xml:space="preserve">",Stadium=" </v>
      </c>
      <c r="AD914" s="11">
        <f>Matchs!O915</f>
        <v>0</v>
      </c>
      <c r="AE914" s="6" t="str">
        <f t="shared" si="281"/>
        <v>",Referee= "</v>
      </c>
      <c r="AF914" s="11">
        <f>Matchs!P915</f>
        <v>0</v>
      </c>
      <c r="AG914" s="6" t="str">
        <f t="shared" si="282"/>
        <v xml:space="preserve">",Visistors= </v>
      </c>
      <c r="AH914" s="11">
        <f>Matchs!Q915</f>
        <v>0</v>
      </c>
      <c r="AI914" s="11" t="str">
        <f t="shared" si="283"/>
        <v>,Status= "</v>
      </c>
      <c r="AJ914" s="11">
        <f>Matchs!R915</f>
        <v>0</v>
      </c>
      <c r="AK914" t="str">
        <f t="shared" si="284"/>
        <v>" },</v>
      </c>
    </row>
    <row r="915" spans="1:37" x14ac:dyDescent="0.25">
      <c r="A915" t="str">
        <f t="shared" si="266"/>
        <v>new Match { MatchId= "</v>
      </c>
      <c r="B915">
        <f>Matchs!A916</f>
        <v>0</v>
      </c>
      <c r="C915" t="str">
        <f t="shared" si="267"/>
        <v>",MatchNumer=</v>
      </c>
      <c r="D915">
        <f>Matchs!B916</f>
        <v>0</v>
      </c>
      <c r="E915" t="str">
        <f t="shared" si="268"/>
        <v>,DateMatch=DateTime.Parse("</v>
      </c>
      <c r="F915" s="3">
        <f>Matchs!C916</f>
        <v>0</v>
      </c>
      <c r="G915" s="10" t="str">
        <f t="shared" si="269"/>
        <v>"),TimeMatch=TimeSpan.Parse("</v>
      </c>
      <c r="H915" s="9">
        <f>Matchs!D916</f>
        <v>0</v>
      </c>
      <c r="I915" t="str">
        <f t="shared" si="270"/>
        <v>"),MatchYear=</v>
      </c>
      <c r="J915">
        <f>Matchs!E916</f>
        <v>0</v>
      </c>
      <c r="K915" t="str">
        <f t="shared" si="271"/>
        <v>, SeasonId= "</v>
      </c>
      <c r="L915">
        <f>Matchs!F916</f>
        <v>0</v>
      </c>
      <c r="M915" t="str">
        <f t="shared" si="272"/>
        <v>",Round= "</v>
      </c>
      <c r="N915">
        <f>Matchs!G916</f>
        <v>0</v>
      </c>
      <c r="O915" s="6" t="str">
        <f t="shared" si="273"/>
        <v>",Stage= "</v>
      </c>
      <c r="P915">
        <f>Matchs!H916</f>
        <v>0</v>
      </c>
      <c r="Q915" s="6" t="str">
        <f t="shared" si="274"/>
        <v>",SubStage= "</v>
      </c>
      <c r="R915">
        <f>Matchs!I916</f>
        <v>0</v>
      </c>
      <c r="S915" s="6" t="str">
        <f t="shared" si="275"/>
        <v>",HTeam= "</v>
      </c>
      <c r="T915">
        <f>Matchs!J916</f>
        <v>0</v>
      </c>
      <c r="U915" s="6" t="str">
        <f t="shared" si="276"/>
        <v>",HGoal=</v>
      </c>
      <c r="V915">
        <f>Matchs!K916</f>
        <v>0</v>
      </c>
      <c r="W915" s="6" t="str">
        <f t="shared" si="277"/>
        <v>,GGoal=</v>
      </c>
      <c r="X915">
        <f>Matchs!L916</f>
        <v>0</v>
      </c>
      <c r="Y915" s="6" t="str">
        <f t="shared" si="278"/>
        <v>,GTeam= "</v>
      </c>
      <c r="Z915">
        <f>Matchs!M916</f>
        <v>0</v>
      </c>
      <c r="AA915" s="6" t="str">
        <f t="shared" si="279"/>
        <v>",WinNote="</v>
      </c>
      <c r="AB915" t="str">
        <f>IF(Matchs!N916="","",Matchs!N916)</f>
        <v/>
      </c>
      <c r="AC915" s="6" t="str">
        <f t="shared" si="280"/>
        <v xml:space="preserve">",Stadium=" </v>
      </c>
      <c r="AD915" s="11">
        <f>Matchs!O916</f>
        <v>0</v>
      </c>
      <c r="AE915" s="6" t="str">
        <f t="shared" si="281"/>
        <v>",Referee= "</v>
      </c>
      <c r="AF915" s="11">
        <f>Matchs!P916</f>
        <v>0</v>
      </c>
      <c r="AG915" s="6" t="str">
        <f t="shared" si="282"/>
        <v xml:space="preserve">",Visistors= </v>
      </c>
      <c r="AH915" s="11">
        <f>Matchs!Q916</f>
        <v>0</v>
      </c>
      <c r="AI915" s="11" t="str">
        <f t="shared" si="283"/>
        <v>,Status= "</v>
      </c>
      <c r="AJ915" s="11">
        <f>Matchs!R916</f>
        <v>0</v>
      </c>
      <c r="AK915" t="str">
        <f t="shared" si="284"/>
        <v>" },</v>
      </c>
    </row>
    <row r="916" spans="1:37" x14ac:dyDescent="0.25">
      <c r="A916" t="str">
        <f t="shared" si="266"/>
        <v>new Match { MatchId= "</v>
      </c>
      <c r="B916">
        <f>Matchs!A917</f>
        <v>0</v>
      </c>
      <c r="C916" t="str">
        <f t="shared" si="267"/>
        <v>",MatchNumer=</v>
      </c>
      <c r="D916">
        <f>Matchs!B917</f>
        <v>0</v>
      </c>
      <c r="E916" t="str">
        <f t="shared" si="268"/>
        <v>,DateMatch=DateTime.Parse("</v>
      </c>
      <c r="F916" s="3">
        <f>Matchs!C917</f>
        <v>0</v>
      </c>
      <c r="G916" s="10" t="str">
        <f t="shared" si="269"/>
        <v>"),TimeMatch=TimeSpan.Parse("</v>
      </c>
      <c r="H916" s="9">
        <f>Matchs!D917</f>
        <v>0</v>
      </c>
      <c r="I916" t="str">
        <f t="shared" si="270"/>
        <v>"),MatchYear=</v>
      </c>
      <c r="J916">
        <f>Matchs!E917</f>
        <v>0</v>
      </c>
      <c r="K916" t="str">
        <f t="shared" si="271"/>
        <v>, SeasonId= "</v>
      </c>
      <c r="L916">
        <f>Matchs!F917</f>
        <v>0</v>
      </c>
      <c r="M916" t="str">
        <f t="shared" si="272"/>
        <v>",Round= "</v>
      </c>
      <c r="N916">
        <f>Matchs!G917</f>
        <v>0</v>
      </c>
      <c r="O916" s="6" t="str">
        <f t="shared" si="273"/>
        <v>",Stage= "</v>
      </c>
      <c r="P916">
        <f>Matchs!H917</f>
        <v>0</v>
      </c>
      <c r="Q916" s="6" t="str">
        <f t="shared" si="274"/>
        <v>",SubStage= "</v>
      </c>
      <c r="R916">
        <f>Matchs!I917</f>
        <v>0</v>
      </c>
      <c r="S916" s="6" t="str">
        <f t="shared" si="275"/>
        <v>",HTeam= "</v>
      </c>
      <c r="T916">
        <f>Matchs!J917</f>
        <v>0</v>
      </c>
      <c r="U916" s="6" t="str">
        <f t="shared" si="276"/>
        <v>",HGoal=</v>
      </c>
      <c r="V916">
        <f>Matchs!K917</f>
        <v>0</v>
      </c>
      <c r="W916" s="6" t="str">
        <f t="shared" si="277"/>
        <v>,GGoal=</v>
      </c>
      <c r="X916">
        <f>Matchs!L917</f>
        <v>0</v>
      </c>
      <c r="Y916" s="6" t="str">
        <f t="shared" si="278"/>
        <v>,GTeam= "</v>
      </c>
      <c r="Z916">
        <f>Matchs!M917</f>
        <v>0</v>
      </c>
      <c r="AA916" s="6" t="str">
        <f t="shared" si="279"/>
        <v>",WinNote="</v>
      </c>
      <c r="AB916" t="str">
        <f>IF(Matchs!N917="","",Matchs!N917)</f>
        <v/>
      </c>
      <c r="AC916" s="6" t="str">
        <f t="shared" si="280"/>
        <v xml:space="preserve">",Stadium=" </v>
      </c>
      <c r="AD916" s="11">
        <f>Matchs!O917</f>
        <v>0</v>
      </c>
      <c r="AE916" s="6" t="str">
        <f t="shared" si="281"/>
        <v>",Referee= "</v>
      </c>
      <c r="AF916" s="11">
        <f>Matchs!P917</f>
        <v>0</v>
      </c>
      <c r="AG916" s="6" t="str">
        <f t="shared" si="282"/>
        <v xml:space="preserve">",Visistors= </v>
      </c>
      <c r="AH916" s="11">
        <f>Matchs!Q917</f>
        <v>0</v>
      </c>
      <c r="AI916" s="11" t="str">
        <f t="shared" si="283"/>
        <v>,Status= "</v>
      </c>
      <c r="AJ916" s="11">
        <f>Matchs!R917</f>
        <v>0</v>
      </c>
      <c r="AK916" t="str">
        <f t="shared" si="284"/>
        <v>" },</v>
      </c>
    </row>
    <row r="917" spans="1:37" x14ac:dyDescent="0.25">
      <c r="A917" t="str">
        <f t="shared" si="266"/>
        <v>new Match { MatchId= "</v>
      </c>
      <c r="B917">
        <f>Matchs!A918</f>
        <v>0</v>
      </c>
      <c r="C917" t="str">
        <f t="shared" si="267"/>
        <v>",MatchNumer=</v>
      </c>
      <c r="D917">
        <f>Matchs!B918</f>
        <v>0</v>
      </c>
      <c r="E917" t="str">
        <f t="shared" si="268"/>
        <v>,DateMatch=DateTime.Parse("</v>
      </c>
      <c r="F917" s="3">
        <f>Matchs!C918</f>
        <v>0</v>
      </c>
      <c r="G917" s="10" t="str">
        <f t="shared" si="269"/>
        <v>"),TimeMatch=TimeSpan.Parse("</v>
      </c>
      <c r="H917" s="9">
        <f>Matchs!D918</f>
        <v>0</v>
      </c>
      <c r="I917" t="str">
        <f t="shared" si="270"/>
        <v>"),MatchYear=</v>
      </c>
      <c r="J917">
        <f>Matchs!E918</f>
        <v>0</v>
      </c>
      <c r="K917" t="str">
        <f t="shared" si="271"/>
        <v>, SeasonId= "</v>
      </c>
      <c r="L917">
        <f>Matchs!F918</f>
        <v>0</v>
      </c>
      <c r="M917" t="str">
        <f t="shared" si="272"/>
        <v>",Round= "</v>
      </c>
      <c r="N917">
        <f>Matchs!G918</f>
        <v>0</v>
      </c>
      <c r="O917" s="6" t="str">
        <f t="shared" si="273"/>
        <v>",Stage= "</v>
      </c>
      <c r="P917">
        <f>Matchs!H918</f>
        <v>0</v>
      </c>
      <c r="Q917" s="6" t="str">
        <f t="shared" si="274"/>
        <v>",SubStage= "</v>
      </c>
      <c r="R917">
        <f>Matchs!I918</f>
        <v>0</v>
      </c>
      <c r="S917" s="6" t="str">
        <f t="shared" si="275"/>
        <v>",HTeam= "</v>
      </c>
      <c r="T917">
        <f>Matchs!J918</f>
        <v>0</v>
      </c>
      <c r="U917" s="6" t="str">
        <f t="shared" si="276"/>
        <v>",HGoal=</v>
      </c>
      <c r="V917">
        <f>Matchs!K918</f>
        <v>0</v>
      </c>
      <c r="W917" s="6" t="str">
        <f t="shared" si="277"/>
        <v>,GGoal=</v>
      </c>
      <c r="X917">
        <f>Matchs!L918</f>
        <v>0</v>
      </c>
      <c r="Y917" s="6" t="str">
        <f t="shared" si="278"/>
        <v>,GTeam= "</v>
      </c>
      <c r="Z917">
        <f>Matchs!M918</f>
        <v>0</v>
      </c>
      <c r="AA917" s="6" t="str">
        <f t="shared" si="279"/>
        <v>",WinNote="</v>
      </c>
      <c r="AB917" t="str">
        <f>IF(Matchs!N918="","",Matchs!N918)</f>
        <v/>
      </c>
      <c r="AC917" s="6" t="str">
        <f t="shared" si="280"/>
        <v xml:space="preserve">",Stadium=" </v>
      </c>
      <c r="AD917" s="11">
        <f>Matchs!O918</f>
        <v>0</v>
      </c>
      <c r="AE917" s="6" t="str">
        <f t="shared" si="281"/>
        <v>",Referee= "</v>
      </c>
      <c r="AF917" s="11">
        <f>Matchs!P918</f>
        <v>0</v>
      </c>
      <c r="AG917" s="6" t="str">
        <f t="shared" si="282"/>
        <v xml:space="preserve">",Visistors= </v>
      </c>
      <c r="AH917" s="11">
        <f>Matchs!Q918</f>
        <v>0</v>
      </c>
      <c r="AI917" s="11" t="str">
        <f t="shared" si="283"/>
        <v>,Status= "</v>
      </c>
      <c r="AJ917" s="11">
        <f>Matchs!R918</f>
        <v>0</v>
      </c>
      <c r="AK917" t="str">
        <f t="shared" si="284"/>
        <v>" },</v>
      </c>
    </row>
    <row r="918" spans="1:37" x14ac:dyDescent="0.25">
      <c r="A918" t="str">
        <f t="shared" si="266"/>
        <v>new Match { MatchId= "</v>
      </c>
      <c r="B918">
        <f>Matchs!A919</f>
        <v>0</v>
      </c>
      <c r="C918" t="str">
        <f t="shared" si="267"/>
        <v>",MatchNumer=</v>
      </c>
      <c r="D918">
        <f>Matchs!B919</f>
        <v>0</v>
      </c>
      <c r="E918" t="str">
        <f t="shared" si="268"/>
        <v>,DateMatch=DateTime.Parse("</v>
      </c>
      <c r="F918" s="3">
        <f>Matchs!C919</f>
        <v>0</v>
      </c>
      <c r="G918" s="10" t="str">
        <f t="shared" si="269"/>
        <v>"),TimeMatch=TimeSpan.Parse("</v>
      </c>
      <c r="H918" s="9">
        <f>Matchs!D919</f>
        <v>0</v>
      </c>
      <c r="I918" t="str">
        <f t="shared" si="270"/>
        <v>"),MatchYear=</v>
      </c>
      <c r="J918">
        <f>Matchs!E919</f>
        <v>0</v>
      </c>
      <c r="K918" t="str">
        <f t="shared" si="271"/>
        <v>, SeasonId= "</v>
      </c>
      <c r="L918">
        <f>Matchs!F919</f>
        <v>0</v>
      </c>
      <c r="M918" t="str">
        <f t="shared" si="272"/>
        <v>",Round= "</v>
      </c>
      <c r="N918">
        <f>Matchs!G919</f>
        <v>0</v>
      </c>
      <c r="O918" s="6" t="str">
        <f t="shared" si="273"/>
        <v>",Stage= "</v>
      </c>
      <c r="P918">
        <f>Matchs!H919</f>
        <v>0</v>
      </c>
      <c r="Q918" s="6" t="str">
        <f t="shared" si="274"/>
        <v>",SubStage= "</v>
      </c>
      <c r="R918">
        <f>Matchs!I919</f>
        <v>0</v>
      </c>
      <c r="S918" s="6" t="str">
        <f t="shared" si="275"/>
        <v>",HTeam= "</v>
      </c>
      <c r="T918">
        <f>Matchs!J919</f>
        <v>0</v>
      </c>
      <c r="U918" s="6" t="str">
        <f t="shared" si="276"/>
        <v>",HGoal=</v>
      </c>
      <c r="V918">
        <f>Matchs!K919</f>
        <v>0</v>
      </c>
      <c r="W918" s="6" t="str">
        <f t="shared" si="277"/>
        <v>,GGoal=</v>
      </c>
      <c r="X918">
        <f>Matchs!L919</f>
        <v>0</v>
      </c>
      <c r="Y918" s="6" t="str">
        <f t="shared" si="278"/>
        <v>,GTeam= "</v>
      </c>
      <c r="Z918">
        <f>Matchs!M919</f>
        <v>0</v>
      </c>
      <c r="AA918" s="6" t="str">
        <f t="shared" si="279"/>
        <v>",WinNote="</v>
      </c>
      <c r="AB918" t="str">
        <f>IF(Matchs!N919="","",Matchs!N919)</f>
        <v/>
      </c>
      <c r="AC918" s="6" t="str">
        <f t="shared" si="280"/>
        <v xml:space="preserve">",Stadium=" </v>
      </c>
      <c r="AD918" s="11">
        <f>Matchs!O919</f>
        <v>0</v>
      </c>
      <c r="AE918" s="6" t="str">
        <f t="shared" si="281"/>
        <v>",Referee= "</v>
      </c>
      <c r="AF918" s="11">
        <f>Matchs!P919</f>
        <v>0</v>
      </c>
      <c r="AG918" s="6" t="str">
        <f t="shared" si="282"/>
        <v xml:space="preserve">",Visistors= </v>
      </c>
      <c r="AH918" s="11">
        <f>Matchs!Q919</f>
        <v>0</v>
      </c>
      <c r="AI918" s="11" t="str">
        <f t="shared" si="283"/>
        <v>,Status= "</v>
      </c>
      <c r="AJ918" s="11">
        <f>Matchs!R919</f>
        <v>0</v>
      </c>
      <c r="AK918" t="str">
        <f t="shared" si="284"/>
        <v>" },</v>
      </c>
    </row>
    <row r="919" spans="1:37" x14ac:dyDescent="0.25">
      <c r="A919" t="str">
        <f t="shared" si="266"/>
        <v>new Match { MatchId= "</v>
      </c>
      <c r="B919">
        <f>Matchs!A920</f>
        <v>0</v>
      </c>
      <c r="C919" t="str">
        <f t="shared" si="267"/>
        <v>",MatchNumer=</v>
      </c>
      <c r="D919">
        <f>Matchs!B920</f>
        <v>0</v>
      </c>
      <c r="E919" t="str">
        <f t="shared" si="268"/>
        <v>,DateMatch=DateTime.Parse("</v>
      </c>
      <c r="F919" s="3">
        <f>Matchs!C920</f>
        <v>0</v>
      </c>
      <c r="G919" s="10" t="str">
        <f t="shared" si="269"/>
        <v>"),TimeMatch=TimeSpan.Parse("</v>
      </c>
      <c r="H919" s="9">
        <f>Matchs!D920</f>
        <v>0</v>
      </c>
      <c r="I919" t="str">
        <f t="shared" si="270"/>
        <v>"),MatchYear=</v>
      </c>
      <c r="J919">
        <f>Matchs!E920</f>
        <v>0</v>
      </c>
      <c r="K919" t="str">
        <f t="shared" si="271"/>
        <v>, SeasonId= "</v>
      </c>
      <c r="L919">
        <f>Matchs!F920</f>
        <v>0</v>
      </c>
      <c r="M919" t="str">
        <f t="shared" si="272"/>
        <v>",Round= "</v>
      </c>
      <c r="N919">
        <f>Matchs!G920</f>
        <v>0</v>
      </c>
      <c r="O919" s="6" t="str">
        <f t="shared" si="273"/>
        <v>",Stage= "</v>
      </c>
      <c r="P919">
        <f>Matchs!H920</f>
        <v>0</v>
      </c>
      <c r="Q919" s="6" t="str">
        <f t="shared" si="274"/>
        <v>",SubStage= "</v>
      </c>
      <c r="R919">
        <f>Matchs!I920</f>
        <v>0</v>
      </c>
      <c r="S919" s="6" t="str">
        <f t="shared" si="275"/>
        <v>",HTeam= "</v>
      </c>
      <c r="T919">
        <f>Matchs!J920</f>
        <v>0</v>
      </c>
      <c r="U919" s="6" t="str">
        <f t="shared" si="276"/>
        <v>",HGoal=</v>
      </c>
      <c r="V919">
        <f>Matchs!K920</f>
        <v>0</v>
      </c>
      <c r="W919" s="6" t="str">
        <f t="shared" si="277"/>
        <v>,GGoal=</v>
      </c>
      <c r="X919">
        <f>Matchs!L920</f>
        <v>0</v>
      </c>
      <c r="Y919" s="6" t="str">
        <f t="shared" si="278"/>
        <v>,GTeam= "</v>
      </c>
      <c r="Z919">
        <f>Matchs!M920</f>
        <v>0</v>
      </c>
      <c r="AA919" s="6" t="str">
        <f t="shared" si="279"/>
        <v>",WinNote="</v>
      </c>
      <c r="AB919" t="str">
        <f>IF(Matchs!N920="","",Matchs!N920)</f>
        <v/>
      </c>
      <c r="AC919" s="6" t="str">
        <f t="shared" si="280"/>
        <v xml:space="preserve">",Stadium=" </v>
      </c>
      <c r="AD919" s="11">
        <f>Matchs!O920</f>
        <v>0</v>
      </c>
      <c r="AE919" s="6" t="str">
        <f t="shared" si="281"/>
        <v>",Referee= "</v>
      </c>
      <c r="AF919" s="11">
        <f>Matchs!P920</f>
        <v>0</v>
      </c>
      <c r="AG919" s="6" t="str">
        <f t="shared" si="282"/>
        <v xml:space="preserve">",Visistors= </v>
      </c>
      <c r="AH919" s="11">
        <f>Matchs!Q920</f>
        <v>0</v>
      </c>
      <c r="AI919" s="11" t="str">
        <f t="shared" si="283"/>
        <v>,Status= "</v>
      </c>
      <c r="AJ919" s="11">
        <f>Matchs!R920</f>
        <v>0</v>
      </c>
      <c r="AK919" t="str">
        <f t="shared" si="284"/>
        <v>" },</v>
      </c>
    </row>
    <row r="920" spans="1:37" x14ac:dyDescent="0.25">
      <c r="A920" t="str">
        <f t="shared" si="266"/>
        <v>new Match { MatchId= "</v>
      </c>
      <c r="B920">
        <f>Matchs!A921</f>
        <v>0</v>
      </c>
      <c r="C920" t="str">
        <f t="shared" si="267"/>
        <v>",MatchNumer=</v>
      </c>
      <c r="D920">
        <f>Matchs!B921</f>
        <v>0</v>
      </c>
      <c r="E920" t="str">
        <f t="shared" si="268"/>
        <v>,DateMatch=DateTime.Parse("</v>
      </c>
      <c r="F920" s="3">
        <f>Matchs!C921</f>
        <v>0</v>
      </c>
      <c r="G920" s="10" t="str">
        <f t="shared" si="269"/>
        <v>"),TimeMatch=TimeSpan.Parse("</v>
      </c>
      <c r="H920" s="9">
        <f>Matchs!D921</f>
        <v>0</v>
      </c>
      <c r="I920" t="str">
        <f t="shared" si="270"/>
        <v>"),MatchYear=</v>
      </c>
      <c r="J920">
        <f>Matchs!E921</f>
        <v>0</v>
      </c>
      <c r="K920" t="str">
        <f t="shared" si="271"/>
        <v>, SeasonId= "</v>
      </c>
      <c r="L920">
        <f>Matchs!F921</f>
        <v>0</v>
      </c>
      <c r="M920" t="str">
        <f t="shared" si="272"/>
        <v>",Round= "</v>
      </c>
      <c r="N920">
        <f>Matchs!G921</f>
        <v>0</v>
      </c>
      <c r="O920" s="6" t="str">
        <f t="shared" si="273"/>
        <v>",Stage= "</v>
      </c>
      <c r="P920">
        <f>Matchs!H921</f>
        <v>0</v>
      </c>
      <c r="Q920" s="6" t="str">
        <f t="shared" si="274"/>
        <v>",SubStage= "</v>
      </c>
      <c r="R920">
        <f>Matchs!I921</f>
        <v>0</v>
      </c>
      <c r="S920" s="6" t="str">
        <f t="shared" si="275"/>
        <v>",HTeam= "</v>
      </c>
      <c r="T920">
        <f>Matchs!J921</f>
        <v>0</v>
      </c>
      <c r="U920" s="6" t="str">
        <f t="shared" si="276"/>
        <v>",HGoal=</v>
      </c>
      <c r="V920">
        <f>Matchs!K921</f>
        <v>0</v>
      </c>
      <c r="W920" s="6" t="str">
        <f t="shared" si="277"/>
        <v>,GGoal=</v>
      </c>
      <c r="X920">
        <f>Matchs!L921</f>
        <v>0</v>
      </c>
      <c r="Y920" s="6" t="str">
        <f t="shared" si="278"/>
        <v>,GTeam= "</v>
      </c>
      <c r="Z920">
        <f>Matchs!M921</f>
        <v>0</v>
      </c>
      <c r="AA920" s="6" t="str">
        <f t="shared" si="279"/>
        <v>",WinNote="</v>
      </c>
      <c r="AB920" t="str">
        <f>IF(Matchs!N921="","",Matchs!N921)</f>
        <v/>
      </c>
      <c r="AC920" s="6" t="str">
        <f t="shared" si="280"/>
        <v xml:space="preserve">",Stadium=" </v>
      </c>
      <c r="AD920" s="11">
        <f>Matchs!O921</f>
        <v>0</v>
      </c>
      <c r="AE920" s="6" t="str">
        <f t="shared" si="281"/>
        <v>",Referee= "</v>
      </c>
      <c r="AF920" s="11">
        <f>Matchs!P921</f>
        <v>0</v>
      </c>
      <c r="AG920" s="6" t="str">
        <f t="shared" si="282"/>
        <v xml:space="preserve">",Visistors= </v>
      </c>
      <c r="AH920" s="11">
        <f>Matchs!Q921</f>
        <v>0</v>
      </c>
      <c r="AI920" s="11" t="str">
        <f t="shared" si="283"/>
        <v>,Status= "</v>
      </c>
      <c r="AJ920" s="11">
        <f>Matchs!R921</f>
        <v>0</v>
      </c>
      <c r="AK920" t="str">
        <f t="shared" si="284"/>
        <v>" },</v>
      </c>
    </row>
    <row r="921" spans="1:37" x14ac:dyDescent="0.25">
      <c r="A921" t="str">
        <f t="shared" si="266"/>
        <v>new Match { MatchId= "</v>
      </c>
      <c r="B921">
        <f>Matchs!A922</f>
        <v>0</v>
      </c>
      <c r="C921" t="str">
        <f t="shared" si="267"/>
        <v>",MatchNumer=</v>
      </c>
      <c r="D921">
        <f>Matchs!B922</f>
        <v>0</v>
      </c>
      <c r="E921" t="str">
        <f t="shared" si="268"/>
        <v>,DateMatch=DateTime.Parse("</v>
      </c>
      <c r="F921" s="3">
        <f>Matchs!C922</f>
        <v>0</v>
      </c>
      <c r="G921" s="10" t="str">
        <f t="shared" si="269"/>
        <v>"),TimeMatch=TimeSpan.Parse("</v>
      </c>
      <c r="H921" s="9">
        <f>Matchs!D922</f>
        <v>0</v>
      </c>
      <c r="I921" t="str">
        <f t="shared" si="270"/>
        <v>"),MatchYear=</v>
      </c>
      <c r="J921">
        <f>Matchs!E922</f>
        <v>0</v>
      </c>
      <c r="K921" t="str">
        <f t="shared" si="271"/>
        <v>, SeasonId= "</v>
      </c>
      <c r="L921">
        <f>Matchs!F922</f>
        <v>0</v>
      </c>
      <c r="M921" t="str">
        <f t="shared" si="272"/>
        <v>",Round= "</v>
      </c>
      <c r="N921">
        <f>Matchs!G922</f>
        <v>0</v>
      </c>
      <c r="O921" s="6" t="str">
        <f t="shared" si="273"/>
        <v>",Stage= "</v>
      </c>
      <c r="P921">
        <f>Matchs!H922</f>
        <v>0</v>
      </c>
      <c r="Q921" s="6" t="str">
        <f t="shared" si="274"/>
        <v>",SubStage= "</v>
      </c>
      <c r="R921">
        <f>Matchs!I922</f>
        <v>0</v>
      </c>
      <c r="S921" s="6" t="str">
        <f t="shared" si="275"/>
        <v>",HTeam= "</v>
      </c>
      <c r="T921">
        <f>Matchs!J922</f>
        <v>0</v>
      </c>
      <c r="U921" s="6" t="str">
        <f t="shared" si="276"/>
        <v>",HGoal=</v>
      </c>
      <c r="V921">
        <f>Matchs!K922</f>
        <v>0</v>
      </c>
      <c r="W921" s="6" t="str">
        <f t="shared" si="277"/>
        <v>,GGoal=</v>
      </c>
      <c r="X921">
        <f>Matchs!L922</f>
        <v>0</v>
      </c>
      <c r="Y921" s="6" t="str">
        <f t="shared" si="278"/>
        <v>,GTeam= "</v>
      </c>
      <c r="Z921">
        <f>Matchs!M922</f>
        <v>0</v>
      </c>
      <c r="AA921" s="6" t="str">
        <f t="shared" si="279"/>
        <v>",WinNote="</v>
      </c>
      <c r="AB921" t="str">
        <f>IF(Matchs!N922="","",Matchs!N922)</f>
        <v/>
      </c>
      <c r="AC921" s="6" t="str">
        <f t="shared" si="280"/>
        <v xml:space="preserve">",Stadium=" </v>
      </c>
      <c r="AD921" s="11">
        <f>Matchs!O922</f>
        <v>0</v>
      </c>
      <c r="AE921" s="6" t="str">
        <f t="shared" si="281"/>
        <v>",Referee= "</v>
      </c>
      <c r="AF921" s="11">
        <f>Matchs!P922</f>
        <v>0</v>
      </c>
      <c r="AG921" s="6" t="str">
        <f t="shared" si="282"/>
        <v xml:space="preserve">",Visistors= </v>
      </c>
      <c r="AH921" s="11">
        <f>Matchs!Q922</f>
        <v>0</v>
      </c>
      <c r="AI921" s="11" t="str">
        <f t="shared" si="283"/>
        <v>,Status= "</v>
      </c>
      <c r="AJ921" s="11">
        <f>Matchs!R922</f>
        <v>0</v>
      </c>
      <c r="AK921" t="str">
        <f t="shared" si="284"/>
        <v>" },</v>
      </c>
    </row>
    <row r="922" spans="1:37" x14ac:dyDescent="0.25">
      <c r="A922" t="str">
        <f t="shared" si="266"/>
        <v>new Match { MatchId= "</v>
      </c>
      <c r="B922">
        <f>Matchs!A923</f>
        <v>0</v>
      </c>
      <c r="C922" t="str">
        <f t="shared" si="267"/>
        <v>",MatchNumer=</v>
      </c>
      <c r="D922">
        <f>Matchs!B923</f>
        <v>0</v>
      </c>
      <c r="E922" t="str">
        <f t="shared" si="268"/>
        <v>,DateMatch=DateTime.Parse("</v>
      </c>
      <c r="F922" s="3">
        <f>Matchs!C923</f>
        <v>0</v>
      </c>
      <c r="G922" s="10" t="str">
        <f t="shared" si="269"/>
        <v>"),TimeMatch=TimeSpan.Parse("</v>
      </c>
      <c r="H922" s="9">
        <f>Matchs!D923</f>
        <v>0</v>
      </c>
      <c r="I922" t="str">
        <f t="shared" si="270"/>
        <v>"),MatchYear=</v>
      </c>
      <c r="J922">
        <f>Matchs!E923</f>
        <v>0</v>
      </c>
      <c r="K922" t="str">
        <f t="shared" si="271"/>
        <v>, SeasonId= "</v>
      </c>
      <c r="L922">
        <f>Matchs!F923</f>
        <v>0</v>
      </c>
      <c r="M922" t="str">
        <f t="shared" si="272"/>
        <v>",Round= "</v>
      </c>
      <c r="N922">
        <f>Matchs!G923</f>
        <v>0</v>
      </c>
      <c r="O922" s="6" t="str">
        <f t="shared" si="273"/>
        <v>",Stage= "</v>
      </c>
      <c r="P922">
        <f>Matchs!H923</f>
        <v>0</v>
      </c>
      <c r="Q922" s="6" t="str">
        <f t="shared" si="274"/>
        <v>",SubStage= "</v>
      </c>
      <c r="R922">
        <f>Matchs!I923</f>
        <v>0</v>
      </c>
      <c r="S922" s="6" t="str">
        <f t="shared" si="275"/>
        <v>",HTeam= "</v>
      </c>
      <c r="T922">
        <f>Matchs!J923</f>
        <v>0</v>
      </c>
      <c r="U922" s="6" t="str">
        <f t="shared" si="276"/>
        <v>",HGoal=</v>
      </c>
      <c r="V922">
        <f>Matchs!K923</f>
        <v>0</v>
      </c>
      <c r="W922" s="6" t="str">
        <f t="shared" si="277"/>
        <v>,GGoal=</v>
      </c>
      <c r="X922">
        <f>Matchs!L923</f>
        <v>0</v>
      </c>
      <c r="Y922" s="6" t="str">
        <f t="shared" si="278"/>
        <v>,GTeam= "</v>
      </c>
      <c r="Z922">
        <f>Matchs!M923</f>
        <v>0</v>
      </c>
      <c r="AA922" s="6" t="str">
        <f t="shared" si="279"/>
        <v>",WinNote="</v>
      </c>
      <c r="AB922" t="str">
        <f>IF(Matchs!N923="","",Matchs!N923)</f>
        <v/>
      </c>
      <c r="AC922" s="6" t="str">
        <f t="shared" si="280"/>
        <v xml:space="preserve">",Stadium=" </v>
      </c>
      <c r="AD922" s="11">
        <f>Matchs!O923</f>
        <v>0</v>
      </c>
      <c r="AE922" s="6" t="str">
        <f t="shared" si="281"/>
        <v>",Referee= "</v>
      </c>
      <c r="AF922" s="11">
        <f>Matchs!P923</f>
        <v>0</v>
      </c>
      <c r="AG922" s="6" t="str">
        <f t="shared" si="282"/>
        <v xml:space="preserve">",Visistors= </v>
      </c>
      <c r="AH922" s="11">
        <f>Matchs!Q923</f>
        <v>0</v>
      </c>
      <c r="AI922" s="11" t="str">
        <f t="shared" si="283"/>
        <v>,Status= "</v>
      </c>
      <c r="AJ922" s="11">
        <f>Matchs!R923</f>
        <v>0</v>
      </c>
      <c r="AK922" t="str">
        <f t="shared" si="284"/>
        <v>" },</v>
      </c>
    </row>
    <row r="923" spans="1:37" x14ac:dyDescent="0.25">
      <c r="A923" t="str">
        <f t="shared" si="266"/>
        <v>new Match { MatchId= "</v>
      </c>
      <c r="B923">
        <f>Matchs!A924</f>
        <v>0</v>
      </c>
      <c r="C923" t="str">
        <f t="shared" si="267"/>
        <v>",MatchNumer=</v>
      </c>
      <c r="D923">
        <f>Matchs!B924</f>
        <v>0</v>
      </c>
      <c r="E923" t="str">
        <f t="shared" si="268"/>
        <v>,DateMatch=DateTime.Parse("</v>
      </c>
      <c r="F923" s="3">
        <f>Matchs!C924</f>
        <v>0</v>
      </c>
      <c r="G923" s="10" t="str">
        <f t="shared" si="269"/>
        <v>"),TimeMatch=TimeSpan.Parse("</v>
      </c>
      <c r="H923" s="9">
        <f>Matchs!D924</f>
        <v>0</v>
      </c>
      <c r="I923" t="str">
        <f t="shared" si="270"/>
        <v>"),MatchYear=</v>
      </c>
      <c r="J923">
        <f>Matchs!E924</f>
        <v>0</v>
      </c>
      <c r="K923" t="str">
        <f t="shared" si="271"/>
        <v>, SeasonId= "</v>
      </c>
      <c r="L923">
        <f>Matchs!F924</f>
        <v>0</v>
      </c>
      <c r="M923" t="str">
        <f t="shared" si="272"/>
        <v>",Round= "</v>
      </c>
      <c r="N923">
        <f>Matchs!G924</f>
        <v>0</v>
      </c>
      <c r="O923" s="6" t="str">
        <f t="shared" si="273"/>
        <v>",Stage= "</v>
      </c>
      <c r="P923">
        <f>Matchs!H924</f>
        <v>0</v>
      </c>
      <c r="Q923" s="6" t="str">
        <f t="shared" si="274"/>
        <v>",SubStage= "</v>
      </c>
      <c r="R923">
        <f>Matchs!I924</f>
        <v>0</v>
      </c>
      <c r="S923" s="6" t="str">
        <f t="shared" si="275"/>
        <v>",HTeam= "</v>
      </c>
      <c r="T923">
        <f>Matchs!J924</f>
        <v>0</v>
      </c>
      <c r="U923" s="6" t="str">
        <f t="shared" si="276"/>
        <v>",HGoal=</v>
      </c>
      <c r="V923">
        <f>Matchs!K924</f>
        <v>0</v>
      </c>
      <c r="W923" s="6" t="str">
        <f t="shared" si="277"/>
        <v>,GGoal=</v>
      </c>
      <c r="X923">
        <f>Matchs!L924</f>
        <v>0</v>
      </c>
      <c r="Y923" s="6" t="str">
        <f t="shared" si="278"/>
        <v>,GTeam= "</v>
      </c>
      <c r="Z923">
        <f>Matchs!M924</f>
        <v>0</v>
      </c>
      <c r="AA923" s="6" t="str">
        <f t="shared" si="279"/>
        <v>",WinNote="</v>
      </c>
      <c r="AB923" t="str">
        <f>IF(Matchs!N924="","",Matchs!N924)</f>
        <v/>
      </c>
      <c r="AC923" s="6" t="str">
        <f t="shared" si="280"/>
        <v xml:space="preserve">",Stadium=" </v>
      </c>
      <c r="AD923" s="11">
        <f>Matchs!O924</f>
        <v>0</v>
      </c>
      <c r="AE923" s="6" t="str">
        <f t="shared" si="281"/>
        <v>",Referee= "</v>
      </c>
      <c r="AF923" s="11">
        <f>Matchs!P924</f>
        <v>0</v>
      </c>
      <c r="AG923" s="6" t="str">
        <f t="shared" si="282"/>
        <v xml:space="preserve">",Visistors= </v>
      </c>
      <c r="AH923" s="11">
        <f>Matchs!Q924</f>
        <v>0</v>
      </c>
      <c r="AI923" s="11" t="str">
        <f t="shared" si="283"/>
        <v>,Status= "</v>
      </c>
      <c r="AJ923" s="11">
        <f>Matchs!R924</f>
        <v>0</v>
      </c>
      <c r="AK923" t="str">
        <f t="shared" si="284"/>
        <v>" },</v>
      </c>
    </row>
    <row r="924" spans="1:37" x14ac:dyDescent="0.25">
      <c r="A924" t="str">
        <f t="shared" si="266"/>
        <v>new Match { MatchId= "</v>
      </c>
      <c r="B924">
        <f>Matchs!A925</f>
        <v>0</v>
      </c>
      <c r="C924" t="str">
        <f t="shared" si="267"/>
        <v>",MatchNumer=</v>
      </c>
      <c r="D924">
        <f>Matchs!B925</f>
        <v>0</v>
      </c>
      <c r="E924" t="str">
        <f t="shared" si="268"/>
        <v>,DateMatch=DateTime.Parse("</v>
      </c>
      <c r="F924" s="3">
        <f>Matchs!C925</f>
        <v>0</v>
      </c>
      <c r="G924" s="10" t="str">
        <f t="shared" si="269"/>
        <v>"),TimeMatch=TimeSpan.Parse("</v>
      </c>
      <c r="H924" s="9">
        <f>Matchs!D925</f>
        <v>0</v>
      </c>
      <c r="I924" t="str">
        <f t="shared" si="270"/>
        <v>"),MatchYear=</v>
      </c>
      <c r="J924">
        <f>Matchs!E925</f>
        <v>0</v>
      </c>
      <c r="K924" t="str">
        <f t="shared" si="271"/>
        <v>, SeasonId= "</v>
      </c>
      <c r="L924">
        <f>Matchs!F925</f>
        <v>0</v>
      </c>
      <c r="M924" t="str">
        <f t="shared" si="272"/>
        <v>",Round= "</v>
      </c>
      <c r="N924">
        <f>Matchs!G925</f>
        <v>0</v>
      </c>
      <c r="O924" s="6" t="str">
        <f t="shared" si="273"/>
        <v>",Stage= "</v>
      </c>
      <c r="P924">
        <f>Matchs!H925</f>
        <v>0</v>
      </c>
      <c r="Q924" s="6" t="str">
        <f t="shared" si="274"/>
        <v>",SubStage= "</v>
      </c>
      <c r="R924">
        <f>Matchs!I925</f>
        <v>0</v>
      </c>
      <c r="S924" s="6" t="str">
        <f t="shared" si="275"/>
        <v>",HTeam= "</v>
      </c>
      <c r="T924">
        <f>Matchs!J925</f>
        <v>0</v>
      </c>
      <c r="U924" s="6" t="str">
        <f t="shared" si="276"/>
        <v>",HGoal=</v>
      </c>
      <c r="V924">
        <f>Matchs!K925</f>
        <v>0</v>
      </c>
      <c r="W924" s="6" t="str">
        <f t="shared" si="277"/>
        <v>,GGoal=</v>
      </c>
      <c r="X924">
        <f>Matchs!L925</f>
        <v>0</v>
      </c>
      <c r="Y924" s="6" t="str">
        <f t="shared" si="278"/>
        <v>,GTeam= "</v>
      </c>
      <c r="Z924">
        <f>Matchs!M925</f>
        <v>0</v>
      </c>
      <c r="AA924" s="6" t="str">
        <f t="shared" si="279"/>
        <v>",WinNote="</v>
      </c>
      <c r="AB924" t="str">
        <f>IF(Matchs!N925="","",Matchs!N925)</f>
        <v/>
      </c>
      <c r="AC924" s="6" t="str">
        <f t="shared" si="280"/>
        <v xml:space="preserve">",Stadium=" </v>
      </c>
      <c r="AD924" s="11">
        <f>Matchs!O925</f>
        <v>0</v>
      </c>
      <c r="AE924" s="6" t="str">
        <f t="shared" si="281"/>
        <v>",Referee= "</v>
      </c>
      <c r="AF924" s="11">
        <f>Matchs!P925</f>
        <v>0</v>
      </c>
      <c r="AG924" s="6" t="str">
        <f t="shared" si="282"/>
        <v xml:space="preserve">",Visistors= </v>
      </c>
      <c r="AH924" s="11">
        <f>Matchs!Q925</f>
        <v>0</v>
      </c>
      <c r="AI924" s="11" t="str">
        <f t="shared" si="283"/>
        <v>,Status= "</v>
      </c>
      <c r="AJ924" s="11">
        <f>Matchs!R925</f>
        <v>0</v>
      </c>
      <c r="AK924" t="str">
        <f t="shared" si="284"/>
        <v>" },</v>
      </c>
    </row>
    <row r="925" spans="1:37" x14ac:dyDescent="0.25">
      <c r="A925" t="str">
        <f t="shared" si="266"/>
        <v>new Match { MatchId= "</v>
      </c>
      <c r="B925">
        <f>Matchs!A926</f>
        <v>0</v>
      </c>
      <c r="C925" t="str">
        <f t="shared" si="267"/>
        <v>",MatchNumer=</v>
      </c>
      <c r="D925">
        <f>Matchs!B926</f>
        <v>0</v>
      </c>
      <c r="E925" t="str">
        <f t="shared" si="268"/>
        <v>,DateMatch=DateTime.Parse("</v>
      </c>
      <c r="F925" s="3">
        <f>Matchs!C926</f>
        <v>0</v>
      </c>
      <c r="G925" s="10" t="str">
        <f t="shared" si="269"/>
        <v>"),TimeMatch=TimeSpan.Parse("</v>
      </c>
      <c r="H925" s="9">
        <f>Matchs!D926</f>
        <v>0</v>
      </c>
      <c r="I925" t="str">
        <f t="shared" si="270"/>
        <v>"),MatchYear=</v>
      </c>
      <c r="J925">
        <f>Matchs!E926</f>
        <v>0</v>
      </c>
      <c r="K925" t="str">
        <f t="shared" si="271"/>
        <v>, SeasonId= "</v>
      </c>
      <c r="L925">
        <f>Matchs!F926</f>
        <v>0</v>
      </c>
      <c r="M925" t="str">
        <f t="shared" si="272"/>
        <v>",Round= "</v>
      </c>
      <c r="N925">
        <f>Matchs!G926</f>
        <v>0</v>
      </c>
      <c r="O925" s="6" t="str">
        <f t="shared" si="273"/>
        <v>",Stage= "</v>
      </c>
      <c r="P925">
        <f>Matchs!H926</f>
        <v>0</v>
      </c>
      <c r="Q925" s="6" t="str">
        <f t="shared" si="274"/>
        <v>",SubStage= "</v>
      </c>
      <c r="R925">
        <f>Matchs!I926</f>
        <v>0</v>
      </c>
      <c r="S925" s="6" t="str">
        <f t="shared" si="275"/>
        <v>",HTeam= "</v>
      </c>
      <c r="T925">
        <f>Matchs!J926</f>
        <v>0</v>
      </c>
      <c r="U925" s="6" t="str">
        <f t="shared" si="276"/>
        <v>",HGoal=</v>
      </c>
      <c r="V925">
        <f>Matchs!K926</f>
        <v>0</v>
      </c>
      <c r="W925" s="6" t="str">
        <f t="shared" si="277"/>
        <v>,GGoal=</v>
      </c>
      <c r="X925">
        <f>Matchs!L926</f>
        <v>0</v>
      </c>
      <c r="Y925" s="6" t="str">
        <f t="shared" si="278"/>
        <v>,GTeam= "</v>
      </c>
      <c r="Z925">
        <f>Matchs!M926</f>
        <v>0</v>
      </c>
      <c r="AA925" s="6" t="str">
        <f t="shared" si="279"/>
        <v>",WinNote="</v>
      </c>
      <c r="AB925" t="str">
        <f>IF(Matchs!N926="","",Matchs!N926)</f>
        <v/>
      </c>
      <c r="AC925" s="6" t="str">
        <f t="shared" si="280"/>
        <v xml:space="preserve">",Stadium=" </v>
      </c>
      <c r="AD925" s="11">
        <f>Matchs!O926</f>
        <v>0</v>
      </c>
      <c r="AE925" s="6" t="str">
        <f t="shared" si="281"/>
        <v>",Referee= "</v>
      </c>
      <c r="AF925" s="11">
        <f>Matchs!P926</f>
        <v>0</v>
      </c>
      <c r="AG925" s="6" t="str">
        <f t="shared" si="282"/>
        <v xml:space="preserve">",Visistors= </v>
      </c>
      <c r="AH925" s="11">
        <f>Matchs!Q926</f>
        <v>0</v>
      </c>
      <c r="AI925" s="11" t="str">
        <f t="shared" si="283"/>
        <v>,Status= "</v>
      </c>
      <c r="AJ925" s="11">
        <f>Matchs!R926</f>
        <v>0</v>
      </c>
      <c r="AK925" t="str">
        <f t="shared" si="284"/>
        <v>" },</v>
      </c>
    </row>
    <row r="926" spans="1:37" x14ac:dyDescent="0.25">
      <c r="A926" t="str">
        <f t="shared" si="266"/>
        <v>new Match { MatchId= "</v>
      </c>
      <c r="B926">
        <f>Matchs!A927</f>
        <v>0</v>
      </c>
      <c r="C926" t="str">
        <f t="shared" si="267"/>
        <v>",MatchNumer=</v>
      </c>
      <c r="D926">
        <f>Matchs!B927</f>
        <v>0</v>
      </c>
      <c r="E926" t="str">
        <f t="shared" si="268"/>
        <v>,DateMatch=DateTime.Parse("</v>
      </c>
      <c r="F926" s="3">
        <f>Matchs!C927</f>
        <v>0</v>
      </c>
      <c r="G926" s="10" t="str">
        <f t="shared" si="269"/>
        <v>"),TimeMatch=TimeSpan.Parse("</v>
      </c>
      <c r="H926" s="9">
        <f>Matchs!D927</f>
        <v>0</v>
      </c>
      <c r="I926" t="str">
        <f t="shared" si="270"/>
        <v>"),MatchYear=</v>
      </c>
      <c r="J926">
        <f>Matchs!E927</f>
        <v>0</v>
      </c>
      <c r="K926" t="str">
        <f t="shared" si="271"/>
        <v>, SeasonId= "</v>
      </c>
      <c r="L926">
        <f>Matchs!F927</f>
        <v>0</v>
      </c>
      <c r="M926" t="str">
        <f t="shared" si="272"/>
        <v>",Round= "</v>
      </c>
      <c r="N926">
        <f>Matchs!G927</f>
        <v>0</v>
      </c>
      <c r="O926" s="6" t="str">
        <f t="shared" si="273"/>
        <v>",Stage= "</v>
      </c>
      <c r="P926">
        <f>Matchs!H927</f>
        <v>0</v>
      </c>
      <c r="Q926" s="6" t="str">
        <f t="shared" si="274"/>
        <v>",SubStage= "</v>
      </c>
      <c r="R926">
        <f>Matchs!I927</f>
        <v>0</v>
      </c>
      <c r="S926" s="6" t="str">
        <f t="shared" si="275"/>
        <v>",HTeam= "</v>
      </c>
      <c r="T926">
        <f>Matchs!J927</f>
        <v>0</v>
      </c>
      <c r="U926" s="6" t="str">
        <f t="shared" si="276"/>
        <v>",HGoal=</v>
      </c>
      <c r="V926">
        <f>Matchs!K927</f>
        <v>0</v>
      </c>
      <c r="W926" s="6" t="str">
        <f t="shared" si="277"/>
        <v>,GGoal=</v>
      </c>
      <c r="X926">
        <f>Matchs!L927</f>
        <v>0</v>
      </c>
      <c r="Y926" s="6" t="str">
        <f t="shared" si="278"/>
        <v>,GTeam= "</v>
      </c>
      <c r="Z926">
        <f>Matchs!M927</f>
        <v>0</v>
      </c>
      <c r="AA926" s="6" t="str">
        <f t="shared" si="279"/>
        <v>",WinNote="</v>
      </c>
      <c r="AB926" t="str">
        <f>IF(Matchs!N927="","",Matchs!N927)</f>
        <v/>
      </c>
      <c r="AC926" s="6" t="str">
        <f t="shared" si="280"/>
        <v xml:space="preserve">",Stadium=" </v>
      </c>
      <c r="AD926" s="11">
        <f>Matchs!O927</f>
        <v>0</v>
      </c>
      <c r="AE926" s="6" t="str">
        <f t="shared" si="281"/>
        <v>",Referee= "</v>
      </c>
      <c r="AF926" s="11">
        <f>Matchs!P927</f>
        <v>0</v>
      </c>
      <c r="AG926" s="6" t="str">
        <f t="shared" si="282"/>
        <v xml:space="preserve">",Visistors= </v>
      </c>
      <c r="AH926" s="11">
        <f>Matchs!Q927</f>
        <v>0</v>
      </c>
      <c r="AI926" s="11" t="str">
        <f t="shared" si="283"/>
        <v>,Status= "</v>
      </c>
      <c r="AJ926" s="11">
        <f>Matchs!R927</f>
        <v>0</v>
      </c>
      <c r="AK926" t="str">
        <f t="shared" si="284"/>
        <v>" },</v>
      </c>
    </row>
    <row r="927" spans="1:37" x14ac:dyDescent="0.25">
      <c r="A927" t="str">
        <f t="shared" si="266"/>
        <v>new Match { MatchId= "</v>
      </c>
      <c r="B927">
        <f>Matchs!A928</f>
        <v>0</v>
      </c>
      <c r="C927" t="str">
        <f t="shared" si="267"/>
        <v>",MatchNumer=</v>
      </c>
      <c r="D927">
        <f>Matchs!B928</f>
        <v>0</v>
      </c>
      <c r="E927" t="str">
        <f t="shared" si="268"/>
        <v>,DateMatch=DateTime.Parse("</v>
      </c>
      <c r="F927" s="3">
        <f>Matchs!C928</f>
        <v>0</v>
      </c>
      <c r="G927" s="10" t="str">
        <f t="shared" si="269"/>
        <v>"),TimeMatch=TimeSpan.Parse("</v>
      </c>
      <c r="H927" s="9">
        <f>Matchs!D928</f>
        <v>0</v>
      </c>
      <c r="I927" t="str">
        <f t="shared" si="270"/>
        <v>"),MatchYear=</v>
      </c>
      <c r="J927">
        <f>Matchs!E928</f>
        <v>0</v>
      </c>
      <c r="K927" t="str">
        <f t="shared" si="271"/>
        <v>, SeasonId= "</v>
      </c>
      <c r="L927">
        <f>Matchs!F928</f>
        <v>0</v>
      </c>
      <c r="M927" t="str">
        <f t="shared" si="272"/>
        <v>",Round= "</v>
      </c>
      <c r="N927">
        <f>Matchs!G928</f>
        <v>0</v>
      </c>
      <c r="O927" s="6" t="str">
        <f t="shared" si="273"/>
        <v>",Stage= "</v>
      </c>
      <c r="P927">
        <f>Matchs!H928</f>
        <v>0</v>
      </c>
      <c r="Q927" s="6" t="str">
        <f t="shared" si="274"/>
        <v>",SubStage= "</v>
      </c>
      <c r="R927">
        <f>Matchs!I928</f>
        <v>0</v>
      </c>
      <c r="S927" s="6" t="str">
        <f t="shared" si="275"/>
        <v>",HTeam= "</v>
      </c>
      <c r="T927">
        <f>Matchs!J928</f>
        <v>0</v>
      </c>
      <c r="U927" s="6" t="str">
        <f t="shared" si="276"/>
        <v>",HGoal=</v>
      </c>
      <c r="V927">
        <f>Matchs!K928</f>
        <v>0</v>
      </c>
      <c r="W927" s="6" t="str">
        <f t="shared" si="277"/>
        <v>,GGoal=</v>
      </c>
      <c r="X927">
        <f>Matchs!L928</f>
        <v>0</v>
      </c>
      <c r="Y927" s="6" t="str">
        <f t="shared" si="278"/>
        <v>,GTeam= "</v>
      </c>
      <c r="Z927">
        <f>Matchs!M928</f>
        <v>0</v>
      </c>
      <c r="AA927" s="6" t="str">
        <f t="shared" si="279"/>
        <v>",WinNote="</v>
      </c>
      <c r="AB927" t="str">
        <f>IF(Matchs!N928="","",Matchs!N928)</f>
        <v/>
      </c>
      <c r="AC927" s="6" t="str">
        <f t="shared" si="280"/>
        <v xml:space="preserve">",Stadium=" </v>
      </c>
      <c r="AD927" s="11">
        <f>Matchs!O928</f>
        <v>0</v>
      </c>
      <c r="AE927" s="6" t="str">
        <f t="shared" si="281"/>
        <v>",Referee= "</v>
      </c>
      <c r="AF927" s="11">
        <f>Matchs!P928</f>
        <v>0</v>
      </c>
      <c r="AG927" s="6" t="str">
        <f t="shared" si="282"/>
        <v xml:space="preserve">",Visistors= </v>
      </c>
      <c r="AH927" s="11">
        <f>Matchs!Q928</f>
        <v>0</v>
      </c>
      <c r="AI927" s="11" t="str">
        <f t="shared" si="283"/>
        <v>,Status= "</v>
      </c>
      <c r="AJ927" s="11">
        <f>Matchs!R928</f>
        <v>0</v>
      </c>
      <c r="AK927" t="str">
        <f t="shared" si="284"/>
        <v>" },</v>
      </c>
    </row>
    <row r="928" spans="1:37" x14ac:dyDescent="0.25">
      <c r="A928" t="str">
        <f t="shared" si="266"/>
        <v>new Match { MatchId= "</v>
      </c>
      <c r="B928">
        <f>Matchs!A929</f>
        <v>0</v>
      </c>
      <c r="C928" t="str">
        <f t="shared" si="267"/>
        <v>",MatchNumer=</v>
      </c>
      <c r="D928">
        <f>Matchs!B929</f>
        <v>0</v>
      </c>
      <c r="E928" t="str">
        <f t="shared" si="268"/>
        <v>,DateMatch=DateTime.Parse("</v>
      </c>
      <c r="F928" s="3">
        <f>Matchs!C929</f>
        <v>0</v>
      </c>
      <c r="G928" s="10" t="str">
        <f t="shared" si="269"/>
        <v>"),TimeMatch=TimeSpan.Parse("</v>
      </c>
      <c r="H928" s="9">
        <f>Matchs!D929</f>
        <v>0</v>
      </c>
      <c r="I928" t="str">
        <f t="shared" si="270"/>
        <v>"),MatchYear=</v>
      </c>
      <c r="J928">
        <f>Matchs!E929</f>
        <v>0</v>
      </c>
      <c r="K928" t="str">
        <f t="shared" si="271"/>
        <v>, SeasonId= "</v>
      </c>
      <c r="L928">
        <f>Matchs!F929</f>
        <v>0</v>
      </c>
      <c r="M928" t="str">
        <f t="shared" si="272"/>
        <v>",Round= "</v>
      </c>
      <c r="N928">
        <f>Matchs!G929</f>
        <v>0</v>
      </c>
      <c r="O928" s="6" t="str">
        <f t="shared" si="273"/>
        <v>",Stage= "</v>
      </c>
      <c r="P928">
        <f>Matchs!H929</f>
        <v>0</v>
      </c>
      <c r="Q928" s="6" t="str">
        <f t="shared" si="274"/>
        <v>",SubStage= "</v>
      </c>
      <c r="R928">
        <f>Matchs!I929</f>
        <v>0</v>
      </c>
      <c r="S928" s="6" t="str">
        <f t="shared" si="275"/>
        <v>",HTeam= "</v>
      </c>
      <c r="T928">
        <f>Matchs!J929</f>
        <v>0</v>
      </c>
      <c r="U928" s="6" t="str">
        <f t="shared" si="276"/>
        <v>",HGoal=</v>
      </c>
      <c r="V928">
        <f>Matchs!K929</f>
        <v>0</v>
      </c>
      <c r="W928" s="6" t="str">
        <f t="shared" si="277"/>
        <v>,GGoal=</v>
      </c>
      <c r="X928">
        <f>Matchs!L929</f>
        <v>0</v>
      </c>
      <c r="Y928" s="6" t="str">
        <f t="shared" si="278"/>
        <v>,GTeam= "</v>
      </c>
      <c r="Z928">
        <f>Matchs!M929</f>
        <v>0</v>
      </c>
      <c r="AA928" s="6" t="str">
        <f t="shared" si="279"/>
        <v>",WinNote="</v>
      </c>
      <c r="AB928" t="str">
        <f>IF(Matchs!N929="","",Matchs!N929)</f>
        <v/>
      </c>
      <c r="AC928" s="6" t="str">
        <f t="shared" si="280"/>
        <v xml:space="preserve">",Stadium=" </v>
      </c>
      <c r="AD928" s="11">
        <f>Matchs!O929</f>
        <v>0</v>
      </c>
      <c r="AE928" s="6" t="str">
        <f t="shared" si="281"/>
        <v>",Referee= "</v>
      </c>
      <c r="AF928" s="11">
        <f>Matchs!P929</f>
        <v>0</v>
      </c>
      <c r="AG928" s="6" t="str">
        <f t="shared" si="282"/>
        <v xml:space="preserve">",Visistors= </v>
      </c>
      <c r="AH928" s="11">
        <f>Matchs!Q929</f>
        <v>0</v>
      </c>
      <c r="AI928" s="11" t="str">
        <f t="shared" si="283"/>
        <v>,Status= "</v>
      </c>
      <c r="AJ928" s="11">
        <f>Matchs!R929</f>
        <v>0</v>
      </c>
      <c r="AK928" t="str">
        <f t="shared" si="284"/>
        <v>" },</v>
      </c>
    </row>
    <row r="929" spans="1:37" x14ac:dyDescent="0.25">
      <c r="A929" t="str">
        <f t="shared" si="266"/>
        <v>new Match { MatchId= "</v>
      </c>
      <c r="B929">
        <f>Matchs!A930</f>
        <v>0</v>
      </c>
      <c r="C929" t="str">
        <f t="shared" si="267"/>
        <v>",MatchNumer=</v>
      </c>
      <c r="D929">
        <f>Matchs!B930</f>
        <v>0</v>
      </c>
      <c r="E929" t="str">
        <f t="shared" si="268"/>
        <v>,DateMatch=DateTime.Parse("</v>
      </c>
      <c r="F929" s="3">
        <f>Matchs!C930</f>
        <v>0</v>
      </c>
      <c r="G929" s="10" t="str">
        <f t="shared" si="269"/>
        <v>"),TimeMatch=TimeSpan.Parse("</v>
      </c>
      <c r="H929" s="9">
        <f>Matchs!D930</f>
        <v>0</v>
      </c>
      <c r="I929" t="str">
        <f t="shared" si="270"/>
        <v>"),MatchYear=</v>
      </c>
      <c r="J929">
        <f>Matchs!E930</f>
        <v>0</v>
      </c>
      <c r="K929" t="str">
        <f t="shared" si="271"/>
        <v>, SeasonId= "</v>
      </c>
      <c r="L929">
        <f>Matchs!F930</f>
        <v>0</v>
      </c>
      <c r="M929" t="str">
        <f t="shared" si="272"/>
        <v>",Round= "</v>
      </c>
      <c r="N929">
        <f>Matchs!G930</f>
        <v>0</v>
      </c>
      <c r="O929" s="6" t="str">
        <f t="shared" si="273"/>
        <v>",Stage= "</v>
      </c>
      <c r="P929">
        <f>Matchs!H930</f>
        <v>0</v>
      </c>
      <c r="Q929" s="6" t="str">
        <f t="shared" si="274"/>
        <v>",SubStage= "</v>
      </c>
      <c r="R929">
        <f>Matchs!I930</f>
        <v>0</v>
      </c>
      <c r="S929" s="6" t="str">
        <f t="shared" si="275"/>
        <v>",HTeam= "</v>
      </c>
      <c r="T929">
        <f>Matchs!J930</f>
        <v>0</v>
      </c>
      <c r="U929" s="6" t="str">
        <f t="shared" si="276"/>
        <v>",HGoal=</v>
      </c>
      <c r="V929">
        <f>Matchs!K930</f>
        <v>0</v>
      </c>
      <c r="W929" s="6" t="str">
        <f t="shared" si="277"/>
        <v>,GGoal=</v>
      </c>
      <c r="X929">
        <f>Matchs!L930</f>
        <v>0</v>
      </c>
      <c r="Y929" s="6" t="str">
        <f t="shared" si="278"/>
        <v>,GTeam= "</v>
      </c>
      <c r="Z929">
        <f>Matchs!M930</f>
        <v>0</v>
      </c>
      <c r="AA929" s="6" t="str">
        <f t="shared" si="279"/>
        <v>",WinNote="</v>
      </c>
      <c r="AB929" t="str">
        <f>IF(Matchs!N930="","",Matchs!N930)</f>
        <v/>
      </c>
      <c r="AC929" s="6" t="str">
        <f t="shared" si="280"/>
        <v xml:space="preserve">",Stadium=" </v>
      </c>
      <c r="AD929" s="11">
        <f>Matchs!O930</f>
        <v>0</v>
      </c>
      <c r="AE929" s="6" t="str">
        <f t="shared" si="281"/>
        <v>",Referee= "</v>
      </c>
      <c r="AF929" s="11">
        <f>Matchs!P930</f>
        <v>0</v>
      </c>
      <c r="AG929" s="6" t="str">
        <f t="shared" si="282"/>
        <v xml:space="preserve">",Visistors= </v>
      </c>
      <c r="AH929" s="11">
        <f>Matchs!Q930</f>
        <v>0</v>
      </c>
      <c r="AI929" s="11" t="str">
        <f t="shared" si="283"/>
        <v>,Status= "</v>
      </c>
      <c r="AJ929" s="11">
        <f>Matchs!R930</f>
        <v>0</v>
      </c>
      <c r="AK929" t="str">
        <f t="shared" si="284"/>
        <v>" },</v>
      </c>
    </row>
    <row r="930" spans="1:37" x14ac:dyDescent="0.25">
      <c r="A930" t="str">
        <f t="shared" si="266"/>
        <v>new Match { MatchId= "</v>
      </c>
      <c r="B930">
        <f>Matchs!A931</f>
        <v>0</v>
      </c>
      <c r="C930" t="str">
        <f t="shared" si="267"/>
        <v>",MatchNumer=</v>
      </c>
      <c r="D930">
        <f>Matchs!B931</f>
        <v>0</v>
      </c>
      <c r="E930" t="str">
        <f t="shared" si="268"/>
        <v>,DateMatch=DateTime.Parse("</v>
      </c>
      <c r="F930" s="3">
        <f>Matchs!C931</f>
        <v>0</v>
      </c>
      <c r="G930" s="10" t="str">
        <f t="shared" si="269"/>
        <v>"),TimeMatch=TimeSpan.Parse("</v>
      </c>
      <c r="H930" s="9">
        <f>Matchs!D931</f>
        <v>0</v>
      </c>
      <c r="I930" t="str">
        <f t="shared" si="270"/>
        <v>"),MatchYear=</v>
      </c>
      <c r="J930">
        <f>Matchs!E931</f>
        <v>0</v>
      </c>
      <c r="K930" t="str">
        <f t="shared" si="271"/>
        <v>, SeasonId= "</v>
      </c>
      <c r="L930">
        <f>Matchs!F931</f>
        <v>0</v>
      </c>
      <c r="M930" t="str">
        <f t="shared" si="272"/>
        <v>",Round= "</v>
      </c>
      <c r="N930">
        <f>Matchs!G931</f>
        <v>0</v>
      </c>
      <c r="O930" s="6" t="str">
        <f t="shared" si="273"/>
        <v>",Stage= "</v>
      </c>
      <c r="P930">
        <f>Matchs!H931</f>
        <v>0</v>
      </c>
      <c r="Q930" s="6" t="str">
        <f t="shared" si="274"/>
        <v>",SubStage= "</v>
      </c>
      <c r="R930">
        <f>Matchs!I931</f>
        <v>0</v>
      </c>
      <c r="S930" s="6" t="str">
        <f t="shared" si="275"/>
        <v>",HTeam= "</v>
      </c>
      <c r="T930">
        <f>Matchs!J931</f>
        <v>0</v>
      </c>
      <c r="U930" s="6" t="str">
        <f t="shared" si="276"/>
        <v>",HGoal=</v>
      </c>
      <c r="V930">
        <f>Matchs!K931</f>
        <v>0</v>
      </c>
      <c r="W930" s="6" t="str">
        <f t="shared" si="277"/>
        <v>,GGoal=</v>
      </c>
      <c r="X930">
        <f>Matchs!L931</f>
        <v>0</v>
      </c>
      <c r="Y930" s="6" t="str">
        <f t="shared" si="278"/>
        <v>,GTeam= "</v>
      </c>
      <c r="Z930">
        <f>Matchs!M931</f>
        <v>0</v>
      </c>
      <c r="AA930" s="6" t="str">
        <f t="shared" si="279"/>
        <v>",WinNote="</v>
      </c>
      <c r="AB930" t="str">
        <f>IF(Matchs!N931="","",Matchs!N931)</f>
        <v/>
      </c>
      <c r="AC930" s="6" t="str">
        <f t="shared" si="280"/>
        <v xml:space="preserve">",Stadium=" </v>
      </c>
      <c r="AD930" s="11">
        <f>Matchs!O931</f>
        <v>0</v>
      </c>
      <c r="AE930" s="6" t="str">
        <f t="shared" si="281"/>
        <v>",Referee= "</v>
      </c>
      <c r="AF930" s="11">
        <f>Matchs!P931</f>
        <v>0</v>
      </c>
      <c r="AG930" s="6" t="str">
        <f t="shared" si="282"/>
        <v xml:space="preserve">",Visistors= </v>
      </c>
      <c r="AH930" s="11">
        <f>Matchs!Q931</f>
        <v>0</v>
      </c>
      <c r="AI930" s="11" t="str">
        <f t="shared" si="283"/>
        <v>,Status= "</v>
      </c>
      <c r="AJ930" s="11">
        <f>Matchs!R931</f>
        <v>0</v>
      </c>
      <c r="AK930" t="str">
        <f t="shared" si="284"/>
        <v>" },</v>
      </c>
    </row>
    <row r="931" spans="1:37" x14ac:dyDescent="0.25">
      <c r="A931" t="str">
        <f t="shared" si="266"/>
        <v>new Match { MatchId= "</v>
      </c>
      <c r="B931">
        <f>Matchs!A932</f>
        <v>0</v>
      </c>
      <c r="C931" t="str">
        <f t="shared" si="267"/>
        <v>",MatchNumer=</v>
      </c>
      <c r="D931">
        <f>Matchs!B932</f>
        <v>0</v>
      </c>
      <c r="E931" t="str">
        <f t="shared" si="268"/>
        <v>,DateMatch=DateTime.Parse("</v>
      </c>
      <c r="F931" s="3">
        <f>Matchs!C932</f>
        <v>0</v>
      </c>
      <c r="G931" s="10" t="str">
        <f t="shared" si="269"/>
        <v>"),TimeMatch=TimeSpan.Parse("</v>
      </c>
      <c r="H931" s="9">
        <f>Matchs!D932</f>
        <v>0</v>
      </c>
      <c r="I931" t="str">
        <f t="shared" si="270"/>
        <v>"),MatchYear=</v>
      </c>
      <c r="J931">
        <f>Matchs!E932</f>
        <v>0</v>
      </c>
      <c r="K931" t="str">
        <f t="shared" si="271"/>
        <v>, SeasonId= "</v>
      </c>
      <c r="L931">
        <f>Matchs!F932</f>
        <v>0</v>
      </c>
      <c r="M931" t="str">
        <f t="shared" si="272"/>
        <v>",Round= "</v>
      </c>
      <c r="N931">
        <f>Matchs!G932</f>
        <v>0</v>
      </c>
      <c r="O931" s="6" t="str">
        <f t="shared" si="273"/>
        <v>",Stage= "</v>
      </c>
      <c r="P931">
        <f>Matchs!H932</f>
        <v>0</v>
      </c>
      <c r="Q931" s="6" t="str">
        <f t="shared" si="274"/>
        <v>",SubStage= "</v>
      </c>
      <c r="R931">
        <f>Matchs!I932</f>
        <v>0</v>
      </c>
      <c r="S931" s="6" t="str">
        <f t="shared" si="275"/>
        <v>",HTeam= "</v>
      </c>
      <c r="T931">
        <f>Matchs!J932</f>
        <v>0</v>
      </c>
      <c r="U931" s="6" t="str">
        <f t="shared" si="276"/>
        <v>",HGoal=</v>
      </c>
      <c r="V931">
        <f>Matchs!K932</f>
        <v>0</v>
      </c>
      <c r="W931" s="6" t="str">
        <f t="shared" si="277"/>
        <v>,GGoal=</v>
      </c>
      <c r="X931">
        <f>Matchs!L932</f>
        <v>0</v>
      </c>
      <c r="Y931" s="6" t="str">
        <f t="shared" si="278"/>
        <v>,GTeam= "</v>
      </c>
      <c r="Z931">
        <f>Matchs!M932</f>
        <v>0</v>
      </c>
      <c r="AA931" s="6" t="str">
        <f t="shared" si="279"/>
        <v>",WinNote="</v>
      </c>
      <c r="AB931" t="str">
        <f>IF(Matchs!N932="","",Matchs!N932)</f>
        <v/>
      </c>
      <c r="AC931" s="6" t="str">
        <f t="shared" si="280"/>
        <v xml:space="preserve">",Stadium=" </v>
      </c>
      <c r="AD931" s="11">
        <f>Matchs!O932</f>
        <v>0</v>
      </c>
      <c r="AE931" s="6" t="str">
        <f t="shared" si="281"/>
        <v>",Referee= "</v>
      </c>
      <c r="AF931" s="11">
        <f>Matchs!P932</f>
        <v>0</v>
      </c>
      <c r="AG931" s="6" t="str">
        <f t="shared" si="282"/>
        <v xml:space="preserve">",Visistors= </v>
      </c>
      <c r="AH931" s="11">
        <f>Matchs!Q932</f>
        <v>0</v>
      </c>
      <c r="AI931" s="11" t="str">
        <f t="shared" si="283"/>
        <v>,Status= "</v>
      </c>
      <c r="AJ931" s="11">
        <f>Matchs!R932</f>
        <v>0</v>
      </c>
      <c r="AK931" t="str">
        <f t="shared" si="284"/>
        <v>" },</v>
      </c>
    </row>
    <row r="932" spans="1:37" x14ac:dyDescent="0.25">
      <c r="A932" t="str">
        <f t="shared" si="266"/>
        <v>new Match { MatchId= "</v>
      </c>
      <c r="B932">
        <f>Matchs!A933</f>
        <v>0</v>
      </c>
      <c r="C932" t="str">
        <f t="shared" si="267"/>
        <v>",MatchNumer=</v>
      </c>
      <c r="D932">
        <f>Matchs!B933</f>
        <v>0</v>
      </c>
      <c r="E932" t="str">
        <f t="shared" si="268"/>
        <v>,DateMatch=DateTime.Parse("</v>
      </c>
      <c r="F932" s="3">
        <f>Matchs!C933</f>
        <v>0</v>
      </c>
      <c r="G932" s="10" t="str">
        <f t="shared" si="269"/>
        <v>"),TimeMatch=TimeSpan.Parse("</v>
      </c>
      <c r="H932" s="9">
        <f>Matchs!D933</f>
        <v>0</v>
      </c>
      <c r="I932" t="str">
        <f t="shared" si="270"/>
        <v>"),MatchYear=</v>
      </c>
      <c r="J932">
        <f>Matchs!E933</f>
        <v>0</v>
      </c>
      <c r="K932" t="str">
        <f t="shared" si="271"/>
        <v>, SeasonId= "</v>
      </c>
      <c r="L932">
        <f>Matchs!F933</f>
        <v>0</v>
      </c>
      <c r="M932" t="str">
        <f t="shared" si="272"/>
        <v>",Round= "</v>
      </c>
      <c r="N932">
        <f>Matchs!G933</f>
        <v>0</v>
      </c>
      <c r="O932" s="6" t="str">
        <f t="shared" si="273"/>
        <v>",Stage= "</v>
      </c>
      <c r="P932">
        <f>Matchs!H933</f>
        <v>0</v>
      </c>
      <c r="Q932" s="6" t="str">
        <f t="shared" si="274"/>
        <v>",SubStage= "</v>
      </c>
      <c r="R932">
        <f>Matchs!I933</f>
        <v>0</v>
      </c>
      <c r="S932" s="6" t="str">
        <f t="shared" si="275"/>
        <v>",HTeam= "</v>
      </c>
      <c r="T932">
        <f>Matchs!J933</f>
        <v>0</v>
      </c>
      <c r="U932" s="6" t="str">
        <f t="shared" si="276"/>
        <v>",HGoal=</v>
      </c>
      <c r="V932">
        <f>Matchs!K933</f>
        <v>0</v>
      </c>
      <c r="W932" s="6" t="str">
        <f t="shared" si="277"/>
        <v>,GGoal=</v>
      </c>
      <c r="X932">
        <f>Matchs!L933</f>
        <v>0</v>
      </c>
      <c r="Y932" s="6" t="str">
        <f t="shared" si="278"/>
        <v>,GTeam= "</v>
      </c>
      <c r="Z932">
        <f>Matchs!M933</f>
        <v>0</v>
      </c>
      <c r="AA932" s="6" t="str">
        <f t="shared" si="279"/>
        <v>",WinNote="</v>
      </c>
      <c r="AB932" t="str">
        <f>IF(Matchs!N933="","",Matchs!N933)</f>
        <v/>
      </c>
      <c r="AC932" s="6" t="str">
        <f t="shared" si="280"/>
        <v xml:space="preserve">",Stadium=" </v>
      </c>
      <c r="AD932" s="11">
        <f>Matchs!O933</f>
        <v>0</v>
      </c>
      <c r="AE932" s="6" t="str">
        <f t="shared" si="281"/>
        <v>",Referee= "</v>
      </c>
      <c r="AF932" s="11">
        <f>Matchs!P933</f>
        <v>0</v>
      </c>
      <c r="AG932" s="6" t="str">
        <f t="shared" si="282"/>
        <v xml:space="preserve">",Visistors= </v>
      </c>
      <c r="AH932" s="11">
        <f>Matchs!Q933</f>
        <v>0</v>
      </c>
      <c r="AI932" s="11" t="str">
        <f t="shared" si="283"/>
        <v>,Status= "</v>
      </c>
      <c r="AJ932" s="11">
        <f>Matchs!R933</f>
        <v>0</v>
      </c>
      <c r="AK932" t="str">
        <f t="shared" si="284"/>
        <v>" },</v>
      </c>
    </row>
    <row r="933" spans="1:37" x14ac:dyDescent="0.25">
      <c r="A933" t="str">
        <f t="shared" si="266"/>
        <v>new Match { MatchId= "</v>
      </c>
      <c r="B933">
        <f>Matchs!A934</f>
        <v>0</v>
      </c>
      <c r="C933" t="str">
        <f t="shared" si="267"/>
        <v>",MatchNumer=</v>
      </c>
      <c r="D933">
        <f>Matchs!B934</f>
        <v>0</v>
      </c>
      <c r="E933" t="str">
        <f t="shared" si="268"/>
        <v>,DateMatch=DateTime.Parse("</v>
      </c>
      <c r="F933" s="3">
        <f>Matchs!C934</f>
        <v>0</v>
      </c>
      <c r="G933" s="10" t="str">
        <f t="shared" si="269"/>
        <v>"),TimeMatch=TimeSpan.Parse("</v>
      </c>
      <c r="H933" s="9">
        <f>Matchs!D934</f>
        <v>0</v>
      </c>
      <c r="I933" t="str">
        <f t="shared" si="270"/>
        <v>"),MatchYear=</v>
      </c>
      <c r="J933">
        <f>Matchs!E934</f>
        <v>0</v>
      </c>
      <c r="K933" t="str">
        <f t="shared" si="271"/>
        <v>, SeasonId= "</v>
      </c>
      <c r="L933">
        <f>Matchs!F934</f>
        <v>0</v>
      </c>
      <c r="M933" t="str">
        <f t="shared" si="272"/>
        <v>",Round= "</v>
      </c>
      <c r="N933">
        <f>Matchs!G934</f>
        <v>0</v>
      </c>
      <c r="O933" s="6" t="str">
        <f t="shared" si="273"/>
        <v>",Stage= "</v>
      </c>
      <c r="P933">
        <f>Matchs!H934</f>
        <v>0</v>
      </c>
      <c r="Q933" s="6" t="str">
        <f t="shared" si="274"/>
        <v>",SubStage= "</v>
      </c>
      <c r="R933">
        <f>Matchs!I934</f>
        <v>0</v>
      </c>
      <c r="S933" s="6" t="str">
        <f t="shared" si="275"/>
        <v>",HTeam= "</v>
      </c>
      <c r="T933">
        <f>Matchs!J934</f>
        <v>0</v>
      </c>
      <c r="U933" s="6" t="str">
        <f t="shared" si="276"/>
        <v>",HGoal=</v>
      </c>
      <c r="V933">
        <f>Matchs!K934</f>
        <v>0</v>
      </c>
      <c r="W933" s="6" t="str">
        <f t="shared" si="277"/>
        <v>,GGoal=</v>
      </c>
      <c r="X933">
        <f>Matchs!L934</f>
        <v>0</v>
      </c>
      <c r="Y933" s="6" t="str">
        <f t="shared" si="278"/>
        <v>,GTeam= "</v>
      </c>
      <c r="Z933">
        <f>Matchs!M934</f>
        <v>0</v>
      </c>
      <c r="AA933" s="6" t="str">
        <f t="shared" si="279"/>
        <v>",WinNote="</v>
      </c>
      <c r="AB933" t="str">
        <f>IF(Matchs!N934="","",Matchs!N934)</f>
        <v/>
      </c>
      <c r="AC933" s="6" t="str">
        <f t="shared" si="280"/>
        <v xml:space="preserve">",Stadium=" </v>
      </c>
      <c r="AD933" s="11">
        <f>Matchs!O934</f>
        <v>0</v>
      </c>
      <c r="AE933" s="6" t="str">
        <f t="shared" si="281"/>
        <v>",Referee= "</v>
      </c>
      <c r="AF933" s="11">
        <f>Matchs!P934</f>
        <v>0</v>
      </c>
      <c r="AG933" s="6" t="str">
        <f t="shared" si="282"/>
        <v xml:space="preserve">",Visistors= </v>
      </c>
      <c r="AH933" s="11">
        <f>Matchs!Q934</f>
        <v>0</v>
      </c>
      <c r="AI933" s="11" t="str">
        <f t="shared" si="283"/>
        <v>,Status= "</v>
      </c>
      <c r="AJ933" s="11">
        <f>Matchs!R934</f>
        <v>0</v>
      </c>
      <c r="AK933" t="str">
        <f t="shared" si="284"/>
        <v>" },</v>
      </c>
    </row>
    <row r="934" spans="1:37" x14ac:dyDescent="0.25">
      <c r="A934" t="str">
        <f t="shared" si="266"/>
        <v>new Match { MatchId= "</v>
      </c>
      <c r="B934">
        <f>Matchs!A935</f>
        <v>0</v>
      </c>
      <c r="C934" t="str">
        <f t="shared" si="267"/>
        <v>",MatchNumer=</v>
      </c>
      <c r="D934">
        <f>Matchs!B935</f>
        <v>0</v>
      </c>
      <c r="E934" t="str">
        <f t="shared" si="268"/>
        <v>,DateMatch=DateTime.Parse("</v>
      </c>
      <c r="F934" s="3">
        <f>Matchs!C935</f>
        <v>0</v>
      </c>
      <c r="G934" s="10" t="str">
        <f t="shared" si="269"/>
        <v>"),TimeMatch=TimeSpan.Parse("</v>
      </c>
      <c r="H934" s="9">
        <f>Matchs!D935</f>
        <v>0</v>
      </c>
      <c r="I934" t="str">
        <f t="shared" si="270"/>
        <v>"),MatchYear=</v>
      </c>
      <c r="J934">
        <f>Matchs!E935</f>
        <v>0</v>
      </c>
      <c r="K934" t="str">
        <f t="shared" si="271"/>
        <v>, SeasonId= "</v>
      </c>
      <c r="L934">
        <f>Matchs!F935</f>
        <v>0</v>
      </c>
      <c r="M934" t="str">
        <f t="shared" si="272"/>
        <v>",Round= "</v>
      </c>
      <c r="N934">
        <f>Matchs!G935</f>
        <v>0</v>
      </c>
      <c r="O934" s="6" t="str">
        <f t="shared" si="273"/>
        <v>",Stage= "</v>
      </c>
      <c r="P934">
        <f>Matchs!H935</f>
        <v>0</v>
      </c>
      <c r="Q934" s="6" t="str">
        <f t="shared" si="274"/>
        <v>",SubStage= "</v>
      </c>
      <c r="R934">
        <f>Matchs!I935</f>
        <v>0</v>
      </c>
      <c r="S934" s="6" t="str">
        <f t="shared" si="275"/>
        <v>",HTeam= "</v>
      </c>
      <c r="T934">
        <f>Matchs!J935</f>
        <v>0</v>
      </c>
      <c r="U934" s="6" t="str">
        <f t="shared" si="276"/>
        <v>",HGoal=</v>
      </c>
      <c r="V934">
        <f>Matchs!K935</f>
        <v>0</v>
      </c>
      <c r="W934" s="6" t="str">
        <f t="shared" si="277"/>
        <v>,GGoal=</v>
      </c>
      <c r="X934">
        <f>Matchs!L935</f>
        <v>0</v>
      </c>
      <c r="Y934" s="6" t="str">
        <f t="shared" si="278"/>
        <v>,GTeam= "</v>
      </c>
      <c r="Z934">
        <f>Matchs!M935</f>
        <v>0</v>
      </c>
      <c r="AA934" s="6" t="str">
        <f t="shared" si="279"/>
        <v>",WinNote="</v>
      </c>
      <c r="AB934" t="str">
        <f>IF(Matchs!N935="","",Matchs!N935)</f>
        <v/>
      </c>
      <c r="AC934" s="6" t="str">
        <f t="shared" si="280"/>
        <v xml:space="preserve">",Stadium=" </v>
      </c>
      <c r="AD934" s="11">
        <f>Matchs!O935</f>
        <v>0</v>
      </c>
      <c r="AE934" s="6" t="str">
        <f t="shared" si="281"/>
        <v>",Referee= "</v>
      </c>
      <c r="AF934" s="11">
        <f>Matchs!P935</f>
        <v>0</v>
      </c>
      <c r="AG934" s="6" t="str">
        <f t="shared" si="282"/>
        <v xml:space="preserve">",Visistors= </v>
      </c>
      <c r="AH934" s="11">
        <f>Matchs!Q935</f>
        <v>0</v>
      </c>
      <c r="AI934" s="11" t="str">
        <f t="shared" si="283"/>
        <v>,Status= "</v>
      </c>
      <c r="AJ934" s="11">
        <f>Matchs!R935</f>
        <v>0</v>
      </c>
      <c r="AK934" t="str">
        <f t="shared" si="284"/>
        <v>" },</v>
      </c>
    </row>
    <row r="935" spans="1:37" x14ac:dyDescent="0.25">
      <c r="A935" t="str">
        <f t="shared" si="266"/>
        <v>new Match { MatchId= "</v>
      </c>
      <c r="B935">
        <f>Matchs!A936</f>
        <v>0</v>
      </c>
      <c r="C935" t="str">
        <f t="shared" si="267"/>
        <v>",MatchNumer=</v>
      </c>
      <c r="D935">
        <f>Matchs!B936</f>
        <v>0</v>
      </c>
      <c r="E935" t="str">
        <f t="shared" si="268"/>
        <v>,DateMatch=DateTime.Parse("</v>
      </c>
      <c r="F935" s="3">
        <f>Matchs!C936</f>
        <v>0</v>
      </c>
      <c r="G935" s="10" t="str">
        <f t="shared" si="269"/>
        <v>"),TimeMatch=TimeSpan.Parse("</v>
      </c>
      <c r="H935" s="9">
        <f>Matchs!D936</f>
        <v>0</v>
      </c>
      <c r="I935" t="str">
        <f t="shared" si="270"/>
        <v>"),MatchYear=</v>
      </c>
      <c r="J935">
        <f>Matchs!E936</f>
        <v>0</v>
      </c>
      <c r="K935" t="str">
        <f t="shared" si="271"/>
        <v>, SeasonId= "</v>
      </c>
      <c r="L935">
        <f>Matchs!F936</f>
        <v>0</v>
      </c>
      <c r="M935" t="str">
        <f t="shared" si="272"/>
        <v>",Round= "</v>
      </c>
      <c r="N935">
        <f>Matchs!G936</f>
        <v>0</v>
      </c>
      <c r="O935" s="6" t="str">
        <f t="shared" si="273"/>
        <v>",Stage= "</v>
      </c>
      <c r="P935">
        <f>Matchs!H936</f>
        <v>0</v>
      </c>
      <c r="Q935" s="6" t="str">
        <f t="shared" si="274"/>
        <v>",SubStage= "</v>
      </c>
      <c r="R935">
        <f>Matchs!I936</f>
        <v>0</v>
      </c>
      <c r="S935" s="6" t="str">
        <f t="shared" si="275"/>
        <v>",HTeam= "</v>
      </c>
      <c r="T935">
        <f>Matchs!J936</f>
        <v>0</v>
      </c>
      <c r="U935" s="6" t="str">
        <f t="shared" si="276"/>
        <v>",HGoal=</v>
      </c>
      <c r="V935">
        <f>Matchs!K936</f>
        <v>0</v>
      </c>
      <c r="W935" s="6" t="str">
        <f t="shared" si="277"/>
        <v>,GGoal=</v>
      </c>
      <c r="X935">
        <f>Matchs!L936</f>
        <v>0</v>
      </c>
      <c r="Y935" s="6" t="str">
        <f t="shared" si="278"/>
        <v>,GTeam= "</v>
      </c>
      <c r="Z935">
        <f>Matchs!M936</f>
        <v>0</v>
      </c>
      <c r="AA935" s="6" t="str">
        <f t="shared" si="279"/>
        <v>",WinNote="</v>
      </c>
      <c r="AB935" t="str">
        <f>IF(Matchs!N936="","",Matchs!N936)</f>
        <v/>
      </c>
      <c r="AC935" s="6" t="str">
        <f t="shared" si="280"/>
        <v xml:space="preserve">",Stadium=" </v>
      </c>
      <c r="AD935" s="11">
        <f>Matchs!O936</f>
        <v>0</v>
      </c>
      <c r="AE935" s="6" t="str">
        <f t="shared" si="281"/>
        <v>",Referee= "</v>
      </c>
      <c r="AF935" s="11">
        <f>Matchs!P936</f>
        <v>0</v>
      </c>
      <c r="AG935" s="6" t="str">
        <f t="shared" si="282"/>
        <v xml:space="preserve">",Visistors= </v>
      </c>
      <c r="AH935" s="11">
        <f>Matchs!Q936</f>
        <v>0</v>
      </c>
      <c r="AI935" s="11" t="str">
        <f t="shared" si="283"/>
        <v>,Status= "</v>
      </c>
      <c r="AJ935" s="11">
        <f>Matchs!R936</f>
        <v>0</v>
      </c>
      <c r="AK935" t="str">
        <f t="shared" si="284"/>
        <v>" },</v>
      </c>
    </row>
    <row r="936" spans="1:37" x14ac:dyDescent="0.25">
      <c r="A936" t="str">
        <f t="shared" si="266"/>
        <v>new Match { MatchId= "</v>
      </c>
      <c r="B936">
        <f>Matchs!A937</f>
        <v>0</v>
      </c>
      <c r="C936" t="str">
        <f t="shared" si="267"/>
        <v>",MatchNumer=</v>
      </c>
      <c r="D936">
        <f>Matchs!B937</f>
        <v>0</v>
      </c>
      <c r="E936" t="str">
        <f t="shared" si="268"/>
        <v>,DateMatch=DateTime.Parse("</v>
      </c>
      <c r="F936" s="3">
        <f>Matchs!C937</f>
        <v>0</v>
      </c>
      <c r="G936" s="10" t="str">
        <f t="shared" si="269"/>
        <v>"),TimeMatch=TimeSpan.Parse("</v>
      </c>
      <c r="H936" s="9">
        <f>Matchs!D937</f>
        <v>0</v>
      </c>
      <c r="I936" t="str">
        <f t="shared" si="270"/>
        <v>"),MatchYear=</v>
      </c>
      <c r="J936">
        <f>Matchs!E937</f>
        <v>0</v>
      </c>
      <c r="K936" t="str">
        <f t="shared" si="271"/>
        <v>, SeasonId= "</v>
      </c>
      <c r="L936">
        <f>Matchs!F937</f>
        <v>0</v>
      </c>
      <c r="M936" t="str">
        <f t="shared" si="272"/>
        <v>",Round= "</v>
      </c>
      <c r="N936">
        <f>Matchs!G937</f>
        <v>0</v>
      </c>
      <c r="O936" s="6" t="str">
        <f t="shared" si="273"/>
        <v>",Stage= "</v>
      </c>
      <c r="P936">
        <f>Matchs!H937</f>
        <v>0</v>
      </c>
      <c r="Q936" s="6" t="str">
        <f t="shared" si="274"/>
        <v>",SubStage= "</v>
      </c>
      <c r="R936">
        <f>Matchs!I937</f>
        <v>0</v>
      </c>
      <c r="S936" s="6" t="str">
        <f t="shared" si="275"/>
        <v>",HTeam= "</v>
      </c>
      <c r="T936">
        <f>Matchs!J937</f>
        <v>0</v>
      </c>
      <c r="U936" s="6" t="str">
        <f t="shared" si="276"/>
        <v>",HGoal=</v>
      </c>
      <c r="V936">
        <f>Matchs!K937</f>
        <v>0</v>
      </c>
      <c r="W936" s="6" t="str">
        <f t="shared" si="277"/>
        <v>,GGoal=</v>
      </c>
      <c r="X936">
        <f>Matchs!L937</f>
        <v>0</v>
      </c>
      <c r="Y936" s="6" t="str">
        <f t="shared" si="278"/>
        <v>,GTeam= "</v>
      </c>
      <c r="Z936">
        <f>Matchs!M937</f>
        <v>0</v>
      </c>
      <c r="AA936" s="6" t="str">
        <f t="shared" si="279"/>
        <v>",WinNote="</v>
      </c>
      <c r="AB936" t="str">
        <f>IF(Matchs!N937="","",Matchs!N937)</f>
        <v/>
      </c>
      <c r="AC936" s="6" t="str">
        <f t="shared" si="280"/>
        <v xml:space="preserve">",Stadium=" </v>
      </c>
      <c r="AD936" s="11">
        <f>Matchs!O937</f>
        <v>0</v>
      </c>
      <c r="AE936" s="6" t="str">
        <f t="shared" si="281"/>
        <v>",Referee= "</v>
      </c>
      <c r="AF936" s="11">
        <f>Matchs!P937</f>
        <v>0</v>
      </c>
      <c r="AG936" s="6" t="str">
        <f t="shared" si="282"/>
        <v xml:space="preserve">",Visistors= </v>
      </c>
      <c r="AH936" s="11">
        <f>Matchs!Q937</f>
        <v>0</v>
      </c>
      <c r="AI936" s="11" t="str">
        <f t="shared" si="283"/>
        <v>,Status= "</v>
      </c>
      <c r="AJ936" s="11">
        <f>Matchs!R937</f>
        <v>0</v>
      </c>
      <c r="AK936" t="str">
        <f t="shared" si="284"/>
        <v>" },</v>
      </c>
    </row>
    <row r="937" spans="1:37" x14ac:dyDescent="0.25">
      <c r="A937" t="str">
        <f t="shared" si="266"/>
        <v>new Match { MatchId= "</v>
      </c>
      <c r="B937">
        <f>Matchs!A938</f>
        <v>0</v>
      </c>
      <c r="C937" t="str">
        <f t="shared" si="267"/>
        <v>",MatchNumer=</v>
      </c>
      <c r="D937">
        <f>Matchs!B938</f>
        <v>0</v>
      </c>
      <c r="E937" t="str">
        <f t="shared" si="268"/>
        <v>,DateMatch=DateTime.Parse("</v>
      </c>
      <c r="F937" s="3">
        <f>Matchs!C938</f>
        <v>0</v>
      </c>
      <c r="G937" s="10" t="str">
        <f t="shared" si="269"/>
        <v>"),TimeMatch=TimeSpan.Parse("</v>
      </c>
      <c r="H937" s="9">
        <f>Matchs!D938</f>
        <v>0</v>
      </c>
      <c r="I937" t="str">
        <f t="shared" si="270"/>
        <v>"),MatchYear=</v>
      </c>
      <c r="J937">
        <f>Matchs!E938</f>
        <v>0</v>
      </c>
      <c r="K937" t="str">
        <f t="shared" si="271"/>
        <v>, SeasonId= "</v>
      </c>
      <c r="L937">
        <f>Matchs!F938</f>
        <v>0</v>
      </c>
      <c r="M937" t="str">
        <f t="shared" si="272"/>
        <v>",Round= "</v>
      </c>
      <c r="N937">
        <f>Matchs!G938</f>
        <v>0</v>
      </c>
      <c r="O937" s="6" t="str">
        <f t="shared" si="273"/>
        <v>",Stage= "</v>
      </c>
      <c r="P937">
        <f>Matchs!H938</f>
        <v>0</v>
      </c>
      <c r="Q937" s="6" t="str">
        <f t="shared" si="274"/>
        <v>",SubStage= "</v>
      </c>
      <c r="R937">
        <f>Matchs!I938</f>
        <v>0</v>
      </c>
      <c r="S937" s="6" t="str">
        <f t="shared" si="275"/>
        <v>",HTeam= "</v>
      </c>
      <c r="T937">
        <f>Matchs!J938</f>
        <v>0</v>
      </c>
      <c r="U937" s="6" t="str">
        <f t="shared" si="276"/>
        <v>",HGoal=</v>
      </c>
      <c r="V937">
        <f>Matchs!K938</f>
        <v>0</v>
      </c>
      <c r="W937" s="6" t="str">
        <f t="shared" si="277"/>
        <v>,GGoal=</v>
      </c>
      <c r="X937">
        <f>Matchs!L938</f>
        <v>0</v>
      </c>
      <c r="Y937" s="6" t="str">
        <f t="shared" si="278"/>
        <v>,GTeam= "</v>
      </c>
      <c r="Z937">
        <f>Matchs!M938</f>
        <v>0</v>
      </c>
      <c r="AA937" s="6" t="str">
        <f t="shared" si="279"/>
        <v>",WinNote="</v>
      </c>
      <c r="AB937" t="str">
        <f>IF(Matchs!N938="","",Matchs!N938)</f>
        <v/>
      </c>
      <c r="AC937" s="6" t="str">
        <f t="shared" si="280"/>
        <v xml:space="preserve">",Stadium=" </v>
      </c>
      <c r="AD937" s="11">
        <f>Matchs!O938</f>
        <v>0</v>
      </c>
      <c r="AE937" s="6" t="str">
        <f t="shared" si="281"/>
        <v>",Referee= "</v>
      </c>
      <c r="AF937" s="11">
        <f>Matchs!P938</f>
        <v>0</v>
      </c>
      <c r="AG937" s="6" t="str">
        <f t="shared" si="282"/>
        <v xml:space="preserve">",Visistors= </v>
      </c>
      <c r="AH937" s="11">
        <f>Matchs!Q938</f>
        <v>0</v>
      </c>
      <c r="AI937" s="11" t="str">
        <f t="shared" si="283"/>
        <v>,Status= "</v>
      </c>
      <c r="AJ937" s="11">
        <f>Matchs!R938</f>
        <v>0</v>
      </c>
      <c r="AK937" t="str">
        <f t="shared" si="284"/>
        <v>" },</v>
      </c>
    </row>
    <row r="938" spans="1:37" x14ac:dyDescent="0.25">
      <c r="A938" t="str">
        <f t="shared" si="266"/>
        <v>new Match { MatchId= "</v>
      </c>
      <c r="B938">
        <f>Matchs!A939</f>
        <v>0</v>
      </c>
      <c r="C938" t="str">
        <f t="shared" si="267"/>
        <v>",MatchNumer=</v>
      </c>
      <c r="D938">
        <f>Matchs!B939</f>
        <v>0</v>
      </c>
      <c r="E938" t="str">
        <f t="shared" si="268"/>
        <v>,DateMatch=DateTime.Parse("</v>
      </c>
      <c r="F938" s="3">
        <f>Matchs!C939</f>
        <v>0</v>
      </c>
      <c r="G938" s="10" t="str">
        <f t="shared" si="269"/>
        <v>"),TimeMatch=TimeSpan.Parse("</v>
      </c>
      <c r="H938" s="9">
        <f>Matchs!D939</f>
        <v>0</v>
      </c>
      <c r="I938" t="str">
        <f t="shared" si="270"/>
        <v>"),MatchYear=</v>
      </c>
      <c r="J938">
        <f>Matchs!E939</f>
        <v>0</v>
      </c>
      <c r="K938" t="str">
        <f t="shared" si="271"/>
        <v>, SeasonId= "</v>
      </c>
      <c r="L938">
        <f>Matchs!F939</f>
        <v>0</v>
      </c>
      <c r="M938" t="str">
        <f t="shared" si="272"/>
        <v>",Round= "</v>
      </c>
      <c r="N938">
        <f>Matchs!G939</f>
        <v>0</v>
      </c>
      <c r="O938" s="6" t="str">
        <f t="shared" si="273"/>
        <v>",Stage= "</v>
      </c>
      <c r="P938">
        <f>Matchs!H939</f>
        <v>0</v>
      </c>
      <c r="Q938" s="6" t="str">
        <f t="shared" si="274"/>
        <v>",SubStage= "</v>
      </c>
      <c r="R938">
        <f>Matchs!I939</f>
        <v>0</v>
      </c>
      <c r="S938" s="6" t="str">
        <f t="shared" si="275"/>
        <v>",HTeam= "</v>
      </c>
      <c r="T938">
        <f>Matchs!J939</f>
        <v>0</v>
      </c>
      <c r="U938" s="6" t="str">
        <f t="shared" si="276"/>
        <v>",HGoal=</v>
      </c>
      <c r="V938">
        <f>Matchs!K939</f>
        <v>0</v>
      </c>
      <c r="W938" s="6" t="str">
        <f t="shared" si="277"/>
        <v>,GGoal=</v>
      </c>
      <c r="X938">
        <f>Matchs!L939</f>
        <v>0</v>
      </c>
      <c r="Y938" s="6" t="str">
        <f t="shared" si="278"/>
        <v>,GTeam= "</v>
      </c>
      <c r="Z938">
        <f>Matchs!M939</f>
        <v>0</v>
      </c>
      <c r="AA938" s="6" t="str">
        <f t="shared" si="279"/>
        <v>",WinNote="</v>
      </c>
      <c r="AB938" t="str">
        <f>IF(Matchs!N939="","",Matchs!N939)</f>
        <v/>
      </c>
      <c r="AC938" s="6" t="str">
        <f t="shared" si="280"/>
        <v xml:space="preserve">",Stadium=" </v>
      </c>
      <c r="AD938" s="11">
        <f>Matchs!O939</f>
        <v>0</v>
      </c>
      <c r="AE938" s="6" t="str">
        <f t="shared" si="281"/>
        <v>",Referee= "</v>
      </c>
      <c r="AF938" s="11">
        <f>Matchs!P939</f>
        <v>0</v>
      </c>
      <c r="AG938" s="6" t="str">
        <f t="shared" si="282"/>
        <v xml:space="preserve">",Visistors= </v>
      </c>
      <c r="AH938" s="11">
        <f>Matchs!Q939</f>
        <v>0</v>
      </c>
      <c r="AI938" s="11" t="str">
        <f t="shared" si="283"/>
        <v>,Status= "</v>
      </c>
      <c r="AJ938" s="11">
        <f>Matchs!R939</f>
        <v>0</v>
      </c>
      <c r="AK938" t="str">
        <f t="shared" si="284"/>
        <v>" },</v>
      </c>
    </row>
    <row r="939" spans="1:37" x14ac:dyDescent="0.25">
      <c r="A939" t="str">
        <f t="shared" si="266"/>
        <v>new Match { MatchId= "</v>
      </c>
      <c r="B939">
        <f>Matchs!A940</f>
        <v>0</v>
      </c>
      <c r="C939" t="str">
        <f t="shared" si="267"/>
        <v>",MatchNumer=</v>
      </c>
      <c r="D939">
        <f>Matchs!B940</f>
        <v>0</v>
      </c>
      <c r="E939" t="str">
        <f t="shared" si="268"/>
        <v>,DateMatch=DateTime.Parse("</v>
      </c>
      <c r="F939" s="3">
        <f>Matchs!C940</f>
        <v>0</v>
      </c>
      <c r="G939" s="10" t="str">
        <f t="shared" si="269"/>
        <v>"),TimeMatch=TimeSpan.Parse("</v>
      </c>
      <c r="H939" s="9">
        <f>Matchs!D940</f>
        <v>0</v>
      </c>
      <c r="I939" t="str">
        <f t="shared" si="270"/>
        <v>"),MatchYear=</v>
      </c>
      <c r="J939">
        <f>Matchs!E940</f>
        <v>0</v>
      </c>
      <c r="K939" t="str">
        <f t="shared" si="271"/>
        <v>, SeasonId= "</v>
      </c>
      <c r="L939">
        <f>Matchs!F940</f>
        <v>0</v>
      </c>
      <c r="M939" t="str">
        <f t="shared" si="272"/>
        <v>",Round= "</v>
      </c>
      <c r="N939">
        <f>Matchs!G940</f>
        <v>0</v>
      </c>
      <c r="O939" s="6" t="str">
        <f t="shared" si="273"/>
        <v>",Stage= "</v>
      </c>
      <c r="P939">
        <f>Matchs!H940</f>
        <v>0</v>
      </c>
      <c r="Q939" s="6" t="str">
        <f t="shared" si="274"/>
        <v>",SubStage= "</v>
      </c>
      <c r="R939">
        <f>Matchs!I940</f>
        <v>0</v>
      </c>
      <c r="S939" s="6" t="str">
        <f t="shared" si="275"/>
        <v>",HTeam= "</v>
      </c>
      <c r="T939">
        <f>Matchs!J940</f>
        <v>0</v>
      </c>
      <c r="U939" s="6" t="str">
        <f t="shared" si="276"/>
        <v>",HGoal=</v>
      </c>
      <c r="V939">
        <f>Matchs!K940</f>
        <v>0</v>
      </c>
      <c r="W939" s="6" t="str">
        <f t="shared" si="277"/>
        <v>,GGoal=</v>
      </c>
      <c r="X939">
        <f>Matchs!L940</f>
        <v>0</v>
      </c>
      <c r="Y939" s="6" t="str">
        <f t="shared" si="278"/>
        <v>,GTeam= "</v>
      </c>
      <c r="Z939">
        <f>Matchs!M940</f>
        <v>0</v>
      </c>
      <c r="AA939" s="6" t="str">
        <f t="shared" si="279"/>
        <v>",WinNote="</v>
      </c>
      <c r="AB939" t="str">
        <f>IF(Matchs!N940="","",Matchs!N940)</f>
        <v/>
      </c>
      <c r="AC939" s="6" t="str">
        <f t="shared" si="280"/>
        <v xml:space="preserve">",Stadium=" </v>
      </c>
      <c r="AD939" s="11">
        <f>Matchs!O940</f>
        <v>0</v>
      </c>
      <c r="AE939" s="6" t="str">
        <f t="shared" si="281"/>
        <v>",Referee= "</v>
      </c>
      <c r="AF939" s="11">
        <f>Matchs!P940</f>
        <v>0</v>
      </c>
      <c r="AG939" s="6" t="str">
        <f t="shared" si="282"/>
        <v xml:space="preserve">",Visistors= </v>
      </c>
      <c r="AH939" s="11">
        <f>Matchs!Q940</f>
        <v>0</v>
      </c>
      <c r="AI939" s="11" t="str">
        <f t="shared" si="283"/>
        <v>,Status= "</v>
      </c>
      <c r="AJ939" s="11">
        <f>Matchs!R940</f>
        <v>0</v>
      </c>
      <c r="AK939" t="str">
        <f t="shared" si="284"/>
        <v>" },</v>
      </c>
    </row>
    <row r="940" spans="1:37" x14ac:dyDescent="0.25">
      <c r="A940" t="str">
        <f t="shared" si="266"/>
        <v>new Match { MatchId= "</v>
      </c>
      <c r="B940">
        <f>Matchs!A941</f>
        <v>0</v>
      </c>
      <c r="C940" t="str">
        <f t="shared" si="267"/>
        <v>",MatchNumer=</v>
      </c>
      <c r="D940">
        <f>Matchs!B941</f>
        <v>0</v>
      </c>
      <c r="E940" t="str">
        <f t="shared" si="268"/>
        <v>,DateMatch=DateTime.Parse("</v>
      </c>
      <c r="F940" s="3">
        <f>Matchs!C941</f>
        <v>0</v>
      </c>
      <c r="G940" s="10" t="str">
        <f t="shared" si="269"/>
        <v>"),TimeMatch=TimeSpan.Parse("</v>
      </c>
      <c r="H940" s="9">
        <f>Matchs!D941</f>
        <v>0</v>
      </c>
      <c r="I940" t="str">
        <f t="shared" si="270"/>
        <v>"),MatchYear=</v>
      </c>
      <c r="J940">
        <f>Matchs!E941</f>
        <v>0</v>
      </c>
      <c r="K940" t="str">
        <f t="shared" si="271"/>
        <v>, SeasonId= "</v>
      </c>
      <c r="L940">
        <f>Matchs!F941</f>
        <v>0</v>
      </c>
      <c r="M940" t="str">
        <f t="shared" si="272"/>
        <v>",Round= "</v>
      </c>
      <c r="N940">
        <f>Matchs!G941</f>
        <v>0</v>
      </c>
      <c r="O940" s="6" t="str">
        <f t="shared" si="273"/>
        <v>",Stage= "</v>
      </c>
      <c r="P940">
        <f>Matchs!H941</f>
        <v>0</v>
      </c>
      <c r="Q940" s="6" t="str">
        <f t="shared" si="274"/>
        <v>",SubStage= "</v>
      </c>
      <c r="R940">
        <f>Matchs!I941</f>
        <v>0</v>
      </c>
      <c r="S940" s="6" t="str">
        <f t="shared" si="275"/>
        <v>",HTeam= "</v>
      </c>
      <c r="T940">
        <f>Matchs!J941</f>
        <v>0</v>
      </c>
      <c r="U940" s="6" t="str">
        <f t="shared" si="276"/>
        <v>",HGoal=</v>
      </c>
      <c r="V940">
        <f>Matchs!K941</f>
        <v>0</v>
      </c>
      <c r="W940" s="6" t="str">
        <f t="shared" si="277"/>
        <v>,GGoal=</v>
      </c>
      <c r="X940">
        <f>Matchs!L941</f>
        <v>0</v>
      </c>
      <c r="Y940" s="6" t="str">
        <f t="shared" si="278"/>
        <v>,GTeam= "</v>
      </c>
      <c r="Z940">
        <f>Matchs!M941</f>
        <v>0</v>
      </c>
      <c r="AA940" s="6" t="str">
        <f t="shared" si="279"/>
        <v>",WinNote="</v>
      </c>
      <c r="AB940" t="str">
        <f>IF(Matchs!N941="","",Matchs!N941)</f>
        <v/>
      </c>
      <c r="AC940" s="6" t="str">
        <f t="shared" si="280"/>
        <v xml:space="preserve">",Stadium=" </v>
      </c>
      <c r="AD940" s="11">
        <f>Matchs!O941</f>
        <v>0</v>
      </c>
      <c r="AE940" s="6" t="str">
        <f t="shared" si="281"/>
        <v>",Referee= "</v>
      </c>
      <c r="AF940" s="11">
        <f>Matchs!P941</f>
        <v>0</v>
      </c>
      <c r="AG940" s="6" t="str">
        <f t="shared" si="282"/>
        <v xml:space="preserve">",Visistors= </v>
      </c>
      <c r="AH940" s="11">
        <f>Matchs!Q941</f>
        <v>0</v>
      </c>
      <c r="AI940" s="11" t="str">
        <f t="shared" si="283"/>
        <v>,Status= "</v>
      </c>
      <c r="AJ940" s="11">
        <f>Matchs!R941</f>
        <v>0</v>
      </c>
      <c r="AK940" t="str">
        <f t="shared" si="284"/>
        <v>" },</v>
      </c>
    </row>
    <row r="941" spans="1:37" x14ac:dyDescent="0.25">
      <c r="A941" t="str">
        <f t="shared" si="266"/>
        <v>new Match { MatchId= "</v>
      </c>
      <c r="B941">
        <f>Matchs!A942</f>
        <v>0</v>
      </c>
      <c r="C941" t="str">
        <f t="shared" si="267"/>
        <v>",MatchNumer=</v>
      </c>
      <c r="D941">
        <f>Matchs!B942</f>
        <v>0</v>
      </c>
      <c r="E941" t="str">
        <f t="shared" si="268"/>
        <v>,DateMatch=DateTime.Parse("</v>
      </c>
      <c r="F941" s="3">
        <f>Matchs!C942</f>
        <v>0</v>
      </c>
      <c r="G941" s="10" t="str">
        <f t="shared" si="269"/>
        <v>"),TimeMatch=TimeSpan.Parse("</v>
      </c>
      <c r="H941" s="9">
        <f>Matchs!D942</f>
        <v>0</v>
      </c>
      <c r="I941" t="str">
        <f t="shared" si="270"/>
        <v>"),MatchYear=</v>
      </c>
      <c r="J941">
        <f>Matchs!E942</f>
        <v>0</v>
      </c>
      <c r="K941" t="str">
        <f t="shared" si="271"/>
        <v>, SeasonId= "</v>
      </c>
      <c r="L941">
        <f>Matchs!F942</f>
        <v>0</v>
      </c>
      <c r="M941" t="str">
        <f t="shared" si="272"/>
        <v>",Round= "</v>
      </c>
      <c r="N941">
        <f>Matchs!G942</f>
        <v>0</v>
      </c>
      <c r="O941" s="6" t="str">
        <f t="shared" si="273"/>
        <v>",Stage= "</v>
      </c>
      <c r="P941">
        <f>Matchs!H942</f>
        <v>0</v>
      </c>
      <c r="Q941" s="6" t="str">
        <f t="shared" si="274"/>
        <v>",SubStage= "</v>
      </c>
      <c r="R941">
        <f>Matchs!I942</f>
        <v>0</v>
      </c>
      <c r="S941" s="6" t="str">
        <f t="shared" si="275"/>
        <v>",HTeam= "</v>
      </c>
      <c r="T941">
        <f>Matchs!J942</f>
        <v>0</v>
      </c>
      <c r="U941" s="6" t="str">
        <f t="shared" si="276"/>
        <v>",HGoal=</v>
      </c>
      <c r="V941">
        <f>Matchs!K942</f>
        <v>0</v>
      </c>
      <c r="W941" s="6" t="str">
        <f t="shared" si="277"/>
        <v>,GGoal=</v>
      </c>
      <c r="X941">
        <f>Matchs!L942</f>
        <v>0</v>
      </c>
      <c r="Y941" s="6" t="str">
        <f t="shared" si="278"/>
        <v>,GTeam= "</v>
      </c>
      <c r="Z941">
        <f>Matchs!M942</f>
        <v>0</v>
      </c>
      <c r="AA941" s="6" t="str">
        <f t="shared" si="279"/>
        <v>",WinNote="</v>
      </c>
      <c r="AB941" t="str">
        <f>IF(Matchs!N942="","",Matchs!N942)</f>
        <v/>
      </c>
      <c r="AC941" s="6" t="str">
        <f t="shared" si="280"/>
        <v xml:space="preserve">",Stadium=" </v>
      </c>
      <c r="AD941" s="11">
        <f>Matchs!O942</f>
        <v>0</v>
      </c>
      <c r="AE941" s="6" t="str">
        <f t="shared" si="281"/>
        <v>",Referee= "</v>
      </c>
      <c r="AF941" s="11">
        <f>Matchs!P942</f>
        <v>0</v>
      </c>
      <c r="AG941" s="6" t="str">
        <f t="shared" si="282"/>
        <v xml:space="preserve">",Visistors= </v>
      </c>
      <c r="AH941" s="11">
        <f>Matchs!Q942</f>
        <v>0</v>
      </c>
      <c r="AI941" s="11" t="str">
        <f t="shared" si="283"/>
        <v>,Status= "</v>
      </c>
      <c r="AJ941" s="11">
        <f>Matchs!R942</f>
        <v>0</v>
      </c>
      <c r="AK941" t="str">
        <f t="shared" si="284"/>
        <v>" },</v>
      </c>
    </row>
    <row r="942" spans="1:37" x14ac:dyDescent="0.25">
      <c r="A942" t="str">
        <f t="shared" si="266"/>
        <v>new Match { MatchId= "</v>
      </c>
      <c r="B942">
        <f>Matchs!A943</f>
        <v>0</v>
      </c>
      <c r="C942" t="str">
        <f t="shared" si="267"/>
        <v>",MatchNumer=</v>
      </c>
      <c r="D942">
        <f>Matchs!B943</f>
        <v>0</v>
      </c>
      <c r="E942" t="str">
        <f t="shared" si="268"/>
        <v>,DateMatch=DateTime.Parse("</v>
      </c>
      <c r="F942" s="3">
        <f>Matchs!C943</f>
        <v>0</v>
      </c>
      <c r="G942" s="10" t="str">
        <f t="shared" si="269"/>
        <v>"),TimeMatch=TimeSpan.Parse("</v>
      </c>
      <c r="H942" s="9">
        <f>Matchs!D943</f>
        <v>0</v>
      </c>
      <c r="I942" t="str">
        <f t="shared" si="270"/>
        <v>"),MatchYear=</v>
      </c>
      <c r="J942">
        <f>Matchs!E943</f>
        <v>0</v>
      </c>
      <c r="K942" t="str">
        <f t="shared" si="271"/>
        <v>, SeasonId= "</v>
      </c>
      <c r="L942">
        <f>Matchs!F943</f>
        <v>0</v>
      </c>
      <c r="M942" t="str">
        <f t="shared" si="272"/>
        <v>",Round= "</v>
      </c>
      <c r="N942">
        <f>Matchs!G943</f>
        <v>0</v>
      </c>
      <c r="O942" s="6" t="str">
        <f t="shared" si="273"/>
        <v>",Stage= "</v>
      </c>
      <c r="P942">
        <f>Matchs!H943</f>
        <v>0</v>
      </c>
      <c r="Q942" s="6" t="str">
        <f t="shared" si="274"/>
        <v>",SubStage= "</v>
      </c>
      <c r="R942">
        <f>Matchs!I943</f>
        <v>0</v>
      </c>
      <c r="S942" s="6" t="str">
        <f t="shared" si="275"/>
        <v>",HTeam= "</v>
      </c>
      <c r="T942">
        <f>Matchs!J943</f>
        <v>0</v>
      </c>
      <c r="U942" s="6" t="str">
        <f t="shared" si="276"/>
        <v>",HGoal=</v>
      </c>
      <c r="V942">
        <f>Matchs!K943</f>
        <v>0</v>
      </c>
      <c r="W942" s="6" t="str">
        <f t="shared" si="277"/>
        <v>,GGoal=</v>
      </c>
      <c r="X942">
        <f>Matchs!L943</f>
        <v>0</v>
      </c>
      <c r="Y942" s="6" t="str">
        <f t="shared" si="278"/>
        <v>,GTeam= "</v>
      </c>
      <c r="Z942">
        <f>Matchs!M943</f>
        <v>0</v>
      </c>
      <c r="AA942" s="6" t="str">
        <f t="shared" si="279"/>
        <v>",WinNote="</v>
      </c>
      <c r="AB942" t="str">
        <f>IF(Matchs!N943="","",Matchs!N943)</f>
        <v/>
      </c>
      <c r="AC942" s="6" t="str">
        <f t="shared" si="280"/>
        <v xml:space="preserve">",Stadium=" </v>
      </c>
      <c r="AD942" s="11">
        <f>Matchs!O943</f>
        <v>0</v>
      </c>
      <c r="AE942" s="6" t="str">
        <f t="shared" si="281"/>
        <v>",Referee= "</v>
      </c>
      <c r="AF942" s="11">
        <f>Matchs!P943</f>
        <v>0</v>
      </c>
      <c r="AG942" s="6" t="str">
        <f t="shared" si="282"/>
        <v xml:space="preserve">",Visistors= </v>
      </c>
      <c r="AH942" s="11">
        <f>Matchs!Q943</f>
        <v>0</v>
      </c>
      <c r="AI942" s="11" t="str">
        <f t="shared" si="283"/>
        <v>,Status= "</v>
      </c>
      <c r="AJ942" s="11">
        <f>Matchs!R943</f>
        <v>0</v>
      </c>
      <c r="AK942" t="str">
        <f t="shared" si="284"/>
        <v>" },</v>
      </c>
    </row>
    <row r="943" spans="1:37" x14ac:dyDescent="0.25">
      <c r="A943" t="str">
        <f t="shared" si="266"/>
        <v>new Match { MatchId= "</v>
      </c>
      <c r="B943">
        <f>Matchs!A944</f>
        <v>0</v>
      </c>
      <c r="C943" t="str">
        <f t="shared" si="267"/>
        <v>",MatchNumer=</v>
      </c>
      <c r="D943">
        <f>Matchs!B944</f>
        <v>0</v>
      </c>
      <c r="E943" t="str">
        <f t="shared" si="268"/>
        <v>,DateMatch=DateTime.Parse("</v>
      </c>
      <c r="F943" s="3">
        <f>Matchs!C944</f>
        <v>0</v>
      </c>
      <c r="G943" s="10" t="str">
        <f t="shared" si="269"/>
        <v>"),TimeMatch=TimeSpan.Parse("</v>
      </c>
      <c r="H943" s="9">
        <f>Matchs!D944</f>
        <v>0</v>
      </c>
      <c r="I943" t="str">
        <f t="shared" si="270"/>
        <v>"),MatchYear=</v>
      </c>
      <c r="J943">
        <f>Matchs!E944</f>
        <v>0</v>
      </c>
      <c r="K943" t="str">
        <f t="shared" si="271"/>
        <v>, SeasonId= "</v>
      </c>
      <c r="L943">
        <f>Matchs!F944</f>
        <v>0</v>
      </c>
      <c r="M943" t="str">
        <f t="shared" si="272"/>
        <v>",Round= "</v>
      </c>
      <c r="N943">
        <f>Matchs!G944</f>
        <v>0</v>
      </c>
      <c r="O943" s="6" t="str">
        <f t="shared" si="273"/>
        <v>",Stage= "</v>
      </c>
      <c r="P943">
        <f>Matchs!H944</f>
        <v>0</v>
      </c>
      <c r="Q943" s="6" t="str">
        <f t="shared" si="274"/>
        <v>",SubStage= "</v>
      </c>
      <c r="R943">
        <f>Matchs!I944</f>
        <v>0</v>
      </c>
      <c r="S943" s="6" t="str">
        <f t="shared" si="275"/>
        <v>",HTeam= "</v>
      </c>
      <c r="T943">
        <f>Matchs!J944</f>
        <v>0</v>
      </c>
      <c r="U943" s="6" t="str">
        <f t="shared" si="276"/>
        <v>",HGoal=</v>
      </c>
      <c r="V943">
        <f>Matchs!K944</f>
        <v>0</v>
      </c>
      <c r="W943" s="6" t="str">
        <f t="shared" si="277"/>
        <v>,GGoal=</v>
      </c>
      <c r="X943">
        <f>Matchs!L944</f>
        <v>0</v>
      </c>
      <c r="Y943" s="6" t="str">
        <f t="shared" si="278"/>
        <v>,GTeam= "</v>
      </c>
      <c r="Z943">
        <f>Matchs!M944</f>
        <v>0</v>
      </c>
      <c r="AA943" s="6" t="str">
        <f t="shared" si="279"/>
        <v>",WinNote="</v>
      </c>
      <c r="AB943" t="str">
        <f>IF(Matchs!N944="","",Matchs!N944)</f>
        <v/>
      </c>
      <c r="AC943" s="6" t="str">
        <f t="shared" si="280"/>
        <v xml:space="preserve">",Stadium=" </v>
      </c>
      <c r="AD943" s="11">
        <f>Matchs!O944</f>
        <v>0</v>
      </c>
      <c r="AE943" s="6" t="str">
        <f t="shared" si="281"/>
        <v>",Referee= "</v>
      </c>
      <c r="AF943" s="11">
        <f>Matchs!P944</f>
        <v>0</v>
      </c>
      <c r="AG943" s="6" t="str">
        <f t="shared" si="282"/>
        <v xml:space="preserve">",Visistors= </v>
      </c>
      <c r="AH943" s="11">
        <f>Matchs!Q944</f>
        <v>0</v>
      </c>
      <c r="AI943" s="11" t="str">
        <f t="shared" si="283"/>
        <v>,Status= "</v>
      </c>
      <c r="AJ943" s="11">
        <f>Matchs!R944</f>
        <v>0</v>
      </c>
      <c r="AK943" t="str">
        <f t="shared" si="284"/>
        <v>" },</v>
      </c>
    </row>
    <row r="944" spans="1:37" x14ac:dyDescent="0.25">
      <c r="A944" t="str">
        <f t="shared" si="266"/>
        <v>new Match { MatchId= "</v>
      </c>
      <c r="B944">
        <f>Matchs!A945</f>
        <v>0</v>
      </c>
      <c r="C944" t="str">
        <f t="shared" si="267"/>
        <v>",MatchNumer=</v>
      </c>
      <c r="D944">
        <f>Matchs!B945</f>
        <v>0</v>
      </c>
      <c r="E944" t="str">
        <f t="shared" si="268"/>
        <v>,DateMatch=DateTime.Parse("</v>
      </c>
      <c r="F944" s="3">
        <f>Matchs!C945</f>
        <v>0</v>
      </c>
      <c r="G944" s="10" t="str">
        <f t="shared" si="269"/>
        <v>"),TimeMatch=TimeSpan.Parse("</v>
      </c>
      <c r="H944" s="9">
        <f>Matchs!D945</f>
        <v>0</v>
      </c>
      <c r="I944" t="str">
        <f t="shared" si="270"/>
        <v>"),MatchYear=</v>
      </c>
      <c r="J944">
        <f>Matchs!E945</f>
        <v>0</v>
      </c>
      <c r="K944" t="str">
        <f t="shared" si="271"/>
        <v>, SeasonId= "</v>
      </c>
      <c r="L944">
        <f>Matchs!F945</f>
        <v>0</v>
      </c>
      <c r="M944" t="str">
        <f t="shared" si="272"/>
        <v>",Round= "</v>
      </c>
      <c r="N944">
        <f>Matchs!G945</f>
        <v>0</v>
      </c>
      <c r="O944" s="6" t="str">
        <f t="shared" si="273"/>
        <v>",Stage= "</v>
      </c>
      <c r="P944">
        <f>Matchs!H945</f>
        <v>0</v>
      </c>
      <c r="Q944" s="6" t="str">
        <f t="shared" si="274"/>
        <v>",SubStage= "</v>
      </c>
      <c r="R944">
        <f>Matchs!I945</f>
        <v>0</v>
      </c>
      <c r="S944" s="6" t="str">
        <f t="shared" si="275"/>
        <v>",HTeam= "</v>
      </c>
      <c r="T944">
        <f>Matchs!J945</f>
        <v>0</v>
      </c>
      <c r="U944" s="6" t="str">
        <f t="shared" si="276"/>
        <v>",HGoal=</v>
      </c>
      <c r="V944">
        <f>Matchs!K945</f>
        <v>0</v>
      </c>
      <c r="W944" s="6" t="str">
        <f t="shared" si="277"/>
        <v>,GGoal=</v>
      </c>
      <c r="X944">
        <f>Matchs!L945</f>
        <v>0</v>
      </c>
      <c r="Y944" s="6" t="str">
        <f t="shared" si="278"/>
        <v>,GTeam= "</v>
      </c>
      <c r="Z944">
        <f>Matchs!M945</f>
        <v>0</v>
      </c>
      <c r="AA944" s="6" t="str">
        <f t="shared" si="279"/>
        <v>",WinNote="</v>
      </c>
      <c r="AB944" t="str">
        <f>IF(Matchs!N945="","",Matchs!N945)</f>
        <v/>
      </c>
      <c r="AC944" s="6" t="str">
        <f t="shared" si="280"/>
        <v xml:space="preserve">",Stadium=" </v>
      </c>
      <c r="AD944" s="11">
        <f>Matchs!O945</f>
        <v>0</v>
      </c>
      <c r="AE944" s="6" t="str">
        <f t="shared" si="281"/>
        <v>",Referee= "</v>
      </c>
      <c r="AF944" s="11">
        <f>Matchs!P945</f>
        <v>0</v>
      </c>
      <c r="AG944" s="6" t="str">
        <f t="shared" si="282"/>
        <v xml:space="preserve">",Visistors= </v>
      </c>
      <c r="AH944" s="11">
        <f>Matchs!Q945</f>
        <v>0</v>
      </c>
      <c r="AI944" s="11" t="str">
        <f t="shared" si="283"/>
        <v>,Status= "</v>
      </c>
      <c r="AJ944" s="11">
        <f>Matchs!R945</f>
        <v>0</v>
      </c>
      <c r="AK944" t="str">
        <f t="shared" si="284"/>
        <v>" },</v>
      </c>
    </row>
    <row r="945" spans="1:37" x14ac:dyDescent="0.25">
      <c r="A945" t="str">
        <f t="shared" si="266"/>
        <v>new Match { MatchId= "</v>
      </c>
      <c r="B945">
        <f>Matchs!A946</f>
        <v>0</v>
      </c>
      <c r="C945" t="str">
        <f t="shared" si="267"/>
        <v>",MatchNumer=</v>
      </c>
      <c r="D945">
        <f>Matchs!B946</f>
        <v>0</v>
      </c>
      <c r="E945" t="str">
        <f t="shared" si="268"/>
        <v>,DateMatch=DateTime.Parse("</v>
      </c>
      <c r="F945" s="3">
        <f>Matchs!C946</f>
        <v>0</v>
      </c>
      <c r="G945" s="10" t="str">
        <f t="shared" si="269"/>
        <v>"),TimeMatch=TimeSpan.Parse("</v>
      </c>
      <c r="H945" s="9">
        <f>Matchs!D946</f>
        <v>0</v>
      </c>
      <c r="I945" t="str">
        <f t="shared" si="270"/>
        <v>"),MatchYear=</v>
      </c>
      <c r="J945">
        <f>Matchs!E946</f>
        <v>0</v>
      </c>
      <c r="K945" t="str">
        <f t="shared" si="271"/>
        <v>, SeasonId= "</v>
      </c>
      <c r="L945">
        <f>Matchs!F946</f>
        <v>0</v>
      </c>
      <c r="M945" t="str">
        <f t="shared" si="272"/>
        <v>",Round= "</v>
      </c>
      <c r="N945">
        <f>Matchs!G946</f>
        <v>0</v>
      </c>
      <c r="O945" s="6" t="str">
        <f t="shared" si="273"/>
        <v>",Stage= "</v>
      </c>
      <c r="P945">
        <f>Matchs!H946</f>
        <v>0</v>
      </c>
      <c r="Q945" s="6" t="str">
        <f t="shared" si="274"/>
        <v>",SubStage= "</v>
      </c>
      <c r="R945">
        <f>Matchs!I946</f>
        <v>0</v>
      </c>
      <c r="S945" s="6" t="str">
        <f t="shared" si="275"/>
        <v>",HTeam= "</v>
      </c>
      <c r="T945">
        <f>Matchs!J946</f>
        <v>0</v>
      </c>
      <c r="U945" s="6" t="str">
        <f t="shared" si="276"/>
        <v>",HGoal=</v>
      </c>
      <c r="V945">
        <f>Matchs!K946</f>
        <v>0</v>
      </c>
      <c r="W945" s="6" t="str">
        <f t="shared" si="277"/>
        <v>,GGoal=</v>
      </c>
      <c r="X945">
        <f>Matchs!L946</f>
        <v>0</v>
      </c>
      <c r="Y945" s="6" t="str">
        <f t="shared" si="278"/>
        <v>,GTeam= "</v>
      </c>
      <c r="Z945">
        <f>Matchs!M946</f>
        <v>0</v>
      </c>
      <c r="AA945" s="6" t="str">
        <f t="shared" si="279"/>
        <v>",WinNote="</v>
      </c>
      <c r="AB945" t="str">
        <f>IF(Matchs!N946="","",Matchs!N946)</f>
        <v/>
      </c>
      <c r="AC945" s="6" t="str">
        <f t="shared" si="280"/>
        <v xml:space="preserve">",Stadium=" </v>
      </c>
      <c r="AD945" s="11">
        <f>Matchs!O946</f>
        <v>0</v>
      </c>
      <c r="AE945" s="6" t="str">
        <f t="shared" si="281"/>
        <v>",Referee= "</v>
      </c>
      <c r="AF945" s="11">
        <f>Matchs!P946</f>
        <v>0</v>
      </c>
      <c r="AG945" s="6" t="str">
        <f t="shared" si="282"/>
        <v xml:space="preserve">",Visistors= </v>
      </c>
      <c r="AH945" s="11">
        <f>Matchs!Q946</f>
        <v>0</v>
      </c>
      <c r="AI945" s="11" t="str">
        <f t="shared" si="283"/>
        <v>,Status= "</v>
      </c>
      <c r="AJ945" s="11">
        <f>Matchs!R946</f>
        <v>0</v>
      </c>
      <c r="AK945" t="str">
        <f t="shared" si="284"/>
        <v>" },</v>
      </c>
    </row>
    <row r="946" spans="1:37" x14ac:dyDescent="0.25">
      <c r="A946" t="str">
        <f t="shared" si="266"/>
        <v>new Match { MatchId= "</v>
      </c>
      <c r="B946">
        <f>Matchs!A947</f>
        <v>0</v>
      </c>
      <c r="C946" t="str">
        <f t="shared" si="267"/>
        <v>",MatchNumer=</v>
      </c>
      <c r="D946">
        <f>Matchs!B947</f>
        <v>0</v>
      </c>
      <c r="E946" t="str">
        <f t="shared" si="268"/>
        <v>,DateMatch=DateTime.Parse("</v>
      </c>
      <c r="F946" s="3">
        <f>Matchs!C947</f>
        <v>0</v>
      </c>
      <c r="G946" s="10" t="str">
        <f t="shared" si="269"/>
        <v>"),TimeMatch=TimeSpan.Parse("</v>
      </c>
      <c r="H946" s="9">
        <f>Matchs!D947</f>
        <v>0</v>
      </c>
      <c r="I946" t="str">
        <f t="shared" si="270"/>
        <v>"),MatchYear=</v>
      </c>
      <c r="J946">
        <f>Matchs!E947</f>
        <v>0</v>
      </c>
      <c r="K946" t="str">
        <f t="shared" si="271"/>
        <v>, SeasonId= "</v>
      </c>
      <c r="L946">
        <f>Matchs!F947</f>
        <v>0</v>
      </c>
      <c r="M946" t="str">
        <f t="shared" si="272"/>
        <v>",Round= "</v>
      </c>
      <c r="N946">
        <f>Matchs!G947</f>
        <v>0</v>
      </c>
      <c r="O946" s="6" t="str">
        <f t="shared" si="273"/>
        <v>",Stage= "</v>
      </c>
      <c r="P946">
        <f>Matchs!H947</f>
        <v>0</v>
      </c>
      <c r="Q946" s="6" t="str">
        <f t="shared" si="274"/>
        <v>",SubStage= "</v>
      </c>
      <c r="R946">
        <f>Matchs!I947</f>
        <v>0</v>
      </c>
      <c r="S946" s="6" t="str">
        <f t="shared" si="275"/>
        <v>",HTeam= "</v>
      </c>
      <c r="T946">
        <f>Matchs!J947</f>
        <v>0</v>
      </c>
      <c r="U946" s="6" t="str">
        <f t="shared" si="276"/>
        <v>",HGoal=</v>
      </c>
      <c r="V946">
        <f>Matchs!K947</f>
        <v>0</v>
      </c>
      <c r="W946" s="6" t="str">
        <f t="shared" si="277"/>
        <v>,GGoal=</v>
      </c>
      <c r="X946">
        <f>Matchs!L947</f>
        <v>0</v>
      </c>
      <c r="Y946" s="6" t="str">
        <f t="shared" si="278"/>
        <v>,GTeam= "</v>
      </c>
      <c r="Z946">
        <f>Matchs!M947</f>
        <v>0</v>
      </c>
      <c r="AA946" s="6" t="str">
        <f t="shared" si="279"/>
        <v>",WinNote="</v>
      </c>
      <c r="AB946" t="str">
        <f>IF(Matchs!N947="","",Matchs!N947)</f>
        <v/>
      </c>
      <c r="AC946" s="6" t="str">
        <f t="shared" si="280"/>
        <v xml:space="preserve">",Stadium=" </v>
      </c>
      <c r="AD946" s="11">
        <f>Matchs!O947</f>
        <v>0</v>
      </c>
      <c r="AE946" s="6" t="str">
        <f t="shared" si="281"/>
        <v>",Referee= "</v>
      </c>
      <c r="AF946" s="11">
        <f>Matchs!P947</f>
        <v>0</v>
      </c>
      <c r="AG946" s="6" t="str">
        <f t="shared" si="282"/>
        <v xml:space="preserve">",Visistors= </v>
      </c>
      <c r="AH946" s="11">
        <f>Matchs!Q947</f>
        <v>0</v>
      </c>
      <c r="AI946" s="11" t="str">
        <f t="shared" si="283"/>
        <v>,Status= "</v>
      </c>
      <c r="AJ946" s="11">
        <f>Matchs!R947</f>
        <v>0</v>
      </c>
      <c r="AK946" t="str">
        <f t="shared" si="284"/>
        <v>" },</v>
      </c>
    </row>
    <row r="947" spans="1:37" x14ac:dyDescent="0.25">
      <c r="A947" t="str">
        <f t="shared" si="266"/>
        <v>new Match { MatchId= "</v>
      </c>
      <c r="B947">
        <f>Matchs!A948</f>
        <v>0</v>
      </c>
      <c r="C947" t="str">
        <f t="shared" si="267"/>
        <v>",MatchNumer=</v>
      </c>
      <c r="D947">
        <f>Matchs!B948</f>
        <v>0</v>
      </c>
      <c r="E947" t="str">
        <f t="shared" si="268"/>
        <v>,DateMatch=DateTime.Parse("</v>
      </c>
      <c r="F947" s="3">
        <f>Matchs!C948</f>
        <v>0</v>
      </c>
      <c r="G947" s="10" t="str">
        <f t="shared" si="269"/>
        <v>"),TimeMatch=TimeSpan.Parse("</v>
      </c>
      <c r="H947" s="9">
        <f>Matchs!D948</f>
        <v>0</v>
      </c>
      <c r="I947" t="str">
        <f t="shared" si="270"/>
        <v>"),MatchYear=</v>
      </c>
      <c r="J947">
        <f>Matchs!E948</f>
        <v>0</v>
      </c>
      <c r="K947" t="str">
        <f t="shared" si="271"/>
        <v>, SeasonId= "</v>
      </c>
      <c r="L947">
        <f>Matchs!F948</f>
        <v>0</v>
      </c>
      <c r="M947" t="str">
        <f t="shared" si="272"/>
        <v>",Round= "</v>
      </c>
      <c r="N947">
        <f>Matchs!G948</f>
        <v>0</v>
      </c>
      <c r="O947" s="6" t="str">
        <f t="shared" si="273"/>
        <v>",Stage= "</v>
      </c>
      <c r="P947">
        <f>Matchs!H948</f>
        <v>0</v>
      </c>
      <c r="Q947" s="6" t="str">
        <f t="shared" si="274"/>
        <v>",SubStage= "</v>
      </c>
      <c r="R947">
        <f>Matchs!I948</f>
        <v>0</v>
      </c>
      <c r="S947" s="6" t="str">
        <f t="shared" si="275"/>
        <v>",HTeam= "</v>
      </c>
      <c r="T947">
        <f>Matchs!J948</f>
        <v>0</v>
      </c>
      <c r="U947" s="6" t="str">
        <f t="shared" si="276"/>
        <v>",HGoal=</v>
      </c>
      <c r="V947">
        <f>Matchs!K948</f>
        <v>0</v>
      </c>
      <c r="W947" s="6" t="str">
        <f t="shared" si="277"/>
        <v>,GGoal=</v>
      </c>
      <c r="X947">
        <f>Matchs!L948</f>
        <v>0</v>
      </c>
      <c r="Y947" s="6" t="str">
        <f t="shared" si="278"/>
        <v>,GTeam= "</v>
      </c>
      <c r="Z947">
        <f>Matchs!M948</f>
        <v>0</v>
      </c>
      <c r="AA947" s="6" t="str">
        <f t="shared" si="279"/>
        <v>",WinNote="</v>
      </c>
      <c r="AB947" t="str">
        <f>IF(Matchs!N948="","",Matchs!N948)</f>
        <v/>
      </c>
      <c r="AC947" s="6" t="str">
        <f t="shared" si="280"/>
        <v xml:space="preserve">",Stadium=" </v>
      </c>
      <c r="AD947" s="11">
        <f>Matchs!O948</f>
        <v>0</v>
      </c>
      <c r="AE947" s="6" t="str">
        <f t="shared" si="281"/>
        <v>",Referee= "</v>
      </c>
      <c r="AF947" s="11">
        <f>Matchs!P948</f>
        <v>0</v>
      </c>
      <c r="AG947" s="6" t="str">
        <f t="shared" si="282"/>
        <v xml:space="preserve">",Visistors= </v>
      </c>
      <c r="AH947" s="11">
        <f>Matchs!Q948</f>
        <v>0</v>
      </c>
      <c r="AI947" s="11" t="str">
        <f t="shared" si="283"/>
        <v>,Status= "</v>
      </c>
      <c r="AJ947" s="11">
        <f>Matchs!R948</f>
        <v>0</v>
      </c>
      <c r="AK947" t="str">
        <f t="shared" si="284"/>
        <v>" },</v>
      </c>
    </row>
    <row r="948" spans="1:37" x14ac:dyDescent="0.25">
      <c r="A948" t="str">
        <f t="shared" si="266"/>
        <v>new Match { MatchId= "</v>
      </c>
      <c r="B948">
        <f>Matchs!A949</f>
        <v>0</v>
      </c>
      <c r="C948" t="str">
        <f t="shared" si="267"/>
        <v>",MatchNumer=</v>
      </c>
      <c r="D948">
        <f>Matchs!B949</f>
        <v>0</v>
      </c>
      <c r="E948" t="str">
        <f t="shared" si="268"/>
        <v>,DateMatch=DateTime.Parse("</v>
      </c>
      <c r="F948" s="3">
        <f>Matchs!C949</f>
        <v>0</v>
      </c>
      <c r="G948" s="10" t="str">
        <f t="shared" si="269"/>
        <v>"),TimeMatch=TimeSpan.Parse("</v>
      </c>
      <c r="H948" s="9">
        <f>Matchs!D949</f>
        <v>0</v>
      </c>
      <c r="I948" t="str">
        <f t="shared" si="270"/>
        <v>"),MatchYear=</v>
      </c>
      <c r="J948">
        <f>Matchs!E949</f>
        <v>0</v>
      </c>
      <c r="K948" t="str">
        <f t="shared" si="271"/>
        <v>, SeasonId= "</v>
      </c>
      <c r="L948">
        <f>Matchs!F949</f>
        <v>0</v>
      </c>
      <c r="M948" t="str">
        <f t="shared" si="272"/>
        <v>",Round= "</v>
      </c>
      <c r="N948">
        <f>Matchs!G949</f>
        <v>0</v>
      </c>
      <c r="O948" s="6" t="str">
        <f t="shared" si="273"/>
        <v>",Stage= "</v>
      </c>
      <c r="P948">
        <f>Matchs!H949</f>
        <v>0</v>
      </c>
      <c r="Q948" s="6" t="str">
        <f t="shared" si="274"/>
        <v>",SubStage= "</v>
      </c>
      <c r="R948">
        <f>Matchs!I949</f>
        <v>0</v>
      </c>
      <c r="S948" s="6" t="str">
        <f t="shared" si="275"/>
        <v>",HTeam= "</v>
      </c>
      <c r="T948">
        <f>Matchs!J949</f>
        <v>0</v>
      </c>
      <c r="U948" s="6" t="str">
        <f t="shared" si="276"/>
        <v>",HGoal=</v>
      </c>
      <c r="V948">
        <f>Matchs!K949</f>
        <v>0</v>
      </c>
      <c r="W948" s="6" t="str">
        <f t="shared" si="277"/>
        <v>,GGoal=</v>
      </c>
      <c r="X948">
        <f>Matchs!L949</f>
        <v>0</v>
      </c>
      <c r="Y948" s="6" t="str">
        <f t="shared" si="278"/>
        <v>,GTeam= "</v>
      </c>
      <c r="Z948">
        <f>Matchs!M949</f>
        <v>0</v>
      </c>
      <c r="AA948" s="6" t="str">
        <f t="shared" si="279"/>
        <v>",WinNote="</v>
      </c>
      <c r="AB948" t="str">
        <f>IF(Matchs!N949="","",Matchs!N949)</f>
        <v/>
      </c>
      <c r="AC948" s="6" t="str">
        <f t="shared" si="280"/>
        <v xml:space="preserve">",Stadium=" </v>
      </c>
      <c r="AD948" s="11">
        <f>Matchs!O949</f>
        <v>0</v>
      </c>
      <c r="AE948" s="6" t="str">
        <f t="shared" si="281"/>
        <v>",Referee= "</v>
      </c>
      <c r="AF948" s="11">
        <f>Matchs!P949</f>
        <v>0</v>
      </c>
      <c r="AG948" s="6" t="str">
        <f t="shared" si="282"/>
        <v xml:space="preserve">",Visistors= </v>
      </c>
      <c r="AH948" s="11">
        <f>Matchs!Q949</f>
        <v>0</v>
      </c>
      <c r="AI948" s="11" t="str">
        <f t="shared" si="283"/>
        <v>,Status= "</v>
      </c>
      <c r="AJ948" s="11">
        <f>Matchs!R949</f>
        <v>0</v>
      </c>
      <c r="AK948" t="str">
        <f t="shared" si="284"/>
        <v>" },</v>
      </c>
    </row>
    <row r="949" spans="1:37" x14ac:dyDescent="0.25">
      <c r="A949" t="str">
        <f t="shared" si="266"/>
        <v>new Match { MatchId= "</v>
      </c>
      <c r="B949">
        <f>Matchs!A950</f>
        <v>0</v>
      </c>
      <c r="C949" t="str">
        <f t="shared" si="267"/>
        <v>",MatchNumer=</v>
      </c>
      <c r="D949">
        <f>Matchs!B950</f>
        <v>0</v>
      </c>
      <c r="E949" t="str">
        <f t="shared" si="268"/>
        <v>,DateMatch=DateTime.Parse("</v>
      </c>
      <c r="F949" s="3">
        <f>Matchs!C950</f>
        <v>0</v>
      </c>
      <c r="G949" s="10" t="str">
        <f t="shared" si="269"/>
        <v>"),TimeMatch=TimeSpan.Parse("</v>
      </c>
      <c r="H949" s="9">
        <f>Matchs!D950</f>
        <v>0</v>
      </c>
      <c r="I949" t="str">
        <f t="shared" si="270"/>
        <v>"),MatchYear=</v>
      </c>
      <c r="J949">
        <f>Matchs!E950</f>
        <v>0</v>
      </c>
      <c r="K949" t="str">
        <f t="shared" si="271"/>
        <v>, SeasonId= "</v>
      </c>
      <c r="L949">
        <f>Matchs!F950</f>
        <v>0</v>
      </c>
      <c r="M949" t="str">
        <f t="shared" si="272"/>
        <v>",Round= "</v>
      </c>
      <c r="N949">
        <f>Matchs!G950</f>
        <v>0</v>
      </c>
      <c r="O949" s="6" t="str">
        <f t="shared" si="273"/>
        <v>",Stage= "</v>
      </c>
      <c r="P949">
        <f>Matchs!H950</f>
        <v>0</v>
      </c>
      <c r="Q949" s="6" t="str">
        <f t="shared" si="274"/>
        <v>",SubStage= "</v>
      </c>
      <c r="R949">
        <f>Matchs!I950</f>
        <v>0</v>
      </c>
      <c r="S949" s="6" t="str">
        <f t="shared" si="275"/>
        <v>",HTeam= "</v>
      </c>
      <c r="T949">
        <f>Matchs!J950</f>
        <v>0</v>
      </c>
      <c r="U949" s="6" t="str">
        <f t="shared" si="276"/>
        <v>",HGoal=</v>
      </c>
      <c r="V949">
        <f>Matchs!K950</f>
        <v>0</v>
      </c>
      <c r="W949" s="6" t="str">
        <f t="shared" si="277"/>
        <v>,GGoal=</v>
      </c>
      <c r="X949">
        <f>Matchs!L950</f>
        <v>0</v>
      </c>
      <c r="Y949" s="6" t="str">
        <f t="shared" si="278"/>
        <v>,GTeam= "</v>
      </c>
      <c r="Z949">
        <f>Matchs!M950</f>
        <v>0</v>
      </c>
      <c r="AA949" s="6" t="str">
        <f t="shared" si="279"/>
        <v>",WinNote="</v>
      </c>
      <c r="AB949" t="str">
        <f>IF(Matchs!N950="","",Matchs!N950)</f>
        <v/>
      </c>
      <c r="AC949" s="6" t="str">
        <f t="shared" si="280"/>
        <v xml:space="preserve">",Stadium=" </v>
      </c>
      <c r="AD949" s="11">
        <f>Matchs!O950</f>
        <v>0</v>
      </c>
      <c r="AE949" s="6" t="str">
        <f t="shared" si="281"/>
        <v>",Referee= "</v>
      </c>
      <c r="AF949" s="11">
        <f>Matchs!P950</f>
        <v>0</v>
      </c>
      <c r="AG949" s="6" t="str">
        <f t="shared" si="282"/>
        <v xml:space="preserve">",Visistors= </v>
      </c>
      <c r="AH949" s="11">
        <f>Matchs!Q950</f>
        <v>0</v>
      </c>
      <c r="AI949" s="11" t="str">
        <f t="shared" si="283"/>
        <v>,Status= "</v>
      </c>
      <c r="AJ949" s="11">
        <f>Matchs!R950</f>
        <v>0</v>
      </c>
      <c r="AK949" t="str">
        <f t="shared" si="284"/>
        <v>" },</v>
      </c>
    </row>
    <row r="950" spans="1:37" x14ac:dyDescent="0.25">
      <c r="A950" t="str">
        <f t="shared" si="266"/>
        <v>new Match { MatchId= "</v>
      </c>
      <c r="B950">
        <f>Matchs!A951</f>
        <v>0</v>
      </c>
      <c r="C950" t="str">
        <f t="shared" si="267"/>
        <v>",MatchNumer=</v>
      </c>
      <c r="D950">
        <f>Matchs!B951</f>
        <v>0</v>
      </c>
      <c r="E950" t="str">
        <f t="shared" si="268"/>
        <v>,DateMatch=DateTime.Parse("</v>
      </c>
      <c r="F950" s="3">
        <f>Matchs!C951</f>
        <v>0</v>
      </c>
      <c r="G950" s="10" t="str">
        <f t="shared" si="269"/>
        <v>"),TimeMatch=TimeSpan.Parse("</v>
      </c>
      <c r="H950" s="9">
        <f>Matchs!D951</f>
        <v>0</v>
      </c>
      <c r="I950" t="str">
        <f t="shared" si="270"/>
        <v>"),MatchYear=</v>
      </c>
      <c r="J950">
        <f>Matchs!E951</f>
        <v>0</v>
      </c>
      <c r="K950" t="str">
        <f t="shared" si="271"/>
        <v>, SeasonId= "</v>
      </c>
      <c r="L950">
        <f>Matchs!F951</f>
        <v>0</v>
      </c>
      <c r="M950" t="str">
        <f t="shared" si="272"/>
        <v>",Round= "</v>
      </c>
      <c r="N950">
        <f>Matchs!G951</f>
        <v>0</v>
      </c>
      <c r="O950" s="6" t="str">
        <f t="shared" si="273"/>
        <v>",Stage= "</v>
      </c>
      <c r="P950">
        <f>Matchs!H951</f>
        <v>0</v>
      </c>
      <c r="Q950" s="6" t="str">
        <f t="shared" si="274"/>
        <v>",SubStage= "</v>
      </c>
      <c r="R950">
        <f>Matchs!I951</f>
        <v>0</v>
      </c>
      <c r="S950" s="6" t="str">
        <f t="shared" si="275"/>
        <v>",HTeam= "</v>
      </c>
      <c r="T950">
        <f>Matchs!J951</f>
        <v>0</v>
      </c>
      <c r="U950" s="6" t="str">
        <f t="shared" si="276"/>
        <v>",HGoal=</v>
      </c>
      <c r="V950">
        <f>Matchs!K951</f>
        <v>0</v>
      </c>
      <c r="W950" s="6" t="str">
        <f t="shared" si="277"/>
        <v>,GGoal=</v>
      </c>
      <c r="X950">
        <f>Matchs!L951</f>
        <v>0</v>
      </c>
      <c r="Y950" s="6" t="str">
        <f t="shared" si="278"/>
        <v>,GTeam= "</v>
      </c>
      <c r="Z950">
        <f>Matchs!M951</f>
        <v>0</v>
      </c>
      <c r="AA950" s="6" t="str">
        <f t="shared" si="279"/>
        <v>",WinNote="</v>
      </c>
      <c r="AB950" t="str">
        <f>IF(Matchs!N951="","",Matchs!N951)</f>
        <v/>
      </c>
      <c r="AC950" s="6" t="str">
        <f t="shared" si="280"/>
        <v xml:space="preserve">",Stadium=" </v>
      </c>
      <c r="AD950" s="11">
        <f>Matchs!O951</f>
        <v>0</v>
      </c>
      <c r="AE950" s="6" t="str">
        <f t="shared" si="281"/>
        <v>",Referee= "</v>
      </c>
      <c r="AF950" s="11">
        <f>Matchs!P951</f>
        <v>0</v>
      </c>
      <c r="AG950" s="6" t="str">
        <f t="shared" si="282"/>
        <v xml:space="preserve">",Visistors= </v>
      </c>
      <c r="AH950" s="11">
        <f>Matchs!Q951</f>
        <v>0</v>
      </c>
      <c r="AI950" s="11" t="str">
        <f t="shared" si="283"/>
        <v>,Status= "</v>
      </c>
      <c r="AJ950" s="11">
        <f>Matchs!R951</f>
        <v>0</v>
      </c>
      <c r="AK950" t="str">
        <f t="shared" si="284"/>
        <v>" },</v>
      </c>
    </row>
    <row r="951" spans="1:37" x14ac:dyDescent="0.25">
      <c r="A951" t="str">
        <f t="shared" si="266"/>
        <v>new Match { MatchId= "</v>
      </c>
      <c r="B951">
        <f>Matchs!A952</f>
        <v>0</v>
      </c>
      <c r="C951" t="str">
        <f t="shared" si="267"/>
        <v>",MatchNumer=</v>
      </c>
      <c r="D951">
        <f>Matchs!B952</f>
        <v>0</v>
      </c>
      <c r="E951" t="str">
        <f t="shared" si="268"/>
        <v>,DateMatch=DateTime.Parse("</v>
      </c>
      <c r="F951" s="3">
        <f>Matchs!C952</f>
        <v>0</v>
      </c>
      <c r="G951" s="10" t="str">
        <f t="shared" si="269"/>
        <v>"),TimeMatch=TimeSpan.Parse("</v>
      </c>
      <c r="H951" s="9">
        <f>Matchs!D952</f>
        <v>0</v>
      </c>
      <c r="I951" t="str">
        <f t="shared" si="270"/>
        <v>"),MatchYear=</v>
      </c>
      <c r="J951">
        <f>Matchs!E952</f>
        <v>0</v>
      </c>
      <c r="K951" t="str">
        <f t="shared" si="271"/>
        <v>, SeasonId= "</v>
      </c>
      <c r="L951">
        <f>Matchs!F952</f>
        <v>0</v>
      </c>
      <c r="M951" t="str">
        <f t="shared" si="272"/>
        <v>",Round= "</v>
      </c>
      <c r="N951">
        <f>Matchs!G952</f>
        <v>0</v>
      </c>
      <c r="O951" s="6" t="str">
        <f t="shared" si="273"/>
        <v>",Stage= "</v>
      </c>
      <c r="P951">
        <f>Matchs!H952</f>
        <v>0</v>
      </c>
      <c r="Q951" s="6" t="str">
        <f t="shared" si="274"/>
        <v>",SubStage= "</v>
      </c>
      <c r="R951">
        <f>Matchs!I952</f>
        <v>0</v>
      </c>
      <c r="S951" s="6" t="str">
        <f t="shared" si="275"/>
        <v>",HTeam= "</v>
      </c>
      <c r="T951">
        <f>Matchs!J952</f>
        <v>0</v>
      </c>
      <c r="U951" s="6" t="str">
        <f t="shared" si="276"/>
        <v>",HGoal=</v>
      </c>
      <c r="V951">
        <f>Matchs!K952</f>
        <v>0</v>
      </c>
      <c r="W951" s="6" t="str">
        <f t="shared" si="277"/>
        <v>,GGoal=</v>
      </c>
      <c r="X951">
        <f>Matchs!L952</f>
        <v>0</v>
      </c>
      <c r="Y951" s="6" t="str">
        <f t="shared" si="278"/>
        <v>,GTeam= "</v>
      </c>
      <c r="Z951">
        <f>Matchs!M952</f>
        <v>0</v>
      </c>
      <c r="AA951" s="6" t="str">
        <f t="shared" si="279"/>
        <v>",WinNote="</v>
      </c>
      <c r="AB951" t="str">
        <f>IF(Matchs!N952="","",Matchs!N952)</f>
        <v/>
      </c>
      <c r="AC951" s="6" t="str">
        <f t="shared" si="280"/>
        <v xml:space="preserve">",Stadium=" </v>
      </c>
      <c r="AD951" s="11">
        <f>Matchs!O952</f>
        <v>0</v>
      </c>
      <c r="AE951" s="6" t="str">
        <f t="shared" si="281"/>
        <v>",Referee= "</v>
      </c>
      <c r="AF951" s="11">
        <f>Matchs!P952</f>
        <v>0</v>
      </c>
      <c r="AG951" s="6" t="str">
        <f t="shared" si="282"/>
        <v xml:space="preserve">",Visistors= </v>
      </c>
      <c r="AH951" s="11">
        <f>Matchs!Q952</f>
        <v>0</v>
      </c>
      <c r="AI951" s="11" t="str">
        <f t="shared" si="283"/>
        <v>,Status= "</v>
      </c>
      <c r="AJ951" s="11">
        <f>Matchs!R952</f>
        <v>0</v>
      </c>
      <c r="AK951" t="str">
        <f t="shared" si="284"/>
        <v>" },</v>
      </c>
    </row>
    <row r="952" spans="1:37" x14ac:dyDescent="0.25">
      <c r="A952" t="str">
        <f t="shared" si="266"/>
        <v>new Match { MatchId= "</v>
      </c>
      <c r="B952">
        <f>Matchs!A953</f>
        <v>0</v>
      </c>
      <c r="C952" t="str">
        <f t="shared" si="267"/>
        <v>",MatchNumer=</v>
      </c>
      <c r="D952">
        <f>Matchs!B953</f>
        <v>0</v>
      </c>
      <c r="E952" t="str">
        <f t="shared" si="268"/>
        <v>,DateMatch=DateTime.Parse("</v>
      </c>
      <c r="F952" s="3">
        <f>Matchs!C953</f>
        <v>0</v>
      </c>
      <c r="G952" s="10" t="str">
        <f t="shared" si="269"/>
        <v>"),TimeMatch=TimeSpan.Parse("</v>
      </c>
      <c r="H952" s="9">
        <f>Matchs!D953</f>
        <v>0</v>
      </c>
      <c r="I952" t="str">
        <f t="shared" si="270"/>
        <v>"),MatchYear=</v>
      </c>
      <c r="J952">
        <f>Matchs!E953</f>
        <v>0</v>
      </c>
      <c r="K952" t="str">
        <f t="shared" si="271"/>
        <v>, SeasonId= "</v>
      </c>
      <c r="L952">
        <f>Matchs!F953</f>
        <v>0</v>
      </c>
      <c r="M952" t="str">
        <f t="shared" si="272"/>
        <v>",Round= "</v>
      </c>
      <c r="N952">
        <f>Matchs!G953</f>
        <v>0</v>
      </c>
      <c r="O952" s="6" t="str">
        <f t="shared" si="273"/>
        <v>",Stage= "</v>
      </c>
      <c r="P952">
        <f>Matchs!H953</f>
        <v>0</v>
      </c>
      <c r="Q952" s="6" t="str">
        <f t="shared" si="274"/>
        <v>",SubStage= "</v>
      </c>
      <c r="R952">
        <f>Matchs!I953</f>
        <v>0</v>
      </c>
      <c r="S952" s="6" t="str">
        <f t="shared" si="275"/>
        <v>",HTeam= "</v>
      </c>
      <c r="T952">
        <f>Matchs!J953</f>
        <v>0</v>
      </c>
      <c r="U952" s="6" t="str">
        <f t="shared" si="276"/>
        <v>",HGoal=</v>
      </c>
      <c r="V952">
        <f>Matchs!K953</f>
        <v>0</v>
      </c>
      <c r="W952" s="6" t="str">
        <f t="shared" si="277"/>
        <v>,GGoal=</v>
      </c>
      <c r="X952">
        <f>Matchs!L953</f>
        <v>0</v>
      </c>
      <c r="Y952" s="6" t="str">
        <f t="shared" si="278"/>
        <v>,GTeam= "</v>
      </c>
      <c r="Z952">
        <f>Matchs!M953</f>
        <v>0</v>
      </c>
      <c r="AA952" s="6" t="str">
        <f t="shared" si="279"/>
        <v>",WinNote="</v>
      </c>
      <c r="AB952" t="str">
        <f>IF(Matchs!N953="","",Matchs!N953)</f>
        <v/>
      </c>
      <c r="AC952" s="6" t="str">
        <f t="shared" si="280"/>
        <v xml:space="preserve">",Stadium=" </v>
      </c>
      <c r="AD952" s="11">
        <f>Matchs!O953</f>
        <v>0</v>
      </c>
      <c r="AE952" s="6" t="str">
        <f t="shared" si="281"/>
        <v>",Referee= "</v>
      </c>
      <c r="AF952" s="11">
        <f>Matchs!P953</f>
        <v>0</v>
      </c>
      <c r="AG952" s="6" t="str">
        <f t="shared" si="282"/>
        <v xml:space="preserve">",Visistors= </v>
      </c>
      <c r="AH952" s="11">
        <f>Matchs!Q953</f>
        <v>0</v>
      </c>
      <c r="AI952" s="11" t="str">
        <f t="shared" si="283"/>
        <v>,Status= "</v>
      </c>
      <c r="AJ952" s="11">
        <f>Matchs!R953</f>
        <v>0</v>
      </c>
      <c r="AK952" t="str">
        <f t="shared" si="284"/>
        <v>" },</v>
      </c>
    </row>
    <row r="953" spans="1:37" x14ac:dyDescent="0.25">
      <c r="A953" t="str">
        <f t="shared" si="266"/>
        <v>new Match { MatchId= "</v>
      </c>
      <c r="B953">
        <f>Matchs!A954</f>
        <v>0</v>
      </c>
      <c r="C953" t="str">
        <f t="shared" si="267"/>
        <v>",MatchNumer=</v>
      </c>
      <c r="D953">
        <f>Matchs!B954</f>
        <v>0</v>
      </c>
      <c r="E953" t="str">
        <f t="shared" si="268"/>
        <v>,DateMatch=DateTime.Parse("</v>
      </c>
      <c r="F953" s="3">
        <f>Matchs!C954</f>
        <v>0</v>
      </c>
      <c r="G953" s="10" t="str">
        <f t="shared" si="269"/>
        <v>"),TimeMatch=TimeSpan.Parse("</v>
      </c>
      <c r="H953" s="9">
        <f>Matchs!D954</f>
        <v>0</v>
      </c>
      <c r="I953" t="str">
        <f t="shared" si="270"/>
        <v>"),MatchYear=</v>
      </c>
      <c r="J953">
        <f>Matchs!E954</f>
        <v>0</v>
      </c>
      <c r="K953" t="str">
        <f t="shared" si="271"/>
        <v>, SeasonId= "</v>
      </c>
      <c r="L953">
        <f>Matchs!F954</f>
        <v>0</v>
      </c>
      <c r="M953" t="str">
        <f t="shared" si="272"/>
        <v>",Round= "</v>
      </c>
      <c r="N953">
        <f>Matchs!G954</f>
        <v>0</v>
      </c>
      <c r="O953" s="6" t="str">
        <f t="shared" si="273"/>
        <v>",Stage= "</v>
      </c>
      <c r="P953">
        <f>Matchs!H954</f>
        <v>0</v>
      </c>
      <c r="Q953" s="6" t="str">
        <f t="shared" si="274"/>
        <v>",SubStage= "</v>
      </c>
      <c r="R953">
        <f>Matchs!I954</f>
        <v>0</v>
      </c>
      <c r="S953" s="6" t="str">
        <f t="shared" si="275"/>
        <v>",HTeam= "</v>
      </c>
      <c r="T953">
        <f>Matchs!J954</f>
        <v>0</v>
      </c>
      <c r="U953" s="6" t="str">
        <f t="shared" si="276"/>
        <v>",HGoal=</v>
      </c>
      <c r="V953">
        <f>Matchs!K954</f>
        <v>0</v>
      </c>
      <c r="W953" s="6" t="str">
        <f t="shared" si="277"/>
        <v>,GGoal=</v>
      </c>
      <c r="X953">
        <f>Matchs!L954</f>
        <v>0</v>
      </c>
      <c r="Y953" s="6" t="str">
        <f t="shared" si="278"/>
        <v>,GTeam= "</v>
      </c>
      <c r="Z953">
        <f>Matchs!M954</f>
        <v>0</v>
      </c>
      <c r="AA953" s="6" t="str">
        <f t="shared" si="279"/>
        <v>",WinNote="</v>
      </c>
      <c r="AB953" t="str">
        <f>IF(Matchs!N954="","",Matchs!N954)</f>
        <v/>
      </c>
      <c r="AC953" s="6" t="str">
        <f t="shared" si="280"/>
        <v xml:space="preserve">",Stadium=" </v>
      </c>
      <c r="AD953" s="11">
        <f>Matchs!O954</f>
        <v>0</v>
      </c>
      <c r="AE953" s="6" t="str">
        <f t="shared" si="281"/>
        <v>",Referee= "</v>
      </c>
      <c r="AF953" s="11">
        <f>Matchs!P954</f>
        <v>0</v>
      </c>
      <c r="AG953" s="6" t="str">
        <f t="shared" si="282"/>
        <v xml:space="preserve">",Visistors= </v>
      </c>
      <c r="AH953" s="11">
        <f>Matchs!Q954</f>
        <v>0</v>
      </c>
      <c r="AI953" s="11" t="str">
        <f t="shared" si="283"/>
        <v>,Status= "</v>
      </c>
      <c r="AJ953" s="11">
        <f>Matchs!R954</f>
        <v>0</v>
      </c>
      <c r="AK953" t="str">
        <f t="shared" si="284"/>
        <v>" },</v>
      </c>
    </row>
    <row r="954" spans="1:37" x14ac:dyDescent="0.25">
      <c r="A954" t="str">
        <f t="shared" si="266"/>
        <v>new Match { MatchId= "</v>
      </c>
      <c r="B954">
        <f>Matchs!A955</f>
        <v>0</v>
      </c>
      <c r="C954" t="str">
        <f t="shared" si="267"/>
        <v>",MatchNumer=</v>
      </c>
      <c r="D954">
        <f>Matchs!B955</f>
        <v>0</v>
      </c>
      <c r="E954" t="str">
        <f t="shared" si="268"/>
        <v>,DateMatch=DateTime.Parse("</v>
      </c>
      <c r="F954" s="3">
        <f>Matchs!C955</f>
        <v>0</v>
      </c>
      <c r="G954" s="10" t="str">
        <f t="shared" si="269"/>
        <v>"),TimeMatch=TimeSpan.Parse("</v>
      </c>
      <c r="H954" s="9">
        <f>Matchs!D955</f>
        <v>0</v>
      </c>
      <c r="I954" t="str">
        <f t="shared" si="270"/>
        <v>"),MatchYear=</v>
      </c>
      <c r="J954">
        <f>Matchs!E955</f>
        <v>0</v>
      </c>
      <c r="K954" t="str">
        <f t="shared" si="271"/>
        <v>, SeasonId= "</v>
      </c>
      <c r="L954">
        <f>Matchs!F955</f>
        <v>0</v>
      </c>
      <c r="M954" t="str">
        <f t="shared" si="272"/>
        <v>",Round= "</v>
      </c>
      <c r="N954">
        <f>Matchs!G955</f>
        <v>0</v>
      </c>
      <c r="O954" s="6" t="str">
        <f t="shared" si="273"/>
        <v>",Stage= "</v>
      </c>
      <c r="P954">
        <f>Matchs!H955</f>
        <v>0</v>
      </c>
      <c r="Q954" s="6" t="str">
        <f t="shared" si="274"/>
        <v>",SubStage= "</v>
      </c>
      <c r="R954">
        <f>Matchs!I955</f>
        <v>0</v>
      </c>
      <c r="S954" s="6" t="str">
        <f t="shared" si="275"/>
        <v>",HTeam= "</v>
      </c>
      <c r="T954">
        <f>Matchs!J955</f>
        <v>0</v>
      </c>
      <c r="U954" s="6" t="str">
        <f t="shared" si="276"/>
        <v>",HGoal=</v>
      </c>
      <c r="V954">
        <f>Matchs!K955</f>
        <v>0</v>
      </c>
      <c r="W954" s="6" t="str">
        <f t="shared" si="277"/>
        <v>,GGoal=</v>
      </c>
      <c r="X954">
        <f>Matchs!L955</f>
        <v>0</v>
      </c>
      <c r="Y954" s="6" t="str">
        <f t="shared" si="278"/>
        <v>,GTeam= "</v>
      </c>
      <c r="Z954">
        <f>Matchs!M955</f>
        <v>0</v>
      </c>
      <c r="AA954" s="6" t="str">
        <f t="shared" si="279"/>
        <v>",WinNote="</v>
      </c>
      <c r="AB954" t="str">
        <f>IF(Matchs!N955="","",Matchs!N955)</f>
        <v/>
      </c>
      <c r="AC954" s="6" t="str">
        <f t="shared" si="280"/>
        <v xml:space="preserve">",Stadium=" </v>
      </c>
      <c r="AD954" s="11">
        <f>Matchs!O955</f>
        <v>0</v>
      </c>
      <c r="AE954" s="6" t="str">
        <f t="shared" si="281"/>
        <v>",Referee= "</v>
      </c>
      <c r="AF954" s="11">
        <f>Matchs!P955</f>
        <v>0</v>
      </c>
      <c r="AG954" s="6" t="str">
        <f t="shared" si="282"/>
        <v xml:space="preserve">",Visistors= </v>
      </c>
      <c r="AH954" s="11">
        <f>Matchs!Q955</f>
        <v>0</v>
      </c>
      <c r="AI954" s="11" t="str">
        <f t="shared" si="283"/>
        <v>,Status= "</v>
      </c>
      <c r="AJ954" s="11">
        <f>Matchs!R955</f>
        <v>0</v>
      </c>
      <c r="AK954" t="str">
        <f t="shared" si="284"/>
        <v>" },</v>
      </c>
    </row>
    <row r="955" spans="1:37" x14ac:dyDescent="0.25">
      <c r="A955" t="str">
        <f t="shared" si="266"/>
        <v>new Match { MatchId= "</v>
      </c>
      <c r="B955">
        <f>Matchs!A956</f>
        <v>0</v>
      </c>
      <c r="C955" t="str">
        <f t="shared" si="267"/>
        <v>",MatchNumer=</v>
      </c>
      <c r="D955">
        <f>Matchs!B956</f>
        <v>0</v>
      </c>
      <c r="E955" t="str">
        <f t="shared" si="268"/>
        <v>,DateMatch=DateTime.Parse("</v>
      </c>
      <c r="F955" s="3">
        <f>Matchs!C956</f>
        <v>0</v>
      </c>
      <c r="G955" s="10" t="str">
        <f t="shared" si="269"/>
        <v>"),TimeMatch=TimeSpan.Parse("</v>
      </c>
      <c r="H955" s="9">
        <f>Matchs!D956</f>
        <v>0</v>
      </c>
      <c r="I955" t="str">
        <f t="shared" si="270"/>
        <v>"),MatchYear=</v>
      </c>
      <c r="J955">
        <f>Matchs!E956</f>
        <v>0</v>
      </c>
      <c r="K955" t="str">
        <f t="shared" si="271"/>
        <v>, SeasonId= "</v>
      </c>
      <c r="L955">
        <f>Matchs!F956</f>
        <v>0</v>
      </c>
      <c r="M955" t="str">
        <f t="shared" si="272"/>
        <v>",Round= "</v>
      </c>
      <c r="N955">
        <f>Matchs!G956</f>
        <v>0</v>
      </c>
      <c r="O955" s="6" t="str">
        <f t="shared" si="273"/>
        <v>",Stage= "</v>
      </c>
      <c r="P955">
        <f>Matchs!H956</f>
        <v>0</v>
      </c>
      <c r="Q955" s="6" t="str">
        <f t="shared" si="274"/>
        <v>",SubStage= "</v>
      </c>
      <c r="R955">
        <f>Matchs!I956</f>
        <v>0</v>
      </c>
      <c r="S955" s="6" t="str">
        <f t="shared" si="275"/>
        <v>",HTeam= "</v>
      </c>
      <c r="T955">
        <f>Matchs!J956</f>
        <v>0</v>
      </c>
      <c r="U955" s="6" t="str">
        <f t="shared" si="276"/>
        <v>",HGoal=</v>
      </c>
      <c r="V955">
        <f>Matchs!K956</f>
        <v>0</v>
      </c>
      <c r="W955" s="6" t="str">
        <f t="shared" si="277"/>
        <v>,GGoal=</v>
      </c>
      <c r="X955">
        <f>Matchs!L956</f>
        <v>0</v>
      </c>
      <c r="Y955" s="6" t="str">
        <f t="shared" si="278"/>
        <v>,GTeam= "</v>
      </c>
      <c r="Z955">
        <f>Matchs!M956</f>
        <v>0</v>
      </c>
      <c r="AA955" s="6" t="str">
        <f t="shared" si="279"/>
        <v>",WinNote="</v>
      </c>
      <c r="AB955" t="str">
        <f>IF(Matchs!N956="","",Matchs!N956)</f>
        <v/>
      </c>
      <c r="AC955" s="6" t="str">
        <f t="shared" si="280"/>
        <v xml:space="preserve">",Stadium=" </v>
      </c>
      <c r="AD955" s="11">
        <f>Matchs!O956</f>
        <v>0</v>
      </c>
      <c r="AE955" s="6" t="str">
        <f t="shared" si="281"/>
        <v>",Referee= "</v>
      </c>
      <c r="AF955" s="11">
        <f>Matchs!P956</f>
        <v>0</v>
      </c>
      <c r="AG955" s="6" t="str">
        <f t="shared" si="282"/>
        <v xml:space="preserve">",Visistors= </v>
      </c>
      <c r="AH955" s="11">
        <f>Matchs!Q956</f>
        <v>0</v>
      </c>
      <c r="AI955" s="11" t="str">
        <f t="shared" si="283"/>
        <v>,Status= "</v>
      </c>
      <c r="AJ955" s="11">
        <f>Matchs!R956</f>
        <v>0</v>
      </c>
      <c r="AK955" t="str">
        <f t="shared" si="284"/>
        <v>" },</v>
      </c>
    </row>
    <row r="956" spans="1:37" x14ac:dyDescent="0.25">
      <c r="A956" t="str">
        <f t="shared" si="266"/>
        <v>new Match { MatchId= "</v>
      </c>
      <c r="B956">
        <f>Matchs!A957</f>
        <v>0</v>
      </c>
      <c r="C956" t="str">
        <f t="shared" si="267"/>
        <v>",MatchNumer=</v>
      </c>
      <c r="D956">
        <f>Matchs!B957</f>
        <v>0</v>
      </c>
      <c r="E956" t="str">
        <f t="shared" si="268"/>
        <v>,DateMatch=DateTime.Parse("</v>
      </c>
      <c r="F956" s="3">
        <f>Matchs!C957</f>
        <v>0</v>
      </c>
      <c r="G956" s="10" t="str">
        <f t="shared" si="269"/>
        <v>"),TimeMatch=TimeSpan.Parse("</v>
      </c>
      <c r="H956" s="9">
        <f>Matchs!D957</f>
        <v>0</v>
      </c>
      <c r="I956" t="str">
        <f t="shared" si="270"/>
        <v>"),MatchYear=</v>
      </c>
      <c r="J956">
        <f>Matchs!E957</f>
        <v>0</v>
      </c>
      <c r="K956" t="str">
        <f t="shared" si="271"/>
        <v>, SeasonId= "</v>
      </c>
      <c r="L956">
        <f>Matchs!F957</f>
        <v>0</v>
      </c>
      <c r="M956" t="str">
        <f t="shared" si="272"/>
        <v>",Round= "</v>
      </c>
      <c r="N956">
        <f>Matchs!G957</f>
        <v>0</v>
      </c>
      <c r="O956" s="6" t="str">
        <f t="shared" si="273"/>
        <v>",Stage= "</v>
      </c>
      <c r="P956">
        <f>Matchs!H957</f>
        <v>0</v>
      </c>
      <c r="Q956" s="6" t="str">
        <f t="shared" si="274"/>
        <v>",SubStage= "</v>
      </c>
      <c r="R956">
        <f>Matchs!I957</f>
        <v>0</v>
      </c>
      <c r="S956" s="6" t="str">
        <f t="shared" si="275"/>
        <v>",HTeam= "</v>
      </c>
      <c r="T956">
        <f>Matchs!J957</f>
        <v>0</v>
      </c>
      <c r="U956" s="6" t="str">
        <f t="shared" si="276"/>
        <v>",HGoal=</v>
      </c>
      <c r="V956">
        <f>Matchs!K957</f>
        <v>0</v>
      </c>
      <c r="W956" s="6" t="str">
        <f t="shared" si="277"/>
        <v>,GGoal=</v>
      </c>
      <c r="X956">
        <f>Matchs!L957</f>
        <v>0</v>
      </c>
      <c r="Y956" s="6" t="str">
        <f t="shared" si="278"/>
        <v>,GTeam= "</v>
      </c>
      <c r="Z956">
        <f>Matchs!M957</f>
        <v>0</v>
      </c>
      <c r="AA956" s="6" t="str">
        <f t="shared" si="279"/>
        <v>",WinNote="</v>
      </c>
      <c r="AB956" t="str">
        <f>IF(Matchs!N957="","",Matchs!N957)</f>
        <v/>
      </c>
      <c r="AC956" s="6" t="str">
        <f t="shared" si="280"/>
        <v xml:space="preserve">",Stadium=" </v>
      </c>
      <c r="AD956" s="11">
        <f>Matchs!O957</f>
        <v>0</v>
      </c>
      <c r="AE956" s="6" t="str">
        <f t="shared" si="281"/>
        <v>",Referee= "</v>
      </c>
      <c r="AF956" s="11">
        <f>Matchs!P957</f>
        <v>0</v>
      </c>
      <c r="AG956" s="6" t="str">
        <f t="shared" si="282"/>
        <v xml:space="preserve">",Visistors= </v>
      </c>
      <c r="AH956" s="11">
        <f>Matchs!Q957</f>
        <v>0</v>
      </c>
      <c r="AI956" s="11" t="str">
        <f t="shared" si="283"/>
        <v>,Status= "</v>
      </c>
      <c r="AJ956" s="11">
        <f>Matchs!R957</f>
        <v>0</v>
      </c>
      <c r="AK956" t="str">
        <f t="shared" si="284"/>
        <v>" },</v>
      </c>
    </row>
    <row r="957" spans="1:37" x14ac:dyDescent="0.25">
      <c r="A957" t="str">
        <f t="shared" si="266"/>
        <v>new Match { MatchId= "</v>
      </c>
      <c r="B957">
        <f>Matchs!A958</f>
        <v>0</v>
      </c>
      <c r="C957" t="str">
        <f t="shared" si="267"/>
        <v>",MatchNumer=</v>
      </c>
      <c r="D957">
        <f>Matchs!B958</f>
        <v>0</v>
      </c>
      <c r="E957" t="str">
        <f t="shared" si="268"/>
        <v>,DateMatch=DateTime.Parse("</v>
      </c>
      <c r="F957" s="3">
        <f>Matchs!C958</f>
        <v>0</v>
      </c>
      <c r="G957" s="10" t="str">
        <f t="shared" si="269"/>
        <v>"),TimeMatch=TimeSpan.Parse("</v>
      </c>
      <c r="H957" s="9">
        <f>Matchs!D958</f>
        <v>0</v>
      </c>
      <c r="I957" t="str">
        <f t="shared" si="270"/>
        <v>"),MatchYear=</v>
      </c>
      <c r="J957">
        <f>Matchs!E958</f>
        <v>0</v>
      </c>
      <c r="K957" t="str">
        <f t="shared" si="271"/>
        <v>, SeasonId= "</v>
      </c>
      <c r="L957">
        <f>Matchs!F958</f>
        <v>0</v>
      </c>
      <c r="M957" t="str">
        <f t="shared" si="272"/>
        <v>",Round= "</v>
      </c>
      <c r="N957">
        <f>Matchs!G958</f>
        <v>0</v>
      </c>
      <c r="O957" s="6" t="str">
        <f t="shared" si="273"/>
        <v>",Stage= "</v>
      </c>
      <c r="P957">
        <f>Matchs!H958</f>
        <v>0</v>
      </c>
      <c r="Q957" s="6" t="str">
        <f t="shared" si="274"/>
        <v>",SubStage= "</v>
      </c>
      <c r="R957">
        <f>Matchs!I958</f>
        <v>0</v>
      </c>
      <c r="S957" s="6" t="str">
        <f t="shared" si="275"/>
        <v>",HTeam= "</v>
      </c>
      <c r="T957">
        <f>Matchs!J958</f>
        <v>0</v>
      </c>
      <c r="U957" s="6" t="str">
        <f t="shared" si="276"/>
        <v>",HGoal=</v>
      </c>
      <c r="V957">
        <f>Matchs!K958</f>
        <v>0</v>
      </c>
      <c r="W957" s="6" t="str">
        <f t="shared" si="277"/>
        <v>,GGoal=</v>
      </c>
      <c r="X957">
        <f>Matchs!L958</f>
        <v>0</v>
      </c>
      <c r="Y957" s="6" t="str">
        <f t="shared" si="278"/>
        <v>,GTeam= "</v>
      </c>
      <c r="Z957">
        <f>Matchs!M958</f>
        <v>0</v>
      </c>
      <c r="AA957" s="6" t="str">
        <f t="shared" si="279"/>
        <v>",WinNote="</v>
      </c>
      <c r="AB957" t="str">
        <f>IF(Matchs!N958="","",Matchs!N958)</f>
        <v/>
      </c>
      <c r="AC957" s="6" t="str">
        <f t="shared" si="280"/>
        <v xml:space="preserve">",Stadium=" </v>
      </c>
      <c r="AD957" s="11">
        <f>Matchs!O958</f>
        <v>0</v>
      </c>
      <c r="AE957" s="6" t="str">
        <f t="shared" si="281"/>
        <v>",Referee= "</v>
      </c>
      <c r="AF957" s="11">
        <f>Matchs!P958</f>
        <v>0</v>
      </c>
      <c r="AG957" s="6" t="str">
        <f t="shared" si="282"/>
        <v xml:space="preserve">",Visistors= </v>
      </c>
      <c r="AH957" s="11">
        <f>Matchs!Q958</f>
        <v>0</v>
      </c>
      <c r="AI957" s="11" t="str">
        <f t="shared" si="283"/>
        <v>,Status= "</v>
      </c>
      <c r="AJ957" s="11">
        <f>Matchs!R958</f>
        <v>0</v>
      </c>
      <c r="AK957" t="str">
        <f t="shared" si="284"/>
        <v>" },</v>
      </c>
    </row>
    <row r="958" spans="1:37" x14ac:dyDescent="0.25">
      <c r="A958" t="str">
        <f t="shared" si="266"/>
        <v>new Match { MatchId= "</v>
      </c>
      <c r="B958">
        <f>Matchs!A959</f>
        <v>0</v>
      </c>
      <c r="C958" t="str">
        <f t="shared" si="267"/>
        <v>",MatchNumer=</v>
      </c>
      <c r="D958">
        <f>Matchs!B959</f>
        <v>0</v>
      </c>
      <c r="E958" t="str">
        <f t="shared" si="268"/>
        <v>,DateMatch=DateTime.Parse("</v>
      </c>
      <c r="F958" s="3">
        <f>Matchs!C959</f>
        <v>0</v>
      </c>
      <c r="G958" s="10" t="str">
        <f t="shared" si="269"/>
        <v>"),TimeMatch=TimeSpan.Parse("</v>
      </c>
      <c r="H958" s="9">
        <f>Matchs!D959</f>
        <v>0</v>
      </c>
      <c r="I958" t="str">
        <f t="shared" si="270"/>
        <v>"),MatchYear=</v>
      </c>
      <c r="J958">
        <f>Matchs!E959</f>
        <v>0</v>
      </c>
      <c r="K958" t="str">
        <f t="shared" si="271"/>
        <v>, SeasonId= "</v>
      </c>
      <c r="L958">
        <f>Matchs!F959</f>
        <v>0</v>
      </c>
      <c r="M958" t="str">
        <f t="shared" si="272"/>
        <v>",Round= "</v>
      </c>
      <c r="N958">
        <f>Matchs!G959</f>
        <v>0</v>
      </c>
      <c r="O958" s="6" t="str">
        <f t="shared" si="273"/>
        <v>",Stage= "</v>
      </c>
      <c r="P958">
        <f>Matchs!H959</f>
        <v>0</v>
      </c>
      <c r="Q958" s="6" t="str">
        <f t="shared" si="274"/>
        <v>",SubStage= "</v>
      </c>
      <c r="R958">
        <f>Matchs!I959</f>
        <v>0</v>
      </c>
      <c r="S958" s="6" t="str">
        <f t="shared" si="275"/>
        <v>",HTeam= "</v>
      </c>
      <c r="T958">
        <f>Matchs!J959</f>
        <v>0</v>
      </c>
      <c r="U958" s="6" t="str">
        <f t="shared" si="276"/>
        <v>",HGoal=</v>
      </c>
      <c r="V958">
        <f>Matchs!K959</f>
        <v>0</v>
      </c>
      <c r="W958" s="6" t="str">
        <f t="shared" si="277"/>
        <v>,GGoal=</v>
      </c>
      <c r="X958">
        <f>Matchs!L959</f>
        <v>0</v>
      </c>
      <c r="Y958" s="6" t="str">
        <f t="shared" si="278"/>
        <v>,GTeam= "</v>
      </c>
      <c r="Z958">
        <f>Matchs!M959</f>
        <v>0</v>
      </c>
      <c r="AA958" s="6" t="str">
        <f t="shared" si="279"/>
        <v>",WinNote="</v>
      </c>
      <c r="AB958" t="str">
        <f>IF(Matchs!N959="","",Matchs!N959)</f>
        <v/>
      </c>
      <c r="AC958" s="6" t="str">
        <f t="shared" si="280"/>
        <v xml:space="preserve">",Stadium=" </v>
      </c>
      <c r="AD958" s="11">
        <f>Matchs!O959</f>
        <v>0</v>
      </c>
      <c r="AE958" s="6" t="str">
        <f t="shared" si="281"/>
        <v>",Referee= "</v>
      </c>
      <c r="AF958" s="11">
        <f>Matchs!P959</f>
        <v>0</v>
      </c>
      <c r="AG958" s="6" t="str">
        <f t="shared" si="282"/>
        <v xml:space="preserve">",Visistors= </v>
      </c>
      <c r="AH958" s="11">
        <f>Matchs!Q959</f>
        <v>0</v>
      </c>
      <c r="AI958" s="11" t="str">
        <f t="shared" si="283"/>
        <v>,Status= "</v>
      </c>
      <c r="AJ958" s="11">
        <f>Matchs!R959</f>
        <v>0</v>
      </c>
      <c r="AK958" t="str">
        <f t="shared" si="284"/>
        <v>" },</v>
      </c>
    </row>
    <row r="959" spans="1:37" x14ac:dyDescent="0.25">
      <c r="A959" t="str">
        <f t="shared" si="266"/>
        <v>new Match { MatchId= "</v>
      </c>
      <c r="B959">
        <f>Matchs!A960</f>
        <v>0</v>
      </c>
      <c r="C959" t="str">
        <f t="shared" si="267"/>
        <v>",MatchNumer=</v>
      </c>
      <c r="D959">
        <f>Matchs!B960</f>
        <v>0</v>
      </c>
      <c r="E959" t="str">
        <f t="shared" si="268"/>
        <v>,DateMatch=DateTime.Parse("</v>
      </c>
      <c r="F959" s="3">
        <f>Matchs!C960</f>
        <v>0</v>
      </c>
      <c r="G959" s="10" t="str">
        <f t="shared" si="269"/>
        <v>"),TimeMatch=TimeSpan.Parse("</v>
      </c>
      <c r="H959" s="9">
        <f>Matchs!D960</f>
        <v>0</v>
      </c>
      <c r="I959" t="str">
        <f t="shared" si="270"/>
        <v>"),MatchYear=</v>
      </c>
      <c r="J959">
        <f>Matchs!E960</f>
        <v>0</v>
      </c>
      <c r="K959" t="str">
        <f t="shared" si="271"/>
        <v>, SeasonId= "</v>
      </c>
      <c r="L959">
        <f>Matchs!F960</f>
        <v>0</v>
      </c>
      <c r="M959" t="str">
        <f t="shared" si="272"/>
        <v>",Round= "</v>
      </c>
      <c r="N959">
        <f>Matchs!G960</f>
        <v>0</v>
      </c>
      <c r="O959" s="6" t="str">
        <f t="shared" si="273"/>
        <v>",Stage= "</v>
      </c>
      <c r="P959">
        <f>Matchs!H960</f>
        <v>0</v>
      </c>
      <c r="Q959" s="6" t="str">
        <f t="shared" si="274"/>
        <v>",SubStage= "</v>
      </c>
      <c r="R959">
        <f>Matchs!I960</f>
        <v>0</v>
      </c>
      <c r="S959" s="6" t="str">
        <f t="shared" si="275"/>
        <v>",HTeam= "</v>
      </c>
      <c r="T959">
        <f>Matchs!J960</f>
        <v>0</v>
      </c>
      <c r="U959" s="6" t="str">
        <f t="shared" si="276"/>
        <v>",HGoal=</v>
      </c>
      <c r="V959">
        <f>Matchs!K960</f>
        <v>0</v>
      </c>
      <c r="W959" s="6" t="str">
        <f t="shared" si="277"/>
        <v>,GGoal=</v>
      </c>
      <c r="X959">
        <f>Matchs!L960</f>
        <v>0</v>
      </c>
      <c r="Y959" s="6" t="str">
        <f t="shared" si="278"/>
        <v>,GTeam= "</v>
      </c>
      <c r="Z959">
        <f>Matchs!M960</f>
        <v>0</v>
      </c>
      <c r="AA959" s="6" t="str">
        <f t="shared" si="279"/>
        <v>",WinNote="</v>
      </c>
      <c r="AB959" t="str">
        <f>IF(Matchs!N960="","",Matchs!N960)</f>
        <v/>
      </c>
      <c r="AC959" s="6" t="str">
        <f t="shared" si="280"/>
        <v xml:space="preserve">",Stadium=" </v>
      </c>
      <c r="AD959" s="11">
        <f>Matchs!O960</f>
        <v>0</v>
      </c>
      <c r="AE959" s="6" t="str">
        <f t="shared" si="281"/>
        <v>",Referee= "</v>
      </c>
      <c r="AF959" s="11">
        <f>Matchs!P960</f>
        <v>0</v>
      </c>
      <c r="AG959" s="6" t="str">
        <f t="shared" si="282"/>
        <v xml:space="preserve">",Visistors= </v>
      </c>
      <c r="AH959" s="11">
        <f>Matchs!Q960</f>
        <v>0</v>
      </c>
      <c r="AI959" s="11" t="str">
        <f t="shared" si="283"/>
        <v>,Status= "</v>
      </c>
      <c r="AJ959" s="11">
        <f>Matchs!R960</f>
        <v>0</v>
      </c>
      <c r="AK959" t="str">
        <f t="shared" si="284"/>
        <v>" },</v>
      </c>
    </row>
    <row r="960" spans="1:37" x14ac:dyDescent="0.25">
      <c r="A960" t="str">
        <f t="shared" si="266"/>
        <v>new Match { MatchId= "</v>
      </c>
      <c r="B960">
        <f>Matchs!A961</f>
        <v>0</v>
      </c>
      <c r="C960" t="str">
        <f t="shared" si="267"/>
        <v>",MatchNumer=</v>
      </c>
      <c r="D960">
        <f>Matchs!B961</f>
        <v>0</v>
      </c>
      <c r="E960" t="str">
        <f t="shared" si="268"/>
        <v>,DateMatch=DateTime.Parse("</v>
      </c>
      <c r="F960" s="3">
        <f>Matchs!C961</f>
        <v>0</v>
      </c>
      <c r="G960" s="10" t="str">
        <f t="shared" si="269"/>
        <v>"),TimeMatch=TimeSpan.Parse("</v>
      </c>
      <c r="H960" s="9">
        <f>Matchs!D961</f>
        <v>0</v>
      </c>
      <c r="I960" t="str">
        <f t="shared" si="270"/>
        <v>"),MatchYear=</v>
      </c>
      <c r="J960">
        <f>Matchs!E961</f>
        <v>0</v>
      </c>
      <c r="K960" t="str">
        <f t="shared" si="271"/>
        <v>, SeasonId= "</v>
      </c>
      <c r="L960">
        <f>Matchs!F961</f>
        <v>0</v>
      </c>
      <c r="M960" t="str">
        <f t="shared" si="272"/>
        <v>",Round= "</v>
      </c>
      <c r="N960">
        <f>Matchs!G961</f>
        <v>0</v>
      </c>
      <c r="O960" s="6" t="str">
        <f t="shared" si="273"/>
        <v>",Stage= "</v>
      </c>
      <c r="P960">
        <f>Matchs!H961</f>
        <v>0</v>
      </c>
      <c r="Q960" s="6" t="str">
        <f t="shared" si="274"/>
        <v>",SubStage= "</v>
      </c>
      <c r="R960">
        <f>Matchs!I961</f>
        <v>0</v>
      </c>
      <c r="S960" s="6" t="str">
        <f t="shared" si="275"/>
        <v>",HTeam= "</v>
      </c>
      <c r="T960">
        <f>Matchs!J961</f>
        <v>0</v>
      </c>
      <c r="U960" s="6" t="str">
        <f t="shared" si="276"/>
        <v>",HGoal=</v>
      </c>
      <c r="V960">
        <f>Matchs!K961</f>
        <v>0</v>
      </c>
      <c r="W960" s="6" t="str">
        <f t="shared" si="277"/>
        <v>,GGoal=</v>
      </c>
      <c r="X960">
        <f>Matchs!L961</f>
        <v>0</v>
      </c>
      <c r="Y960" s="6" t="str">
        <f t="shared" si="278"/>
        <v>,GTeam= "</v>
      </c>
      <c r="Z960">
        <f>Matchs!M961</f>
        <v>0</v>
      </c>
      <c r="AA960" s="6" t="str">
        <f t="shared" si="279"/>
        <v>",WinNote="</v>
      </c>
      <c r="AB960" t="str">
        <f>IF(Matchs!N961="","",Matchs!N961)</f>
        <v/>
      </c>
      <c r="AC960" s="6" t="str">
        <f t="shared" si="280"/>
        <v xml:space="preserve">",Stadium=" </v>
      </c>
      <c r="AD960" s="11">
        <f>Matchs!O961</f>
        <v>0</v>
      </c>
      <c r="AE960" s="6" t="str">
        <f t="shared" si="281"/>
        <v>",Referee= "</v>
      </c>
      <c r="AF960" s="11">
        <f>Matchs!P961</f>
        <v>0</v>
      </c>
      <c r="AG960" s="6" t="str">
        <f t="shared" si="282"/>
        <v xml:space="preserve">",Visistors= </v>
      </c>
      <c r="AH960" s="11">
        <f>Matchs!Q961</f>
        <v>0</v>
      </c>
      <c r="AI960" s="11" t="str">
        <f t="shared" si="283"/>
        <v>,Status= "</v>
      </c>
      <c r="AJ960" s="11">
        <f>Matchs!R961</f>
        <v>0</v>
      </c>
      <c r="AK960" t="str">
        <f t="shared" si="284"/>
        <v>" },</v>
      </c>
    </row>
    <row r="961" spans="1:37" x14ac:dyDescent="0.25">
      <c r="A961" t="str">
        <f t="shared" si="266"/>
        <v>new Match { MatchId= "</v>
      </c>
      <c r="B961">
        <f>Matchs!A962</f>
        <v>0</v>
      </c>
      <c r="C961" t="str">
        <f t="shared" si="267"/>
        <v>",MatchNumer=</v>
      </c>
      <c r="D961">
        <f>Matchs!B962</f>
        <v>0</v>
      </c>
      <c r="E961" t="str">
        <f t="shared" si="268"/>
        <v>,DateMatch=DateTime.Parse("</v>
      </c>
      <c r="F961" s="3">
        <f>Matchs!C962</f>
        <v>0</v>
      </c>
      <c r="G961" s="10" t="str">
        <f t="shared" si="269"/>
        <v>"),TimeMatch=TimeSpan.Parse("</v>
      </c>
      <c r="H961" s="9">
        <f>Matchs!D962</f>
        <v>0</v>
      </c>
      <c r="I961" t="str">
        <f t="shared" si="270"/>
        <v>"),MatchYear=</v>
      </c>
      <c r="J961">
        <f>Matchs!E962</f>
        <v>0</v>
      </c>
      <c r="K961" t="str">
        <f t="shared" si="271"/>
        <v>, SeasonId= "</v>
      </c>
      <c r="L961">
        <f>Matchs!F962</f>
        <v>0</v>
      </c>
      <c r="M961" t="str">
        <f t="shared" si="272"/>
        <v>",Round= "</v>
      </c>
      <c r="N961">
        <f>Matchs!G962</f>
        <v>0</v>
      </c>
      <c r="O961" s="6" t="str">
        <f t="shared" si="273"/>
        <v>",Stage= "</v>
      </c>
      <c r="P961">
        <f>Matchs!H962</f>
        <v>0</v>
      </c>
      <c r="Q961" s="6" t="str">
        <f t="shared" si="274"/>
        <v>",SubStage= "</v>
      </c>
      <c r="R961">
        <f>Matchs!I962</f>
        <v>0</v>
      </c>
      <c r="S961" s="6" t="str">
        <f t="shared" si="275"/>
        <v>",HTeam= "</v>
      </c>
      <c r="T961">
        <f>Matchs!J962</f>
        <v>0</v>
      </c>
      <c r="U961" s="6" t="str">
        <f t="shared" si="276"/>
        <v>",HGoal=</v>
      </c>
      <c r="V961">
        <f>Matchs!K962</f>
        <v>0</v>
      </c>
      <c r="W961" s="6" t="str">
        <f t="shared" si="277"/>
        <v>,GGoal=</v>
      </c>
      <c r="X961">
        <f>Matchs!L962</f>
        <v>0</v>
      </c>
      <c r="Y961" s="6" t="str">
        <f t="shared" si="278"/>
        <v>,GTeam= "</v>
      </c>
      <c r="Z961">
        <f>Matchs!M962</f>
        <v>0</v>
      </c>
      <c r="AA961" s="6" t="str">
        <f t="shared" si="279"/>
        <v>",WinNote="</v>
      </c>
      <c r="AB961" t="str">
        <f>IF(Matchs!N962="","",Matchs!N962)</f>
        <v/>
      </c>
      <c r="AC961" s="6" t="str">
        <f t="shared" si="280"/>
        <v xml:space="preserve">",Stadium=" </v>
      </c>
      <c r="AD961" s="11">
        <f>Matchs!O962</f>
        <v>0</v>
      </c>
      <c r="AE961" s="6" t="str">
        <f t="shared" si="281"/>
        <v>",Referee= "</v>
      </c>
      <c r="AF961" s="11">
        <f>Matchs!P962</f>
        <v>0</v>
      </c>
      <c r="AG961" s="6" t="str">
        <f t="shared" si="282"/>
        <v xml:space="preserve">",Visistors= </v>
      </c>
      <c r="AH961" s="11">
        <f>Matchs!Q962</f>
        <v>0</v>
      </c>
      <c r="AI961" s="11" t="str">
        <f t="shared" si="283"/>
        <v>,Status= "</v>
      </c>
      <c r="AJ961" s="11">
        <f>Matchs!R962</f>
        <v>0</v>
      </c>
      <c r="AK961" t="str">
        <f t="shared" si="284"/>
        <v>" },</v>
      </c>
    </row>
    <row r="962" spans="1:37" x14ac:dyDescent="0.25">
      <c r="A962" t="str">
        <f t="shared" si="266"/>
        <v>new Match { MatchId= "</v>
      </c>
      <c r="B962">
        <f>Matchs!A963</f>
        <v>0</v>
      </c>
      <c r="C962" t="str">
        <f t="shared" si="267"/>
        <v>",MatchNumer=</v>
      </c>
      <c r="D962">
        <f>Matchs!B963</f>
        <v>0</v>
      </c>
      <c r="E962" t="str">
        <f t="shared" si="268"/>
        <v>,DateMatch=DateTime.Parse("</v>
      </c>
      <c r="F962" s="3">
        <f>Matchs!C963</f>
        <v>0</v>
      </c>
      <c r="G962" s="10" t="str">
        <f t="shared" si="269"/>
        <v>"),TimeMatch=TimeSpan.Parse("</v>
      </c>
      <c r="H962" s="9">
        <f>Matchs!D963</f>
        <v>0</v>
      </c>
      <c r="I962" t="str">
        <f t="shared" si="270"/>
        <v>"),MatchYear=</v>
      </c>
      <c r="J962">
        <f>Matchs!E963</f>
        <v>0</v>
      </c>
      <c r="K962" t="str">
        <f t="shared" si="271"/>
        <v>, SeasonId= "</v>
      </c>
      <c r="L962">
        <f>Matchs!F963</f>
        <v>0</v>
      </c>
      <c r="M962" t="str">
        <f t="shared" si="272"/>
        <v>",Round= "</v>
      </c>
      <c r="N962">
        <f>Matchs!G963</f>
        <v>0</v>
      </c>
      <c r="O962" s="6" t="str">
        <f t="shared" si="273"/>
        <v>",Stage= "</v>
      </c>
      <c r="P962">
        <f>Matchs!H963</f>
        <v>0</v>
      </c>
      <c r="Q962" s="6" t="str">
        <f t="shared" si="274"/>
        <v>",SubStage= "</v>
      </c>
      <c r="R962">
        <f>Matchs!I963</f>
        <v>0</v>
      </c>
      <c r="S962" s="6" t="str">
        <f t="shared" si="275"/>
        <v>",HTeam= "</v>
      </c>
      <c r="T962">
        <f>Matchs!J963</f>
        <v>0</v>
      </c>
      <c r="U962" s="6" t="str">
        <f t="shared" si="276"/>
        <v>",HGoal=</v>
      </c>
      <c r="V962">
        <f>Matchs!K963</f>
        <v>0</v>
      </c>
      <c r="W962" s="6" t="str">
        <f t="shared" si="277"/>
        <v>,GGoal=</v>
      </c>
      <c r="X962">
        <f>Matchs!L963</f>
        <v>0</v>
      </c>
      <c r="Y962" s="6" t="str">
        <f t="shared" si="278"/>
        <v>,GTeam= "</v>
      </c>
      <c r="Z962">
        <f>Matchs!M963</f>
        <v>0</v>
      </c>
      <c r="AA962" s="6" t="str">
        <f t="shared" si="279"/>
        <v>",WinNote="</v>
      </c>
      <c r="AB962" t="str">
        <f>IF(Matchs!N963="","",Matchs!N963)</f>
        <v/>
      </c>
      <c r="AC962" s="6" t="str">
        <f t="shared" si="280"/>
        <v xml:space="preserve">",Stadium=" </v>
      </c>
      <c r="AD962" s="11">
        <f>Matchs!O963</f>
        <v>0</v>
      </c>
      <c r="AE962" s="6" t="str">
        <f t="shared" si="281"/>
        <v>",Referee= "</v>
      </c>
      <c r="AF962" s="11">
        <f>Matchs!P963</f>
        <v>0</v>
      </c>
      <c r="AG962" s="6" t="str">
        <f t="shared" si="282"/>
        <v xml:space="preserve">",Visistors= </v>
      </c>
      <c r="AH962" s="11">
        <f>Matchs!Q963</f>
        <v>0</v>
      </c>
      <c r="AI962" s="11" t="str">
        <f t="shared" si="283"/>
        <v>,Status= "</v>
      </c>
      <c r="AJ962" s="11">
        <f>Matchs!R963</f>
        <v>0</v>
      </c>
      <c r="AK962" t="str">
        <f t="shared" si="284"/>
        <v>" },</v>
      </c>
    </row>
    <row r="963" spans="1:37" x14ac:dyDescent="0.25">
      <c r="A963" t="str">
        <f t="shared" ref="A963:A1026" si="285">A962</f>
        <v>new Match { MatchId= "</v>
      </c>
      <c r="B963">
        <f>Matchs!A964</f>
        <v>0</v>
      </c>
      <c r="C963" t="str">
        <f t="shared" ref="C963:C1026" si="286">C962</f>
        <v>",MatchNumer=</v>
      </c>
      <c r="D963">
        <f>Matchs!B964</f>
        <v>0</v>
      </c>
      <c r="E963" t="str">
        <f t="shared" ref="E963:E1026" si="287">E962</f>
        <v>,DateMatch=DateTime.Parse("</v>
      </c>
      <c r="F963" s="3">
        <f>Matchs!C964</f>
        <v>0</v>
      </c>
      <c r="G963" s="10" t="str">
        <f t="shared" ref="G963:G1026" si="288">G962</f>
        <v>"),TimeMatch=TimeSpan.Parse("</v>
      </c>
      <c r="H963" s="9">
        <f>Matchs!D964</f>
        <v>0</v>
      </c>
      <c r="I963" t="str">
        <f t="shared" ref="I963:I1026" si="289">I962</f>
        <v>"),MatchYear=</v>
      </c>
      <c r="J963">
        <f>Matchs!E964</f>
        <v>0</v>
      </c>
      <c r="K963" t="str">
        <f t="shared" ref="K963:K1026" si="290">K962</f>
        <v>, SeasonId= "</v>
      </c>
      <c r="L963">
        <f>Matchs!F964</f>
        <v>0</v>
      </c>
      <c r="M963" t="str">
        <f t="shared" ref="M963:M1026" si="291">M962</f>
        <v>",Round= "</v>
      </c>
      <c r="N963">
        <f>Matchs!G964</f>
        <v>0</v>
      </c>
      <c r="O963" s="6" t="str">
        <f t="shared" ref="O963:O1026" si="292">O962</f>
        <v>",Stage= "</v>
      </c>
      <c r="P963">
        <f>Matchs!H964</f>
        <v>0</v>
      </c>
      <c r="Q963" s="6" t="str">
        <f t="shared" ref="Q963:Q1026" si="293">Q962</f>
        <v>",SubStage= "</v>
      </c>
      <c r="R963">
        <f>Matchs!I964</f>
        <v>0</v>
      </c>
      <c r="S963" s="6" t="str">
        <f t="shared" ref="S963:S1026" si="294">S962</f>
        <v>",HTeam= "</v>
      </c>
      <c r="T963">
        <f>Matchs!J964</f>
        <v>0</v>
      </c>
      <c r="U963" s="6" t="str">
        <f t="shared" ref="U963:U1026" si="295">U962</f>
        <v>",HGoal=</v>
      </c>
      <c r="V963">
        <f>Matchs!K964</f>
        <v>0</v>
      </c>
      <c r="W963" s="6" t="str">
        <f t="shared" ref="W963:W1026" si="296">W962</f>
        <v>,GGoal=</v>
      </c>
      <c r="X963">
        <f>Matchs!L964</f>
        <v>0</v>
      </c>
      <c r="Y963" s="6" t="str">
        <f t="shared" ref="Y963:Y1026" si="297">Y962</f>
        <v>,GTeam= "</v>
      </c>
      <c r="Z963">
        <f>Matchs!M964</f>
        <v>0</v>
      </c>
      <c r="AA963" s="6" t="str">
        <f t="shared" ref="AA963:AA1026" si="298">AA962</f>
        <v>",WinNote="</v>
      </c>
      <c r="AB963" t="str">
        <f>IF(Matchs!N964="","",Matchs!N964)</f>
        <v/>
      </c>
      <c r="AC963" s="6" t="str">
        <f t="shared" ref="AC963:AC1026" si="299">AC962</f>
        <v xml:space="preserve">",Stadium=" </v>
      </c>
      <c r="AD963" s="11">
        <f>Matchs!O964</f>
        <v>0</v>
      </c>
      <c r="AE963" s="6" t="str">
        <f t="shared" ref="AE963:AE1026" si="300">AE962</f>
        <v>",Referee= "</v>
      </c>
      <c r="AF963" s="11">
        <f>Matchs!P964</f>
        <v>0</v>
      </c>
      <c r="AG963" s="6" t="str">
        <f t="shared" ref="AG963:AG1026" si="301">AG962</f>
        <v xml:space="preserve">",Visistors= </v>
      </c>
      <c r="AH963" s="11">
        <f>Matchs!Q964</f>
        <v>0</v>
      </c>
      <c r="AI963" s="11" t="str">
        <f t="shared" ref="AI963:AI1026" si="302">AI962</f>
        <v>,Status= "</v>
      </c>
      <c r="AJ963" s="11">
        <f>Matchs!R964</f>
        <v>0</v>
      </c>
      <c r="AK963" t="str">
        <f t="shared" ref="AK963:AK1026" si="303">AK962</f>
        <v>" },</v>
      </c>
    </row>
    <row r="964" spans="1:37" x14ac:dyDescent="0.25">
      <c r="A964" t="str">
        <f t="shared" si="285"/>
        <v>new Match { MatchId= "</v>
      </c>
      <c r="B964">
        <f>Matchs!A965</f>
        <v>0</v>
      </c>
      <c r="C964" t="str">
        <f t="shared" si="286"/>
        <v>",MatchNumer=</v>
      </c>
      <c r="D964">
        <f>Matchs!B965</f>
        <v>0</v>
      </c>
      <c r="E964" t="str">
        <f t="shared" si="287"/>
        <v>,DateMatch=DateTime.Parse("</v>
      </c>
      <c r="F964" s="3">
        <f>Matchs!C965</f>
        <v>0</v>
      </c>
      <c r="G964" s="10" t="str">
        <f t="shared" si="288"/>
        <v>"),TimeMatch=TimeSpan.Parse("</v>
      </c>
      <c r="H964" s="9">
        <f>Matchs!D965</f>
        <v>0</v>
      </c>
      <c r="I964" t="str">
        <f t="shared" si="289"/>
        <v>"),MatchYear=</v>
      </c>
      <c r="J964">
        <f>Matchs!E965</f>
        <v>0</v>
      </c>
      <c r="K964" t="str">
        <f t="shared" si="290"/>
        <v>, SeasonId= "</v>
      </c>
      <c r="L964">
        <f>Matchs!F965</f>
        <v>0</v>
      </c>
      <c r="M964" t="str">
        <f t="shared" si="291"/>
        <v>",Round= "</v>
      </c>
      <c r="N964">
        <f>Matchs!G965</f>
        <v>0</v>
      </c>
      <c r="O964" s="6" t="str">
        <f t="shared" si="292"/>
        <v>",Stage= "</v>
      </c>
      <c r="P964">
        <f>Matchs!H965</f>
        <v>0</v>
      </c>
      <c r="Q964" s="6" t="str">
        <f t="shared" si="293"/>
        <v>",SubStage= "</v>
      </c>
      <c r="R964">
        <f>Matchs!I965</f>
        <v>0</v>
      </c>
      <c r="S964" s="6" t="str">
        <f t="shared" si="294"/>
        <v>",HTeam= "</v>
      </c>
      <c r="T964">
        <f>Matchs!J965</f>
        <v>0</v>
      </c>
      <c r="U964" s="6" t="str">
        <f t="shared" si="295"/>
        <v>",HGoal=</v>
      </c>
      <c r="V964">
        <f>Matchs!K965</f>
        <v>0</v>
      </c>
      <c r="W964" s="6" t="str">
        <f t="shared" si="296"/>
        <v>,GGoal=</v>
      </c>
      <c r="X964">
        <f>Matchs!L965</f>
        <v>0</v>
      </c>
      <c r="Y964" s="6" t="str">
        <f t="shared" si="297"/>
        <v>,GTeam= "</v>
      </c>
      <c r="Z964">
        <f>Matchs!M965</f>
        <v>0</v>
      </c>
      <c r="AA964" s="6" t="str">
        <f t="shared" si="298"/>
        <v>",WinNote="</v>
      </c>
      <c r="AB964" t="str">
        <f>IF(Matchs!N965="","",Matchs!N965)</f>
        <v/>
      </c>
      <c r="AC964" s="6" t="str">
        <f t="shared" si="299"/>
        <v xml:space="preserve">",Stadium=" </v>
      </c>
      <c r="AD964" s="11">
        <f>Matchs!O965</f>
        <v>0</v>
      </c>
      <c r="AE964" s="6" t="str">
        <f t="shared" si="300"/>
        <v>",Referee= "</v>
      </c>
      <c r="AF964" s="11">
        <f>Matchs!P965</f>
        <v>0</v>
      </c>
      <c r="AG964" s="6" t="str">
        <f t="shared" si="301"/>
        <v xml:space="preserve">",Visistors= </v>
      </c>
      <c r="AH964" s="11">
        <f>Matchs!Q965</f>
        <v>0</v>
      </c>
      <c r="AI964" s="11" t="str">
        <f t="shared" si="302"/>
        <v>,Status= "</v>
      </c>
      <c r="AJ964" s="11">
        <f>Matchs!R965</f>
        <v>0</v>
      </c>
      <c r="AK964" t="str">
        <f t="shared" si="303"/>
        <v>" },</v>
      </c>
    </row>
    <row r="965" spans="1:37" x14ac:dyDescent="0.25">
      <c r="A965" t="str">
        <f t="shared" si="285"/>
        <v>new Match { MatchId= "</v>
      </c>
      <c r="B965">
        <f>Matchs!A966</f>
        <v>0</v>
      </c>
      <c r="C965" t="str">
        <f t="shared" si="286"/>
        <v>",MatchNumer=</v>
      </c>
      <c r="D965">
        <f>Matchs!B966</f>
        <v>0</v>
      </c>
      <c r="E965" t="str">
        <f t="shared" si="287"/>
        <v>,DateMatch=DateTime.Parse("</v>
      </c>
      <c r="F965" s="3">
        <f>Matchs!C966</f>
        <v>0</v>
      </c>
      <c r="G965" s="10" t="str">
        <f t="shared" si="288"/>
        <v>"),TimeMatch=TimeSpan.Parse("</v>
      </c>
      <c r="H965" s="9">
        <f>Matchs!D966</f>
        <v>0</v>
      </c>
      <c r="I965" t="str">
        <f t="shared" si="289"/>
        <v>"),MatchYear=</v>
      </c>
      <c r="J965">
        <f>Matchs!E966</f>
        <v>0</v>
      </c>
      <c r="K965" t="str">
        <f t="shared" si="290"/>
        <v>, SeasonId= "</v>
      </c>
      <c r="L965">
        <f>Matchs!F966</f>
        <v>0</v>
      </c>
      <c r="M965" t="str">
        <f t="shared" si="291"/>
        <v>",Round= "</v>
      </c>
      <c r="N965">
        <f>Matchs!G966</f>
        <v>0</v>
      </c>
      <c r="O965" s="6" t="str">
        <f t="shared" si="292"/>
        <v>",Stage= "</v>
      </c>
      <c r="P965">
        <f>Matchs!H966</f>
        <v>0</v>
      </c>
      <c r="Q965" s="6" t="str">
        <f t="shared" si="293"/>
        <v>",SubStage= "</v>
      </c>
      <c r="R965">
        <f>Matchs!I966</f>
        <v>0</v>
      </c>
      <c r="S965" s="6" t="str">
        <f t="shared" si="294"/>
        <v>",HTeam= "</v>
      </c>
      <c r="T965">
        <f>Matchs!J966</f>
        <v>0</v>
      </c>
      <c r="U965" s="6" t="str">
        <f t="shared" si="295"/>
        <v>",HGoal=</v>
      </c>
      <c r="V965">
        <f>Matchs!K966</f>
        <v>0</v>
      </c>
      <c r="W965" s="6" t="str">
        <f t="shared" si="296"/>
        <v>,GGoal=</v>
      </c>
      <c r="X965">
        <f>Matchs!L966</f>
        <v>0</v>
      </c>
      <c r="Y965" s="6" t="str">
        <f t="shared" si="297"/>
        <v>,GTeam= "</v>
      </c>
      <c r="Z965">
        <f>Matchs!M966</f>
        <v>0</v>
      </c>
      <c r="AA965" s="6" t="str">
        <f t="shared" si="298"/>
        <v>",WinNote="</v>
      </c>
      <c r="AB965" t="str">
        <f>IF(Matchs!N966="","",Matchs!N966)</f>
        <v/>
      </c>
      <c r="AC965" s="6" t="str">
        <f t="shared" si="299"/>
        <v xml:space="preserve">",Stadium=" </v>
      </c>
      <c r="AD965" s="11">
        <f>Matchs!O966</f>
        <v>0</v>
      </c>
      <c r="AE965" s="6" t="str">
        <f t="shared" si="300"/>
        <v>",Referee= "</v>
      </c>
      <c r="AF965" s="11">
        <f>Matchs!P966</f>
        <v>0</v>
      </c>
      <c r="AG965" s="6" t="str">
        <f t="shared" si="301"/>
        <v xml:space="preserve">",Visistors= </v>
      </c>
      <c r="AH965" s="11">
        <f>Matchs!Q966</f>
        <v>0</v>
      </c>
      <c r="AI965" s="11" t="str">
        <f t="shared" si="302"/>
        <v>,Status= "</v>
      </c>
      <c r="AJ965" s="11">
        <f>Matchs!R966</f>
        <v>0</v>
      </c>
      <c r="AK965" t="str">
        <f t="shared" si="303"/>
        <v>" },</v>
      </c>
    </row>
    <row r="966" spans="1:37" x14ac:dyDescent="0.25">
      <c r="A966" t="str">
        <f t="shared" si="285"/>
        <v>new Match { MatchId= "</v>
      </c>
      <c r="B966">
        <f>Matchs!A967</f>
        <v>0</v>
      </c>
      <c r="C966" t="str">
        <f t="shared" si="286"/>
        <v>",MatchNumer=</v>
      </c>
      <c r="D966">
        <f>Matchs!B967</f>
        <v>0</v>
      </c>
      <c r="E966" t="str">
        <f t="shared" si="287"/>
        <v>,DateMatch=DateTime.Parse("</v>
      </c>
      <c r="F966" s="3">
        <f>Matchs!C967</f>
        <v>0</v>
      </c>
      <c r="G966" s="10" t="str">
        <f t="shared" si="288"/>
        <v>"),TimeMatch=TimeSpan.Parse("</v>
      </c>
      <c r="H966" s="9">
        <f>Matchs!D967</f>
        <v>0</v>
      </c>
      <c r="I966" t="str">
        <f t="shared" si="289"/>
        <v>"),MatchYear=</v>
      </c>
      <c r="J966">
        <f>Matchs!E967</f>
        <v>0</v>
      </c>
      <c r="K966" t="str">
        <f t="shared" si="290"/>
        <v>, SeasonId= "</v>
      </c>
      <c r="L966">
        <f>Matchs!F967</f>
        <v>0</v>
      </c>
      <c r="M966" t="str">
        <f t="shared" si="291"/>
        <v>",Round= "</v>
      </c>
      <c r="N966">
        <f>Matchs!G967</f>
        <v>0</v>
      </c>
      <c r="O966" s="6" t="str">
        <f t="shared" si="292"/>
        <v>",Stage= "</v>
      </c>
      <c r="P966">
        <f>Matchs!H967</f>
        <v>0</v>
      </c>
      <c r="Q966" s="6" t="str">
        <f t="shared" si="293"/>
        <v>",SubStage= "</v>
      </c>
      <c r="R966">
        <f>Matchs!I967</f>
        <v>0</v>
      </c>
      <c r="S966" s="6" t="str">
        <f t="shared" si="294"/>
        <v>",HTeam= "</v>
      </c>
      <c r="T966">
        <f>Matchs!J967</f>
        <v>0</v>
      </c>
      <c r="U966" s="6" t="str">
        <f t="shared" si="295"/>
        <v>",HGoal=</v>
      </c>
      <c r="V966">
        <f>Matchs!K967</f>
        <v>0</v>
      </c>
      <c r="W966" s="6" t="str">
        <f t="shared" si="296"/>
        <v>,GGoal=</v>
      </c>
      <c r="X966">
        <f>Matchs!L967</f>
        <v>0</v>
      </c>
      <c r="Y966" s="6" t="str">
        <f t="shared" si="297"/>
        <v>,GTeam= "</v>
      </c>
      <c r="Z966">
        <f>Matchs!M967</f>
        <v>0</v>
      </c>
      <c r="AA966" s="6" t="str">
        <f t="shared" si="298"/>
        <v>",WinNote="</v>
      </c>
      <c r="AB966" t="str">
        <f>IF(Matchs!N967="","",Matchs!N967)</f>
        <v/>
      </c>
      <c r="AC966" s="6" t="str">
        <f t="shared" si="299"/>
        <v xml:space="preserve">",Stadium=" </v>
      </c>
      <c r="AD966" s="11">
        <f>Matchs!O967</f>
        <v>0</v>
      </c>
      <c r="AE966" s="6" t="str">
        <f t="shared" si="300"/>
        <v>",Referee= "</v>
      </c>
      <c r="AF966" s="11">
        <f>Matchs!P967</f>
        <v>0</v>
      </c>
      <c r="AG966" s="6" t="str">
        <f t="shared" si="301"/>
        <v xml:space="preserve">",Visistors= </v>
      </c>
      <c r="AH966" s="11">
        <f>Matchs!Q967</f>
        <v>0</v>
      </c>
      <c r="AI966" s="11" t="str">
        <f t="shared" si="302"/>
        <v>,Status= "</v>
      </c>
      <c r="AJ966" s="11">
        <f>Matchs!R967</f>
        <v>0</v>
      </c>
      <c r="AK966" t="str">
        <f t="shared" si="303"/>
        <v>" },</v>
      </c>
    </row>
    <row r="967" spans="1:37" x14ac:dyDescent="0.25">
      <c r="A967" t="str">
        <f t="shared" si="285"/>
        <v>new Match { MatchId= "</v>
      </c>
      <c r="B967">
        <f>Matchs!A968</f>
        <v>0</v>
      </c>
      <c r="C967" t="str">
        <f t="shared" si="286"/>
        <v>",MatchNumer=</v>
      </c>
      <c r="D967">
        <f>Matchs!B968</f>
        <v>0</v>
      </c>
      <c r="E967" t="str">
        <f t="shared" si="287"/>
        <v>,DateMatch=DateTime.Parse("</v>
      </c>
      <c r="F967" s="3">
        <f>Matchs!C968</f>
        <v>0</v>
      </c>
      <c r="G967" s="10" t="str">
        <f t="shared" si="288"/>
        <v>"),TimeMatch=TimeSpan.Parse("</v>
      </c>
      <c r="H967" s="9">
        <f>Matchs!D968</f>
        <v>0</v>
      </c>
      <c r="I967" t="str">
        <f t="shared" si="289"/>
        <v>"),MatchYear=</v>
      </c>
      <c r="J967">
        <f>Matchs!E968</f>
        <v>0</v>
      </c>
      <c r="K967" t="str">
        <f t="shared" si="290"/>
        <v>, SeasonId= "</v>
      </c>
      <c r="L967">
        <f>Matchs!F968</f>
        <v>0</v>
      </c>
      <c r="M967" t="str">
        <f t="shared" si="291"/>
        <v>",Round= "</v>
      </c>
      <c r="N967">
        <f>Matchs!G968</f>
        <v>0</v>
      </c>
      <c r="O967" s="6" t="str">
        <f t="shared" si="292"/>
        <v>",Stage= "</v>
      </c>
      <c r="P967">
        <f>Matchs!H968</f>
        <v>0</v>
      </c>
      <c r="Q967" s="6" t="str">
        <f t="shared" si="293"/>
        <v>",SubStage= "</v>
      </c>
      <c r="R967">
        <f>Matchs!I968</f>
        <v>0</v>
      </c>
      <c r="S967" s="6" t="str">
        <f t="shared" si="294"/>
        <v>",HTeam= "</v>
      </c>
      <c r="T967">
        <f>Matchs!J968</f>
        <v>0</v>
      </c>
      <c r="U967" s="6" t="str">
        <f t="shared" si="295"/>
        <v>",HGoal=</v>
      </c>
      <c r="V967">
        <f>Matchs!K968</f>
        <v>0</v>
      </c>
      <c r="W967" s="6" t="str">
        <f t="shared" si="296"/>
        <v>,GGoal=</v>
      </c>
      <c r="X967">
        <f>Matchs!L968</f>
        <v>0</v>
      </c>
      <c r="Y967" s="6" t="str">
        <f t="shared" si="297"/>
        <v>,GTeam= "</v>
      </c>
      <c r="Z967">
        <f>Matchs!M968</f>
        <v>0</v>
      </c>
      <c r="AA967" s="6" t="str">
        <f t="shared" si="298"/>
        <v>",WinNote="</v>
      </c>
      <c r="AB967" t="str">
        <f>IF(Matchs!N968="","",Matchs!N968)</f>
        <v/>
      </c>
      <c r="AC967" s="6" t="str">
        <f t="shared" si="299"/>
        <v xml:space="preserve">",Stadium=" </v>
      </c>
      <c r="AD967" s="11">
        <f>Matchs!O968</f>
        <v>0</v>
      </c>
      <c r="AE967" s="6" t="str">
        <f t="shared" si="300"/>
        <v>",Referee= "</v>
      </c>
      <c r="AF967" s="11">
        <f>Matchs!P968</f>
        <v>0</v>
      </c>
      <c r="AG967" s="6" t="str">
        <f t="shared" si="301"/>
        <v xml:space="preserve">",Visistors= </v>
      </c>
      <c r="AH967" s="11">
        <f>Matchs!Q968</f>
        <v>0</v>
      </c>
      <c r="AI967" s="11" t="str">
        <f t="shared" si="302"/>
        <v>,Status= "</v>
      </c>
      <c r="AJ967" s="11">
        <f>Matchs!R968</f>
        <v>0</v>
      </c>
      <c r="AK967" t="str">
        <f t="shared" si="303"/>
        <v>" },</v>
      </c>
    </row>
    <row r="968" spans="1:37" x14ac:dyDescent="0.25">
      <c r="A968" t="str">
        <f t="shared" si="285"/>
        <v>new Match { MatchId= "</v>
      </c>
      <c r="B968">
        <f>Matchs!A969</f>
        <v>0</v>
      </c>
      <c r="C968" t="str">
        <f t="shared" si="286"/>
        <v>",MatchNumer=</v>
      </c>
      <c r="D968">
        <f>Matchs!B969</f>
        <v>0</v>
      </c>
      <c r="E968" t="str">
        <f t="shared" si="287"/>
        <v>,DateMatch=DateTime.Parse("</v>
      </c>
      <c r="F968" s="3">
        <f>Matchs!C969</f>
        <v>0</v>
      </c>
      <c r="G968" s="10" t="str">
        <f t="shared" si="288"/>
        <v>"),TimeMatch=TimeSpan.Parse("</v>
      </c>
      <c r="H968" s="9">
        <f>Matchs!D969</f>
        <v>0</v>
      </c>
      <c r="I968" t="str">
        <f t="shared" si="289"/>
        <v>"),MatchYear=</v>
      </c>
      <c r="J968">
        <f>Matchs!E969</f>
        <v>0</v>
      </c>
      <c r="K968" t="str">
        <f t="shared" si="290"/>
        <v>, SeasonId= "</v>
      </c>
      <c r="L968">
        <f>Matchs!F969</f>
        <v>0</v>
      </c>
      <c r="M968" t="str">
        <f t="shared" si="291"/>
        <v>",Round= "</v>
      </c>
      <c r="N968">
        <f>Matchs!G969</f>
        <v>0</v>
      </c>
      <c r="O968" s="6" t="str">
        <f t="shared" si="292"/>
        <v>",Stage= "</v>
      </c>
      <c r="P968">
        <f>Matchs!H969</f>
        <v>0</v>
      </c>
      <c r="Q968" s="6" t="str">
        <f t="shared" si="293"/>
        <v>",SubStage= "</v>
      </c>
      <c r="R968">
        <f>Matchs!I969</f>
        <v>0</v>
      </c>
      <c r="S968" s="6" t="str">
        <f t="shared" si="294"/>
        <v>",HTeam= "</v>
      </c>
      <c r="T968">
        <f>Matchs!J969</f>
        <v>0</v>
      </c>
      <c r="U968" s="6" t="str">
        <f t="shared" si="295"/>
        <v>",HGoal=</v>
      </c>
      <c r="V968">
        <f>Matchs!K969</f>
        <v>0</v>
      </c>
      <c r="W968" s="6" t="str">
        <f t="shared" si="296"/>
        <v>,GGoal=</v>
      </c>
      <c r="X968">
        <f>Matchs!L969</f>
        <v>0</v>
      </c>
      <c r="Y968" s="6" t="str">
        <f t="shared" si="297"/>
        <v>,GTeam= "</v>
      </c>
      <c r="Z968">
        <f>Matchs!M969</f>
        <v>0</v>
      </c>
      <c r="AA968" s="6" t="str">
        <f t="shared" si="298"/>
        <v>",WinNote="</v>
      </c>
      <c r="AB968" t="str">
        <f>IF(Matchs!N969="","",Matchs!N969)</f>
        <v/>
      </c>
      <c r="AC968" s="6" t="str">
        <f t="shared" si="299"/>
        <v xml:space="preserve">",Stadium=" </v>
      </c>
      <c r="AD968" s="11">
        <f>Matchs!O969</f>
        <v>0</v>
      </c>
      <c r="AE968" s="6" t="str">
        <f t="shared" si="300"/>
        <v>",Referee= "</v>
      </c>
      <c r="AF968" s="11">
        <f>Matchs!P969</f>
        <v>0</v>
      </c>
      <c r="AG968" s="6" t="str">
        <f t="shared" si="301"/>
        <v xml:space="preserve">",Visistors= </v>
      </c>
      <c r="AH968" s="11">
        <f>Matchs!Q969</f>
        <v>0</v>
      </c>
      <c r="AI968" s="11" t="str">
        <f t="shared" si="302"/>
        <v>,Status= "</v>
      </c>
      <c r="AJ968" s="11">
        <f>Matchs!R969</f>
        <v>0</v>
      </c>
      <c r="AK968" t="str">
        <f t="shared" si="303"/>
        <v>" },</v>
      </c>
    </row>
    <row r="969" spans="1:37" x14ac:dyDescent="0.25">
      <c r="A969" t="str">
        <f t="shared" si="285"/>
        <v>new Match { MatchId= "</v>
      </c>
      <c r="B969">
        <f>Matchs!A970</f>
        <v>0</v>
      </c>
      <c r="C969" t="str">
        <f t="shared" si="286"/>
        <v>",MatchNumer=</v>
      </c>
      <c r="D969">
        <f>Matchs!B970</f>
        <v>0</v>
      </c>
      <c r="E969" t="str">
        <f t="shared" si="287"/>
        <v>,DateMatch=DateTime.Parse("</v>
      </c>
      <c r="F969" s="3">
        <f>Matchs!C970</f>
        <v>0</v>
      </c>
      <c r="G969" s="10" t="str">
        <f t="shared" si="288"/>
        <v>"),TimeMatch=TimeSpan.Parse("</v>
      </c>
      <c r="H969" s="9">
        <f>Matchs!D970</f>
        <v>0</v>
      </c>
      <c r="I969" t="str">
        <f t="shared" si="289"/>
        <v>"),MatchYear=</v>
      </c>
      <c r="J969">
        <f>Matchs!E970</f>
        <v>0</v>
      </c>
      <c r="K969" t="str">
        <f t="shared" si="290"/>
        <v>, SeasonId= "</v>
      </c>
      <c r="L969">
        <f>Matchs!F970</f>
        <v>0</v>
      </c>
      <c r="M969" t="str">
        <f t="shared" si="291"/>
        <v>",Round= "</v>
      </c>
      <c r="N969">
        <f>Matchs!G970</f>
        <v>0</v>
      </c>
      <c r="O969" s="6" t="str">
        <f t="shared" si="292"/>
        <v>",Stage= "</v>
      </c>
      <c r="P969">
        <f>Matchs!H970</f>
        <v>0</v>
      </c>
      <c r="Q969" s="6" t="str">
        <f t="shared" si="293"/>
        <v>",SubStage= "</v>
      </c>
      <c r="R969">
        <f>Matchs!I970</f>
        <v>0</v>
      </c>
      <c r="S969" s="6" t="str">
        <f t="shared" si="294"/>
        <v>",HTeam= "</v>
      </c>
      <c r="T969">
        <f>Matchs!J970</f>
        <v>0</v>
      </c>
      <c r="U969" s="6" t="str">
        <f t="shared" si="295"/>
        <v>",HGoal=</v>
      </c>
      <c r="V969">
        <f>Matchs!K970</f>
        <v>0</v>
      </c>
      <c r="W969" s="6" t="str">
        <f t="shared" si="296"/>
        <v>,GGoal=</v>
      </c>
      <c r="X969">
        <f>Matchs!L970</f>
        <v>0</v>
      </c>
      <c r="Y969" s="6" t="str">
        <f t="shared" si="297"/>
        <v>,GTeam= "</v>
      </c>
      <c r="Z969">
        <f>Matchs!M970</f>
        <v>0</v>
      </c>
      <c r="AA969" s="6" t="str">
        <f t="shared" si="298"/>
        <v>",WinNote="</v>
      </c>
      <c r="AB969" t="str">
        <f>IF(Matchs!N970="","",Matchs!N970)</f>
        <v/>
      </c>
      <c r="AC969" s="6" t="str">
        <f t="shared" si="299"/>
        <v xml:space="preserve">",Stadium=" </v>
      </c>
      <c r="AD969" s="11">
        <f>Matchs!O970</f>
        <v>0</v>
      </c>
      <c r="AE969" s="6" t="str">
        <f t="shared" si="300"/>
        <v>",Referee= "</v>
      </c>
      <c r="AF969" s="11">
        <f>Matchs!P970</f>
        <v>0</v>
      </c>
      <c r="AG969" s="6" t="str">
        <f t="shared" si="301"/>
        <v xml:space="preserve">",Visistors= </v>
      </c>
      <c r="AH969" s="11">
        <f>Matchs!Q970</f>
        <v>0</v>
      </c>
      <c r="AI969" s="11" t="str">
        <f t="shared" si="302"/>
        <v>,Status= "</v>
      </c>
      <c r="AJ969" s="11">
        <f>Matchs!R970</f>
        <v>0</v>
      </c>
      <c r="AK969" t="str">
        <f t="shared" si="303"/>
        <v>" },</v>
      </c>
    </row>
    <row r="970" spans="1:37" x14ac:dyDescent="0.25">
      <c r="A970" t="str">
        <f t="shared" si="285"/>
        <v>new Match { MatchId= "</v>
      </c>
      <c r="B970">
        <f>Matchs!A971</f>
        <v>0</v>
      </c>
      <c r="C970" t="str">
        <f t="shared" si="286"/>
        <v>",MatchNumer=</v>
      </c>
      <c r="D970">
        <f>Matchs!B971</f>
        <v>0</v>
      </c>
      <c r="E970" t="str">
        <f t="shared" si="287"/>
        <v>,DateMatch=DateTime.Parse("</v>
      </c>
      <c r="F970" s="3">
        <f>Matchs!C971</f>
        <v>0</v>
      </c>
      <c r="G970" s="10" t="str">
        <f t="shared" si="288"/>
        <v>"),TimeMatch=TimeSpan.Parse("</v>
      </c>
      <c r="H970" s="9">
        <f>Matchs!D971</f>
        <v>0</v>
      </c>
      <c r="I970" t="str">
        <f t="shared" si="289"/>
        <v>"),MatchYear=</v>
      </c>
      <c r="J970">
        <f>Matchs!E971</f>
        <v>0</v>
      </c>
      <c r="K970" t="str">
        <f t="shared" si="290"/>
        <v>, SeasonId= "</v>
      </c>
      <c r="L970">
        <f>Matchs!F971</f>
        <v>0</v>
      </c>
      <c r="M970" t="str">
        <f t="shared" si="291"/>
        <v>",Round= "</v>
      </c>
      <c r="N970">
        <f>Matchs!G971</f>
        <v>0</v>
      </c>
      <c r="O970" s="6" t="str">
        <f t="shared" si="292"/>
        <v>",Stage= "</v>
      </c>
      <c r="P970">
        <f>Matchs!H971</f>
        <v>0</v>
      </c>
      <c r="Q970" s="6" t="str">
        <f t="shared" si="293"/>
        <v>",SubStage= "</v>
      </c>
      <c r="R970">
        <f>Matchs!I971</f>
        <v>0</v>
      </c>
      <c r="S970" s="6" t="str">
        <f t="shared" si="294"/>
        <v>",HTeam= "</v>
      </c>
      <c r="T970">
        <f>Matchs!J971</f>
        <v>0</v>
      </c>
      <c r="U970" s="6" t="str">
        <f t="shared" si="295"/>
        <v>",HGoal=</v>
      </c>
      <c r="V970">
        <f>Matchs!K971</f>
        <v>0</v>
      </c>
      <c r="W970" s="6" t="str">
        <f t="shared" si="296"/>
        <v>,GGoal=</v>
      </c>
      <c r="X970">
        <f>Matchs!L971</f>
        <v>0</v>
      </c>
      <c r="Y970" s="6" t="str">
        <f t="shared" si="297"/>
        <v>,GTeam= "</v>
      </c>
      <c r="Z970">
        <f>Matchs!M971</f>
        <v>0</v>
      </c>
      <c r="AA970" s="6" t="str">
        <f t="shared" si="298"/>
        <v>",WinNote="</v>
      </c>
      <c r="AB970" t="str">
        <f>IF(Matchs!N971="","",Matchs!N971)</f>
        <v/>
      </c>
      <c r="AC970" s="6" t="str">
        <f t="shared" si="299"/>
        <v xml:space="preserve">",Stadium=" </v>
      </c>
      <c r="AD970" s="11">
        <f>Matchs!O971</f>
        <v>0</v>
      </c>
      <c r="AE970" s="6" t="str">
        <f t="shared" si="300"/>
        <v>",Referee= "</v>
      </c>
      <c r="AF970" s="11">
        <f>Matchs!P971</f>
        <v>0</v>
      </c>
      <c r="AG970" s="6" t="str">
        <f t="shared" si="301"/>
        <v xml:space="preserve">",Visistors= </v>
      </c>
      <c r="AH970" s="11">
        <f>Matchs!Q971</f>
        <v>0</v>
      </c>
      <c r="AI970" s="11" t="str">
        <f t="shared" si="302"/>
        <v>,Status= "</v>
      </c>
      <c r="AJ970" s="11">
        <f>Matchs!R971</f>
        <v>0</v>
      </c>
      <c r="AK970" t="str">
        <f t="shared" si="303"/>
        <v>" },</v>
      </c>
    </row>
    <row r="971" spans="1:37" x14ac:dyDescent="0.25">
      <c r="A971" t="str">
        <f t="shared" si="285"/>
        <v>new Match { MatchId= "</v>
      </c>
      <c r="B971">
        <f>Matchs!A972</f>
        <v>0</v>
      </c>
      <c r="C971" t="str">
        <f t="shared" si="286"/>
        <v>",MatchNumer=</v>
      </c>
      <c r="D971">
        <f>Matchs!B972</f>
        <v>0</v>
      </c>
      <c r="E971" t="str">
        <f t="shared" si="287"/>
        <v>,DateMatch=DateTime.Parse("</v>
      </c>
      <c r="F971" s="3">
        <f>Matchs!C972</f>
        <v>0</v>
      </c>
      <c r="G971" s="10" t="str">
        <f t="shared" si="288"/>
        <v>"),TimeMatch=TimeSpan.Parse("</v>
      </c>
      <c r="H971" s="9">
        <f>Matchs!D972</f>
        <v>0</v>
      </c>
      <c r="I971" t="str">
        <f t="shared" si="289"/>
        <v>"),MatchYear=</v>
      </c>
      <c r="J971">
        <f>Matchs!E972</f>
        <v>0</v>
      </c>
      <c r="K971" t="str">
        <f t="shared" si="290"/>
        <v>, SeasonId= "</v>
      </c>
      <c r="L971">
        <f>Matchs!F972</f>
        <v>0</v>
      </c>
      <c r="M971" t="str">
        <f t="shared" si="291"/>
        <v>",Round= "</v>
      </c>
      <c r="N971">
        <f>Matchs!G972</f>
        <v>0</v>
      </c>
      <c r="O971" s="6" t="str">
        <f t="shared" si="292"/>
        <v>",Stage= "</v>
      </c>
      <c r="P971">
        <f>Matchs!H972</f>
        <v>0</v>
      </c>
      <c r="Q971" s="6" t="str">
        <f t="shared" si="293"/>
        <v>",SubStage= "</v>
      </c>
      <c r="R971">
        <f>Matchs!I972</f>
        <v>0</v>
      </c>
      <c r="S971" s="6" t="str">
        <f t="shared" si="294"/>
        <v>",HTeam= "</v>
      </c>
      <c r="T971">
        <f>Matchs!J972</f>
        <v>0</v>
      </c>
      <c r="U971" s="6" t="str">
        <f t="shared" si="295"/>
        <v>",HGoal=</v>
      </c>
      <c r="V971">
        <f>Matchs!K972</f>
        <v>0</v>
      </c>
      <c r="W971" s="6" t="str">
        <f t="shared" si="296"/>
        <v>,GGoal=</v>
      </c>
      <c r="X971">
        <f>Matchs!L972</f>
        <v>0</v>
      </c>
      <c r="Y971" s="6" t="str">
        <f t="shared" si="297"/>
        <v>,GTeam= "</v>
      </c>
      <c r="Z971">
        <f>Matchs!M972</f>
        <v>0</v>
      </c>
      <c r="AA971" s="6" t="str">
        <f t="shared" si="298"/>
        <v>",WinNote="</v>
      </c>
      <c r="AB971" t="str">
        <f>IF(Matchs!N972="","",Matchs!N972)</f>
        <v/>
      </c>
      <c r="AC971" s="6" t="str">
        <f t="shared" si="299"/>
        <v xml:space="preserve">",Stadium=" </v>
      </c>
      <c r="AD971" s="11">
        <f>Matchs!O972</f>
        <v>0</v>
      </c>
      <c r="AE971" s="6" t="str">
        <f t="shared" si="300"/>
        <v>",Referee= "</v>
      </c>
      <c r="AF971" s="11">
        <f>Matchs!P972</f>
        <v>0</v>
      </c>
      <c r="AG971" s="6" t="str">
        <f t="shared" si="301"/>
        <v xml:space="preserve">",Visistors= </v>
      </c>
      <c r="AH971" s="11">
        <f>Matchs!Q972</f>
        <v>0</v>
      </c>
      <c r="AI971" s="11" t="str">
        <f t="shared" si="302"/>
        <v>,Status= "</v>
      </c>
      <c r="AJ971" s="11">
        <f>Matchs!R972</f>
        <v>0</v>
      </c>
      <c r="AK971" t="str">
        <f t="shared" si="303"/>
        <v>" },</v>
      </c>
    </row>
    <row r="972" spans="1:37" x14ac:dyDescent="0.25">
      <c r="A972" t="str">
        <f t="shared" si="285"/>
        <v>new Match { MatchId= "</v>
      </c>
      <c r="B972">
        <f>Matchs!A973</f>
        <v>0</v>
      </c>
      <c r="C972" t="str">
        <f t="shared" si="286"/>
        <v>",MatchNumer=</v>
      </c>
      <c r="D972">
        <f>Matchs!B973</f>
        <v>0</v>
      </c>
      <c r="E972" t="str">
        <f t="shared" si="287"/>
        <v>,DateMatch=DateTime.Parse("</v>
      </c>
      <c r="F972" s="3">
        <f>Matchs!C973</f>
        <v>0</v>
      </c>
      <c r="G972" s="10" t="str">
        <f t="shared" si="288"/>
        <v>"),TimeMatch=TimeSpan.Parse("</v>
      </c>
      <c r="H972" s="9">
        <f>Matchs!D973</f>
        <v>0</v>
      </c>
      <c r="I972" t="str">
        <f t="shared" si="289"/>
        <v>"),MatchYear=</v>
      </c>
      <c r="J972">
        <f>Matchs!E973</f>
        <v>0</v>
      </c>
      <c r="K972" t="str">
        <f t="shared" si="290"/>
        <v>, SeasonId= "</v>
      </c>
      <c r="L972">
        <f>Matchs!F973</f>
        <v>0</v>
      </c>
      <c r="M972" t="str">
        <f t="shared" si="291"/>
        <v>",Round= "</v>
      </c>
      <c r="N972">
        <f>Matchs!G973</f>
        <v>0</v>
      </c>
      <c r="O972" s="6" t="str">
        <f t="shared" si="292"/>
        <v>",Stage= "</v>
      </c>
      <c r="P972">
        <f>Matchs!H973</f>
        <v>0</v>
      </c>
      <c r="Q972" s="6" t="str">
        <f t="shared" si="293"/>
        <v>",SubStage= "</v>
      </c>
      <c r="R972">
        <f>Matchs!I973</f>
        <v>0</v>
      </c>
      <c r="S972" s="6" t="str">
        <f t="shared" si="294"/>
        <v>",HTeam= "</v>
      </c>
      <c r="T972">
        <f>Matchs!J973</f>
        <v>0</v>
      </c>
      <c r="U972" s="6" t="str">
        <f t="shared" si="295"/>
        <v>",HGoal=</v>
      </c>
      <c r="V972">
        <f>Matchs!K973</f>
        <v>0</v>
      </c>
      <c r="W972" s="6" t="str">
        <f t="shared" si="296"/>
        <v>,GGoal=</v>
      </c>
      <c r="X972">
        <f>Matchs!L973</f>
        <v>0</v>
      </c>
      <c r="Y972" s="6" t="str">
        <f t="shared" si="297"/>
        <v>,GTeam= "</v>
      </c>
      <c r="Z972">
        <f>Matchs!M973</f>
        <v>0</v>
      </c>
      <c r="AA972" s="6" t="str">
        <f t="shared" si="298"/>
        <v>",WinNote="</v>
      </c>
      <c r="AB972" t="str">
        <f>IF(Matchs!N973="","",Matchs!N973)</f>
        <v/>
      </c>
      <c r="AC972" s="6" t="str">
        <f t="shared" si="299"/>
        <v xml:space="preserve">",Stadium=" </v>
      </c>
      <c r="AD972" s="11">
        <f>Matchs!O973</f>
        <v>0</v>
      </c>
      <c r="AE972" s="6" t="str">
        <f t="shared" si="300"/>
        <v>",Referee= "</v>
      </c>
      <c r="AF972" s="11">
        <f>Matchs!P973</f>
        <v>0</v>
      </c>
      <c r="AG972" s="6" t="str">
        <f t="shared" si="301"/>
        <v xml:space="preserve">",Visistors= </v>
      </c>
      <c r="AH972" s="11">
        <f>Matchs!Q973</f>
        <v>0</v>
      </c>
      <c r="AI972" s="11" t="str">
        <f t="shared" si="302"/>
        <v>,Status= "</v>
      </c>
      <c r="AJ972" s="11">
        <f>Matchs!R973</f>
        <v>0</v>
      </c>
      <c r="AK972" t="str">
        <f t="shared" si="303"/>
        <v>" },</v>
      </c>
    </row>
    <row r="973" spans="1:37" x14ac:dyDescent="0.25">
      <c r="A973" t="str">
        <f t="shared" si="285"/>
        <v>new Match { MatchId= "</v>
      </c>
      <c r="B973">
        <f>Matchs!A974</f>
        <v>0</v>
      </c>
      <c r="C973" t="str">
        <f t="shared" si="286"/>
        <v>",MatchNumer=</v>
      </c>
      <c r="D973">
        <f>Matchs!B974</f>
        <v>0</v>
      </c>
      <c r="E973" t="str">
        <f t="shared" si="287"/>
        <v>,DateMatch=DateTime.Parse("</v>
      </c>
      <c r="F973" s="3">
        <f>Matchs!C974</f>
        <v>0</v>
      </c>
      <c r="G973" s="10" t="str">
        <f t="shared" si="288"/>
        <v>"),TimeMatch=TimeSpan.Parse("</v>
      </c>
      <c r="H973" s="9">
        <f>Matchs!D974</f>
        <v>0</v>
      </c>
      <c r="I973" t="str">
        <f t="shared" si="289"/>
        <v>"),MatchYear=</v>
      </c>
      <c r="J973">
        <f>Matchs!E974</f>
        <v>0</v>
      </c>
      <c r="K973" t="str">
        <f t="shared" si="290"/>
        <v>, SeasonId= "</v>
      </c>
      <c r="L973">
        <f>Matchs!F974</f>
        <v>0</v>
      </c>
      <c r="M973" t="str">
        <f t="shared" si="291"/>
        <v>",Round= "</v>
      </c>
      <c r="N973">
        <f>Matchs!G974</f>
        <v>0</v>
      </c>
      <c r="O973" s="6" t="str">
        <f t="shared" si="292"/>
        <v>",Stage= "</v>
      </c>
      <c r="P973">
        <f>Matchs!H974</f>
        <v>0</v>
      </c>
      <c r="Q973" s="6" t="str">
        <f t="shared" si="293"/>
        <v>",SubStage= "</v>
      </c>
      <c r="R973">
        <f>Matchs!I974</f>
        <v>0</v>
      </c>
      <c r="S973" s="6" t="str">
        <f t="shared" si="294"/>
        <v>",HTeam= "</v>
      </c>
      <c r="T973">
        <f>Matchs!J974</f>
        <v>0</v>
      </c>
      <c r="U973" s="6" t="str">
        <f t="shared" si="295"/>
        <v>",HGoal=</v>
      </c>
      <c r="V973">
        <f>Matchs!K974</f>
        <v>0</v>
      </c>
      <c r="W973" s="6" t="str">
        <f t="shared" si="296"/>
        <v>,GGoal=</v>
      </c>
      <c r="X973">
        <f>Matchs!L974</f>
        <v>0</v>
      </c>
      <c r="Y973" s="6" t="str">
        <f t="shared" si="297"/>
        <v>,GTeam= "</v>
      </c>
      <c r="Z973">
        <f>Matchs!M974</f>
        <v>0</v>
      </c>
      <c r="AA973" s="6" t="str">
        <f t="shared" si="298"/>
        <v>",WinNote="</v>
      </c>
      <c r="AB973" t="str">
        <f>IF(Matchs!N974="","",Matchs!N974)</f>
        <v/>
      </c>
      <c r="AC973" s="6" t="str">
        <f t="shared" si="299"/>
        <v xml:space="preserve">",Stadium=" </v>
      </c>
      <c r="AD973" s="11">
        <f>Matchs!O974</f>
        <v>0</v>
      </c>
      <c r="AE973" s="6" t="str">
        <f t="shared" si="300"/>
        <v>",Referee= "</v>
      </c>
      <c r="AF973" s="11">
        <f>Matchs!P974</f>
        <v>0</v>
      </c>
      <c r="AG973" s="6" t="str">
        <f t="shared" si="301"/>
        <v xml:space="preserve">",Visistors= </v>
      </c>
      <c r="AH973" s="11">
        <f>Matchs!Q974</f>
        <v>0</v>
      </c>
      <c r="AI973" s="11" t="str">
        <f t="shared" si="302"/>
        <v>,Status= "</v>
      </c>
      <c r="AJ973" s="11">
        <f>Matchs!R974</f>
        <v>0</v>
      </c>
      <c r="AK973" t="str">
        <f t="shared" si="303"/>
        <v>" },</v>
      </c>
    </row>
    <row r="974" spans="1:37" x14ac:dyDescent="0.25">
      <c r="A974" t="str">
        <f t="shared" si="285"/>
        <v>new Match { MatchId= "</v>
      </c>
      <c r="B974">
        <f>Matchs!A975</f>
        <v>0</v>
      </c>
      <c r="C974" t="str">
        <f t="shared" si="286"/>
        <v>",MatchNumer=</v>
      </c>
      <c r="D974">
        <f>Matchs!B975</f>
        <v>0</v>
      </c>
      <c r="E974" t="str">
        <f t="shared" si="287"/>
        <v>,DateMatch=DateTime.Parse("</v>
      </c>
      <c r="F974" s="3">
        <f>Matchs!C975</f>
        <v>0</v>
      </c>
      <c r="G974" s="10" t="str">
        <f t="shared" si="288"/>
        <v>"),TimeMatch=TimeSpan.Parse("</v>
      </c>
      <c r="H974" s="9">
        <f>Matchs!D975</f>
        <v>0</v>
      </c>
      <c r="I974" t="str">
        <f t="shared" si="289"/>
        <v>"),MatchYear=</v>
      </c>
      <c r="J974">
        <f>Matchs!E975</f>
        <v>0</v>
      </c>
      <c r="K974" t="str">
        <f t="shared" si="290"/>
        <v>, SeasonId= "</v>
      </c>
      <c r="L974">
        <f>Matchs!F975</f>
        <v>0</v>
      </c>
      <c r="M974" t="str">
        <f t="shared" si="291"/>
        <v>",Round= "</v>
      </c>
      <c r="N974">
        <f>Matchs!G975</f>
        <v>0</v>
      </c>
      <c r="O974" s="6" t="str">
        <f t="shared" si="292"/>
        <v>",Stage= "</v>
      </c>
      <c r="P974">
        <f>Matchs!H975</f>
        <v>0</v>
      </c>
      <c r="Q974" s="6" t="str">
        <f t="shared" si="293"/>
        <v>",SubStage= "</v>
      </c>
      <c r="R974">
        <f>Matchs!I975</f>
        <v>0</v>
      </c>
      <c r="S974" s="6" t="str">
        <f t="shared" si="294"/>
        <v>",HTeam= "</v>
      </c>
      <c r="T974">
        <f>Matchs!J975</f>
        <v>0</v>
      </c>
      <c r="U974" s="6" t="str">
        <f t="shared" si="295"/>
        <v>",HGoal=</v>
      </c>
      <c r="V974">
        <f>Matchs!K975</f>
        <v>0</v>
      </c>
      <c r="W974" s="6" t="str">
        <f t="shared" si="296"/>
        <v>,GGoal=</v>
      </c>
      <c r="X974">
        <f>Matchs!L975</f>
        <v>0</v>
      </c>
      <c r="Y974" s="6" t="str">
        <f t="shared" si="297"/>
        <v>,GTeam= "</v>
      </c>
      <c r="Z974">
        <f>Matchs!M975</f>
        <v>0</v>
      </c>
      <c r="AA974" s="6" t="str">
        <f t="shared" si="298"/>
        <v>",WinNote="</v>
      </c>
      <c r="AB974" t="str">
        <f>IF(Matchs!N975="","",Matchs!N975)</f>
        <v/>
      </c>
      <c r="AC974" s="6" t="str">
        <f t="shared" si="299"/>
        <v xml:space="preserve">",Stadium=" </v>
      </c>
      <c r="AD974" s="11">
        <f>Matchs!O975</f>
        <v>0</v>
      </c>
      <c r="AE974" s="6" t="str">
        <f t="shared" si="300"/>
        <v>",Referee= "</v>
      </c>
      <c r="AF974" s="11">
        <f>Matchs!P975</f>
        <v>0</v>
      </c>
      <c r="AG974" s="6" t="str">
        <f t="shared" si="301"/>
        <v xml:space="preserve">",Visistors= </v>
      </c>
      <c r="AH974" s="11">
        <f>Matchs!Q975</f>
        <v>0</v>
      </c>
      <c r="AI974" s="11" t="str">
        <f t="shared" si="302"/>
        <v>,Status= "</v>
      </c>
      <c r="AJ974" s="11">
        <f>Matchs!R975</f>
        <v>0</v>
      </c>
      <c r="AK974" t="str">
        <f t="shared" si="303"/>
        <v>" },</v>
      </c>
    </row>
    <row r="975" spans="1:37" x14ac:dyDescent="0.25">
      <c r="A975" t="str">
        <f t="shared" si="285"/>
        <v>new Match { MatchId= "</v>
      </c>
      <c r="B975">
        <f>Matchs!A976</f>
        <v>0</v>
      </c>
      <c r="C975" t="str">
        <f t="shared" si="286"/>
        <v>",MatchNumer=</v>
      </c>
      <c r="D975">
        <f>Matchs!B976</f>
        <v>0</v>
      </c>
      <c r="E975" t="str">
        <f t="shared" si="287"/>
        <v>,DateMatch=DateTime.Parse("</v>
      </c>
      <c r="F975" s="3">
        <f>Matchs!C976</f>
        <v>0</v>
      </c>
      <c r="G975" s="10" t="str">
        <f t="shared" si="288"/>
        <v>"),TimeMatch=TimeSpan.Parse("</v>
      </c>
      <c r="H975" s="9">
        <f>Matchs!D976</f>
        <v>0</v>
      </c>
      <c r="I975" t="str">
        <f t="shared" si="289"/>
        <v>"),MatchYear=</v>
      </c>
      <c r="J975">
        <f>Matchs!E976</f>
        <v>0</v>
      </c>
      <c r="K975" t="str">
        <f t="shared" si="290"/>
        <v>, SeasonId= "</v>
      </c>
      <c r="L975">
        <f>Matchs!F976</f>
        <v>0</v>
      </c>
      <c r="M975" t="str">
        <f t="shared" si="291"/>
        <v>",Round= "</v>
      </c>
      <c r="N975">
        <f>Matchs!G976</f>
        <v>0</v>
      </c>
      <c r="O975" s="6" t="str">
        <f t="shared" si="292"/>
        <v>",Stage= "</v>
      </c>
      <c r="P975">
        <f>Matchs!H976</f>
        <v>0</v>
      </c>
      <c r="Q975" s="6" t="str">
        <f t="shared" si="293"/>
        <v>",SubStage= "</v>
      </c>
      <c r="R975">
        <f>Matchs!I976</f>
        <v>0</v>
      </c>
      <c r="S975" s="6" t="str">
        <f t="shared" si="294"/>
        <v>",HTeam= "</v>
      </c>
      <c r="T975">
        <f>Matchs!J976</f>
        <v>0</v>
      </c>
      <c r="U975" s="6" t="str">
        <f t="shared" si="295"/>
        <v>",HGoal=</v>
      </c>
      <c r="V975">
        <f>Matchs!K976</f>
        <v>0</v>
      </c>
      <c r="W975" s="6" t="str">
        <f t="shared" si="296"/>
        <v>,GGoal=</v>
      </c>
      <c r="X975">
        <f>Matchs!L976</f>
        <v>0</v>
      </c>
      <c r="Y975" s="6" t="str">
        <f t="shared" si="297"/>
        <v>,GTeam= "</v>
      </c>
      <c r="Z975">
        <f>Matchs!M976</f>
        <v>0</v>
      </c>
      <c r="AA975" s="6" t="str">
        <f t="shared" si="298"/>
        <v>",WinNote="</v>
      </c>
      <c r="AB975" t="str">
        <f>IF(Matchs!N976="","",Matchs!N976)</f>
        <v/>
      </c>
      <c r="AC975" s="6" t="str">
        <f t="shared" si="299"/>
        <v xml:space="preserve">",Stadium=" </v>
      </c>
      <c r="AD975" s="11">
        <f>Matchs!O976</f>
        <v>0</v>
      </c>
      <c r="AE975" s="6" t="str">
        <f t="shared" si="300"/>
        <v>",Referee= "</v>
      </c>
      <c r="AF975" s="11">
        <f>Matchs!P976</f>
        <v>0</v>
      </c>
      <c r="AG975" s="6" t="str">
        <f t="shared" si="301"/>
        <v xml:space="preserve">",Visistors= </v>
      </c>
      <c r="AH975" s="11">
        <f>Matchs!Q976</f>
        <v>0</v>
      </c>
      <c r="AI975" s="11" t="str">
        <f t="shared" si="302"/>
        <v>,Status= "</v>
      </c>
      <c r="AJ975" s="11">
        <f>Matchs!R976</f>
        <v>0</v>
      </c>
      <c r="AK975" t="str">
        <f t="shared" si="303"/>
        <v>" },</v>
      </c>
    </row>
    <row r="976" spans="1:37" x14ac:dyDescent="0.25">
      <c r="A976" t="str">
        <f t="shared" si="285"/>
        <v>new Match { MatchId= "</v>
      </c>
      <c r="B976">
        <f>Matchs!A977</f>
        <v>0</v>
      </c>
      <c r="C976" t="str">
        <f t="shared" si="286"/>
        <v>",MatchNumer=</v>
      </c>
      <c r="D976">
        <f>Matchs!B977</f>
        <v>0</v>
      </c>
      <c r="E976" t="str">
        <f t="shared" si="287"/>
        <v>,DateMatch=DateTime.Parse("</v>
      </c>
      <c r="F976" s="3">
        <f>Matchs!C977</f>
        <v>0</v>
      </c>
      <c r="G976" s="10" t="str">
        <f t="shared" si="288"/>
        <v>"),TimeMatch=TimeSpan.Parse("</v>
      </c>
      <c r="H976" s="9">
        <f>Matchs!D977</f>
        <v>0</v>
      </c>
      <c r="I976" t="str">
        <f t="shared" si="289"/>
        <v>"),MatchYear=</v>
      </c>
      <c r="J976">
        <f>Matchs!E977</f>
        <v>0</v>
      </c>
      <c r="K976" t="str">
        <f t="shared" si="290"/>
        <v>, SeasonId= "</v>
      </c>
      <c r="L976">
        <f>Matchs!F977</f>
        <v>0</v>
      </c>
      <c r="M976" t="str">
        <f t="shared" si="291"/>
        <v>",Round= "</v>
      </c>
      <c r="N976">
        <f>Matchs!G977</f>
        <v>0</v>
      </c>
      <c r="O976" s="6" t="str">
        <f t="shared" si="292"/>
        <v>",Stage= "</v>
      </c>
      <c r="P976">
        <f>Matchs!H977</f>
        <v>0</v>
      </c>
      <c r="Q976" s="6" t="str">
        <f t="shared" si="293"/>
        <v>",SubStage= "</v>
      </c>
      <c r="R976">
        <f>Matchs!I977</f>
        <v>0</v>
      </c>
      <c r="S976" s="6" t="str">
        <f t="shared" si="294"/>
        <v>",HTeam= "</v>
      </c>
      <c r="T976">
        <f>Matchs!J977</f>
        <v>0</v>
      </c>
      <c r="U976" s="6" t="str">
        <f t="shared" si="295"/>
        <v>",HGoal=</v>
      </c>
      <c r="V976">
        <f>Matchs!K977</f>
        <v>0</v>
      </c>
      <c r="W976" s="6" t="str">
        <f t="shared" si="296"/>
        <v>,GGoal=</v>
      </c>
      <c r="X976">
        <f>Matchs!L977</f>
        <v>0</v>
      </c>
      <c r="Y976" s="6" t="str">
        <f t="shared" si="297"/>
        <v>,GTeam= "</v>
      </c>
      <c r="Z976">
        <f>Matchs!M977</f>
        <v>0</v>
      </c>
      <c r="AA976" s="6" t="str">
        <f t="shared" si="298"/>
        <v>",WinNote="</v>
      </c>
      <c r="AB976" t="str">
        <f>IF(Matchs!N977="","",Matchs!N977)</f>
        <v/>
      </c>
      <c r="AC976" s="6" t="str">
        <f t="shared" si="299"/>
        <v xml:space="preserve">",Stadium=" </v>
      </c>
      <c r="AD976" s="11">
        <f>Matchs!O977</f>
        <v>0</v>
      </c>
      <c r="AE976" s="6" t="str">
        <f t="shared" si="300"/>
        <v>",Referee= "</v>
      </c>
      <c r="AF976" s="11">
        <f>Matchs!P977</f>
        <v>0</v>
      </c>
      <c r="AG976" s="6" t="str">
        <f t="shared" si="301"/>
        <v xml:space="preserve">",Visistors= </v>
      </c>
      <c r="AH976" s="11">
        <f>Matchs!Q977</f>
        <v>0</v>
      </c>
      <c r="AI976" s="11" t="str">
        <f t="shared" si="302"/>
        <v>,Status= "</v>
      </c>
      <c r="AJ976" s="11">
        <f>Matchs!R977</f>
        <v>0</v>
      </c>
      <c r="AK976" t="str">
        <f t="shared" si="303"/>
        <v>" },</v>
      </c>
    </row>
    <row r="977" spans="1:37" x14ac:dyDescent="0.25">
      <c r="A977" t="str">
        <f t="shared" si="285"/>
        <v>new Match { MatchId= "</v>
      </c>
      <c r="B977">
        <f>Matchs!A978</f>
        <v>0</v>
      </c>
      <c r="C977" t="str">
        <f t="shared" si="286"/>
        <v>",MatchNumer=</v>
      </c>
      <c r="D977">
        <f>Matchs!B978</f>
        <v>0</v>
      </c>
      <c r="E977" t="str">
        <f t="shared" si="287"/>
        <v>,DateMatch=DateTime.Parse("</v>
      </c>
      <c r="F977" s="3">
        <f>Matchs!C978</f>
        <v>0</v>
      </c>
      <c r="G977" s="10" t="str">
        <f t="shared" si="288"/>
        <v>"),TimeMatch=TimeSpan.Parse("</v>
      </c>
      <c r="H977" s="9">
        <f>Matchs!D978</f>
        <v>0</v>
      </c>
      <c r="I977" t="str">
        <f t="shared" si="289"/>
        <v>"),MatchYear=</v>
      </c>
      <c r="J977">
        <f>Matchs!E978</f>
        <v>0</v>
      </c>
      <c r="K977" t="str">
        <f t="shared" si="290"/>
        <v>, SeasonId= "</v>
      </c>
      <c r="L977">
        <f>Matchs!F978</f>
        <v>0</v>
      </c>
      <c r="M977" t="str">
        <f t="shared" si="291"/>
        <v>",Round= "</v>
      </c>
      <c r="N977">
        <f>Matchs!G978</f>
        <v>0</v>
      </c>
      <c r="O977" s="6" t="str">
        <f t="shared" si="292"/>
        <v>",Stage= "</v>
      </c>
      <c r="P977">
        <f>Matchs!H978</f>
        <v>0</v>
      </c>
      <c r="Q977" s="6" t="str">
        <f t="shared" si="293"/>
        <v>",SubStage= "</v>
      </c>
      <c r="R977">
        <f>Matchs!I978</f>
        <v>0</v>
      </c>
      <c r="S977" s="6" t="str">
        <f t="shared" si="294"/>
        <v>",HTeam= "</v>
      </c>
      <c r="T977">
        <f>Matchs!J978</f>
        <v>0</v>
      </c>
      <c r="U977" s="6" t="str">
        <f t="shared" si="295"/>
        <v>",HGoal=</v>
      </c>
      <c r="V977">
        <f>Matchs!K978</f>
        <v>0</v>
      </c>
      <c r="W977" s="6" t="str">
        <f t="shared" si="296"/>
        <v>,GGoal=</v>
      </c>
      <c r="X977">
        <f>Matchs!L978</f>
        <v>0</v>
      </c>
      <c r="Y977" s="6" t="str">
        <f t="shared" si="297"/>
        <v>,GTeam= "</v>
      </c>
      <c r="Z977">
        <f>Matchs!M978</f>
        <v>0</v>
      </c>
      <c r="AA977" s="6" t="str">
        <f t="shared" si="298"/>
        <v>",WinNote="</v>
      </c>
      <c r="AB977" t="str">
        <f>IF(Matchs!N978="","",Matchs!N978)</f>
        <v/>
      </c>
      <c r="AC977" s="6" t="str">
        <f t="shared" si="299"/>
        <v xml:space="preserve">",Stadium=" </v>
      </c>
      <c r="AD977" s="11">
        <f>Matchs!O978</f>
        <v>0</v>
      </c>
      <c r="AE977" s="6" t="str">
        <f t="shared" si="300"/>
        <v>",Referee= "</v>
      </c>
      <c r="AF977" s="11">
        <f>Matchs!P978</f>
        <v>0</v>
      </c>
      <c r="AG977" s="6" t="str">
        <f t="shared" si="301"/>
        <v xml:space="preserve">",Visistors= </v>
      </c>
      <c r="AH977" s="11">
        <f>Matchs!Q978</f>
        <v>0</v>
      </c>
      <c r="AI977" s="11" t="str">
        <f t="shared" si="302"/>
        <v>,Status= "</v>
      </c>
      <c r="AJ977" s="11">
        <f>Matchs!R978</f>
        <v>0</v>
      </c>
      <c r="AK977" t="str">
        <f t="shared" si="303"/>
        <v>" },</v>
      </c>
    </row>
    <row r="978" spans="1:37" x14ac:dyDescent="0.25">
      <c r="A978" t="str">
        <f t="shared" si="285"/>
        <v>new Match { MatchId= "</v>
      </c>
      <c r="B978">
        <f>Matchs!A979</f>
        <v>0</v>
      </c>
      <c r="C978" t="str">
        <f t="shared" si="286"/>
        <v>",MatchNumer=</v>
      </c>
      <c r="D978">
        <f>Matchs!B979</f>
        <v>0</v>
      </c>
      <c r="E978" t="str">
        <f t="shared" si="287"/>
        <v>,DateMatch=DateTime.Parse("</v>
      </c>
      <c r="F978" s="3">
        <f>Matchs!C979</f>
        <v>0</v>
      </c>
      <c r="G978" s="10" t="str">
        <f t="shared" si="288"/>
        <v>"),TimeMatch=TimeSpan.Parse("</v>
      </c>
      <c r="H978" s="9">
        <f>Matchs!D979</f>
        <v>0</v>
      </c>
      <c r="I978" t="str">
        <f t="shared" si="289"/>
        <v>"),MatchYear=</v>
      </c>
      <c r="J978">
        <f>Matchs!E979</f>
        <v>0</v>
      </c>
      <c r="K978" t="str">
        <f t="shared" si="290"/>
        <v>, SeasonId= "</v>
      </c>
      <c r="L978">
        <f>Matchs!F979</f>
        <v>0</v>
      </c>
      <c r="M978" t="str">
        <f t="shared" si="291"/>
        <v>",Round= "</v>
      </c>
      <c r="N978">
        <f>Matchs!G979</f>
        <v>0</v>
      </c>
      <c r="O978" s="6" t="str">
        <f t="shared" si="292"/>
        <v>",Stage= "</v>
      </c>
      <c r="P978">
        <f>Matchs!H979</f>
        <v>0</v>
      </c>
      <c r="Q978" s="6" t="str">
        <f t="shared" si="293"/>
        <v>",SubStage= "</v>
      </c>
      <c r="R978">
        <f>Matchs!I979</f>
        <v>0</v>
      </c>
      <c r="S978" s="6" t="str">
        <f t="shared" si="294"/>
        <v>",HTeam= "</v>
      </c>
      <c r="T978">
        <f>Matchs!J979</f>
        <v>0</v>
      </c>
      <c r="U978" s="6" t="str">
        <f t="shared" si="295"/>
        <v>",HGoal=</v>
      </c>
      <c r="V978">
        <f>Matchs!K979</f>
        <v>0</v>
      </c>
      <c r="W978" s="6" t="str">
        <f t="shared" si="296"/>
        <v>,GGoal=</v>
      </c>
      <c r="X978">
        <f>Matchs!L979</f>
        <v>0</v>
      </c>
      <c r="Y978" s="6" t="str">
        <f t="shared" si="297"/>
        <v>,GTeam= "</v>
      </c>
      <c r="Z978">
        <f>Matchs!M979</f>
        <v>0</v>
      </c>
      <c r="AA978" s="6" t="str">
        <f t="shared" si="298"/>
        <v>",WinNote="</v>
      </c>
      <c r="AB978" t="str">
        <f>IF(Matchs!N979="","",Matchs!N979)</f>
        <v/>
      </c>
      <c r="AC978" s="6" t="str">
        <f t="shared" si="299"/>
        <v xml:space="preserve">",Stadium=" </v>
      </c>
      <c r="AD978" s="11">
        <f>Matchs!O979</f>
        <v>0</v>
      </c>
      <c r="AE978" s="6" t="str">
        <f t="shared" si="300"/>
        <v>",Referee= "</v>
      </c>
      <c r="AF978" s="11">
        <f>Matchs!P979</f>
        <v>0</v>
      </c>
      <c r="AG978" s="6" t="str">
        <f t="shared" si="301"/>
        <v xml:space="preserve">",Visistors= </v>
      </c>
      <c r="AH978" s="11">
        <f>Matchs!Q979</f>
        <v>0</v>
      </c>
      <c r="AI978" s="11" t="str">
        <f t="shared" si="302"/>
        <v>,Status= "</v>
      </c>
      <c r="AJ978" s="11">
        <f>Matchs!R979</f>
        <v>0</v>
      </c>
      <c r="AK978" t="str">
        <f t="shared" si="303"/>
        <v>" },</v>
      </c>
    </row>
    <row r="979" spans="1:37" x14ac:dyDescent="0.25">
      <c r="A979" t="str">
        <f t="shared" si="285"/>
        <v>new Match { MatchId= "</v>
      </c>
      <c r="B979">
        <f>Matchs!A980</f>
        <v>0</v>
      </c>
      <c r="C979" t="str">
        <f t="shared" si="286"/>
        <v>",MatchNumer=</v>
      </c>
      <c r="D979">
        <f>Matchs!B980</f>
        <v>0</v>
      </c>
      <c r="E979" t="str">
        <f t="shared" si="287"/>
        <v>,DateMatch=DateTime.Parse("</v>
      </c>
      <c r="F979" s="3">
        <f>Matchs!C980</f>
        <v>0</v>
      </c>
      <c r="G979" s="10" t="str">
        <f t="shared" si="288"/>
        <v>"),TimeMatch=TimeSpan.Parse("</v>
      </c>
      <c r="H979" s="9">
        <f>Matchs!D980</f>
        <v>0</v>
      </c>
      <c r="I979" t="str">
        <f t="shared" si="289"/>
        <v>"),MatchYear=</v>
      </c>
      <c r="J979">
        <f>Matchs!E980</f>
        <v>0</v>
      </c>
      <c r="K979" t="str">
        <f t="shared" si="290"/>
        <v>, SeasonId= "</v>
      </c>
      <c r="L979">
        <f>Matchs!F980</f>
        <v>0</v>
      </c>
      <c r="M979" t="str">
        <f t="shared" si="291"/>
        <v>",Round= "</v>
      </c>
      <c r="N979">
        <f>Matchs!G980</f>
        <v>0</v>
      </c>
      <c r="O979" s="6" t="str">
        <f t="shared" si="292"/>
        <v>",Stage= "</v>
      </c>
      <c r="P979">
        <f>Matchs!H980</f>
        <v>0</v>
      </c>
      <c r="Q979" s="6" t="str">
        <f t="shared" si="293"/>
        <v>",SubStage= "</v>
      </c>
      <c r="R979">
        <f>Matchs!I980</f>
        <v>0</v>
      </c>
      <c r="S979" s="6" t="str">
        <f t="shared" si="294"/>
        <v>",HTeam= "</v>
      </c>
      <c r="T979">
        <f>Matchs!J980</f>
        <v>0</v>
      </c>
      <c r="U979" s="6" t="str">
        <f t="shared" si="295"/>
        <v>",HGoal=</v>
      </c>
      <c r="V979">
        <f>Matchs!K980</f>
        <v>0</v>
      </c>
      <c r="W979" s="6" t="str">
        <f t="shared" si="296"/>
        <v>,GGoal=</v>
      </c>
      <c r="X979">
        <f>Matchs!L980</f>
        <v>0</v>
      </c>
      <c r="Y979" s="6" t="str">
        <f t="shared" si="297"/>
        <v>,GTeam= "</v>
      </c>
      <c r="Z979">
        <f>Matchs!M980</f>
        <v>0</v>
      </c>
      <c r="AA979" s="6" t="str">
        <f t="shared" si="298"/>
        <v>",WinNote="</v>
      </c>
      <c r="AB979" t="str">
        <f>IF(Matchs!N980="","",Matchs!N980)</f>
        <v/>
      </c>
      <c r="AC979" s="6" t="str">
        <f t="shared" si="299"/>
        <v xml:space="preserve">",Stadium=" </v>
      </c>
      <c r="AD979" s="11">
        <f>Matchs!O980</f>
        <v>0</v>
      </c>
      <c r="AE979" s="6" t="str">
        <f t="shared" si="300"/>
        <v>",Referee= "</v>
      </c>
      <c r="AF979" s="11">
        <f>Matchs!P980</f>
        <v>0</v>
      </c>
      <c r="AG979" s="6" t="str">
        <f t="shared" si="301"/>
        <v xml:space="preserve">",Visistors= </v>
      </c>
      <c r="AH979" s="11">
        <f>Matchs!Q980</f>
        <v>0</v>
      </c>
      <c r="AI979" s="11" t="str">
        <f t="shared" si="302"/>
        <v>,Status= "</v>
      </c>
      <c r="AJ979" s="11">
        <f>Matchs!R980</f>
        <v>0</v>
      </c>
      <c r="AK979" t="str">
        <f t="shared" si="303"/>
        <v>" },</v>
      </c>
    </row>
    <row r="980" spans="1:37" x14ac:dyDescent="0.25">
      <c r="A980" t="str">
        <f t="shared" si="285"/>
        <v>new Match { MatchId= "</v>
      </c>
      <c r="B980">
        <f>Matchs!A981</f>
        <v>0</v>
      </c>
      <c r="C980" t="str">
        <f t="shared" si="286"/>
        <v>",MatchNumer=</v>
      </c>
      <c r="D980">
        <f>Matchs!B981</f>
        <v>0</v>
      </c>
      <c r="E980" t="str">
        <f t="shared" si="287"/>
        <v>,DateMatch=DateTime.Parse("</v>
      </c>
      <c r="F980" s="3">
        <f>Matchs!C981</f>
        <v>0</v>
      </c>
      <c r="G980" s="10" t="str">
        <f t="shared" si="288"/>
        <v>"),TimeMatch=TimeSpan.Parse("</v>
      </c>
      <c r="H980" s="9">
        <f>Matchs!D981</f>
        <v>0</v>
      </c>
      <c r="I980" t="str">
        <f t="shared" si="289"/>
        <v>"),MatchYear=</v>
      </c>
      <c r="J980">
        <f>Matchs!E981</f>
        <v>0</v>
      </c>
      <c r="K980" t="str">
        <f t="shared" si="290"/>
        <v>, SeasonId= "</v>
      </c>
      <c r="L980">
        <f>Matchs!F981</f>
        <v>0</v>
      </c>
      <c r="M980" t="str">
        <f t="shared" si="291"/>
        <v>",Round= "</v>
      </c>
      <c r="N980">
        <f>Matchs!G981</f>
        <v>0</v>
      </c>
      <c r="O980" s="6" t="str">
        <f t="shared" si="292"/>
        <v>",Stage= "</v>
      </c>
      <c r="P980">
        <f>Matchs!H981</f>
        <v>0</v>
      </c>
      <c r="Q980" s="6" t="str">
        <f t="shared" si="293"/>
        <v>",SubStage= "</v>
      </c>
      <c r="R980">
        <f>Matchs!I981</f>
        <v>0</v>
      </c>
      <c r="S980" s="6" t="str">
        <f t="shared" si="294"/>
        <v>",HTeam= "</v>
      </c>
      <c r="T980">
        <f>Matchs!J981</f>
        <v>0</v>
      </c>
      <c r="U980" s="6" t="str">
        <f t="shared" si="295"/>
        <v>",HGoal=</v>
      </c>
      <c r="V980">
        <f>Matchs!K981</f>
        <v>0</v>
      </c>
      <c r="W980" s="6" t="str">
        <f t="shared" si="296"/>
        <v>,GGoal=</v>
      </c>
      <c r="X980">
        <f>Matchs!L981</f>
        <v>0</v>
      </c>
      <c r="Y980" s="6" t="str">
        <f t="shared" si="297"/>
        <v>,GTeam= "</v>
      </c>
      <c r="Z980">
        <f>Matchs!M981</f>
        <v>0</v>
      </c>
      <c r="AA980" s="6" t="str">
        <f t="shared" si="298"/>
        <v>",WinNote="</v>
      </c>
      <c r="AB980" t="str">
        <f>IF(Matchs!N981="","",Matchs!N981)</f>
        <v/>
      </c>
      <c r="AC980" s="6" t="str">
        <f t="shared" si="299"/>
        <v xml:space="preserve">",Stadium=" </v>
      </c>
      <c r="AD980" s="11">
        <f>Matchs!O981</f>
        <v>0</v>
      </c>
      <c r="AE980" s="6" t="str">
        <f t="shared" si="300"/>
        <v>",Referee= "</v>
      </c>
      <c r="AF980" s="11">
        <f>Matchs!P981</f>
        <v>0</v>
      </c>
      <c r="AG980" s="6" t="str">
        <f t="shared" si="301"/>
        <v xml:space="preserve">",Visistors= </v>
      </c>
      <c r="AH980" s="11">
        <f>Matchs!Q981</f>
        <v>0</v>
      </c>
      <c r="AI980" s="11" t="str">
        <f t="shared" si="302"/>
        <v>,Status= "</v>
      </c>
      <c r="AJ980" s="11">
        <f>Matchs!R981</f>
        <v>0</v>
      </c>
      <c r="AK980" t="str">
        <f t="shared" si="303"/>
        <v>" },</v>
      </c>
    </row>
    <row r="981" spans="1:37" x14ac:dyDescent="0.25">
      <c r="A981" t="str">
        <f t="shared" si="285"/>
        <v>new Match { MatchId= "</v>
      </c>
      <c r="B981">
        <f>Matchs!A982</f>
        <v>0</v>
      </c>
      <c r="C981" t="str">
        <f t="shared" si="286"/>
        <v>",MatchNumer=</v>
      </c>
      <c r="D981">
        <f>Matchs!B982</f>
        <v>0</v>
      </c>
      <c r="E981" t="str">
        <f t="shared" si="287"/>
        <v>,DateMatch=DateTime.Parse("</v>
      </c>
      <c r="F981" s="3">
        <f>Matchs!C982</f>
        <v>0</v>
      </c>
      <c r="G981" s="10" t="str">
        <f t="shared" si="288"/>
        <v>"),TimeMatch=TimeSpan.Parse("</v>
      </c>
      <c r="H981" s="9">
        <f>Matchs!D982</f>
        <v>0</v>
      </c>
      <c r="I981" t="str">
        <f t="shared" si="289"/>
        <v>"),MatchYear=</v>
      </c>
      <c r="J981">
        <f>Matchs!E982</f>
        <v>0</v>
      </c>
      <c r="K981" t="str">
        <f t="shared" si="290"/>
        <v>, SeasonId= "</v>
      </c>
      <c r="L981">
        <f>Matchs!F982</f>
        <v>0</v>
      </c>
      <c r="M981" t="str">
        <f t="shared" si="291"/>
        <v>",Round= "</v>
      </c>
      <c r="N981">
        <f>Matchs!G982</f>
        <v>0</v>
      </c>
      <c r="O981" s="6" t="str">
        <f t="shared" si="292"/>
        <v>",Stage= "</v>
      </c>
      <c r="P981">
        <f>Matchs!H982</f>
        <v>0</v>
      </c>
      <c r="Q981" s="6" t="str">
        <f t="shared" si="293"/>
        <v>",SubStage= "</v>
      </c>
      <c r="R981">
        <f>Matchs!I982</f>
        <v>0</v>
      </c>
      <c r="S981" s="6" t="str">
        <f t="shared" si="294"/>
        <v>",HTeam= "</v>
      </c>
      <c r="T981">
        <f>Matchs!J982</f>
        <v>0</v>
      </c>
      <c r="U981" s="6" t="str">
        <f t="shared" si="295"/>
        <v>",HGoal=</v>
      </c>
      <c r="V981">
        <f>Matchs!K982</f>
        <v>0</v>
      </c>
      <c r="W981" s="6" t="str">
        <f t="shared" si="296"/>
        <v>,GGoal=</v>
      </c>
      <c r="X981">
        <f>Matchs!L982</f>
        <v>0</v>
      </c>
      <c r="Y981" s="6" t="str">
        <f t="shared" si="297"/>
        <v>,GTeam= "</v>
      </c>
      <c r="Z981">
        <f>Matchs!M982</f>
        <v>0</v>
      </c>
      <c r="AA981" s="6" t="str">
        <f t="shared" si="298"/>
        <v>",WinNote="</v>
      </c>
      <c r="AB981" t="str">
        <f>IF(Matchs!N982="","",Matchs!N982)</f>
        <v/>
      </c>
      <c r="AC981" s="6" t="str">
        <f t="shared" si="299"/>
        <v xml:space="preserve">",Stadium=" </v>
      </c>
      <c r="AD981" s="11">
        <f>Matchs!O982</f>
        <v>0</v>
      </c>
      <c r="AE981" s="6" t="str">
        <f t="shared" si="300"/>
        <v>",Referee= "</v>
      </c>
      <c r="AF981" s="11">
        <f>Matchs!P982</f>
        <v>0</v>
      </c>
      <c r="AG981" s="6" t="str">
        <f t="shared" si="301"/>
        <v xml:space="preserve">",Visistors= </v>
      </c>
      <c r="AH981" s="11">
        <f>Matchs!Q982</f>
        <v>0</v>
      </c>
      <c r="AI981" s="11" t="str">
        <f t="shared" si="302"/>
        <v>,Status= "</v>
      </c>
      <c r="AJ981" s="11">
        <f>Matchs!R982</f>
        <v>0</v>
      </c>
      <c r="AK981" t="str">
        <f t="shared" si="303"/>
        <v>" },</v>
      </c>
    </row>
    <row r="982" spans="1:37" x14ac:dyDescent="0.25">
      <c r="A982" t="str">
        <f t="shared" si="285"/>
        <v>new Match { MatchId= "</v>
      </c>
      <c r="B982">
        <f>Matchs!A983</f>
        <v>0</v>
      </c>
      <c r="C982" t="str">
        <f t="shared" si="286"/>
        <v>",MatchNumer=</v>
      </c>
      <c r="D982">
        <f>Matchs!B983</f>
        <v>0</v>
      </c>
      <c r="E982" t="str">
        <f t="shared" si="287"/>
        <v>,DateMatch=DateTime.Parse("</v>
      </c>
      <c r="F982" s="3">
        <f>Matchs!C983</f>
        <v>0</v>
      </c>
      <c r="G982" s="10" t="str">
        <f t="shared" si="288"/>
        <v>"),TimeMatch=TimeSpan.Parse("</v>
      </c>
      <c r="H982" s="9">
        <f>Matchs!D983</f>
        <v>0</v>
      </c>
      <c r="I982" t="str">
        <f t="shared" si="289"/>
        <v>"),MatchYear=</v>
      </c>
      <c r="J982">
        <f>Matchs!E983</f>
        <v>0</v>
      </c>
      <c r="K982" t="str">
        <f t="shared" si="290"/>
        <v>, SeasonId= "</v>
      </c>
      <c r="L982">
        <f>Matchs!F983</f>
        <v>0</v>
      </c>
      <c r="M982" t="str">
        <f t="shared" si="291"/>
        <v>",Round= "</v>
      </c>
      <c r="N982">
        <f>Matchs!G983</f>
        <v>0</v>
      </c>
      <c r="O982" s="6" t="str">
        <f t="shared" si="292"/>
        <v>",Stage= "</v>
      </c>
      <c r="P982">
        <f>Matchs!H983</f>
        <v>0</v>
      </c>
      <c r="Q982" s="6" t="str">
        <f t="shared" si="293"/>
        <v>",SubStage= "</v>
      </c>
      <c r="R982">
        <f>Matchs!I983</f>
        <v>0</v>
      </c>
      <c r="S982" s="6" t="str">
        <f t="shared" si="294"/>
        <v>",HTeam= "</v>
      </c>
      <c r="T982">
        <f>Matchs!J983</f>
        <v>0</v>
      </c>
      <c r="U982" s="6" t="str">
        <f t="shared" si="295"/>
        <v>",HGoal=</v>
      </c>
      <c r="V982">
        <f>Matchs!K983</f>
        <v>0</v>
      </c>
      <c r="W982" s="6" t="str">
        <f t="shared" si="296"/>
        <v>,GGoal=</v>
      </c>
      <c r="X982">
        <f>Matchs!L983</f>
        <v>0</v>
      </c>
      <c r="Y982" s="6" t="str">
        <f t="shared" si="297"/>
        <v>,GTeam= "</v>
      </c>
      <c r="Z982">
        <f>Matchs!M983</f>
        <v>0</v>
      </c>
      <c r="AA982" s="6" t="str">
        <f t="shared" si="298"/>
        <v>",WinNote="</v>
      </c>
      <c r="AB982" t="str">
        <f>IF(Matchs!N983="","",Matchs!N983)</f>
        <v/>
      </c>
      <c r="AC982" s="6" t="str">
        <f t="shared" si="299"/>
        <v xml:space="preserve">",Stadium=" </v>
      </c>
      <c r="AD982" s="11">
        <f>Matchs!O983</f>
        <v>0</v>
      </c>
      <c r="AE982" s="6" t="str">
        <f t="shared" si="300"/>
        <v>",Referee= "</v>
      </c>
      <c r="AF982" s="11">
        <f>Matchs!P983</f>
        <v>0</v>
      </c>
      <c r="AG982" s="6" t="str">
        <f t="shared" si="301"/>
        <v xml:space="preserve">",Visistors= </v>
      </c>
      <c r="AH982" s="11">
        <f>Matchs!Q983</f>
        <v>0</v>
      </c>
      <c r="AI982" s="11" t="str">
        <f t="shared" si="302"/>
        <v>,Status= "</v>
      </c>
      <c r="AJ982" s="11">
        <f>Matchs!R983</f>
        <v>0</v>
      </c>
      <c r="AK982" t="str">
        <f t="shared" si="303"/>
        <v>" },</v>
      </c>
    </row>
    <row r="983" spans="1:37" x14ac:dyDescent="0.25">
      <c r="A983" t="str">
        <f t="shared" si="285"/>
        <v>new Match { MatchId= "</v>
      </c>
      <c r="B983">
        <f>Matchs!A984</f>
        <v>0</v>
      </c>
      <c r="C983" t="str">
        <f t="shared" si="286"/>
        <v>",MatchNumer=</v>
      </c>
      <c r="D983">
        <f>Matchs!B984</f>
        <v>0</v>
      </c>
      <c r="E983" t="str">
        <f t="shared" si="287"/>
        <v>,DateMatch=DateTime.Parse("</v>
      </c>
      <c r="F983" s="3">
        <f>Matchs!C984</f>
        <v>0</v>
      </c>
      <c r="G983" s="10" t="str">
        <f t="shared" si="288"/>
        <v>"),TimeMatch=TimeSpan.Parse("</v>
      </c>
      <c r="H983" s="9">
        <f>Matchs!D984</f>
        <v>0</v>
      </c>
      <c r="I983" t="str">
        <f t="shared" si="289"/>
        <v>"),MatchYear=</v>
      </c>
      <c r="J983">
        <f>Matchs!E984</f>
        <v>0</v>
      </c>
      <c r="K983" t="str">
        <f t="shared" si="290"/>
        <v>, SeasonId= "</v>
      </c>
      <c r="L983">
        <f>Matchs!F984</f>
        <v>0</v>
      </c>
      <c r="M983" t="str">
        <f t="shared" si="291"/>
        <v>",Round= "</v>
      </c>
      <c r="N983">
        <f>Matchs!G984</f>
        <v>0</v>
      </c>
      <c r="O983" s="6" t="str">
        <f t="shared" si="292"/>
        <v>",Stage= "</v>
      </c>
      <c r="P983">
        <f>Matchs!H984</f>
        <v>0</v>
      </c>
      <c r="Q983" s="6" t="str">
        <f t="shared" si="293"/>
        <v>",SubStage= "</v>
      </c>
      <c r="R983">
        <f>Matchs!I984</f>
        <v>0</v>
      </c>
      <c r="S983" s="6" t="str">
        <f t="shared" si="294"/>
        <v>",HTeam= "</v>
      </c>
      <c r="T983">
        <f>Matchs!J984</f>
        <v>0</v>
      </c>
      <c r="U983" s="6" t="str">
        <f t="shared" si="295"/>
        <v>",HGoal=</v>
      </c>
      <c r="V983">
        <f>Matchs!K984</f>
        <v>0</v>
      </c>
      <c r="W983" s="6" t="str">
        <f t="shared" si="296"/>
        <v>,GGoal=</v>
      </c>
      <c r="X983">
        <f>Matchs!L984</f>
        <v>0</v>
      </c>
      <c r="Y983" s="6" t="str">
        <f t="shared" si="297"/>
        <v>,GTeam= "</v>
      </c>
      <c r="Z983">
        <f>Matchs!M984</f>
        <v>0</v>
      </c>
      <c r="AA983" s="6" t="str">
        <f t="shared" si="298"/>
        <v>",WinNote="</v>
      </c>
      <c r="AB983" t="str">
        <f>IF(Matchs!N984="","",Matchs!N984)</f>
        <v/>
      </c>
      <c r="AC983" s="6" t="str">
        <f t="shared" si="299"/>
        <v xml:space="preserve">",Stadium=" </v>
      </c>
      <c r="AD983" s="11">
        <f>Matchs!O984</f>
        <v>0</v>
      </c>
      <c r="AE983" s="6" t="str">
        <f t="shared" si="300"/>
        <v>",Referee= "</v>
      </c>
      <c r="AF983" s="11">
        <f>Matchs!P984</f>
        <v>0</v>
      </c>
      <c r="AG983" s="6" t="str">
        <f t="shared" si="301"/>
        <v xml:space="preserve">",Visistors= </v>
      </c>
      <c r="AH983" s="11">
        <f>Matchs!Q984</f>
        <v>0</v>
      </c>
      <c r="AI983" s="11" t="str">
        <f t="shared" si="302"/>
        <v>,Status= "</v>
      </c>
      <c r="AJ983" s="11">
        <f>Matchs!R984</f>
        <v>0</v>
      </c>
      <c r="AK983" t="str">
        <f t="shared" si="303"/>
        <v>" },</v>
      </c>
    </row>
    <row r="984" spans="1:37" x14ac:dyDescent="0.25">
      <c r="A984" t="str">
        <f t="shared" si="285"/>
        <v>new Match { MatchId= "</v>
      </c>
      <c r="B984">
        <f>Matchs!A985</f>
        <v>0</v>
      </c>
      <c r="C984" t="str">
        <f t="shared" si="286"/>
        <v>",MatchNumer=</v>
      </c>
      <c r="D984">
        <f>Matchs!B985</f>
        <v>0</v>
      </c>
      <c r="E984" t="str">
        <f t="shared" si="287"/>
        <v>,DateMatch=DateTime.Parse("</v>
      </c>
      <c r="F984" s="3">
        <f>Matchs!C985</f>
        <v>0</v>
      </c>
      <c r="G984" s="10" t="str">
        <f t="shared" si="288"/>
        <v>"),TimeMatch=TimeSpan.Parse("</v>
      </c>
      <c r="H984" s="9">
        <f>Matchs!D985</f>
        <v>0</v>
      </c>
      <c r="I984" t="str">
        <f t="shared" si="289"/>
        <v>"),MatchYear=</v>
      </c>
      <c r="J984">
        <f>Matchs!E985</f>
        <v>0</v>
      </c>
      <c r="K984" t="str">
        <f t="shared" si="290"/>
        <v>, SeasonId= "</v>
      </c>
      <c r="L984">
        <f>Matchs!F985</f>
        <v>0</v>
      </c>
      <c r="M984" t="str">
        <f t="shared" si="291"/>
        <v>",Round= "</v>
      </c>
      <c r="N984">
        <f>Matchs!G985</f>
        <v>0</v>
      </c>
      <c r="O984" s="6" t="str">
        <f t="shared" si="292"/>
        <v>",Stage= "</v>
      </c>
      <c r="P984">
        <f>Matchs!H985</f>
        <v>0</v>
      </c>
      <c r="Q984" s="6" t="str">
        <f t="shared" si="293"/>
        <v>",SubStage= "</v>
      </c>
      <c r="R984">
        <f>Matchs!I985</f>
        <v>0</v>
      </c>
      <c r="S984" s="6" t="str">
        <f t="shared" si="294"/>
        <v>",HTeam= "</v>
      </c>
      <c r="T984">
        <f>Matchs!J985</f>
        <v>0</v>
      </c>
      <c r="U984" s="6" t="str">
        <f t="shared" si="295"/>
        <v>",HGoal=</v>
      </c>
      <c r="V984">
        <f>Matchs!K985</f>
        <v>0</v>
      </c>
      <c r="W984" s="6" t="str">
        <f t="shared" si="296"/>
        <v>,GGoal=</v>
      </c>
      <c r="X984">
        <f>Matchs!L985</f>
        <v>0</v>
      </c>
      <c r="Y984" s="6" t="str">
        <f t="shared" si="297"/>
        <v>,GTeam= "</v>
      </c>
      <c r="Z984">
        <f>Matchs!M985</f>
        <v>0</v>
      </c>
      <c r="AA984" s="6" t="str">
        <f t="shared" si="298"/>
        <v>",WinNote="</v>
      </c>
      <c r="AB984" t="str">
        <f>IF(Matchs!N985="","",Matchs!N985)</f>
        <v/>
      </c>
      <c r="AC984" s="6" t="str">
        <f t="shared" si="299"/>
        <v xml:space="preserve">",Stadium=" </v>
      </c>
      <c r="AD984" s="11">
        <f>Matchs!O985</f>
        <v>0</v>
      </c>
      <c r="AE984" s="6" t="str">
        <f t="shared" si="300"/>
        <v>",Referee= "</v>
      </c>
      <c r="AF984" s="11">
        <f>Matchs!P985</f>
        <v>0</v>
      </c>
      <c r="AG984" s="6" t="str">
        <f t="shared" si="301"/>
        <v xml:space="preserve">",Visistors= </v>
      </c>
      <c r="AH984" s="11">
        <f>Matchs!Q985</f>
        <v>0</v>
      </c>
      <c r="AI984" s="11" t="str">
        <f t="shared" si="302"/>
        <v>,Status= "</v>
      </c>
      <c r="AJ984" s="11">
        <f>Matchs!R985</f>
        <v>0</v>
      </c>
      <c r="AK984" t="str">
        <f t="shared" si="303"/>
        <v>" },</v>
      </c>
    </row>
    <row r="985" spans="1:37" x14ac:dyDescent="0.25">
      <c r="A985" t="str">
        <f t="shared" si="285"/>
        <v>new Match { MatchId= "</v>
      </c>
      <c r="B985">
        <f>Matchs!A986</f>
        <v>0</v>
      </c>
      <c r="C985" t="str">
        <f t="shared" si="286"/>
        <v>",MatchNumer=</v>
      </c>
      <c r="D985">
        <f>Matchs!B986</f>
        <v>0</v>
      </c>
      <c r="E985" t="str">
        <f t="shared" si="287"/>
        <v>,DateMatch=DateTime.Parse("</v>
      </c>
      <c r="F985" s="3">
        <f>Matchs!C986</f>
        <v>0</v>
      </c>
      <c r="G985" s="10" t="str">
        <f t="shared" si="288"/>
        <v>"),TimeMatch=TimeSpan.Parse("</v>
      </c>
      <c r="H985" s="9">
        <f>Matchs!D986</f>
        <v>0</v>
      </c>
      <c r="I985" t="str">
        <f t="shared" si="289"/>
        <v>"),MatchYear=</v>
      </c>
      <c r="J985">
        <f>Matchs!E986</f>
        <v>0</v>
      </c>
      <c r="K985" t="str">
        <f t="shared" si="290"/>
        <v>, SeasonId= "</v>
      </c>
      <c r="L985">
        <f>Matchs!F986</f>
        <v>0</v>
      </c>
      <c r="M985" t="str">
        <f t="shared" si="291"/>
        <v>",Round= "</v>
      </c>
      <c r="N985">
        <f>Matchs!G986</f>
        <v>0</v>
      </c>
      <c r="O985" s="6" t="str">
        <f t="shared" si="292"/>
        <v>",Stage= "</v>
      </c>
      <c r="P985">
        <f>Matchs!H986</f>
        <v>0</v>
      </c>
      <c r="Q985" s="6" t="str">
        <f t="shared" si="293"/>
        <v>",SubStage= "</v>
      </c>
      <c r="R985">
        <f>Matchs!I986</f>
        <v>0</v>
      </c>
      <c r="S985" s="6" t="str">
        <f t="shared" si="294"/>
        <v>",HTeam= "</v>
      </c>
      <c r="T985">
        <f>Matchs!J986</f>
        <v>0</v>
      </c>
      <c r="U985" s="6" t="str">
        <f t="shared" si="295"/>
        <v>",HGoal=</v>
      </c>
      <c r="V985">
        <f>Matchs!K986</f>
        <v>0</v>
      </c>
      <c r="W985" s="6" t="str">
        <f t="shared" si="296"/>
        <v>,GGoal=</v>
      </c>
      <c r="X985">
        <f>Matchs!L986</f>
        <v>0</v>
      </c>
      <c r="Y985" s="6" t="str">
        <f t="shared" si="297"/>
        <v>,GTeam= "</v>
      </c>
      <c r="Z985">
        <f>Matchs!M986</f>
        <v>0</v>
      </c>
      <c r="AA985" s="6" t="str">
        <f t="shared" si="298"/>
        <v>",WinNote="</v>
      </c>
      <c r="AB985" t="str">
        <f>IF(Matchs!N986="","",Matchs!N986)</f>
        <v/>
      </c>
      <c r="AC985" s="6" t="str">
        <f t="shared" si="299"/>
        <v xml:space="preserve">",Stadium=" </v>
      </c>
      <c r="AD985" s="11">
        <f>Matchs!O986</f>
        <v>0</v>
      </c>
      <c r="AE985" s="6" t="str">
        <f t="shared" si="300"/>
        <v>",Referee= "</v>
      </c>
      <c r="AF985" s="11">
        <f>Matchs!P986</f>
        <v>0</v>
      </c>
      <c r="AG985" s="6" t="str">
        <f t="shared" si="301"/>
        <v xml:space="preserve">",Visistors= </v>
      </c>
      <c r="AH985" s="11">
        <f>Matchs!Q986</f>
        <v>0</v>
      </c>
      <c r="AI985" s="11" t="str">
        <f t="shared" si="302"/>
        <v>,Status= "</v>
      </c>
      <c r="AJ985" s="11">
        <f>Matchs!R986</f>
        <v>0</v>
      </c>
      <c r="AK985" t="str">
        <f t="shared" si="303"/>
        <v>" },</v>
      </c>
    </row>
    <row r="986" spans="1:37" x14ac:dyDescent="0.25">
      <c r="A986" t="str">
        <f t="shared" si="285"/>
        <v>new Match { MatchId= "</v>
      </c>
      <c r="B986">
        <f>Matchs!A987</f>
        <v>0</v>
      </c>
      <c r="C986" t="str">
        <f t="shared" si="286"/>
        <v>",MatchNumer=</v>
      </c>
      <c r="D986">
        <f>Matchs!B987</f>
        <v>0</v>
      </c>
      <c r="E986" t="str">
        <f t="shared" si="287"/>
        <v>,DateMatch=DateTime.Parse("</v>
      </c>
      <c r="F986" s="3">
        <f>Matchs!C987</f>
        <v>0</v>
      </c>
      <c r="G986" s="10" t="str">
        <f t="shared" si="288"/>
        <v>"),TimeMatch=TimeSpan.Parse("</v>
      </c>
      <c r="H986" s="9">
        <f>Matchs!D987</f>
        <v>0</v>
      </c>
      <c r="I986" t="str">
        <f t="shared" si="289"/>
        <v>"),MatchYear=</v>
      </c>
      <c r="J986">
        <f>Matchs!E987</f>
        <v>0</v>
      </c>
      <c r="K986" t="str">
        <f t="shared" si="290"/>
        <v>, SeasonId= "</v>
      </c>
      <c r="L986">
        <f>Matchs!F987</f>
        <v>0</v>
      </c>
      <c r="M986" t="str">
        <f t="shared" si="291"/>
        <v>",Round= "</v>
      </c>
      <c r="N986">
        <f>Matchs!G987</f>
        <v>0</v>
      </c>
      <c r="O986" s="6" t="str">
        <f t="shared" si="292"/>
        <v>",Stage= "</v>
      </c>
      <c r="P986">
        <f>Matchs!H987</f>
        <v>0</v>
      </c>
      <c r="Q986" s="6" t="str">
        <f t="shared" si="293"/>
        <v>",SubStage= "</v>
      </c>
      <c r="R986">
        <f>Matchs!I987</f>
        <v>0</v>
      </c>
      <c r="S986" s="6" t="str">
        <f t="shared" si="294"/>
        <v>",HTeam= "</v>
      </c>
      <c r="T986">
        <f>Matchs!J987</f>
        <v>0</v>
      </c>
      <c r="U986" s="6" t="str">
        <f t="shared" si="295"/>
        <v>",HGoal=</v>
      </c>
      <c r="V986">
        <f>Matchs!K987</f>
        <v>0</v>
      </c>
      <c r="W986" s="6" t="str">
        <f t="shared" si="296"/>
        <v>,GGoal=</v>
      </c>
      <c r="X986">
        <f>Matchs!L987</f>
        <v>0</v>
      </c>
      <c r="Y986" s="6" t="str">
        <f t="shared" si="297"/>
        <v>,GTeam= "</v>
      </c>
      <c r="Z986">
        <f>Matchs!M987</f>
        <v>0</v>
      </c>
      <c r="AA986" s="6" t="str">
        <f t="shared" si="298"/>
        <v>",WinNote="</v>
      </c>
      <c r="AB986" t="str">
        <f>IF(Matchs!N987="","",Matchs!N987)</f>
        <v/>
      </c>
      <c r="AC986" s="6" t="str">
        <f t="shared" si="299"/>
        <v xml:space="preserve">",Stadium=" </v>
      </c>
      <c r="AD986" s="11">
        <f>Matchs!O987</f>
        <v>0</v>
      </c>
      <c r="AE986" s="6" t="str">
        <f t="shared" si="300"/>
        <v>",Referee= "</v>
      </c>
      <c r="AF986" s="11">
        <f>Matchs!P987</f>
        <v>0</v>
      </c>
      <c r="AG986" s="6" t="str">
        <f t="shared" si="301"/>
        <v xml:space="preserve">",Visistors= </v>
      </c>
      <c r="AH986" s="11">
        <f>Matchs!Q987</f>
        <v>0</v>
      </c>
      <c r="AI986" s="11" t="str">
        <f t="shared" si="302"/>
        <v>,Status= "</v>
      </c>
      <c r="AJ986" s="11">
        <f>Matchs!R987</f>
        <v>0</v>
      </c>
      <c r="AK986" t="str">
        <f t="shared" si="303"/>
        <v>" },</v>
      </c>
    </row>
    <row r="987" spans="1:37" x14ac:dyDescent="0.25">
      <c r="A987" t="str">
        <f t="shared" si="285"/>
        <v>new Match { MatchId= "</v>
      </c>
      <c r="B987">
        <f>Matchs!A988</f>
        <v>0</v>
      </c>
      <c r="C987" t="str">
        <f t="shared" si="286"/>
        <v>",MatchNumer=</v>
      </c>
      <c r="D987">
        <f>Matchs!B988</f>
        <v>0</v>
      </c>
      <c r="E987" t="str">
        <f t="shared" si="287"/>
        <v>,DateMatch=DateTime.Parse("</v>
      </c>
      <c r="F987" s="3">
        <f>Matchs!C988</f>
        <v>0</v>
      </c>
      <c r="G987" s="10" t="str">
        <f t="shared" si="288"/>
        <v>"),TimeMatch=TimeSpan.Parse("</v>
      </c>
      <c r="H987" s="9">
        <f>Matchs!D988</f>
        <v>0</v>
      </c>
      <c r="I987" t="str">
        <f t="shared" si="289"/>
        <v>"),MatchYear=</v>
      </c>
      <c r="J987">
        <f>Matchs!E988</f>
        <v>0</v>
      </c>
      <c r="K987" t="str">
        <f t="shared" si="290"/>
        <v>, SeasonId= "</v>
      </c>
      <c r="L987">
        <f>Matchs!F988</f>
        <v>0</v>
      </c>
      <c r="M987" t="str">
        <f t="shared" si="291"/>
        <v>",Round= "</v>
      </c>
      <c r="N987">
        <f>Matchs!G988</f>
        <v>0</v>
      </c>
      <c r="O987" s="6" t="str">
        <f t="shared" si="292"/>
        <v>",Stage= "</v>
      </c>
      <c r="P987">
        <f>Matchs!H988</f>
        <v>0</v>
      </c>
      <c r="Q987" s="6" t="str">
        <f t="shared" si="293"/>
        <v>",SubStage= "</v>
      </c>
      <c r="R987">
        <f>Matchs!I988</f>
        <v>0</v>
      </c>
      <c r="S987" s="6" t="str">
        <f t="shared" si="294"/>
        <v>",HTeam= "</v>
      </c>
      <c r="T987">
        <f>Matchs!J988</f>
        <v>0</v>
      </c>
      <c r="U987" s="6" t="str">
        <f t="shared" si="295"/>
        <v>",HGoal=</v>
      </c>
      <c r="V987">
        <f>Matchs!K988</f>
        <v>0</v>
      </c>
      <c r="W987" s="6" t="str">
        <f t="shared" si="296"/>
        <v>,GGoal=</v>
      </c>
      <c r="X987">
        <f>Matchs!L988</f>
        <v>0</v>
      </c>
      <c r="Y987" s="6" t="str">
        <f t="shared" si="297"/>
        <v>,GTeam= "</v>
      </c>
      <c r="Z987">
        <f>Matchs!M988</f>
        <v>0</v>
      </c>
      <c r="AA987" s="6" t="str">
        <f t="shared" si="298"/>
        <v>",WinNote="</v>
      </c>
      <c r="AB987" t="str">
        <f>IF(Matchs!N988="","",Matchs!N988)</f>
        <v/>
      </c>
      <c r="AC987" s="6" t="str">
        <f t="shared" si="299"/>
        <v xml:space="preserve">",Stadium=" </v>
      </c>
      <c r="AD987" s="11">
        <f>Matchs!O988</f>
        <v>0</v>
      </c>
      <c r="AE987" s="6" t="str">
        <f t="shared" si="300"/>
        <v>",Referee= "</v>
      </c>
      <c r="AF987" s="11">
        <f>Matchs!P988</f>
        <v>0</v>
      </c>
      <c r="AG987" s="6" t="str">
        <f t="shared" si="301"/>
        <v xml:space="preserve">",Visistors= </v>
      </c>
      <c r="AH987" s="11">
        <f>Matchs!Q988</f>
        <v>0</v>
      </c>
      <c r="AI987" s="11" t="str">
        <f t="shared" si="302"/>
        <v>,Status= "</v>
      </c>
      <c r="AJ987" s="11">
        <f>Matchs!R988</f>
        <v>0</v>
      </c>
      <c r="AK987" t="str">
        <f t="shared" si="303"/>
        <v>" },</v>
      </c>
    </row>
    <row r="988" spans="1:37" x14ac:dyDescent="0.25">
      <c r="A988" t="str">
        <f t="shared" si="285"/>
        <v>new Match { MatchId= "</v>
      </c>
      <c r="B988">
        <f>Matchs!A989</f>
        <v>0</v>
      </c>
      <c r="C988" t="str">
        <f t="shared" si="286"/>
        <v>",MatchNumer=</v>
      </c>
      <c r="D988">
        <f>Matchs!B989</f>
        <v>0</v>
      </c>
      <c r="E988" t="str">
        <f t="shared" si="287"/>
        <v>,DateMatch=DateTime.Parse("</v>
      </c>
      <c r="F988" s="3">
        <f>Matchs!C989</f>
        <v>0</v>
      </c>
      <c r="G988" s="10" t="str">
        <f t="shared" si="288"/>
        <v>"),TimeMatch=TimeSpan.Parse("</v>
      </c>
      <c r="H988" s="9">
        <f>Matchs!D989</f>
        <v>0</v>
      </c>
      <c r="I988" t="str">
        <f t="shared" si="289"/>
        <v>"),MatchYear=</v>
      </c>
      <c r="J988">
        <f>Matchs!E989</f>
        <v>0</v>
      </c>
      <c r="K988" t="str">
        <f t="shared" si="290"/>
        <v>, SeasonId= "</v>
      </c>
      <c r="L988">
        <f>Matchs!F989</f>
        <v>0</v>
      </c>
      <c r="M988" t="str">
        <f t="shared" si="291"/>
        <v>",Round= "</v>
      </c>
      <c r="N988">
        <f>Matchs!G989</f>
        <v>0</v>
      </c>
      <c r="O988" s="6" t="str">
        <f t="shared" si="292"/>
        <v>",Stage= "</v>
      </c>
      <c r="P988">
        <f>Matchs!H989</f>
        <v>0</v>
      </c>
      <c r="Q988" s="6" t="str">
        <f t="shared" si="293"/>
        <v>",SubStage= "</v>
      </c>
      <c r="R988">
        <f>Matchs!I989</f>
        <v>0</v>
      </c>
      <c r="S988" s="6" t="str">
        <f t="shared" si="294"/>
        <v>",HTeam= "</v>
      </c>
      <c r="T988">
        <f>Matchs!J989</f>
        <v>0</v>
      </c>
      <c r="U988" s="6" t="str">
        <f t="shared" si="295"/>
        <v>",HGoal=</v>
      </c>
      <c r="V988">
        <f>Matchs!K989</f>
        <v>0</v>
      </c>
      <c r="W988" s="6" t="str">
        <f t="shared" si="296"/>
        <v>,GGoal=</v>
      </c>
      <c r="X988">
        <f>Matchs!L989</f>
        <v>0</v>
      </c>
      <c r="Y988" s="6" t="str">
        <f t="shared" si="297"/>
        <v>,GTeam= "</v>
      </c>
      <c r="Z988">
        <f>Matchs!M989</f>
        <v>0</v>
      </c>
      <c r="AA988" s="6" t="str">
        <f t="shared" si="298"/>
        <v>",WinNote="</v>
      </c>
      <c r="AB988" t="str">
        <f>IF(Matchs!N989="","",Matchs!N989)</f>
        <v/>
      </c>
      <c r="AC988" s="6" t="str">
        <f t="shared" si="299"/>
        <v xml:space="preserve">",Stadium=" </v>
      </c>
      <c r="AD988" s="11">
        <f>Matchs!O989</f>
        <v>0</v>
      </c>
      <c r="AE988" s="6" t="str">
        <f t="shared" si="300"/>
        <v>",Referee= "</v>
      </c>
      <c r="AF988" s="11">
        <f>Matchs!P989</f>
        <v>0</v>
      </c>
      <c r="AG988" s="6" t="str">
        <f t="shared" si="301"/>
        <v xml:space="preserve">",Visistors= </v>
      </c>
      <c r="AH988" s="11">
        <f>Matchs!Q989</f>
        <v>0</v>
      </c>
      <c r="AI988" s="11" t="str">
        <f t="shared" si="302"/>
        <v>,Status= "</v>
      </c>
      <c r="AJ988" s="11">
        <f>Matchs!R989</f>
        <v>0</v>
      </c>
      <c r="AK988" t="str">
        <f t="shared" si="303"/>
        <v>" },</v>
      </c>
    </row>
    <row r="989" spans="1:37" x14ac:dyDescent="0.25">
      <c r="A989" t="str">
        <f t="shared" si="285"/>
        <v>new Match { MatchId= "</v>
      </c>
      <c r="B989">
        <f>Matchs!A990</f>
        <v>0</v>
      </c>
      <c r="C989" t="str">
        <f t="shared" si="286"/>
        <v>",MatchNumer=</v>
      </c>
      <c r="D989">
        <f>Matchs!B990</f>
        <v>0</v>
      </c>
      <c r="E989" t="str">
        <f t="shared" si="287"/>
        <v>,DateMatch=DateTime.Parse("</v>
      </c>
      <c r="F989" s="3">
        <f>Matchs!C990</f>
        <v>0</v>
      </c>
      <c r="G989" s="10" t="str">
        <f t="shared" si="288"/>
        <v>"),TimeMatch=TimeSpan.Parse("</v>
      </c>
      <c r="H989" s="9">
        <f>Matchs!D990</f>
        <v>0</v>
      </c>
      <c r="I989" t="str">
        <f t="shared" si="289"/>
        <v>"),MatchYear=</v>
      </c>
      <c r="J989">
        <f>Matchs!E990</f>
        <v>0</v>
      </c>
      <c r="K989" t="str">
        <f t="shared" si="290"/>
        <v>, SeasonId= "</v>
      </c>
      <c r="L989">
        <f>Matchs!F990</f>
        <v>0</v>
      </c>
      <c r="M989" t="str">
        <f t="shared" si="291"/>
        <v>",Round= "</v>
      </c>
      <c r="N989">
        <f>Matchs!G990</f>
        <v>0</v>
      </c>
      <c r="O989" s="6" t="str">
        <f t="shared" si="292"/>
        <v>",Stage= "</v>
      </c>
      <c r="P989">
        <f>Matchs!H990</f>
        <v>0</v>
      </c>
      <c r="Q989" s="6" t="str">
        <f t="shared" si="293"/>
        <v>",SubStage= "</v>
      </c>
      <c r="R989">
        <f>Matchs!I990</f>
        <v>0</v>
      </c>
      <c r="S989" s="6" t="str">
        <f t="shared" si="294"/>
        <v>",HTeam= "</v>
      </c>
      <c r="T989">
        <f>Matchs!J990</f>
        <v>0</v>
      </c>
      <c r="U989" s="6" t="str">
        <f t="shared" si="295"/>
        <v>",HGoal=</v>
      </c>
      <c r="V989">
        <f>Matchs!K990</f>
        <v>0</v>
      </c>
      <c r="W989" s="6" t="str">
        <f t="shared" si="296"/>
        <v>,GGoal=</v>
      </c>
      <c r="X989">
        <f>Matchs!L990</f>
        <v>0</v>
      </c>
      <c r="Y989" s="6" t="str">
        <f t="shared" si="297"/>
        <v>,GTeam= "</v>
      </c>
      <c r="Z989">
        <f>Matchs!M990</f>
        <v>0</v>
      </c>
      <c r="AA989" s="6" t="str">
        <f t="shared" si="298"/>
        <v>",WinNote="</v>
      </c>
      <c r="AB989" t="str">
        <f>IF(Matchs!N990="","",Matchs!N990)</f>
        <v/>
      </c>
      <c r="AC989" s="6" t="str">
        <f t="shared" si="299"/>
        <v xml:space="preserve">",Stadium=" </v>
      </c>
      <c r="AD989" s="11">
        <f>Matchs!O990</f>
        <v>0</v>
      </c>
      <c r="AE989" s="6" t="str">
        <f t="shared" si="300"/>
        <v>",Referee= "</v>
      </c>
      <c r="AF989" s="11">
        <f>Matchs!P990</f>
        <v>0</v>
      </c>
      <c r="AG989" s="6" t="str">
        <f t="shared" si="301"/>
        <v xml:space="preserve">",Visistors= </v>
      </c>
      <c r="AH989" s="11">
        <f>Matchs!Q990</f>
        <v>0</v>
      </c>
      <c r="AI989" s="11" t="str">
        <f t="shared" si="302"/>
        <v>,Status= "</v>
      </c>
      <c r="AJ989" s="11">
        <f>Matchs!R990</f>
        <v>0</v>
      </c>
      <c r="AK989" t="str">
        <f t="shared" si="303"/>
        <v>" },</v>
      </c>
    </row>
    <row r="990" spans="1:37" x14ac:dyDescent="0.25">
      <c r="A990" t="str">
        <f t="shared" si="285"/>
        <v>new Match { MatchId= "</v>
      </c>
      <c r="B990">
        <f>Matchs!A991</f>
        <v>0</v>
      </c>
      <c r="C990" t="str">
        <f t="shared" si="286"/>
        <v>",MatchNumer=</v>
      </c>
      <c r="D990">
        <f>Matchs!B991</f>
        <v>0</v>
      </c>
      <c r="E990" t="str">
        <f t="shared" si="287"/>
        <v>,DateMatch=DateTime.Parse("</v>
      </c>
      <c r="F990" s="3">
        <f>Matchs!C991</f>
        <v>0</v>
      </c>
      <c r="G990" s="10" t="str">
        <f t="shared" si="288"/>
        <v>"),TimeMatch=TimeSpan.Parse("</v>
      </c>
      <c r="H990" s="9">
        <f>Matchs!D991</f>
        <v>0</v>
      </c>
      <c r="I990" t="str">
        <f t="shared" si="289"/>
        <v>"),MatchYear=</v>
      </c>
      <c r="J990">
        <f>Matchs!E991</f>
        <v>0</v>
      </c>
      <c r="K990" t="str">
        <f t="shared" si="290"/>
        <v>, SeasonId= "</v>
      </c>
      <c r="L990">
        <f>Matchs!F991</f>
        <v>0</v>
      </c>
      <c r="M990" t="str">
        <f t="shared" si="291"/>
        <v>",Round= "</v>
      </c>
      <c r="N990">
        <f>Matchs!G991</f>
        <v>0</v>
      </c>
      <c r="O990" s="6" t="str">
        <f t="shared" si="292"/>
        <v>",Stage= "</v>
      </c>
      <c r="P990">
        <f>Matchs!H991</f>
        <v>0</v>
      </c>
      <c r="Q990" s="6" t="str">
        <f t="shared" si="293"/>
        <v>",SubStage= "</v>
      </c>
      <c r="R990">
        <f>Matchs!I991</f>
        <v>0</v>
      </c>
      <c r="S990" s="6" t="str">
        <f t="shared" si="294"/>
        <v>",HTeam= "</v>
      </c>
      <c r="T990">
        <f>Matchs!J991</f>
        <v>0</v>
      </c>
      <c r="U990" s="6" t="str">
        <f t="shared" si="295"/>
        <v>",HGoal=</v>
      </c>
      <c r="V990">
        <f>Matchs!K991</f>
        <v>0</v>
      </c>
      <c r="W990" s="6" t="str">
        <f t="shared" si="296"/>
        <v>,GGoal=</v>
      </c>
      <c r="X990">
        <f>Matchs!L991</f>
        <v>0</v>
      </c>
      <c r="Y990" s="6" t="str">
        <f t="shared" si="297"/>
        <v>,GTeam= "</v>
      </c>
      <c r="Z990">
        <f>Matchs!M991</f>
        <v>0</v>
      </c>
      <c r="AA990" s="6" t="str">
        <f t="shared" si="298"/>
        <v>",WinNote="</v>
      </c>
      <c r="AB990" t="str">
        <f>IF(Matchs!N991="","",Matchs!N991)</f>
        <v/>
      </c>
      <c r="AC990" s="6" t="str">
        <f t="shared" si="299"/>
        <v xml:space="preserve">",Stadium=" </v>
      </c>
      <c r="AD990" s="11">
        <f>Matchs!O991</f>
        <v>0</v>
      </c>
      <c r="AE990" s="6" t="str">
        <f t="shared" si="300"/>
        <v>",Referee= "</v>
      </c>
      <c r="AF990" s="11">
        <f>Matchs!P991</f>
        <v>0</v>
      </c>
      <c r="AG990" s="6" t="str">
        <f t="shared" si="301"/>
        <v xml:space="preserve">",Visistors= </v>
      </c>
      <c r="AH990" s="11">
        <f>Matchs!Q991</f>
        <v>0</v>
      </c>
      <c r="AI990" s="11" t="str">
        <f t="shared" si="302"/>
        <v>,Status= "</v>
      </c>
      <c r="AJ990" s="11">
        <f>Matchs!R991</f>
        <v>0</v>
      </c>
      <c r="AK990" t="str">
        <f t="shared" si="303"/>
        <v>" },</v>
      </c>
    </row>
    <row r="991" spans="1:37" x14ac:dyDescent="0.25">
      <c r="A991" t="str">
        <f t="shared" si="285"/>
        <v>new Match { MatchId= "</v>
      </c>
      <c r="B991">
        <f>Matchs!A992</f>
        <v>0</v>
      </c>
      <c r="C991" t="str">
        <f t="shared" si="286"/>
        <v>",MatchNumer=</v>
      </c>
      <c r="D991">
        <f>Matchs!B992</f>
        <v>0</v>
      </c>
      <c r="E991" t="str">
        <f t="shared" si="287"/>
        <v>,DateMatch=DateTime.Parse("</v>
      </c>
      <c r="F991" s="3">
        <f>Matchs!C992</f>
        <v>0</v>
      </c>
      <c r="G991" s="10" t="str">
        <f t="shared" si="288"/>
        <v>"),TimeMatch=TimeSpan.Parse("</v>
      </c>
      <c r="H991" s="9">
        <f>Matchs!D992</f>
        <v>0</v>
      </c>
      <c r="I991" t="str">
        <f t="shared" si="289"/>
        <v>"),MatchYear=</v>
      </c>
      <c r="J991">
        <f>Matchs!E992</f>
        <v>0</v>
      </c>
      <c r="K991" t="str">
        <f t="shared" si="290"/>
        <v>, SeasonId= "</v>
      </c>
      <c r="L991">
        <f>Matchs!F992</f>
        <v>0</v>
      </c>
      <c r="M991" t="str">
        <f t="shared" si="291"/>
        <v>",Round= "</v>
      </c>
      <c r="N991">
        <f>Matchs!G992</f>
        <v>0</v>
      </c>
      <c r="O991" s="6" t="str">
        <f t="shared" si="292"/>
        <v>",Stage= "</v>
      </c>
      <c r="P991">
        <f>Matchs!H992</f>
        <v>0</v>
      </c>
      <c r="Q991" s="6" t="str">
        <f t="shared" si="293"/>
        <v>",SubStage= "</v>
      </c>
      <c r="R991">
        <f>Matchs!I992</f>
        <v>0</v>
      </c>
      <c r="S991" s="6" t="str">
        <f t="shared" si="294"/>
        <v>",HTeam= "</v>
      </c>
      <c r="T991">
        <f>Matchs!J992</f>
        <v>0</v>
      </c>
      <c r="U991" s="6" t="str">
        <f t="shared" si="295"/>
        <v>",HGoal=</v>
      </c>
      <c r="V991">
        <f>Matchs!K992</f>
        <v>0</v>
      </c>
      <c r="W991" s="6" t="str">
        <f t="shared" si="296"/>
        <v>,GGoal=</v>
      </c>
      <c r="X991">
        <f>Matchs!L992</f>
        <v>0</v>
      </c>
      <c r="Y991" s="6" t="str">
        <f t="shared" si="297"/>
        <v>,GTeam= "</v>
      </c>
      <c r="Z991">
        <f>Matchs!M992</f>
        <v>0</v>
      </c>
      <c r="AA991" s="6" t="str">
        <f t="shared" si="298"/>
        <v>",WinNote="</v>
      </c>
      <c r="AB991" t="str">
        <f>IF(Matchs!N992="","",Matchs!N992)</f>
        <v/>
      </c>
      <c r="AC991" s="6" t="str">
        <f t="shared" si="299"/>
        <v xml:space="preserve">",Stadium=" </v>
      </c>
      <c r="AD991" s="11">
        <f>Matchs!O992</f>
        <v>0</v>
      </c>
      <c r="AE991" s="6" t="str">
        <f t="shared" si="300"/>
        <v>",Referee= "</v>
      </c>
      <c r="AF991" s="11">
        <f>Matchs!P992</f>
        <v>0</v>
      </c>
      <c r="AG991" s="6" t="str">
        <f t="shared" si="301"/>
        <v xml:space="preserve">",Visistors= </v>
      </c>
      <c r="AH991" s="11">
        <f>Matchs!Q992</f>
        <v>0</v>
      </c>
      <c r="AI991" s="11" t="str">
        <f t="shared" si="302"/>
        <v>,Status= "</v>
      </c>
      <c r="AJ991" s="11">
        <f>Matchs!R992</f>
        <v>0</v>
      </c>
      <c r="AK991" t="str">
        <f t="shared" si="303"/>
        <v>" },</v>
      </c>
    </row>
    <row r="992" spans="1:37" x14ac:dyDescent="0.25">
      <c r="A992" t="str">
        <f t="shared" si="285"/>
        <v>new Match { MatchId= "</v>
      </c>
      <c r="B992">
        <f>Matchs!A993</f>
        <v>0</v>
      </c>
      <c r="C992" t="str">
        <f t="shared" si="286"/>
        <v>",MatchNumer=</v>
      </c>
      <c r="D992">
        <f>Matchs!B993</f>
        <v>0</v>
      </c>
      <c r="E992" t="str">
        <f t="shared" si="287"/>
        <v>,DateMatch=DateTime.Parse("</v>
      </c>
      <c r="F992" s="3">
        <f>Matchs!C993</f>
        <v>0</v>
      </c>
      <c r="G992" s="10" t="str">
        <f t="shared" si="288"/>
        <v>"),TimeMatch=TimeSpan.Parse("</v>
      </c>
      <c r="H992" s="9">
        <f>Matchs!D993</f>
        <v>0</v>
      </c>
      <c r="I992" t="str">
        <f t="shared" si="289"/>
        <v>"),MatchYear=</v>
      </c>
      <c r="J992">
        <f>Matchs!E993</f>
        <v>0</v>
      </c>
      <c r="K992" t="str">
        <f t="shared" si="290"/>
        <v>, SeasonId= "</v>
      </c>
      <c r="L992">
        <f>Matchs!F993</f>
        <v>0</v>
      </c>
      <c r="M992" t="str">
        <f t="shared" si="291"/>
        <v>",Round= "</v>
      </c>
      <c r="N992">
        <f>Matchs!G993</f>
        <v>0</v>
      </c>
      <c r="O992" s="6" t="str">
        <f t="shared" si="292"/>
        <v>",Stage= "</v>
      </c>
      <c r="P992">
        <f>Matchs!H993</f>
        <v>0</v>
      </c>
      <c r="Q992" s="6" t="str">
        <f t="shared" si="293"/>
        <v>",SubStage= "</v>
      </c>
      <c r="R992">
        <f>Matchs!I993</f>
        <v>0</v>
      </c>
      <c r="S992" s="6" t="str">
        <f t="shared" si="294"/>
        <v>",HTeam= "</v>
      </c>
      <c r="T992">
        <f>Matchs!J993</f>
        <v>0</v>
      </c>
      <c r="U992" s="6" t="str">
        <f t="shared" si="295"/>
        <v>",HGoal=</v>
      </c>
      <c r="V992">
        <f>Matchs!K993</f>
        <v>0</v>
      </c>
      <c r="W992" s="6" t="str">
        <f t="shared" si="296"/>
        <v>,GGoal=</v>
      </c>
      <c r="X992">
        <f>Matchs!L993</f>
        <v>0</v>
      </c>
      <c r="Y992" s="6" t="str">
        <f t="shared" si="297"/>
        <v>,GTeam= "</v>
      </c>
      <c r="Z992">
        <f>Matchs!M993</f>
        <v>0</v>
      </c>
      <c r="AA992" s="6" t="str">
        <f t="shared" si="298"/>
        <v>",WinNote="</v>
      </c>
      <c r="AB992" t="str">
        <f>IF(Matchs!N993="","",Matchs!N993)</f>
        <v/>
      </c>
      <c r="AC992" s="6" t="str">
        <f t="shared" si="299"/>
        <v xml:space="preserve">",Stadium=" </v>
      </c>
      <c r="AD992" s="11">
        <f>Matchs!O993</f>
        <v>0</v>
      </c>
      <c r="AE992" s="6" t="str">
        <f t="shared" si="300"/>
        <v>",Referee= "</v>
      </c>
      <c r="AF992" s="11">
        <f>Matchs!P993</f>
        <v>0</v>
      </c>
      <c r="AG992" s="6" t="str">
        <f t="shared" si="301"/>
        <v xml:space="preserve">",Visistors= </v>
      </c>
      <c r="AH992" s="11">
        <f>Matchs!Q993</f>
        <v>0</v>
      </c>
      <c r="AI992" s="11" t="str">
        <f t="shared" si="302"/>
        <v>,Status= "</v>
      </c>
      <c r="AJ992" s="11">
        <f>Matchs!R993</f>
        <v>0</v>
      </c>
      <c r="AK992" t="str">
        <f t="shared" si="303"/>
        <v>" },</v>
      </c>
    </row>
    <row r="993" spans="1:37" x14ac:dyDescent="0.25">
      <c r="A993" t="str">
        <f t="shared" si="285"/>
        <v>new Match { MatchId= "</v>
      </c>
      <c r="B993">
        <f>Matchs!A994</f>
        <v>0</v>
      </c>
      <c r="C993" t="str">
        <f t="shared" si="286"/>
        <v>",MatchNumer=</v>
      </c>
      <c r="D993">
        <f>Matchs!B994</f>
        <v>0</v>
      </c>
      <c r="E993" t="str">
        <f t="shared" si="287"/>
        <v>,DateMatch=DateTime.Parse("</v>
      </c>
      <c r="F993" s="3">
        <f>Matchs!C994</f>
        <v>0</v>
      </c>
      <c r="G993" s="10" t="str">
        <f t="shared" si="288"/>
        <v>"),TimeMatch=TimeSpan.Parse("</v>
      </c>
      <c r="H993" s="9">
        <f>Matchs!D994</f>
        <v>0</v>
      </c>
      <c r="I993" t="str">
        <f t="shared" si="289"/>
        <v>"),MatchYear=</v>
      </c>
      <c r="J993">
        <f>Matchs!E994</f>
        <v>0</v>
      </c>
      <c r="K993" t="str">
        <f t="shared" si="290"/>
        <v>, SeasonId= "</v>
      </c>
      <c r="L993">
        <f>Matchs!F994</f>
        <v>0</v>
      </c>
      <c r="M993" t="str">
        <f t="shared" si="291"/>
        <v>",Round= "</v>
      </c>
      <c r="N993">
        <f>Matchs!G994</f>
        <v>0</v>
      </c>
      <c r="O993" s="6" t="str">
        <f t="shared" si="292"/>
        <v>",Stage= "</v>
      </c>
      <c r="P993">
        <f>Matchs!H994</f>
        <v>0</v>
      </c>
      <c r="Q993" s="6" t="str">
        <f t="shared" si="293"/>
        <v>",SubStage= "</v>
      </c>
      <c r="R993">
        <f>Matchs!I994</f>
        <v>0</v>
      </c>
      <c r="S993" s="6" t="str">
        <f t="shared" si="294"/>
        <v>",HTeam= "</v>
      </c>
      <c r="T993">
        <f>Matchs!J994</f>
        <v>0</v>
      </c>
      <c r="U993" s="6" t="str">
        <f t="shared" si="295"/>
        <v>",HGoal=</v>
      </c>
      <c r="V993">
        <f>Matchs!K994</f>
        <v>0</v>
      </c>
      <c r="W993" s="6" t="str">
        <f t="shared" si="296"/>
        <v>,GGoal=</v>
      </c>
      <c r="X993">
        <f>Matchs!L994</f>
        <v>0</v>
      </c>
      <c r="Y993" s="6" t="str">
        <f t="shared" si="297"/>
        <v>,GTeam= "</v>
      </c>
      <c r="Z993">
        <f>Matchs!M994</f>
        <v>0</v>
      </c>
      <c r="AA993" s="6" t="str">
        <f t="shared" si="298"/>
        <v>",WinNote="</v>
      </c>
      <c r="AB993" t="str">
        <f>IF(Matchs!N994="","",Matchs!N994)</f>
        <v/>
      </c>
      <c r="AC993" s="6" t="str">
        <f t="shared" si="299"/>
        <v xml:space="preserve">",Stadium=" </v>
      </c>
      <c r="AD993" s="11">
        <f>Matchs!O994</f>
        <v>0</v>
      </c>
      <c r="AE993" s="6" t="str">
        <f t="shared" si="300"/>
        <v>",Referee= "</v>
      </c>
      <c r="AF993" s="11">
        <f>Matchs!P994</f>
        <v>0</v>
      </c>
      <c r="AG993" s="6" t="str">
        <f t="shared" si="301"/>
        <v xml:space="preserve">",Visistors= </v>
      </c>
      <c r="AH993" s="11">
        <f>Matchs!Q994</f>
        <v>0</v>
      </c>
      <c r="AI993" s="11" t="str">
        <f t="shared" si="302"/>
        <v>,Status= "</v>
      </c>
      <c r="AJ993" s="11">
        <f>Matchs!R994</f>
        <v>0</v>
      </c>
      <c r="AK993" t="str">
        <f t="shared" si="303"/>
        <v>" },</v>
      </c>
    </row>
    <row r="994" spans="1:37" x14ac:dyDescent="0.25">
      <c r="A994" t="str">
        <f t="shared" si="285"/>
        <v>new Match { MatchId= "</v>
      </c>
      <c r="B994">
        <f>Matchs!A995</f>
        <v>0</v>
      </c>
      <c r="C994" t="str">
        <f t="shared" si="286"/>
        <v>",MatchNumer=</v>
      </c>
      <c r="D994">
        <f>Matchs!B995</f>
        <v>0</v>
      </c>
      <c r="E994" t="str">
        <f t="shared" si="287"/>
        <v>,DateMatch=DateTime.Parse("</v>
      </c>
      <c r="F994" s="3">
        <f>Matchs!C995</f>
        <v>0</v>
      </c>
      <c r="G994" s="10" t="str">
        <f t="shared" si="288"/>
        <v>"),TimeMatch=TimeSpan.Parse("</v>
      </c>
      <c r="H994" s="9">
        <f>Matchs!D995</f>
        <v>0</v>
      </c>
      <c r="I994" t="str">
        <f t="shared" si="289"/>
        <v>"),MatchYear=</v>
      </c>
      <c r="J994">
        <f>Matchs!E995</f>
        <v>0</v>
      </c>
      <c r="K994" t="str">
        <f t="shared" si="290"/>
        <v>, SeasonId= "</v>
      </c>
      <c r="L994">
        <f>Matchs!F995</f>
        <v>0</v>
      </c>
      <c r="M994" t="str">
        <f t="shared" si="291"/>
        <v>",Round= "</v>
      </c>
      <c r="N994">
        <f>Matchs!G995</f>
        <v>0</v>
      </c>
      <c r="O994" s="6" t="str">
        <f t="shared" si="292"/>
        <v>",Stage= "</v>
      </c>
      <c r="P994">
        <f>Matchs!H995</f>
        <v>0</v>
      </c>
      <c r="Q994" s="6" t="str">
        <f t="shared" si="293"/>
        <v>",SubStage= "</v>
      </c>
      <c r="R994">
        <f>Matchs!I995</f>
        <v>0</v>
      </c>
      <c r="S994" s="6" t="str">
        <f t="shared" si="294"/>
        <v>",HTeam= "</v>
      </c>
      <c r="T994">
        <f>Matchs!J995</f>
        <v>0</v>
      </c>
      <c r="U994" s="6" t="str">
        <f t="shared" si="295"/>
        <v>",HGoal=</v>
      </c>
      <c r="V994">
        <f>Matchs!K995</f>
        <v>0</v>
      </c>
      <c r="W994" s="6" t="str">
        <f t="shared" si="296"/>
        <v>,GGoal=</v>
      </c>
      <c r="X994">
        <f>Matchs!L995</f>
        <v>0</v>
      </c>
      <c r="Y994" s="6" t="str">
        <f t="shared" si="297"/>
        <v>,GTeam= "</v>
      </c>
      <c r="Z994">
        <f>Matchs!M995</f>
        <v>0</v>
      </c>
      <c r="AA994" s="6" t="str">
        <f t="shared" si="298"/>
        <v>",WinNote="</v>
      </c>
      <c r="AB994" t="str">
        <f>IF(Matchs!N995="","",Matchs!N995)</f>
        <v/>
      </c>
      <c r="AC994" s="6" t="str">
        <f t="shared" si="299"/>
        <v xml:space="preserve">",Stadium=" </v>
      </c>
      <c r="AD994" s="11">
        <f>Matchs!O995</f>
        <v>0</v>
      </c>
      <c r="AE994" s="6" t="str">
        <f t="shared" si="300"/>
        <v>",Referee= "</v>
      </c>
      <c r="AF994" s="11">
        <f>Matchs!P995</f>
        <v>0</v>
      </c>
      <c r="AG994" s="6" t="str">
        <f t="shared" si="301"/>
        <v xml:space="preserve">",Visistors= </v>
      </c>
      <c r="AH994" s="11">
        <f>Matchs!Q995</f>
        <v>0</v>
      </c>
      <c r="AI994" s="11" t="str">
        <f t="shared" si="302"/>
        <v>,Status= "</v>
      </c>
      <c r="AJ994" s="11">
        <f>Matchs!R995</f>
        <v>0</v>
      </c>
      <c r="AK994" t="str">
        <f t="shared" si="303"/>
        <v>" },</v>
      </c>
    </row>
    <row r="995" spans="1:37" x14ac:dyDescent="0.25">
      <c r="A995" t="str">
        <f t="shared" si="285"/>
        <v>new Match { MatchId= "</v>
      </c>
      <c r="B995">
        <f>Matchs!A996</f>
        <v>0</v>
      </c>
      <c r="C995" t="str">
        <f t="shared" si="286"/>
        <v>",MatchNumer=</v>
      </c>
      <c r="D995">
        <f>Matchs!B996</f>
        <v>0</v>
      </c>
      <c r="E995" t="str">
        <f t="shared" si="287"/>
        <v>,DateMatch=DateTime.Parse("</v>
      </c>
      <c r="F995" s="3">
        <f>Matchs!C996</f>
        <v>0</v>
      </c>
      <c r="G995" s="10" t="str">
        <f t="shared" si="288"/>
        <v>"),TimeMatch=TimeSpan.Parse("</v>
      </c>
      <c r="H995" s="9">
        <f>Matchs!D996</f>
        <v>0</v>
      </c>
      <c r="I995" t="str">
        <f t="shared" si="289"/>
        <v>"),MatchYear=</v>
      </c>
      <c r="J995">
        <f>Matchs!E996</f>
        <v>0</v>
      </c>
      <c r="K995" t="str">
        <f t="shared" si="290"/>
        <v>, SeasonId= "</v>
      </c>
      <c r="L995">
        <f>Matchs!F996</f>
        <v>0</v>
      </c>
      <c r="M995" t="str">
        <f t="shared" si="291"/>
        <v>",Round= "</v>
      </c>
      <c r="N995">
        <f>Matchs!G996</f>
        <v>0</v>
      </c>
      <c r="O995" s="6" t="str">
        <f t="shared" si="292"/>
        <v>",Stage= "</v>
      </c>
      <c r="P995">
        <f>Matchs!H996</f>
        <v>0</v>
      </c>
      <c r="Q995" s="6" t="str">
        <f t="shared" si="293"/>
        <v>",SubStage= "</v>
      </c>
      <c r="R995">
        <f>Matchs!I996</f>
        <v>0</v>
      </c>
      <c r="S995" s="6" t="str">
        <f t="shared" si="294"/>
        <v>",HTeam= "</v>
      </c>
      <c r="T995">
        <f>Matchs!J996</f>
        <v>0</v>
      </c>
      <c r="U995" s="6" t="str">
        <f t="shared" si="295"/>
        <v>",HGoal=</v>
      </c>
      <c r="V995">
        <f>Matchs!K996</f>
        <v>0</v>
      </c>
      <c r="W995" s="6" t="str">
        <f t="shared" si="296"/>
        <v>,GGoal=</v>
      </c>
      <c r="X995">
        <f>Matchs!L996</f>
        <v>0</v>
      </c>
      <c r="Y995" s="6" t="str">
        <f t="shared" si="297"/>
        <v>,GTeam= "</v>
      </c>
      <c r="Z995">
        <f>Matchs!M996</f>
        <v>0</v>
      </c>
      <c r="AA995" s="6" t="str">
        <f t="shared" si="298"/>
        <v>",WinNote="</v>
      </c>
      <c r="AB995" t="str">
        <f>IF(Matchs!N996="","",Matchs!N996)</f>
        <v/>
      </c>
      <c r="AC995" s="6" t="str">
        <f t="shared" si="299"/>
        <v xml:space="preserve">",Stadium=" </v>
      </c>
      <c r="AD995" s="11">
        <f>Matchs!O996</f>
        <v>0</v>
      </c>
      <c r="AE995" s="6" t="str">
        <f t="shared" si="300"/>
        <v>",Referee= "</v>
      </c>
      <c r="AF995" s="11">
        <f>Matchs!P996</f>
        <v>0</v>
      </c>
      <c r="AG995" s="6" t="str">
        <f t="shared" si="301"/>
        <v xml:space="preserve">",Visistors= </v>
      </c>
      <c r="AH995" s="11">
        <f>Matchs!Q996</f>
        <v>0</v>
      </c>
      <c r="AI995" s="11" t="str">
        <f t="shared" si="302"/>
        <v>,Status= "</v>
      </c>
      <c r="AJ995" s="11">
        <f>Matchs!R996</f>
        <v>0</v>
      </c>
      <c r="AK995" t="str">
        <f t="shared" si="303"/>
        <v>" },</v>
      </c>
    </row>
    <row r="996" spans="1:37" x14ac:dyDescent="0.25">
      <c r="A996" t="str">
        <f t="shared" si="285"/>
        <v>new Match { MatchId= "</v>
      </c>
      <c r="B996">
        <f>Matchs!A997</f>
        <v>0</v>
      </c>
      <c r="C996" t="str">
        <f t="shared" si="286"/>
        <v>",MatchNumer=</v>
      </c>
      <c r="D996">
        <f>Matchs!B997</f>
        <v>0</v>
      </c>
      <c r="E996" t="str">
        <f t="shared" si="287"/>
        <v>,DateMatch=DateTime.Parse("</v>
      </c>
      <c r="F996" s="3">
        <f>Matchs!C997</f>
        <v>0</v>
      </c>
      <c r="G996" s="10" t="str">
        <f t="shared" si="288"/>
        <v>"),TimeMatch=TimeSpan.Parse("</v>
      </c>
      <c r="H996" s="9">
        <f>Matchs!D997</f>
        <v>0</v>
      </c>
      <c r="I996" t="str">
        <f t="shared" si="289"/>
        <v>"),MatchYear=</v>
      </c>
      <c r="J996">
        <f>Matchs!E997</f>
        <v>0</v>
      </c>
      <c r="K996" t="str">
        <f t="shared" si="290"/>
        <v>, SeasonId= "</v>
      </c>
      <c r="L996">
        <f>Matchs!F997</f>
        <v>0</v>
      </c>
      <c r="M996" t="str">
        <f t="shared" si="291"/>
        <v>",Round= "</v>
      </c>
      <c r="N996">
        <f>Matchs!G997</f>
        <v>0</v>
      </c>
      <c r="O996" s="6" t="str">
        <f t="shared" si="292"/>
        <v>",Stage= "</v>
      </c>
      <c r="P996">
        <f>Matchs!H997</f>
        <v>0</v>
      </c>
      <c r="Q996" s="6" t="str">
        <f t="shared" si="293"/>
        <v>",SubStage= "</v>
      </c>
      <c r="R996">
        <f>Matchs!I997</f>
        <v>0</v>
      </c>
      <c r="S996" s="6" t="str">
        <f t="shared" si="294"/>
        <v>",HTeam= "</v>
      </c>
      <c r="T996">
        <f>Matchs!J997</f>
        <v>0</v>
      </c>
      <c r="U996" s="6" t="str">
        <f t="shared" si="295"/>
        <v>",HGoal=</v>
      </c>
      <c r="V996">
        <f>Matchs!K997</f>
        <v>0</v>
      </c>
      <c r="W996" s="6" t="str">
        <f t="shared" si="296"/>
        <v>,GGoal=</v>
      </c>
      <c r="X996">
        <f>Matchs!L997</f>
        <v>0</v>
      </c>
      <c r="Y996" s="6" t="str">
        <f t="shared" si="297"/>
        <v>,GTeam= "</v>
      </c>
      <c r="Z996">
        <f>Matchs!M997</f>
        <v>0</v>
      </c>
      <c r="AA996" s="6" t="str">
        <f t="shared" si="298"/>
        <v>",WinNote="</v>
      </c>
      <c r="AB996" t="str">
        <f>IF(Matchs!N997="","",Matchs!N997)</f>
        <v/>
      </c>
      <c r="AC996" s="6" t="str">
        <f t="shared" si="299"/>
        <v xml:space="preserve">",Stadium=" </v>
      </c>
      <c r="AD996" s="11">
        <f>Matchs!O997</f>
        <v>0</v>
      </c>
      <c r="AE996" s="6" t="str">
        <f t="shared" si="300"/>
        <v>",Referee= "</v>
      </c>
      <c r="AF996" s="11">
        <f>Matchs!P997</f>
        <v>0</v>
      </c>
      <c r="AG996" s="6" t="str">
        <f t="shared" si="301"/>
        <v xml:space="preserve">",Visistors= </v>
      </c>
      <c r="AH996" s="11">
        <f>Matchs!Q997</f>
        <v>0</v>
      </c>
      <c r="AI996" s="11" t="str">
        <f t="shared" si="302"/>
        <v>,Status= "</v>
      </c>
      <c r="AJ996" s="11">
        <f>Matchs!R997</f>
        <v>0</v>
      </c>
      <c r="AK996" t="str">
        <f t="shared" si="303"/>
        <v>" },</v>
      </c>
    </row>
    <row r="997" spans="1:37" x14ac:dyDescent="0.25">
      <c r="A997" t="str">
        <f t="shared" si="285"/>
        <v>new Match { MatchId= "</v>
      </c>
      <c r="B997">
        <f>Matchs!A998</f>
        <v>0</v>
      </c>
      <c r="C997" t="str">
        <f t="shared" si="286"/>
        <v>",MatchNumer=</v>
      </c>
      <c r="D997">
        <f>Matchs!B998</f>
        <v>0</v>
      </c>
      <c r="E997" t="str">
        <f t="shared" si="287"/>
        <v>,DateMatch=DateTime.Parse("</v>
      </c>
      <c r="F997" s="3">
        <f>Matchs!C998</f>
        <v>0</v>
      </c>
      <c r="G997" s="10" t="str">
        <f t="shared" si="288"/>
        <v>"),TimeMatch=TimeSpan.Parse("</v>
      </c>
      <c r="H997" s="9">
        <f>Matchs!D998</f>
        <v>0</v>
      </c>
      <c r="I997" t="str">
        <f t="shared" si="289"/>
        <v>"),MatchYear=</v>
      </c>
      <c r="J997">
        <f>Matchs!E998</f>
        <v>0</v>
      </c>
      <c r="K997" t="str">
        <f t="shared" si="290"/>
        <v>, SeasonId= "</v>
      </c>
      <c r="L997">
        <f>Matchs!F998</f>
        <v>0</v>
      </c>
      <c r="M997" t="str">
        <f t="shared" si="291"/>
        <v>",Round= "</v>
      </c>
      <c r="N997">
        <f>Matchs!G998</f>
        <v>0</v>
      </c>
      <c r="O997" s="6" t="str">
        <f t="shared" si="292"/>
        <v>",Stage= "</v>
      </c>
      <c r="P997">
        <f>Matchs!H998</f>
        <v>0</v>
      </c>
      <c r="Q997" s="6" t="str">
        <f t="shared" si="293"/>
        <v>",SubStage= "</v>
      </c>
      <c r="R997">
        <f>Matchs!I998</f>
        <v>0</v>
      </c>
      <c r="S997" s="6" t="str">
        <f t="shared" si="294"/>
        <v>",HTeam= "</v>
      </c>
      <c r="T997">
        <f>Matchs!J998</f>
        <v>0</v>
      </c>
      <c r="U997" s="6" t="str">
        <f t="shared" si="295"/>
        <v>",HGoal=</v>
      </c>
      <c r="V997">
        <f>Matchs!K998</f>
        <v>0</v>
      </c>
      <c r="W997" s="6" t="str">
        <f t="shared" si="296"/>
        <v>,GGoal=</v>
      </c>
      <c r="X997">
        <f>Matchs!L998</f>
        <v>0</v>
      </c>
      <c r="Y997" s="6" t="str">
        <f t="shared" si="297"/>
        <v>,GTeam= "</v>
      </c>
      <c r="Z997">
        <f>Matchs!M998</f>
        <v>0</v>
      </c>
      <c r="AA997" s="6" t="str">
        <f t="shared" si="298"/>
        <v>",WinNote="</v>
      </c>
      <c r="AB997" t="str">
        <f>IF(Matchs!N998="","",Matchs!N998)</f>
        <v/>
      </c>
      <c r="AC997" s="6" t="str">
        <f t="shared" si="299"/>
        <v xml:space="preserve">",Stadium=" </v>
      </c>
      <c r="AD997" s="11">
        <f>Matchs!O998</f>
        <v>0</v>
      </c>
      <c r="AE997" s="6" t="str">
        <f t="shared" si="300"/>
        <v>",Referee= "</v>
      </c>
      <c r="AF997" s="11">
        <f>Matchs!P998</f>
        <v>0</v>
      </c>
      <c r="AG997" s="6" t="str">
        <f t="shared" si="301"/>
        <v xml:space="preserve">",Visistors= </v>
      </c>
      <c r="AH997" s="11">
        <f>Matchs!Q998</f>
        <v>0</v>
      </c>
      <c r="AI997" s="11" t="str">
        <f t="shared" si="302"/>
        <v>,Status= "</v>
      </c>
      <c r="AJ997" s="11">
        <f>Matchs!R998</f>
        <v>0</v>
      </c>
      <c r="AK997" t="str">
        <f t="shared" si="303"/>
        <v>" },</v>
      </c>
    </row>
    <row r="998" spans="1:37" x14ac:dyDescent="0.25">
      <c r="A998" t="str">
        <f t="shared" si="285"/>
        <v>new Match { MatchId= "</v>
      </c>
      <c r="B998">
        <f>Matchs!A999</f>
        <v>0</v>
      </c>
      <c r="C998" t="str">
        <f t="shared" si="286"/>
        <v>",MatchNumer=</v>
      </c>
      <c r="D998">
        <f>Matchs!B999</f>
        <v>0</v>
      </c>
      <c r="E998" t="str">
        <f t="shared" si="287"/>
        <v>,DateMatch=DateTime.Parse("</v>
      </c>
      <c r="F998" s="3">
        <f>Matchs!C999</f>
        <v>0</v>
      </c>
      <c r="G998" s="10" t="str">
        <f t="shared" si="288"/>
        <v>"),TimeMatch=TimeSpan.Parse("</v>
      </c>
      <c r="H998" s="9">
        <f>Matchs!D999</f>
        <v>0</v>
      </c>
      <c r="I998" t="str">
        <f t="shared" si="289"/>
        <v>"),MatchYear=</v>
      </c>
      <c r="J998">
        <f>Matchs!E999</f>
        <v>0</v>
      </c>
      <c r="K998" t="str">
        <f t="shared" si="290"/>
        <v>, SeasonId= "</v>
      </c>
      <c r="L998">
        <f>Matchs!F999</f>
        <v>0</v>
      </c>
      <c r="M998" t="str">
        <f t="shared" si="291"/>
        <v>",Round= "</v>
      </c>
      <c r="N998">
        <f>Matchs!G999</f>
        <v>0</v>
      </c>
      <c r="O998" s="6" t="str">
        <f t="shared" si="292"/>
        <v>",Stage= "</v>
      </c>
      <c r="P998">
        <f>Matchs!H999</f>
        <v>0</v>
      </c>
      <c r="Q998" s="6" t="str">
        <f t="shared" si="293"/>
        <v>",SubStage= "</v>
      </c>
      <c r="R998">
        <f>Matchs!I999</f>
        <v>0</v>
      </c>
      <c r="S998" s="6" t="str">
        <f t="shared" si="294"/>
        <v>",HTeam= "</v>
      </c>
      <c r="T998">
        <f>Matchs!J999</f>
        <v>0</v>
      </c>
      <c r="U998" s="6" t="str">
        <f t="shared" si="295"/>
        <v>",HGoal=</v>
      </c>
      <c r="V998">
        <f>Matchs!K999</f>
        <v>0</v>
      </c>
      <c r="W998" s="6" t="str">
        <f t="shared" si="296"/>
        <v>,GGoal=</v>
      </c>
      <c r="X998">
        <f>Matchs!L999</f>
        <v>0</v>
      </c>
      <c r="Y998" s="6" t="str">
        <f t="shared" si="297"/>
        <v>,GTeam= "</v>
      </c>
      <c r="Z998">
        <f>Matchs!M999</f>
        <v>0</v>
      </c>
      <c r="AA998" s="6" t="str">
        <f t="shared" si="298"/>
        <v>",WinNote="</v>
      </c>
      <c r="AB998" t="str">
        <f>IF(Matchs!N999="","",Matchs!N999)</f>
        <v/>
      </c>
      <c r="AC998" s="6" t="str">
        <f t="shared" si="299"/>
        <v xml:space="preserve">",Stadium=" </v>
      </c>
      <c r="AD998" s="11">
        <f>Matchs!O999</f>
        <v>0</v>
      </c>
      <c r="AE998" s="6" t="str">
        <f t="shared" si="300"/>
        <v>",Referee= "</v>
      </c>
      <c r="AF998" s="11">
        <f>Matchs!P999</f>
        <v>0</v>
      </c>
      <c r="AG998" s="6" t="str">
        <f t="shared" si="301"/>
        <v xml:space="preserve">",Visistors= </v>
      </c>
      <c r="AH998" s="11">
        <f>Matchs!Q999</f>
        <v>0</v>
      </c>
      <c r="AI998" s="11" t="str">
        <f t="shared" si="302"/>
        <v>,Status= "</v>
      </c>
      <c r="AJ998" s="11">
        <f>Matchs!R999</f>
        <v>0</v>
      </c>
      <c r="AK998" t="str">
        <f t="shared" si="303"/>
        <v>" },</v>
      </c>
    </row>
    <row r="999" spans="1:37" x14ac:dyDescent="0.25">
      <c r="A999" t="str">
        <f t="shared" si="285"/>
        <v>new Match { MatchId= "</v>
      </c>
      <c r="B999">
        <f>Matchs!A1000</f>
        <v>0</v>
      </c>
      <c r="C999" t="str">
        <f t="shared" si="286"/>
        <v>",MatchNumer=</v>
      </c>
      <c r="D999">
        <f>Matchs!B1000</f>
        <v>0</v>
      </c>
      <c r="E999" t="str">
        <f t="shared" si="287"/>
        <v>,DateMatch=DateTime.Parse("</v>
      </c>
      <c r="F999" s="3">
        <f>Matchs!C1000</f>
        <v>0</v>
      </c>
      <c r="G999" s="10" t="str">
        <f t="shared" si="288"/>
        <v>"),TimeMatch=TimeSpan.Parse("</v>
      </c>
      <c r="H999" s="9">
        <f>Matchs!D1000</f>
        <v>0</v>
      </c>
      <c r="I999" t="str">
        <f t="shared" si="289"/>
        <v>"),MatchYear=</v>
      </c>
      <c r="J999">
        <f>Matchs!E1000</f>
        <v>0</v>
      </c>
      <c r="K999" t="str">
        <f t="shared" si="290"/>
        <v>, SeasonId= "</v>
      </c>
      <c r="L999">
        <f>Matchs!F1000</f>
        <v>0</v>
      </c>
      <c r="M999" t="str">
        <f t="shared" si="291"/>
        <v>",Round= "</v>
      </c>
      <c r="N999">
        <f>Matchs!G1000</f>
        <v>0</v>
      </c>
      <c r="O999" s="6" t="str">
        <f t="shared" si="292"/>
        <v>",Stage= "</v>
      </c>
      <c r="P999">
        <f>Matchs!H1000</f>
        <v>0</v>
      </c>
      <c r="Q999" s="6" t="str">
        <f t="shared" si="293"/>
        <v>",SubStage= "</v>
      </c>
      <c r="R999">
        <f>Matchs!I1000</f>
        <v>0</v>
      </c>
      <c r="S999" s="6" t="str">
        <f t="shared" si="294"/>
        <v>",HTeam= "</v>
      </c>
      <c r="T999">
        <f>Matchs!J1000</f>
        <v>0</v>
      </c>
      <c r="U999" s="6" t="str">
        <f t="shared" si="295"/>
        <v>",HGoal=</v>
      </c>
      <c r="V999">
        <f>Matchs!K1000</f>
        <v>0</v>
      </c>
      <c r="W999" s="6" t="str">
        <f t="shared" si="296"/>
        <v>,GGoal=</v>
      </c>
      <c r="X999">
        <f>Matchs!L1000</f>
        <v>0</v>
      </c>
      <c r="Y999" s="6" t="str">
        <f t="shared" si="297"/>
        <v>,GTeam= "</v>
      </c>
      <c r="Z999">
        <f>Matchs!M1000</f>
        <v>0</v>
      </c>
      <c r="AA999" s="6" t="str">
        <f t="shared" si="298"/>
        <v>",WinNote="</v>
      </c>
      <c r="AB999" t="str">
        <f>IF(Matchs!N1000="","",Matchs!N1000)</f>
        <v/>
      </c>
      <c r="AC999" s="6" t="str">
        <f t="shared" si="299"/>
        <v xml:space="preserve">",Stadium=" </v>
      </c>
      <c r="AD999" s="11">
        <f>Matchs!O1000</f>
        <v>0</v>
      </c>
      <c r="AE999" s="6" t="str">
        <f t="shared" si="300"/>
        <v>",Referee= "</v>
      </c>
      <c r="AF999" s="11">
        <f>Matchs!P1000</f>
        <v>0</v>
      </c>
      <c r="AG999" s="6" t="str">
        <f t="shared" si="301"/>
        <v xml:space="preserve">",Visistors= </v>
      </c>
      <c r="AH999" s="11">
        <f>Matchs!Q1000</f>
        <v>0</v>
      </c>
      <c r="AI999" s="11" t="str">
        <f t="shared" si="302"/>
        <v>,Status= "</v>
      </c>
      <c r="AJ999" s="11">
        <f>Matchs!R1000</f>
        <v>0</v>
      </c>
      <c r="AK999" t="str">
        <f t="shared" si="303"/>
        <v>" },</v>
      </c>
    </row>
    <row r="1000" spans="1:37" x14ac:dyDescent="0.25">
      <c r="A1000" t="str">
        <f t="shared" si="285"/>
        <v>new Match { MatchId= "</v>
      </c>
      <c r="B1000">
        <f>Matchs!A1001</f>
        <v>0</v>
      </c>
      <c r="C1000" t="str">
        <f t="shared" si="286"/>
        <v>",MatchNumer=</v>
      </c>
      <c r="D1000">
        <f>Matchs!B1001</f>
        <v>0</v>
      </c>
      <c r="E1000" t="str">
        <f t="shared" si="287"/>
        <v>,DateMatch=DateTime.Parse("</v>
      </c>
      <c r="F1000" s="3">
        <f>Matchs!C1001</f>
        <v>0</v>
      </c>
      <c r="G1000" s="10" t="str">
        <f t="shared" si="288"/>
        <v>"),TimeMatch=TimeSpan.Parse("</v>
      </c>
      <c r="H1000" s="9">
        <f>Matchs!D1001</f>
        <v>0</v>
      </c>
      <c r="I1000" t="str">
        <f t="shared" si="289"/>
        <v>"),MatchYear=</v>
      </c>
      <c r="J1000">
        <f>Matchs!E1001</f>
        <v>0</v>
      </c>
      <c r="K1000" t="str">
        <f t="shared" si="290"/>
        <v>, SeasonId= "</v>
      </c>
      <c r="L1000">
        <f>Matchs!F1001</f>
        <v>0</v>
      </c>
      <c r="M1000" t="str">
        <f t="shared" si="291"/>
        <v>",Round= "</v>
      </c>
      <c r="N1000">
        <f>Matchs!G1001</f>
        <v>0</v>
      </c>
      <c r="O1000" s="6" t="str">
        <f t="shared" si="292"/>
        <v>",Stage= "</v>
      </c>
      <c r="P1000">
        <f>Matchs!H1001</f>
        <v>0</v>
      </c>
      <c r="Q1000" s="6" t="str">
        <f t="shared" si="293"/>
        <v>",SubStage= "</v>
      </c>
      <c r="R1000">
        <f>Matchs!I1001</f>
        <v>0</v>
      </c>
      <c r="S1000" s="6" t="str">
        <f t="shared" si="294"/>
        <v>",HTeam= "</v>
      </c>
      <c r="T1000">
        <f>Matchs!J1001</f>
        <v>0</v>
      </c>
      <c r="U1000" s="6" t="str">
        <f t="shared" si="295"/>
        <v>",HGoal=</v>
      </c>
      <c r="V1000">
        <f>Matchs!K1001</f>
        <v>0</v>
      </c>
      <c r="W1000" s="6" t="str">
        <f t="shared" si="296"/>
        <v>,GGoal=</v>
      </c>
      <c r="X1000">
        <f>Matchs!L1001</f>
        <v>0</v>
      </c>
      <c r="Y1000" s="6" t="str">
        <f t="shared" si="297"/>
        <v>,GTeam= "</v>
      </c>
      <c r="Z1000">
        <f>Matchs!M1001</f>
        <v>0</v>
      </c>
      <c r="AA1000" s="6" t="str">
        <f t="shared" si="298"/>
        <v>",WinNote="</v>
      </c>
      <c r="AB1000" t="str">
        <f>IF(Matchs!N1001="","",Matchs!N1001)</f>
        <v/>
      </c>
      <c r="AC1000" s="6" t="str">
        <f t="shared" si="299"/>
        <v xml:space="preserve">",Stadium=" </v>
      </c>
      <c r="AD1000" s="11">
        <f>Matchs!O1001</f>
        <v>0</v>
      </c>
      <c r="AE1000" s="6" t="str">
        <f t="shared" si="300"/>
        <v>",Referee= "</v>
      </c>
      <c r="AF1000" s="11">
        <f>Matchs!P1001</f>
        <v>0</v>
      </c>
      <c r="AG1000" s="6" t="str">
        <f t="shared" si="301"/>
        <v xml:space="preserve">",Visistors= </v>
      </c>
      <c r="AH1000" s="11">
        <f>Matchs!Q1001</f>
        <v>0</v>
      </c>
      <c r="AI1000" s="11" t="str">
        <f t="shared" si="302"/>
        <v>,Status= "</v>
      </c>
      <c r="AJ1000" s="11">
        <f>Matchs!R1001</f>
        <v>0</v>
      </c>
      <c r="AK1000" t="str">
        <f t="shared" si="303"/>
        <v>" },</v>
      </c>
    </row>
    <row r="1001" spans="1:37" x14ac:dyDescent="0.25">
      <c r="A1001" t="str">
        <f t="shared" si="285"/>
        <v>new Match { MatchId= "</v>
      </c>
      <c r="B1001">
        <f>Matchs!A1002</f>
        <v>0</v>
      </c>
      <c r="C1001" t="str">
        <f t="shared" si="286"/>
        <v>",MatchNumer=</v>
      </c>
      <c r="D1001">
        <f>Matchs!B1002</f>
        <v>0</v>
      </c>
      <c r="E1001" t="str">
        <f t="shared" si="287"/>
        <v>,DateMatch=DateTime.Parse("</v>
      </c>
      <c r="F1001" s="3">
        <f>Matchs!C1002</f>
        <v>0</v>
      </c>
      <c r="G1001" s="10" t="str">
        <f t="shared" si="288"/>
        <v>"),TimeMatch=TimeSpan.Parse("</v>
      </c>
      <c r="H1001" s="9">
        <f>Matchs!D1002</f>
        <v>0</v>
      </c>
      <c r="I1001" t="str">
        <f t="shared" si="289"/>
        <v>"),MatchYear=</v>
      </c>
      <c r="J1001">
        <f>Matchs!E1002</f>
        <v>0</v>
      </c>
      <c r="K1001" t="str">
        <f t="shared" si="290"/>
        <v>, SeasonId= "</v>
      </c>
      <c r="L1001">
        <f>Matchs!F1002</f>
        <v>0</v>
      </c>
      <c r="M1001" t="str">
        <f t="shared" si="291"/>
        <v>",Round= "</v>
      </c>
      <c r="N1001">
        <f>Matchs!G1002</f>
        <v>0</v>
      </c>
      <c r="O1001" s="6" t="str">
        <f t="shared" si="292"/>
        <v>",Stage= "</v>
      </c>
      <c r="P1001">
        <f>Matchs!H1002</f>
        <v>0</v>
      </c>
      <c r="Q1001" s="6" t="str">
        <f t="shared" si="293"/>
        <v>",SubStage= "</v>
      </c>
      <c r="R1001">
        <f>Matchs!I1002</f>
        <v>0</v>
      </c>
      <c r="S1001" s="6" t="str">
        <f t="shared" si="294"/>
        <v>",HTeam= "</v>
      </c>
      <c r="T1001">
        <f>Matchs!J1002</f>
        <v>0</v>
      </c>
      <c r="U1001" s="6" t="str">
        <f t="shared" si="295"/>
        <v>",HGoal=</v>
      </c>
      <c r="V1001">
        <f>Matchs!K1002</f>
        <v>0</v>
      </c>
      <c r="W1001" s="6" t="str">
        <f t="shared" si="296"/>
        <v>,GGoal=</v>
      </c>
      <c r="X1001">
        <f>Matchs!L1002</f>
        <v>0</v>
      </c>
      <c r="Y1001" s="6" t="str">
        <f t="shared" si="297"/>
        <v>,GTeam= "</v>
      </c>
      <c r="Z1001">
        <f>Matchs!M1002</f>
        <v>0</v>
      </c>
      <c r="AA1001" s="6" t="str">
        <f t="shared" si="298"/>
        <v>",WinNote="</v>
      </c>
      <c r="AB1001" t="str">
        <f>IF(Matchs!N1002="","",Matchs!N1002)</f>
        <v/>
      </c>
      <c r="AC1001" s="6" t="str">
        <f t="shared" si="299"/>
        <v xml:space="preserve">",Stadium=" </v>
      </c>
      <c r="AD1001" s="11">
        <f>Matchs!O1002</f>
        <v>0</v>
      </c>
      <c r="AE1001" s="6" t="str">
        <f t="shared" si="300"/>
        <v>",Referee= "</v>
      </c>
      <c r="AF1001" s="11">
        <f>Matchs!P1002</f>
        <v>0</v>
      </c>
      <c r="AG1001" s="6" t="str">
        <f t="shared" si="301"/>
        <v xml:space="preserve">",Visistors= </v>
      </c>
      <c r="AH1001" s="11">
        <f>Matchs!Q1002</f>
        <v>0</v>
      </c>
      <c r="AI1001" s="11" t="str">
        <f t="shared" si="302"/>
        <v>,Status= "</v>
      </c>
      <c r="AJ1001" s="11">
        <f>Matchs!R1002</f>
        <v>0</v>
      </c>
      <c r="AK1001" t="str">
        <f t="shared" si="303"/>
        <v>" },</v>
      </c>
    </row>
    <row r="1002" spans="1:37" x14ac:dyDescent="0.25">
      <c r="A1002" t="str">
        <f t="shared" si="285"/>
        <v>new Match { MatchId= "</v>
      </c>
      <c r="B1002">
        <f>Matchs!A1003</f>
        <v>0</v>
      </c>
      <c r="C1002" t="str">
        <f t="shared" si="286"/>
        <v>",MatchNumer=</v>
      </c>
      <c r="D1002">
        <f>Matchs!B1003</f>
        <v>0</v>
      </c>
      <c r="E1002" t="str">
        <f t="shared" si="287"/>
        <v>,DateMatch=DateTime.Parse("</v>
      </c>
      <c r="F1002" s="3">
        <f>Matchs!C1003</f>
        <v>0</v>
      </c>
      <c r="G1002" s="10" t="str">
        <f t="shared" si="288"/>
        <v>"),TimeMatch=TimeSpan.Parse("</v>
      </c>
      <c r="H1002" s="9">
        <f>Matchs!D1003</f>
        <v>0</v>
      </c>
      <c r="I1002" t="str">
        <f t="shared" si="289"/>
        <v>"),MatchYear=</v>
      </c>
      <c r="J1002">
        <f>Matchs!E1003</f>
        <v>0</v>
      </c>
      <c r="K1002" t="str">
        <f t="shared" si="290"/>
        <v>, SeasonId= "</v>
      </c>
      <c r="L1002">
        <f>Matchs!F1003</f>
        <v>0</v>
      </c>
      <c r="M1002" t="str">
        <f t="shared" si="291"/>
        <v>",Round= "</v>
      </c>
      <c r="N1002">
        <f>Matchs!G1003</f>
        <v>0</v>
      </c>
      <c r="O1002" s="6" t="str">
        <f t="shared" si="292"/>
        <v>",Stage= "</v>
      </c>
      <c r="P1002">
        <f>Matchs!H1003</f>
        <v>0</v>
      </c>
      <c r="Q1002" s="6" t="str">
        <f t="shared" si="293"/>
        <v>",SubStage= "</v>
      </c>
      <c r="R1002">
        <f>Matchs!I1003</f>
        <v>0</v>
      </c>
      <c r="S1002" s="6" t="str">
        <f t="shared" si="294"/>
        <v>",HTeam= "</v>
      </c>
      <c r="T1002">
        <f>Matchs!J1003</f>
        <v>0</v>
      </c>
      <c r="U1002" s="6" t="str">
        <f t="shared" si="295"/>
        <v>",HGoal=</v>
      </c>
      <c r="V1002">
        <f>Matchs!K1003</f>
        <v>0</v>
      </c>
      <c r="W1002" s="6" t="str">
        <f t="shared" si="296"/>
        <v>,GGoal=</v>
      </c>
      <c r="X1002">
        <f>Matchs!L1003</f>
        <v>0</v>
      </c>
      <c r="Y1002" s="6" t="str">
        <f t="shared" si="297"/>
        <v>,GTeam= "</v>
      </c>
      <c r="Z1002">
        <f>Matchs!M1003</f>
        <v>0</v>
      </c>
      <c r="AA1002" s="6" t="str">
        <f t="shared" si="298"/>
        <v>",WinNote="</v>
      </c>
      <c r="AB1002" t="str">
        <f>IF(Matchs!N1003="","",Matchs!N1003)</f>
        <v/>
      </c>
      <c r="AC1002" s="6" t="str">
        <f t="shared" si="299"/>
        <v xml:space="preserve">",Stadium=" </v>
      </c>
      <c r="AD1002" s="11">
        <f>Matchs!O1003</f>
        <v>0</v>
      </c>
      <c r="AE1002" s="6" t="str">
        <f t="shared" si="300"/>
        <v>",Referee= "</v>
      </c>
      <c r="AF1002" s="11">
        <f>Matchs!P1003</f>
        <v>0</v>
      </c>
      <c r="AG1002" s="6" t="str">
        <f t="shared" si="301"/>
        <v xml:space="preserve">",Visistors= </v>
      </c>
      <c r="AH1002" s="11">
        <f>Matchs!Q1003</f>
        <v>0</v>
      </c>
      <c r="AI1002" s="11" t="str">
        <f t="shared" si="302"/>
        <v>,Status= "</v>
      </c>
      <c r="AJ1002" s="11">
        <f>Matchs!R1003</f>
        <v>0</v>
      </c>
      <c r="AK1002" t="str">
        <f t="shared" si="303"/>
        <v>" },</v>
      </c>
    </row>
    <row r="1003" spans="1:37" x14ac:dyDescent="0.25">
      <c r="A1003" t="str">
        <f t="shared" si="285"/>
        <v>new Match { MatchId= "</v>
      </c>
      <c r="B1003">
        <f>Matchs!A1004</f>
        <v>0</v>
      </c>
      <c r="C1003" t="str">
        <f t="shared" si="286"/>
        <v>",MatchNumer=</v>
      </c>
      <c r="D1003">
        <f>Matchs!B1004</f>
        <v>0</v>
      </c>
      <c r="E1003" t="str">
        <f t="shared" si="287"/>
        <v>,DateMatch=DateTime.Parse("</v>
      </c>
      <c r="F1003" s="3">
        <f>Matchs!C1004</f>
        <v>0</v>
      </c>
      <c r="G1003" s="10" t="str">
        <f t="shared" si="288"/>
        <v>"),TimeMatch=TimeSpan.Parse("</v>
      </c>
      <c r="H1003" s="9">
        <f>Matchs!D1004</f>
        <v>0</v>
      </c>
      <c r="I1003" t="str">
        <f t="shared" si="289"/>
        <v>"),MatchYear=</v>
      </c>
      <c r="J1003">
        <f>Matchs!E1004</f>
        <v>0</v>
      </c>
      <c r="K1003" t="str">
        <f t="shared" si="290"/>
        <v>, SeasonId= "</v>
      </c>
      <c r="L1003">
        <f>Matchs!F1004</f>
        <v>0</v>
      </c>
      <c r="M1003" t="str">
        <f t="shared" si="291"/>
        <v>",Round= "</v>
      </c>
      <c r="N1003">
        <f>Matchs!G1004</f>
        <v>0</v>
      </c>
      <c r="O1003" s="6" t="str">
        <f t="shared" si="292"/>
        <v>",Stage= "</v>
      </c>
      <c r="P1003">
        <f>Matchs!H1004</f>
        <v>0</v>
      </c>
      <c r="Q1003" s="6" t="str">
        <f t="shared" si="293"/>
        <v>",SubStage= "</v>
      </c>
      <c r="R1003">
        <f>Matchs!I1004</f>
        <v>0</v>
      </c>
      <c r="S1003" s="6" t="str">
        <f t="shared" si="294"/>
        <v>",HTeam= "</v>
      </c>
      <c r="T1003">
        <f>Matchs!J1004</f>
        <v>0</v>
      </c>
      <c r="U1003" s="6" t="str">
        <f t="shared" si="295"/>
        <v>",HGoal=</v>
      </c>
      <c r="V1003">
        <f>Matchs!K1004</f>
        <v>0</v>
      </c>
      <c r="W1003" s="6" t="str">
        <f t="shared" si="296"/>
        <v>,GGoal=</v>
      </c>
      <c r="X1003">
        <f>Matchs!L1004</f>
        <v>0</v>
      </c>
      <c r="Y1003" s="6" t="str">
        <f t="shared" si="297"/>
        <v>,GTeam= "</v>
      </c>
      <c r="Z1003">
        <f>Matchs!M1004</f>
        <v>0</v>
      </c>
      <c r="AA1003" s="6" t="str">
        <f t="shared" si="298"/>
        <v>",WinNote="</v>
      </c>
      <c r="AB1003" t="str">
        <f>IF(Matchs!N1004="","",Matchs!N1004)</f>
        <v/>
      </c>
      <c r="AC1003" s="6" t="str">
        <f t="shared" si="299"/>
        <v xml:space="preserve">",Stadium=" </v>
      </c>
      <c r="AD1003" s="11">
        <f>Matchs!O1004</f>
        <v>0</v>
      </c>
      <c r="AE1003" s="6" t="str">
        <f t="shared" si="300"/>
        <v>",Referee= "</v>
      </c>
      <c r="AF1003" s="11">
        <f>Matchs!P1004</f>
        <v>0</v>
      </c>
      <c r="AG1003" s="6" t="str">
        <f t="shared" si="301"/>
        <v xml:space="preserve">",Visistors= </v>
      </c>
      <c r="AH1003" s="11">
        <f>Matchs!Q1004</f>
        <v>0</v>
      </c>
      <c r="AI1003" s="11" t="str">
        <f t="shared" si="302"/>
        <v>,Status= "</v>
      </c>
      <c r="AJ1003" s="11">
        <f>Matchs!R1004</f>
        <v>0</v>
      </c>
      <c r="AK1003" t="str">
        <f t="shared" si="303"/>
        <v>" },</v>
      </c>
    </row>
    <row r="1004" spans="1:37" x14ac:dyDescent="0.25">
      <c r="A1004" t="str">
        <f t="shared" si="285"/>
        <v>new Match { MatchId= "</v>
      </c>
      <c r="B1004">
        <f>Matchs!A1005</f>
        <v>0</v>
      </c>
      <c r="C1004" t="str">
        <f t="shared" si="286"/>
        <v>",MatchNumer=</v>
      </c>
      <c r="D1004">
        <f>Matchs!B1005</f>
        <v>0</v>
      </c>
      <c r="E1004" t="str">
        <f t="shared" si="287"/>
        <v>,DateMatch=DateTime.Parse("</v>
      </c>
      <c r="F1004" s="3">
        <f>Matchs!C1005</f>
        <v>0</v>
      </c>
      <c r="G1004" s="10" t="str">
        <f t="shared" si="288"/>
        <v>"),TimeMatch=TimeSpan.Parse("</v>
      </c>
      <c r="H1004" s="9">
        <f>Matchs!D1005</f>
        <v>0</v>
      </c>
      <c r="I1004" t="str">
        <f t="shared" si="289"/>
        <v>"),MatchYear=</v>
      </c>
      <c r="J1004">
        <f>Matchs!E1005</f>
        <v>0</v>
      </c>
      <c r="K1004" t="str">
        <f t="shared" si="290"/>
        <v>, SeasonId= "</v>
      </c>
      <c r="L1004">
        <f>Matchs!F1005</f>
        <v>0</v>
      </c>
      <c r="M1004" t="str">
        <f t="shared" si="291"/>
        <v>",Round= "</v>
      </c>
      <c r="N1004">
        <f>Matchs!G1005</f>
        <v>0</v>
      </c>
      <c r="O1004" s="6" t="str">
        <f t="shared" si="292"/>
        <v>",Stage= "</v>
      </c>
      <c r="P1004">
        <f>Matchs!H1005</f>
        <v>0</v>
      </c>
      <c r="Q1004" s="6" t="str">
        <f t="shared" si="293"/>
        <v>",SubStage= "</v>
      </c>
      <c r="R1004">
        <f>Matchs!I1005</f>
        <v>0</v>
      </c>
      <c r="S1004" s="6" t="str">
        <f t="shared" si="294"/>
        <v>",HTeam= "</v>
      </c>
      <c r="T1004">
        <f>Matchs!J1005</f>
        <v>0</v>
      </c>
      <c r="U1004" s="6" t="str">
        <f t="shared" si="295"/>
        <v>",HGoal=</v>
      </c>
      <c r="V1004">
        <f>Matchs!K1005</f>
        <v>0</v>
      </c>
      <c r="W1004" s="6" t="str">
        <f t="shared" si="296"/>
        <v>,GGoal=</v>
      </c>
      <c r="X1004">
        <f>Matchs!L1005</f>
        <v>0</v>
      </c>
      <c r="Y1004" s="6" t="str">
        <f t="shared" si="297"/>
        <v>,GTeam= "</v>
      </c>
      <c r="Z1004">
        <f>Matchs!M1005</f>
        <v>0</v>
      </c>
      <c r="AA1004" s="6" t="str">
        <f t="shared" si="298"/>
        <v>",WinNote="</v>
      </c>
      <c r="AB1004" t="str">
        <f>IF(Matchs!N1005="","",Matchs!N1005)</f>
        <v/>
      </c>
      <c r="AC1004" s="6" t="str">
        <f t="shared" si="299"/>
        <v xml:space="preserve">",Stadium=" </v>
      </c>
      <c r="AD1004" s="11">
        <f>Matchs!O1005</f>
        <v>0</v>
      </c>
      <c r="AE1004" s="6" t="str">
        <f t="shared" si="300"/>
        <v>",Referee= "</v>
      </c>
      <c r="AF1004" s="11">
        <f>Matchs!P1005</f>
        <v>0</v>
      </c>
      <c r="AG1004" s="6" t="str">
        <f t="shared" si="301"/>
        <v xml:space="preserve">",Visistors= </v>
      </c>
      <c r="AH1004" s="11">
        <f>Matchs!Q1005</f>
        <v>0</v>
      </c>
      <c r="AI1004" s="11" t="str">
        <f t="shared" si="302"/>
        <v>,Status= "</v>
      </c>
      <c r="AJ1004" s="11">
        <f>Matchs!R1005</f>
        <v>0</v>
      </c>
      <c r="AK1004" t="str">
        <f t="shared" si="303"/>
        <v>" },</v>
      </c>
    </row>
    <row r="1005" spans="1:37" x14ac:dyDescent="0.25">
      <c r="A1005" t="str">
        <f t="shared" si="285"/>
        <v>new Match { MatchId= "</v>
      </c>
      <c r="B1005">
        <f>Matchs!A1006</f>
        <v>0</v>
      </c>
      <c r="C1005" t="str">
        <f t="shared" si="286"/>
        <v>",MatchNumer=</v>
      </c>
      <c r="D1005">
        <f>Matchs!B1006</f>
        <v>0</v>
      </c>
      <c r="E1005" t="str">
        <f t="shared" si="287"/>
        <v>,DateMatch=DateTime.Parse("</v>
      </c>
      <c r="F1005" s="3">
        <f>Matchs!C1006</f>
        <v>0</v>
      </c>
      <c r="G1005" s="10" t="str">
        <f t="shared" si="288"/>
        <v>"),TimeMatch=TimeSpan.Parse("</v>
      </c>
      <c r="H1005" s="9">
        <f>Matchs!D1006</f>
        <v>0</v>
      </c>
      <c r="I1005" t="str">
        <f t="shared" si="289"/>
        <v>"),MatchYear=</v>
      </c>
      <c r="J1005">
        <f>Matchs!E1006</f>
        <v>0</v>
      </c>
      <c r="K1005" t="str">
        <f t="shared" si="290"/>
        <v>, SeasonId= "</v>
      </c>
      <c r="L1005">
        <f>Matchs!F1006</f>
        <v>0</v>
      </c>
      <c r="M1005" t="str">
        <f t="shared" si="291"/>
        <v>",Round= "</v>
      </c>
      <c r="N1005">
        <f>Matchs!G1006</f>
        <v>0</v>
      </c>
      <c r="O1005" s="6" t="str">
        <f t="shared" si="292"/>
        <v>",Stage= "</v>
      </c>
      <c r="P1005">
        <f>Matchs!H1006</f>
        <v>0</v>
      </c>
      <c r="Q1005" s="6" t="str">
        <f t="shared" si="293"/>
        <v>",SubStage= "</v>
      </c>
      <c r="R1005">
        <f>Matchs!I1006</f>
        <v>0</v>
      </c>
      <c r="S1005" s="6" t="str">
        <f t="shared" si="294"/>
        <v>",HTeam= "</v>
      </c>
      <c r="T1005">
        <f>Matchs!J1006</f>
        <v>0</v>
      </c>
      <c r="U1005" s="6" t="str">
        <f t="shared" si="295"/>
        <v>",HGoal=</v>
      </c>
      <c r="V1005">
        <f>Matchs!K1006</f>
        <v>0</v>
      </c>
      <c r="W1005" s="6" t="str">
        <f t="shared" si="296"/>
        <v>,GGoal=</v>
      </c>
      <c r="X1005">
        <f>Matchs!L1006</f>
        <v>0</v>
      </c>
      <c r="Y1005" s="6" t="str">
        <f t="shared" si="297"/>
        <v>,GTeam= "</v>
      </c>
      <c r="Z1005">
        <f>Matchs!M1006</f>
        <v>0</v>
      </c>
      <c r="AA1005" s="6" t="str">
        <f t="shared" si="298"/>
        <v>",WinNote="</v>
      </c>
      <c r="AB1005" t="str">
        <f>IF(Matchs!N1006="","",Matchs!N1006)</f>
        <v/>
      </c>
      <c r="AC1005" s="6" t="str">
        <f t="shared" si="299"/>
        <v xml:space="preserve">",Stadium=" </v>
      </c>
      <c r="AD1005" s="11">
        <f>Matchs!O1006</f>
        <v>0</v>
      </c>
      <c r="AE1005" s="6" t="str">
        <f t="shared" si="300"/>
        <v>",Referee= "</v>
      </c>
      <c r="AF1005" s="11">
        <f>Matchs!P1006</f>
        <v>0</v>
      </c>
      <c r="AG1005" s="6" t="str">
        <f t="shared" si="301"/>
        <v xml:space="preserve">",Visistors= </v>
      </c>
      <c r="AH1005" s="11">
        <f>Matchs!Q1006</f>
        <v>0</v>
      </c>
      <c r="AI1005" s="11" t="str">
        <f t="shared" si="302"/>
        <v>,Status= "</v>
      </c>
      <c r="AJ1005" s="11">
        <f>Matchs!R1006</f>
        <v>0</v>
      </c>
      <c r="AK1005" t="str">
        <f t="shared" si="303"/>
        <v>" },</v>
      </c>
    </row>
    <row r="1006" spans="1:37" x14ac:dyDescent="0.25">
      <c r="A1006" t="str">
        <f t="shared" si="285"/>
        <v>new Match { MatchId= "</v>
      </c>
      <c r="B1006">
        <f>Matchs!A1007</f>
        <v>0</v>
      </c>
      <c r="C1006" t="str">
        <f t="shared" si="286"/>
        <v>",MatchNumer=</v>
      </c>
      <c r="D1006">
        <f>Matchs!B1007</f>
        <v>0</v>
      </c>
      <c r="E1006" t="str">
        <f t="shared" si="287"/>
        <v>,DateMatch=DateTime.Parse("</v>
      </c>
      <c r="F1006" s="3">
        <f>Matchs!C1007</f>
        <v>0</v>
      </c>
      <c r="G1006" s="10" t="str">
        <f t="shared" si="288"/>
        <v>"),TimeMatch=TimeSpan.Parse("</v>
      </c>
      <c r="H1006" s="9">
        <f>Matchs!D1007</f>
        <v>0</v>
      </c>
      <c r="I1006" t="str">
        <f t="shared" si="289"/>
        <v>"),MatchYear=</v>
      </c>
      <c r="J1006">
        <f>Matchs!E1007</f>
        <v>0</v>
      </c>
      <c r="K1006" t="str">
        <f t="shared" si="290"/>
        <v>, SeasonId= "</v>
      </c>
      <c r="L1006">
        <f>Matchs!F1007</f>
        <v>0</v>
      </c>
      <c r="M1006" t="str">
        <f t="shared" si="291"/>
        <v>",Round= "</v>
      </c>
      <c r="N1006">
        <f>Matchs!G1007</f>
        <v>0</v>
      </c>
      <c r="O1006" s="6" t="str">
        <f t="shared" si="292"/>
        <v>",Stage= "</v>
      </c>
      <c r="P1006">
        <f>Matchs!H1007</f>
        <v>0</v>
      </c>
      <c r="Q1006" s="6" t="str">
        <f t="shared" si="293"/>
        <v>",SubStage= "</v>
      </c>
      <c r="R1006">
        <f>Matchs!I1007</f>
        <v>0</v>
      </c>
      <c r="S1006" s="6" t="str">
        <f t="shared" si="294"/>
        <v>",HTeam= "</v>
      </c>
      <c r="T1006">
        <f>Matchs!J1007</f>
        <v>0</v>
      </c>
      <c r="U1006" s="6" t="str">
        <f t="shared" si="295"/>
        <v>",HGoal=</v>
      </c>
      <c r="V1006">
        <f>Matchs!K1007</f>
        <v>0</v>
      </c>
      <c r="W1006" s="6" t="str">
        <f t="shared" si="296"/>
        <v>,GGoal=</v>
      </c>
      <c r="X1006">
        <f>Matchs!L1007</f>
        <v>0</v>
      </c>
      <c r="Y1006" s="6" t="str">
        <f t="shared" si="297"/>
        <v>,GTeam= "</v>
      </c>
      <c r="Z1006">
        <f>Matchs!M1007</f>
        <v>0</v>
      </c>
      <c r="AA1006" s="6" t="str">
        <f t="shared" si="298"/>
        <v>",WinNote="</v>
      </c>
      <c r="AB1006" t="str">
        <f>IF(Matchs!N1007="","",Matchs!N1007)</f>
        <v/>
      </c>
      <c r="AC1006" s="6" t="str">
        <f t="shared" si="299"/>
        <v xml:space="preserve">",Stadium=" </v>
      </c>
      <c r="AD1006" s="11">
        <f>Matchs!O1007</f>
        <v>0</v>
      </c>
      <c r="AE1006" s="6" t="str">
        <f t="shared" si="300"/>
        <v>",Referee= "</v>
      </c>
      <c r="AF1006" s="11">
        <f>Matchs!P1007</f>
        <v>0</v>
      </c>
      <c r="AG1006" s="6" t="str">
        <f t="shared" si="301"/>
        <v xml:space="preserve">",Visistors= </v>
      </c>
      <c r="AH1006" s="11">
        <f>Matchs!Q1007</f>
        <v>0</v>
      </c>
      <c r="AI1006" s="11" t="str">
        <f t="shared" si="302"/>
        <v>,Status= "</v>
      </c>
      <c r="AJ1006" s="11">
        <f>Matchs!R1007</f>
        <v>0</v>
      </c>
      <c r="AK1006" t="str">
        <f t="shared" si="303"/>
        <v>" },</v>
      </c>
    </row>
    <row r="1007" spans="1:37" x14ac:dyDescent="0.25">
      <c r="A1007" t="str">
        <f t="shared" si="285"/>
        <v>new Match { MatchId= "</v>
      </c>
      <c r="B1007">
        <f>Matchs!A1008</f>
        <v>0</v>
      </c>
      <c r="C1007" t="str">
        <f t="shared" si="286"/>
        <v>",MatchNumer=</v>
      </c>
      <c r="D1007">
        <f>Matchs!B1008</f>
        <v>0</v>
      </c>
      <c r="E1007" t="str">
        <f t="shared" si="287"/>
        <v>,DateMatch=DateTime.Parse("</v>
      </c>
      <c r="F1007" s="3">
        <f>Matchs!C1008</f>
        <v>0</v>
      </c>
      <c r="G1007" s="10" t="str">
        <f t="shared" si="288"/>
        <v>"),TimeMatch=TimeSpan.Parse("</v>
      </c>
      <c r="H1007" s="9">
        <f>Matchs!D1008</f>
        <v>0</v>
      </c>
      <c r="I1007" t="str">
        <f t="shared" si="289"/>
        <v>"),MatchYear=</v>
      </c>
      <c r="J1007">
        <f>Matchs!E1008</f>
        <v>0</v>
      </c>
      <c r="K1007" t="str">
        <f t="shared" si="290"/>
        <v>, SeasonId= "</v>
      </c>
      <c r="L1007">
        <f>Matchs!F1008</f>
        <v>0</v>
      </c>
      <c r="M1007" t="str">
        <f t="shared" si="291"/>
        <v>",Round= "</v>
      </c>
      <c r="N1007">
        <f>Matchs!G1008</f>
        <v>0</v>
      </c>
      <c r="O1007" s="6" t="str">
        <f t="shared" si="292"/>
        <v>",Stage= "</v>
      </c>
      <c r="P1007">
        <f>Matchs!H1008</f>
        <v>0</v>
      </c>
      <c r="Q1007" s="6" t="str">
        <f t="shared" si="293"/>
        <v>",SubStage= "</v>
      </c>
      <c r="R1007">
        <f>Matchs!I1008</f>
        <v>0</v>
      </c>
      <c r="S1007" s="6" t="str">
        <f t="shared" si="294"/>
        <v>",HTeam= "</v>
      </c>
      <c r="T1007">
        <f>Matchs!J1008</f>
        <v>0</v>
      </c>
      <c r="U1007" s="6" t="str">
        <f t="shared" si="295"/>
        <v>",HGoal=</v>
      </c>
      <c r="V1007">
        <f>Matchs!K1008</f>
        <v>0</v>
      </c>
      <c r="W1007" s="6" t="str">
        <f t="shared" si="296"/>
        <v>,GGoal=</v>
      </c>
      <c r="X1007">
        <f>Matchs!L1008</f>
        <v>0</v>
      </c>
      <c r="Y1007" s="6" t="str">
        <f t="shared" si="297"/>
        <v>,GTeam= "</v>
      </c>
      <c r="Z1007">
        <f>Matchs!M1008</f>
        <v>0</v>
      </c>
      <c r="AA1007" s="6" t="str">
        <f t="shared" si="298"/>
        <v>",WinNote="</v>
      </c>
      <c r="AB1007" t="str">
        <f>IF(Matchs!N1008="","",Matchs!N1008)</f>
        <v/>
      </c>
      <c r="AC1007" s="6" t="str">
        <f t="shared" si="299"/>
        <v xml:space="preserve">",Stadium=" </v>
      </c>
      <c r="AD1007" s="11">
        <f>Matchs!O1008</f>
        <v>0</v>
      </c>
      <c r="AE1007" s="6" t="str">
        <f t="shared" si="300"/>
        <v>",Referee= "</v>
      </c>
      <c r="AF1007" s="11">
        <f>Matchs!P1008</f>
        <v>0</v>
      </c>
      <c r="AG1007" s="6" t="str">
        <f t="shared" si="301"/>
        <v xml:space="preserve">",Visistors= </v>
      </c>
      <c r="AH1007" s="11">
        <f>Matchs!Q1008</f>
        <v>0</v>
      </c>
      <c r="AI1007" s="11" t="str">
        <f t="shared" si="302"/>
        <v>,Status= "</v>
      </c>
      <c r="AJ1007" s="11">
        <f>Matchs!R1008</f>
        <v>0</v>
      </c>
      <c r="AK1007" t="str">
        <f t="shared" si="303"/>
        <v>" },</v>
      </c>
    </row>
    <row r="1008" spans="1:37" x14ac:dyDescent="0.25">
      <c r="A1008" t="str">
        <f t="shared" si="285"/>
        <v>new Match { MatchId= "</v>
      </c>
      <c r="B1008">
        <f>Matchs!A1009</f>
        <v>0</v>
      </c>
      <c r="C1008" t="str">
        <f t="shared" si="286"/>
        <v>",MatchNumer=</v>
      </c>
      <c r="D1008">
        <f>Matchs!B1009</f>
        <v>0</v>
      </c>
      <c r="E1008" t="str">
        <f t="shared" si="287"/>
        <v>,DateMatch=DateTime.Parse("</v>
      </c>
      <c r="F1008" s="3">
        <f>Matchs!C1009</f>
        <v>0</v>
      </c>
      <c r="G1008" s="10" t="str">
        <f t="shared" si="288"/>
        <v>"),TimeMatch=TimeSpan.Parse("</v>
      </c>
      <c r="H1008" s="9">
        <f>Matchs!D1009</f>
        <v>0</v>
      </c>
      <c r="I1008" t="str">
        <f t="shared" si="289"/>
        <v>"),MatchYear=</v>
      </c>
      <c r="J1008">
        <f>Matchs!E1009</f>
        <v>0</v>
      </c>
      <c r="K1008" t="str">
        <f t="shared" si="290"/>
        <v>, SeasonId= "</v>
      </c>
      <c r="L1008">
        <f>Matchs!F1009</f>
        <v>0</v>
      </c>
      <c r="M1008" t="str">
        <f t="shared" si="291"/>
        <v>",Round= "</v>
      </c>
      <c r="N1008">
        <f>Matchs!G1009</f>
        <v>0</v>
      </c>
      <c r="O1008" s="6" t="str">
        <f t="shared" si="292"/>
        <v>",Stage= "</v>
      </c>
      <c r="P1008">
        <f>Matchs!H1009</f>
        <v>0</v>
      </c>
      <c r="Q1008" s="6" t="str">
        <f t="shared" si="293"/>
        <v>",SubStage= "</v>
      </c>
      <c r="R1008">
        <f>Matchs!I1009</f>
        <v>0</v>
      </c>
      <c r="S1008" s="6" t="str">
        <f t="shared" si="294"/>
        <v>",HTeam= "</v>
      </c>
      <c r="T1008">
        <f>Matchs!J1009</f>
        <v>0</v>
      </c>
      <c r="U1008" s="6" t="str">
        <f t="shared" si="295"/>
        <v>",HGoal=</v>
      </c>
      <c r="V1008">
        <f>Matchs!K1009</f>
        <v>0</v>
      </c>
      <c r="W1008" s="6" t="str">
        <f t="shared" si="296"/>
        <v>,GGoal=</v>
      </c>
      <c r="X1008">
        <f>Matchs!L1009</f>
        <v>0</v>
      </c>
      <c r="Y1008" s="6" t="str">
        <f t="shared" si="297"/>
        <v>,GTeam= "</v>
      </c>
      <c r="Z1008">
        <f>Matchs!M1009</f>
        <v>0</v>
      </c>
      <c r="AA1008" s="6" t="str">
        <f t="shared" si="298"/>
        <v>",WinNote="</v>
      </c>
      <c r="AB1008" t="str">
        <f>IF(Matchs!N1009="","",Matchs!N1009)</f>
        <v/>
      </c>
      <c r="AC1008" s="6" t="str">
        <f t="shared" si="299"/>
        <v xml:space="preserve">",Stadium=" </v>
      </c>
      <c r="AD1008" s="11">
        <f>Matchs!O1009</f>
        <v>0</v>
      </c>
      <c r="AE1008" s="6" t="str">
        <f t="shared" si="300"/>
        <v>",Referee= "</v>
      </c>
      <c r="AF1008" s="11">
        <f>Matchs!P1009</f>
        <v>0</v>
      </c>
      <c r="AG1008" s="6" t="str">
        <f t="shared" si="301"/>
        <v xml:space="preserve">",Visistors= </v>
      </c>
      <c r="AH1008" s="11">
        <f>Matchs!Q1009</f>
        <v>0</v>
      </c>
      <c r="AI1008" s="11" t="str">
        <f t="shared" si="302"/>
        <v>,Status= "</v>
      </c>
      <c r="AJ1008" s="11">
        <f>Matchs!R1009</f>
        <v>0</v>
      </c>
      <c r="AK1008" t="str">
        <f t="shared" si="303"/>
        <v>" },</v>
      </c>
    </row>
    <row r="1009" spans="1:37" x14ac:dyDescent="0.25">
      <c r="A1009" t="str">
        <f t="shared" si="285"/>
        <v>new Match { MatchId= "</v>
      </c>
      <c r="B1009">
        <f>Matchs!A1010</f>
        <v>0</v>
      </c>
      <c r="C1009" t="str">
        <f t="shared" si="286"/>
        <v>",MatchNumer=</v>
      </c>
      <c r="D1009">
        <f>Matchs!B1010</f>
        <v>0</v>
      </c>
      <c r="E1009" t="str">
        <f t="shared" si="287"/>
        <v>,DateMatch=DateTime.Parse("</v>
      </c>
      <c r="F1009" s="3">
        <f>Matchs!C1010</f>
        <v>0</v>
      </c>
      <c r="G1009" s="10" t="str">
        <f t="shared" si="288"/>
        <v>"),TimeMatch=TimeSpan.Parse("</v>
      </c>
      <c r="H1009" s="9">
        <f>Matchs!D1010</f>
        <v>0</v>
      </c>
      <c r="I1009" t="str">
        <f t="shared" si="289"/>
        <v>"),MatchYear=</v>
      </c>
      <c r="J1009">
        <f>Matchs!E1010</f>
        <v>0</v>
      </c>
      <c r="K1009" t="str">
        <f t="shared" si="290"/>
        <v>, SeasonId= "</v>
      </c>
      <c r="L1009">
        <f>Matchs!F1010</f>
        <v>0</v>
      </c>
      <c r="M1009" t="str">
        <f t="shared" si="291"/>
        <v>",Round= "</v>
      </c>
      <c r="N1009">
        <f>Matchs!G1010</f>
        <v>0</v>
      </c>
      <c r="O1009" s="6" t="str">
        <f t="shared" si="292"/>
        <v>",Stage= "</v>
      </c>
      <c r="P1009">
        <f>Matchs!H1010</f>
        <v>0</v>
      </c>
      <c r="Q1009" s="6" t="str">
        <f t="shared" si="293"/>
        <v>",SubStage= "</v>
      </c>
      <c r="R1009">
        <f>Matchs!I1010</f>
        <v>0</v>
      </c>
      <c r="S1009" s="6" t="str">
        <f t="shared" si="294"/>
        <v>",HTeam= "</v>
      </c>
      <c r="T1009">
        <f>Matchs!J1010</f>
        <v>0</v>
      </c>
      <c r="U1009" s="6" t="str">
        <f t="shared" si="295"/>
        <v>",HGoal=</v>
      </c>
      <c r="V1009">
        <f>Matchs!K1010</f>
        <v>0</v>
      </c>
      <c r="W1009" s="6" t="str">
        <f t="shared" si="296"/>
        <v>,GGoal=</v>
      </c>
      <c r="X1009">
        <f>Matchs!L1010</f>
        <v>0</v>
      </c>
      <c r="Y1009" s="6" t="str">
        <f t="shared" si="297"/>
        <v>,GTeam= "</v>
      </c>
      <c r="Z1009">
        <f>Matchs!M1010</f>
        <v>0</v>
      </c>
      <c r="AA1009" s="6" t="str">
        <f t="shared" si="298"/>
        <v>",WinNote="</v>
      </c>
      <c r="AB1009" t="str">
        <f>IF(Matchs!N1010="","",Matchs!N1010)</f>
        <v/>
      </c>
      <c r="AC1009" s="6" t="str">
        <f t="shared" si="299"/>
        <v xml:space="preserve">",Stadium=" </v>
      </c>
      <c r="AD1009" s="11">
        <f>Matchs!O1010</f>
        <v>0</v>
      </c>
      <c r="AE1009" s="6" t="str">
        <f t="shared" si="300"/>
        <v>",Referee= "</v>
      </c>
      <c r="AF1009" s="11">
        <f>Matchs!P1010</f>
        <v>0</v>
      </c>
      <c r="AG1009" s="6" t="str">
        <f t="shared" si="301"/>
        <v xml:space="preserve">",Visistors= </v>
      </c>
      <c r="AH1009" s="11">
        <f>Matchs!Q1010</f>
        <v>0</v>
      </c>
      <c r="AI1009" s="11" t="str">
        <f t="shared" si="302"/>
        <v>,Status= "</v>
      </c>
      <c r="AJ1009" s="11">
        <f>Matchs!R1010</f>
        <v>0</v>
      </c>
      <c r="AK1009" t="str">
        <f t="shared" si="303"/>
        <v>" },</v>
      </c>
    </row>
    <row r="1010" spans="1:37" x14ac:dyDescent="0.25">
      <c r="A1010" t="str">
        <f t="shared" si="285"/>
        <v>new Match { MatchId= "</v>
      </c>
      <c r="B1010">
        <f>Matchs!A1011</f>
        <v>0</v>
      </c>
      <c r="C1010" t="str">
        <f t="shared" si="286"/>
        <v>",MatchNumer=</v>
      </c>
      <c r="D1010">
        <f>Matchs!B1011</f>
        <v>0</v>
      </c>
      <c r="E1010" t="str">
        <f t="shared" si="287"/>
        <v>,DateMatch=DateTime.Parse("</v>
      </c>
      <c r="F1010" s="3">
        <f>Matchs!C1011</f>
        <v>0</v>
      </c>
      <c r="G1010" s="10" t="str">
        <f t="shared" si="288"/>
        <v>"),TimeMatch=TimeSpan.Parse("</v>
      </c>
      <c r="H1010" s="9">
        <f>Matchs!D1011</f>
        <v>0</v>
      </c>
      <c r="I1010" t="str">
        <f t="shared" si="289"/>
        <v>"),MatchYear=</v>
      </c>
      <c r="J1010">
        <f>Matchs!E1011</f>
        <v>0</v>
      </c>
      <c r="K1010" t="str">
        <f t="shared" si="290"/>
        <v>, SeasonId= "</v>
      </c>
      <c r="L1010">
        <f>Matchs!F1011</f>
        <v>0</v>
      </c>
      <c r="M1010" t="str">
        <f t="shared" si="291"/>
        <v>",Round= "</v>
      </c>
      <c r="N1010">
        <f>Matchs!G1011</f>
        <v>0</v>
      </c>
      <c r="O1010" s="6" t="str">
        <f t="shared" si="292"/>
        <v>",Stage= "</v>
      </c>
      <c r="P1010">
        <f>Matchs!H1011</f>
        <v>0</v>
      </c>
      <c r="Q1010" s="6" t="str">
        <f t="shared" si="293"/>
        <v>",SubStage= "</v>
      </c>
      <c r="R1010">
        <f>Matchs!I1011</f>
        <v>0</v>
      </c>
      <c r="S1010" s="6" t="str">
        <f t="shared" si="294"/>
        <v>",HTeam= "</v>
      </c>
      <c r="T1010">
        <f>Matchs!J1011</f>
        <v>0</v>
      </c>
      <c r="U1010" s="6" t="str">
        <f t="shared" si="295"/>
        <v>",HGoal=</v>
      </c>
      <c r="V1010">
        <f>Matchs!K1011</f>
        <v>0</v>
      </c>
      <c r="W1010" s="6" t="str">
        <f t="shared" si="296"/>
        <v>,GGoal=</v>
      </c>
      <c r="X1010">
        <f>Matchs!L1011</f>
        <v>0</v>
      </c>
      <c r="Y1010" s="6" t="str">
        <f t="shared" si="297"/>
        <v>,GTeam= "</v>
      </c>
      <c r="Z1010">
        <f>Matchs!M1011</f>
        <v>0</v>
      </c>
      <c r="AA1010" s="6" t="str">
        <f t="shared" si="298"/>
        <v>",WinNote="</v>
      </c>
      <c r="AB1010" t="str">
        <f>IF(Matchs!N1011="","",Matchs!N1011)</f>
        <v/>
      </c>
      <c r="AC1010" s="6" t="str">
        <f t="shared" si="299"/>
        <v xml:space="preserve">",Stadium=" </v>
      </c>
      <c r="AD1010" s="11">
        <f>Matchs!O1011</f>
        <v>0</v>
      </c>
      <c r="AE1010" s="6" t="str">
        <f t="shared" si="300"/>
        <v>",Referee= "</v>
      </c>
      <c r="AF1010" s="11">
        <f>Matchs!P1011</f>
        <v>0</v>
      </c>
      <c r="AG1010" s="6" t="str">
        <f t="shared" si="301"/>
        <v xml:space="preserve">",Visistors= </v>
      </c>
      <c r="AH1010" s="11">
        <f>Matchs!Q1011</f>
        <v>0</v>
      </c>
      <c r="AI1010" s="11" t="str">
        <f t="shared" si="302"/>
        <v>,Status= "</v>
      </c>
      <c r="AJ1010" s="11">
        <f>Matchs!R1011</f>
        <v>0</v>
      </c>
      <c r="AK1010" t="str">
        <f t="shared" si="303"/>
        <v>" },</v>
      </c>
    </row>
    <row r="1011" spans="1:37" x14ac:dyDescent="0.25">
      <c r="A1011" t="str">
        <f t="shared" si="285"/>
        <v>new Match { MatchId= "</v>
      </c>
      <c r="B1011">
        <f>Matchs!A1012</f>
        <v>0</v>
      </c>
      <c r="C1011" t="str">
        <f t="shared" si="286"/>
        <v>",MatchNumer=</v>
      </c>
      <c r="D1011">
        <f>Matchs!B1012</f>
        <v>0</v>
      </c>
      <c r="E1011" t="str">
        <f t="shared" si="287"/>
        <v>,DateMatch=DateTime.Parse("</v>
      </c>
      <c r="F1011" s="3">
        <f>Matchs!C1012</f>
        <v>0</v>
      </c>
      <c r="G1011" s="10" t="str">
        <f t="shared" si="288"/>
        <v>"),TimeMatch=TimeSpan.Parse("</v>
      </c>
      <c r="H1011" s="9">
        <f>Matchs!D1012</f>
        <v>0</v>
      </c>
      <c r="I1011" t="str">
        <f t="shared" si="289"/>
        <v>"),MatchYear=</v>
      </c>
      <c r="J1011">
        <f>Matchs!E1012</f>
        <v>0</v>
      </c>
      <c r="K1011" t="str">
        <f t="shared" si="290"/>
        <v>, SeasonId= "</v>
      </c>
      <c r="L1011">
        <f>Matchs!F1012</f>
        <v>0</v>
      </c>
      <c r="M1011" t="str">
        <f t="shared" si="291"/>
        <v>",Round= "</v>
      </c>
      <c r="N1011">
        <f>Matchs!G1012</f>
        <v>0</v>
      </c>
      <c r="O1011" s="6" t="str">
        <f t="shared" si="292"/>
        <v>",Stage= "</v>
      </c>
      <c r="P1011">
        <f>Matchs!H1012</f>
        <v>0</v>
      </c>
      <c r="Q1011" s="6" t="str">
        <f t="shared" si="293"/>
        <v>",SubStage= "</v>
      </c>
      <c r="R1011">
        <f>Matchs!I1012</f>
        <v>0</v>
      </c>
      <c r="S1011" s="6" t="str">
        <f t="shared" si="294"/>
        <v>",HTeam= "</v>
      </c>
      <c r="T1011">
        <f>Matchs!J1012</f>
        <v>0</v>
      </c>
      <c r="U1011" s="6" t="str">
        <f t="shared" si="295"/>
        <v>",HGoal=</v>
      </c>
      <c r="V1011">
        <f>Matchs!K1012</f>
        <v>0</v>
      </c>
      <c r="W1011" s="6" t="str">
        <f t="shared" si="296"/>
        <v>,GGoal=</v>
      </c>
      <c r="X1011">
        <f>Matchs!L1012</f>
        <v>0</v>
      </c>
      <c r="Y1011" s="6" t="str">
        <f t="shared" si="297"/>
        <v>,GTeam= "</v>
      </c>
      <c r="Z1011">
        <f>Matchs!M1012</f>
        <v>0</v>
      </c>
      <c r="AA1011" s="6" t="str">
        <f t="shared" si="298"/>
        <v>",WinNote="</v>
      </c>
      <c r="AB1011" t="str">
        <f>IF(Matchs!N1012="","",Matchs!N1012)</f>
        <v/>
      </c>
      <c r="AC1011" s="6" t="str">
        <f t="shared" si="299"/>
        <v xml:space="preserve">",Stadium=" </v>
      </c>
      <c r="AD1011" s="11">
        <f>Matchs!O1012</f>
        <v>0</v>
      </c>
      <c r="AE1011" s="6" t="str">
        <f t="shared" si="300"/>
        <v>",Referee= "</v>
      </c>
      <c r="AF1011" s="11">
        <f>Matchs!P1012</f>
        <v>0</v>
      </c>
      <c r="AG1011" s="6" t="str">
        <f t="shared" si="301"/>
        <v xml:space="preserve">",Visistors= </v>
      </c>
      <c r="AH1011" s="11">
        <f>Matchs!Q1012</f>
        <v>0</v>
      </c>
      <c r="AI1011" s="11" t="str">
        <f t="shared" si="302"/>
        <v>,Status= "</v>
      </c>
      <c r="AJ1011" s="11">
        <f>Matchs!R1012</f>
        <v>0</v>
      </c>
      <c r="AK1011" t="str">
        <f t="shared" si="303"/>
        <v>" },</v>
      </c>
    </row>
    <row r="1012" spans="1:37" x14ac:dyDescent="0.25">
      <c r="A1012" t="str">
        <f t="shared" si="285"/>
        <v>new Match { MatchId= "</v>
      </c>
      <c r="B1012">
        <f>Matchs!A1013</f>
        <v>0</v>
      </c>
      <c r="C1012" t="str">
        <f t="shared" si="286"/>
        <v>",MatchNumer=</v>
      </c>
      <c r="D1012">
        <f>Matchs!B1013</f>
        <v>0</v>
      </c>
      <c r="E1012" t="str">
        <f t="shared" si="287"/>
        <v>,DateMatch=DateTime.Parse("</v>
      </c>
      <c r="F1012" s="3">
        <f>Matchs!C1013</f>
        <v>0</v>
      </c>
      <c r="G1012" s="10" t="str">
        <f t="shared" si="288"/>
        <v>"),TimeMatch=TimeSpan.Parse("</v>
      </c>
      <c r="H1012" s="9">
        <f>Matchs!D1013</f>
        <v>0</v>
      </c>
      <c r="I1012" t="str">
        <f t="shared" si="289"/>
        <v>"),MatchYear=</v>
      </c>
      <c r="J1012">
        <f>Matchs!E1013</f>
        <v>0</v>
      </c>
      <c r="K1012" t="str">
        <f t="shared" si="290"/>
        <v>, SeasonId= "</v>
      </c>
      <c r="L1012">
        <f>Matchs!F1013</f>
        <v>0</v>
      </c>
      <c r="M1012" t="str">
        <f t="shared" si="291"/>
        <v>",Round= "</v>
      </c>
      <c r="N1012">
        <f>Matchs!G1013</f>
        <v>0</v>
      </c>
      <c r="O1012" s="6" t="str">
        <f t="shared" si="292"/>
        <v>",Stage= "</v>
      </c>
      <c r="P1012">
        <f>Matchs!H1013</f>
        <v>0</v>
      </c>
      <c r="Q1012" s="6" t="str">
        <f t="shared" si="293"/>
        <v>",SubStage= "</v>
      </c>
      <c r="R1012">
        <f>Matchs!I1013</f>
        <v>0</v>
      </c>
      <c r="S1012" s="6" t="str">
        <f t="shared" si="294"/>
        <v>",HTeam= "</v>
      </c>
      <c r="T1012">
        <f>Matchs!J1013</f>
        <v>0</v>
      </c>
      <c r="U1012" s="6" t="str">
        <f t="shared" si="295"/>
        <v>",HGoal=</v>
      </c>
      <c r="V1012">
        <f>Matchs!K1013</f>
        <v>0</v>
      </c>
      <c r="W1012" s="6" t="str">
        <f t="shared" si="296"/>
        <v>,GGoal=</v>
      </c>
      <c r="X1012">
        <f>Matchs!L1013</f>
        <v>0</v>
      </c>
      <c r="Y1012" s="6" t="str">
        <f t="shared" si="297"/>
        <v>,GTeam= "</v>
      </c>
      <c r="Z1012">
        <f>Matchs!M1013</f>
        <v>0</v>
      </c>
      <c r="AA1012" s="6" t="str">
        <f t="shared" si="298"/>
        <v>",WinNote="</v>
      </c>
      <c r="AB1012" t="str">
        <f>IF(Matchs!N1013="","",Matchs!N1013)</f>
        <v/>
      </c>
      <c r="AC1012" s="6" t="str">
        <f t="shared" si="299"/>
        <v xml:space="preserve">",Stadium=" </v>
      </c>
      <c r="AD1012" s="11">
        <f>Matchs!O1013</f>
        <v>0</v>
      </c>
      <c r="AE1012" s="6" t="str">
        <f t="shared" si="300"/>
        <v>",Referee= "</v>
      </c>
      <c r="AF1012" s="11">
        <f>Matchs!P1013</f>
        <v>0</v>
      </c>
      <c r="AG1012" s="6" t="str">
        <f t="shared" si="301"/>
        <v xml:space="preserve">",Visistors= </v>
      </c>
      <c r="AH1012" s="11">
        <f>Matchs!Q1013</f>
        <v>0</v>
      </c>
      <c r="AI1012" s="11" t="str">
        <f t="shared" si="302"/>
        <v>,Status= "</v>
      </c>
      <c r="AJ1012" s="11">
        <f>Matchs!R1013</f>
        <v>0</v>
      </c>
      <c r="AK1012" t="str">
        <f t="shared" si="303"/>
        <v>" },</v>
      </c>
    </row>
    <row r="1013" spans="1:37" x14ac:dyDescent="0.25">
      <c r="A1013" t="str">
        <f t="shared" si="285"/>
        <v>new Match { MatchId= "</v>
      </c>
      <c r="B1013">
        <f>Matchs!A1014</f>
        <v>0</v>
      </c>
      <c r="C1013" t="str">
        <f t="shared" si="286"/>
        <v>",MatchNumer=</v>
      </c>
      <c r="D1013">
        <f>Matchs!B1014</f>
        <v>0</v>
      </c>
      <c r="E1013" t="str">
        <f t="shared" si="287"/>
        <v>,DateMatch=DateTime.Parse("</v>
      </c>
      <c r="F1013" s="3">
        <f>Matchs!C1014</f>
        <v>0</v>
      </c>
      <c r="G1013" s="10" t="str">
        <f t="shared" si="288"/>
        <v>"),TimeMatch=TimeSpan.Parse("</v>
      </c>
      <c r="H1013" s="9">
        <f>Matchs!D1014</f>
        <v>0</v>
      </c>
      <c r="I1013" t="str">
        <f t="shared" si="289"/>
        <v>"),MatchYear=</v>
      </c>
      <c r="J1013">
        <f>Matchs!E1014</f>
        <v>0</v>
      </c>
      <c r="K1013" t="str">
        <f t="shared" si="290"/>
        <v>, SeasonId= "</v>
      </c>
      <c r="L1013">
        <f>Matchs!F1014</f>
        <v>0</v>
      </c>
      <c r="M1013" t="str">
        <f t="shared" si="291"/>
        <v>",Round= "</v>
      </c>
      <c r="N1013">
        <f>Matchs!G1014</f>
        <v>0</v>
      </c>
      <c r="O1013" s="6" t="str">
        <f t="shared" si="292"/>
        <v>",Stage= "</v>
      </c>
      <c r="P1013">
        <f>Matchs!H1014</f>
        <v>0</v>
      </c>
      <c r="Q1013" s="6" t="str">
        <f t="shared" si="293"/>
        <v>",SubStage= "</v>
      </c>
      <c r="R1013">
        <f>Matchs!I1014</f>
        <v>0</v>
      </c>
      <c r="S1013" s="6" t="str">
        <f t="shared" si="294"/>
        <v>",HTeam= "</v>
      </c>
      <c r="T1013">
        <f>Matchs!J1014</f>
        <v>0</v>
      </c>
      <c r="U1013" s="6" t="str">
        <f t="shared" si="295"/>
        <v>",HGoal=</v>
      </c>
      <c r="V1013">
        <f>Matchs!K1014</f>
        <v>0</v>
      </c>
      <c r="W1013" s="6" t="str">
        <f t="shared" si="296"/>
        <v>,GGoal=</v>
      </c>
      <c r="X1013">
        <f>Matchs!L1014</f>
        <v>0</v>
      </c>
      <c r="Y1013" s="6" t="str">
        <f t="shared" si="297"/>
        <v>,GTeam= "</v>
      </c>
      <c r="Z1013">
        <f>Matchs!M1014</f>
        <v>0</v>
      </c>
      <c r="AA1013" s="6" t="str">
        <f t="shared" si="298"/>
        <v>",WinNote="</v>
      </c>
      <c r="AB1013" t="str">
        <f>IF(Matchs!N1014="","",Matchs!N1014)</f>
        <v/>
      </c>
      <c r="AC1013" s="6" t="str">
        <f t="shared" si="299"/>
        <v xml:space="preserve">",Stadium=" </v>
      </c>
      <c r="AD1013" s="11">
        <f>Matchs!O1014</f>
        <v>0</v>
      </c>
      <c r="AE1013" s="6" t="str">
        <f t="shared" si="300"/>
        <v>",Referee= "</v>
      </c>
      <c r="AF1013" s="11">
        <f>Matchs!P1014</f>
        <v>0</v>
      </c>
      <c r="AG1013" s="6" t="str">
        <f t="shared" si="301"/>
        <v xml:space="preserve">",Visistors= </v>
      </c>
      <c r="AH1013" s="11">
        <f>Matchs!Q1014</f>
        <v>0</v>
      </c>
      <c r="AI1013" s="11" t="str">
        <f t="shared" si="302"/>
        <v>,Status= "</v>
      </c>
      <c r="AJ1013" s="11">
        <f>Matchs!R1014</f>
        <v>0</v>
      </c>
      <c r="AK1013" t="str">
        <f t="shared" si="303"/>
        <v>" },</v>
      </c>
    </row>
    <row r="1014" spans="1:37" x14ac:dyDescent="0.25">
      <c r="A1014" t="str">
        <f t="shared" si="285"/>
        <v>new Match { MatchId= "</v>
      </c>
      <c r="B1014">
        <f>Matchs!A1015</f>
        <v>0</v>
      </c>
      <c r="C1014" t="str">
        <f t="shared" si="286"/>
        <v>",MatchNumer=</v>
      </c>
      <c r="D1014">
        <f>Matchs!B1015</f>
        <v>0</v>
      </c>
      <c r="E1014" t="str">
        <f t="shared" si="287"/>
        <v>,DateMatch=DateTime.Parse("</v>
      </c>
      <c r="F1014" s="3">
        <f>Matchs!C1015</f>
        <v>0</v>
      </c>
      <c r="G1014" s="10" t="str">
        <f t="shared" si="288"/>
        <v>"),TimeMatch=TimeSpan.Parse("</v>
      </c>
      <c r="H1014" s="9">
        <f>Matchs!D1015</f>
        <v>0</v>
      </c>
      <c r="I1014" t="str">
        <f t="shared" si="289"/>
        <v>"),MatchYear=</v>
      </c>
      <c r="J1014">
        <f>Matchs!E1015</f>
        <v>0</v>
      </c>
      <c r="K1014" t="str">
        <f t="shared" si="290"/>
        <v>, SeasonId= "</v>
      </c>
      <c r="L1014">
        <f>Matchs!F1015</f>
        <v>0</v>
      </c>
      <c r="M1014" t="str">
        <f t="shared" si="291"/>
        <v>",Round= "</v>
      </c>
      <c r="N1014">
        <f>Matchs!G1015</f>
        <v>0</v>
      </c>
      <c r="O1014" s="6" t="str">
        <f t="shared" si="292"/>
        <v>",Stage= "</v>
      </c>
      <c r="P1014">
        <f>Matchs!H1015</f>
        <v>0</v>
      </c>
      <c r="Q1014" s="6" t="str">
        <f t="shared" si="293"/>
        <v>",SubStage= "</v>
      </c>
      <c r="R1014">
        <f>Matchs!I1015</f>
        <v>0</v>
      </c>
      <c r="S1014" s="6" t="str">
        <f t="shared" si="294"/>
        <v>",HTeam= "</v>
      </c>
      <c r="T1014">
        <f>Matchs!J1015</f>
        <v>0</v>
      </c>
      <c r="U1014" s="6" t="str">
        <f t="shared" si="295"/>
        <v>",HGoal=</v>
      </c>
      <c r="V1014">
        <f>Matchs!K1015</f>
        <v>0</v>
      </c>
      <c r="W1014" s="6" t="str">
        <f t="shared" si="296"/>
        <v>,GGoal=</v>
      </c>
      <c r="X1014">
        <f>Matchs!L1015</f>
        <v>0</v>
      </c>
      <c r="Y1014" s="6" t="str">
        <f t="shared" si="297"/>
        <v>,GTeam= "</v>
      </c>
      <c r="Z1014">
        <f>Matchs!M1015</f>
        <v>0</v>
      </c>
      <c r="AA1014" s="6" t="str">
        <f t="shared" si="298"/>
        <v>",WinNote="</v>
      </c>
      <c r="AB1014" t="str">
        <f>IF(Matchs!N1015="","",Matchs!N1015)</f>
        <v/>
      </c>
      <c r="AC1014" s="6" t="str">
        <f t="shared" si="299"/>
        <v xml:space="preserve">",Stadium=" </v>
      </c>
      <c r="AD1014" s="11">
        <f>Matchs!O1015</f>
        <v>0</v>
      </c>
      <c r="AE1014" s="6" t="str">
        <f t="shared" si="300"/>
        <v>",Referee= "</v>
      </c>
      <c r="AF1014" s="11">
        <f>Matchs!P1015</f>
        <v>0</v>
      </c>
      <c r="AG1014" s="6" t="str">
        <f t="shared" si="301"/>
        <v xml:space="preserve">",Visistors= </v>
      </c>
      <c r="AH1014" s="11">
        <f>Matchs!Q1015</f>
        <v>0</v>
      </c>
      <c r="AI1014" s="11" t="str">
        <f t="shared" si="302"/>
        <v>,Status= "</v>
      </c>
      <c r="AJ1014" s="11">
        <f>Matchs!R1015</f>
        <v>0</v>
      </c>
      <c r="AK1014" t="str">
        <f t="shared" si="303"/>
        <v>" },</v>
      </c>
    </row>
    <row r="1015" spans="1:37" x14ac:dyDescent="0.25">
      <c r="A1015" t="str">
        <f t="shared" si="285"/>
        <v>new Match { MatchId= "</v>
      </c>
      <c r="B1015">
        <f>Matchs!A1016</f>
        <v>0</v>
      </c>
      <c r="C1015" t="str">
        <f t="shared" si="286"/>
        <v>",MatchNumer=</v>
      </c>
      <c r="D1015">
        <f>Matchs!B1016</f>
        <v>0</v>
      </c>
      <c r="E1015" t="str">
        <f t="shared" si="287"/>
        <v>,DateMatch=DateTime.Parse("</v>
      </c>
      <c r="F1015" s="3">
        <f>Matchs!C1016</f>
        <v>0</v>
      </c>
      <c r="G1015" s="10" t="str">
        <f t="shared" si="288"/>
        <v>"),TimeMatch=TimeSpan.Parse("</v>
      </c>
      <c r="H1015" s="9">
        <f>Matchs!D1016</f>
        <v>0</v>
      </c>
      <c r="I1015" t="str">
        <f t="shared" si="289"/>
        <v>"),MatchYear=</v>
      </c>
      <c r="J1015">
        <f>Matchs!E1016</f>
        <v>0</v>
      </c>
      <c r="K1015" t="str">
        <f t="shared" si="290"/>
        <v>, SeasonId= "</v>
      </c>
      <c r="L1015">
        <f>Matchs!F1016</f>
        <v>0</v>
      </c>
      <c r="M1015" t="str">
        <f t="shared" si="291"/>
        <v>",Round= "</v>
      </c>
      <c r="N1015">
        <f>Matchs!G1016</f>
        <v>0</v>
      </c>
      <c r="O1015" s="6" t="str">
        <f t="shared" si="292"/>
        <v>",Stage= "</v>
      </c>
      <c r="P1015">
        <f>Matchs!H1016</f>
        <v>0</v>
      </c>
      <c r="Q1015" s="6" t="str">
        <f t="shared" si="293"/>
        <v>",SubStage= "</v>
      </c>
      <c r="R1015">
        <f>Matchs!I1016</f>
        <v>0</v>
      </c>
      <c r="S1015" s="6" t="str">
        <f t="shared" si="294"/>
        <v>",HTeam= "</v>
      </c>
      <c r="T1015">
        <f>Matchs!J1016</f>
        <v>0</v>
      </c>
      <c r="U1015" s="6" t="str">
        <f t="shared" si="295"/>
        <v>",HGoal=</v>
      </c>
      <c r="V1015">
        <f>Matchs!K1016</f>
        <v>0</v>
      </c>
      <c r="W1015" s="6" t="str">
        <f t="shared" si="296"/>
        <v>,GGoal=</v>
      </c>
      <c r="X1015">
        <f>Matchs!L1016</f>
        <v>0</v>
      </c>
      <c r="Y1015" s="6" t="str">
        <f t="shared" si="297"/>
        <v>,GTeam= "</v>
      </c>
      <c r="Z1015">
        <f>Matchs!M1016</f>
        <v>0</v>
      </c>
      <c r="AA1015" s="6" t="str">
        <f t="shared" si="298"/>
        <v>",WinNote="</v>
      </c>
      <c r="AB1015" t="str">
        <f>IF(Matchs!N1016="","",Matchs!N1016)</f>
        <v/>
      </c>
      <c r="AC1015" s="6" t="str">
        <f t="shared" si="299"/>
        <v xml:space="preserve">",Stadium=" </v>
      </c>
      <c r="AD1015" s="11">
        <f>Matchs!O1016</f>
        <v>0</v>
      </c>
      <c r="AE1015" s="6" t="str">
        <f t="shared" si="300"/>
        <v>",Referee= "</v>
      </c>
      <c r="AF1015" s="11">
        <f>Matchs!P1016</f>
        <v>0</v>
      </c>
      <c r="AG1015" s="6" t="str">
        <f t="shared" si="301"/>
        <v xml:space="preserve">",Visistors= </v>
      </c>
      <c r="AH1015" s="11">
        <f>Matchs!Q1016</f>
        <v>0</v>
      </c>
      <c r="AI1015" s="11" t="str">
        <f t="shared" si="302"/>
        <v>,Status= "</v>
      </c>
      <c r="AJ1015" s="11">
        <f>Matchs!R1016</f>
        <v>0</v>
      </c>
      <c r="AK1015" t="str">
        <f t="shared" si="303"/>
        <v>" },</v>
      </c>
    </row>
    <row r="1016" spans="1:37" x14ac:dyDescent="0.25">
      <c r="A1016" t="str">
        <f t="shared" si="285"/>
        <v>new Match { MatchId= "</v>
      </c>
      <c r="B1016">
        <f>Matchs!A1017</f>
        <v>0</v>
      </c>
      <c r="C1016" t="str">
        <f t="shared" si="286"/>
        <v>",MatchNumer=</v>
      </c>
      <c r="D1016">
        <f>Matchs!B1017</f>
        <v>0</v>
      </c>
      <c r="E1016" t="str">
        <f t="shared" si="287"/>
        <v>,DateMatch=DateTime.Parse("</v>
      </c>
      <c r="F1016" s="3">
        <f>Matchs!C1017</f>
        <v>0</v>
      </c>
      <c r="G1016" s="10" t="str">
        <f t="shared" si="288"/>
        <v>"),TimeMatch=TimeSpan.Parse("</v>
      </c>
      <c r="H1016" s="9">
        <f>Matchs!D1017</f>
        <v>0</v>
      </c>
      <c r="I1016" t="str">
        <f t="shared" si="289"/>
        <v>"),MatchYear=</v>
      </c>
      <c r="J1016">
        <f>Matchs!E1017</f>
        <v>0</v>
      </c>
      <c r="K1016" t="str">
        <f t="shared" si="290"/>
        <v>, SeasonId= "</v>
      </c>
      <c r="L1016">
        <f>Matchs!F1017</f>
        <v>0</v>
      </c>
      <c r="M1016" t="str">
        <f t="shared" si="291"/>
        <v>",Round= "</v>
      </c>
      <c r="N1016">
        <f>Matchs!G1017</f>
        <v>0</v>
      </c>
      <c r="O1016" s="6" t="str">
        <f t="shared" si="292"/>
        <v>",Stage= "</v>
      </c>
      <c r="P1016">
        <f>Matchs!H1017</f>
        <v>0</v>
      </c>
      <c r="Q1016" s="6" t="str">
        <f t="shared" si="293"/>
        <v>",SubStage= "</v>
      </c>
      <c r="R1016">
        <f>Matchs!I1017</f>
        <v>0</v>
      </c>
      <c r="S1016" s="6" t="str">
        <f t="shared" si="294"/>
        <v>",HTeam= "</v>
      </c>
      <c r="T1016">
        <f>Matchs!J1017</f>
        <v>0</v>
      </c>
      <c r="U1016" s="6" t="str">
        <f t="shared" si="295"/>
        <v>",HGoal=</v>
      </c>
      <c r="V1016">
        <f>Matchs!K1017</f>
        <v>0</v>
      </c>
      <c r="W1016" s="6" t="str">
        <f t="shared" si="296"/>
        <v>,GGoal=</v>
      </c>
      <c r="X1016">
        <f>Matchs!L1017</f>
        <v>0</v>
      </c>
      <c r="Y1016" s="6" t="str">
        <f t="shared" si="297"/>
        <v>,GTeam= "</v>
      </c>
      <c r="Z1016">
        <f>Matchs!M1017</f>
        <v>0</v>
      </c>
      <c r="AA1016" s="6" t="str">
        <f t="shared" si="298"/>
        <v>",WinNote="</v>
      </c>
      <c r="AB1016" t="str">
        <f>IF(Matchs!N1017="","",Matchs!N1017)</f>
        <v/>
      </c>
      <c r="AC1016" s="6" t="str">
        <f t="shared" si="299"/>
        <v xml:space="preserve">",Stadium=" </v>
      </c>
      <c r="AD1016" s="11">
        <f>Matchs!O1017</f>
        <v>0</v>
      </c>
      <c r="AE1016" s="6" t="str">
        <f t="shared" si="300"/>
        <v>",Referee= "</v>
      </c>
      <c r="AF1016" s="11">
        <f>Matchs!P1017</f>
        <v>0</v>
      </c>
      <c r="AG1016" s="6" t="str">
        <f t="shared" si="301"/>
        <v xml:space="preserve">",Visistors= </v>
      </c>
      <c r="AH1016" s="11">
        <f>Matchs!Q1017</f>
        <v>0</v>
      </c>
      <c r="AI1016" s="11" t="str">
        <f t="shared" si="302"/>
        <v>,Status= "</v>
      </c>
      <c r="AJ1016" s="11">
        <f>Matchs!R1017</f>
        <v>0</v>
      </c>
      <c r="AK1016" t="str">
        <f t="shared" si="303"/>
        <v>" },</v>
      </c>
    </row>
    <row r="1017" spans="1:37" x14ac:dyDescent="0.25">
      <c r="A1017" t="str">
        <f t="shared" si="285"/>
        <v>new Match { MatchId= "</v>
      </c>
      <c r="B1017">
        <f>Matchs!A1018</f>
        <v>0</v>
      </c>
      <c r="C1017" t="str">
        <f t="shared" si="286"/>
        <v>",MatchNumer=</v>
      </c>
      <c r="D1017">
        <f>Matchs!B1018</f>
        <v>0</v>
      </c>
      <c r="E1017" t="str">
        <f t="shared" si="287"/>
        <v>,DateMatch=DateTime.Parse("</v>
      </c>
      <c r="F1017" s="3">
        <f>Matchs!C1018</f>
        <v>0</v>
      </c>
      <c r="G1017" s="10" t="str">
        <f t="shared" si="288"/>
        <v>"),TimeMatch=TimeSpan.Parse("</v>
      </c>
      <c r="H1017" s="9">
        <f>Matchs!D1018</f>
        <v>0</v>
      </c>
      <c r="I1017" t="str">
        <f t="shared" si="289"/>
        <v>"),MatchYear=</v>
      </c>
      <c r="J1017">
        <f>Matchs!E1018</f>
        <v>0</v>
      </c>
      <c r="K1017" t="str">
        <f t="shared" si="290"/>
        <v>, SeasonId= "</v>
      </c>
      <c r="L1017">
        <f>Matchs!F1018</f>
        <v>0</v>
      </c>
      <c r="M1017" t="str">
        <f t="shared" si="291"/>
        <v>",Round= "</v>
      </c>
      <c r="N1017">
        <f>Matchs!G1018</f>
        <v>0</v>
      </c>
      <c r="O1017" s="6" t="str">
        <f t="shared" si="292"/>
        <v>",Stage= "</v>
      </c>
      <c r="P1017">
        <f>Matchs!H1018</f>
        <v>0</v>
      </c>
      <c r="Q1017" s="6" t="str">
        <f t="shared" si="293"/>
        <v>",SubStage= "</v>
      </c>
      <c r="R1017">
        <f>Matchs!I1018</f>
        <v>0</v>
      </c>
      <c r="S1017" s="6" t="str">
        <f t="shared" si="294"/>
        <v>",HTeam= "</v>
      </c>
      <c r="T1017">
        <f>Matchs!J1018</f>
        <v>0</v>
      </c>
      <c r="U1017" s="6" t="str">
        <f t="shared" si="295"/>
        <v>",HGoal=</v>
      </c>
      <c r="V1017">
        <f>Matchs!K1018</f>
        <v>0</v>
      </c>
      <c r="W1017" s="6" t="str">
        <f t="shared" si="296"/>
        <v>,GGoal=</v>
      </c>
      <c r="X1017">
        <f>Matchs!L1018</f>
        <v>0</v>
      </c>
      <c r="Y1017" s="6" t="str">
        <f t="shared" si="297"/>
        <v>,GTeam= "</v>
      </c>
      <c r="Z1017">
        <f>Matchs!M1018</f>
        <v>0</v>
      </c>
      <c r="AA1017" s="6" t="str">
        <f t="shared" si="298"/>
        <v>",WinNote="</v>
      </c>
      <c r="AB1017" t="str">
        <f>IF(Matchs!N1018="","",Matchs!N1018)</f>
        <v/>
      </c>
      <c r="AC1017" s="6" t="str">
        <f t="shared" si="299"/>
        <v xml:space="preserve">",Stadium=" </v>
      </c>
      <c r="AD1017" s="11">
        <f>Matchs!O1018</f>
        <v>0</v>
      </c>
      <c r="AE1017" s="6" t="str">
        <f t="shared" si="300"/>
        <v>",Referee= "</v>
      </c>
      <c r="AF1017" s="11">
        <f>Matchs!P1018</f>
        <v>0</v>
      </c>
      <c r="AG1017" s="6" t="str">
        <f t="shared" si="301"/>
        <v xml:space="preserve">",Visistors= </v>
      </c>
      <c r="AH1017" s="11">
        <f>Matchs!Q1018</f>
        <v>0</v>
      </c>
      <c r="AI1017" s="11" t="str">
        <f t="shared" si="302"/>
        <v>,Status= "</v>
      </c>
      <c r="AJ1017" s="11">
        <f>Matchs!R1018</f>
        <v>0</v>
      </c>
      <c r="AK1017" t="str">
        <f t="shared" si="303"/>
        <v>" },</v>
      </c>
    </row>
    <row r="1018" spans="1:37" x14ac:dyDescent="0.25">
      <c r="A1018" t="str">
        <f t="shared" si="285"/>
        <v>new Match { MatchId= "</v>
      </c>
      <c r="B1018">
        <f>Matchs!A1019</f>
        <v>0</v>
      </c>
      <c r="C1018" t="str">
        <f t="shared" si="286"/>
        <v>",MatchNumer=</v>
      </c>
      <c r="D1018">
        <f>Matchs!B1019</f>
        <v>0</v>
      </c>
      <c r="E1018" t="str">
        <f t="shared" si="287"/>
        <v>,DateMatch=DateTime.Parse("</v>
      </c>
      <c r="F1018" s="3">
        <f>Matchs!C1019</f>
        <v>0</v>
      </c>
      <c r="G1018" s="10" t="str">
        <f t="shared" si="288"/>
        <v>"),TimeMatch=TimeSpan.Parse("</v>
      </c>
      <c r="H1018" s="9">
        <f>Matchs!D1019</f>
        <v>0</v>
      </c>
      <c r="I1018" t="str">
        <f t="shared" si="289"/>
        <v>"),MatchYear=</v>
      </c>
      <c r="J1018">
        <f>Matchs!E1019</f>
        <v>0</v>
      </c>
      <c r="K1018" t="str">
        <f t="shared" si="290"/>
        <v>, SeasonId= "</v>
      </c>
      <c r="L1018">
        <f>Matchs!F1019</f>
        <v>0</v>
      </c>
      <c r="M1018" t="str">
        <f t="shared" si="291"/>
        <v>",Round= "</v>
      </c>
      <c r="N1018">
        <f>Matchs!G1019</f>
        <v>0</v>
      </c>
      <c r="O1018" s="6" t="str">
        <f t="shared" si="292"/>
        <v>",Stage= "</v>
      </c>
      <c r="P1018">
        <f>Matchs!H1019</f>
        <v>0</v>
      </c>
      <c r="Q1018" s="6" t="str">
        <f t="shared" si="293"/>
        <v>",SubStage= "</v>
      </c>
      <c r="R1018">
        <f>Matchs!I1019</f>
        <v>0</v>
      </c>
      <c r="S1018" s="6" t="str">
        <f t="shared" si="294"/>
        <v>",HTeam= "</v>
      </c>
      <c r="T1018">
        <f>Matchs!J1019</f>
        <v>0</v>
      </c>
      <c r="U1018" s="6" t="str">
        <f t="shared" si="295"/>
        <v>",HGoal=</v>
      </c>
      <c r="V1018">
        <f>Matchs!K1019</f>
        <v>0</v>
      </c>
      <c r="W1018" s="6" t="str">
        <f t="shared" si="296"/>
        <v>,GGoal=</v>
      </c>
      <c r="X1018">
        <f>Matchs!L1019</f>
        <v>0</v>
      </c>
      <c r="Y1018" s="6" t="str">
        <f t="shared" si="297"/>
        <v>,GTeam= "</v>
      </c>
      <c r="Z1018">
        <f>Matchs!M1019</f>
        <v>0</v>
      </c>
      <c r="AA1018" s="6" t="str">
        <f t="shared" si="298"/>
        <v>",WinNote="</v>
      </c>
      <c r="AB1018" t="str">
        <f>IF(Matchs!N1019="","",Matchs!N1019)</f>
        <v/>
      </c>
      <c r="AC1018" s="6" t="str">
        <f t="shared" si="299"/>
        <v xml:space="preserve">",Stadium=" </v>
      </c>
      <c r="AD1018" s="11">
        <f>Matchs!O1019</f>
        <v>0</v>
      </c>
      <c r="AE1018" s="6" t="str">
        <f t="shared" si="300"/>
        <v>",Referee= "</v>
      </c>
      <c r="AF1018" s="11">
        <f>Matchs!P1019</f>
        <v>0</v>
      </c>
      <c r="AG1018" s="6" t="str">
        <f t="shared" si="301"/>
        <v xml:space="preserve">",Visistors= </v>
      </c>
      <c r="AH1018" s="11">
        <f>Matchs!Q1019</f>
        <v>0</v>
      </c>
      <c r="AI1018" s="11" t="str">
        <f t="shared" si="302"/>
        <v>,Status= "</v>
      </c>
      <c r="AJ1018" s="11">
        <f>Matchs!R1019</f>
        <v>0</v>
      </c>
      <c r="AK1018" t="str">
        <f t="shared" si="303"/>
        <v>" },</v>
      </c>
    </row>
    <row r="1019" spans="1:37" x14ac:dyDescent="0.25">
      <c r="A1019" t="str">
        <f t="shared" si="285"/>
        <v>new Match { MatchId= "</v>
      </c>
      <c r="B1019">
        <f>Matchs!A1020</f>
        <v>0</v>
      </c>
      <c r="C1019" t="str">
        <f t="shared" si="286"/>
        <v>",MatchNumer=</v>
      </c>
      <c r="D1019">
        <f>Matchs!B1020</f>
        <v>0</v>
      </c>
      <c r="E1019" t="str">
        <f t="shared" si="287"/>
        <v>,DateMatch=DateTime.Parse("</v>
      </c>
      <c r="F1019" s="3">
        <f>Matchs!C1020</f>
        <v>0</v>
      </c>
      <c r="G1019" s="10" t="str">
        <f t="shared" si="288"/>
        <v>"),TimeMatch=TimeSpan.Parse("</v>
      </c>
      <c r="H1019" s="9">
        <f>Matchs!D1020</f>
        <v>0</v>
      </c>
      <c r="I1019" t="str">
        <f t="shared" si="289"/>
        <v>"),MatchYear=</v>
      </c>
      <c r="J1019">
        <f>Matchs!E1020</f>
        <v>0</v>
      </c>
      <c r="K1019" t="str">
        <f t="shared" si="290"/>
        <v>, SeasonId= "</v>
      </c>
      <c r="L1019">
        <f>Matchs!F1020</f>
        <v>0</v>
      </c>
      <c r="M1019" t="str">
        <f t="shared" si="291"/>
        <v>",Round= "</v>
      </c>
      <c r="N1019">
        <f>Matchs!G1020</f>
        <v>0</v>
      </c>
      <c r="O1019" s="6" t="str">
        <f t="shared" si="292"/>
        <v>",Stage= "</v>
      </c>
      <c r="P1019">
        <f>Matchs!H1020</f>
        <v>0</v>
      </c>
      <c r="Q1019" s="6" t="str">
        <f t="shared" si="293"/>
        <v>",SubStage= "</v>
      </c>
      <c r="R1019">
        <f>Matchs!I1020</f>
        <v>0</v>
      </c>
      <c r="S1019" s="6" t="str">
        <f t="shared" si="294"/>
        <v>",HTeam= "</v>
      </c>
      <c r="T1019">
        <f>Matchs!J1020</f>
        <v>0</v>
      </c>
      <c r="U1019" s="6" t="str">
        <f t="shared" si="295"/>
        <v>",HGoal=</v>
      </c>
      <c r="V1019">
        <f>Matchs!K1020</f>
        <v>0</v>
      </c>
      <c r="W1019" s="6" t="str">
        <f t="shared" si="296"/>
        <v>,GGoal=</v>
      </c>
      <c r="X1019">
        <f>Matchs!L1020</f>
        <v>0</v>
      </c>
      <c r="Y1019" s="6" t="str">
        <f t="shared" si="297"/>
        <v>,GTeam= "</v>
      </c>
      <c r="Z1019">
        <f>Matchs!M1020</f>
        <v>0</v>
      </c>
      <c r="AA1019" s="6" t="str">
        <f t="shared" si="298"/>
        <v>",WinNote="</v>
      </c>
      <c r="AB1019" t="str">
        <f>IF(Matchs!N1020="","",Matchs!N1020)</f>
        <v/>
      </c>
      <c r="AC1019" s="6" t="str">
        <f t="shared" si="299"/>
        <v xml:space="preserve">",Stadium=" </v>
      </c>
      <c r="AD1019" s="11">
        <f>Matchs!O1020</f>
        <v>0</v>
      </c>
      <c r="AE1019" s="6" t="str">
        <f t="shared" si="300"/>
        <v>",Referee= "</v>
      </c>
      <c r="AF1019" s="11">
        <f>Matchs!P1020</f>
        <v>0</v>
      </c>
      <c r="AG1019" s="6" t="str">
        <f t="shared" si="301"/>
        <v xml:space="preserve">",Visistors= </v>
      </c>
      <c r="AH1019" s="11">
        <f>Matchs!Q1020</f>
        <v>0</v>
      </c>
      <c r="AI1019" s="11" t="str">
        <f t="shared" si="302"/>
        <v>,Status= "</v>
      </c>
      <c r="AJ1019" s="11">
        <f>Matchs!R1020</f>
        <v>0</v>
      </c>
      <c r="AK1019" t="str">
        <f t="shared" si="303"/>
        <v>" },</v>
      </c>
    </row>
    <row r="1020" spans="1:37" x14ac:dyDescent="0.25">
      <c r="A1020" t="str">
        <f t="shared" si="285"/>
        <v>new Match { MatchId= "</v>
      </c>
      <c r="B1020">
        <f>Matchs!A1021</f>
        <v>0</v>
      </c>
      <c r="C1020" t="str">
        <f t="shared" si="286"/>
        <v>",MatchNumer=</v>
      </c>
      <c r="D1020">
        <f>Matchs!B1021</f>
        <v>0</v>
      </c>
      <c r="E1020" t="str">
        <f t="shared" si="287"/>
        <v>,DateMatch=DateTime.Parse("</v>
      </c>
      <c r="F1020" s="3">
        <f>Matchs!C1021</f>
        <v>0</v>
      </c>
      <c r="G1020" s="10" t="str">
        <f t="shared" si="288"/>
        <v>"),TimeMatch=TimeSpan.Parse("</v>
      </c>
      <c r="H1020" s="9">
        <f>Matchs!D1021</f>
        <v>0</v>
      </c>
      <c r="I1020" t="str">
        <f t="shared" si="289"/>
        <v>"),MatchYear=</v>
      </c>
      <c r="J1020">
        <f>Matchs!E1021</f>
        <v>0</v>
      </c>
      <c r="K1020" t="str">
        <f t="shared" si="290"/>
        <v>, SeasonId= "</v>
      </c>
      <c r="L1020">
        <f>Matchs!F1021</f>
        <v>0</v>
      </c>
      <c r="M1020" t="str">
        <f t="shared" si="291"/>
        <v>",Round= "</v>
      </c>
      <c r="N1020">
        <f>Matchs!G1021</f>
        <v>0</v>
      </c>
      <c r="O1020" s="6" t="str">
        <f t="shared" si="292"/>
        <v>",Stage= "</v>
      </c>
      <c r="P1020">
        <f>Matchs!H1021</f>
        <v>0</v>
      </c>
      <c r="Q1020" s="6" t="str">
        <f t="shared" si="293"/>
        <v>",SubStage= "</v>
      </c>
      <c r="R1020">
        <f>Matchs!I1021</f>
        <v>0</v>
      </c>
      <c r="S1020" s="6" t="str">
        <f t="shared" si="294"/>
        <v>",HTeam= "</v>
      </c>
      <c r="T1020">
        <f>Matchs!J1021</f>
        <v>0</v>
      </c>
      <c r="U1020" s="6" t="str">
        <f t="shared" si="295"/>
        <v>",HGoal=</v>
      </c>
      <c r="V1020">
        <f>Matchs!K1021</f>
        <v>0</v>
      </c>
      <c r="W1020" s="6" t="str">
        <f t="shared" si="296"/>
        <v>,GGoal=</v>
      </c>
      <c r="X1020">
        <f>Matchs!L1021</f>
        <v>0</v>
      </c>
      <c r="Y1020" s="6" t="str">
        <f t="shared" si="297"/>
        <v>,GTeam= "</v>
      </c>
      <c r="Z1020">
        <f>Matchs!M1021</f>
        <v>0</v>
      </c>
      <c r="AA1020" s="6" t="str">
        <f t="shared" si="298"/>
        <v>",WinNote="</v>
      </c>
      <c r="AB1020" t="str">
        <f>IF(Matchs!N1021="","",Matchs!N1021)</f>
        <v/>
      </c>
      <c r="AC1020" s="6" t="str">
        <f t="shared" si="299"/>
        <v xml:space="preserve">",Stadium=" </v>
      </c>
      <c r="AD1020" s="11">
        <f>Matchs!O1021</f>
        <v>0</v>
      </c>
      <c r="AE1020" s="6" t="str">
        <f t="shared" si="300"/>
        <v>",Referee= "</v>
      </c>
      <c r="AF1020" s="11">
        <f>Matchs!P1021</f>
        <v>0</v>
      </c>
      <c r="AG1020" s="6" t="str">
        <f t="shared" si="301"/>
        <v xml:space="preserve">",Visistors= </v>
      </c>
      <c r="AH1020" s="11">
        <f>Matchs!Q1021</f>
        <v>0</v>
      </c>
      <c r="AI1020" s="11" t="str">
        <f t="shared" si="302"/>
        <v>,Status= "</v>
      </c>
      <c r="AJ1020" s="11">
        <f>Matchs!R1021</f>
        <v>0</v>
      </c>
      <c r="AK1020" t="str">
        <f t="shared" si="303"/>
        <v>" },</v>
      </c>
    </row>
    <row r="1021" spans="1:37" x14ac:dyDescent="0.25">
      <c r="A1021" t="str">
        <f t="shared" si="285"/>
        <v>new Match { MatchId= "</v>
      </c>
      <c r="B1021">
        <f>Matchs!A1022</f>
        <v>0</v>
      </c>
      <c r="C1021" t="str">
        <f t="shared" si="286"/>
        <v>",MatchNumer=</v>
      </c>
      <c r="D1021">
        <f>Matchs!B1022</f>
        <v>0</v>
      </c>
      <c r="E1021" t="str">
        <f t="shared" si="287"/>
        <v>,DateMatch=DateTime.Parse("</v>
      </c>
      <c r="F1021" s="3">
        <f>Matchs!C1022</f>
        <v>0</v>
      </c>
      <c r="G1021" s="10" t="str">
        <f t="shared" si="288"/>
        <v>"),TimeMatch=TimeSpan.Parse("</v>
      </c>
      <c r="H1021" s="9">
        <f>Matchs!D1022</f>
        <v>0</v>
      </c>
      <c r="I1021" t="str">
        <f t="shared" si="289"/>
        <v>"),MatchYear=</v>
      </c>
      <c r="J1021">
        <f>Matchs!E1022</f>
        <v>0</v>
      </c>
      <c r="K1021" t="str">
        <f t="shared" si="290"/>
        <v>, SeasonId= "</v>
      </c>
      <c r="L1021">
        <f>Matchs!F1022</f>
        <v>0</v>
      </c>
      <c r="M1021" t="str">
        <f t="shared" si="291"/>
        <v>",Round= "</v>
      </c>
      <c r="N1021">
        <f>Matchs!G1022</f>
        <v>0</v>
      </c>
      <c r="O1021" s="6" t="str">
        <f t="shared" si="292"/>
        <v>",Stage= "</v>
      </c>
      <c r="P1021">
        <f>Matchs!H1022</f>
        <v>0</v>
      </c>
      <c r="Q1021" s="6" t="str">
        <f t="shared" si="293"/>
        <v>",SubStage= "</v>
      </c>
      <c r="R1021">
        <f>Matchs!I1022</f>
        <v>0</v>
      </c>
      <c r="S1021" s="6" t="str">
        <f t="shared" si="294"/>
        <v>",HTeam= "</v>
      </c>
      <c r="T1021">
        <f>Matchs!J1022</f>
        <v>0</v>
      </c>
      <c r="U1021" s="6" t="str">
        <f t="shared" si="295"/>
        <v>",HGoal=</v>
      </c>
      <c r="V1021">
        <f>Matchs!K1022</f>
        <v>0</v>
      </c>
      <c r="W1021" s="6" t="str">
        <f t="shared" si="296"/>
        <v>,GGoal=</v>
      </c>
      <c r="X1021">
        <f>Matchs!L1022</f>
        <v>0</v>
      </c>
      <c r="Y1021" s="6" t="str">
        <f t="shared" si="297"/>
        <v>,GTeam= "</v>
      </c>
      <c r="Z1021">
        <f>Matchs!M1022</f>
        <v>0</v>
      </c>
      <c r="AA1021" s="6" t="str">
        <f t="shared" si="298"/>
        <v>",WinNote="</v>
      </c>
      <c r="AB1021" t="str">
        <f>IF(Matchs!N1022="","",Matchs!N1022)</f>
        <v/>
      </c>
      <c r="AC1021" s="6" t="str">
        <f t="shared" si="299"/>
        <v xml:space="preserve">",Stadium=" </v>
      </c>
      <c r="AD1021" s="11">
        <f>Matchs!O1022</f>
        <v>0</v>
      </c>
      <c r="AE1021" s="6" t="str">
        <f t="shared" si="300"/>
        <v>",Referee= "</v>
      </c>
      <c r="AF1021" s="11">
        <f>Matchs!P1022</f>
        <v>0</v>
      </c>
      <c r="AG1021" s="6" t="str">
        <f t="shared" si="301"/>
        <v xml:space="preserve">",Visistors= </v>
      </c>
      <c r="AH1021" s="11">
        <f>Matchs!Q1022</f>
        <v>0</v>
      </c>
      <c r="AI1021" s="11" t="str">
        <f t="shared" si="302"/>
        <v>,Status= "</v>
      </c>
      <c r="AJ1021" s="11">
        <f>Matchs!R1022</f>
        <v>0</v>
      </c>
      <c r="AK1021" t="str">
        <f t="shared" si="303"/>
        <v>" },</v>
      </c>
    </row>
    <row r="1022" spans="1:37" x14ac:dyDescent="0.25">
      <c r="A1022" t="str">
        <f t="shared" si="285"/>
        <v>new Match { MatchId= "</v>
      </c>
      <c r="B1022">
        <f>Matchs!A1023</f>
        <v>0</v>
      </c>
      <c r="C1022" t="str">
        <f t="shared" si="286"/>
        <v>",MatchNumer=</v>
      </c>
      <c r="D1022">
        <f>Matchs!B1023</f>
        <v>0</v>
      </c>
      <c r="E1022" t="str">
        <f t="shared" si="287"/>
        <v>,DateMatch=DateTime.Parse("</v>
      </c>
      <c r="F1022" s="3">
        <f>Matchs!C1023</f>
        <v>0</v>
      </c>
      <c r="G1022" s="10" t="str">
        <f t="shared" si="288"/>
        <v>"),TimeMatch=TimeSpan.Parse("</v>
      </c>
      <c r="H1022" s="9">
        <f>Matchs!D1023</f>
        <v>0</v>
      </c>
      <c r="I1022" t="str">
        <f t="shared" si="289"/>
        <v>"),MatchYear=</v>
      </c>
      <c r="J1022">
        <f>Matchs!E1023</f>
        <v>0</v>
      </c>
      <c r="K1022" t="str">
        <f t="shared" si="290"/>
        <v>, SeasonId= "</v>
      </c>
      <c r="L1022">
        <f>Matchs!F1023</f>
        <v>0</v>
      </c>
      <c r="M1022" t="str">
        <f t="shared" si="291"/>
        <v>",Round= "</v>
      </c>
      <c r="N1022">
        <f>Matchs!G1023</f>
        <v>0</v>
      </c>
      <c r="O1022" s="6" t="str">
        <f t="shared" si="292"/>
        <v>",Stage= "</v>
      </c>
      <c r="P1022">
        <f>Matchs!H1023</f>
        <v>0</v>
      </c>
      <c r="Q1022" s="6" t="str">
        <f t="shared" si="293"/>
        <v>",SubStage= "</v>
      </c>
      <c r="R1022">
        <f>Matchs!I1023</f>
        <v>0</v>
      </c>
      <c r="S1022" s="6" t="str">
        <f t="shared" si="294"/>
        <v>",HTeam= "</v>
      </c>
      <c r="T1022">
        <f>Matchs!J1023</f>
        <v>0</v>
      </c>
      <c r="U1022" s="6" t="str">
        <f t="shared" si="295"/>
        <v>",HGoal=</v>
      </c>
      <c r="V1022">
        <f>Matchs!K1023</f>
        <v>0</v>
      </c>
      <c r="W1022" s="6" t="str">
        <f t="shared" si="296"/>
        <v>,GGoal=</v>
      </c>
      <c r="X1022">
        <f>Matchs!L1023</f>
        <v>0</v>
      </c>
      <c r="Y1022" s="6" t="str">
        <f t="shared" si="297"/>
        <v>,GTeam= "</v>
      </c>
      <c r="Z1022">
        <f>Matchs!M1023</f>
        <v>0</v>
      </c>
      <c r="AA1022" s="6" t="str">
        <f t="shared" si="298"/>
        <v>",WinNote="</v>
      </c>
      <c r="AB1022" t="str">
        <f>IF(Matchs!N1023="","",Matchs!N1023)</f>
        <v/>
      </c>
      <c r="AC1022" s="6" t="str">
        <f t="shared" si="299"/>
        <v xml:space="preserve">",Stadium=" </v>
      </c>
      <c r="AD1022" s="11">
        <f>Matchs!O1023</f>
        <v>0</v>
      </c>
      <c r="AE1022" s="6" t="str">
        <f t="shared" si="300"/>
        <v>",Referee= "</v>
      </c>
      <c r="AF1022" s="11">
        <f>Matchs!P1023</f>
        <v>0</v>
      </c>
      <c r="AG1022" s="6" t="str">
        <f t="shared" si="301"/>
        <v xml:space="preserve">",Visistors= </v>
      </c>
      <c r="AH1022" s="11">
        <f>Matchs!Q1023</f>
        <v>0</v>
      </c>
      <c r="AI1022" s="11" t="str">
        <f t="shared" si="302"/>
        <v>,Status= "</v>
      </c>
      <c r="AJ1022" s="11">
        <f>Matchs!R1023</f>
        <v>0</v>
      </c>
      <c r="AK1022" t="str">
        <f t="shared" si="303"/>
        <v>" },</v>
      </c>
    </row>
    <row r="1023" spans="1:37" x14ac:dyDescent="0.25">
      <c r="A1023" t="str">
        <f t="shared" si="285"/>
        <v>new Match { MatchId= "</v>
      </c>
      <c r="B1023">
        <f>Matchs!A1024</f>
        <v>0</v>
      </c>
      <c r="C1023" t="str">
        <f t="shared" si="286"/>
        <v>",MatchNumer=</v>
      </c>
      <c r="D1023">
        <f>Matchs!B1024</f>
        <v>0</v>
      </c>
      <c r="E1023" t="str">
        <f t="shared" si="287"/>
        <v>,DateMatch=DateTime.Parse("</v>
      </c>
      <c r="F1023" s="3">
        <f>Matchs!C1024</f>
        <v>0</v>
      </c>
      <c r="G1023" s="10" t="str">
        <f t="shared" si="288"/>
        <v>"),TimeMatch=TimeSpan.Parse("</v>
      </c>
      <c r="H1023" s="9">
        <f>Matchs!D1024</f>
        <v>0</v>
      </c>
      <c r="I1023" t="str">
        <f t="shared" si="289"/>
        <v>"),MatchYear=</v>
      </c>
      <c r="J1023">
        <f>Matchs!E1024</f>
        <v>0</v>
      </c>
      <c r="K1023" t="str">
        <f t="shared" si="290"/>
        <v>, SeasonId= "</v>
      </c>
      <c r="L1023">
        <f>Matchs!F1024</f>
        <v>0</v>
      </c>
      <c r="M1023" t="str">
        <f t="shared" si="291"/>
        <v>",Round= "</v>
      </c>
      <c r="N1023">
        <f>Matchs!G1024</f>
        <v>0</v>
      </c>
      <c r="O1023" s="6" t="str">
        <f t="shared" si="292"/>
        <v>",Stage= "</v>
      </c>
      <c r="P1023">
        <f>Matchs!H1024</f>
        <v>0</v>
      </c>
      <c r="Q1023" s="6" t="str">
        <f t="shared" si="293"/>
        <v>",SubStage= "</v>
      </c>
      <c r="R1023">
        <f>Matchs!I1024</f>
        <v>0</v>
      </c>
      <c r="S1023" s="6" t="str">
        <f t="shared" si="294"/>
        <v>",HTeam= "</v>
      </c>
      <c r="T1023">
        <f>Matchs!J1024</f>
        <v>0</v>
      </c>
      <c r="U1023" s="6" t="str">
        <f t="shared" si="295"/>
        <v>",HGoal=</v>
      </c>
      <c r="V1023">
        <f>Matchs!K1024</f>
        <v>0</v>
      </c>
      <c r="W1023" s="6" t="str">
        <f t="shared" si="296"/>
        <v>,GGoal=</v>
      </c>
      <c r="X1023">
        <f>Matchs!L1024</f>
        <v>0</v>
      </c>
      <c r="Y1023" s="6" t="str">
        <f t="shared" si="297"/>
        <v>,GTeam= "</v>
      </c>
      <c r="Z1023">
        <f>Matchs!M1024</f>
        <v>0</v>
      </c>
      <c r="AA1023" s="6" t="str">
        <f t="shared" si="298"/>
        <v>",WinNote="</v>
      </c>
      <c r="AB1023" t="str">
        <f>IF(Matchs!N1024="","",Matchs!N1024)</f>
        <v/>
      </c>
      <c r="AC1023" s="6" t="str">
        <f t="shared" si="299"/>
        <v xml:space="preserve">",Stadium=" </v>
      </c>
      <c r="AD1023" s="11">
        <f>Matchs!O1024</f>
        <v>0</v>
      </c>
      <c r="AE1023" s="6" t="str">
        <f t="shared" si="300"/>
        <v>",Referee= "</v>
      </c>
      <c r="AF1023" s="11">
        <f>Matchs!P1024</f>
        <v>0</v>
      </c>
      <c r="AG1023" s="6" t="str">
        <f t="shared" si="301"/>
        <v xml:space="preserve">",Visistors= </v>
      </c>
      <c r="AH1023" s="11">
        <f>Matchs!Q1024</f>
        <v>0</v>
      </c>
      <c r="AI1023" s="11" t="str">
        <f t="shared" si="302"/>
        <v>,Status= "</v>
      </c>
      <c r="AJ1023" s="11">
        <f>Matchs!R1024</f>
        <v>0</v>
      </c>
      <c r="AK1023" t="str">
        <f t="shared" si="303"/>
        <v>" },</v>
      </c>
    </row>
    <row r="1024" spans="1:37" x14ac:dyDescent="0.25">
      <c r="A1024" t="str">
        <f t="shared" si="285"/>
        <v>new Match { MatchId= "</v>
      </c>
      <c r="B1024">
        <f>Matchs!A1025</f>
        <v>0</v>
      </c>
      <c r="C1024" t="str">
        <f t="shared" si="286"/>
        <v>",MatchNumer=</v>
      </c>
      <c r="D1024">
        <f>Matchs!B1025</f>
        <v>0</v>
      </c>
      <c r="E1024" t="str">
        <f t="shared" si="287"/>
        <v>,DateMatch=DateTime.Parse("</v>
      </c>
      <c r="F1024" s="3">
        <f>Matchs!C1025</f>
        <v>0</v>
      </c>
      <c r="G1024" s="10" t="str">
        <f t="shared" si="288"/>
        <v>"),TimeMatch=TimeSpan.Parse("</v>
      </c>
      <c r="H1024" s="9">
        <f>Matchs!D1025</f>
        <v>0</v>
      </c>
      <c r="I1024" t="str">
        <f t="shared" si="289"/>
        <v>"),MatchYear=</v>
      </c>
      <c r="J1024">
        <f>Matchs!E1025</f>
        <v>0</v>
      </c>
      <c r="K1024" t="str">
        <f t="shared" si="290"/>
        <v>, SeasonId= "</v>
      </c>
      <c r="L1024">
        <f>Matchs!F1025</f>
        <v>0</v>
      </c>
      <c r="M1024" t="str">
        <f t="shared" si="291"/>
        <v>",Round= "</v>
      </c>
      <c r="N1024">
        <f>Matchs!G1025</f>
        <v>0</v>
      </c>
      <c r="O1024" s="6" t="str">
        <f t="shared" si="292"/>
        <v>",Stage= "</v>
      </c>
      <c r="P1024">
        <f>Matchs!H1025</f>
        <v>0</v>
      </c>
      <c r="Q1024" s="6" t="str">
        <f t="shared" si="293"/>
        <v>",SubStage= "</v>
      </c>
      <c r="R1024">
        <f>Matchs!I1025</f>
        <v>0</v>
      </c>
      <c r="S1024" s="6" t="str">
        <f t="shared" si="294"/>
        <v>",HTeam= "</v>
      </c>
      <c r="T1024">
        <f>Matchs!J1025</f>
        <v>0</v>
      </c>
      <c r="U1024" s="6" t="str">
        <f t="shared" si="295"/>
        <v>",HGoal=</v>
      </c>
      <c r="V1024">
        <f>Matchs!K1025</f>
        <v>0</v>
      </c>
      <c r="W1024" s="6" t="str">
        <f t="shared" si="296"/>
        <v>,GGoal=</v>
      </c>
      <c r="X1024">
        <f>Matchs!L1025</f>
        <v>0</v>
      </c>
      <c r="Y1024" s="6" t="str">
        <f t="shared" si="297"/>
        <v>,GTeam= "</v>
      </c>
      <c r="Z1024">
        <f>Matchs!M1025</f>
        <v>0</v>
      </c>
      <c r="AA1024" s="6" t="str">
        <f t="shared" si="298"/>
        <v>",WinNote="</v>
      </c>
      <c r="AB1024" t="str">
        <f>IF(Matchs!N1025="","",Matchs!N1025)</f>
        <v/>
      </c>
      <c r="AC1024" s="6" t="str">
        <f t="shared" si="299"/>
        <v xml:space="preserve">",Stadium=" </v>
      </c>
      <c r="AD1024" s="11">
        <f>Matchs!O1025</f>
        <v>0</v>
      </c>
      <c r="AE1024" s="6" t="str">
        <f t="shared" si="300"/>
        <v>",Referee= "</v>
      </c>
      <c r="AF1024" s="11">
        <f>Matchs!P1025</f>
        <v>0</v>
      </c>
      <c r="AG1024" s="6" t="str">
        <f t="shared" si="301"/>
        <v xml:space="preserve">",Visistors= </v>
      </c>
      <c r="AH1024" s="11">
        <f>Matchs!Q1025</f>
        <v>0</v>
      </c>
      <c r="AI1024" s="11" t="str">
        <f t="shared" si="302"/>
        <v>,Status= "</v>
      </c>
      <c r="AJ1024" s="11">
        <f>Matchs!R1025</f>
        <v>0</v>
      </c>
      <c r="AK1024" t="str">
        <f t="shared" si="303"/>
        <v>" },</v>
      </c>
    </row>
    <row r="1025" spans="1:37" x14ac:dyDescent="0.25">
      <c r="A1025" t="str">
        <f t="shared" si="285"/>
        <v>new Match { MatchId= "</v>
      </c>
      <c r="B1025">
        <f>Matchs!A1026</f>
        <v>0</v>
      </c>
      <c r="C1025" t="str">
        <f t="shared" si="286"/>
        <v>",MatchNumer=</v>
      </c>
      <c r="D1025">
        <f>Matchs!B1026</f>
        <v>0</v>
      </c>
      <c r="E1025" t="str">
        <f t="shared" si="287"/>
        <v>,DateMatch=DateTime.Parse("</v>
      </c>
      <c r="F1025" s="3">
        <f>Matchs!C1026</f>
        <v>0</v>
      </c>
      <c r="G1025" s="10" t="str">
        <f t="shared" si="288"/>
        <v>"),TimeMatch=TimeSpan.Parse("</v>
      </c>
      <c r="H1025" s="9">
        <f>Matchs!D1026</f>
        <v>0</v>
      </c>
      <c r="I1025" t="str">
        <f t="shared" si="289"/>
        <v>"),MatchYear=</v>
      </c>
      <c r="J1025">
        <f>Matchs!E1026</f>
        <v>0</v>
      </c>
      <c r="K1025" t="str">
        <f t="shared" si="290"/>
        <v>, SeasonId= "</v>
      </c>
      <c r="L1025">
        <f>Matchs!F1026</f>
        <v>0</v>
      </c>
      <c r="M1025" t="str">
        <f t="shared" si="291"/>
        <v>",Round= "</v>
      </c>
      <c r="N1025">
        <f>Matchs!G1026</f>
        <v>0</v>
      </c>
      <c r="O1025" s="6" t="str">
        <f t="shared" si="292"/>
        <v>",Stage= "</v>
      </c>
      <c r="P1025">
        <f>Matchs!H1026</f>
        <v>0</v>
      </c>
      <c r="Q1025" s="6" t="str">
        <f t="shared" si="293"/>
        <v>",SubStage= "</v>
      </c>
      <c r="R1025">
        <f>Matchs!I1026</f>
        <v>0</v>
      </c>
      <c r="S1025" s="6" t="str">
        <f t="shared" si="294"/>
        <v>",HTeam= "</v>
      </c>
      <c r="T1025">
        <f>Matchs!J1026</f>
        <v>0</v>
      </c>
      <c r="U1025" s="6" t="str">
        <f t="shared" si="295"/>
        <v>",HGoal=</v>
      </c>
      <c r="V1025">
        <f>Matchs!K1026</f>
        <v>0</v>
      </c>
      <c r="W1025" s="6" t="str">
        <f t="shared" si="296"/>
        <v>,GGoal=</v>
      </c>
      <c r="X1025">
        <f>Matchs!L1026</f>
        <v>0</v>
      </c>
      <c r="Y1025" s="6" t="str">
        <f t="shared" si="297"/>
        <v>,GTeam= "</v>
      </c>
      <c r="Z1025">
        <f>Matchs!M1026</f>
        <v>0</v>
      </c>
      <c r="AA1025" s="6" t="str">
        <f t="shared" si="298"/>
        <v>",WinNote="</v>
      </c>
      <c r="AB1025" t="str">
        <f>IF(Matchs!N1026="","",Matchs!N1026)</f>
        <v/>
      </c>
      <c r="AC1025" s="6" t="str">
        <f t="shared" si="299"/>
        <v xml:space="preserve">",Stadium=" </v>
      </c>
      <c r="AD1025" s="11">
        <f>Matchs!O1026</f>
        <v>0</v>
      </c>
      <c r="AE1025" s="6" t="str">
        <f t="shared" si="300"/>
        <v>",Referee= "</v>
      </c>
      <c r="AF1025" s="11">
        <f>Matchs!P1026</f>
        <v>0</v>
      </c>
      <c r="AG1025" s="6" t="str">
        <f t="shared" si="301"/>
        <v xml:space="preserve">",Visistors= </v>
      </c>
      <c r="AH1025" s="11">
        <f>Matchs!Q1026</f>
        <v>0</v>
      </c>
      <c r="AI1025" s="11" t="str">
        <f t="shared" si="302"/>
        <v>,Status= "</v>
      </c>
      <c r="AJ1025" s="11">
        <f>Matchs!R1026</f>
        <v>0</v>
      </c>
      <c r="AK1025" t="str">
        <f t="shared" si="303"/>
        <v>" },</v>
      </c>
    </row>
    <row r="1026" spans="1:37" x14ac:dyDescent="0.25">
      <c r="A1026" t="str">
        <f t="shared" si="285"/>
        <v>new Match { MatchId= "</v>
      </c>
      <c r="B1026">
        <f>Matchs!A1027</f>
        <v>0</v>
      </c>
      <c r="C1026" t="str">
        <f t="shared" si="286"/>
        <v>",MatchNumer=</v>
      </c>
      <c r="D1026">
        <f>Matchs!B1027</f>
        <v>0</v>
      </c>
      <c r="E1026" t="str">
        <f t="shared" si="287"/>
        <v>,DateMatch=DateTime.Parse("</v>
      </c>
      <c r="F1026" s="3">
        <f>Matchs!C1027</f>
        <v>0</v>
      </c>
      <c r="G1026" s="10" t="str">
        <f t="shared" si="288"/>
        <v>"),TimeMatch=TimeSpan.Parse("</v>
      </c>
      <c r="H1026" s="9">
        <f>Matchs!D1027</f>
        <v>0</v>
      </c>
      <c r="I1026" t="str">
        <f t="shared" si="289"/>
        <v>"),MatchYear=</v>
      </c>
      <c r="J1026">
        <f>Matchs!E1027</f>
        <v>0</v>
      </c>
      <c r="K1026" t="str">
        <f t="shared" si="290"/>
        <v>, SeasonId= "</v>
      </c>
      <c r="L1026">
        <f>Matchs!F1027</f>
        <v>0</v>
      </c>
      <c r="M1026" t="str">
        <f t="shared" si="291"/>
        <v>",Round= "</v>
      </c>
      <c r="N1026">
        <f>Matchs!G1027</f>
        <v>0</v>
      </c>
      <c r="O1026" s="6" t="str">
        <f t="shared" si="292"/>
        <v>",Stage= "</v>
      </c>
      <c r="P1026">
        <f>Matchs!H1027</f>
        <v>0</v>
      </c>
      <c r="Q1026" s="6" t="str">
        <f t="shared" si="293"/>
        <v>",SubStage= "</v>
      </c>
      <c r="R1026">
        <f>Matchs!I1027</f>
        <v>0</v>
      </c>
      <c r="S1026" s="6" t="str">
        <f t="shared" si="294"/>
        <v>",HTeam= "</v>
      </c>
      <c r="T1026">
        <f>Matchs!J1027</f>
        <v>0</v>
      </c>
      <c r="U1026" s="6" t="str">
        <f t="shared" si="295"/>
        <v>",HGoal=</v>
      </c>
      <c r="V1026">
        <f>Matchs!K1027</f>
        <v>0</v>
      </c>
      <c r="W1026" s="6" t="str">
        <f t="shared" si="296"/>
        <v>,GGoal=</v>
      </c>
      <c r="X1026">
        <f>Matchs!L1027</f>
        <v>0</v>
      </c>
      <c r="Y1026" s="6" t="str">
        <f t="shared" si="297"/>
        <v>,GTeam= "</v>
      </c>
      <c r="Z1026">
        <f>Matchs!M1027</f>
        <v>0</v>
      </c>
      <c r="AA1026" s="6" t="str">
        <f t="shared" si="298"/>
        <v>",WinNote="</v>
      </c>
      <c r="AB1026" t="str">
        <f>IF(Matchs!N1027="","",Matchs!N1027)</f>
        <v/>
      </c>
      <c r="AC1026" s="6" t="str">
        <f t="shared" si="299"/>
        <v xml:space="preserve">",Stadium=" </v>
      </c>
      <c r="AD1026" s="11">
        <f>Matchs!O1027</f>
        <v>0</v>
      </c>
      <c r="AE1026" s="6" t="str">
        <f t="shared" si="300"/>
        <v>",Referee= "</v>
      </c>
      <c r="AF1026" s="11">
        <f>Matchs!P1027</f>
        <v>0</v>
      </c>
      <c r="AG1026" s="6" t="str">
        <f t="shared" si="301"/>
        <v xml:space="preserve">",Visistors= </v>
      </c>
      <c r="AH1026" s="11">
        <f>Matchs!Q1027</f>
        <v>0</v>
      </c>
      <c r="AI1026" s="11" t="str">
        <f t="shared" si="302"/>
        <v>,Status= "</v>
      </c>
      <c r="AJ1026" s="11">
        <f>Matchs!R1027</f>
        <v>0</v>
      </c>
      <c r="AK1026" t="str">
        <f t="shared" si="303"/>
        <v>" },</v>
      </c>
    </row>
    <row r="1027" spans="1:37" x14ac:dyDescent="0.25">
      <c r="A1027" t="str">
        <f t="shared" ref="A1027:A1052" si="304">A1026</f>
        <v>new Match { MatchId= "</v>
      </c>
      <c r="B1027">
        <f>Matchs!A1028</f>
        <v>0</v>
      </c>
      <c r="C1027" t="str">
        <f t="shared" ref="C1027:C1060" si="305">C1026</f>
        <v>",MatchNumer=</v>
      </c>
      <c r="D1027">
        <f>Matchs!B1028</f>
        <v>0</v>
      </c>
      <c r="E1027" t="str">
        <f t="shared" ref="E1027:E1060" si="306">E1026</f>
        <v>,DateMatch=DateTime.Parse("</v>
      </c>
      <c r="F1027" s="3">
        <f>Matchs!C1028</f>
        <v>0</v>
      </c>
      <c r="G1027" s="10" t="str">
        <f t="shared" ref="G1027:G1060" si="307">G1026</f>
        <v>"),TimeMatch=TimeSpan.Parse("</v>
      </c>
      <c r="H1027" s="9">
        <f>Matchs!D1028</f>
        <v>0</v>
      </c>
      <c r="I1027" t="str">
        <f t="shared" ref="I1027:I1060" si="308">I1026</f>
        <v>"),MatchYear=</v>
      </c>
      <c r="J1027">
        <f>Matchs!E1028</f>
        <v>0</v>
      </c>
      <c r="K1027" t="str">
        <f t="shared" ref="K1027:K1060" si="309">K1026</f>
        <v>, SeasonId= "</v>
      </c>
      <c r="L1027">
        <f>Matchs!F1028</f>
        <v>0</v>
      </c>
      <c r="M1027" t="str">
        <f t="shared" ref="M1027:M1060" si="310">M1026</f>
        <v>",Round= "</v>
      </c>
      <c r="N1027">
        <f>Matchs!G1028</f>
        <v>0</v>
      </c>
      <c r="O1027" s="6" t="str">
        <f t="shared" ref="O1027:O1060" si="311">O1026</f>
        <v>",Stage= "</v>
      </c>
      <c r="P1027">
        <f>Matchs!H1028</f>
        <v>0</v>
      </c>
      <c r="Q1027" s="6" t="str">
        <f t="shared" ref="Q1027:Q1060" si="312">Q1026</f>
        <v>",SubStage= "</v>
      </c>
      <c r="R1027">
        <f>Matchs!I1028</f>
        <v>0</v>
      </c>
      <c r="S1027" s="6" t="str">
        <f t="shared" ref="S1027:S1060" si="313">S1026</f>
        <v>",HTeam= "</v>
      </c>
      <c r="T1027">
        <f>Matchs!J1028</f>
        <v>0</v>
      </c>
      <c r="U1027" s="6" t="str">
        <f t="shared" ref="U1027:U1060" si="314">U1026</f>
        <v>",HGoal=</v>
      </c>
      <c r="V1027">
        <f>Matchs!K1028</f>
        <v>0</v>
      </c>
      <c r="W1027" s="6" t="str">
        <f t="shared" ref="W1027:W1060" si="315">W1026</f>
        <v>,GGoal=</v>
      </c>
      <c r="X1027">
        <f>Matchs!L1028</f>
        <v>0</v>
      </c>
      <c r="Y1027" s="6" t="str">
        <f t="shared" ref="Y1027:Y1060" si="316">Y1026</f>
        <v>,GTeam= "</v>
      </c>
      <c r="Z1027">
        <f>Matchs!M1028</f>
        <v>0</v>
      </c>
      <c r="AA1027" s="6" t="str">
        <f t="shared" ref="AA1027:AA1060" si="317">AA1026</f>
        <v>",WinNote="</v>
      </c>
      <c r="AB1027" t="str">
        <f>IF(Matchs!N1028="","",Matchs!N1028)</f>
        <v/>
      </c>
      <c r="AC1027" s="6" t="str">
        <f t="shared" ref="AC1027:AC1060" si="318">AC1026</f>
        <v xml:space="preserve">",Stadium=" </v>
      </c>
      <c r="AD1027" s="11">
        <f>Matchs!O1028</f>
        <v>0</v>
      </c>
      <c r="AE1027" s="6" t="str">
        <f t="shared" ref="AE1027:AE1060" si="319">AE1026</f>
        <v>",Referee= "</v>
      </c>
      <c r="AF1027" s="11">
        <f>Matchs!P1028</f>
        <v>0</v>
      </c>
      <c r="AG1027" s="6" t="str">
        <f t="shared" ref="AG1027:AG1060" si="320">AG1026</f>
        <v xml:space="preserve">",Visistors= </v>
      </c>
      <c r="AH1027" s="11">
        <f>Matchs!Q1028</f>
        <v>0</v>
      </c>
      <c r="AI1027" s="11" t="str">
        <f t="shared" ref="AI1027:AI1060" si="321">AI1026</f>
        <v>,Status= "</v>
      </c>
      <c r="AJ1027" s="11">
        <f>Matchs!R1028</f>
        <v>0</v>
      </c>
      <c r="AK1027" t="str">
        <f t="shared" ref="AK1027:AK1060" si="322">AK1026</f>
        <v>" },</v>
      </c>
    </row>
    <row r="1028" spans="1:37" x14ac:dyDescent="0.25">
      <c r="A1028" t="str">
        <f t="shared" si="304"/>
        <v>new Match { MatchId= "</v>
      </c>
      <c r="B1028">
        <f>Matchs!A1029</f>
        <v>0</v>
      </c>
      <c r="C1028" t="str">
        <f t="shared" si="305"/>
        <v>",MatchNumer=</v>
      </c>
      <c r="D1028">
        <f>Matchs!B1029</f>
        <v>0</v>
      </c>
      <c r="E1028" t="str">
        <f t="shared" si="306"/>
        <v>,DateMatch=DateTime.Parse("</v>
      </c>
      <c r="F1028" s="3">
        <f>Matchs!C1029</f>
        <v>0</v>
      </c>
      <c r="G1028" s="10" t="str">
        <f t="shared" si="307"/>
        <v>"),TimeMatch=TimeSpan.Parse("</v>
      </c>
      <c r="H1028" s="9">
        <f>Matchs!D1029</f>
        <v>0</v>
      </c>
      <c r="I1028" t="str">
        <f t="shared" si="308"/>
        <v>"),MatchYear=</v>
      </c>
      <c r="J1028">
        <f>Matchs!E1029</f>
        <v>0</v>
      </c>
      <c r="K1028" t="str">
        <f t="shared" si="309"/>
        <v>, SeasonId= "</v>
      </c>
      <c r="L1028">
        <f>Matchs!F1029</f>
        <v>0</v>
      </c>
      <c r="M1028" t="str">
        <f t="shared" si="310"/>
        <v>",Round= "</v>
      </c>
      <c r="N1028">
        <f>Matchs!G1029</f>
        <v>0</v>
      </c>
      <c r="O1028" s="6" t="str">
        <f t="shared" si="311"/>
        <v>",Stage= "</v>
      </c>
      <c r="P1028">
        <f>Matchs!H1029</f>
        <v>0</v>
      </c>
      <c r="Q1028" s="6" t="str">
        <f t="shared" si="312"/>
        <v>",SubStage= "</v>
      </c>
      <c r="R1028">
        <f>Matchs!I1029</f>
        <v>0</v>
      </c>
      <c r="S1028" s="6" t="str">
        <f t="shared" si="313"/>
        <v>",HTeam= "</v>
      </c>
      <c r="T1028">
        <f>Matchs!J1029</f>
        <v>0</v>
      </c>
      <c r="U1028" s="6" t="str">
        <f t="shared" si="314"/>
        <v>",HGoal=</v>
      </c>
      <c r="V1028">
        <f>Matchs!K1029</f>
        <v>0</v>
      </c>
      <c r="W1028" s="6" t="str">
        <f t="shared" si="315"/>
        <v>,GGoal=</v>
      </c>
      <c r="X1028">
        <f>Matchs!L1029</f>
        <v>0</v>
      </c>
      <c r="Y1028" s="6" t="str">
        <f t="shared" si="316"/>
        <v>,GTeam= "</v>
      </c>
      <c r="Z1028">
        <f>Matchs!M1029</f>
        <v>0</v>
      </c>
      <c r="AA1028" s="6" t="str">
        <f t="shared" si="317"/>
        <v>",WinNote="</v>
      </c>
      <c r="AB1028" t="str">
        <f>IF(Matchs!N1029="","",Matchs!N1029)</f>
        <v/>
      </c>
      <c r="AC1028" s="6" t="str">
        <f t="shared" si="318"/>
        <v xml:space="preserve">",Stadium=" </v>
      </c>
      <c r="AD1028" s="11">
        <f>Matchs!O1029</f>
        <v>0</v>
      </c>
      <c r="AE1028" s="6" t="str">
        <f t="shared" si="319"/>
        <v>",Referee= "</v>
      </c>
      <c r="AF1028" s="11">
        <f>Matchs!P1029</f>
        <v>0</v>
      </c>
      <c r="AG1028" s="6" t="str">
        <f t="shared" si="320"/>
        <v xml:space="preserve">",Visistors= </v>
      </c>
      <c r="AH1028" s="11">
        <f>Matchs!Q1029</f>
        <v>0</v>
      </c>
      <c r="AI1028" s="11" t="str">
        <f t="shared" si="321"/>
        <v>,Status= "</v>
      </c>
      <c r="AJ1028" s="11">
        <f>Matchs!R1029</f>
        <v>0</v>
      </c>
      <c r="AK1028" t="str">
        <f t="shared" si="322"/>
        <v>" },</v>
      </c>
    </row>
    <row r="1029" spans="1:37" x14ac:dyDescent="0.25">
      <c r="A1029" t="str">
        <f t="shared" si="304"/>
        <v>new Match { MatchId= "</v>
      </c>
      <c r="B1029">
        <f>Matchs!A1030</f>
        <v>0</v>
      </c>
      <c r="C1029" t="str">
        <f t="shared" si="305"/>
        <v>",MatchNumer=</v>
      </c>
      <c r="D1029">
        <f>Matchs!B1030</f>
        <v>0</v>
      </c>
      <c r="E1029" t="str">
        <f t="shared" si="306"/>
        <v>,DateMatch=DateTime.Parse("</v>
      </c>
      <c r="F1029" s="3">
        <f>Matchs!C1030</f>
        <v>0</v>
      </c>
      <c r="G1029" s="10" t="str">
        <f t="shared" si="307"/>
        <v>"),TimeMatch=TimeSpan.Parse("</v>
      </c>
      <c r="H1029" s="9">
        <f>Matchs!D1030</f>
        <v>0</v>
      </c>
      <c r="I1029" t="str">
        <f t="shared" si="308"/>
        <v>"),MatchYear=</v>
      </c>
      <c r="J1029">
        <f>Matchs!E1030</f>
        <v>0</v>
      </c>
      <c r="K1029" t="str">
        <f t="shared" si="309"/>
        <v>, SeasonId= "</v>
      </c>
      <c r="L1029">
        <f>Matchs!F1030</f>
        <v>0</v>
      </c>
      <c r="M1029" t="str">
        <f t="shared" si="310"/>
        <v>",Round= "</v>
      </c>
      <c r="N1029">
        <f>Matchs!G1030</f>
        <v>0</v>
      </c>
      <c r="O1029" s="6" t="str">
        <f t="shared" si="311"/>
        <v>",Stage= "</v>
      </c>
      <c r="P1029">
        <f>Matchs!H1030</f>
        <v>0</v>
      </c>
      <c r="Q1029" s="6" t="str">
        <f t="shared" si="312"/>
        <v>",SubStage= "</v>
      </c>
      <c r="R1029">
        <f>Matchs!I1030</f>
        <v>0</v>
      </c>
      <c r="S1029" s="6" t="str">
        <f t="shared" si="313"/>
        <v>",HTeam= "</v>
      </c>
      <c r="T1029">
        <f>Matchs!J1030</f>
        <v>0</v>
      </c>
      <c r="U1029" s="6" t="str">
        <f t="shared" si="314"/>
        <v>",HGoal=</v>
      </c>
      <c r="V1029">
        <f>Matchs!K1030</f>
        <v>0</v>
      </c>
      <c r="W1029" s="6" t="str">
        <f t="shared" si="315"/>
        <v>,GGoal=</v>
      </c>
      <c r="X1029">
        <f>Matchs!L1030</f>
        <v>0</v>
      </c>
      <c r="Y1029" s="6" t="str">
        <f t="shared" si="316"/>
        <v>,GTeam= "</v>
      </c>
      <c r="Z1029">
        <f>Matchs!M1030</f>
        <v>0</v>
      </c>
      <c r="AA1029" s="6" t="str">
        <f t="shared" si="317"/>
        <v>",WinNote="</v>
      </c>
      <c r="AB1029" t="str">
        <f>IF(Matchs!N1030="","",Matchs!N1030)</f>
        <v/>
      </c>
      <c r="AC1029" s="6" t="str">
        <f t="shared" si="318"/>
        <v xml:space="preserve">",Stadium=" </v>
      </c>
      <c r="AD1029" s="11">
        <f>Matchs!O1030</f>
        <v>0</v>
      </c>
      <c r="AE1029" s="6" t="str">
        <f t="shared" si="319"/>
        <v>",Referee= "</v>
      </c>
      <c r="AF1029" s="11">
        <f>Matchs!P1030</f>
        <v>0</v>
      </c>
      <c r="AG1029" s="6" t="str">
        <f t="shared" si="320"/>
        <v xml:space="preserve">",Visistors= </v>
      </c>
      <c r="AH1029" s="11">
        <f>Matchs!Q1030</f>
        <v>0</v>
      </c>
      <c r="AI1029" s="11" t="str">
        <f t="shared" si="321"/>
        <v>,Status= "</v>
      </c>
      <c r="AJ1029" s="11">
        <f>Matchs!R1030</f>
        <v>0</v>
      </c>
      <c r="AK1029" t="str">
        <f t="shared" si="322"/>
        <v>" },</v>
      </c>
    </row>
    <row r="1030" spans="1:37" x14ac:dyDescent="0.25">
      <c r="A1030" t="str">
        <f t="shared" si="304"/>
        <v>new Match { MatchId= "</v>
      </c>
      <c r="B1030">
        <f>Matchs!A1031</f>
        <v>0</v>
      </c>
      <c r="C1030" t="str">
        <f t="shared" si="305"/>
        <v>",MatchNumer=</v>
      </c>
      <c r="D1030">
        <f>Matchs!B1031</f>
        <v>0</v>
      </c>
      <c r="E1030" t="str">
        <f t="shared" si="306"/>
        <v>,DateMatch=DateTime.Parse("</v>
      </c>
      <c r="F1030" s="3">
        <f>Matchs!C1031</f>
        <v>0</v>
      </c>
      <c r="G1030" s="10" t="str">
        <f t="shared" si="307"/>
        <v>"),TimeMatch=TimeSpan.Parse("</v>
      </c>
      <c r="H1030" s="9">
        <f>Matchs!D1031</f>
        <v>0</v>
      </c>
      <c r="I1030" t="str">
        <f t="shared" si="308"/>
        <v>"),MatchYear=</v>
      </c>
      <c r="J1030">
        <f>Matchs!E1031</f>
        <v>0</v>
      </c>
      <c r="K1030" t="str">
        <f t="shared" si="309"/>
        <v>, SeasonId= "</v>
      </c>
      <c r="L1030">
        <f>Matchs!F1031</f>
        <v>0</v>
      </c>
      <c r="M1030" t="str">
        <f t="shared" si="310"/>
        <v>",Round= "</v>
      </c>
      <c r="N1030">
        <f>Matchs!G1031</f>
        <v>0</v>
      </c>
      <c r="O1030" s="6" t="str">
        <f t="shared" si="311"/>
        <v>",Stage= "</v>
      </c>
      <c r="P1030">
        <f>Matchs!H1031</f>
        <v>0</v>
      </c>
      <c r="Q1030" s="6" t="str">
        <f t="shared" si="312"/>
        <v>",SubStage= "</v>
      </c>
      <c r="R1030">
        <f>Matchs!I1031</f>
        <v>0</v>
      </c>
      <c r="S1030" s="6" t="str">
        <f t="shared" si="313"/>
        <v>",HTeam= "</v>
      </c>
      <c r="T1030">
        <f>Matchs!J1031</f>
        <v>0</v>
      </c>
      <c r="U1030" s="6" t="str">
        <f t="shared" si="314"/>
        <v>",HGoal=</v>
      </c>
      <c r="V1030">
        <f>Matchs!K1031</f>
        <v>0</v>
      </c>
      <c r="W1030" s="6" t="str">
        <f t="shared" si="315"/>
        <v>,GGoal=</v>
      </c>
      <c r="X1030">
        <f>Matchs!L1031</f>
        <v>0</v>
      </c>
      <c r="Y1030" s="6" t="str">
        <f t="shared" si="316"/>
        <v>,GTeam= "</v>
      </c>
      <c r="Z1030">
        <f>Matchs!M1031</f>
        <v>0</v>
      </c>
      <c r="AA1030" s="6" t="str">
        <f t="shared" si="317"/>
        <v>",WinNote="</v>
      </c>
      <c r="AB1030" t="str">
        <f>IF(Matchs!N1031="","",Matchs!N1031)</f>
        <v/>
      </c>
      <c r="AC1030" s="6" t="str">
        <f t="shared" si="318"/>
        <v xml:space="preserve">",Stadium=" </v>
      </c>
      <c r="AD1030" s="11">
        <f>Matchs!O1031</f>
        <v>0</v>
      </c>
      <c r="AE1030" s="6" t="str">
        <f t="shared" si="319"/>
        <v>",Referee= "</v>
      </c>
      <c r="AF1030" s="11">
        <f>Matchs!P1031</f>
        <v>0</v>
      </c>
      <c r="AG1030" s="6" t="str">
        <f t="shared" si="320"/>
        <v xml:space="preserve">",Visistors= </v>
      </c>
      <c r="AH1030" s="11">
        <f>Matchs!Q1031</f>
        <v>0</v>
      </c>
      <c r="AI1030" s="11" t="str">
        <f t="shared" si="321"/>
        <v>,Status= "</v>
      </c>
      <c r="AJ1030" s="11">
        <f>Matchs!R1031</f>
        <v>0</v>
      </c>
      <c r="AK1030" t="str">
        <f t="shared" si="322"/>
        <v>" },</v>
      </c>
    </row>
    <row r="1031" spans="1:37" x14ac:dyDescent="0.25">
      <c r="A1031" t="str">
        <f t="shared" si="304"/>
        <v>new Match { MatchId= "</v>
      </c>
      <c r="B1031">
        <f>Matchs!A1032</f>
        <v>0</v>
      </c>
      <c r="C1031" t="str">
        <f t="shared" si="305"/>
        <v>",MatchNumer=</v>
      </c>
      <c r="D1031">
        <f>Matchs!B1032</f>
        <v>0</v>
      </c>
      <c r="E1031" t="str">
        <f t="shared" si="306"/>
        <v>,DateMatch=DateTime.Parse("</v>
      </c>
      <c r="F1031" s="3">
        <f>Matchs!C1032</f>
        <v>0</v>
      </c>
      <c r="G1031" s="10" t="str">
        <f t="shared" si="307"/>
        <v>"),TimeMatch=TimeSpan.Parse("</v>
      </c>
      <c r="H1031" s="9">
        <f>Matchs!D1032</f>
        <v>0</v>
      </c>
      <c r="I1031" t="str">
        <f t="shared" si="308"/>
        <v>"),MatchYear=</v>
      </c>
      <c r="J1031">
        <f>Matchs!E1032</f>
        <v>0</v>
      </c>
      <c r="K1031" t="str">
        <f t="shared" si="309"/>
        <v>, SeasonId= "</v>
      </c>
      <c r="L1031">
        <f>Matchs!F1032</f>
        <v>0</v>
      </c>
      <c r="M1031" t="str">
        <f t="shared" si="310"/>
        <v>",Round= "</v>
      </c>
      <c r="N1031">
        <f>Matchs!G1032</f>
        <v>0</v>
      </c>
      <c r="O1031" s="6" t="str">
        <f t="shared" si="311"/>
        <v>",Stage= "</v>
      </c>
      <c r="P1031">
        <f>Matchs!H1032</f>
        <v>0</v>
      </c>
      <c r="Q1031" s="6" t="str">
        <f t="shared" si="312"/>
        <v>",SubStage= "</v>
      </c>
      <c r="R1031">
        <f>Matchs!I1032</f>
        <v>0</v>
      </c>
      <c r="S1031" s="6" t="str">
        <f t="shared" si="313"/>
        <v>",HTeam= "</v>
      </c>
      <c r="T1031">
        <f>Matchs!J1032</f>
        <v>0</v>
      </c>
      <c r="U1031" s="6" t="str">
        <f t="shared" si="314"/>
        <v>",HGoal=</v>
      </c>
      <c r="V1031">
        <f>Matchs!K1032</f>
        <v>0</v>
      </c>
      <c r="W1031" s="6" t="str">
        <f t="shared" si="315"/>
        <v>,GGoal=</v>
      </c>
      <c r="X1031">
        <f>Matchs!L1032</f>
        <v>0</v>
      </c>
      <c r="Y1031" s="6" t="str">
        <f t="shared" si="316"/>
        <v>,GTeam= "</v>
      </c>
      <c r="Z1031">
        <f>Matchs!M1032</f>
        <v>0</v>
      </c>
      <c r="AA1031" s="6" t="str">
        <f t="shared" si="317"/>
        <v>",WinNote="</v>
      </c>
      <c r="AB1031" t="str">
        <f>IF(Matchs!N1032="","",Matchs!N1032)</f>
        <v/>
      </c>
      <c r="AC1031" s="6" t="str">
        <f t="shared" si="318"/>
        <v xml:space="preserve">",Stadium=" </v>
      </c>
      <c r="AD1031" s="11">
        <f>Matchs!O1032</f>
        <v>0</v>
      </c>
      <c r="AE1031" s="6" t="str">
        <f t="shared" si="319"/>
        <v>",Referee= "</v>
      </c>
      <c r="AF1031" s="11">
        <f>Matchs!P1032</f>
        <v>0</v>
      </c>
      <c r="AG1031" s="6" t="str">
        <f t="shared" si="320"/>
        <v xml:space="preserve">",Visistors= </v>
      </c>
      <c r="AH1031" s="11">
        <f>Matchs!Q1032</f>
        <v>0</v>
      </c>
      <c r="AI1031" s="11" t="str">
        <f t="shared" si="321"/>
        <v>,Status= "</v>
      </c>
      <c r="AJ1031" s="11">
        <f>Matchs!R1032</f>
        <v>0</v>
      </c>
      <c r="AK1031" t="str">
        <f t="shared" si="322"/>
        <v>" },</v>
      </c>
    </row>
    <row r="1032" spans="1:37" x14ac:dyDescent="0.25">
      <c r="A1032" t="str">
        <f t="shared" si="304"/>
        <v>new Match { MatchId= "</v>
      </c>
      <c r="B1032">
        <f>Matchs!A1033</f>
        <v>0</v>
      </c>
      <c r="C1032" t="str">
        <f t="shared" si="305"/>
        <v>",MatchNumer=</v>
      </c>
      <c r="D1032">
        <f>Matchs!B1033</f>
        <v>0</v>
      </c>
      <c r="E1032" t="str">
        <f t="shared" si="306"/>
        <v>,DateMatch=DateTime.Parse("</v>
      </c>
      <c r="F1032" s="3">
        <f>Matchs!C1033</f>
        <v>0</v>
      </c>
      <c r="G1032" s="10" t="str">
        <f t="shared" si="307"/>
        <v>"),TimeMatch=TimeSpan.Parse("</v>
      </c>
      <c r="H1032" s="9">
        <f>Matchs!D1033</f>
        <v>0</v>
      </c>
      <c r="I1032" t="str">
        <f t="shared" si="308"/>
        <v>"),MatchYear=</v>
      </c>
      <c r="J1032">
        <f>Matchs!E1033</f>
        <v>0</v>
      </c>
      <c r="K1032" t="str">
        <f t="shared" si="309"/>
        <v>, SeasonId= "</v>
      </c>
      <c r="L1032">
        <f>Matchs!F1033</f>
        <v>0</v>
      </c>
      <c r="M1032" t="str">
        <f t="shared" si="310"/>
        <v>",Round= "</v>
      </c>
      <c r="N1032">
        <f>Matchs!G1033</f>
        <v>0</v>
      </c>
      <c r="O1032" s="6" t="str">
        <f t="shared" si="311"/>
        <v>",Stage= "</v>
      </c>
      <c r="P1032">
        <f>Matchs!H1033</f>
        <v>0</v>
      </c>
      <c r="Q1032" s="6" t="str">
        <f t="shared" si="312"/>
        <v>",SubStage= "</v>
      </c>
      <c r="R1032">
        <f>Matchs!I1033</f>
        <v>0</v>
      </c>
      <c r="S1032" s="6" t="str">
        <f t="shared" si="313"/>
        <v>",HTeam= "</v>
      </c>
      <c r="T1032">
        <f>Matchs!J1033</f>
        <v>0</v>
      </c>
      <c r="U1032" s="6" t="str">
        <f t="shared" si="314"/>
        <v>",HGoal=</v>
      </c>
      <c r="V1032">
        <f>Matchs!K1033</f>
        <v>0</v>
      </c>
      <c r="W1032" s="6" t="str">
        <f t="shared" si="315"/>
        <v>,GGoal=</v>
      </c>
      <c r="X1032">
        <f>Matchs!L1033</f>
        <v>0</v>
      </c>
      <c r="Y1032" s="6" t="str">
        <f t="shared" si="316"/>
        <v>,GTeam= "</v>
      </c>
      <c r="Z1032">
        <f>Matchs!M1033</f>
        <v>0</v>
      </c>
      <c r="AA1032" s="6" t="str">
        <f t="shared" si="317"/>
        <v>",WinNote="</v>
      </c>
      <c r="AB1032" t="str">
        <f>IF(Matchs!N1033="","",Matchs!N1033)</f>
        <v/>
      </c>
      <c r="AC1032" s="6" t="str">
        <f t="shared" si="318"/>
        <v xml:space="preserve">",Stadium=" </v>
      </c>
      <c r="AD1032" s="11">
        <f>Matchs!O1033</f>
        <v>0</v>
      </c>
      <c r="AE1032" s="6" t="str">
        <f t="shared" si="319"/>
        <v>",Referee= "</v>
      </c>
      <c r="AF1032" s="11">
        <f>Matchs!P1033</f>
        <v>0</v>
      </c>
      <c r="AG1032" s="6" t="str">
        <f t="shared" si="320"/>
        <v xml:space="preserve">",Visistors= </v>
      </c>
      <c r="AH1032" s="11">
        <f>Matchs!Q1033</f>
        <v>0</v>
      </c>
      <c r="AI1032" s="11" t="str">
        <f t="shared" si="321"/>
        <v>,Status= "</v>
      </c>
      <c r="AJ1032" s="11">
        <f>Matchs!R1033</f>
        <v>0</v>
      </c>
      <c r="AK1032" t="str">
        <f t="shared" si="322"/>
        <v>" },</v>
      </c>
    </row>
    <row r="1033" spans="1:37" x14ac:dyDescent="0.25">
      <c r="A1033" t="str">
        <f t="shared" si="304"/>
        <v>new Match { MatchId= "</v>
      </c>
      <c r="B1033">
        <f>Matchs!A1034</f>
        <v>0</v>
      </c>
      <c r="C1033" t="str">
        <f t="shared" si="305"/>
        <v>",MatchNumer=</v>
      </c>
      <c r="D1033">
        <f>Matchs!B1034</f>
        <v>0</v>
      </c>
      <c r="E1033" t="str">
        <f t="shared" si="306"/>
        <v>,DateMatch=DateTime.Parse("</v>
      </c>
      <c r="F1033" s="3">
        <f>Matchs!C1034</f>
        <v>0</v>
      </c>
      <c r="G1033" s="10" t="str">
        <f t="shared" si="307"/>
        <v>"),TimeMatch=TimeSpan.Parse("</v>
      </c>
      <c r="H1033" s="9">
        <f>Matchs!D1034</f>
        <v>0</v>
      </c>
      <c r="I1033" t="str">
        <f t="shared" si="308"/>
        <v>"),MatchYear=</v>
      </c>
      <c r="J1033">
        <f>Matchs!E1034</f>
        <v>0</v>
      </c>
      <c r="K1033" t="str">
        <f t="shared" si="309"/>
        <v>, SeasonId= "</v>
      </c>
      <c r="L1033">
        <f>Matchs!F1034</f>
        <v>0</v>
      </c>
      <c r="M1033" t="str">
        <f t="shared" si="310"/>
        <v>",Round= "</v>
      </c>
      <c r="N1033">
        <f>Matchs!G1034</f>
        <v>0</v>
      </c>
      <c r="O1033" s="6" t="str">
        <f t="shared" si="311"/>
        <v>",Stage= "</v>
      </c>
      <c r="P1033">
        <f>Matchs!H1034</f>
        <v>0</v>
      </c>
      <c r="Q1033" s="6" t="str">
        <f t="shared" si="312"/>
        <v>",SubStage= "</v>
      </c>
      <c r="R1033">
        <f>Matchs!I1034</f>
        <v>0</v>
      </c>
      <c r="S1033" s="6" t="str">
        <f t="shared" si="313"/>
        <v>",HTeam= "</v>
      </c>
      <c r="T1033">
        <f>Matchs!J1034</f>
        <v>0</v>
      </c>
      <c r="U1033" s="6" t="str">
        <f t="shared" si="314"/>
        <v>",HGoal=</v>
      </c>
      <c r="V1033">
        <f>Matchs!K1034</f>
        <v>0</v>
      </c>
      <c r="W1033" s="6" t="str">
        <f t="shared" si="315"/>
        <v>,GGoal=</v>
      </c>
      <c r="X1033">
        <f>Matchs!L1034</f>
        <v>0</v>
      </c>
      <c r="Y1033" s="6" t="str">
        <f t="shared" si="316"/>
        <v>,GTeam= "</v>
      </c>
      <c r="Z1033">
        <f>Matchs!M1034</f>
        <v>0</v>
      </c>
      <c r="AA1033" s="6" t="str">
        <f t="shared" si="317"/>
        <v>",WinNote="</v>
      </c>
      <c r="AB1033" t="str">
        <f>IF(Matchs!N1034="","",Matchs!N1034)</f>
        <v/>
      </c>
      <c r="AC1033" s="6" t="str">
        <f t="shared" si="318"/>
        <v xml:space="preserve">",Stadium=" </v>
      </c>
      <c r="AD1033" s="11">
        <f>Matchs!O1034</f>
        <v>0</v>
      </c>
      <c r="AE1033" s="6" t="str">
        <f t="shared" si="319"/>
        <v>",Referee= "</v>
      </c>
      <c r="AF1033" s="11">
        <f>Matchs!P1034</f>
        <v>0</v>
      </c>
      <c r="AG1033" s="6" t="str">
        <f t="shared" si="320"/>
        <v xml:space="preserve">",Visistors= </v>
      </c>
      <c r="AH1033" s="11">
        <f>Matchs!Q1034</f>
        <v>0</v>
      </c>
      <c r="AI1033" s="11" t="str">
        <f t="shared" si="321"/>
        <v>,Status= "</v>
      </c>
      <c r="AJ1033" s="11">
        <f>Matchs!R1034</f>
        <v>0</v>
      </c>
      <c r="AK1033" t="str">
        <f t="shared" si="322"/>
        <v>" },</v>
      </c>
    </row>
    <row r="1034" spans="1:37" x14ac:dyDescent="0.25">
      <c r="A1034" t="str">
        <f t="shared" si="304"/>
        <v>new Match { MatchId= "</v>
      </c>
      <c r="B1034">
        <f>Matchs!A1035</f>
        <v>0</v>
      </c>
      <c r="C1034" t="str">
        <f t="shared" si="305"/>
        <v>",MatchNumer=</v>
      </c>
      <c r="D1034">
        <f>Matchs!B1035</f>
        <v>0</v>
      </c>
      <c r="E1034" t="str">
        <f t="shared" si="306"/>
        <v>,DateMatch=DateTime.Parse("</v>
      </c>
      <c r="F1034" s="3">
        <f>Matchs!C1035</f>
        <v>0</v>
      </c>
      <c r="G1034" s="10" t="str">
        <f t="shared" si="307"/>
        <v>"),TimeMatch=TimeSpan.Parse("</v>
      </c>
      <c r="H1034" s="9">
        <f>Matchs!D1035</f>
        <v>0</v>
      </c>
      <c r="I1034" t="str">
        <f t="shared" si="308"/>
        <v>"),MatchYear=</v>
      </c>
      <c r="J1034">
        <f>Matchs!E1035</f>
        <v>0</v>
      </c>
      <c r="K1034" t="str">
        <f t="shared" si="309"/>
        <v>, SeasonId= "</v>
      </c>
      <c r="L1034">
        <f>Matchs!F1035</f>
        <v>0</v>
      </c>
      <c r="M1034" t="str">
        <f t="shared" si="310"/>
        <v>",Round= "</v>
      </c>
      <c r="N1034">
        <f>Matchs!G1035</f>
        <v>0</v>
      </c>
      <c r="O1034" s="6" t="str">
        <f t="shared" si="311"/>
        <v>",Stage= "</v>
      </c>
      <c r="P1034">
        <f>Matchs!H1035</f>
        <v>0</v>
      </c>
      <c r="Q1034" s="6" t="str">
        <f t="shared" si="312"/>
        <v>",SubStage= "</v>
      </c>
      <c r="R1034">
        <f>Matchs!I1035</f>
        <v>0</v>
      </c>
      <c r="S1034" s="6" t="str">
        <f t="shared" si="313"/>
        <v>",HTeam= "</v>
      </c>
      <c r="T1034">
        <f>Matchs!J1035</f>
        <v>0</v>
      </c>
      <c r="U1034" s="6" t="str">
        <f t="shared" si="314"/>
        <v>",HGoal=</v>
      </c>
      <c r="V1034">
        <f>Matchs!K1035</f>
        <v>0</v>
      </c>
      <c r="W1034" s="6" t="str">
        <f t="shared" si="315"/>
        <v>,GGoal=</v>
      </c>
      <c r="X1034">
        <f>Matchs!L1035</f>
        <v>0</v>
      </c>
      <c r="Y1034" s="6" t="str">
        <f t="shared" si="316"/>
        <v>,GTeam= "</v>
      </c>
      <c r="Z1034">
        <f>Matchs!M1035</f>
        <v>0</v>
      </c>
      <c r="AA1034" s="6" t="str">
        <f t="shared" si="317"/>
        <v>",WinNote="</v>
      </c>
      <c r="AB1034" t="str">
        <f>IF(Matchs!N1035="","",Matchs!N1035)</f>
        <v/>
      </c>
      <c r="AC1034" s="6" t="str">
        <f t="shared" si="318"/>
        <v xml:space="preserve">",Stadium=" </v>
      </c>
      <c r="AD1034" s="11">
        <f>Matchs!O1035</f>
        <v>0</v>
      </c>
      <c r="AE1034" s="6" t="str">
        <f t="shared" si="319"/>
        <v>",Referee= "</v>
      </c>
      <c r="AF1034" s="11">
        <f>Matchs!P1035</f>
        <v>0</v>
      </c>
      <c r="AG1034" s="6" t="str">
        <f t="shared" si="320"/>
        <v xml:space="preserve">",Visistors= </v>
      </c>
      <c r="AH1034" s="11">
        <f>Matchs!Q1035</f>
        <v>0</v>
      </c>
      <c r="AI1034" s="11" t="str">
        <f t="shared" si="321"/>
        <v>,Status= "</v>
      </c>
      <c r="AJ1034" s="11">
        <f>Matchs!R1035</f>
        <v>0</v>
      </c>
      <c r="AK1034" t="str">
        <f t="shared" si="322"/>
        <v>" },</v>
      </c>
    </row>
    <row r="1035" spans="1:37" x14ac:dyDescent="0.25">
      <c r="A1035" t="str">
        <f t="shared" si="304"/>
        <v>new Match { MatchId= "</v>
      </c>
      <c r="B1035">
        <f>Matchs!A1036</f>
        <v>0</v>
      </c>
      <c r="C1035" t="str">
        <f t="shared" si="305"/>
        <v>",MatchNumer=</v>
      </c>
      <c r="D1035">
        <f>Matchs!B1036</f>
        <v>0</v>
      </c>
      <c r="E1035" t="str">
        <f t="shared" si="306"/>
        <v>,DateMatch=DateTime.Parse("</v>
      </c>
      <c r="F1035" s="3">
        <f>Matchs!C1036</f>
        <v>0</v>
      </c>
      <c r="G1035" s="10" t="str">
        <f t="shared" si="307"/>
        <v>"),TimeMatch=TimeSpan.Parse("</v>
      </c>
      <c r="H1035" s="9">
        <f>Matchs!D1036</f>
        <v>0</v>
      </c>
      <c r="I1035" t="str">
        <f t="shared" si="308"/>
        <v>"),MatchYear=</v>
      </c>
      <c r="J1035">
        <f>Matchs!E1036</f>
        <v>0</v>
      </c>
      <c r="K1035" t="str">
        <f t="shared" si="309"/>
        <v>, SeasonId= "</v>
      </c>
      <c r="L1035">
        <f>Matchs!F1036</f>
        <v>0</v>
      </c>
      <c r="M1035" t="str">
        <f t="shared" si="310"/>
        <v>",Round= "</v>
      </c>
      <c r="N1035">
        <f>Matchs!G1036</f>
        <v>0</v>
      </c>
      <c r="O1035" s="6" t="str">
        <f t="shared" si="311"/>
        <v>",Stage= "</v>
      </c>
      <c r="P1035">
        <f>Matchs!H1036</f>
        <v>0</v>
      </c>
      <c r="Q1035" s="6" t="str">
        <f t="shared" si="312"/>
        <v>",SubStage= "</v>
      </c>
      <c r="R1035">
        <f>Matchs!I1036</f>
        <v>0</v>
      </c>
      <c r="S1035" s="6" t="str">
        <f t="shared" si="313"/>
        <v>",HTeam= "</v>
      </c>
      <c r="T1035">
        <f>Matchs!J1036</f>
        <v>0</v>
      </c>
      <c r="U1035" s="6" t="str">
        <f t="shared" si="314"/>
        <v>",HGoal=</v>
      </c>
      <c r="V1035">
        <f>Matchs!K1036</f>
        <v>0</v>
      </c>
      <c r="W1035" s="6" t="str">
        <f t="shared" si="315"/>
        <v>,GGoal=</v>
      </c>
      <c r="X1035">
        <f>Matchs!L1036</f>
        <v>0</v>
      </c>
      <c r="Y1035" s="6" t="str">
        <f t="shared" si="316"/>
        <v>,GTeam= "</v>
      </c>
      <c r="Z1035">
        <f>Matchs!M1036</f>
        <v>0</v>
      </c>
      <c r="AA1035" s="6" t="str">
        <f t="shared" si="317"/>
        <v>",WinNote="</v>
      </c>
      <c r="AB1035" t="str">
        <f>IF(Matchs!N1036="","",Matchs!N1036)</f>
        <v/>
      </c>
      <c r="AC1035" s="6" t="str">
        <f t="shared" si="318"/>
        <v xml:space="preserve">",Stadium=" </v>
      </c>
      <c r="AD1035" s="11">
        <f>Matchs!O1036</f>
        <v>0</v>
      </c>
      <c r="AE1035" s="6" t="str">
        <f t="shared" si="319"/>
        <v>",Referee= "</v>
      </c>
      <c r="AF1035" s="11">
        <f>Matchs!P1036</f>
        <v>0</v>
      </c>
      <c r="AG1035" s="6" t="str">
        <f t="shared" si="320"/>
        <v xml:space="preserve">",Visistors= </v>
      </c>
      <c r="AH1035" s="11">
        <f>Matchs!Q1036</f>
        <v>0</v>
      </c>
      <c r="AI1035" s="11" t="str">
        <f t="shared" si="321"/>
        <v>,Status= "</v>
      </c>
      <c r="AJ1035" s="11">
        <f>Matchs!R1036</f>
        <v>0</v>
      </c>
      <c r="AK1035" t="str">
        <f t="shared" si="322"/>
        <v>" },</v>
      </c>
    </row>
    <row r="1036" spans="1:37" x14ac:dyDescent="0.25">
      <c r="A1036" t="str">
        <f t="shared" si="304"/>
        <v>new Match { MatchId= "</v>
      </c>
      <c r="B1036">
        <f>Matchs!A1037</f>
        <v>0</v>
      </c>
      <c r="C1036" t="str">
        <f t="shared" si="305"/>
        <v>",MatchNumer=</v>
      </c>
      <c r="D1036">
        <f>Matchs!B1037</f>
        <v>0</v>
      </c>
      <c r="E1036" t="str">
        <f t="shared" si="306"/>
        <v>,DateMatch=DateTime.Parse("</v>
      </c>
      <c r="F1036" s="3">
        <f>Matchs!C1037</f>
        <v>0</v>
      </c>
      <c r="G1036" s="10" t="str">
        <f t="shared" si="307"/>
        <v>"),TimeMatch=TimeSpan.Parse("</v>
      </c>
      <c r="H1036" s="9">
        <f>Matchs!D1037</f>
        <v>0</v>
      </c>
      <c r="I1036" t="str">
        <f t="shared" si="308"/>
        <v>"),MatchYear=</v>
      </c>
      <c r="J1036">
        <f>Matchs!E1037</f>
        <v>0</v>
      </c>
      <c r="K1036" t="str">
        <f t="shared" si="309"/>
        <v>, SeasonId= "</v>
      </c>
      <c r="L1036">
        <f>Matchs!F1037</f>
        <v>0</v>
      </c>
      <c r="M1036" t="str">
        <f t="shared" si="310"/>
        <v>",Round= "</v>
      </c>
      <c r="N1036">
        <f>Matchs!G1037</f>
        <v>0</v>
      </c>
      <c r="O1036" s="6" t="str">
        <f t="shared" si="311"/>
        <v>",Stage= "</v>
      </c>
      <c r="P1036">
        <f>Matchs!H1037</f>
        <v>0</v>
      </c>
      <c r="Q1036" s="6" t="str">
        <f t="shared" si="312"/>
        <v>",SubStage= "</v>
      </c>
      <c r="R1036">
        <f>Matchs!I1037</f>
        <v>0</v>
      </c>
      <c r="S1036" s="6" t="str">
        <f t="shared" si="313"/>
        <v>",HTeam= "</v>
      </c>
      <c r="T1036">
        <f>Matchs!J1037</f>
        <v>0</v>
      </c>
      <c r="U1036" s="6" t="str">
        <f t="shared" si="314"/>
        <v>",HGoal=</v>
      </c>
      <c r="V1036">
        <f>Matchs!K1037</f>
        <v>0</v>
      </c>
      <c r="W1036" s="6" t="str">
        <f t="shared" si="315"/>
        <v>,GGoal=</v>
      </c>
      <c r="X1036">
        <f>Matchs!L1037</f>
        <v>0</v>
      </c>
      <c r="Y1036" s="6" t="str">
        <f t="shared" si="316"/>
        <v>,GTeam= "</v>
      </c>
      <c r="Z1036">
        <f>Matchs!M1037</f>
        <v>0</v>
      </c>
      <c r="AA1036" s="6" t="str">
        <f t="shared" si="317"/>
        <v>",WinNote="</v>
      </c>
      <c r="AB1036" t="str">
        <f>IF(Matchs!N1037="","",Matchs!N1037)</f>
        <v/>
      </c>
      <c r="AC1036" s="6" t="str">
        <f t="shared" si="318"/>
        <v xml:space="preserve">",Stadium=" </v>
      </c>
      <c r="AD1036" s="11">
        <f>Matchs!O1037</f>
        <v>0</v>
      </c>
      <c r="AE1036" s="6" t="str">
        <f t="shared" si="319"/>
        <v>",Referee= "</v>
      </c>
      <c r="AF1036" s="11">
        <f>Matchs!P1037</f>
        <v>0</v>
      </c>
      <c r="AG1036" s="6" t="str">
        <f t="shared" si="320"/>
        <v xml:space="preserve">",Visistors= </v>
      </c>
      <c r="AH1036" s="11">
        <f>Matchs!Q1037</f>
        <v>0</v>
      </c>
      <c r="AI1036" s="11" t="str">
        <f t="shared" si="321"/>
        <v>,Status= "</v>
      </c>
      <c r="AJ1036" s="11">
        <f>Matchs!R1037</f>
        <v>0</v>
      </c>
      <c r="AK1036" t="str">
        <f t="shared" si="322"/>
        <v>" },</v>
      </c>
    </row>
    <row r="1037" spans="1:37" x14ac:dyDescent="0.25">
      <c r="A1037" t="str">
        <f t="shared" si="304"/>
        <v>new Match { MatchId= "</v>
      </c>
      <c r="B1037">
        <f>Matchs!A1038</f>
        <v>0</v>
      </c>
      <c r="C1037" t="str">
        <f t="shared" si="305"/>
        <v>",MatchNumer=</v>
      </c>
      <c r="D1037">
        <f>Matchs!B1038</f>
        <v>0</v>
      </c>
      <c r="E1037" t="str">
        <f t="shared" si="306"/>
        <v>,DateMatch=DateTime.Parse("</v>
      </c>
      <c r="F1037" s="3">
        <f>Matchs!C1038</f>
        <v>0</v>
      </c>
      <c r="G1037" s="10" t="str">
        <f t="shared" si="307"/>
        <v>"),TimeMatch=TimeSpan.Parse("</v>
      </c>
      <c r="H1037" s="9">
        <f>Matchs!D1038</f>
        <v>0</v>
      </c>
      <c r="I1037" t="str">
        <f t="shared" si="308"/>
        <v>"),MatchYear=</v>
      </c>
      <c r="J1037">
        <f>Matchs!E1038</f>
        <v>0</v>
      </c>
      <c r="K1037" t="str">
        <f t="shared" si="309"/>
        <v>, SeasonId= "</v>
      </c>
      <c r="L1037">
        <f>Matchs!F1038</f>
        <v>0</v>
      </c>
      <c r="M1037" t="str">
        <f t="shared" si="310"/>
        <v>",Round= "</v>
      </c>
      <c r="N1037">
        <f>Matchs!G1038</f>
        <v>0</v>
      </c>
      <c r="O1037" s="6" t="str">
        <f t="shared" si="311"/>
        <v>",Stage= "</v>
      </c>
      <c r="P1037">
        <f>Matchs!H1038</f>
        <v>0</v>
      </c>
      <c r="Q1037" s="6" t="str">
        <f t="shared" si="312"/>
        <v>",SubStage= "</v>
      </c>
      <c r="R1037">
        <f>Matchs!I1038</f>
        <v>0</v>
      </c>
      <c r="S1037" s="6" t="str">
        <f t="shared" si="313"/>
        <v>",HTeam= "</v>
      </c>
      <c r="T1037">
        <f>Matchs!J1038</f>
        <v>0</v>
      </c>
      <c r="U1037" s="6" t="str">
        <f t="shared" si="314"/>
        <v>",HGoal=</v>
      </c>
      <c r="V1037">
        <f>Matchs!K1038</f>
        <v>0</v>
      </c>
      <c r="W1037" s="6" t="str">
        <f t="shared" si="315"/>
        <v>,GGoal=</v>
      </c>
      <c r="X1037">
        <f>Matchs!L1038</f>
        <v>0</v>
      </c>
      <c r="Y1037" s="6" t="str">
        <f t="shared" si="316"/>
        <v>,GTeam= "</v>
      </c>
      <c r="Z1037">
        <f>Matchs!M1038</f>
        <v>0</v>
      </c>
      <c r="AA1037" s="6" t="str">
        <f t="shared" si="317"/>
        <v>",WinNote="</v>
      </c>
      <c r="AB1037" t="str">
        <f>IF(Matchs!N1038="","",Matchs!N1038)</f>
        <v/>
      </c>
      <c r="AC1037" s="6" t="str">
        <f t="shared" si="318"/>
        <v xml:space="preserve">",Stadium=" </v>
      </c>
      <c r="AD1037" s="11">
        <f>Matchs!O1038</f>
        <v>0</v>
      </c>
      <c r="AE1037" s="6" t="str">
        <f t="shared" si="319"/>
        <v>",Referee= "</v>
      </c>
      <c r="AF1037" s="11">
        <f>Matchs!P1038</f>
        <v>0</v>
      </c>
      <c r="AG1037" s="6" t="str">
        <f t="shared" si="320"/>
        <v xml:space="preserve">",Visistors= </v>
      </c>
      <c r="AH1037" s="11">
        <f>Matchs!Q1038</f>
        <v>0</v>
      </c>
      <c r="AI1037" s="11" t="str">
        <f t="shared" si="321"/>
        <v>,Status= "</v>
      </c>
      <c r="AJ1037" s="11">
        <f>Matchs!R1038</f>
        <v>0</v>
      </c>
      <c r="AK1037" t="str">
        <f t="shared" si="322"/>
        <v>" },</v>
      </c>
    </row>
    <row r="1038" spans="1:37" x14ac:dyDescent="0.25">
      <c r="A1038" t="str">
        <f t="shared" si="304"/>
        <v>new Match { MatchId= "</v>
      </c>
      <c r="B1038">
        <f>Matchs!A1039</f>
        <v>0</v>
      </c>
      <c r="C1038" t="str">
        <f t="shared" si="305"/>
        <v>",MatchNumer=</v>
      </c>
      <c r="D1038">
        <f>Matchs!B1039</f>
        <v>0</v>
      </c>
      <c r="E1038" t="str">
        <f t="shared" si="306"/>
        <v>,DateMatch=DateTime.Parse("</v>
      </c>
      <c r="F1038" s="3">
        <f>Matchs!C1039</f>
        <v>0</v>
      </c>
      <c r="G1038" s="10" t="str">
        <f t="shared" si="307"/>
        <v>"),TimeMatch=TimeSpan.Parse("</v>
      </c>
      <c r="H1038" s="9">
        <f>Matchs!D1039</f>
        <v>0</v>
      </c>
      <c r="I1038" t="str">
        <f t="shared" si="308"/>
        <v>"),MatchYear=</v>
      </c>
      <c r="J1038">
        <f>Matchs!E1039</f>
        <v>0</v>
      </c>
      <c r="K1038" t="str">
        <f t="shared" si="309"/>
        <v>, SeasonId= "</v>
      </c>
      <c r="L1038">
        <f>Matchs!F1039</f>
        <v>0</v>
      </c>
      <c r="M1038" t="str">
        <f t="shared" si="310"/>
        <v>",Round= "</v>
      </c>
      <c r="N1038">
        <f>Matchs!G1039</f>
        <v>0</v>
      </c>
      <c r="O1038" s="6" t="str">
        <f t="shared" si="311"/>
        <v>",Stage= "</v>
      </c>
      <c r="P1038">
        <f>Matchs!H1039</f>
        <v>0</v>
      </c>
      <c r="Q1038" s="6" t="str">
        <f t="shared" si="312"/>
        <v>",SubStage= "</v>
      </c>
      <c r="R1038">
        <f>Matchs!I1039</f>
        <v>0</v>
      </c>
      <c r="S1038" s="6" t="str">
        <f t="shared" si="313"/>
        <v>",HTeam= "</v>
      </c>
      <c r="T1038">
        <f>Matchs!J1039</f>
        <v>0</v>
      </c>
      <c r="U1038" s="6" t="str">
        <f t="shared" si="314"/>
        <v>",HGoal=</v>
      </c>
      <c r="V1038">
        <f>Matchs!K1039</f>
        <v>0</v>
      </c>
      <c r="W1038" s="6" t="str">
        <f t="shared" si="315"/>
        <v>,GGoal=</v>
      </c>
      <c r="X1038">
        <f>Matchs!L1039</f>
        <v>0</v>
      </c>
      <c r="Y1038" s="6" t="str">
        <f t="shared" si="316"/>
        <v>,GTeam= "</v>
      </c>
      <c r="Z1038">
        <f>Matchs!M1039</f>
        <v>0</v>
      </c>
      <c r="AA1038" s="6" t="str">
        <f t="shared" si="317"/>
        <v>",WinNote="</v>
      </c>
      <c r="AB1038" t="str">
        <f>IF(Matchs!N1039="","",Matchs!N1039)</f>
        <v/>
      </c>
      <c r="AC1038" s="6" t="str">
        <f t="shared" si="318"/>
        <v xml:space="preserve">",Stadium=" </v>
      </c>
      <c r="AD1038" s="11">
        <f>Matchs!O1039</f>
        <v>0</v>
      </c>
      <c r="AE1038" s="6" t="str">
        <f t="shared" si="319"/>
        <v>",Referee= "</v>
      </c>
      <c r="AF1038" s="11">
        <f>Matchs!P1039</f>
        <v>0</v>
      </c>
      <c r="AG1038" s="6" t="str">
        <f t="shared" si="320"/>
        <v xml:space="preserve">",Visistors= </v>
      </c>
      <c r="AH1038" s="11">
        <f>Matchs!Q1039</f>
        <v>0</v>
      </c>
      <c r="AI1038" s="11" t="str">
        <f t="shared" si="321"/>
        <v>,Status= "</v>
      </c>
      <c r="AJ1038" s="11">
        <f>Matchs!R1039</f>
        <v>0</v>
      </c>
      <c r="AK1038" t="str">
        <f t="shared" si="322"/>
        <v>" },</v>
      </c>
    </row>
    <row r="1039" spans="1:37" x14ac:dyDescent="0.25">
      <c r="A1039" t="str">
        <f t="shared" si="304"/>
        <v>new Match { MatchId= "</v>
      </c>
      <c r="B1039">
        <f>Matchs!A1040</f>
        <v>0</v>
      </c>
      <c r="C1039" t="str">
        <f t="shared" si="305"/>
        <v>",MatchNumer=</v>
      </c>
      <c r="D1039">
        <f>Matchs!B1040</f>
        <v>0</v>
      </c>
      <c r="E1039" t="str">
        <f t="shared" si="306"/>
        <v>,DateMatch=DateTime.Parse("</v>
      </c>
      <c r="F1039" s="3">
        <f>Matchs!C1040</f>
        <v>0</v>
      </c>
      <c r="G1039" s="10" t="str">
        <f t="shared" si="307"/>
        <v>"),TimeMatch=TimeSpan.Parse("</v>
      </c>
      <c r="H1039" s="9">
        <f>Matchs!D1040</f>
        <v>0</v>
      </c>
      <c r="I1039" t="str">
        <f t="shared" si="308"/>
        <v>"),MatchYear=</v>
      </c>
      <c r="J1039">
        <f>Matchs!E1040</f>
        <v>0</v>
      </c>
      <c r="K1039" t="str">
        <f t="shared" si="309"/>
        <v>, SeasonId= "</v>
      </c>
      <c r="L1039">
        <f>Matchs!F1040</f>
        <v>0</v>
      </c>
      <c r="M1039" t="str">
        <f t="shared" si="310"/>
        <v>",Round= "</v>
      </c>
      <c r="N1039">
        <f>Matchs!G1040</f>
        <v>0</v>
      </c>
      <c r="O1039" s="6" t="str">
        <f t="shared" si="311"/>
        <v>",Stage= "</v>
      </c>
      <c r="P1039">
        <f>Matchs!H1040</f>
        <v>0</v>
      </c>
      <c r="Q1039" s="6" t="str">
        <f t="shared" si="312"/>
        <v>",SubStage= "</v>
      </c>
      <c r="R1039">
        <f>Matchs!I1040</f>
        <v>0</v>
      </c>
      <c r="S1039" s="6" t="str">
        <f t="shared" si="313"/>
        <v>",HTeam= "</v>
      </c>
      <c r="T1039">
        <f>Matchs!J1040</f>
        <v>0</v>
      </c>
      <c r="U1039" s="6" t="str">
        <f t="shared" si="314"/>
        <v>",HGoal=</v>
      </c>
      <c r="V1039">
        <f>Matchs!K1040</f>
        <v>0</v>
      </c>
      <c r="W1039" s="6" t="str">
        <f t="shared" si="315"/>
        <v>,GGoal=</v>
      </c>
      <c r="X1039">
        <f>Matchs!L1040</f>
        <v>0</v>
      </c>
      <c r="Y1039" s="6" t="str">
        <f t="shared" si="316"/>
        <v>,GTeam= "</v>
      </c>
      <c r="Z1039">
        <f>Matchs!M1040</f>
        <v>0</v>
      </c>
      <c r="AA1039" s="6" t="str">
        <f t="shared" si="317"/>
        <v>",WinNote="</v>
      </c>
      <c r="AB1039" t="str">
        <f>IF(Matchs!N1040="","",Matchs!N1040)</f>
        <v/>
      </c>
      <c r="AC1039" s="6" t="str">
        <f t="shared" si="318"/>
        <v xml:space="preserve">",Stadium=" </v>
      </c>
      <c r="AD1039" s="11">
        <f>Matchs!O1040</f>
        <v>0</v>
      </c>
      <c r="AE1039" s="6" t="str">
        <f t="shared" si="319"/>
        <v>",Referee= "</v>
      </c>
      <c r="AF1039" s="11">
        <f>Matchs!P1040</f>
        <v>0</v>
      </c>
      <c r="AG1039" s="6" t="str">
        <f t="shared" si="320"/>
        <v xml:space="preserve">",Visistors= </v>
      </c>
      <c r="AH1039" s="11">
        <f>Matchs!Q1040</f>
        <v>0</v>
      </c>
      <c r="AI1039" s="11" t="str">
        <f t="shared" si="321"/>
        <v>,Status= "</v>
      </c>
      <c r="AJ1039" s="11">
        <f>Matchs!R1040</f>
        <v>0</v>
      </c>
      <c r="AK1039" t="str">
        <f t="shared" si="322"/>
        <v>" },</v>
      </c>
    </row>
    <row r="1040" spans="1:37" x14ac:dyDescent="0.25">
      <c r="A1040" t="str">
        <f t="shared" si="304"/>
        <v>new Match { MatchId= "</v>
      </c>
      <c r="B1040">
        <f>Matchs!A1041</f>
        <v>0</v>
      </c>
      <c r="C1040" t="str">
        <f t="shared" si="305"/>
        <v>",MatchNumer=</v>
      </c>
      <c r="D1040">
        <f>Matchs!B1041</f>
        <v>0</v>
      </c>
      <c r="E1040" t="str">
        <f t="shared" si="306"/>
        <v>,DateMatch=DateTime.Parse("</v>
      </c>
      <c r="F1040" s="3">
        <f>Matchs!C1041</f>
        <v>0</v>
      </c>
      <c r="G1040" s="10" t="str">
        <f t="shared" si="307"/>
        <v>"),TimeMatch=TimeSpan.Parse("</v>
      </c>
      <c r="H1040" s="9">
        <f>Matchs!D1041</f>
        <v>0</v>
      </c>
      <c r="I1040" t="str">
        <f t="shared" si="308"/>
        <v>"),MatchYear=</v>
      </c>
      <c r="J1040">
        <f>Matchs!E1041</f>
        <v>0</v>
      </c>
      <c r="K1040" t="str">
        <f t="shared" si="309"/>
        <v>, SeasonId= "</v>
      </c>
      <c r="L1040">
        <f>Matchs!F1041</f>
        <v>0</v>
      </c>
      <c r="M1040" t="str">
        <f t="shared" si="310"/>
        <v>",Round= "</v>
      </c>
      <c r="N1040">
        <f>Matchs!G1041</f>
        <v>0</v>
      </c>
      <c r="O1040" s="6" t="str">
        <f t="shared" si="311"/>
        <v>",Stage= "</v>
      </c>
      <c r="P1040">
        <f>Matchs!H1041</f>
        <v>0</v>
      </c>
      <c r="Q1040" s="6" t="str">
        <f t="shared" si="312"/>
        <v>",SubStage= "</v>
      </c>
      <c r="R1040">
        <f>Matchs!I1041</f>
        <v>0</v>
      </c>
      <c r="S1040" s="6" t="str">
        <f t="shared" si="313"/>
        <v>",HTeam= "</v>
      </c>
      <c r="T1040">
        <f>Matchs!J1041</f>
        <v>0</v>
      </c>
      <c r="U1040" s="6" t="str">
        <f t="shared" si="314"/>
        <v>",HGoal=</v>
      </c>
      <c r="V1040">
        <f>Matchs!K1041</f>
        <v>0</v>
      </c>
      <c r="W1040" s="6" t="str">
        <f t="shared" si="315"/>
        <v>,GGoal=</v>
      </c>
      <c r="X1040">
        <f>Matchs!L1041</f>
        <v>0</v>
      </c>
      <c r="Y1040" s="6" t="str">
        <f t="shared" si="316"/>
        <v>,GTeam= "</v>
      </c>
      <c r="Z1040">
        <f>Matchs!M1041</f>
        <v>0</v>
      </c>
      <c r="AA1040" s="6" t="str">
        <f t="shared" si="317"/>
        <v>",WinNote="</v>
      </c>
      <c r="AB1040" t="str">
        <f>IF(Matchs!N1041="","",Matchs!N1041)</f>
        <v/>
      </c>
      <c r="AC1040" s="6" t="str">
        <f t="shared" si="318"/>
        <v xml:space="preserve">",Stadium=" </v>
      </c>
      <c r="AD1040" s="11">
        <f>Matchs!O1041</f>
        <v>0</v>
      </c>
      <c r="AE1040" s="6" t="str">
        <f t="shared" si="319"/>
        <v>",Referee= "</v>
      </c>
      <c r="AF1040" s="11">
        <f>Matchs!P1041</f>
        <v>0</v>
      </c>
      <c r="AG1040" s="6" t="str">
        <f t="shared" si="320"/>
        <v xml:space="preserve">",Visistors= </v>
      </c>
      <c r="AH1040" s="11">
        <f>Matchs!Q1041</f>
        <v>0</v>
      </c>
      <c r="AI1040" s="11" t="str">
        <f t="shared" si="321"/>
        <v>,Status= "</v>
      </c>
      <c r="AJ1040" s="11">
        <f>Matchs!R1041</f>
        <v>0</v>
      </c>
      <c r="AK1040" t="str">
        <f t="shared" si="322"/>
        <v>" },</v>
      </c>
    </row>
    <row r="1041" spans="1:37" x14ac:dyDescent="0.25">
      <c r="A1041" t="str">
        <f t="shared" si="304"/>
        <v>new Match { MatchId= "</v>
      </c>
      <c r="B1041">
        <f>Matchs!A1042</f>
        <v>0</v>
      </c>
      <c r="C1041" t="str">
        <f t="shared" si="305"/>
        <v>",MatchNumer=</v>
      </c>
      <c r="D1041">
        <f>Matchs!B1042</f>
        <v>0</v>
      </c>
      <c r="E1041" t="str">
        <f t="shared" si="306"/>
        <v>,DateMatch=DateTime.Parse("</v>
      </c>
      <c r="F1041" s="3">
        <f>Matchs!C1042</f>
        <v>0</v>
      </c>
      <c r="G1041" s="10" t="str">
        <f t="shared" si="307"/>
        <v>"),TimeMatch=TimeSpan.Parse("</v>
      </c>
      <c r="H1041" s="9">
        <f>Matchs!D1042</f>
        <v>0</v>
      </c>
      <c r="I1041" t="str">
        <f t="shared" si="308"/>
        <v>"),MatchYear=</v>
      </c>
      <c r="J1041">
        <f>Matchs!E1042</f>
        <v>0</v>
      </c>
      <c r="K1041" t="str">
        <f t="shared" si="309"/>
        <v>, SeasonId= "</v>
      </c>
      <c r="L1041">
        <f>Matchs!F1042</f>
        <v>0</v>
      </c>
      <c r="M1041" t="str">
        <f t="shared" si="310"/>
        <v>",Round= "</v>
      </c>
      <c r="N1041">
        <f>Matchs!G1042</f>
        <v>0</v>
      </c>
      <c r="O1041" s="6" t="str">
        <f t="shared" si="311"/>
        <v>",Stage= "</v>
      </c>
      <c r="P1041">
        <f>Matchs!H1042</f>
        <v>0</v>
      </c>
      <c r="Q1041" s="6" t="str">
        <f t="shared" si="312"/>
        <v>",SubStage= "</v>
      </c>
      <c r="R1041">
        <f>Matchs!I1042</f>
        <v>0</v>
      </c>
      <c r="S1041" s="6" t="str">
        <f t="shared" si="313"/>
        <v>",HTeam= "</v>
      </c>
      <c r="T1041">
        <f>Matchs!J1042</f>
        <v>0</v>
      </c>
      <c r="U1041" s="6" t="str">
        <f t="shared" si="314"/>
        <v>",HGoal=</v>
      </c>
      <c r="V1041">
        <f>Matchs!K1042</f>
        <v>0</v>
      </c>
      <c r="W1041" s="6" t="str">
        <f t="shared" si="315"/>
        <v>,GGoal=</v>
      </c>
      <c r="X1041">
        <f>Matchs!L1042</f>
        <v>0</v>
      </c>
      <c r="Y1041" s="6" t="str">
        <f t="shared" si="316"/>
        <v>,GTeam= "</v>
      </c>
      <c r="Z1041">
        <f>Matchs!M1042</f>
        <v>0</v>
      </c>
      <c r="AA1041" s="6" t="str">
        <f t="shared" si="317"/>
        <v>",WinNote="</v>
      </c>
      <c r="AB1041" t="str">
        <f>IF(Matchs!N1042="","",Matchs!N1042)</f>
        <v/>
      </c>
      <c r="AC1041" s="6" t="str">
        <f t="shared" si="318"/>
        <v xml:space="preserve">",Stadium=" </v>
      </c>
      <c r="AD1041" s="11">
        <f>Matchs!O1042</f>
        <v>0</v>
      </c>
      <c r="AE1041" s="6" t="str">
        <f t="shared" si="319"/>
        <v>",Referee= "</v>
      </c>
      <c r="AF1041" s="11">
        <f>Matchs!P1042</f>
        <v>0</v>
      </c>
      <c r="AG1041" s="6" t="str">
        <f t="shared" si="320"/>
        <v xml:space="preserve">",Visistors= </v>
      </c>
      <c r="AH1041" s="11">
        <f>Matchs!Q1042</f>
        <v>0</v>
      </c>
      <c r="AI1041" s="11" t="str">
        <f t="shared" si="321"/>
        <v>,Status= "</v>
      </c>
      <c r="AJ1041" s="11">
        <f>Matchs!R1042</f>
        <v>0</v>
      </c>
      <c r="AK1041" t="str">
        <f t="shared" si="322"/>
        <v>" },</v>
      </c>
    </row>
    <row r="1042" spans="1:37" x14ac:dyDescent="0.25">
      <c r="A1042" t="str">
        <f t="shared" si="304"/>
        <v>new Match { MatchId= "</v>
      </c>
      <c r="B1042">
        <f>Matchs!A1043</f>
        <v>0</v>
      </c>
      <c r="C1042" t="str">
        <f t="shared" si="305"/>
        <v>",MatchNumer=</v>
      </c>
      <c r="D1042">
        <f>Matchs!B1043</f>
        <v>0</v>
      </c>
      <c r="E1042" t="str">
        <f t="shared" si="306"/>
        <v>,DateMatch=DateTime.Parse("</v>
      </c>
      <c r="F1042" s="3">
        <f>Matchs!C1043</f>
        <v>0</v>
      </c>
      <c r="G1042" s="10" t="str">
        <f t="shared" si="307"/>
        <v>"),TimeMatch=TimeSpan.Parse("</v>
      </c>
      <c r="H1042" s="9">
        <f>Matchs!D1043</f>
        <v>0</v>
      </c>
      <c r="I1042" t="str">
        <f t="shared" si="308"/>
        <v>"),MatchYear=</v>
      </c>
      <c r="J1042">
        <f>Matchs!E1043</f>
        <v>0</v>
      </c>
      <c r="K1042" t="str">
        <f t="shared" si="309"/>
        <v>, SeasonId= "</v>
      </c>
      <c r="L1042">
        <f>Matchs!F1043</f>
        <v>0</v>
      </c>
      <c r="M1042" t="str">
        <f t="shared" si="310"/>
        <v>",Round= "</v>
      </c>
      <c r="N1042">
        <f>Matchs!G1043</f>
        <v>0</v>
      </c>
      <c r="O1042" s="6" t="str">
        <f t="shared" si="311"/>
        <v>",Stage= "</v>
      </c>
      <c r="P1042">
        <f>Matchs!H1043</f>
        <v>0</v>
      </c>
      <c r="Q1042" s="6" t="str">
        <f t="shared" si="312"/>
        <v>",SubStage= "</v>
      </c>
      <c r="R1042">
        <f>Matchs!I1043</f>
        <v>0</v>
      </c>
      <c r="S1042" s="6" t="str">
        <f t="shared" si="313"/>
        <v>",HTeam= "</v>
      </c>
      <c r="T1042">
        <f>Matchs!J1043</f>
        <v>0</v>
      </c>
      <c r="U1042" s="6" t="str">
        <f t="shared" si="314"/>
        <v>",HGoal=</v>
      </c>
      <c r="V1042">
        <f>Matchs!K1043</f>
        <v>0</v>
      </c>
      <c r="W1042" s="6" t="str">
        <f t="shared" si="315"/>
        <v>,GGoal=</v>
      </c>
      <c r="X1042">
        <f>Matchs!L1043</f>
        <v>0</v>
      </c>
      <c r="Y1042" s="6" t="str">
        <f t="shared" si="316"/>
        <v>,GTeam= "</v>
      </c>
      <c r="Z1042">
        <f>Matchs!M1043</f>
        <v>0</v>
      </c>
      <c r="AA1042" s="6" t="str">
        <f t="shared" si="317"/>
        <v>",WinNote="</v>
      </c>
      <c r="AB1042" t="str">
        <f>IF(Matchs!N1043="","",Matchs!N1043)</f>
        <v/>
      </c>
      <c r="AC1042" s="6" t="str">
        <f t="shared" si="318"/>
        <v xml:space="preserve">",Stadium=" </v>
      </c>
      <c r="AD1042" s="11">
        <f>Matchs!O1043</f>
        <v>0</v>
      </c>
      <c r="AE1042" s="6" t="str">
        <f t="shared" si="319"/>
        <v>",Referee= "</v>
      </c>
      <c r="AF1042" s="11">
        <f>Matchs!P1043</f>
        <v>0</v>
      </c>
      <c r="AG1042" s="6" t="str">
        <f t="shared" si="320"/>
        <v xml:space="preserve">",Visistors= </v>
      </c>
      <c r="AH1042" s="11">
        <f>Matchs!Q1043</f>
        <v>0</v>
      </c>
      <c r="AI1042" s="11" t="str">
        <f t="shared" si="321"/>
        <v>,Status= "</v>
      </c>
      <c r="AJ1042" s="11">
        <f>Matchs!R1043</f>
        <v>0</v>
      </c>
      <c r="AK1042" t="str">
        <f t="shared" si="322"/>
        <v>" },</v>
      </c>
    </row>
    <row r="1043" spans="1:37" x14ac:dyDescent="0.25">
      <c r="A1043" t="str">
        <f t="shared" si="304"/>
        <v>new Match { MatchId= "</v>
      </c>
      <c r="B1043">
        <f>Matchs!A1044</f>
        <v>0</v>
      </c>
      <c r="C1043" t="str">
        <f t="shared" si="305"/>
        <v>",MatchNumer=</v>
      </c>
      <c r="D1043">
        <f>Matchs!B1044</f>
        <v>0</v>
      </c>
      <c r="E1043" t="str">
        <f t="shared" si="306"/>
        <v>,DateMatch=DateTime.Parse("</v>
      </c>
      <c r="F1043" s="3">
        <f>Matchs!C1044</f>
        <v>0</v>
      </c>
      <c r="G1043" s="10" t="str">
        <f t="shared" si="307"/>
        <v>"),TimeMatch=TimeSpan.Parse("</v>
      </c>
      <c r="H1043" s="9">
        <f>Matchs!D1044</f>
        <v>0</v>
      </c>
      <c r="I1043" t="str">
        <f t="shared" si="308"/>
        <v>"),MatchYear=</v>
      </c>
      <c r="J1043">
        <f>Matchs!E1044</f>
        <v>0</v>
      </c>
      <c r="K1043" t="str">
        <f t="shared" si="309"/>
        <v>, SeasonId= "</v>
      </c>
      <c r="L1043">
        <f>Matchs!F1044</f>
        <v>0</v>
      </c>
      <c r="M1043" t="str">
        <f t="shared" si="310"/>
        <v>",Round= "</v>
      </c>
      <c r="N1043">
        <f>Matchs!G1044</f>
        <v>0</v>
      </c>
      <c r="O1043" s="6" t="str">
        <f t="shared" si="311"/>
        <v>",Stage= "</v>
      </c>
      <c r="P1043">
        <f>Matchs!H1044</f>
        <v>0</v>
      </c>
      <c r="Q1043" s="6" t="str">
        <f t="shared" si="312"/>
        <v>",SubStage= "</v>
      </c>
      <c r="R1043">
        <f>Matchs!I1044</f>
        <v>0</v>
      </c>
      <c r="S1043" s="6" t="str">
        <f t="shared" si="313"/>
        <v>",HTeam= "</v>
      </c>
      <c r="T1043">
        <f>Matchs!J1044</f>
        <v>0</v>
      </c>
      <c r="U1043" s="6" t="str">
        <f t="shared" si="314"/>
        <v>",HGoal=</v>
      </c>
      <c r="V1043">
        <f>Matchs!K1044</f>
        <v>0</v>
      </c>
      <c r="W1043" s="6" t="str">
        <f t="shared" si="315"/>
        <v>,GGoal=</v>
      </c>
      <c r="X1043">
        <f>Matchs!L1044</f>
        <v>0</v>
      </c>
      <c r="Y1043" s="6" t="str">
        <f t="shared" si="316"/>
        <v>,GTeam= "</v>
      </c>
      <c r="Z1043">
        <f>Matchs!M1044</f>
        <v>0</v>
      </c>
      <c r="AA1043" s="6" t="str">
        <f t="shared" si="317"/>
        <v>",WinNote="</v>
      </c>
      <c r="AB1043" t="str">
        <f>IF(Matchs!N1044="","",Matchs!N1044)</f>
        <v/>
      </c>
      <c r="AC1043" s="6" t="str">
        <f t="shared" si="318"/>
        <v xml:space="preserve">",Stadium=" </v>
      </c>
      <c r="AD1043" s="11">
        <f>Matchs!O1044</f>
        <v>0</v>
      </c>
      <c r="AE1043" s="6" t="str">
        <f t="shared" si="319"/>
        <v>",Referee= "</v>
      </c>
      <c r="AF1043" s="11">
        <f>Matchs!P1044</f>
        <v>0</v>
      </c>
      <c r="AG1043" s="6" t="str">
        <f t="shared" si="320"/>
        <v xml:space="preserve">",Visistors= </v>
      </c>
      <c r="AH1043" s="11">
        <f>Matchs!Q1044</f>
        <v>0</v>
      </c>
      <c r="AI1043" s="11" t="str">
        <f t="shared" si="321"/>
        <v>,Status= "</v>
      </c>
      <c r="AJ1043" s="11">
        <f>Matchs!R1044</f>
        <v>0</v>
      </c>
      <c r="AK1043" t="str">
        <f t="shared" si="322"/>
        <v>" },</v>
      </c>
    </row>
    <row r="1044" spans="1:37" x14ac:dyDescent="0.25">
      <c r="A1044" t="str">
        <f t="shared" si="304"/>
        <v>new Match { MatchId= "</v>
      </c>
      <c r="B1044">
        <f>Matchs!A1045</f>
        <v>0</v>
      </c>
      <c r="C1044" t="str">
        <f t="shared" si="305"/>
        <v>",MatchNumer=</v>
      </c>
      <c r="D1044">
        <f>Matchs!B1045</f>
        <v>0</v>
      </c>
      <c r="E1044" t="str">
        <f t="shared" si="306"/>
        <v>,DateMatch=DateTime.Parse("</v>
      </c>
      <c r="F1044" s="3">
        <f>Matchs!C1045</f>
        <v>0</v>
      </c>
      <c r="G1044" s="10" t="str">
        <f t="shared" si="307"/>
        <v>"),TimeMatch=TimeSpan.Parse("</v>
      </c>
      <c r="H1044" s="9">
        <f>Matchs!D1045</f>
        <v>0</v>
      </c>
      <c r="I1044" t="str">
        <f t="shared" si="308"/>
        <v>"),MatchYear=</v>
      </c>
      <c r="J1044">
        <f>Matchs!E1045</f>
        <v>0</v>
      </c>
      <c r="K1044" t="str">
        <f t="shared" si="309"/>
        <v>, SeasonId= "</v>
      </c>
      <c r="L1044">
        <f>Matchs!F1045</f>
        <v>0</v>
      </c>
      <c r="M1044" t="str">
        <f t="shared" si="310"/>
        <v>",Round= "</v>
      </c>
      <c r="N1044">
        <f>Matchs!G1045</f>
        <v>0</v>
      </c>
      <c r="O1044" s="6" t="str">
        <f t="shared" si="311"/>
        <v>",Stage= "</v>
      </c>
      <c r="P1044">
        <f>Matchs!H1045</f>
        <v>0</v>
      </c>
      <c r="Q1044" s="6" t="str">
        <f t="shared" si="312"/>
        <v>",SubStage= "</v>
      </c>
      <c r="R1044">
        <f>Matchs!I1045</f>
        <v>0</v>
      </c>
      <c r="S1044" s="6" t="str">
        <f t="shared" si="313"/>
        <v>",HTeam= "</v>
      </c>
      <c r="T1044">
        <f>Matchs!J1045</f>
        <v>0</v>
      </c>
      <c r="U1044" s="6" t="str">
        <f t="shared" si="314"/>
        <v>",HGoal=</v>
      </c>
      <c r="V1044">
        <f>Matchs!K1045</f>
        <v>0</v>
      </c>
      <c r="W1044" s="6" t="str">
        <f t="shared" si="315"/>
        <v>,GGoal=</v>
      </c>
      <c r="X1044">
        <f>Matchs!L1045</f>
        <v>0</v>
      </c>
      <c r="Y1044" s="6" t="str">
        <f t="shared" si="316"/>
        <v>,GTeam= "</v>
      </c>
      <c r="Z1044">
        <f>Matchs!M1045</f>
        <v>0</v>
      </c>
      <c r="AA1044" s="6" t="str">
        <f t="shared" si="317"/>
        <v>",WinNote="</v>
      </c>
      <c r="AB1044" t="str">
        <f>IF(Matchs!N1045="","",Matchs!N1045)</f>
        <v/>
      </c>
      <c r="AC1044" s="6" t="str">
        <f t="shared" si="318"/>
        <v xml:space="preserve">",Stadium=" </v>
      </c>
      <c r="AD1044" s="11">
        <f>Matchs!O1045</f>
        <v>0</v>
      </c>
      <c r="AE1044" s="6" t="str">
        <f t="shared" si="319"/>
        <v>",Referee= "</v>
      </c>
      <c r="AF1044" s="11">
        <f>Matchs!P1045</f>
        <v>0</v>
      </c>
      <c r="AG1044" s="6" t="str">
        <f t="shared" si="320"/>
        <v xml:space="preserve">",Visistors= </v>
      </c>
      <c r="AH1044" s="11">
        <f>Matchs!Q1045</f>
        <v>0</v>
      </c>
      <c r="AI1044" s="11" t="str">
        <f t="shared" si="321"/>
        <v>,Status= "</v>
      </c>
      <c r="AJ1044" s="11">
        <f>Matchs!R1045</f>
        <v>0</v>
      </c>
      <c r="AK1044" t="str">
        <f t="shared" si="322"/>
        <v>" },</v>
      </c>
    </row>
    <row r="1045" spans="1:37" x14ac:dyDescent="0.25">
      <c r="A1045" t="str">
        <f t="shared" si="304"/>
        <v>new Match { MatchId= "</v>
      </c>
      <c r="B1045">
        <f>Matchs!A1046</f>
        <v>0</v>
      </c>
      <c r="C1045" t="str">
        <f t="shared" si="305"/>
        <v>",MatchNumer=</v>
      </c>
      <c r="D1045">
        <f>Matchs!B1046</f>
        <v>0</v>
      </c>
      <c r="E1045" t="str">
        <f t="shared" si="306"/>
        <v>,DateMatch=DateTime.Parse("</v>
      </c>
      <c r="F1045" s="3">
        <f>Matchs!C1046</f>
        <v>0</v>
      </c>
      <c r="G1045" s="10" t="str">
        <f t="shared" si="307"/>
        <v>"),TimeMatch=TimeSpan.Parse("</v>
      </c>
      <c r="H1045" s="9">
        <f>Matchs!D1046</f>
        <v>0</v>
      </c>
      <c r="I1045" t="str">
        <f t="shared" si="308"/>
        <v>"),MatchYear=</v>
      </c>
      <c r="J1045">
        <f>Matchs!E1046</f>
        <v>0</v>
      </c>
      <c r="K1045" t="str">
        <f t="shared" si="309"/>
        <v>, SeasonId= "</v>
      </c>
      <c r="L1045">
        <f>Matchs!F1046</f>
        <v>0</v>
      </c>
      <c r="M1045" t="str">
        <f t="shared" si="310"/>
        <v>",Round= "</v>
      </c>
      <c r="N1045">
        <f>Matchs!G1046</f>
        <v>0</v>
      </c>
      <c r="O1045" s="6" t="str">
        <f t="shared" si="311"/>
        <v>",Stage= "</v>
      </c>
      <c r="P1045">
        <f>Matchs!H1046</f>
        <v>0</v>
      </c>
      <c r="Q1045" s="6" t="str">
        <f t="shared" si="312"/>
        <v>",SubStage= "</v>
      </c>
      <c r="R1045">
        <f>Matchs!I1046</f>
        <v>0</v>
      </c>
      <c r="S1045" s="6" t="str">
        <f t="shared" si="313"/>
        <v>",HTeam= "</v>
      </c>
      <c r="T1045">
        <f>Matchs!J1046</f>
        <v>0</v>
      </c>
      <c r="U1045" s="6" t="str">
        <f t="shared" si="314"/>
        <v>",HGoal=</v>
      </c>
      <c r="V1045">
        <f>Matchs!K1046</f>
        <v>0</v>
      </c>
      <c r="W1045" s="6" t="str">
        <f t="shared" si="315"/>
        <v>,GGoal=</v>
      </c>
      <c r="X1045">
        <f>Matchs!L1046</f>
        <v>0</v>
      </c>
      <c r="Y1045" s="6" t="str">
        <f t="shared" si="316"/>
        <v>,GTeam= "</v>
      </c>
      <c r="Z1045">
        <f>Matchs!M1046</f>
        <v>0</v>
      </c>
      <c r="AA1045" s="6" t="str">
        <f t="shared" si="317"/>
        <v>",WinNote="</v>
      </c>
      <c r="AB1045" t="str">
        <f>IF(Matchs!N1046="","",Matchs!N1046)</f>
        <v/>
      </c>
      <c r="AC1045" s="6" t="str">
        <f t="shared" si="318"/>
        <v xml:space="preserve">",Stadium=" </v>
      </c>
      <c r="AD1045" s="11">
        <f>Matchs!O1046</f>
        <v>0</v>
      </c>
      <c r="AE1045" s="6" t="str">
        <f t="shared" si="319"/>
        <v>",Referee= "</v>
      </c>
      <c r="AF1045" s="11">
        <f>Matchs!P1046</f>
        <v>0</v>
      </c>
      <c r="AG1045" s="6" t="str">
        <f t="shared" si="320"/>
        <v xml:space="preserve">",Visistors= </v>
      </c>
      <c r="AH1045" s="11">
        <f>Matchs!Q1046</f>
        <v>0</v>
      </c>
      <c r="AI1045" s="11" t="str">
        <f t="shared" si="321"/>
        <v>,Status= "</v>
      </c>
      <c r="AJ1045" s="11">
        <f>Matchs!R1046</f>
        <v>0</v>
      </c>
      <c r="AK1045" t="str">
        <f t="shared" si="322"/>
        <v>" },</v>
      </c>
    </row>
    <row r="1046" spans="1:37" x14ac:dyDescent="0.25">
      <c r="A1046" t="str">
        <f t="shared" si="304"/>
        <v>new Match { MatchId= "</v>
      </c>
      <c r="B1046">
        <f>Matchs!A1047</f>
        <v>0</v>
      </c>
      <c r="C1046" t="str">
        <f t="shared" si="305"/>
        <v>",MatchNumer=</v>
      </c>
      <c r="D1046">
        <f>Matchs!B1047</f>
        <v>0</v>
      </c>
      <c r="E1046" t="str">
        <f t="shared" si="306"/>
        <v>,DateMatch=DateTime.Parse("</v>
      </c>
      <c r="F1046" s="3">
        <f>Matchs!C1047</f>
        <v>0</v>
      </c>
      <c r="G1046" s="10" t="str">
        <f t="shared" si="307"/>
        <v>"),TimeMatch=TimeSpan.Parse("</v>
      </c>
      <c r="H1046" s="9">
        <f>Matchs!D1047</f>
        <v>0</v>
      </c>
      <c r="I1046" t="str">
        <f t="shared" si="308"/>
        <v>"),MatchYear=</v>
      </c>
      <c r="J1046">
        <f>Matchs!E1047</f>
        <v>0</v>
      </c>
      <c r="K1046" t="str">
        <f t="shared" si="309"/>
        <v>, SeasonId= "</v>
      </c>
      <c r="L1046">
        <f>Matchs!F1047</f>
        <v>0</v>
      </c>
      <c r="M1046" t="str">
        <f t="shared" si="310"/>
        <v>",Round= "</v>
      </c>
      <c r="N1046">
        <f>Matchs!G1047</f>
        <v>0</v>
      </c>
      <c r="O1046" s="6" t="str">
        <f t="shared" si="311"/>
        <v>",Stage= "</v>
      </c>
      <c r="P1046">
        <f>Matchs!H1047</f>
        <v>0</v>
      </c>
      <c r="Q1046" s="6" t="str">
        <f t="shared" si="312"/>
        <v>",SubStage= "</v>
      </c>
      <c r="R1046">
        <f>Matchs!I1047</f>
        <v>0</v>
      </c>
      <c r="S1046" s="6" t="str">
        <f t="shared" si="313"/>
        <v>",HTeam= "</v>
      </c>
      <c r="T1046">
        <f>Matchs!J1047</f>
        <v>0</v>
      </c>
      <c r="U1046" s="6" t="str">
        <f t="shared" si="314"/>
        <v>",HGoal=</v>
      </c>
      <c r="V1046">
        <f>Matchs!K1047</f>
        <v>0</v>
      </c>
      <c r="W1046" s="6" t="str">
        <f t="shared" si="315"/>
        <v>,GGoal=</v>
      </c>
      <c r="X1046">
        <f>Matchs!L1047</f>
        <v>0</v>
      </c>
      <c r="Y1046" s="6" t="str">
        <f t="shared" si="316"/>
        <v>,GTeam= "</v>
      </c>
      <c r="Z1046">
        <f>Matchs!M1047</f>
        <v>0</v>
      </c>
      <c r="AA1046" s="6" t="str">
        <f t="shared" si="317"/>
        <v>",WinNote="</v>
      </c>
      <c r="AB1046" t="str">
        <f>IF(Matchs!N1047="","",Matchs!N1047)</f>
        <v/>
      </c>
      <c r="AC1046" s="6" t="str">
        <f t="shared" si="318"/>
        <v xml:space="preserve">",Stadium=" </v>
      </c>
      <c r="AD1046" s="11">
        <f>Matchs!O1047</f>
        <v>0</v>
      </c>
      <c r="AE1046" s="6" t="str">
        <f t="shared" si="319"/>
        <v>",Referee= "</v>
      </c>
      <c r="AF1046" s="11">
        <f>Matchs!P1047</f>
        <v>0</v>
      </c>
      <c r="AG1046" s="6" t="str">
        <f t="shared" si="320"/>
        <v xml:space="preserve">",Visistors= </v>
      </c>
      <c r="AH1046" s="11">
        <f>Matchs!Q1047</f>
        <v>0</v>
      </c>
      <c r="AI1046" s="11" t="str">
        <f t="shared" si="321"/>
        <v>,Status= "</v>
      </c>
      <c r="AJ1046" s="11">
        <f>Matchs!R1047</f>
        <v>0</v>
      </c>
      <c r="AK1046" t="str">
        <f t="shared" si="322"/>
        <v>" },</v>
      </c>
    </row>
    <row r="1047" spans="1:37" x14ac:dyDescent="0.25">
      <c r="A1047" t="str">
        <f t="shared" si="304"/>
        <v>new Match { MatchId= "</v>
      </c>
      <c r="B1047">
        <f>Matchs!A1048</f>
        <v>0</v>
      </c>
      <c r="C1047" t="str">
        <f t="shared" si="305"/>
        <v>",MatchNumer=</v>
      </c>
      <c r="D1047">
        <f>Matchs!B1048</f>
        <v>0</v>
      </c>
      <c r="E1047" t="str">
        <f t="shared" si="306"/>
        <v>,DateMatch=DateTime.Parse("</v>
      </c>
      <c r="F1047" s="3">
        <f>Matchs!C1048</f>
        <v>0</v>
      </c>
      <c r="G1047" s="10" t="str">
        <f t="shared" si="307"/>
        <v>"),TimeMatch=TimeSpan.Parse("</v>
      </c>
      <c r="H1047" s="9">
        <f>Matchs!D1048</f>
        <v>0</v>
      </c>
      <c r="I1047" t="str">
        <f t="shared" si="308"/>
        <v>"),MatchYear=</v>
      </c>
      <c r="J1047">
        <f>Matchs!E1048</f>
        <v>0</v>
      </c>
      <c r="K1047" t="str">
        <f t="shared" si="309"/>
        <v>, SeasonId= "</v>
      </c>
      <c r="L1047">
        <f>Matchs!F1048</f>
        <v>0</v>
      </c>
      <c r="M1047" t="str">
        <f t="shared" si="310"/>
        <v>",Round= "</v>
      </c>
      <c r="N1047">
        <f>Matchs!G1048</f>
        <v>0</v>
      </c>
      <c r="O1047" s="6" t="str">
        <f t="shared" si="311"/>
        <v>",Stage= "</v>
      </c>
      <c r="P1047">
        <f>Matchs!H1048</f>
        <v>0</v>
      </c>
      <c r="Q1047" s="6" t="str">
        <f t="shared" si="312"/>
        <v>",SubStage= "</v>
      </c>
      <c r="R1047">
        <f>Matchs!I1048</f>
        <v>0</v>
      </c>
      <c r="S1047" s="6" t="str">
        <f t="shared" si="313"/>
        <v>",HTeam= "</v>
      </c>
      <c r="T1047">
        <f>Matchs!J1048</f>
        <v>0</v>
      </c>
      <c r="U1047" s="6" t="str">
        <f t="shared" si="314"/>
        <v>",HGoal=</v>
      </c>
      <c r="V1047">
        <f>Matchs!K1048</f>
        <v>0</v>
      </c>
      <c r="W1047" s="6" t="str">
        <f t="shared" si="315"/>
        <v>,GGoal=</v>
      </c>
      <c r="X1047">
        <f>Matchs!L1048</f>
        <v>0</v>
      </c>
      <c r="Y1047" s="6" t="str">
        <f t="shared" si="316"/>
        <v>,GTeam= "</v>
      </c>
      <c r="Z1047">
        <f>Matchs!M1048</f>
        <v>0</v>
      </c>
      <c r="AA1047" s="6" t="str">
        <f t="shared" si="317"/>
        <v>",WinNote="</v>
      </c>
      <c r="AB1047" t="str">
        <f>IF(Matchs!N1048="","",Matchs!N1048)</f>
        <v/>
      </c>
      <c r="AC1047" s="6" t="str">
        <f t="shared" si="318"/>
        <v xml:space="preserve">",Stadium=" </v>
      </c>
      <c r="AD1047" s="11">
        <f>Matchs!O1048</f>
        <v>0</v>
      </c>
      <c r="AE1047" s="6" t="str">
        <f t="shared" si="319"/>
        <v>",Referee= "</v>
      </c>
      <c r="AF1047" s="11">
        <f>Matchs!P1048</f>
        <v>0</v>
      </c>
      <c r="AG1047" s="6" t="str">
        <f t="shared" si="320"/>
        <v xml:space="preserve">",Visistors= </v>
      </c>
      <c r="AH1047" s="11">
        <f>Matchs!Q1048</f>
        <v>0</v>
      </c>
      <c r="AI1047" s="11" t="str">
        <f t="shared" si="321"/>
        <v>,Status= "</v>
      </c>
      <c r="AJ1047" s="11">
        <f>Matchs!R1048</f>
        <v>0</v>
      </c>
      <c r="AK1047" t="str">
        <f t="shared" si="322"/>
        <v>" },</v>
      </c>
    </row>
    <row r="1048" spans="1:37" x14ac:dyDescent="0.25">
      <c r="A1048" t="str">
        <f t="shared" si="304"/>
        <v>new Match { MatchId= "</v>
      </c>
      <c r="B1048">
        <f>Matchs!A1049</f>
        <v>0</v>
      </c>
      <c r="C1048" t="str">
        <f t="shared" si="305"/>
        <v>",MatchNumer=</v>
      </c>
      <c r="D1048">
        <f>Matchs!B1049</f>
        <v>0</v>
      </c>
      <c r="E1048" t="str">
        <f t="shared" si="306"/>
        <v>,DateMatch=DateTime.Parse("</v>
      </c>
      <c r="F1048" s="3">
        <f>Matchs!C1049</f>
        <v>0</v>
      </c>
      <c r="G1048" s="10" t="str">
        <f t="shared" si="307"/>
        <v>"),TimeMatch=TimeSpan.Parse("</v>
      </c>
      <c r="H1048" s="9">
        <f>Matchs!D1049</f>
        <v>0</v>
      </c>
      <c r="I1048" t="str">
        <f t="shared" si="308"/>
        <v>"),MatchYear=</v>
      </c>
      <c r="J1048">
        <f>Matchs!E1049</f>
        <v>0</v>
      </c>
      <c r="K1048" t="str">
        <f t="shared" si="309"/>
        <v>, SeasonId= "</v>
      </c>
      <c r="L1048">
        <f>Matchs!F1049</f>
        <v>0</v>
      </c>
      <c r="M1048" t="str">
        <f t="shared" si="310"/>
        <v>",Round= "</v>
      </c>
      <c r="N1048">
        <f>Matchs!G1049</f>
        <v>0</v>
      </c>
      <c r="O1048" s="6" t="str">
        <f t="shared" si="311"/>
        <v>",Stage= "</v>
      </c>
      <c r="P1048">
        <f>Matchs!H1049</f>
        <v>0</v>
      </c>
      <c r="Q1048" s="6" t="str">
        <f t="shared" si="312"/>
        <v>",SubStage= "</v>
      </c>
      <c r="R1048">
        <f>Matchs!I1049</f>
        <v>0</v>
      </c>
      <c r="S1048" s="6" t="str">
        <f t="shared" si="313"/>
        <v>",HTeam= "</v>
      </c>
      <c r="T1048">
        <f>Matchs!J1049</f>
        <v>0</v>
      </c>
      <c r="U1048" s="6" t="str">
        <f t="shared" si="314"/>
        <v>",HGoal=</v>
      </c>
      <c r="V1048">
        <f>Matchs!K1049</f>
        <v>0</v>
      </c>
      <c r="W1048" s="6" t="str">
        <f t="shared" si="315"/>
        <v>,GGoal=</v>
      </c>
      <c r="X1048">
        <f>Matchs!L1049</f>
        <v>0</v>
      </c>
      <c r="Y1048" s="6" t="str">
        <f t="shared" si="316"/>
        <v>,GTeam= "</v>
      </c>
      <c r="Z1048">
        <f>Matchs!M1049</f>
        <v>0</v>
      </c>
      <c r="AA1048" s="6" t="str">
        <f t="shared" si="317"/>
        <v>",WinNote="</v>
      </c>
      <c r="AB1048" t="str">
        <f>IF(Matchs!N1049="","",Matchs!N1049)</f>
        <v/>
      </c>
      <c r="AC1048" s="6" t="str">
        <f t="shared" si="318"/>
        <v xml:space="preserve">",Stadium=" </v>
      </c>
      <c r="AD1048" s="11">
        <f>Matchs!O1049</f>
        <v>0</v>
      </c>
      <c r="AE1048" s="6" t="str">
        <f t="shared" si="319"/>
        <v>",Referee= "</v>
      </c>
      <c r="AF1048" s="11">
        <f>Matchs!P1049</f>
        <v>0</v>
      </c>
      <c r="AG1048" s="6" t="str">
        <f t="shared" si="320"/>
        <v xml:space="preserve">",Visistors= </v>
      </c>
      <c r="AH1048" s="11">
        <f>Matchs!Q1049</f>
        <v>0</v>
      </c>
      <c r="AI1048" s="11" t="str">
        <f t="shared" si="321"/>
        <v>,Status= "</v>
      </c>
      <c r="AJ1048" s="11">
        <f>Matchs!R1049</f>
        <v>0</v>
      </c>
      <c r="AK1048" t="str">
        <f t="shared" si="322"/>
        <v>" },</v>
      </c>
    </row>
    <row r="1049" spans="1:37" x14ac:dyDescent="0.25">
      <c r="A1049" t="str">
        <f t="shared" si="304"/>
        <v>new Match { MatchId= "</v>
      </c>
      <c r="B1049">
        <f>Matchs!A1050</f>
        <v>0</v>
      </c>
      <c r="C1049" t="str">
        <f t="shared" si="305"/>
        <v>",MatchNumer=</v>
      </c>
      <c r="D1049">
        <f>Matchs!B1050</f>
        <v>0</v>
      </c>
      <c r="E1049" t="str">
        <f t="shared" si="306"/>
        <v>,DateMatch=DateTime.Parse("</v>
      </c>
      <c r="F1049" s="3">
        <f>Matchs!C1050</f>
        <v>0</v>
      </c>
      <c r="G1049" s="10" t="str">
        <f t="shared" si="307"/>
        <v>"),TimeMatch=TimeSpan.Parse("</v>
      </c>
      <c r="H1049" s="9">
        <f>Matchs!D1050</f>
        <v>0</v>
      </c>
      <c r="I1049" t="str">
        <f t="shared" si="308"/>
        <v>"),MatchYear=</v>
      </c>
      <c r="J1049">
        <f>Matchs!E1050</f>
        <v>0</v>
      </c>
      <c r="K1049" t="str">
        <f t="shared" si="309"/>
        <v>, SeasonId= "</v>
      </c>
      <c r="L1049">
        <f>Matchs!F1050</f>
        <v>0</v>
      </c>
      <c r="M1049" t="str">
        <f t="shared" si="310"/>
        <v>",Round= "</v>
      </c>
      <c r="N1049">
        <f>Matchs!G1050</f>
        <v>0</v>
      </c>
      <c r="O1049" s="6" t="str">
        <f t="shared" si="311"/>
        <v>",Stage= "</v>
      </c>
      <c r="P1049">
        <f>Matchs!H1050</f>
        <v>0</v>
      </c>
      <c r="Q1049" s="6" t="str">
        <f t="shared" si="312"/>
        <v>",SubStage= "</v>
      </c>
      <c r="R1049">
        <f>Matchs!I1050</f>
        <v>0</v>
      </c>
      <c r="S1049" s="6" t="str">
        <f t="shared" si="313"/>
        <v>",HTeam= "</v>
      </c>
      <c r="T1049">
        <f>Matchs!J1050</f>
        <v>0</v>
      </c>
      <c r="U1049" s="6" t="str">
        <f t="shared" si="314"/>
        <v>",HGoal=</v>
      </c>
      <c r="V1049">
        <f>Matchs!K1050</f>
        <v>0</v>
      </c>
      <c r="W1049" s="6" t="str">
        <f t="shared" si="315"/>
        <v>,GGoal=</v>
      </c>
      <c r="X1049">
        <f>Matchs!L1050</f>
        <v>0</v>
      </c>
      <c r="Y1049" s="6" t="str">
        <f t="shared" si="316"/>
        <v>,GTeam= "</v>
      </c>
      <c r="Z1049">
        <f>Matchs!M1050</f>
        <v>0</v>
      </c>
      <c r="AA1049" s="6" t="str">
        <f t="shared" si="317"/>
        <v>",WinNote="</v>
      </c>
      <c r="AB1049" t="str">
        <f>IF(Matchs!N1050="","",Matchs!N1050)</f>
        <v/>
      </c>
      <c r="AC1049" s="6" t="str">
        <f t="shared" si="318"/>
        <v xml:space="preserve">",Stadium=" </v>
      </c>
      <c r="AD1049" s="11">
        <f>Matchs!O1050</f>
        <v>0</v>
      </c>
      <c r="AE1049" s="6" t="str">
        <f t="shared" si="319"/>
        <v>",Referee= "</v>
      </c>
      <c r="AF1049" s="11">
        <f>Matchs!P1050</f>
        <v>0</v>
      </c>
      <c r="AG1049" s="6" t="str">
        <f t="shared" si="320"/>
        <v xml:space="preserve">",Visistors= </v>
      </c>
      <c r="AH1049" s="11">
        <f>Matchs!Q1050</f>
        <v>0</v>
      </c>
      <c r="AI1049" s="11" t="str">
        <f t="shared" si="321"/>
        <v>,Status= "</v>
      </c>
      <c r="AJ1049" s="11">
        <f>Matchs!R1050</f>
        <v>0</v>
      </c>
      <c r="AK1049" t="str">
        <f t="shared" si="322"/>
        <v>" },</v>
      </c>
    </row>
    <row r="1050" spans="1:37" x14ac:dyDescent="0.25">
      <c r="A1050" t="str">
        <f t="shared" si="304"/>
        <v>new Match { MatchId= "</v>
      </c>
      <c r="B1050">
        <f>Matchs!A1051</f>
        <v>0</v>
      </c>
      <c r="C1050" t="str">
        <f t="shared" si="305"/>
        <v>",MatchNumer=</v>
      </c>
      <c r="D1050">
        <f>Matchs!B1051</f>
        <v>0</v>
      </c>
      <c r="E1050" t="str">
        <f t="shared" si="306"/>
        <v>,DateMatch=DateTime.Parse("</v>
      </c>
      <c r="F1050" s="3">
        <f>Matchs!C1051</f>
        <v>0</v>
      </c>
      <c r="G1050" s="10" t="str">
        <f t="shared" si="307"/>
        <v>"),TimeMatch=TimeSpan.Parse("</v>
      </c>
      <c r="I1050" t="str">
        <f t="shared" si="308"/>
        <v>"),MatchYear=</v>
      </c>
      <c r="J1050">
        <f>Matchs!E1051</f>
        <v>0</v>
      </c>
      <c r="K1050" t="str">
        <f t="shared" si="309"/>
        <v>, SeasonId= "</v>
      </c>
      <c r="L1050">
        <f>Matchs!F1051</f>
        <v>0</v>
      </c>
      <c r="M1050" t="str">
        <f t="shared" si="310"/>
        <v>",Round= "</v>
      </c>
      <c r="N1050">
        <f>Matchs!G1051</f>
        <v>0</v>
      </c>
      <c r="O1050" s="6" t="str">
        <f t="shared" si="311"/>
        <v>",Stage= "</v>
      </c>
      <c r="P1050">
        <f>Matchs!H1051</f>
        <v>0</v>
      </c>
      <c r="Q1050" s="6" t="str">
        <f t="shared" si="312"/>
        <v>",SubStage= "</v>
      </c>
      <c r="R1050">
        <f>Matchs!I1051</f>
        <v>0</v>
      </c>
      <c r="S1050" s="6" t="str">
        <f t="shared" si="313"/>
        <v>",HTeam= "</v>
      </c>
      <c r="T1050">
        <f>Matchs!J1051</f>
        <v>0</v>
      </c>
      <c r="U1050" s="6" t="str">
        <f t="shared" si="314"/>
        <v>",HGoal=</v>
      </c>
      <c r="V1050">
        <f>Matchs!K1051</f>
        <v>0</v>
      </c>
      <c r="W1050" s="6" t="str">
        <f t="shared" si="315"/>
        <v>,GGoal=</v>
      </c>
      <c r="X1050">
        <f>Matchs!L1051</f>
        <v>0</v>
      </c>
      <c r="Y1050" s="6" t="str">
        <f t="shared" si="316"/>
        <v>,GTeam= "</v>
      </c>
      <c r="Z1050">
        <f>Matchs!M1051</f>
        <v>0</v>
      </c>
      <c r="AA1050" s="6" t="str">
        <f t="shared" si="317"/>
        <v>",WinNote="</v>
      </c>
      <c r="AB1050" t="str">
        <f>IF(Matchs!N1051="","",Matchs!N1051)</f>
        <v/>
      </c>
      <c r="AC1050" s="6" t="str">
        <f t="shared" si="318"/>
        <v xml:space="preserve">",Stadium=" </v>
      </c>
      <c r="AD1050" s="11">
        <f>Matchs!O1051</f>
        <v>0</v>
      </c>
      <c r="AE1050" s="6" t="str">
        <f t="shared" si="319"/>
        <v>",Referee= "</v>
      </c>
      <c r="AF1050" s="11">
        <f>Matchs!P1051</f>
        <v>0</v>
      </c>
      <c r="AG1050" s="6" t="str">
        <f t="shared" si="320"/>
        <v xml:space="preserve">",Visistors= </v>
      </c>
      <c r="AH1050" s="11">
        <f>Matchs!Q1051</f>
        <v>0</v>
      </c>
      <c r="AI1050" s="11" t="str">
        <f t="shared" si="321"/>
        <v>,Status= "</v>
      </c>
      <c r="AJ1050" s="11">
        <f>Matchs!R1051</f>
        <v>0</v>
      </c>
      <c r="AK1050" t="str">
        <f t="shared" si="322"/>
        <v>" },</v>
      </c>
    </row>
    <row r="1051" spans="1:37" x14ac:dyDescent="0.25">
      <c r="A1051" t="str">
        <f t="shared" si="304"/>
        <v>new Match { MatchId= "</v>
      </c>
      <c r="B1051">
        <f>Matchs!A1052</f>
        <v>0</v>
      </c>
      <c r="C1051" t="str">
        <f t="shared" si="305"/>
        <v>",MatchNumer=</v>
      </c>
      <c r="D1051">
        <f>Matchs!B1052</f>
        <v>0</v>
      </c>
      <c r="E1051" t="str">
        <f t="shared" si="306"/>
        <v>,DateMatch=DateTime.Parse("</v>
      </c>
      <c r="F1051" s="3">
        <f>Matchs!C1052</f>
        <v>0</v>
      </c>
      <c r="G1051" s="10" t="str">
        <f t="shared" si="307"/>
        <v>"),TimeMatch=TimeSpan.Parse("</v>
      </c>
      <c r="I1051" t="str">
        <f t="shared" si="308"/>
        <v>"),MatchYear=</v>
      </c>
      <c r="J1051">
        <f>Matchs!E1052</f>
        <v>0</v>
      </c>
      <c r="K1051" t="str">
        <f t="shared" si="309"/>
        <v>, SeasonId= "</v>
      </c>
      <c r="L1051">
        <f>Matchs!F1052</f>
        <v>0</v>
      </c>
      <c r="M1051" t="str">
        <f t="shared" si="310"/>
        <v>",Round= "</v>
      </c>
      <c r="N1051">
        <f>Matchs!G1052</f>
        <v>0</v>
      </c>
      <c r="O1051" s="6" t="str">
        <f t="shared" si="311"/>
        <v>",Stage= "</v>
      </c>
      <c r="P1051">
        <f>Matchs!H1052</f>
        <v>0</v>
      </c>
      <c r="Q1051" s="6" t="str">
        <f t="shared" si="312"/>
        <v>",SubStage= "</v>
      </c>
      <c r="R1051">
        <f>Matchs!I1052</f>
        <v>0</v>
      </c>
      <c r="S1051" s="6" t="str">
        <f t="shared" si="313"/>
        <v>",HTeam= "</v>
      </c>
      <c r="T1051">
        <f>Matchs!J1052</f>
        <v>0</v>
      </c>
      <c r="U1051" s="6" t="str">
        <f t="shared" si="314"/>
        <v>",HGoal=</v>
      </c>
      <c r="V1051">
        <f>Matchs!K1052</f>
        <v>0</v>
      </c>
      <c r="W1051" s="6" t="str">
        <f t="shared" si="315"/>
        <v>,GGoal=</v>
      </c>
      <c r="X1051">
        <f>Matchs!L1052</f>
        <v>0</v>
      </c>
      <c r="Y1051" s="6" t="str">
        <f t="shared" si="316"/>
        <v>,GTeam= "</v>
      </c>
      <c r="Z1051">
        <f>Matchs!M1052</f>
        <v>0</v>
      </c>
      <c r="AA1051" s="6" t="str">
        <f t="shared" si="317"/>
        <v>",WinNote="</v>
      </c>
      <c r="AB1051" t="str">
        <f>IF(Matchs!N1052="","",Matchs!N1052)</f>
        <v/>
      </c>
      <c r="AC1051" s="6" t="str">
        <f t="shared" si="318"/>
        <v xml:space="preserve">",Stadium=" </v>
      </c>
      <c r="AD1051" s="11">
        <f>Matchs!O1052</f>
        <v>0</v>
      </c>
      <c r="AE1051" s="6" t="str">
        <f t="shared" si="319"/>
        <v>",Referee= "</v>
      </c>
      <c r="AF1051" s="11">
        <f>Matchs!P1052</f>
        <v>0</v>
      </c>
      <c r="AG1051" s="6" t="str">
        <f t="shared" si="320"/>
        <v xml:space="preserve">",Visistors= </v>
      </c>
      <c r="AH1051" s="11">
        <f>Matchs!Q1052</f>
        <v>0</v>
      </c>
      <c r="AI1051" s="11" t="str">
        <f t="shared" si="321"/>
        <v>,Status= "</v>
      </c>
      <c r="AJ1051" s="11">
        <f>Matchs!R1052</f>
        <v>0</v>
      </c>
      <c r="AK1051" t="str">
        <f t="shared" si="322"/>
        <v>" },</v>
      </c>
    </row>
    <row r="1052" spans="1:37" x14ac:dyDescent="0.25">
      <c r="A1052" t="str">
        <f t="shared" si="304"/>
        <v>new Match { MatchId= "</v>
      </c>
      <c r="B1052">
        <f>Matchs!A1053</f>
        <v>0</v>
      </c>
      <c r="C1052" t="str">
        <f t="shared" si="305"/>
        <v>",MatchNumer=</v>
      </c>
      <c r="D1052">
        <f>Matchs!B1053</f>
        <v>0</v>
      </c>
      <c r="E1052" t="str">
        <f t="shared" si="306"/>
        <v>,DateMatch=DateTime.Parse("</v>
      </c>
      <c r="F1052" s="3">
        <f>Matchs!C1053</f>
        <v>0</v>
      </c>
      <c r="G1052" s="10" t="str">
        <f t="shared" si="307"/>
        <v>"),TimeMatch=TimeSpan.Parse("</v>
      </c>
      <c r="I1052" t="str">
        <f t="shared" si="308"/>
        <v>"),MatchYear=</v>
      </c>
      <c r="J1052">
        <f>Matchs!E1053</f>
        <v>0</v>
      </c>
      <c r="K1052" t="str">
        <f t="shared" si="309"/>
        <v>, SeasonId= "</v>
      </c>
      <c r="L1052">
        <f>Matchs!F1053</f>
        <v>0</v>
      </c>
      <c r="M1052" t="str">
        <f t="shared" si="310"/>
        <v>",Round= "</v>
      </c>
      <c r="N1052">
        <f>Matchs!G1053</f>
        <v>0</v>
      </c>
      <c r="O1052" s="6" t="str">
        <f t="shared" si="311"/>
        <v>",Stage= "</v>
      </c>
      <c r="P1052">
        <f>Matchs!H1053</f>
        <v>0</v>
      </c>
      <c r="Q1052" s="6" t="str">
        <f t="shared" si="312"/>
        <v>",SubStage= "</v>
      </c>
      <c r="R1052">
        <f>Matchs!I1053</f>
        <v>0</v>
      </c>
      <c r="S1052" s="6" t="str">
        <f t="shared" si="313"/>
        <v>",HTeam= "</v>
      </c>
      <c r="T1052">
        <f>Matchs!J1053</f>
        <v>0</v>
      </c>
      <c r="U1052" s="6" t="str">
        <f t="shared" si="314"/>
        <v>",HGoal=</v>
      </c>
      <c r="V1052">
        <f>Matchs!K1053</f>
        <v>0</v>
      </c>
      <c r="W1052" s="6" t="str">
        <f t="shared" si="315"/>
        <v>,GGoal=</v>
      </c>
      <c r="X1052">
        <f>Matchs!L1053</f>
        <v>0</v>
      </c>
      <c r="Y1052" s="6" t="str">
        <f t="shared" si="316"/>
        <v>,GTeam= "</v>
      </c>
      <c r="Z1052">
        <f>Matchs!M1053</f>
        <v>0</v>
      </c>
      <c r="AA1052" s="6" t="str">
        <f t="shared" si="317"/>
        <v>",WinNote="</v>
      </c>
      <c r="AB1052" t="str">
        <f>IF(Matchs!N1053="","",Matchs!N1053)</f>
        <v/>
      </c>
      <c r="AC1052" s="6" t="str">
        <f t="shared" si="318"/>
        <v xml:space="preserve">",Stadium=" </v>
      </c>
      <c r="AD1052" s="11">
        <f>Matchs!O1053</f>
        <v>0</v>
      </c>
      <c r="AE1052" s="6" t="str">
        <f t="shared" si="319"/>
        <v>",Referee= "</v>
      </c>
      <c r="AF1052" s="11">
        <f>Matchs!P1053</f>
        <v>0</v>
      </c>
      <c r="AG1052" s="6" t="str">
        <f t="shared" si="320"/>
        <v xml:space="preserve">",Visistors= </v>
      </c>
      <c r="AH1052" s="11">
        <f>Matchs!Q1053</f>
        <v>0</v>
      </c>
      <c r="AI1052" s="11" t="str">
        <f t="shared" si="321"/>
        <v>,Status= "</v>
      </c>
      <c r="AJ1052" s="11">
        <f>Matchs!R1053</f>
        <v>0</v>
      </c>
      <c r="AK1052" t="str">
        <f t="shared" si="322"/>
        <v>" },</v>
      </c>
    </row>
    <row r="1053" spans="1:37" s="6" customFormat="1" x14ac:dyDescent="0.25">
      <c r="B1053" s="6">
        <f>Matchs!A1054</f>
        <v>0</v>
      </c>
      <c r="C1053" s="6" t="str">
        <f t="shared" si="305"/>
        <v>",MatchNumer=</v>
      </c>
      <c r="D1053" s="6">
        <f>Matchs!B1054</f>
        <v>0</v>
      </c>
      <c r="E1053" s="6" t="str">
        <f t="shared" si="306"/>
        <v>,DateMatch=DateTime.Parse("</v>
      </c>
      <c r="F1053" s="10">
        <f>Matchs!C1054</f>
        <v>0</v>
      </c>
      <c r="G1053" s="10" t="str">
        <f t="shared" si="307"/>
        <v>"),TimeMatch=TimeSpan.Parse("</v>
      </c>
      <c r="H1053" s="12"/>
      <c r="I1053" s="6" t="str">
        <f t="shared" si="308"/>
        <v>"),MatchYear=</v>
      </c>
      <c r="J1053" s="6">
        <f>Matchs!E1054</f>
        <v>0</v>
      </c>
      <c r="K1053" s="6" t="str">
        <f t="shared" si="309"/>
        <v>, SeasonId= "</v>
      </c>
      <c r="L1053" s="6">
        <f>Matchs!F1054</f>
        <v>0</v>
      </c>
      <c r="M1053" s="6" t="str">
        <f t="shared" si="310"/>
        <v>",Round= "</v>
      </c>
      <c r="N1053" s="6">
        <f>Matchs!G1054</f>
        <v>0</v>
      </c>
      <c r="O1053" s="6" t="str">
        <f t="shared" si="311"/>
        <v>",Stage= "</v>
      </c>
      <c r="P1053" s="6">
        <f>Matchs!H1054</f>
        <v>0</v>
      </c>
      <c r="Q1053" s="6" t="str">
        <f t="shared" si="312"/>
        <v>",SubStage= "</v>
      </c>
      <c r="R1053" s="6">
        <f>Matchs!I1054</f>
        <v>0</v>
      </c>
      <c r="S1053" s="6" t="str">
        <f t="shared" si="313"/>
        <v>",HTeam= "</v>
      </c>
      <c r="T1053" s="6">
        <f>Matchs!J1054</f>
        <v>0</v>
      </c>
      <c r="U1053" s="6" t="str">
        <f t="shared" si="314"/>
        <v>",HGoal=</v>
      </c>
      <c r="V1053" s="6">
        <f>Matchs!K1054</f>
        <v>0</v>
      </c>
      <c r="W1053" s="6" t="str">
        <f t="shared" si="315"/>
        <v>,GGoal=</v>
      </c>
      <c r="X1053" s="6">
        <f>Matchs!L1054</f>
        <v>0</v>
      </c>
      <c r="Y1053" s="6" t="str">
        <f t="shared" si="316"/>
        <v>,GTeam= "</v>
      </c>
      <c r="Z1053" s="6">
        <f>Matchs!M1054</f>
        <v>0</v>
      </c>
      <c r="AA1053" s="6" t="str">
        <f t="shared" si="317"/>
        <v>",WinNote="</v>
      </c>
      <c r="AB1053" s="6" t="str">
        <f>IF(Matchs!N1054="","",Matchs!N1054)</f>
        <v/>
      </c>
      <c r="AC1053" s="6" t="str">
        <f t="shared" si="318"/>
        <v xml:space="preserve">",Stadium=" </v>
      </c>
      <c r="AD1053" s="6">
        <f>Matchs!O1054</f>
        <v>0</v>
      </c>
      <c r="AE1053" s="6" t="str">
        <f t="shared" si="319"/>
        <v>",Referee= "</v>
      </c>
      <c r="AF1053" s="6">
        <f>Matchs!P1054</f>
        <v>0</v>
      </c>
      <c r="AG1053" s="6" t="str">
        <f t="shared" si="320"/>
        <v xml:space="preserve">",Visistors= </v>
      </c>
      <c r="AH1053" s="6">
        <f>Matchs!Q1054</f>
        <v>0</v>
      </c>
      <c r="AI1053" s="6" t="str">
        <f t="shared" si="321"/>
        <v>,Status= "</v>
      </c>
      <c r="AJ1053" s="6">
        <f>Matchs!R1054</f>
        <v>0</v>
      </c>
      <c r="AK1053" s="6" t="str">
        <f t="shared" si="322"/>
        <v>" },</v>
      </c>
    </row>
    <row r="1054" spans="1:37" x14ac:dyDescent="0.25">
      <c r="B1054">
        <f>Matchs!A1055</f>
        <v>0</v>
      </c>
      <c r="C1054" t="str">
        <f t="shared" si="305"/>
        <v>",MatchNumer=</v>
      </c>
      <c r="D1054">
        <f>Matchs!B1055</f>
        <v>0</v>
      </c>
      <c r="E1054" t="str">
        <f t="shared" si="306"/>
        <v>,DateMatch=DateTime.Parse("</v>
      </c>
      <c r="F1054" s="3">
        <f>Matchs!C1055</f>
        <v>0</v>
      </c>
      <c r="G1054" s="10" t="str">
        <f t="shared" si="307"/>
        <v>"),TimeMatch=TimeSpan.Parse("</v>
      </c>
      <c r="I1054" t="str">
        <f t="shared" si="308"/>
        <v>"),MatchYear=</v>
      </c>
      <c r="J1054">
        <f>Matchs!E1055</f>
        <v>0</v>
      </c>
      <c r="K1054" t="str">
        <f t="shared" si="309"/>
        <v>, SeasonId= "</v>
      </c>
      <c r="L1054">
        <f>Matchs!F1055</f>
        <v>0</v>
      </c>
      <c r="M1054" t="str">
        <f t="shared" si="310"/>
        <v>",Round= "</v>
      </c>
      <c r="N1054">
        <f>Matchs!G1055</f>
        <v>0</v>
      </c>
      <c r="O1054" s="6" t="str">
        <f t="shared" si="311"/>
        <v>",Stage= "</v>
      </c>
      <c r="P1054">
        <f>Matchs!H1055</f>
        <v>0</v>
      </c>
      <c r="Q1054" s="6" t="str">
        <f t="shared" si="312"/>
        <v>",SubStage= "</v>
      </c>
      <c r="R1054">
        <f>Matchs!I1055</f>
        <v>0</v>
      </c>
      <c r="S1054" s="6" t="str">
        <f t="shared" si="313"/>
        <v>",HTeam= "</v>
      </c>
      <c r="T1054">
        <f>Matchs!J1055</f>
        <v>0</v>
      </c>
      <c r="U1054" s="6" t="str">
        <f t="shared" si="314"/>
        <v>",HGoal=</v>
      </c>
      <c r="V1054">
        <f>Matchs!K1055</f>
        <v>0</v>
      </c>
      <c r="W1054" s="6" t="str">
        <f t="shared" si="315"/>
        <v>,GGoal=</v>
      </c>
      <c r="X1054">
        <f>Matchs!L1055</f>
        <v>0</v>
      </c>
      <c r="Y1054" s="6" t="str">
        <f t="shared" si="316"/>
        <v>,GTeam= "</v>
      </c>
      <c r="Z1054">
        <f>Matchs!M1055</f>
        <v>0</v>
      </c>
      <c r="AA1054" s="6" t="str">
        <f t="shared" si="317"/>
        <v>",WinNote="</v>
      </c>
      <c r="AB1054" t="str">
        <f>IF(Matchs!N1055="","",Matchs!N1055)</f>
        <v/>
      </c>
      <c r="AC1054" s="6" t="str">
        <f t="shared" si="318"/>
        <v xml:space="preserve">",Stadium=" </v>
      </c>
      <c r="AD1054" s="11">
        <f>Matchs!O1055</f>
        <v>0</v>
      </c>
      <c r="AE1054" s="6" t="str">
        <f t="shared" si="319"/>
        <v>",Referee= "</v>
      </c>
      <c r="AF1054" s="11">
        <f>Matchs!P1055</f>
        <v>0</v>
      </c>
      <c r="AG1054" s="6" t="str">
        <f t="shared" si="320"/>
        <v xml:space="preserve">",Visistors= </v>
      </c>
      <c r="AH1054" s="11">
        <f>Matchs!Q1055</f>
        <v>0</v>
      </c>
      <c r="AI1054" s="11" t="str">
        <f t="shared" si="321"/>
        <v>,Status= "</v>
      </c>
      <c r="AJ1054" s="11">
        <f>Matchs!R1055</f>
        <v>0</v>
      </c>
      <c r="AK1054" t="str">
        <f t="shared" si="322"/>
        <v>" },</v>
      </c>
    </row>
    <row r="1055" spans="1:37" x14ac:dyDescent="0.25">
      <c r="B1055">
        <f>Matchs!A1056</f>
        <v>0</v>
      </c>
      <c r="C1055" t="str">
        <f t="shared" si="305"/>
        <v>",MatchNumer=</v>
      </c>
      <c r="D1055">
        <f>Matchs!B1056</f>
        <v>0</v>
      </c>
      <c r="E1055" t="str">
        <f t="shared" si="306"/>
        <v>,DateMatch=DateTime.Parse("</v>
      </c>
      <c r="F1055" s="3">
        <f>Matchs!C1056</f>
        <v>0</v>
      </c>
      <c r="G1055" s="10" t="str">
        <f t="shared" si="307"/>
        <v>"),TimeMatch=TimeSpan.Parse("</v>
      </c>
      <c r="I1055" t="str">
        <f t="shared" si="308"/>
        <v>"),MatchYear=</v>
      </c>
      <c r="J1055">
        <f>Matchs!E1056</f>
        <v>0</v>
      </c>
      <c r="K1055" t="str">
        <f t="shared" si="309"/>
        <v>, SeasonId= "</v>
      </c>
      <c r="L1055">
        <f>Matchs!F1056</f>
        <v>0</v>
      </c>
      <c r="M1055" t="str">
        <f t="shared" si="310"/>
        <v>",Round= "</v>
      </c>
      <c r="N1055">
        <f>Matchs!G1056</f>
        <v>0</v>
      </c>
      <c r="O1055" s="6" t="str">
        <f t="shared" si="311"/>
        <v>",Stage= "</v>
      </c>
      <c r="P1055">
        <f>Matchs!H1056</f>
        <v>0</v>
      </c>
      <c r="Q1055" s="6" t="str">
        <f t="shared" si="312"/>
        <v>",SubStage= "</v>
      </c>
      <c r="R1055">
        <f>Matchs!I1056</f>
        <v>0</v>
      </c>
      <c r="S1055" s="6" t="str">
        <f t="shared" si="313"/>
        <v>",HTeam= "</v>
      </c>
      <c r="T1055">
        <f>Matchs!J1056</f>
        <v>0</v>
      </c>
      <c r="U1055" s="6" t="str">
        <f t="shared" si="314"/>
        <v>",HGoal=</v>
      </c>
      <c r="V1055">
        <f>Matchs!K1056</f>
        <v>0</v>
      </c>
      <c r="W1055" s="6" t="str">
        <f t="shared" si="315"/>
        <v>,GGoal=</v>
      </c>
      <c r="X1055">
        <f>Matchs!L1056</f>
        <v>0</v>
      </c>
      <c r="Y1055" s="6" t="str">
        <f t="shared" si="316"/>
        <v>,GTeam= "</v>
      </c>
      <c r="Z1055">
        <f>Matchs!M1056</f>
        <v>0</v>
      </c>
      <c r="AA1055" s="6" t="str">
        <f t="shared" si="317"/>
        <v>",WinNote="</v>
      </c>
      <c r="AB1055" t="str">
        <f>IF(Matchs!N1056="","",Matchs!N1056)</f>
        <v/>
      </c>
      <c r="AC1055" s="6" t="str">
        <f t="shared" si="318"/>
        <v xml:space="preserve">",Stadium=" </v>
      </c>
      <c r="AD1055" s="11">
        <f>Matchs!O1056</f>
        <v>0</v>
      </c>
      <c r="AE1055" s="6" t="str">
        <f t="shared" si="319"/>
        <v>",Referee= "</v>
      </c>
      <c r="AF1055" s="11">
        <f>Matchs!P1056</f>
        <v>0</v>
      </c>
      <c r="AG1055" s="6" t="str">
        <f t="shared" si="320"/>
        <v xml:space="preserve">",Visistors= </v>
      </c>
      <c r="AH1055" s="11">
        <f>Matchs!Q1056</f>
        <v>0</v>
      </c>
      <c r="AI1055" s="11" t="str">
        <f t="shared" si="321"/>
        <v>,Status= "</v>
      </c>
      <c r="AJ1055" s="11">
        <f>Matchs!R1056</f>
        <v>0</v>
      </c>
      <c r="AK1055" t="str">
        <f t="shared" si="322"/>
        <v>" },</v>
      </c>
    </row>
    <row r="1056" spans="1:37" x14ac:dyDescent="0.25">
      <c r="B1056">
        <f>Matchs!A1057</f>
        <v>0</v>
      </c>
      <c r="C1056" t="str">
        <f t="shared" si="305"/>
        <v>",MatchNumer=</v>
      </c>
      <c r="D1056">
        <f>Matchs!B1057</f>
        <v>0</v>
      </c>
      <c r="E1056" t="str">
        <f t="shared" si="306"/>
        <v>,DateMatch=DateTime.Parse("</v>
      </c>
      <c r="F1056" s="3">
        <f>Matchs!C1057</f>
        <v>0</v>
      </c>
      <c r="G1056" s="10" t="str">
        <f t="shared" si="307"/>
        <v>"),TimeMatch=TimeSpan.Parse("</v>
      </c>
      <c r="I1056" t="str">
        <f t="shared" si="308"/>
        <v>"),MatchYear=</v>
      </c>
      <c r="J1056">
        <f>Matchs!E1057</f>
        <v>0</v>
      </c>
      <c r="K1056" t="str">
        <f t="shared" si="309"/>
        <v>, SeasonId= "</v>
      </c>
      <c r="L1056">
        <f>Matchs!F1057</f>
        <v>0</v>
      </c>
      <c r="M1056" t="str">
        <f t="shared" si="310"/>
        <v>",Round= "</v>
      </c>
      <c r="N1056">
        <f>Matchs!G1057</f>
        <v>0</v>
      </c>
      <c r="O1056" s="6" t="str">
        <f t="shared" si="311"/>
        <v>",Stage= "</v>
      </c>
      <c r="P1056">
        <f>Matchs!H1057</f>
        <v>0</v>
      </c>
      <c r="Q1056" s="6" t="str">
        <f t="shared" si="312"/>
        <v>",SubStage= "</v>
      </c>
      <c r="R1056">
        <f>Matchs!I1057</f>
        <v>0</v>
      </c>
      <c r="S1056" s="6" t="str">
        <f t="shared" si="313"/>
        <v>",HTeam= "</v>
      </c>
      <c r="T1056">
        <f>Matchs!J1057</f>
        <v>0</v>
      </c>
      <c r="U1056" s="6" t="str">
        <f t="shared" si="314"/>
        <v>",HGoal=</v>
      </c>
      <c r="V1056">
        <f>Matchs!K1057</f>
        <v>0</v>
      </c>
      <c r="W1056" s="6" t="str">
        <f t="shared" si="315"/>
        <v>,GGoal=</v>
      </c>
      <c r="X1056">
        <f>Matchs!L1057</f>
        <v>0</v>
      </c>
      <c r="Y1056" s="6" t="str">
        <f t="shared" si="316"/>
        <v>,GTeam= "</v>
      </c>
      <c r="Z1056">
        <f>Matchs!M1057</f>
        <v>0</v>
      </c>
      <c r="AA1056" s="6" t="str">
        <f t="shared" si="317"/>
        <v>",WinNote="</v>
      </c>
      <c r="AB1056" t="str">
        <f>IF(Matchs!N1057="","",Matchs!N1057)</f>
        <v/>
      </c>
      <c r="AC1056" s="6" t="str">
        <f t="shared" si="318"/>
        <v xml:space="preserve">",Stadium=" </v>
      </c>
      <c r="AD1056" s="11">
        <f>Matchs!O1057</f>
        <v>0</v>
      </c>
      <c r="AE1056" s="6" t="str">
        <f t="shared" si="319"/>
        <v>",Referee= "</v>
      </c>
      <c r="AF1056" s="11">
        <f>Matchs!P1057</f>
        <v>0</v>
      </c>
      <c r="AG1056" s="6" t="str">
        <f t="shared" si="320"/>
        <v xml:space="preserve">",Visistors= </v>
      </c>
      <c r="AH1056" s="11">
        <f>Matchs!Q1057</f>
        <v>0</v>
      </c>
      <c r="AI1056" s="11" t="str">
        <f t="shared" si="321"/>
        <v>,Status= "</v>
      </c>
      <c r="AJ1056" s="11">
        <f>Matchs!R1057</f>
        <v>0</v>
      </c>
      <c r="AK1056" t="str">
        <f t="shared" si="322"/>
        <v>" },</v>
      </c>
    </row>
    <row r="1057" spans="2:37" x14ac:dyDescent="0.25">
      <c r="B1057">
        <f>Matchs!A1058</f>
        <v>0</v>
      </c>
      <c r="C1057" t="str">
        <f t="shared" si="305"/>
        <v>",MatchNumer=</v>
      </c>
      <c r="D1057">
        <f>Matchs!B1058</f>
        <v>0</v>
      </c>
      <c r="E1057" t="str">
        <f t="shared" si="306"/>
        <v>,DateMatch=DateTime.Parse("</v>
      </c>
      <c r="F1057" s="3">
        <f>Matchs!C1058</f>
        <v>0</v>
      </c>
      <c r="G1057" s="10" t="str">
        <f t="shared" si="307"/>
        <v>"),TimeMatch=TimeSpan.Parse("</v>
      </c>
      <c r="I1057" t="str">
        <f t="shared" si="308"/>
        <v>"),MatchYear=</v>
      </c>
      <c r="J1057">
        <f>Matchs!E1058</f>
        <v>0</v>
      </c>
      <c r="K1057" t="str">
        <f t="shared" si="309"/>
        <v>, SeasonId= "</v>
      </c>
      <c r="L1057">
        <f>Matchs!F1058</f>
        <v>0</v>
      </c>
      <c r="M1057" t="str">
        <f t="shared" si="310"/>
        <v>",Round= "</v>
      </c>
      <c r="N1057">
        <f>Matchs!G1058</f>
        <v>0</v>
      </c>
      <c r="O1057" s="6" t="str">
        <f t="shared" si="311"/>
        <v>",Stage= "</v>
      </c>
      <c r="P1057">
        <f>Matchs!H1058</f>
        <v>0</v>
      </c>
      <c r="Q1057" s="6" t="str">
        <f t="shared" si="312"/>
        <v>",SubStage= "</v>
      </c>
      <c r="R1057">
        <f>Matchs!I1058</f>
        <v>0</v>
      </c>
      <c r="S1057" s="6" t="str">
        <f t="shared" si="313"/>
        <v>",HTeam= "</v>
      </c>
      <c r="T1057">
        <f>Matchs!J1058</f>
        <v>0</v>
      </c>
      <c r="U1057" s="6" t="str">
        <f t="shared" si="314"/>
        <v>",HGoal=</v>
      </c>
      <c r="V1057">
        <f>Matchs!K1058</f>
        <v>0</v>
      </c>
      <c r="W1057" s="6" t="str">
        <f t="shared" si="315"/>
        <v>,GGoal=</v>
      </c>
      <c r="X1057">
        <f>Matchs!L1058</f>
        <v>0</v>
      </c>
      <c r="Y1057" s="6" t="str">
        <f t="shared" si="316"/>
        <v>,GTeam= "</v>
      </c>
      <c r="Z1057">
        <f>Matchs!M1058</f>
        <v>0</v>
      </c>
      <c r="AA1057" s="6" t="str">
        <f t="shared" si="317"/>
        <v>",WinNote="</v>
      </c>
      <c r="AB1057" t="str">
        <f>IF(Matchs!N1058="","",Matchs!N1058)</f>
        <v/>
      </c>
      <c r="AC1057" s="6" t="str">
        <f t="shared" si="318"/>
        <v xml:space="preserve">",Stadium=" </v>
      </c>
      <c r="AD1057" s="11">
        <f>Matchs!O1058</f>
        <v>0</v>
      </c>
      <c r="AE1057" s="6" t="str">
        <f t="shared" si="319"/>
        <v>",Referee= "</v>
      </c>
      <c r="AF1057" s="11">
        <f>Matchs!P1058</f>
        <v>0</v>
      </c>
      <c r="AG1057" s="6" t="str">
        <f t="shared" si="320"/>
        <v xml:space="preserve">",Visistors= </v>
      </c>
      <c r="AH1057" s="11">
        <f>Matchs!Q1058</f>
        <v>0</v>
      </c>
      <c r="AI1057" s="11" t="str">
        <f t="shared" si="321"/>
        <v>,Status= "</v>
      </c>
      <c r="AJ1057" s="11">
        <f>Matchs!R1058</f>
        <v>0</v>
      </c>
      <c r="AK1057" t="str">
        <f t="shared" si="322"/>
        <v>" },</v>
      </c>
    </row>
    <row r="1058" spans="2:37" x14ac:dyDescent="0.25">
      <c r="B1058">
        <f>Matchs!A1059</f>
        <v>0</v>
      </c>
      <c r="C1058" t="str">
        <f t="shared" si="305"/>
        <v>",MatchNumer=</v>
      </c>
      <c r="D1058">
        <f>Matchs!B1059</f>
        <v>0</v>
      </c>
      <c r="E1058" t="str">
        <f t="shared" si="306"/>
        <v>,DateMatch=DateTime.Parse("</v>
      </c>
      <c r="F1058" s="3">
        <f>Matchs!C1059</f>
        <v>0</v>
      </c>
      <c r="G1058" s="10" t="str">
        <f t="shared" si="307"/>
        <v>"),TimeMatch=TimeSpan.Parse("</v>
      </c>
      <c r="I1058" t="str">
        <f t="shared" si="308"/>
        <v>"),MatchYear=</v>
      </c>
      <c r="J1058">
        <f>Matchs!E1059</f>
        <v>0</v>
      </c>
      <c r="K1058" t="str">
        <f t="shared" si="309"/>
        <v>, SeasonId= "</v>
      </c>
      <c r="L1058">
        <f>Matchs!F1059</f>
        <v>0</v>
      </c>
      <c r="M1058" t="str">
        <f t="shared" si="310"/>
        <v>",Round= "</v>
      </c>
      <c r="N1058">
        <f>Matchs!G1059</f>
        <v>0</v>
      </c>
      <c r="O1058" s="6" t="str">
        <f t="shared" si="311"/>
        <v>",Stage= "</v>
      </c>
      <c r="P1058">
        <f>Matchs!H1059</f>
        <v>0</v>
      </c>
      <c r="Q1058" s="6" t="str">
        <f t="shared" si="312"/>
        <v>",SubStage= "</v>
      </c>
      <c r="R1058">
        <f>Matchs!I1059</f>
        <v>0</v>
      </c>
      <c r="S1058" s="6" t="str">
        <f t="shared" si="313"/>
        <v>",HTeam= "</v>
      </c>
      <c r="T1058">
        <f>Matchs!J1059</f>
        <v>0</v>
      </c>
      <c r="U1058" s="6" t="str">
        <f t="shared" si="314"/>
        <v>",HGoal=</v>
      </c>
      <c r="V1058">
        <f>Matchs!K1059</f>
        <v>0</v>
      </c>
      <c r="W1058" s="6" t="str">
        <f t="shared" si="315"/>
        <v>,GGoal=</v>
      </c>
      <c r="X1058">
        <f>Matchs!L1059</f>
        <v>0</v>
      </c>
      <c r="Y1058" s="6" t="str">
        <f t="shared" si="316"/>
        <v>,GTeam= "</v>
      </c>
      <c r="Z1058">
        <f>Matchs!M1059</f>
        <v>0</v>
      </c>
      <c r="AA1058" s="6" t="str">
        <f t="shared" si="317"/>
        <v>",WinNote="</v>
      </c>
      <c r="AB1058" t="str">
        <f>IF(Matchs!N1059="","",Matchs!N1059)</f>
        <v/>
      </c>
      <c r="AC1058" s="6" t="str">
        <f t="shared" si="318"/>
        <v xml:space="preserve">",Stadium=" </v>
      </c>
      <c r="AD1058" s="11">
        <f>Matchs!O1059</f>
        <v>0</v>
      </c>
      <c r="AE1058" s="6" t="str">
        <f t="shared" si="319"/>
        <v>",Referee= "</v>
      </c>
      <c r="AF1058" s="11">
        <f>Matchs!P1059</f>
        <v>0</v>
      </c>
      <c r="AG1058" s="6" t="str">
        <f t="shared" si="320"/>
        <v xml:space="preserve">",Visistors= </v>
      </c>
      <c r="AH1058" s="11">
        <f>Matchs!Q1059</f>
        <v>0</v>
      </c>
      <c r="AI1058" s="11" t="str">
        <f t="shared" si="321"/>
        <v>,Status= "</v>
      </c>
      <c r="AJ1058" s="11">
        <f>Matchs!R1059</f>
        <v>0</v>
      </c>
      <c r="AK1058" t="str">
        <f t="shared" si="322"/>
        <v>" },</v>
      </c>
    </row>
    <row r="1059" spans="2:37" x14ac:dyDescent="0.25">
      <c r="B1059">
        <f>Matchs!A1060</f>
        <v>0</v>
      </c>
      <c r="C1059" t="str">
        <f t="shared" si="305"/>
        <v>",MatchNumer=</v>
      </c>
      <c r="D1059">
        <f>Matchs!B1060</f>
        <v>0</v>
      </c>
      <c r="E1059" t="str">
        <f t="shared" si="306"/>
        <v>,DateMatch=DateTime.Parse("</v>
      </c>
      <c r="F1059" s="3">
        <f>Matchs!C1060</f>
        <v>0</v>
      </c>
      <c r="G1059" s="10" t="str">
        <f t="shared" si="307"/>
        <v>"),TimeMatch=TimeSpan.Parse("</v>
      </c>
      <c r="I1059" t="str">
        <f t="shared" si="308"/>
        <v>"),MatchYear=</v>
      </c>
      <c r="J1059">
        <f>Matchs!E1060</f>
        <v>0</v>
      </c>
      <c r="K1059" t="str">
        <f t="shared" si="309"/>
        <v>, SeasonId= "</v>
      </c>
      <c r="L1059">
        <f>Matchs!F1060</f>
        <v>0</v>
      </c>
      <c r="M1059" t="str">
        <f t="shared" si="310"/>
        <v>",Round= "</v>
      </c>
      <c r="N1059">
        <f>Matchs!G1060</f>
        <v>0</v>
      </c>
      <c r="O1059" s="6" t="str">
        <f t="shared" si="311"/>
        <v>",Stage= "</v>
      </c>
      <c r="P1059">
        <f>Matchs!H1060</f>
        <v>0</v>
      </c>
      <c r="Q1059" s="6" t="str">
        <f t="shared" si="312"/>
        <v>",SubStage= "</v>
      </c>
      <c r="R1059">
        <f>Matchs!I1060</f>
        <v>0</v>
      </c>
      <c r="S1059" s="6" t="str">
        <f t="shared" si="313"/>
        <v>",HTeam= "</v>
      </c>
      <c r="T1059">
        <f>Matchs!J1060</f>
        <v>0</v>
      </c>
      <c r="U1059" s="6" t="str">
        <f t="shared" si="314"/>
        <v>",HGoal=</v>
      </c>
      <c r="V1059">
        <f>Matchs!K1060</f>
        <v>0</v>
      </c>
      <c r="W1059" s="6" t="str">
        <f t="shared" si="315"/>
        <v>,GGoal=</v>
      </c>
      <c r="X1059">
        <f>Matchs!L1060</f>
        <v>0</v>
      </c>
      <c r="Y1059" s="6" t="str">
        <f t="shared" si="316"/>
        <v>,GTeam= "</v>
      </c>
      <c r="Z1059">
        <f>Matchs!M1060</f>
        <v>0</v>
      </c>
      <c r="AA1059" s="6" t="str">
        <f t="shared" si="317"/>
        <v>",WinNote="</v>
      </c>
      <c r="AB1059" t="str">
        <f>IF(Matchs!N1060="","",Matchs!N1060)</f>
        <v/>
      </c>
      <c r="AC1059" s="6" t="str">
        <f t="shared" si="318"/>
        <v xml:space="preserve">",Stadium=" </v>
      </c>
      <c r="AD1059" s="11">
        <f>Matchs!O1060</f>
        <v>0</v>
      </c>
      <c r="AE1059" s="6" t="str">
        <f t="shared" si="319"/>
        <v>",Referee= "</v>
      </c>
      <c r="AF1059" s="11">
        <f>Matchs!P1060</f>
        <v>0</v>
      </c>
      <c r="AG1059" s="6" t="str">
        <f t="shared" si="320"/>
        <v xml:space="preserve">",Visistors= </v>
      </c>
      <c r="AH1059" s="11">
        <f>Matchs!Q1060</f>
        <v>0</v>
      </c>
      <c r="AI1059" s="11" t="str">
        <f t="shared" si="321"/>
        <v>,Status= "</v>
      </c>
      <c r="AJ1059" s="11">
        <f>Matchs!R1060</f>
        <v>0</v>
      </c>
      <c r="AK1059" t="str">
        <f t="shared" si="322"/>
        <v>" },</v>
      </c>
    </row>
    <row r="1060" spans="2:37" x14ac:dyDescent="0.25">
      <c r="B1060">
        <f>Matchs!A1061</f>
        <v>0</v>
      </c>
      <c r="C1060" t="str">
        <f t="shared" si="305"/>
        <v>",MatchNumer=</v>
      </c>
      <c r="D1060">
        <f>Matchs!B1061</f>
        <v>0</v>
      </c>
      <c r="E1060" t="str">
        <f t="shared" si="306"/>
        <v>,DateMatch=DateTime.Parse("</v>
      </c>
      <c r="F1060" s="3">
        <f>Matchs!C1061</f>
        <v>0</v>
      </c>
      <c r="G1060" s="10" t="str">
        <f t="shared" si="307"/>
        <v>"),TimeMatch=TimeSpan.Parse("</v>
      </c>
      <c r="I1060" t="str">
        <f t="shared" si="308"/>
        <v>"),MatchYear=</v>
      </c>
      <c r="J1060">
        <f>Matchs!E1061</f>
        <v>0</v>
      </c>
      <c r="K1060" t="str">
        <f t="shared" si="309"/>
        <v>, SeasonId= "</v>
      </c>
      <c r="L1060">
        <f>Matchs!F1061</f>
        <v>0</v>
      </c>
      <c r="M1060" t="str">
        <f t="shared" si="310"/>
        <v>",Round= "</v>
      </c>
      <c r="N1060">
        <f>Matchs!G1061</f>
        <v>0</v>
      </c>
      <c r="O1060" s="6" t="str">
        <f t="shared" si="311"/>
        <v>",Stage= "</v>
      </c>
      <c r="P1060">
        <f>Matchs!H1061</f>
        <v>0</v>
      </c>
      <c r="Q1060" s="6" t="str">
        <f t="shared" si="312"/>
        <v>",SubStage= "</v>
      </c>
      <c r="R1060">
        <f>Matchs!I1061</f>
        <v>0</v>
      </c>
      <c r="S1060" s="6" t="str">
        <f t="shared" si="313"/>
        <v>",HTeam= "</v>
      </c>
      <c r="T1060">
        <f>Matchs!J1061</f>
        <v>0</v>
      </c>
      <c r="U1060" s="6" t="str">
        <f t="shared" si="314"/>
        <v>",HGoal=</v>
      </c>
      <c r="V1060">
        <f>Matchs!K1061</f>
        <v>0</v>
      </c>
      <c r="W1060" s="6" t="str">
        <f t="shared" si="315"/>
        <v>,GGoal=</v>
      </c>
      <c r="X1060">
        <f>Matchs!L1061</f>
        <v>0</v>
      </c>
      <c r="Y1060" s="6" t="str">
        <f t="shared" si="316"/>
        <v>,GTeam= "</v>
      </c>
      <c r="Z1060">
        <f>Matchs!M1061</f>
        <v>0</v>
      </c>
      <c r="AA1060" s="6" t="str">
        <f t="shared" si="317"/>
        <v>",WinNote="</v>
      </c>
      <c r="AB1060" t="str">
        <f>IF(Matchs!N1061="","",Matchs!N1061)</f>
        <v/>
      </c>
      <c r="AC1060" s="6" t="str">
        <f t="shared" si="318"/>
        <v xml:space="preserve">",Stadium=" </v>
      </c>
      <c r="AD1060" s="11">
        <f>Matchs!O1061</f>
        <v>0</v>
      </c>
      <c r="AE1060" s="6" t="str">
        <f t="shared" si="319"/>
        <v>",Referee= "</v>
      </c>
      <c r="AF1060" s="11">
        <f>Matchs!P1061</f>
        <v>0</v>
      </c>
      <c r="AG1060" s="6" t="str">
        <f t="shared" si="320"/>
        <v xml:space="preserve">",Visistors= </v>
      </c>
      <c r="AH1060" s="11">
        <f>Matchs!Q1061</f>
        <v>0</v>
      </c>
      <c r="AI1060" s="11" t="str">
        <f t="shared" si="321"/>
        <v>,Status= "</v>
      </c>
      <c r="AJ1060" s="11">
        <f>Matchs!R1061</f>
        <v>0</v>
      </c>
      <c r="AK1060" t="str">
        <f t="shared" si="322"/>
        <v>" },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5:C23"/>
  <sheetViews>
    <sheetView topLeftCell="A16" workbookViewId="0">
      <selection activeCell="B21" sqref="B21:C23"/>
    </sheetView>
  </sheetViews>
  <sheetFormatPr defaultRowHeight="15" x14ac:dyDescent="0.25"/>
  <cols>
    <col min="2" max="2" width="9.28515625" bestFit="1" customWidth="1"/>
    <col min="3" max="3" width="11.85546875" bestFit="1" customWidth="1"/>
  </cols>
  <sheetData>
    <row r="5" spans="2:3" x14ac:dyDescent="0.25">
      <c r="B5" t="s">
        <v>1122</v>
      </c>
      <c r="C5" t="s">
        <v>1123</v>
      </c>
    </row>
    <row r="6" spans="2:3" x14ac:dyDescent="0.25">
      <c r="B6" t="s">
        <v>1122</v>
      </c>
      <c r="C6" t="s">
        <v>1124</v>
      </c>
    </row>
    <row r="7" spans="2:3" x14ac:dyDescent="0.25">
      <c r="B7" t="s">
        <v>1122</v>
      </c>
      <c r="C7" t="s">
        <v>1125</v>
      </c>
    </row>
    <row r="8" spans="2:3" x14ac:dyDescent="0.25">
      <c r="B8" t="s">
        <v>1122</v>
      </c>
      <c r="C8" t="s">
        <v>1126</v>
      </c>
    </row>
    <row r="9" spans="2:3" x14ac:dyDescent="0.25">
      <c r="B9" t="s">
        <v>1122</v>
      </c>
      <c r="C9" t="s">
        <v>1127</v>
      </c>
    </row>
    <row r="10" spans="2:3" x14ac:dyDescent="0.25">
      <c r="B10" t="s">
        <v>1122</v>
      </c>
      <c r="C10" t="s">
        <v>1128</v>
      </c>
    </row>
    <row r="11" spans="2:3" x14ac:dyDescent="0.25">
      <c r="B11" t="s">
        <v>1122</v>
      </c>
      <c r="C11" t="s">
        <v>1129</v>
      </c>
    </row>
    <row r="12" spans="2:3" x14ac:dyDescent="0.25">
      <c r="B12" t="s">
        <v>1122</v>
      </c>
      <c r="C12" t="s">
        <v>1130</v>
      </c>
    </row>
    <row r="13" spans="2:3" x14ac:dyDescent="0.25">
      <c r="B13" t="s">
        <v>1122</v>
      </c>
      <c r="C13" t="s">
        <v>1131</v>
      </c>
    </row>
    <row r="14" spans="2:3" x14ac:dyDescent="0.25">
      <c r="B14" t="s">
        <v>1122</v>
      </c>
      <c r="C14" t="s">
        <v>1132</v>
      </c>
    </row>
    <row r="15" spans="2:3" x14ac:dyDescent="0.25">
      <c r="B15" t="s">
        <v>1122</v>
      </c>
      <c r="C15" t="s">
        <v>1133</v>
      </c>
    </row>
    <row r="16" spans="2:3" x14ac:dyDescent="0.25">
      <c r="B16" t="s">
        <v>1122</v>
      </c>
      <c r="C16" t="s">
        <v>1134</v>
      </c>
    </row>
    <row r="17" spans="2:3" x14ac:dyDescent="0.25">
      <c r="B17" t="s">
        <v>1122</v>
      </c>
      <c r="C17" t="s">
        <v>1135</v>
      </c>
    </row>
    <row r="18" spans="2:3" x14ac:dyDescent="0.25">
      <c r="B18" t="s">
        <v>1122</v>
      </c>
      <c r="C18" t="s">
        <v>1136</v>
      </c>
    </row>
    <row r="19" spans="2:3" x14ac:dyDescent="0.25">
      <c r="B19" t="s">
        <v>1137</v>
      </c>
      <c r="C19" t="s">
        <v>1138</v>
      </c>
    </row>
    <row r="20" spans="2:3" x14ac:dyDescent="0.25">
      <c r="B20" t="s">
        <v>1137</v>
      </c>
      <c r="C20" t="s">
        <v>1139</v>
      </c>
    </row>
    <row r="21" spans="2:3" x14ac:dyDescent="0.25">
      <c r="B21" t="s">
        <v>1137</v>
      </c>
      <c r="C21" t="s">
        <v>1140</v>
      </c>
    </row>
    <row r="22" spans="2:3" x14ac:dyDescent="0.25">
      <c r="B22" t="s">
        <v>1137</v>
      </c>
      <c r="C22" t="s">
        <v>1018</v>
      </c>
    </row>
    <row r="23" spans="2:3" x14ac:dyDescent="0.25">
      <c r="B23" t="s">
        <v>1137</v>
      </c>
      <c r="C23" t="s">
        <v>1141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220"/>
  <sheetViews>
    <sheetView topLeftCell="A205" workbookViewId="0">
      <selection activeCell="B220" sqref="B220"/>
    </sheetView>
  </sheetViews>
  <sheetFormatPr defaultRowHeight="15" x14ac:dyDescent="0.25"/>
  <cols>
    <col min="1" max="1" width="23.140625" bestFit="1" customWidth="1"/>
    <col min="5" max="5" width="30.28515625" bestFit="1" customWidth="1"/>
    <col min="6" max="6" width="11.5703125" bestFit="1" customWidth="1"/>
    <col min="7" max="7" width="18.140625" bestFit="1" customWidth="1"/>
    <col min="8" max="8" width="31.140625" bestFit="1" customWidth="1"/>
  </cols>
  <sheetData>
    <row r="1" spans="1:9" x14ac:dyDescent="0.25">
      <c r="A1" t="s">
        <v>950</v>
      </c>
      <c r="B1" t="s">
        <v>951</v>
      </c>
    </row>
    <row r="2" spans="1:9" x14ac:dyDescent="0.25">
      <c r="A2" t="s">
        <v>743</v>
      </c>
      <c r="B2" t="s">
        <v>2</v>
      </c>
      <c r="C2">
        <f>LEN(A2)</f>
        <v>11</v>
      </c>
      <c r="D2">
        <f>MAX(C:C)</f>
        <v>32</v>
      </c>
      <c r="E2" t="s">
        <v>1142</v>
      </c>
      <c r="F2" t="str">
        <f>B2</f>
        <v>AFG</v>
      </c>
      <c r="G2" t="s">
        <v>1143</v>
      </c>
      <c r="H2" t="str">
        <f>A2</f>
        <v>Afghanistan</v>
      </c>
      <c r="I2" t="s">
        <v>1144</v>
      </c>
    </row>
    <row r="3" spans="1:9" x14ac:dyDescent="0.25">
      <c r="A3" t="s">
        <v>744</v>
      </c>
      <c r="B3" t="s">
        <v>6</v>
      </c>
      <c r="C3">
        <f t="shared" ref="C3:C66" si="0">LEN(A3)</f>
        <v>7</v>
      </c>
      <c r="E3" t="str">
        <f>E2</f>
        <v>new Country { FifaAlphaCode = "</v>
      </c>
      <c r="F3" t="str">
        <f>B3</f>
        <v>ALB</v>
      </c>
      <c r="G3" t="str">
        <f>G2</f>
        <v>", CountryName = "</v>
      </c>
      <c r="H3" t="str">
        <f>A3</f>
        <v>Albania</v>
      </c>
      <c r="I3" t="str">
        <f>I2</f>
        <v>"},</v>
      </c>
    </row>
    <row r="4" spans="1:9" x14ac:dyDescent="0.25">
      <c r="A4" t="s">
        <v>745</v>
      </c>
      <c r="B4" t="s">
        <v>930</v>
      </c>
      <c r="C4">
        <f t="shared" si="0"/>
        <v>7</v>
      </c>
      <c r="E4" t="str">
        <f t="shared" ref="E4:E67" si="1">E3</f>
        <v>new Country { FifaAlphaCode = "</v>
      </c>
      <c r="F4" t="str">
        <f t="shared" ref="F4:F67" si="2">B4</f>
        <v>ALG</v>
      </c>
      <c r="G4" t="str">
        <f t="shared" ref="G4:G67" si="3">G3</f>
        <v>", CountryName = "</v>
      </c>
      <c r="H4" t="str">
        <f t="shared" ref="H4:H67" si="4">A4</f>
        <v>Algeria</v>
      </c>
      <c r="I4" t="str">
        <f t="shared" ref="I4:I67" si="5">I3</f>
        <v>"},</v>
      </c>
    </row>
    <row r="5" spans="1:9" x14ac:dyDescent="0.25">
      <c r="A5" t="s">
        <v>746</v>
      </c>
      <c r="B5" t="s">
        <v>931</v>
      </c>
      <c r="C5">
        <f t="shared" si="0"/>
        <v>14</v>
      </c>
      <c r="E5" t="str">
        <f t="shared" si="1"/>
        <v>new Country { FifaAlphaCode = "</v>
      </c>
      <c r="F5" t="str">
        <f t="shared" si="2"/>
        <v>ASA</v>
      </c>
      <c r="G5" t="str">
        <f t="shared" si="3"/>
        <v>", CountryName = "</v>
      </c>
      <c r="H5" t="str">
        <f t="shared" si="4"/>
        <v>American Samoa</v>
      </c>
      <c r="I5" t="str">
        <f t="shared" si="5"/>
        <v>"},</v>
      </c>
    </row>
    <row r="6" spans="1:9" x14ac:dyDescent="0.25">
      <c r="A6" t="s">
        <v>747</v>
      </c>
      <c r="B6" t="s">
        <v>16</v>
      </c>
      <c r="C6">
        <f t="shared" si="0"/>
        <v>7</v>
      </c>
      <c r="E6" t="str">
        <f t="shared" si="1"/>
        <v>new Country { FifaAlphaCode = "</v>
      </c>
      <c r="F6" t="str">
        <f t="shared" si="2"/>
        <v>AND</v>
      </c>
      <c r="G6" t="str">
        <f t="shared" si="3"/>
        <v>", CountryName = "</v>
      </c>
      <c r="H6" t="str">
        <f t="shared" si="4"/>
        <v>Andorra</v>
      </c>
      <c r="I6" t="str">
        <f t="shared" si="5"/>
        <v>"},</v>
      </c>
    </row>
    <row r="7" spans="1:9" x14ac:dyDescent="0.25">
      <c r="A7" t="s">
        <v>748</v>
      </c>
      <c r="B7" t="s">
        <v>932</v>
      </c>
      <c r="C7">
        <f t="shared" si="0"/>
        <v>6</v>
      </c>
      <c r="E7" t="str">
        <f t="shared" si="1"/>
        <v>new Country { FifaAlphaCode = "</v>
      </c>
      <c r="F7" t="str">
        <f t="shared" si="2"/>
        <v>ANG</v>
      </c>
      <c r="G7" t="str">
        <f t="shared" si="3"/>
        <v>", CountryName = "</v>
      </c>
      <c r="H7" t="str">
        <f t="shared" si="4"/>
        <v>Angola</v>
      </c>
      <c r="I7" t="str">
        <f t="shared" si="5"/>
        <v>"},</v>
      </c>
    </row>
    <row r="8" spans="1:9" x14ac:dyDescent="0.25">
      <c r="A8" t="s">
        <v>20</v>
      </c>
      <c r="B8" t="s">
        <v>22</v>
      </c>
      <c r="C8">
        <f t="shared" si="0"/>
        <v>8</v>
      </c>
      <c r="E8" t="str">
        <f t="shared" si="1"/>
        <v>new Country { FifaAlphaCode = "</v>
      </c>
      <c r="F8" t="str">
        <f t="shared" si="2"/>
        <v>AIA</v>
      </c>
      <c r="G8" t="str">
        <f t="shared" si="3"/>
        <v>", CountryName = "</v>
      </c>
      <c r="H8" t="str">
        <f t="shared" si="4"/>
        <v>Anguilla</v>
      </c>
      <c r="I8" t="str">
        <f t="shared" si="5"/>
        <v>"},</v>
      </c>
    </row>
    <row r="9" spans="1:9" x14ac:dyDescent="0.25">
      <c r="A9" t="s">
        <v>23</v>
      </c>
      <c r="B9" t="s">
        <v>25</v>
      </c>
      <c r="C9">
        <f t="shared" si="0"/>
        <v>19</v>
      </c>
      <c r="E9" t="str">
        <f t="shared" si="1"/>
        <v>new Country { FifaAlphaCode = "</v>
      </c>
      <c r="F9" t="str">
        <f t="shared" si="2"/>
        <v>ATG</v>
      </c>
      <c r="G9" t="str">
        <f t="shared" si="3"/>
        <v>", CountryName = "</v>
      </c>
      <c r="H9" t="str">
        <f t="shared" si="4"/>
        <v>Antigua and Barbuda</v>
      </c>
      <c r="I9" t="str">
        <f t="shared" si="5"/>
        <v>"},</v>
      </c>
    </row>
    <row r="10" spans="1:9" x14ac:dyDescent="0.25">
      <c r="A10" t="s">
        <v>749</v>
      </c>
      <c r="B10" t="s">
        <v>28</v>
      </c>
      <c r="C10">
        <f t="shared" si="0"/>
        <v>9</v>
      </c>
      <c r="E10" t="str">
        <f t="shared" si="1"/>
        <v>new Country { FifaAlphaCode = "</v>
      </c>
      <c r="F10" t="str">
        <f t="shared" si="2"/>
        <v>ARG</v>
      </c>
      <c r="G10" t="str">
        <f t="shared" si="3"/>
        <v>", CountryName = "</v>
      </c>
      <c r="H10" t="str">
        <f t="shared" si="4"/>
        <v>Argentina</v>
      </c>
      <c r="I10" t="str">
        <f t="shared" si="5"/>
        <v>"},</v>
      </c>
    </row>
    <row r="11" spans="1:9" x14ac:dyDescent="0.25">
      <c r="A11" t="s">
        <v>750</v>
      </c>
      <c r="B11" t="s">
        <v>31</v>
      </c>
      <c r="C11">
        <f t="shared" si="0"/>
        <v>7</v>
      </c>
      <c r="E11" t="str">
        <f t="shared" si="1"/>
        <v>new Country { FifaAlphaCode = "</v>
      </c>
      <c r="F11" t="str">
        <f t="shared" si="2"/>
        <v>ARM</v>
      </c>
      <c r="G11" t="str">
        <f t="shared" si="3"/>
        <v>", CountryName = "</v>
      </c>
      <c r="H11" t="str">
        <f t="shared" si="4"/>
        <v>Armenia</v>
      </c>
      <c r="I11" t="str">
        <f t="shared" si="5"/>
        <v>"},</v>
      </c>
    </row>
    <row r="12" spans="1:9" x14ac:dyDescent="0.25">
      <c r="A12" t="s">
        <v>32</v>
      </c>
      <c r="B12" t="s">
        <v>933</v>
      </c>
      <c r="C12">
        <f t="shared" si="0"/>
        <v>5</v>
      </c>
      <c r="E12" t="str">
        <f t="shared" si="1"/>
        <v>new Country { FifaAlphaCode = "</v>
      </c>
      <c r="F12" t="str">
        <f t="shared" si="2"/>
        <v>ARU</v>
      </c>
      <c r="G12" t="str">
        <f t="shared" si="3"/>
        <v>", CountryName = "</v>
      </c>
      <c r="H12" t="str">
        <f t="shared" si="4"/>
        <v>Aruba</v>
      </c>
      <c r="I12" t="str">
        <f t="shared" si="5"/>
        <v>"},</v>
      </c>
    </row>
    <row r="13" spans="1:9" x14ac:dyDescent="0.25">
      <c r="A13" t="s">
        <v>128</v>
      </c>
      <c r="B13" t="s">
        <v>38</v>
      </c>
      <c r="C13">
        <f t="shared" si="0"/>
        <v>9</v>
      </c>
      <c r="E13" t="str">
        <f t="shared" si="1"/>
        <v>new Country { FifaAlphaCode = "</v>
      </c>
      <c r="F13" t="str">
        <f t="shared" si="2"/>
        <v>AUS</v>
      </c>
      <c r="G13" t="str">
        <f t="shared" si="3"/>
        <v>", CountryName = "</v>
      </c>
      <c r="H13" t="str">
        <f t="shared" si="4"/>
        <v>Australia</v>
      </c>
      <c r="I13" t="str">
        <f t="shared" si="5"/>
        <v>"},</v>
      </c>
    </row>
    <row r="14" spans="1:9" x14ac:dyDescent="0.25">
      <c r="A14" t="s">
        <v>751</v>
      </c>
      <c r="B14" t="s">
        <v>41</v>
      </c>
      <c r="C14">
        <f t="shared" si="0"/>
        <v>7</v>
      </c>
      <c r="E14" t="str">
        <f t="shared" si="1"/>
        <v>new Country { FifaAlphaCode = "</v>
      </c>
      <c r="F14" t="str">
        <f t="shared" si="2"/>
        <v>AUT</v>
      </c>
      <c r="G14" t="str">
        <f t="shared" si="3"/>
        <v>", CountryName = "</v>
      </c>
      <c r="H14" t="str">
        <f t="shared" si="4"/>
        <v>Austria</v>
      </c>
      <c r="I14" t="str">
        <f t="shared" si="5"/>
        <v>"},</v>
      </c>
    </row>
    <row r="15" spans="1:9" x14ac:dyDescent="0.25">
      <c r="A15" t="s">
        <v>752</v>
      </c>
      <c r="B15" t="s">
        <v>44</v>
      </c>
      <c r="C15">
        <f t="shared" si="0"/>
        <v>10</v>
      </c>
      <c r="E15" t="str">
        <f t="shared" si="1"/>
        <v>new Country { FifaAlphaCode = "</v>
      </c>
      <c r="F15" t="str">
        <f t="shared" si="2"/>
        <v>AZE</v>
      </c>
      <c r="G15" t="str">
        <f t="shared" si="3"/>
        <v>", CountryName = "</v>
      </c>
      <c r="H15" t="str">
        <f t="shared" si="4"/>
        <v>Azerbaijan</v>
      </c>
      <c r="I15" t="str">
        <f t="shared" si="5"/>
        <v>"},</v>
      </c>
    </row>
    <row r="16" spans="1:9" x14ac:dyDescent="0.25">
      <c r="A16" t="s">
        <v>1007</v>
      </c>
      <c r="B16" t="s">
        <v>934</v>
      </c>
      <c r="C16">
        <f t="shared" si="0"/>
        <v>7</v>
      </c>
      <c r="E16" t="str">
        <f t="shared" si="1"/>
        <v>new Country { FifaAlphaCode = "</v>
      </c>
      <c r="F16" t="str">
        <f t="shared" si="2"/>
        <v>BAH</v>
      </c>
      <c r="G16" t="str">
        <f t="shared" si="3"/>
        <v>", CountryName = "</v>
      </c>
      <c r="H16" t="str">
        <f t="shared" si="4"/>
        <v>Bahamas</v>
      </c>
      <c r="I16" t="str">
        <f t="shared" si="5"/>
        <v>"},</v>
      </c>
    </row>
    <row r="17" spans="1:9" x14ac:dyDescent="0.25">
      <c r="A17" t="s">
        <v>753</v>
      </c>
      <c r="B17" t="s">
        <v>50</v>
      </c>
      <c r="C17">
        <f t="shared" si="0"/>
        <v>7</v>
      </c>
      <c r="E17" t="str">
        <f t="shared" si="1"/>
        <v>new Country { FifaAlphaCode = "</v>
      </c>
      <c r="F17" t="str">
        <f t="shared" si="2"/>
        <v>BHR</v>
      </c>
      <c r="G17" t="str">
        <f t="shared" si="3"/>
        <v>", CountryName = "</v>
      </c>
      <c r="H17" t="str">
        <f t="shared" si="4"/>
        <v>Bahrain</v>
      </c>
      <c r="I17" t="str">
        <f t="shared" si="5"/>
        <v>"},</v>
      </c>
    </row>
    <row r="18" spans="1:9" x14ac:dyDescent="0.25">
      <c r="A18" t="s">
        <v>754</v>
      </c>
      <c r="B18" t="s">
        <v>935</v>
      </c>
      <c r="C18">
        <f t="shared" si="0"/>
        <v>10</v>
      </c>
      <c r="E18" t="str">
        <f t="shared" si="1"/>
        <v>new Country { FifaAlphaCode = "</v>
      </c>
      <c r="F18" t="str">
        <f t="shared" si="2"/>
        <v>BAN</v>
      </c>
      <c r="G18" t="str">
        <f t="shared" si="3"/>
        <v>", CountryName = "</v>
      </c>
      <c r="H18" t="str">
        <f t="shared" si="4"/>
        <v>Bangladesh</v>
      </c>
      <c r="I18" t="str">
        <f t="shared" si="5"/>
        <v>"},</v>
      </c>
    </row>
    <row r="19" spans="1:9" x14ac:dyDescent="0.25">
      <c r="A19" t="s">
        <v>54</v>
      </c>
      <c r="B19" t="s">
        <v>56</v>
      </c>
      <c r="C19">
        <f t="shared" si="0"/>
        <v>8</v>
      </c>
      <c r="E19" t="str">
        <f t="shared" si="1"/>
        <v>new Country { FifaAlphaCode = "</v>
      </c>
      <c r="F19" t="str">
        <f t="shared" si="2"/>
        <v>BRB</v>
      </c>
      <c r="G19" t="str">
        <f t="shared" si="3"/>
        <v>", CountryName = "</v>
      </c>
      <c r="H19" t="str">
        <f t="shared" si="4"/>
        <v>Barbados</v>
      </c>
      <c r="I19" t="str">
        <f t="shared" si="5"/>
        <v>"},</v>
      </c>
    </row>
    <row r="20" spans="1:9" x14ac:dyDescent="0.25">
      <c r="A20" t="s">
        <v>755</v>
      </c>
      <c r="B20" t="s">
        <v>59</v>
      </c>
      <c r="C20">
        <f t="shared" si="0"/>
        <v>7</v>
      </c>
      <c r="E20" t="str">
        <f t="shared" si="1"/>
        <v>new Country { FifaAlphaCode = "</v>
      </c>
      <c r="F20" t="str">
        <f t="shared" si="2"/>
        <v>BLR</v>
      </c>
      <c r="G20" t="str">
        <f t="shared" si="3"/>
        <v>", CountryName = "</v>
      </c>
      <c r="H20" t="str">
        <f t="shared" si="4"/>
        <v>Belarus</v>
      </c>
      <c r="I20" t="str">
        <f t="shared" si="5"/>
        <v>"},</v>
      </c>
    </row>
    <row r="21" spans="1:9" x14ac:dyDescent="0.25">
      <c r="A21" t="s">
        <v>756</v>
      </c>
      <c r="B21" t="s">
        <v>62</v>
      </c>
      <c r="C21">
        <f t="shared" si="0"/>
        <v>7</v>
      </c>
      <c r="E21" t="str">
        <f t="shared" si="1"/>
        <v>new Country { FifaAlphaCode = "</v>
      </c>
      <c r="F21" t="str">
        <f t="shared" si="2"/>
        <v>BEL</v>
      </c>
      <c r="G21" t="str">
        <f t="shared" si="3"/>
        <v>", CountryName = "</v>
      </c>
      <c r="H21" t="str">
        <f t="shared" si="4"/>
        <v>Belgium</v>
      </c>
      <c r="I21" t="str">
        <f t="shared" si="5"/>
        <v>"},</v>
      </c>
    </row>
    <row r="22" spans="1:9" x14ac:dyDescent="0.25">
      <c r="A22" t="s">
        <v>63</v>
      </c>
      <c r="B22" t="s">
        <v>65</v>
      </c>
      <c r="C22">
        <f t="shared" si="0"/>
        <v>6</v>
      </c>
      <c r="E22" t="str">
        <f t="shared" si="1"/>
        <v>new Country { FifaAlphaCode = "</v>
      </c>
      <c r="F22" t="str">
        <f t="shared" si="2"/>
        <v>BLZ</v>
      </c>
      <c r="G22" t="str">
        <f t="shared" si="3"/>
        <v>", CountryName = "</v>
      </c>
      <c r="H22" t="str">
        <f t="shared" si="4"/>
        <v>Belize</v>
      </c>
      <c r="I22" t="str">
        <f t="shared" si="5"/>
        <v>"},</v>
      </c>
    </row>
    <row r="23" spans="1:9" x14ac:dyDescent="0.25">
      <c r="A23" t="s">
        <v>757</v>
      </c>
      <c r="B23" t="s">
        <v>68</v>
      </c>
      <c r="C23">
        <f t="shared" si="0"/>
        <v>5</v>
      </c>
      <c r="E23" t="str">
        <f t="shared" si="1"/>
        <v>new Country { FifaAlphaCode = "</v>
      </c>
      <c r="F23" t="str">
        <f t="shared" si="2"/>
        <v>BEN</v>
      </c>
      <c r="G23" t="str">
        <f t="shared" si="3"/>
        <v>", CountryName = "</v>
      </c>
      <c r="H23" t="str">
        <f t="shared" si="4"/>
        <v>Benin</v>
      </c>
      <c r="I23" t="str">
        <f t="shared" si="5"/>
        <v>"},</v>
      </c>
    </row>
    <row r="24" spans="1:9" x14ac:dyDescent="0.25">
      <c r="A24" t="s">
        <v>69</v>
      </c>
      <c r="B24" t="s">
        <v>936</v>
      </c>
      <c r="C24">
        <f t="shared" si="0"/>
        <v>7</v>
      </c>
      <c r="E24" t="str">
        <f t="shared" si="1"/>
        <v>new Country { FifaAlphaCode = "</v>
      </c>
      <c r="F24" t="str">
        <f t="shared" si="2"/>
        <v>BER</v>
      </c>
      <c r="G24" t="str">
        <f t="shared" si="3"/>
        <v>", CountryName = "</v>
      </c>
      <c r="H24" t="str">
        <f t="shared" si="4"/>
        <v>Bermuda</v>
      </c>
      <c r="I24" t="str">
        <f t="shared" si="5"/>
        <v>"},</v>
      </c>
    </row>
    <row r="25" spans="1:9" x14ac:dyDescent="0.25">
      <c r="A25" t="s">
        <v>758</v>
      </c>
      <c r="B25" t="s">
        <v>937</v>
      </c>
      <c r="C25">
        <f t="shared" si="0"/>
        <v>6</v>
      </c>
      <c r="E25" t="str">
        <f t="shared" si="1"/>
        <v>new Country { FifaAlphaCode = "</v>
      </c>
      <c r="F25" t="str">
        <f t="shared" si="2"/>
        <v>BHU</v>
      </c>
      <c r="G25" t="str">
        <f t="shared" si="3"/>
        <v>", CountryName = "</v>
      </c>
      <c r="H25" t="str">
        <f t="shared" si="4"/>
        <v>Bhutan</v>
      </c>
      <c r="I25" t="str">
        <f t="shared" si="5"/>
        <v>"},</v>
      </c>
    </row>
    <row r="26" spans="1:9" x14ac:dyDescent="0.25">
      <c r="A26" t="s">
        <v>1075</v>
      </c>
      <c r="B26" t="s">
        <v>77</v>
      </c>
      <c r="C26">
        <f t="shared" si="0"/>
        <v>7</v>
      </c>
      <c r="E26" t="str">
        <f t="shared" si="1"/>
        <v>new Country { FifaAlphaCode = "</v>
      </c>
      <c r="F26" t="str">
        <f t="shared" si="2"/>
        <v>BOL</v>
      </c>
      <c r="G26" t="str">
        <f t="shared" si="3"/>
        <v>", CountryName = "</v>
      </c>
      <c r="H26" t="str">
        <f t="shared" si="4"/>
        <v>Bolivia</v>
      </c>
      <c r="I26" t="str">
        <f t="shared" si="5"/>
        <v>"},</v>
      </c>
    </row>
    <row r="27" spans="1:9" x14ac:dyDescent="0.25">
      <c r="A27" t="s">
        <v>78</v>
      </c>
      <c r="B27" t="s">
        <v>80</v>
      </c>
      <c r="C27">
        <f t="shared" si="0"/>
        <v>22</v>
      </c>
      <c r="E27" t="str">
        <f t="shared" si="1"/>
        <v>new Country { FifaAlphaCode = "</v>
      </c>
      <c r="F27" t="str">
        <f t="shared" si="2"/>
        <v>BIH</v>
      </c>
      <c r="G27" t="str">
        <f t="shared" si="3"/>
        <v>", CountryName = "</v>
      </c>
      <c r="H27" t="str">
        <f t="shared" si="4"/>
        <v>Bosnia and Herzegovina</v>
      </c>
      <c r="I27" t="str">
        <f t="shared" si="5"/>
        <v>"},</v>
      </c>
    </row>
    <row r="28" spans="1:9" x14ac:dyDescent="0.25">
      <c r="A28" t="s">
        <v>759</v>
      </c>
      <c r="B28" t="s">
        <v>938</v>
      </c>
      <c r="C28">
        <f t="shared" si="0"/>
        <v>8</v>
      </c>
      <c r="E28" t="str">
        <f t="shared" si="1"/>
        <v>new Country { FifaAlphaCode = "</v>
      </c>
      <c r="F28" t="str">
        <f t="shared" si="2"/>
        <v>BOT</v>
      </c>
      <c r="G28" t="str">
        <f t="shared" si="3"/>
        <v>", CountryName = "</v>
      </c>
      <c r="H28" t="str">
        <f t="shared" si="4"/>
        <v>Botswana</v>
      </c>
      <c r="I28" t="str">
        <f t="shared" si="5"/>
        <v>"},</v>
      </c>
    </row>
    <row r="29" spans="1:9" x14ac:dyDescent="0.25">
      <c r="A29" t="s">
        <v>760</v>
      </c>
      <c r="B29" t="s">
        <v>87</v>
      </c>
      <c r="C29">
        <f t="shared" si="0"/>
        <v>6</v>
      </c>
      <c r="E29" t="str">
        <f t="shared" si="1"/>
        <v>new Country { FifaAlphaCode = "</v>
      </c>
      <c r="F29" t="str">
        <f t="shared" si="2"/>
        <v>BRA</v>
      </c>
      <c r="G29" t="str">
        <f t="shared" si="3"/>
        <v>", CountryName = "</v>
      </c>
      <c r="H29" t="str">
        <f t="shared" si="4"/>
        <v>Brazil</v>
      </c>
      <c r="I29" t="str">
        <f t="shared" si="5"/>
        <v>"},</v>
      </c>
    </row>
    <row r="30" spans="1:9" x14ac:dyDescent="0.25">
      <c r="A30" t="s">
        <v>1086</v>
      </c>
      <c r="B30" t="s">
        <v>720</v>
      </c>
      <c r="C30">
        <f t="shared" si="0"/>
        <v>22</v>
      </c>
      <c r="E30" t="str">
        <f t="shared" si="1"/>
        <v>new Country { FifaAlphaCode = "</v>
      </c>
      <c r="F30" t="str">
        <f t="shared" si="2"/>
        <v>VGB</v>
      </c>
      <c r="G30" t="str">
        <f t="shared" si="3"/>
        <v>", CountryName = "</v>
      </c>
      <c r="H30" t="str">
        <f t="shared" si="4"/>
        <v>British Virgin Islands</v>
      </c>
      <c r="I30" t="str">
        <f t="shared" si="5"/>
        <v>"},</v>
      </c>
    </row>
    <row r="31" spans="1:9" x14ac:dyDescent="0.25">
      <c r="A31" t="s">
        <v>1008</v>
      </c>
      <c r="B31" t="s">
        <v>939</v>
      </c>
      <c r="C31">
        <f t="shared" si="0"/>
        <v>6</v>
      </c>
      <c r="E31" t="str">
        <f t="shared" si="1"/>
        <v>new Country { FifaAlphaCode = "</v>
      </c>
      <c r="F31" t="str">
        <f t="shared" si="2"/>
        <v>BRU</v>
      </c>
      <c r="G31" t="str">
        <f t="shared" si="3"/>
        <v>", CountryName = "</v>
      </c>
      <c r="H31" t="str">
        <f t="shared" si="4"/>
        <v>Brunei</v>
      </c>
      <c r="I31" t="str">
        <f t="shared" si="5"/>
        <v>"},</v>
      </c>
    </row>
    <row r="32" spans="1:9" x14ac:dyDescent="0.25">
      <c r="A32" t="s">
        <v>761</v>
      </c>
      <c r="B32" t="s">
        <v>940</v>
      </c>
      <c r="C32">
        <f t="shared" si="0"/>
        <v>8</v>
      </c>
      <c r="E32" t="str">
        <f t="shared" si="1"/>
        <v>new Country { FifaAlphaCode = "</v>
      </c>
      <c r="F32" t="str">
        <f t="shared" si="2"/>
        <v>BUL</v>
      </c>
      <c r="G32" t="str">
        <f t="shared" si="3"/>
        <v>", CountryName = "</v>
      </c>
      <c r="H32" t="str">
        <f t="shared" si="4"/>
        <v>Bulgaria</v>
      </c>
      <c r="I32" t="str">
        <f t="shared" si="5"/>
        <v>"},</v>
      </c>
    </row>
    <row r="33" spans="1:9" x14ac:dyDescent="0.25">
      <c r="A33" t="s">
        <v>94</v>
      </c>
      <c r="B33" t="s">
        <v>96</v>
      </c>
      <c r="C33">
        <f t="shared" si="0"/>
        <v>12</v>
      </c>
      <c r="E33" t="str">
        <f t="shared" si="1"/>
        <v>new Country { FifaAlphaCode = "</v>
      </c>
      <c r="F33" t="str">
        <f t="shared" si="2"/>
        <v>BFA</v>
      </c>
      <c r="G33" t="str">
        <f t="shared" si="3"/>
        <v>", CountryName = "</v>
      </c>
      <c r="H33" t="str">
        <f t="shared" si="4"/>
        <v>Burkina Faso</v>
      </c>
      <c r="I33" t="str">
        <f t="shared" si="5"/>
        <v>"},</v>
      </c>
    </row>
    <row r="34" spans="1:9" x14ac:dyDescent="0.25">
      <c r="A34" t="s">
        <v>762</v>
      </c>
      <c r="B34" t="s">
        <v>99</v>
      </c>
      <c r="C34">
        <f t="shared" si="0"/>
        <v>7</v>
      </c>
      <c r="E34" t="str">
        <f t="shared" si="1"/>
        <v>new Country { FifaAlphaCode = "</v>
      </c>
      <c r="F34" t="str">
        <f t="shared" si="2"/>
        <v>BDI</v>
      </c>
      <c r="G34" t="str">
        <f t="shared" si="3"/>
        <v>", CountryName = "</v>
      </c>
      <c r="H34" t="str">
        <f t="shared" si="4"/>
        <v>Burundi</v>
      </c>
      <c r="I34" t="str">
        <f t="shared" si="5"/>
        <v>"},</v>
      </c>
    </row>
    <row r="35" spans="1:9" x14ac:dyDescent="0.25">
      <c r="A35" t="s">
        <v>763</v>
      </c>
      <c r="B35" t="s">
        <v>941</v>
      </c>
      <c r="C35">
        <f t="shared" si="0"/>
        <v>8</v>
      </c>
      <c r="E35" t="str">
        <f t="shared" si="1"/>
        <v>new Country { FifaAlphaCode = "</v>
      </c>
      <c r="F35" t="str">
        <f t="shared" si="2"/>
        <v>CAM</v>
      </c>
      <c r="G35" t="str">
        <f t="shared" si="3"/>
        <v>", CountryName = "</v>
      </c>
      <c r="H35" t="str">
        <f t="shared" si="4"/>
        <v>Cambodia</v>
      </c>
      <c r="I35" t="str">
        <f t="shared" si="5"/>
        <v>"},</v>
      </c>
    </row>
    <row r="36" spans="1:9" x14ac:dyDescent="0.25">
      <c r="A36" t="s">
        <v>764</v>
      </c>
      <c r="B36" t="s">
        <v>108</v>
      </c>
      <c r="C36">
        <f t="shared" si="0"/>
        <v>8</v>
      </c>
      <c r="E36" t="str">
        <f t="shared" si="1"/>
        <v>new Country { FifaAlphaCode = "</v>
      </c>
      <c r="F36" t="str">
        <f t="shared" si="2"/>
        <v>CMR</v>
      </c>
      <c r="G36" t="str">
        <f t="shared" si="3"/>
        <v>", CountryName = "</v>
      </c>
      <c r="H36" t="str">
        <f t="shared" si="4"/>
        <v>Cameroon</v>
      </c>
      <c r="I36" t="str">
        <f t="shared" si="5"/>
        <v>"},</v>
      </c>
    </row>
    <row r="37" spans="1:9" x14ac:dyDescent="0.25">
      <c r="A37" t="s">
        <v>109</v>
      </c>
      <c r="B37" t="s">
        <v>111</v>
      </c>
      <c r="C37">
        <f t="shared" si="0"/>
        <v>6</v>
      </c>
      <c r="E37" t="str">
        <f t="shared" si="1"/>
        <v>new Country { FifaAlphaCode = "</v>
      </c>
      <c r="F37" t="str">
        <f t="shared" si="2"/>
        <v>CAN</v>
      </c>
      <c r="G37" t="str">
        <f t="shared" si="3"/>
        <v>", CountryName = "</v>
      </c>
      <c r="H37" t="str">
        <f t="shared" si="4"/>
        <v>Canada</v>
      </c>
      <c r="I37" t="str">
        <f t="shared" si="5"/>
        <v>"},</v>
      </c>
    </row>
    <row r="38" spans="1:9" x14ac:dyDescent="0.25">
      <c r="A38" t="s">
        <v>1087</v>
      </c>
      <c r="B38" t="s">
        <v>102</v>
      </c>
      <c r="C38">
        <f t="shared" si="0"/>
        <v>10</v>
      </c>
      <c r="E38" t="str">
        <f t="shared" si="1"/>
        <v>new Country { FifaAlphaCode = "</v>
      </c>
      <c r="F38" t="str">
        <f t="shared" si="2"/>
        <v>CPV</v>
      </c>
      <c r="G38" t="str">
        <f t="shared" si="3"/>
        <v>", CountryName = "</v>
      </c>
      <c r="H38" t="str">
        <f t="shared" si="4"/>
        <v>Cape Verde</v>
      </c>
      <c r="I38" t="str">
        <f t="shared" si="5"/>
        <v>"},</v>
      </c>
    </row>
    <row r="39" spans="1:9" x14ac:dyDescent="0.25">
      <c r="A39" t="s">
        <v>1088</v>
      </c>
      <c r="B39" t="s">
        <v>942</v>
      </c>
      <c r="C39">
        <f t="shared" si="0"/>
        <v>14</v>
      </c>
      <c r="E39" t="str">
        <f t="shared" si="1"/>
        <v>new Country { FifaAlphaCode = "</v>
      </c>
      <c r="F39" t="str">
        <f t="shared" si="2"/>
        <v>CAY</v>
      </c>
      <c r="G39" t="str">
        <f t="shared" si="3"/>
        <v>", CountryName = "</v>
      </c>
      <c r="H39" t="str">
        <f t="shared" si="4"/>
        <v>Cayman Islands</v>
      </c>
      <c r="I39" t="str">
        <f t="shared" si="5"/>
        <v>"},</v>
      </c>
    </row>
    <row r="40" spans="1:9" x14ac:dyDescent="0.25">
      <c r="A40" t="s">
        <v>1089</v>
      </c>
      <c r="B40" t="s">
        <v>943</v>
      </c>
      <c r="C40">
        <f t="shared" si="0"/>
        <v>24</v>
      </c>
      <c r="E40" t="str">
        <f t="shared" si="1"/>
        <v>new Country { FifaAlphaCode = "</v>
      </c>
      <c r="F40" t="str">
        <f t="shared" si="2"/>
        <v>CTA</v>
      </c>
      <c r="G40" t="str">
        <f t="shared" si="3"/>
        <v>", CountryName = "</v>
      </c>
      <c r="H40" t="str">
        <f t="shared" si="4"/>
        <v>Central African Republic</v>
      </c>
      <c r="I40" t="str">
        <f t="shared" si="5"/>
        <v>"},</v>
      </c>
    </row>
    <row r="41" spans="1:9" x14ac:dyDescent="0.25">
      <c r="A41" t="s">
        <v>767</v>
      </c>
      <c r="B41" t="s">
        <v>944</v>
      </c>
      <c r="C41">
        <f t="shared" si="0"/>
        <v>4</v>
      </c>
      <c r="E41" t="str">
        <f t="shared" si="1"/>
        <v>new Country { FifaAlphaCode = "</v>
      </c>
      <c r="F41" t="str">
        <f t="shared" si="2"/>
        <v>CHA</v>
      </c>
      <c r="G41" t="str">
        <f t="shared" si="3"/>
        <v>", CountryName = "</v>
      </c>
      <c r="H41" t="str">
        <f t="shared" si="4"/>
        <v>Chad</v>
      </c>
      <c r="I41" t="str">
        <f t="shared" si="5"/>
        <v>"},</v>
      </c>
    </row>
    <row r="42" spans="1:9" x14ac:dyDescent="0.25">
      <c r="A42" t="s">
        <v>768</v>
      </c>
      <c r="B42" t="s">
        <v>945</v>
      </c>
      <c r="C42">
        <f t="shared" si="0"/>
        <v>5</v>
      </c>
      <c r="E42" t="str">
        <f t="shared" si="1"/>
        <v>new Country { FifaAlphaCode = "</v>
      </c>
      <c r="F42" t="str">
        <f t="shared" si="2"/>
        <v>CHI</v>
      </c>
      <c r="G42" t="str">
        <f t="shared" si="3"/>
        <v>", CountryName = "</v>
      </c>
      <c r="H42" t="str">
        <f t="shared" si="4"/>
        <v>Chile</v>
      </c>
      <c r="I42" t="str">
        <f t="shared" si="5"/>
        <v>"},</v>
      </c>
    </row>
    <row r="43" spans="1:9" x14ac:dyDescent="0.25">
      <c r="A43" t="s">
        <v>1090</v>
      </c>
      <c r="B43" t="s">
        <v>126</v>
      </c>
      <c r="C43">
        <f t="shared" si="0"/>
        <v>8</v>
      </c>
      <c r="E43" t="str">
        <f t="shared" si="1"/>
        <v>new Country { FifaAlphaCode = "</v>
      </c>
      <c r="F43" t="str">
        <f t="shared" si="2"/>
        <v>CHN</v>
      </c>
      <c r="G43" t="str">
        <f t="shared" si="3"/>
        <v>", CountryName = "</v>
      </c>
      <c r="H43" t="str">
        <f t="shared" si="4"/>
        <v>China PR</v>
      </c>
      <c r="I43" t="str">
        <f t="shared" si="5"/>
        <v>"},</v>
      </c>
    </row>
    <row r="44" spans="1:9" x14ac:dyDescent="0.25">
      <c r="A44" t="s">
        <v>1091</v>
      </c>
      <c r="B44" t="s">
        <v>946</v>
      </c>
      <c r="C44">
        <f t="shared" si="0"/>
        <v>14</v>
      </c>
      <c r="E44" t="str">
        <f t="shared" si="1"/>
        <v>new Country { FifaAlphaCode = "</v>
      </c>
      <c r="F44" t="str">
        <f t="shared" si="2"/>
        <v>TPE</v>
      </c>
      <c r="G44" t="str">
        <f t="shared" si="3"/>
        <v>", CountryName = "</v>
      </c>
      <c r="H44" t="str">
        <f t="shared" si="4"/>
        <v>Chinese Taipei</v>
      </c>
      <c r="I44" t="str">
        <f t="shared" si="5"/>
        <v>"},</v>
      </c>
    </row>
    <row r="45" spans="1:9" x14ac:dyDescent="0.25">
      <c r="A45" t="s">
        <v>771</v>
      </c>
      <c r="B45" t="s">
        <v>136</v>
      </c>
      <c r="C45">
        <f t="shared" si="0"/>
        <v>8</v>
      </c>
      <c r="E45" t="str">
        <f t="shared" si="1"/>
        <v>new Country { FifaAlphaCode = "</v>
      </c>
      <c r="F45" t="str">
        <f t="shared" si="2"/>
        <v>COL</v>
      </c>
      <c r="G45" t="str">
        <f t="shared" si="3"/>
        <v>", CountryName = "</v>
      </c>
      <c r="H45" t="str">
        <f t="shared" si="4"/>
        <v>Colombia</v>
      </c>
      <c r="I45" t="str">
        <f t="shared" si="5"/>
        <v>"},</v>
      </c>
    </row>
    <row r="46" spans="1:9" x14ac:dyDescent="0.25">
      <c r="A46" t="s">
        <v>1092</v>
      </c>
      <c r="B46" t="s">
        <v>139</v>
      </c>
      <c r="C46">
        <f t="shared" si="0"/>
        <v>7</v>
      </c>
      <c r="E46" t="str">
        <f t="shared" si="1"/>
        <v>new Country { FifaAlphaCode = "</v>
      </c>
      <c r="F46" t="str">
        <f t="shared" si="2"/>
        <v>COM</v>
      </c>
      <c r="G46" t="str">
        <f t="shared" si="3"/>
        <v>", CountryName = "</v>
      </c>
      <c r="H46" t="str">
        <f t="shared" si="4"/>
        <v>Comoros</v>
      </c>
      <c r="I46" t="str">
        <f t="shared" si="5"/>
        <v>"},</v>
      </c>
    </row>
    <row r="47" spans="1:9" x14ac:dyDescent="0.25">
      <c r="A47" t="s">
        <v>1084</v>
      </c>
      <c r="B47" t="s">
        <v>947</v>
      </c>
      <c r="C47">
        <f t="shared" si="0"/>
        <v>5</v>
      </c>
      <c r="E47" t="str">
        <f t="shared" si="1"/>
        <v>new Country { FifaAlphaCode = "</v>
      </c>
      <c r="F47" t="str">
        <f t="shared" si="2"/>
        <v>CGO</v>
      </c>
      <c r="G47" t="str">
        <f t="shared" si="3"/>
        <v>", CountryName = "</v>
      </c>
      <c r="H47" t="str">
        <f t="shared" si="4"/>
        <v>Congo</v>
      </c>
      <c r="I47" t="str">
        <f t="shared" si="5"/>
        <v>"},</v>
      </c>
    </row>
    <row r="48" spans="1:9" x14ac:dyDescent="0.25">
      <c r="A48" t="s">
        <v>1093</v>
      </c>
      <c r="B48" t="s">
        <v>149</v>
      </c>
      <c r="C48">
        <f t="shared" si="0"/>
        <v>12</v>
      </c>
      <c r="E48" t="str">
        <f t="shared" si="1"/>
        <v>new Country { FifaAlphaCode = "</v>
      </c>
      <c r="F48" t="str">
        <f t="shared" si="2"/>
        <v>COK</v>
      </c>
      <c r="G48" t="str">
        <f t="shared" si="3"/>
        <v>", CountryName = "</v>
      </c>
      <c r="H48" t="str">
        <f t="shared" si="4"/>
        <v>Cook Islands</v>
      </c>
      <c r="I48" t="str">
        <f t="shared" si="5"/>
        <v>"},</v>
      </c>
    </row>
    <row r="49" spans="1:9" x14ac:dyDescent="0.25">
      <c r="A49" t="s">
        <v>774</v>
      </c>
      <c r="B49" t="s">
        <v>948</v>
      </c>
      <c r="C49">
        <f t="shared" si="0"/>
        <v>10</v>
      </c>
      <c r="E49" t="str">
        <f t="shared" si="1"/>
        <v>new Country { FifaAlphaCode = "</v>
      </c>
      <c r="F49" t="str">
        <f t="shared" si="2"/>
        <v>CRC</v>
      </c>
      <c r="G49" t="str">
        <f t="shared" si="3"/>
        <v>", CountryName = "</v>
      </c>
      <c r="H49" t="str">
        <f t="shared" si="4"/>
        <v>Costa Rica</v>
      </c>
      <c r="I49" t="str">
        <f t="shared" si="5"/>
        <v>"},</v>
      </c>
    </row>
    <row r="50" spans="1:9" x14ac:dyDescent="0.25">
      <c r="A50" t="s">
        <v>775</v>
      </c>
      <c r="B50" t="s">
        <v>949</v>
      </c>
      <c r="C50">
        <f t="shared" si="0"/>
        <v>7</v>
      </c>
      <c r="E50" t="str">
        <f t="shared" si="1"/>
        <v>new Country { FifaAlphaCode = "</v>
      </c>
      <c r="F50" t="str">
        <f t="shared" si="2"/>
        <v>CRO</v>
      </c>
      <c r="G50" t="str">
        <f t="shared" si="3"/>
        <v>", CountryName = "</v>
      </c>
      <c r="H50" t="str">
        <f t="shared" si="4"/>
        <v>Croatia</v>
      </c>
      <c r="I50" t="str">
        <f t="shared" si="5"/>
        <v>"},</v>
      </c>
    </row>
    <row r="51" spans="1:9" x14ac:dyDescent="0.25">
      <c r="A51" t="s">
        <v>776</v>
      </c>
      <c r="B51" t="s">
        <v>161</v>
      </c>
      <c r="C51">
        <f t="shared" si="0"/>
        <v>4</v>
      </c>
      <c r="E51" t="str">
        <f t="shared" si="1"/>
        <v>new Country { FifaAlphaCode = "</v>
      </c>
      <c r="F51" t="str">
        <f t="shared" si="2"/>
        <v>CUB</v>
      </c>
      <c r="G51" t="str">
        <f t="shared" si="3"/>
        <v>", CountryName = "</v>
      </c>
      <c r="H51" t="str">
        <f t="shared" si="4"/>
        <v>Cuba</v>
      </c>
      <c r="I51" t="str">
        <f t="shared" si="5"/>
        <v>"},</v>
      </c>
    </row>
    <row r="52" spans="1:9" x14ac:dyDescent="0.25">
      <c r="A52" t="s">
        <v>777</v>
      </c>
      <c r="B52" t="s">
        <v>164</v>
      </c>
      <c r="C52">
        <f t="shared" si="0"/>
        <v>7</v>
      </c>
      <c r="E52" t="str">
        <f t="shared" si="1"/>
        <v>new Country { FifaAlphaCode = "</v>
      </c>
      <c r="F52" t="str">
        <f t="shared" si="2"/>
        <v>CUW</v>
      </c>
      <c r="G52" t="str">
        <f t="shared" si="3"/>
        <v>", CountryName = "</v>
      </c>
      <c r="H52" t="str">
        <f t="shared" si="4"/>
        <v>Curaçao</v>
      </c>
      <c r="I52" t="str">
        <f t="shared" si="5"/>
        <v>"},</v>
      </c>
    </row>
    <row r="53" spans="1:9" x14ac:dyDescent="0.25">
      <c r="A53" t="s">
        <v>778</v>
      </c>
      <c r="B53" t="s">
        <v>167</v>
      </c>
      <c r="C53">
        <f t="shared" si="0"/>
        <v>6</v>
      </c>
      <c r="E53" t="str">
        <f t="shared" si="1"/>
        <v>new Country { FifaAlphaCode = "</v>
      </c>
      <c r="F53" t="str">
        <f t="shared" si="2"/>
        <v>CYP</v>
      </c>
      <c r="G53" t="str">
        <f t="shared" si="3"/>
        <v>", CountryName = "</v>
      </c>
      <c r="H53" t="str">
        <f t="shared" si="4"/>
        <v>Cyprus</v>
      </c>
      <c r="I53" t="str">
        <f t="shared" si="5"/>
        <v>"},</v>
      </c>
    </row>
    <row r="54" spans="1:9" x14ac:dyDescent="0.25">
      <c r="A54" t="s">
        <v>1078</v>
      </c>
      <c r="B54" t="s">
        <v>170</v>
      </c>
      <c r="C54">
        <f t="shared" si="0"/>
        <v>14</v>
      </c>
      <c r="E54" t="str">
        <f t="shared" si="1"/>
        <v>new Country { FifaAlphaCode = "</v>
      </c>
      <c r="F54" t="str">
        <f t="shared" si="2"/>
        <v>CZE</v>
      </c>
      <c r="G54" t="str">
        <f t="shared" si="3"/>
        <v>", CountryName = "</v>
      </c>
      <c r="H54" t="str">
        <f t="shared" si="4"/>
        <v>Czech Republic</v>
      </c>
      <c r="I54" t="str">
        <f t="shared" si="5"/>
        <v>"},</v>
      </c>
    </row>
    <row r="55" spans="1:9" x14ac:dyDescent="0.25">
      <c r="A55" t="s">
        <v>211</v>
      </c>
      <c r="B55" t="s">
        <v>952</v>
      </c>
      <c r="C55">
        <f t="shared" si="0"/>
        <v>7</v>
      </c>
      <c r="E55" t="str">
        <f t="shared" si="1"/>
        <v>new Country { FifaAlphaCode = "</v>
      </c>
      <c r="F55" t="str">
        <f t="shared" si="2"/>
        <v>DEN</v>
      </c>
      <c r="G55" t="str">
        <f t="shared" si="3"/>
        <v>", CountryName = "</v>
      </c>
      <c r="H55" t="str">
        <f t="shared" si="4"/>
        <v>Denmark</v>
      </c>
      <c r="I55" t="str">
        <f t="shared" si="5"/>
        <v>"},</v>
      </c>
    </row>
    <row r="56" spans="1:9" x14ac:dyDescent="0.25">
      <c r="A56" t="s">
        <v>779</v>
      </c>
      <c r="B56" t="s">
        <v>176</v>
      </c>
      <c r="C56">
        <f t="shared" si="0"/>
        <v>8</v>
      </c>
      <c r="E56" t="str">
        <f t="shared" si="1"/>
        <v>new Country { FifaAlphaCode = "</v>
      </c>
      <c r="F56" t="str">
        <f t="shared" si="2"/>
        <v>DJI</v>
      </c>
      <c r="G56" t="str">
        <f t="shared" si="3"/>
        <v>", CountryName = "</v>
      </c>
      <c r="H56" t="str">
        <f t="shared" si="4"/>
        <v>Djibouti</v>
      </c>
      <c r="I56" t="str">
        <f t="shared" si="5"/>
        <v>"},</v>
      </c>
    </row>
    <row r="57" spans="1:9" x14ac:dyDescent="0.25">
      <c r="A57" t="s">
        <v>780</v>
      </c>
      <c r="B57" t="s">
        <v>179</v>
      </c>
      <c r="C57">
        <f t="shared" si="0"/>
        <v>8</v>
      </c>
      <c r="E57" t="str">
        <f t="shared" si="1"/>
        <v>new Country { FifaAlphaCode = "</v>
      </c>
      <c r="F57" t="str">
        <f t="shared" si="2"/>
        <v>DMA</v>
      </c>
      <c r="G57" t="str">
        <f t="shared" si="3"/>
        <v>", CountryName = "</v>
      </c>
      <c r="H57" t="str">
        <f t="shared" si="4"/>
        <v>Dominica</v>
      </c>
      <c r="I57" t="str">
        <f t="shared" si="5"/>
        <v>"},</v>
      </c>
    </row>
    <row r="58" spans="1:9" x14ac:dyDescent="0.25">
      <c r="A58" t="s">
        <v>1094</v>
      </c>
      <c r="B58" t="s">
        <v>182</v>
      </c>
      <c r="C58">
        <f t="shared" si="0"/>
        <v>18</v>
      </c>
      <c r="E58" t="str">
        <f t="shared" si="1"/>
        <v>new Country { FifaAlphaCode = "</v>
      </c>
      <c r="F58" t="str">
        <f t="shared" si="2"/>
        <v>DOM</v>
      </c>
      <c r="G58" t="str">
        <f t="shared" si="3"/>
        <v>", CountryName = "</v>
      </c>
      <c r="H58" t="str">
        <f t="shared" si="4"/>
        <v>Dominican Republic</v>
      </c>
      <c r="I58" t="str">
        <f t="shared" si="5"/>
        <v>"},</v>
      </c>
    </row>
    <row r="59" spans="1:9" x14ac:dyDescent="0.25">
      <c r="A59" t="s">
        <v>1095</v>
      </c>
      <c r="B59" t="s">
        <v>142</v>
      </c>
      <c r="C59">
        <f t="shared" si="0"/>
        <v>8</v>
      </c>
      <c r="E59" t="str">
        <f t="shared" si="1"/>
        <v>new Country { FifaAlphaCode = "</v>
      </c>
      <c r="F59" t="str">
        <f t="shared" si="2"/>
        <v>COD</v>
      </c>
      <c r="G59" t="str">
        <f t="shared" si="3"/>
        <v>", CountryName = "</v>
      </c>
      <c r="H59" t="str">
        <f t="shared" si="4"/>
        <v>DR Congo</v>
      </c>
      <c r="I59" t="str">
        <f t="shared" si="5"/>
        <v>"},</v>
      </c>
    </row>
    <row r="60" spans="1:9" x14ac:dyDescent="0.25">
      <c r="A60" t="s">
        <v>782</v>
      </c>
      <c r="B60" t="s">
        <v>185</v>
      </c>
      <c r="C60">
        <f t="shared" si="0"/>
        <v>7</v>
      </c>
      <c r="E60" t="str">
        <f t="shared" si="1"/>
        <v>new Country { FifaAlphaCode = "</v>
      </c>
      <c r="F60" t="str">
        <f t="shared" si="2"/>
        <v>ECU</v>
      </c>
      <c r="G60" t="str">
        <f t="shared" si="3"/>
        <v>", CountryName = "</v>
      </c>
      <c r="H60" t="str">
        <f t="shared" si="4"/>
        <v>Ecuador</v>
      </c>
      <c r="I60" t="str">
        <f t="shared" si="5"/>
        <v>"},</v>
      </c>
    </row>
    <row r="61" spans="1:9" x14ac:dyDescent="0.25">
      <c r="A61" t="s">
        <v>783</v>
      </c>
      <c r="B61" t="s">
        <v>188</v>
      </c>
      <c r="C61">
        <f t="shared" si="0"/>
        <v>5</v>
      </c>
      <c r="E61" t="str">
        <f t="shared" si="1"/>
        <v>new Country { FifaAlphaCode = "</v>
      </c>
      <c r="F61" t="str">
        <f t="shared" si="2"/>
        <v>EGY</v>
      </c>
      <c r="G61" t="str">
        <f t="shared" si="3"/>
        <v>", CountryName = "</v>
      </c>
      <c r="H61" t="str">
        <f t="shared" si="4"/>
        <v>Egypt</v>
      </c>
      <c r="I61" t="str">
        <f t="shared" si="5"/>
        <v>"},</v>
      </c>
    </row>
    <row r="62" spans="1:9" x14ac:dyDescent="0.25">
      <c r="A62" t="s">
        <v>784</v>
      </c>
      <c r="B62" t="s">
        <v>191</v>
      </c>
      <c r="C62">
        <f t="shared" si="0"/>
        <v>11</v>
      </c>
      <c r="E62" t="str">
        <f t="shared" si="1"/>
        <v>new Country { FifaAlphaCode = "</v>
      </c>
      <c r="F62" t="str">
        <f t="shared" si="2"/>
        <v>SLV</v>
      </c>
      <c r="G62" t="str">
        <f t="shared" si="3"/>
        <v>", CountryName = "</v>
      </c>
      <c r="H62" t="str">
        <f t="shared" si="4"/>
        <v>El Salvador</v>
      </c>
      <c r="I62" t="str">
        <f t="shared" si="5"/>
        <v>"},</v>
      </c>
    </row>
    <row r="63" spans="1:9" x14ac:dyDescent="0.25">
      <c r="A63" t="s">
        <v>1021</v>
      </c>
      <c r="B63" t="s">
        <v>953</v>
      </c>
      <c r="C63">
        <f t="shared" si="0"/>
        <v>7</v>
      </c>
      <c r="E63" t="str">
        <f t="shared" si="1"/>
        <v>new Country { FifaAlphaCode = "</v>
      </c>
      <c r="F63" t="str">
        <f t="shared" si="2"/>
        <v>ENG</v>
      </c>
      <c r="G63" t="str">
        <f t="shared" si="3"/>
        <v>", CountryName = "</v>
      </c>
      <c r="H63" t="str">
        <f t="shared" si="4"/>
        <v>England</v>
      </c>
      <c r="I63" t="str">
        <f t="shared" si="5"/>
        <v>"},</v>
      </c>
    </row>
    <row r="64" spans="1:9" x14ac:dyDescent="0.25">
      <c r="A64" t="s">
        <v>785</v>
      </c>
      <c r="B64" t="s">
        <v>954</v>
      </c>
      <c r="C64">
        <f t="shared" si="0"/>
        <v>17</v>
      </c>
      <c r="E64" t="str">
        <f t="shared" si="1"/>
        <v>new Country { FifaAlphaCode = "</v>
      </c>
      <c r="F64" t="str">
        <f t="shared" si="2"/>
        <v>EQG</v>
      </c>
      <c r="G64" t="str">
        <f t="shared" si="3"/>
        <v>", CountryName = "</v>
      </c>
      <c r="H64" t="str">
        <f t="shared" si="4"/>
        <v>Equatorial Guinea</v>
      </c>
      <c r="I64" t="str">
        <f t="shared" si="5"/>
        <v>"},</v>
      </c>
    </row>
    <row r="65" spans="1:9" x14ac:dyDescent="0.25">
      <c r="A65" t="s">
        <v>786</v>
      </c>
      <c r="B65" t="s">
        <v>197</v>
      </c>
      <c r="C65">
        <f t="shared" si="0"/>
        <v>7</v>
      </c>
      <c r="E65" t="str">
        <f t="shared" si="1"/>
        <v>new Country { FifaAlphaCode = "</v>
      </c>
      <c r="F65" t="str">
        <f t="shared" si="2"/>
        <v>ERI</v>
      </c>
      <c r="G65" t="str">
        <f t="shared" si="3"/>
        <v>", CountryName = "</v>
      </c>
      <c r="H65" t="str">
        <f t="shared" si="4"/>
        <v>Eritrea</v>
      </c>
      <c r="I65" t="str">
        <f t="shared" si="5"/>
        <v>"},</v>
      </c>
    </row>
    <row r="66" spans="1:9" x14ac:dyDescent="0.25">
      <c r="A66" t="s">
        <v>787</v>
      </c>
      <c r="B66" t="s">
        <v>200</v>
      </c>
      <c r="C66">
        <f t="shared" si="0"/>
        <v>7</v>
      </c>
      <c r="E66" t="str">
        <f t="shared" si="1"/>
        <v>new Country { FifaAlphaCode = "</v>
      </c>
      <c r="F66" t="str">
        <f t="shared" si="2"/>
        <v>EST</v>
      </c>
      <c r="G66" t="str">
        <f t="shared" si="3"/>
        <v>", CountryName = "</v>
      </c>
      <c r="H66" t="str">
        <f t="shared" si="4"/>
        <v>Estonia</v>
      </c>
      <c r="I66" t="str">
        <f t="shared" si="5"/>
        <v>"},</v>
      </c>
    </row>
    <row r="67" spans="1:9" x14ac:dyDescent="0.25">
      <c r="A67" t="s">
        <v>1096</v>
      </c>
      <c r="B67" t="s">
        <v>203</v>
      </c>
      <c r="C67">
        <f t="shared" ref="C67:C130" si="6">LEN(A67)</f>
        <v>8</v>
      </c>
      <c r="E67" t="str">
        <f t="shared" si="1"/>
        <v>new Country { FifaAlphaCode = "</v>
      </c>
      <c r="F67" t="str">
        <f t="shared" si="2"/>
        <v>SWZ</v>
      </c>
      <c r="G67" t="str">
        <f t="shared" si="3"/>
        <v>", CountryName = "</v>
      </c>
      <c r="H67" t="str">
        <f t="shared" si="4"/>
        <v>Eswatini</v>
      </c>
      <c r="I67" t="str">
        <f t="shared" si="5"/>
        <v>"},</v>
      </c>
    </row>
    <row r="68" spans="1:9" x14ac:dyDescent="0.25">
      <c r="A68" t="s">
        <v>789</v>
      </c>
      <c r="B68" t="s">
        <v>206</v>
      </c>
      <c r="C68">
        <f t="shared" si="6"/>
        <v>8</v>
      </c>
      <c r="E68" t="str">
        <f t="shared" ref="E68:E131" si="7">E67</f>
        <v>new Country { FifaAlphaCode = "</v>
      </c>
      <c r="F68" t="str">
        <f t="shared" ref="F68:F131" si="8">B68</f>
        <v>ETH</v>
      </c>
      <c r="G68" t="str">
        <f t="shared" ref="G68:G131" si="9">G67</f>
        <v>", CountryName = "</v>
      </c>
      <c r="H68" t="str">
        <f t="shared" ref="H68:H131" si="10">A68</f>
        <v>Ethiopia</v>
      </c>
      <c r="I68" t="str">
        <f t="shared" ref="I68:I131" si="11">I67</f>
        <v>"},</v>
      </c>
    </row>
    <row r="69" spans="1:9" x14ac:dyDescent="0.25">
      <c r="A69" t="s">
        <v>1097</v>
      </c>
      <c r="B69" t="s">
        <v>213</v>
      </c>
      <c r="C69">
        <f t="shared" si="6"/>
        <v>13</v>
      </c>
      <c r="E69" t="str">
        <f t="shared" si="7"/>
        <v>new Country { FifaAlphaCode = "</v>
      </c>
      <c r="F69" t="str">
        <f t="shared" si="8"/>
        <v>FRO</v>
      </c>
      <c r="G69" t="str">
        <f t="shared" si="9"/>
        <v>", CountryName = "</v>
      </c>
      <c r="H69" t="str">
        <f t="shared" si="10"/>
        <v>Faroe Islands</v>
      </c>
      <c r="I69" t="str">
        <f t="shared" si="11"/>
        <v>"},</v>
      </c>
    </row>
    <row r="70" spans="1:9" x14ac:dyDescent="0.25">
      <c r="A70" t="s">
        <v>792</v>
      </c>
      <c r="B70" t="s">
        <v>955</v>
      </c>
      <c r="C70">
        <f t="shared" si="6"/>
        <v>4</v>
      </c>
      <c r="E70" t="str">
        <f t="shared" si="7"/>
        <v>new Country { FifaAlphaCode = "</v>
      </c>
      <c r="F70" t="str">
        <f t="shared" si="8"/>
        <v>FIJ</v>
      </c>
      <c r="G70" t="str">
        <f t="shared" si="9"/>
        <v>", CountryName = "</v>
      </c>
      <c r="H70" t="str">
        <f t="shared" si="10"/>
        <v>Fiji</v>
      </c>
      <c r="I70" t="str">
        <f t="shared" si="11"/>
        <v>"},</v>
      </c>
    </row>
    <row r="71" spans="1:9" x14ac:dyDescent="0.25">
      <c r="A71" t="s">
        <v>3</v>
      </c>
      <c r="B71" t="s">
        <v>219</v>
      </c>
      <c r="C71">
        <f t="shared" si="6"/>
        <v>7</v>
      </c>
      <c r="E71" t="str">
        <f t="shared" si="7"/>
        <v>new Country { FifaAlphaCode = "</v>
      </c>
      <c r="F71" t="str">
        <f t="shared" si="8"/>
        <v>FIN</v>
      </c>
      <c r="G71" t="str">
        <f t="shared" si="9"/>
        <v>", CountryName = "</v>
      </c>
      <c r="H71" t="str">
        <f t="shared" si="10"/>
        <v>Finland</v>
      </c>
      <c r="I71" t="str">
        <f t="shared" si="11"/>
        <v>"},</v>
      </c>
    </row>
    <row r="72" spans="1:9" x14ac:dyDescent="0.25">
      <c r="A72" t="s">
        <v>224</v>
      </c>
      <c r="B72" t="s">
        <v>222</v>
      </c>
      <c r="C72">
        <f t="shared" si="6"/>
        <v>6</v>
      </c>
      <c r="E72" t="str">
        <f t="shared" si="7"/>
        <v>new Country { FifaAlphaCode = "</v>
      </c>
      <c r="F72" t="str">
        <f t="shared" si="8"/>
        <v>FRA</v>
      </c>
      <c r="G72" t="str">
        <f t="shared" si="9"/>
        <v>", CountryName = "</v>
      </c>
      <c r="H72" t="str">
        <f t="shared" si="10"/>
        <v>France</v>
      </c>
      <c r="I72" t="str">
        <f t="shared" si="11"/>
        <v>"},</v>
      </c>
    </row>
    <row r="73" spans="1:9" x14ac:dyDescent="0.25">
      <c r="A73" t="s">
        <v>795</v>
      </c>
      <c r="B73" t="s">
        <v>235</v>
      </c>
      <c r="C73">
        <f t="shared" si="6"/>
        <v>5</v>
      </c>
      <c r="E73" t="str">
        <f t="shared" si="7"/>
        <v>new Country { FifaAlphaCode = "</v>
      </c>
      <c r="F73" t="str">
        <f t="shared" si="8"/>
        <v>GAB</v>
      </c>
      <c r="G73" t="str">
        <f t="shared" si="9"/>
        <v>", CountryName = "</v>
      </c>
      <c r="H73" t="str">
        <f t="shared" si="10"/>
        <v>Gabon</v>
      </c>
      <c r="I73" t="str">
        <f t="shared" si="11"/>
        <v>"},</v>
      </c>
    </row>
    <row r="74" spans="1:9" x14ac:dyDescent="0.25">
      <c r="A74" t="s">
        <v>1098</v>
      </c>
      <c r="B74" t="s">
        <v>956</v>
      </c>
      <c r="C74">
        <f t="shared" si="6"/>
        <v>6</v>
      </c>
      <c r="E74" t="str">
        <f t="shared" si="7"/>
        <v>new Country { FifaAlphaCode = "</v>
      </c>
      <c r="F74" t="str">
        <f t="shared" si="8"/>
        <v>GAM</v>
      </c>
      <c r="G74" t="str">
        <f t="shared" si="9"/>
        <v>", CountryName = "</v>
      </c>
      <c r="H74" t="str">
        <f t="shared" si="10"/>
        <v>Gambia</v>
      </c>
      <c r="I74" t="str">
        <f t="shared" si="11"/>
        <v>"},</v>
      </c>
    </row>
    <row r="75" spans="1:9" x14ac:dyDescent="0.25">
      <c r="A75" t="s">
        <v>239</v>
      </c>
      <c r="B75" t="s">
        <v>241</v>
      </c>
      <c r="C75">
        <f t="shared" si="6"/>
        <v>7</v>
      </c>
      <c r="E75" t="str">
        <f t="shared" si="7"/>
        <v>new Country { FifaAlphaCode = "</v>
      </c>
      <c r="F75" t="str">
        <f t="shared" si="8"/>
        <v>GEO</v>
      </c>
      <c r="G75" t="str">
        <f t="shared" si="9"/>
        <v>", CountryName = "</v>
      </c>
      <c r="H75" t="str">
        <f t="shared" si="10"/>
        <v>Georgia</v>
      </c>
      <c r="I75" t="str">
        <f t="shared" si="11"/>
        <v>"},</v>
      </c>
    </row>
    <row r="76" spans="1:9" x14ac:dyDescent="0.25">
      <c r="A76" t="s">
        <v>797</v>
      </c>
      <c r="B76" t="s">
        <v>957</v>
      </c>
      <c r="C76">
        <f t="shared" si="6"/>
        <v>7</v>
      </c>
      <c r="E76" t="str">
        <f t="shared" si="7"/>
        <v>new Country { FifaAlphaCode = "</v>
      </c>
      <c r="F76" t="str">
        <f t="shared" si="8"/>
        <v>GER</v>
      </c>
      <c r="G76" t="str">
        <f t="shared" si="9"/>
        <v>", CountryName = "</v>
      </c>
      <c r="H76" t="str">
        <f t="shared" si="10"/>
        <v>Germany</v>
      </c>
      <c r="I76" t="str">
        <f t="shared" si="11"/>
        <v>"},</v>
      </c>
    </row>
    <row r="77" spans="1:9" x14ac:dyDescent="0.25">
      <c r="A77" t="s">
        <v>798</v>
      </c>
      <c r="B77" t="s">
        <v>247</v>
      </c>
      <c r="C77">
        <f t="shared" si="6"/>
        <v>5</v>
      </c>
      <c r="E77" t="str">
        <f t="shared" si="7"/>
        <v>new Country { FifaAlphaCode = "</v>
      </c>
      <c r="F77" t="str">
        <f t="shared" si="8"/>
        <v>GHA</v>
      </c>
      <c r="G77" t="str">
        <f t="shared" si="9"/>
        <v>", CountryName = "</v>
      </c>
      <c r="H77" t="str">
        <f t="shared" si="10"/>
        <v>Ghana</v>
      </c>
      <c r="I77" t="str">
        <f t="shared" si="11"/>
        <v>"},</v>
      </c>
    </row>
    <row r="78" spans="1:9" x14ac:dyDescent="0.25">
      <c r="A78" t="s">
        <v>248</v>
      </c>
      <c r="B78" t="s">
        <v>250</v>
      </c>
      <c r="C78">
        <f t="shared" si="6"/>
        <v>9</v>
      </c>
      <c r="E78" t="str">
        <f t="shared" si="7"/>
        <v>new Country { FifaAlphaCode = "</v>
      </c>
      <c r="F78" t="str">
        <f t="shared" si="8"/>
        <v>GIB</v>
      </c>
      <c r="G78" t="str">
        <f t="shared" si="9"/>
        <v>", CountryName = "</v>
      </c>
      <c r="H78" t="str">
        <f t="shared" si="10"/>
        <v>Gibraltar</v>
      </c>
      <c r="I78" t="str">
        <f t="shared" si="11"/>
        <v>"},</v>
      </c>
    </row>
    <row r="79" spans="1:9" x14ac:dyDescent="0.25">
      <c r="A79" t="s">
        <v>799</v>
      </c>
      <c r="B79" t="s">
        <v>958</v>
      </c>
      <c r="C79">
        <f t="shared" si="6"/>
        <v>6</v>
      </c>
      <c r="E79" t="str">
        <f t="shared" si="7"/>
        <v>new Country { FifaAlphaCode = "</v>
      </c>
      <c r="F79" t="str">
        <f t="shared" si="8"/>
        <v>GRE</v>
      </c>
      <c r="G79" t="str">
        <f t="shared" si="9"/>
        <v>", CountryName = "</v>
      </c>
      <c r="H79" t="str">
        <f t="shared" si="10"/>
        <v>Greece</v>
      </c>
      <c r="I79" t="str">
        <f t="shared" si="11"/>
        <v>"},</v>
      </c>
    </row>
    <row r="80" spans="1:9" x14ac:dyDescent="0.25">
      <c r="A80" t="s">
        <v>257</v>
      </c>
      <c r="B80" t="s">
        <v>959</v>
      </c>
      <c r="C80">
        <f t="shared" si="6"/>
        <v>7</v>
      </c>
      <c r="E80" t="str">
        <f t="shared" si="7"/>
        <v>new Country { FifaAlphaCode = "</v>
      </c>
      <c r="F80" t="str">
        <f t="shared" si="8"/>
        <v>GRN</v>
      </c>
      <c r="G80" t="str">
        <f t="shared" si="9"/>
        <v>", CountryName = "</v>
      </c>
      <c r="H80" t="str">
        <f t="shared" si="10"/>
        <v>Grenada</v>
      </c>
      <c r="I80" t="str">
        <f t="shared" si="11"/>
        <v>"},</v>
      </c>
    </row>
    <row r="81" spans="1:9" x14ac:dyDescent="0.25">
      <c r="A81" t="s">
        <v>801</v>
      </c>
      <c r="B81" t="s">
        <v>265</v>
      </c>
      <c r="C81">
        <f t="shared" si="6"/>
        <v>4</v>
      </c>
      <c r="E81" t="str">
        <f t="shared" si="7"/>
        <v>new Country { FifaAlphaCode = "</v>
      </c>
      <c r="F81" t="str">
        <f t="shared" si="8"/>
        <v>GUM</v>
      </c>
      <c r="G81" t="str">
        <f t="shared" si="9"/>
        <v>", CountryName = "</v>
      </c>
      <c r="H81" t="str">
        <f t="shared" si="10"/>
        <v>Guam</v>
      </c>
      <c r="I81" t="str">
        <f t="shared" si="11"/>
        <v>"},</v>
      </c>
    </row>
    <row r="82" spans="1:9" x14ac:dyDescent="0.25">
      <c r="A82" t="s">
        <v>802</v>
      </c>
      <c r="B82" t="s">
        <v>960</v>
      </c>
      <c r="C82">
        <f t="shared" si="6"/>
        <v>9</v>
      </c>
      <c r="E82" t="str">
        <f t="shared" si="7"/>
        <v>new Country { FifaAlphaCode = "</v>
      </c>
      <c r="F82" t="str">
        <f t="shared" si="8"/>
        <v>GUA</v>
      </c>
      <c r="G82" t="str">
        <f t="shared" si="9"/>
        <v>", CountryName = "</v>
      </c>
      <c r="H82" t="str">
        <f t="shared" si="10"/>
        <v>Guatemala</v>
      </c>
      <c r="I82" t="str">
        <f t="shared" si="11"/>
        <v>"},</v>
      </c>
    </row>
    <row r="83" spans="1:9" x14ac:dyDescent="0.25">
      <c r="A83" t="s">
        <v>804</v>
      </c>
      <c r="B83" t="s">
        <v>961</v>
      </c>
      <c r="C83">
        <f t="shared" si="6"/>
        <v>6</v>
      </c>
      <c r="E83" t="str">
        <f t="shared" si="7"/>
        <v>new Country { FifaAlphaCode = "</v>
      </c>
      <c r="F83" t="str">
        <f t="shared" si="8"/>
        <v>GUI</v>
      </c>
      <c r="G83" t="str">
        <f t="shared" si="9"/>
        <v>", CountryName = "</v>
      </c>
      <c r="H83" t="str">
        <f t="shared" si="10"/>
        <v>Guinea</v>
      </c>
      <c r="I83" t="str">
        <f t="shared" si="11"/>
        <v>"},</v>
      </c>
    </row>
    <row r="84" spans="1:9" x14ac:dyDescent="0.25">
      <c r="A84" t="s">
        <v>805</v>
      </c>
      <c r="B84" t="s">
        <v>277</v>
      </c>
      <c r="C84">
        <f t="shared" si="6"/>
        <v>13</v>
      </c>
      <c r="E84" t="str">
        <f t="shared" si="7"/>
        <v>new Country { FifaAlphaCode = "</v>
      </c>
      <c r="F84" t="str">
        <f t="shared" si="8"/>
        <v>GNB</v>
      </c>
      <c r="G84" t="str">
        <f t="shared" si="9"/>
        <v>", CountryName = "</v>
      </c>
      <c r="H84" t="str">
        <f t="shared" si="10"/>
        <v>Guinea-Bissau</v>
      </c>
      <c r="I84" t="str">
        <f t="shared" si="11"/>
        <v>"},</v>
      </c>
    </row>
    <row r="85" spans="1:9" x14ac:dyDescent="0.25">
      <c r="A85" t="s">
        <v>806</v>
      </c>
      <c r="B85" t="s">
        <v>280</v>
      </c>
      <c r="C85">
        <f t="shared" si="6"/>
        <v>6</v>
      </c>
      <c r="E85" t="str">
        <f t="shared" si="7"/>
        <v>new Country { FifaAlphaCode = "</v>
      </c>
      <c r="F85" t="str">
        <f t="shared" si="8"/>
        <v>GUY</v>
      </c>
      <c r="G85" t="str">
        <f t="shared" si="9"/>
        <v>", CountryName = "</v>
      </c>
      <c r="H85" t="str">
        <f t="shared" si="10"/>
        <v>Guyana</v>
      </c>
      <c r="I85" t="str">
        <f t="shared" si="11"/>
        <v>"},</v>
      </c>
    </row>
    <row r="86" spans="1:9" x14ac:dyDescent="0.25">
      <c r="A86" t="s">
        <v>807</v>
      </c>
      <c r="B86" t="s">
        <v>962</v>
      </c>
      <c r="C86">
        <f t="shared" si="6"/>
        <v>5</v>
      </c>
      <c r="E86" t="str">
        <f t="shared" si="7"/>
        <v>new Country { FifaAlphaCode = "</v>
      </c>
      <c r="F86" t="str">
        <f t="shared" si="8"/>
        <v>HAI</v>
      </c>
      <c r="G86" t="str">
        <f t="shared" si="9"/>
        <v>", CountryName = "</v>
      </c>
      <c r="H86" t="str">
        <f t="shared" si="10"/>
        <v>Haiti</v>
      </c>
      <c r="I86" t="str">
        <f t="shared" si="11"/>
        <v>"},</v>
      </c>
    </row>
    <row r="87" spans="1:9" x14ac:dyDescent="0.25">
      <c r="A87" t="s">
        <v>810</v>
      </c>
      <c r="B87" t="s">
        <v>963</v>
      </c>
      <c r="C87">
        <f t="shared" si="6"/>
        <v>8</v>
      </c>
      <c r="E87" t="str">
        <f t="shared" si="7"/>
        <v>new Country { FifaAlphaCode = "</v>
      </c>
      <c r="F87" t="str">
        <f t="shared" si="8"/>
        <v>HON</v>
      </c>
      <c r="G87" t="str">
        <f t="shared" si="9"/>
        <v>", CountryName = "</v>
      </c>
      <c r="H87" t="str">
        <f t="shared" si="10"/>
        <v>Honduras</v>
      </c>
      <c r="I87" t="str">
        <f t="shared" si="11"/>
        <v>"},</v>
      </c>
    </row>
    <row r="88" spans="1:9" x14ac:dyDescent="0.25">
      <c r="A88" t="s">
        <v>811</v>
      </c>
      <c r="B88" t="s">
        <v>296</v>
      </c>
      <c r="C88">
        <f t="shared" si="6"/>
        <v>9</v>
      </c>
      <c r="E88" t="str">
        <f t="shared" si="7"/>
        <v>new Country { FifaAlphaCode = "</v>
      </c>
      <c r="F88" t="str">
        <f t="shared" si="8"/>
        <v>HKG</v>
      </c>
      <c r="G88" t="str">
        <f t="shared" si="9"/>
        <v>", CountryName = "</v>
      </c>
      <c r="H88" t="str">
        <f t="shared" si="10"/>
        <v>Hong Kong</v>
      </c>
      <c r="I88" t="str">
        <f t="shared" si="11"/>
        <v>"},</v>
      </c>
    </row>
    <row r="89" spans="1:9" x14ac:dyDescent="0.25">
      <c r="A89" t="s">
        <v>297</v>
      </c>
      <c r="B89" t="s">
        <v>299</v>
      </c>
      <c r="C89">
        <f t="shared" si="6"/>
        <v>7</v>
      </c>
      <c r="E89" t="str">
        <f t="shared" si="7"/>
        <v>new Country { FifaAlphaCode = "</v>
      </c>
      <c r="F89" t="str">
        <f t="shared" si="8"/>
        <v>HUN</v>
      </c>
      <c r="G89" t="str">
        <f t="shared" si="9"/>
        <v>", CountryName = "</v>
      </c>
      <c r="H89" t="str">
        <f t="shared" si="10"/>
        <v>Hungary</v>
      </c>
      <c r="I89" t="str">
        <f t="shared" si="11"/>
        <v>"},</v>
      </c>
    </row>
    <row r="90" spans="1:9" x14ac:dyDescent="0.25">
      <c r="A90" t="s">
        <v>300</v>
      </c>
      <c r="B90" t="s">
        <v>302</v>
      </c>
      <c r="C90">
        <f t="shared" si="6"/>
        <v>7</v>
      </c>
      <c r="E90" t="str">
        <f t="shared" si="7"/>
        <v>new Country { FifaAlphaCode = "</v>
      </c>
      <c r="F90" t="str">
        <f t="shared" si="8"/>
        <v>ISL</v>
      </c>
      <c r="G90" t="str">
        <f t="shared" si="9"/>
        <v>", CountryName = "</v>
      </c>
      <c r="H90" t="str">
        <f t="shared" si="10"/>
        <v>Iceland</v>
      </c>
      <c r="I90" t="str">
        <f t="shared" si="11"/>
        <v>"},</v>
      </c>
    </row>
    <row r="91" spans="1:9" x14ac:dyDescent="0.25">
      <c r="A91" t="s">
        <v>812</v>
      </c>
      <c r="B91" t="s">
        <v>305</v>
      </c>
      <c r="C91">
        <f t="shared" si="6"/>
        <v>5</v>
      </c>
      <c r="E91" t="str">
        <f t="shared" si="7"/>
        <v>new Country { FifaAlphaCode = "</v>
      </c>
      <c r="F91" t="str">
        <f t="shared" si="8"/>
        <v>IND</v>
      </c>
      <c r="G91" t="str">
        <f t="shared" si="9"/>
        <v>", CountryName = "</v>
      </c>
      <c r="H91" t="str">
        <f t="shared" si="10"/>
        <v>India</v>
      </c>
      <c r="I91" t="str">
        <f t="shared" si="11"/>
        <v>"},</v>
      </c>
    </row>
    <row r="92" spans="1:9" x14ac:dyDescent="0.25">
      <c r="A92" t="s">
        <v>813</v>
      </c>
      <c r="B92" t="s">
        <v>308</v>
      </c>
      <c r="C92">
        <f t="shared" si="6"/>
        <v>9</v>
      </c>
      <c r="E92" t="str">
        <f t="shared" si="7"/>
        <v>new Country { FifaAlphaCode = "</v>
      </c>
      <c r="F92" t="str">
        <f t="shared" si="8"/>
        <v>IDN</v>
      </c>
      <c r="G92" t="str">
        <f t="shared" si="9"/>
        <v>", CountryName = "</v>
      </c>
      <c r="H92" t="str">
        <f t="shared" si="10"/>
        <v>Indonesia</v>
      </c>
      <c r="I92" t="str">
        <f t="shared" si="11"/>
        <v>"},</v>
      </c>
    </row>
    <row r="93" spans="1:9" x14ac:dyDescent="0.25">
      <c r="A93" t="s">
        <v>1051</v>
      </c>
      <c r="B93" t="s">
        <v>311</v>
      </c>
      <c r="C93">
        <f t="shared" si="6"/>
        <v>4</v>
      </c>
      <c r="E93" t="str">
        <f t="shared" si="7"/>
        <v>new Country { FifaAlphaCode = "</v>
      </c>
      <c r="F93" t="str">
        <f t="shared" si="8"/>
        <v>IRN</v>
      </c>
      <c r="G93" t="str">
        <f t="shared" si="9"/>
        <v>", CountryName = "</v>
      </c>
      <c r="H93" t="str">
        <f t="shared" si="10"/>
        <v>Iran</v>
      </c>
      <c r="I93" t="str">
        <f t="shared" si="11"/>
        <v>"},</v>
      </c>
    </row>
    <row r="94" spans="1:9" x14ac:dyDescent="0.25">
      <c r="A94" t="s">
        <v>814</v>
      </c>
      <c r="B94" t="s">
        <v>314</v>
      </c>
      <c r="C94">
        <f t="shared" si="6"/>
        <v>4</v>
      </c>
      <c r="E94" t="str">
        <f t="shared" si="7"/>
        <v>new Country { FifaAlphaCode = "</v>
      </c>
      <c r="F94" t="str">
        <f t="shared" si="8"/>
        <v>IRQ</v>
      </c>
      <c r="G94" t="str">
        <f t="shared" si="9"/>
        <v>", CountryName = "</v>
      </c>
      <c r="H94" t="str">
        <f t="shared" si="10"/>
        <v>Iraq</v>
      </c>
      <c r="I94" t="str">
        <f t="shared" si="11"/>
        <v>"},</v>
      </c>
    </row>
    <row r="95" spans="1:9" x14ac:dyDescent="0.25">
      <c r="A95" t="s">
        <v>816</v>
      </c>
      <c r="B95" t="s">
        <v>323</v>
      </c>
      <c r="C95">
        <f t="shared" si="6"/>
        <v>6</v>
      </c>
      <c r="E95" t="str">
        <f t="shared" si="7"/>
        <v>new Country { FifaAlphaCode = "</v>
      </c>
      <c r="F95" t="str">
        <f t="shared" si="8"/>
        <v>ISR</v>
      </c>
      <c r="G95" t="str">
        <f t="shared" si="9"/>
        <v>", CountryName = "</v>
      </c>
      <c r="H95" t="str">
        <f t="shared" si="10"/>
        <v>Israel</v>
      </c>
      <c r="I95" t="str">
        <f t="shared" si="11"/>
        <v>"},</v>
      </c>
    </row>
    <row r="96" spans="1:9" x14ac:dyDescent="0.25">
      <c r="A96" t="s">
        <v>817</v>
      </c>
      <c r="B96" t="s">
        <v>326</v>
      </c>
      <c r="C96">
        <f t="shared" si="6"/>
        <v>5</v>
      </c>
      <c r="E96" t="str">
        <f t="shared" si="7"/>
        <v>new Country { FifaAlphaCode = "</v>
      </c>
      <c r="F96" t="str">
        <f t="shared" si="8"/>
        <v>ITA</v>
      </c>
      <c r="G96" t="str">
        <f t="shared" si="9"/>
        <v>", CountryName = "</v>
      </c>
      <c r="H96" t="str">
        <f t="shared" si="10"/>
        <v>Italy</v>
      </c>
      <c r="I96" t="str">
        <f t="shared" si="11"/>
        <v>"},</v>
      </c>
    </row>
    <row r="97" spans="1:9" x14ac:dyDescent="0.25">
      <c r="A97" t="s">
        <v>1099</v>
      </c>
      <c r="B97" t="s">
        <v>155</v>
      </c>
      <c r="C97">
        <f t="shared" si="6"/>
        <v>11</v>
      </c>
      <c r="E97" t="str">
        <f t="shared" si="7"/>
        <v>new Country { FifaAlphaCode = "</v>
      </c>
      <c r="F97" t="str">
        <f t="shared" si="8"/>
        <v>CIV</v>
      </c>
      <c r="G97" t="str">
        <f t="shared" si="9"/>
        <v>", CountryName = "</v>
      </c>
      <c r="H97" t="str">
        <f t="shared" si="10"/>
        <v>Ivory Coast</v>
      </c>
      <c r="I97" t="str">
        <f t="shared" si="11"/>
        <v>"},</v>
      </c>
    </row>
    <row r="98" spans="1:9" x14ac:dyDescent="0.25">
      <c r="A98" t="s">
        <v>327</v>
      </c>
      <c r="B98" t="s">
        <v>329</v>
      </c>
      <c r="C98">
        <f t="shared" si="6"/>
        <v>7</v>
      </c>
      <c r="E98" t="str">
        <f t="shared" si="7"/>
        <v>new Country { FifaAlphaCode = "</v>
      </c>
      <c r="F98" t="str">
        <f t="shared" si="8"/>
        <v>JAM</v>
      </c>
      <c r="G98" t="str">
        <f t="shared" si="9"/>
        <v>", CountryName = "</v>
      </c>
      <c r="H98" t="str">
        <f t="shared" si="10"/>
        <v>Jamaica</v>
      </c>
      <c r="I98" t="str">
        <f t="shared" si="11"/>
        <v>"},</v>
      </c>
    </row>
    <row r="99" spans="1:9" x14ac:dyDescent="0.25">
      <c r="A99" t="s">
        <v>330</v>
      </c>
      <c r="B99" t="s">
        <v>332</v>
      </c>
      <c r="C99">
        <f t="shared" si="6"/>
        <v>5</v>
      </c>
      <c r="E99" t="str">
        <f t="shared" si="7"/>
        <v>new Country { FifaAlphaCode = "</v>
      </c>
      <c r="F99" t="str">
        <f t="shared" si="8"/>
        <v>JPN</v>
      </c>
      <c r="G99" t="str">
        <f t="shared" si="9"/>
        <v>", CountryName = "</v>
      </c>
      <c r="H99" t="str">
        <f t="shared" si="10"/>
        <v>Japan</v>
      </c>
      <c r="I99" t="str">
        <f t="shared" si="11"/>
        <v>"},</v>
      </c>
    </row>
    <row r="100" spans="1:9" x14ac:dyDescent="0.25">
      <c r="A100" t="s">
        <v>819</v>
      </c>
      <c r="B100" t="s">
        <v>338</v>
      </c>
      <c r="C100">
        <f t="shared" si="6"/>
        <v>6</v>
      </c>
      <c r="E100" t="str">
        <f t="shared" si="7"/>
        <v>new Country { FifaAlphaCode = "</v>
      </c>
      <c r="F100" t="str">
        <f t="shared" si="8"/>
        <v>JOR</v>
      </c>
      <c r="G100" t="str">
        <f t="shared" si="9"/>
        <v>", CountryName = "</v>
      </c>
      <c r="H100" t="str">
        <f t="shared" si="10"/>
        <v>Jordan</v>
      </c>
      <c r="I100" t="str">
        <f t="shared" si="11"/>
        <v>"},</v>
      </c>
    </row>
    <row r="101" spans="1:9" x14ac:dyDescent="0.25">
      <c r="A101" t="s">
        <v>820</v>
      </c>
      <c r="B101" t="s">
        <v>341</v>
      </c>
      <c r="C101">
        <f t="shared" si="6"/>
        <v>10</v>
      </c>
      <c r="E101" t="str">
        <f t="shared" si="7"/>
        <v>new Country { FifaAlphaCode = "</v>
      </c>
      <c r="F101" t="str">
        <f t="shared" si="8"/>
        <v>KAZ</v>
      </c>
      <c r="G101" t="str">
        <f t="shared" si="9"/>
        <v>", CountryName = "</v>
      </c>
      <c r="H101" t="str">
        <f t="shared" si="10"/>
        <v>Kazakhstan</v>
      </c>
      <c r="I101" t="str">
        <f t="shared" si="11"/>
        <v>"},</v>
      </c>
    </row>
    <row r="102" spans="1:9" x14ac:dyDescent="0.25">
      <c r="A102" t="s">
        <v>821</v>
      </c>
      <c r="B102" t="s">
        <v>344</v>
      </c>
      <c r="C102">
        <f t="shared" si="6"/>
        <v>5</v>
      </c>
      <c r="E102" t="str">
        <f t="shared" si="7"/>
        <v>new Country { FifaAlphaCode = "</v>
      </c>
      <c r="F102" t="str">
        <f t="shared" si="8"/>
        <v>KEN</v>
      </c>
      <c r="G102" t="str">
        <f t="shared" si="9"/>
        <v>", CountryName = "</v>
      </c>
      <c r="H102" t="str">
        <f t="shared" si="10"/>
        <v>Kenya</v>
      </c>
      <c r="I102" t="str">
        <f t="shared" si="11"/>
        <v>"},</v>
      </c>
    </row>
    <row r="103" spans="1:9" x14ac:dyDescent="0.25">
      <c r="A103" t="s">
        <v>1100</v>
      </c>
      <c r="B103" t="s">
        <v>964</v>
      </c>
      <c r="C103">
        <f t="shared" si="6"/>
        <v>6</v>
      </c>
      <c r="E103" t="str">
        <f t="shared" si="7"/>
        <v>new Country { FifaAlphaCode = "</v>
      </c>
      <c r="F103" t="str">
        <f t="shared" si="8"/>
        <v>KVX</v>
      </c>
      <c r="G103" t="str">
        <f t="shared" si="9"/>
        <v>", CountryName = "</v>
      </c>
      <c r="H103" t="str">
        <f t="shared" si="10"/>
        <v>Kosovo</v>
      </c>
      <c r="I103" t="str">
        <f t="shared" si="11"/>
        <v>"},</v>
      </c>
    </row>
    <row r="104" spans="1:9" x14ac:dyDescent="0.25">
      <c r="A104" t="s">
        <v>823</v>
      </c>
      <c r="B104" t="s">
        <v>965</v>
      </c>
      <c r="C104">
        <f t="shared" si="6"/>
        <v>6</v>
      </c>
      <c r="E104" t="str">
        <f t="shared" si="7"/>
        <v>new Country { FifaAlphaCode = "</v>
      </c>
      <c r="F104" t="str">
        <f t="shared" si="8"/>
        <v>KUW</v>
      </c>
      <c r="G104" t="str">
        <f t="shared" si="9"/>
        <v>", CountryName = "</v>
      </c>
      <c r="H104" t="str">
        <f t="shared" si="10"/>
        <v>Kuwait</v>
      </c>
      <c r="I104" t="str">
        <f t="shared" si="11"/>
        <v>"},</v>
      </c>
    </row>
    <row r="105" spans="1:9" x14ac:dyDescent="0.25">
      <c r="A105" t="s">
        <v>824</v>
      </c>
      <c r="B105" t="s">
        <v>359</v>
      </c>
      <c r="C105">
        <f t="shared" si="6"/>
        <v>10</v>
      </c>
      <c r="E105" t="str">
        <f t="shared" si="7"/>
        <v>new Country { FifaAlphaCode = "</v>
      </c>
      <c r="F105" t="str">
        <f t="shared" si="8"/>
        <v>KGZ</v>
      </c>
      <c r="G105" t="str">
        <f t="shared" si="9"/>
        <v>", CountryName = "</v>
      </c>
      <c r="H105" t="str">
        <f t="shared" si="10"/>
        <v>Kyrgyzstan</v>
      </c>
      <c r="I105" t="str">
        <f t="shared" si="11"/>
        <v>"},</v>
      </c>
    </row>
    <row r="106" spans="1:9" x14ac:dyDescent="0.25">
      <c r="A106" t="s">
        <v>1101</v>
      </c>
      <c r="B106" t="s">
        <v>362</v>
      </c>
      <c r="C106">
        <f t="shared" si="6"/>
        <v>4</v>
      </c>
      <c r="E106" t="str">
        <f t="shared" si="7"/>
        <v>new Country { FifaAlphaCode = "</v>
      </c>
      <c r="F106" t="str">
        <f t="shared" si="8"/>
        <v>LAO</v>
      </c>
      <c r="G106" t="str">
        <f t="shared" si="9"/>
        <v>", CountryName = "</v>
      </c>
      <c r="H106" t="str">
        <f t="shared" si="10"/>
        <v>Laos</v>
      </c>
      <c r="I106" t="str">
        <f t="shared" si="11"/>
        <v>"},</v>
      </c>
    </row>
    <row r="107" spans="1:9" x14ac:dyDescent="0.25">
      <c r="A107" t="s">
        <v>826</v>
      </c>
      <c r="B107" t="s">
        <v>365</v>
      </c>
      <c r="C107">
        <f t="shared" si="6"/>
        <v>6</v>
      </c>
      <c r="E107" t="str">
        <f t="shared" si="7"/>
        <v>new Country { FifaAlphaCode = "</v>
      </c>
      <c r="F107" t="str">
        <f t="shared" si="8"/>
        <v>LVA</v>
      </c>
      <c r="G107" t="str">
        <f t="shared" si="9"/>
        <v>", CountryName = "</v>
      </c>
      <c r="H107" t="str">
        <f t="shared" si="10"/>
        <v>Latvia</v>
      </c>
      <c r="I107" t="str">
        <f t="shared" si="11"/>
        <v>"},</v>
      </c>
    </row>
    <row r="108" spans="1:9" x14ac:dyDescent="0.25">
      <c r="A108" t="s">
        <v>827</v>
      </c>
      <c r="B108" t="s">
        <v>368</v>
      </c>
      <c r="C108">
        <f t="shared" si="6"/>
        <v>7</v>
      </c>
      <c r="E108" t="str">
        <f t="shared" si="7"/>
        <v>new Country { FifaAlphaCode = "</v>
      </c>
      <c r="F108" t="str">
        <f t="shared" si="8"/>
        <v>LBN</v>
      </c>
      <c r="G108" t="str">
        <f t="shared" si="9"/>
        <v>", CountryName = "</v>
      </c>
      <c r="H108" t="str">
        <f t="shared" si="10"/>
        <v>Lebanon</v>
      </c>
      <c r="I108" t="str">
        <f t="shared" si="11"/>
        <v>"},</v>
      </c>
    </row>
    <row r="109" spans="1:9" x14ac:dyDescent="0.25">
      <c r="A109" t="s">
        <v>828</v>
      </c>
      <c r="B109" t="s">
        <v>966</v>
      </c>
      <c r="C109">
        <f t="shared" si="6"/>
        <v>7</v>
      </c>
      <c r="E109" t="str">
        <f t="shared" si="7"/>
        <v>new Country { FifaAlphaCode = "</v>
      </c>
      <c r="F109" t="str">
        <f t="shared" si="8"/>
        <v>LES</v>
      </c>
      <c r="G109" t="str">
        <f t="shared" si="9"/>
        <v>", CountryName = "</v>
      </c>
      <c r="H109" t="str">
        <f t="shared" si="10"/>
        <v>Lesotho</v>
      </c>
      <c r="I109" t="str">
        <f t="shared" si="11"/>
        <v>"},</v>
      </c>
    </row>
    <row r="110" spans="1:9" x14ac:dyDescent="0.25">
      <c r="A110" t="s">
        <v>829</v>
      </c>
      <c r="B110" t="s">
        <v>374</v>
      </c>
      <c r="C110">
        <f t="shared" si="6"/>
        <v>7</v>
      </c>
      <c r="E110" t="str">
        <f t="shared" si="7"/>
        <v>new Country { FifaAlphaCode = "</v>
      </c>
      <c r="F110" t="str">
        <f t="shared" si="8"/>
        <v>LBR</v>
      </c>
      <c r="G110" t="str">
        <f t="shared" si="9"/>
        <v>", CountryName = "</v>
      </c>
      <c r="H110" t="str">
        <f t="shared" si="10"/>
        <v>Liberia</v>
      </c>
      <c r="I110" t="str">
        <f t="shared" si="11"/>
        <v>"},</v>
      </c>
    </row>
    <row r="111" spans="1:9" x14ac:dyDescent="0.25">
      <c r="A111" t="s">
        <v>830</v>
      </c>
      <c r="B111" t="s">
        <v>377</v>
      </c>
      <c r="C111">
        <f t="shared" si="6"/>
        <v>5</v>
      </c>
      <c r="E111" t="str">
        <f t="shared" si="7"/>
        <v>new Country { FifaAlphaCode = "</v>
      </c>
      <c r="F111" t="str">
        <f t="shared" si="8"/>
        <v>LBY</v>
      </c>
      <c r="G111" t="str">
        <f t="shared" si="9"/>
        <v>", CountryName = "</v>
      </c>
      <c r="H111" t="str">
        <f t="shared" si="10"/>
        <v>Libya</v>
      </c>
      <c r="I111" t="str">
        <f t="shared" si="11"/>
        <v>"},</v>
      </c>
    </row>
    <row r="112" spans="1:9" x14ac:dyDescent="0.25">
      <c r="A112" t="s">
        <v>831</v>
      </c>
      <c r="B112" t="s">
        <v>380</v>
      </c>
      <c r="C112">
        <f t="shared" si="6"/>
        <v>13</v>
      </c>
      <c r="E112" t="str">
        <f t="shared" si="7"/>
        <v>new Country { FifaAlphaCode = "</v>
      </c>
      <c r="F112" t="str">
        <f t="shared" si="8"/>
        <v>LIE</v>
      </c>
      <c r="G112" t="str">
        <f t="shared" si="9"/>
        <v>", CountryName = "</v>
      </c>
      <c r="H112" t="str">
        <f t="shared" si="10"/>
        <v>Liechtenstein</v>
      </c>
      <c r="I112" t="str">
        <f t="shared" si="11"/>
        <v>"},</v>
      </c>
    </row>
    <row r="113" spans="1:9" x14ac:dyDescent="0.25">
      <c r="A113" t="s">
        <v>832</v>
      </c>
      <c r="B113" t="s">
        <v>383</v>
      </c>
      <c r="C113">
        <f t="shared" si="6"/>
        <v>9</v>
      </c>
      <c r="E113" t="str">
        <f t="shared" si="7"/>
        <v>new Country { FifaAlphaCode = "</v>
      </c>
      <c r="F113" t="str">
        <f t="shared" si="8"/>
        <v>LTU</v>
      </c>
      <c r="G113" t="str">
        <f t="shared" si="9"/>
        <v>", CountryName = "</v>
      </c>
      <c r="H113" t="str">
        <f t="shared" si="10"/>
        <v>Lithuania</v>
      </c>
      <c r="I113" t="str">
        <f t="shared" si="11"/>
        <v>"},</v>
      </c>
    </row>
    <row r="114" spans="1:9" x14ac:dyDescent="0.25">
      <c r="A114" t="s">
        <v>833</v>
      </c>
      <c r="B114" t="s">
        <v>386</v>
      </c>
      <c r="C114">
        <f t="shared" si="6"/>
        <v>10</v>
      </c>
      <c r="E114" t="str">
        <f t="shared" si="7"/>
        <v>new Country { FifaAlphaCode = "</v>
      </c>
      <c r="F114" t="str">
        <f t="shared" si="8"/>
        <v>LUX</v>
      </c>
      <c r="G114" t="str">
        <f t="shared" si="9"/>
        <v>", CountryName = "</v>
      </c>
      <c r="H114" t="str">
        <f t="shared" si="10"/>
        <v>Luxembourg</v>
      </c>
      <c r="I114" t="str">
        <f t="shared" si="11"/>
        <v>"},</v>
      </c>
    </row>
    <row r="115" spans="1:9" x14ac:dyDescent="0.25">
      <c r="A115" t="s">
        <v>1102</v>
      </c>
      <c r="B115" t="s">
        <v>389</v>
      </c>
      <c r="C115">
        <f t="shared" si="6"/>
        <v>5</v>
      </c>
      <c r="E115" t="str">
        <f t="shared" si="7"/>
        <v>new Country { FifaAlphaCode = "</v>
      </c>
      <c r="F115" t="str">
        <f t="shared" si="8"/>
        <v>MAC</v>
      </c>
      <c r="G115" t="str">
        <f t="shared" si="9"/>
        <v>", CountryName = "</v>
      </c>
      <c r="H115" t="str">
        <f t="shared" si="10"/>
        <v>Macau</v>
      </c>
      <c r="I115" t="str">
        <f t="shared" si="11"/>
        <v>"},</v>
      </c>
    </row>
    <row r="116" spans="1:9" x14ac:dyDescent="0.25">
      <c r="A116" t="s">
        <v>836</v>
      </c>
      <c r="B116" t="s">
        <v>967</v>
      </c>
      <c r="C116">
        <f t="shared" si="6"/>
        <v>10</v>
      </c>
      <c r="E116" t="str">
        <f t="shared" si="7"/>
        <v>new Country { FifaAlphaCode = "</v>
      </c>
      <c r="F116" t="str">
        <f t="shared" si="8"/>
        <v>MAD</v>
      </c>
      <c r="G116" t="str">
        <f t="shared" si="9"/>
        <v>", CountryName = "</v>
      </c>
      <c r="H116" t="str">
        <f t="shared" si="10"/>
        <v>Madagascar</v>
      </c>
      <c r="I116" t="str">
        <f t="shared" si="11"/>
        <v>"},</v>
      </c>
    </row>
    <row r="117" spans="1:9" x14ac:dyDescent="0.25">
      <c r="A117" t="s">
        <v>837</v>
      </c>
      <c r="B117" t="s">
        <v>398</v>
      </c>
      <c r="C117">
        <f t="shared" si="6"/>
        <v>6</v>
      </c>
      <c r="E117" t="str">
        <f t="shared" si="7"/>
        <v>new Country { FifaAlphaCode = "</v>
      </c>
      <c r="F117" t="str">
        <f t="shared" si="8"/>
        <v>MWI</v>
      </c>
      <c r="G117" t="str">
        <f t="shared" si="9"/>
        <v>", CountryName = "</v>
      </c>
      <c r="H117" t="str">
        <f t="shared" si="10"/>
        <v>Malawi</v>
      </c>
      <c r="I117" t="str">
        <f t="shared" si="11"/>
        <v>"},</v>
      </c>
    </row>
    <row r="118" spans="1:9" x14ac:dyDescent="0.25">
      <c r="A118" t="s">
        <v>399</v>
      </c>
      <c r="B118" t="s">
        <v>968</v>
      </c>
      <c r="C118">
        <f t="shared" si="6"/>
        <v>8</v>
      </c>
      <c r="E118" t="str">
        <f t="shared" si="7"/>
        <v>new Country { FifaAlphaCode = "</v>
      </c>
      <c r="F118" t="str">
        <f t="shared" si="8"/>
        <v>MAS</v>
      </c>
      <c r="G118" t="str">
        <f t="shared" si="9"/>
        <v>", CountryName = "</v>
      </c>
      <c r="H118" t="str">
        <f t="shared" si="10"/>
        <v>Malaysia</v>
      </c>
      <c r="I118" t="str">
        <f t="shared" si="11"/>
        <v>"},</v>
      </c>
    </row>
    <row r="119" spans="1:9" x14ac:dyDescent="0.25">
      <c r="A119" t="s">
        <v>838</v>
      </c>
      <c r="B119" t="s">
        <v>404</v>
      </c>
      <c r="C119">
        <f t="shared" si="6"/>
        <v>8</v>
      </c>
      <c r="E119" t="str">
        <f t="shared" si="7"/>
        <v>new Country { FifaAlphaCode = "</v>
      </c>
      <c r="F119" t="str">
        <f t="shared" si="8"/>
        <v>MDV</v>
      </c>
      <c r="G119" t="str">
        <f t="shared" si="9"/>
        <v>", CountryName = "</v>
      </c>
      <c r="H119" t="str">
        <f t="shared" si="10"/>
        <v>Maldives</v>
      </c>
      <c r="I119" t="str">
        <f t="shared" si="11"/>
        <v>"},</v>
      </c>
    </row>
    <row r="120" spans="1:9" x14ac:dyDescent="0.25">
      <c r="A120" t="s">
        <v>839</v>
      </c>
      <c r="B120" t="s">
        <v>407</v>
      </c>
      <c r="C120">
        <f t="shared" si="6"/>
        <v>4</v>
      </c>
      <c r="E120" t="str">
        <f t="shared" si="7"/>
        <v>new Country { FifaAlphaCode = "</v>
      </c>
      <c r="F120" t="str">
        <f t="shared" si="8"/>
        <v>MLI</v>
      </c>
      <c r="G120" t="str">
        <f t="shared" si="9"/>
        <v>", CountryName = "</v>
      </c>
      <c r="H120" t="str">
        <f t="shared" si="10"/>
        <v>Mali</v>
      </c>
      <c r="I120" t="str">
        <f t="shared" si="11"/>
        <v>"},</v>
      </c>
    </row>
    <row r="121" spans="1:9" x14ac:dyDescent="0.25">
      <c r="A121" t="s">
        <v>840</v>
      </c>
      <c r="B121" t="s">
        <v>410</v>
      </c>
      <c r="C121">
        <f t="shared" si="6"/>
        <v>5</v>
      </c>
      <c r="E121" t="str">
        <f t="shared" si="7"/>
        <v>new Country { FifaAlphaCode = "</v>
      </c>
      <c r="F121" t="str">
        <f t="shared" si="8"/>
        <v>MLT</v>
      </c>
      <c r="G121" t="str">
        <f t="shared" si="9"/>
        <v>", CountryName = "</v>
      </c>
      <c r="H121" t="str">
        <f t="shared" si="10"/>
        <v>Malta</v>
      </c>
      <c r="I121" t="str">
        <f t="shared" si="11"/>
        <v>"},</v>
      </c>
    </row>
    <row r="122" spans="1:9" x14ac:dyDescent="0.25">
      <c r="A122" t="s">
        <v>842</v>
      </c>
      <c r="B122" t="s">
        <v>969</v>
      </c>
      <c r="C122">
        <f t="shared" si="6"/>
        <v>10</v>
      </c>
      <c r="E122" t="str">
        <f t="shared" si="7"/>
        <v>new Country { FifaAlphaCode = "</v>
      </c>
      <c r="F122" t="str">
        <f t="shared" si="8"/>
        <v>MTN</v>
      </c>
      <c r="G122" t="str">
        <f t="shared" si="9"/>
        <v>", CountryName = "</v>
      </c>
      <c r="H122" t="str">
        <f t="shared" si="10"/>
        <v>Mauritania</v>
      </c>
      <c r="I122" t="str">
        <f t="shared" si="11"/>
        <v>"},</v>
      </c>
    </row>
    <row r="123" spans="1:9" x14ac:dyDescent="0.25">
      <c r="A123" t="s">
        <v>843</v>
      </c>
      <c r="B123" t="s">
        <v>970</v>
      </c>
      <c r="C123">
        <f t="shared" si="6"/>
        <v>9</v>
      </c>
      <c r="E123" t="str">
        <f t="shared" si="7"/>
        <v>new Country { FifaAlphaCode = "</v>
      </c>
      <c r="F123" t="str">
        <f t="shared" si="8"/>
        <v>MRI</v>
      </c>
      <c r="G123" t="str">
        <f t="shared" si="9"/>
        <v>", CountryName = "</v>
      </c>
      <c r="H123" t="str">
        <f t="shared" si="10"/>
        <v>Mauritius</v>
      </c>
      <c r="I123" t="str">
        <f t="shared" si="11"/>
        <v>"},</v>
      </c>
    </row>
    <row r="124" spans="1:9" x14ac:dyDescent="0.25">
      <c r="A124" t="s">
        <v>845</v>
      </c>
      <c r="B124" t="s">
        <v>428</v>
      </c>
      <c r="C124">
        <f t="shared" si="6"/>
        <v>6</v>
      </c>
      <c r="E124" t="str">
        <f t="shared" si="7"/>
        <v>new Country { FifaAlphaCode = "</v>
      </c>
      <c r="F124" t="str">
        <f t="shared" si="8"/>
        <v>MEX</v>
      </c>
      <c r="G124" t="str">
        <f t="shared" si="9"/>
        <v>", CountryName = "</v>
      </c>
      <c r="H124" t="str">
        <f t="shared" si="10"/>
        <v>Mexico</v>
      </c>
      <c r="I124" t="str">
        <f t="shared" si="11"/>
        <v>"},</v>
      </c>
    </row>
    <row r="125" spans="1:9" x14ac:dyDescent="0.25">
      <c r="A125" t="s">
        <v>1103</v>
      </c>
      <c r="B125" t="s">
        <v>434</v>
      </c>
      <c r="C125">
        <f t="shared" si="6"/>
        <v>7</v>
      </c>
      <c r="E125" t="str">
        <f t="shared" si="7"/>
        <v>new Country { FifaAlphaCode = "</v>
      </c>
      <c r="F125" t="str">
        <f t="shared" si="8"/>
        <v>MDA</v>
      </c>
      <c r="G125" t="str">
        <f t="shared" si="9"/>
        <v>", CountryName = "</v>
      </c>
      <c r="H125" t="str">
        <f t="shared" si="10"/>
        <v>Moldova</v>
      </c>
      <c r="I125" t="str">
        <f t="shared" si="11"/>
        <v>"},</v>
      </c>
    </row>
    <row r="126" spans="1:9" x14ac:dyDescent="0.25">
      <c r="A126" t="s">
        <v>438</v>
      </c>
      <c r="B126" t="s">
        <v>440</v>
      </c>
      <c r="C126">
        <f t="shared" si="6"/>
        <v>8</v>
      </c>
      <c r="E126" t="str">
        <f t="shared" si="7"/>
        <v>new Country { FifaAlphaCode = "</v>
      </c>
      <c r="F126" t="str">
        <f t="shared" si="8"/>
        <v>MNG</v>
      </c>
      <c r="G126" t="str">
        <f t="shared" si="9"/>
        <v>", CountryName = "</v>
      </c>
      <c r="H126" t="str">
        <f t="shared" si="10"/>
        <v>Mongolia</v>
      </c>
      <c r="I126" t="str">
        <f t="shared" si="11"/>
        <v>"},</v>
      </c>
    </row>
    <row r="127" spans="1:9" x14ac:dyDescent="0.25">
      <c r="A127" t="s">
        <v>441</v>
      </c>
      <c r="B127" t="s">
        <v>443</v>
      </c>
      <c r="C127">
        <f t="shared" si="6"/>
        <v>10</v>
      </c>
      <c r="E127" t="str">
        <f t="shared" si="7"/>
        <v>new Country { FifaAlphaCode = "</v>
      </c>
      <c r="F127" t="str">
        <f t="shared" si="8"/>
        <v>MNE</v>
      </c>
      <c r="G127" t="str">
        <f t="shared" si="9"/>
        <v>", CountryName = "</v>
      </c>
      <c r="H127" t="str">
        <f t="shared" si="10"/>
        <v>Montenegro</v>
      </c>
      <c r="I127" t="str">
        <f t="shared" si="11"/>
        <v>"},</v>
      </c>
    </row>
    <row r="128" spans="1:9" x14ac:dyDescent="0.25">
      <c r="A128" t="s">
        <v>444</v>
      </c>
      <c r="B128" t="s">
        <v>446</v>
      </c>
      <c r="C128">
        <f t="shared" si="6"/>
        <v>10</v>
      </c>
      <c r="E128" t="str">
        <f t="shared" si="7"/>
        <v>new Country { FifaAlphaCode = "</v>
      </c>
      <c r="F128" t="str">
        <f t="shared" si="8"/>
        <v>MSR</v>
      </c>
      <c r="G128" t="str">
        <f t="shared" si="9"/>
        <v>", CountryName = "</v>
      </c>
      <c r="H128" t="str">
        <f t="shared" si="10"/>
        <v>Montserrat</v>
      </c>
      <c r="I128" t="str">
        <f t="shared" si="11"/>
        <v>"},</v>
      </c>
    </row>
    <row r="129" spans="1:9" x14ac:dyDescent="0.25">
      <c r="A129" t="s">
        <v>849</v>
      </c>
      <c r="B129" t="s">
        <v>449</v>
      </c>
      <c r="C129">
        <f t="shared" si="6"/>
        <v>7</v>
      </c>
      <c r="E129" t="str">
        <f t="shared" si="7"/>
        <v>new Country { FifaAlphaCode = "</v>
      </c>
      <c r="F129" t="str">
        <f t="shared" si="8"/>
        <v>MAR</v>
      </c>
      <c r="G129" t="str">
        <f t="shared" si="9"/>
        <v>", CountryName = "</v>
      </c>
      <c r="H129" t="str">
        <f t="shared" si="10"/>
        <v>Morocco</v>
      </c>
      <c r="I129" t="str">
        <f t="shared" si="11"/>
        <v>"},</v>
      </c>
    </row>
    <row r="130" spans="1:9" x14ac:dyDescent="0.25">
      <c r="A130" t="s">
        <v>850</v>
      </c>
      <c r="B130" t="s">
        <v>452</v>
      </c>
      <c r="C130">
        <f t="shared" si="6"/>
        <v>10</v>
      </c>
      <c r="E130" t="str">
        <f t="shared" si="7"/>
        <v>new Country { FifaAlphaCode = "</v>
      </c>
      <c r="F130" t="str">
        <f t="shared" si="8"/>
        <v>MOZ</v>
      </c>
      <c r="G130" t="str">
        <f t="shared" si="9"/>
        <v>", CountryName = "</v>
      </c>
      <c r="H130" t="str">
        <f t="shared" si="10"/>
        <v>Mozambique</v>
      </c>
      <c r="I130" t="str">
        <f t="shared" si="11"/>
        <v>"},</v>
      </c>
    </row>
    <row r="131" spans="1:9" x14ac:dyDescent="0.25">
      <c r="A131" t="s">
        <v>1104</v>
      </c>
      <c r="B131" t="s">
        <v>971</v>
      </c>
      <c r="C131">
        <f t="shared" ref="C131:C194" si="12">LEN(A131)</f>
        <v>7</v>
      </c>
      <c r="E131" t="str">
        <f t="shared" si="7"/>
        <v>new Country { FifaAlphaCode = "</v>
      </c>
      <c r="F131" t="str">
        <f t="shared" si="8"/>
        <v>MYA</v>
      </c>
      <c r="G131" t="str">
        <f t="shared" si="9"/>
        <v>", CountryName = "</v>
      </c>
      <c r="H131" t="str">
        <f t="shared" si="10"/>
        <v>Myanmar</v>
      </c>
      <c r="I131" t="str">
        <f t="shared" si="11"/>
        <v>"},</v>
      </c>
    </row>
    <row r="132" spans="1:9" x14ac:dyDescent="0.25">
      <c r="A132" t="s">
        <v>852</v>
      </c>
      <c r="B132" t="s">
        <v>458</v>
      </c>
      <c r="C132">
        <f t="shared" si="12"/>
        <v>7</v>
      </c>
      <c r="E132" t="str">
        <f t="shared" ref="E132:E195" si="13">E131</f>
        <v>new Country { FifaAlphaCode = "</v>
      </c>
      <c r="F132" t="str">
        <f t="shared" ref="F132:F195" si="14">B132</f>
        <v>NAM</v>
      </c>
      <c r="G132" t="str">
        <f t="shared" ref="G132:G195" si="15">G131</f>
        <v>", CountryName = "</v>
      </c>
      <c r="H132" t="str">
        <f t="shared" ref="H132:H195" si="16">A132</f>
        <v>Namibia</v>
      </c>
      <c r="I132" t="str">
        <f t="shared" ref="I132:I195" si="17">I131</f>
        <v>"},</v>
      </c>
    </row>
    <row r="133" spans="1:9" x14ac:dyDescent="0.25">
      <c r="A133" t="s">
        <v>854</v>
      </c>
      <c r="B133" t="s">
        <v>972</v>
      </c>
      <c r="C133">
        <f t="shared" si="12"/>
        <v>5</v>
      </c>
      <c r="E133" t="str">
        <f t="shared" si="13"/>
        <v>new Country { FifaAlphaCode = "</v>
      </c>
      <c r="F133" t="str">
        <f t="shared" si="14"/>
        <v>NEP</v>
      </c>
      <c r="G133" t="str">
        <f t="shared" si="15"/>
        <v>", CountryName = "</v>
      </c>
      <c r="H133" t="str">
        <f t="shared" si="16"/>
        <v>Nepal</v>
      </c>
      <c r="I133" t="str">
        <f t="shared" si="17"/>
        <v>"},</v>
      </c>
    </row>
    <row r="134" spans="1:9" x14ac:dyDescent="0.25">
      <c r="A134" t="s">
        <v>33</v>
      </c>
      <c r="B134" t="s">
        <v>973</v>
      </c>
      <c r="C134">
        <f t="shared" si="12"/>
        <v>11</v>
      </c>
      <c r="E134" t="str">
        <f t="shared" si="13"/>
        <v>new Country { FifaAlphaCode = "</v>
      </c>
      <c r="F134" t="str">
        <f t="shared" si="14"/>
        <v>NED</v>
      </c>
      <c r="G134" t="str">
        <f t="shared" si="15"/>
        <v>", CountryName = "</v>
      </c>
      <c r="H134" t="str">
        <f t="shared" si="16"/>
        <v>Netherlands</v>
      </c>
      <c r="I134" t="str">
        <f t="shared" si="17"/>
        <v>"},</v>
      </c>
    </row>
    <row r="135" spans="1:9" x14ac:dyDescent="0.25">
      <c r="A135" t="s">
        <v>468</v>
      </c>
      <c r="B135" t="s">
        <v>470</v>
      </c>
      <c r="C135">
        <f t="shared" si="12"/>
        <v>13</v>
      </c>
      <c r="E135" t="str">
        <f t="shared" si="13"/>
        <v>new Country { FifaAlphaCode = "</v>
      </c>
      <c r="F135" t="str">
        <f t="shared" si="14"/>
        <v>NCL</v>
      </c>
      <c r="G135" t="str">
        <f t="shared" si="15"/>
        <v>", CountryName = "</v>
      </c>
      <c r="H135" t="str">
        <f t="shared" si="16"/>
        <v>New Caledonia</v>
      </c>
      <c r="I135" t="str">
        <f t="shared" si="17"/>
        <v>"},</v>
      </c>
    </row>
    <row r="136" spans="1:9" x14ac:dyDescent="0.25">
      <c r="A136" t="s">
        <v>147</v>
      </c>
      <c r="B136" t="s">
        <v>472</v>
      </c>
      <c r="C136">
        <f t="shared" si="12"/>
        <v>11</v>
      </c>
      <c r="E136" t="str">
        <f t="shared" si="13"/>
        <v>new Country { FifaAlphaCode = "</v>
      </c>
      <c r="F136" t="str">
        <f t="shared" si="14"/>
        <v>NZL</v>
      </c>
      <c r="G136" t="str">
        <f t="shared" si="15"/>
        <v>", CountryName = "</v>
      </c>
      <c r="H136" t="str">
        <f t="shared" si="16"/>
        <v>New Zealand</v>
      </c>
      <c r="I136" t="str">
        <f t="shared" si="17"/>
        <v>"},</v>
      </c>
    </row>
    <row r="137" spans="1:9" x14ac:dyDescent="0.25">
      <c r="A137" t="s">
        <v>855</v>
      </c>
      <c r="B137" t="s">
        <v>974</v>
      </c>
      <c r="C137">
        <f t="shared" si="12"/>
        <v>9</v>
      </c>
      <c r="E137" t="str">
        <f t="shared" si="13"/>
        <v>new Country { FifaAlphaCode = "</v>
      </c>
      <c r="F137" t="str">
        <f t="shared" si="14"/>
        <v>NCA</v>
      </c>
      <c r="G137" t="str">
        <f t="shared" si="15"/>
        <v>", CountryName = "</v>
      </c>
      <c r="H137" t="str">
        <f t="shared" si="16"/>
        <v>Nicaragua</v>
      </c>
      <c r="I137" t="str">
        <f t="shared" si="17"/>
        <v>"},</v>
      </c>
    </row>
    <row r="138" spans="1:9" x14ac:dyDescent="0.25">
      <c r="A138" t="s">
        <v>1105</v>
      </c>
      <c r="B138" t="s">
        <v>975</v>
      </c>
      <c r="C138">
        <f t="shared" si="12"/>
        <v>5</v>
      </c>
      <c r="E138" t="str">
        <f t="shared" si="13"/>
        <v>new Country { FifaAlphaCode = "</v>
      </c>
      <c r="F138" t="str">
        <f t="shared" si="14"/>
        <v>NIG</v>
      </c>
      <c r="G138" t="str">
        <f t="shared" si="15"/>
        <v>", CountryName = "</v>
      </c>
      <c r="H138" t="str">
        <f t="shared" si="16"/>
        <v>Niger</v>
      </c>
      <c r="I138" t="str">
        <f t="shared" si="17"/>
        <v>"},</v>
      </c>
    </row>
    <row r="139" spans="1:9" x14ac:dyDescent="0.25">
      <c r="A139" t="s">
        <v>857</v>
      </c>
      <c r="B139" t="s">
        <v>481</v>
      </c>
      <c r="C139">
        <f t="shared" si="12"/>
        <v>7</v>
      </c>
      <c r="E139" t="str">
        <f t="shared" si="13"/>
        <v>new Country { FifaAlphaCode = "</v>
      </c>
      <c r="F139" t="str">
        <f t="shared" si="14"/>
        <v>NGA</v>
      </c>
      <c r="G139" t="str">
        <f t="shared" si="15"/>
        <v>", CountryName = "</v>
      </c>
      <c r="H139" t="str">
        <f t="shared" si="16"/>
        <v>Nigeria</v>
      </c>
      <c r="I139" t="str">
        <f t="shared" si="17"/>
        <v>"},</v>
      </c>
    </row>
    <row r="140" spans="1:9" x14ac:dyDescent="0.25">
      <c r="A140" t="s">
        <v>1055</v>
      </c>
      <c r="B140" t="s">
        <v>350</v>
      </c>
      <c r="C140">
        <f t="shared" si="12"/>
        <v>11</v>
      </c>
      <c r="E140" t="str">
        <f t="shared" si="13"/>
        <v>new Country { FifaAlphaCode = "</v>
      </c>
      <c r="F140" t="str">
        <f t="shared" si="14"/>
        <v>PRK</v>
      </c>
      <c r="G140" t="str">
        <f t="shared" si="15"/>
        <v>", CountryName = "</v>
      </c>
      <c r="H140" t="str">
        <f t="shared" si="16"/>
        <v>North Korea</v>
      </c>
      <c r="I140" t="str">
        <f t="shared" si="17"/>
        <v>"},</v>
      </c>
    </row>
    <row r="141" spans="1:9" x14ac:dyDescent="0.25">
      <c r="A141" t="s">
        <v>1106</v>
      </c>
      <c r="B141" t="s">
        <v>392</v>
      </c>
      <c r="C141">
        <f t="shared" si="12"/>
        <v>15</v>
      </c>
      <c r="E141" t="str">
        <f t="shared" si="13"/>
        <v>new Country { FifaAlphaCode = "</v>
      </c>
      <c r="F141" t="str">
        <f t="shared" si="14"/>
        <v>MKD</v>
      </c>
      <c r="G141" t="str">
        <f t="shared" si="15"/>
        <v>", CountryName = "</v>
      </c>
      <c r="H141" t="str">
        <f t="shared" si="16"/>
        <v>North Macedonia</v>
      </c>
      <c r="I141" t="str">
        <f t="shared" si="17"/>
        <v>"},</v>
      </c>
    </row>
    <row r="142" spans="1:9" x14ac:dyDescent="0.25">
      <c r="A142" t="s">
        <v>1033</v>
      </c>
      <c r="B142" t="s">
        <v>976</v>
      </c>
      <c r="C142">
        <f t="shared" si="12"/>
        <v>16</v>
      </c>
      <c r="E142" t="str">
        <f t="shared" si="13"/>
        <v>new Country { FifaAlphaCode = "</v>
      </c>
      <c r="F142" t="str">
        <f t="shared" si="14"/>
        <v>NIR</v>
      </c>
      <c r="G142" t="str">
        <f t="shared" si="15"/>
        <v>", CountryName = "</v>
      </c>
      <c r="H142" t="str">
        <f t="shared" si="16"/>
        <v>Northern Ireland</v>
      </c>
      <c r="I142" t="str">
        <f t="shared" si="17"/>
        <v>"},</v>
      </c>
    </row>
    <row r="143" spans="1:9" x14ac:dyDescent="0.25">
      <c r="A143" t="s">
        <v>84</v>
      </c>
      <c r="B143" t="s">
        <v>493</v>
      </c>
      <c r="C143">
        <f t="shared" si="12"/>
        <v>6</v>
      </c>
      <c r="E143" t="str">
        <f t="shared" si="13"/>
        <v>new Country { FifaAlphaCode = "</v>
      </c>
      <c r="F143" t="str">
        <f t="shared" si="14"/>
        <v>NOR</v>
      </c>
      <c r="G143" t="str">
        <f t="shared" si="15"/>
        <v>", CountryName = "</v>
      </c>
      <c r="H143" t="str">
        <f t="shared" si="16"/>
        <v>Norway</v>
      </c>
      <c r="I143" t="str">
        <f t="shared" si="17"/>
        <v>"},</v>
      </c>
    </row>
    <row r="144" spans="1:9" x14ac:dyDescent="0.25">
      <c r="A144" t="s">
        <v>860</v>
      </c>
      <c r="B144" t="s">
        <v>977</v>
      </c>
      <c r="C144">
        <f t="shared" si="12"/>
        <v>4</v>
      </c>
      <c r="E144" t="str">
        <f t="shared" si="13"/>
        <v>new Country { FifaAlphaCode = "</v>
      </c>
      <c r="F144" t="str">
        <f t="shared" si="14"/>
        <v>OMA</v>
      </c>
      <c r="G144" t="str">
        <f t="shared" si="15"/>
        <v>", CountryName = "</v>
      </c>
      <c r="H144" t="str">
        <f t="shared" si="16"/>
        <v>Oman</v>
      </c>
      <c r="I144" t="str">
        <f t="shared" si="17"/>
        <v>"},</v>
      </c>
    </row>
    <row r="145" spans="1:9" x14ac:dyDescent="0.25">
      <c r="A145" t="s">
        <v>861</v>
      </c>
      <c r="B145" t="s">
        <v>499</v>
      </c>
      <c r="C145">
        <f t="shared" si="12"/>
        <v>8</v>
      </c>
      <c r="E145" t="str">
        <f t="shared" si="13"/>
        <v>new Country { FifaAlphaCode = "</v>
      </c>
      <c r="F145" t="str">
        <f t="shared" si="14"/>
        <v>PAK</v>
      </c>
      <c r="G145" t="str">
        <f t="shared" si="15"/>
        <v>", CountryName = "</v>
      </c>
      <c r="H145" t="str">
        <f t="shared" si="16"/>
        <v>Pakistan</v>
      </c>
      <c r="I145" t="str">
        <f t="shared" si="17"/>
        <v>"},</v>
      </c>
    </row>
    <row r="146" spans="1:9" x14ac:dyDescent="0.25">
      <c r="A146" t="s">
        <v>1107</v>
      </c>
      <c r="B146" t="s">
        <v>978</v>
      </c>
      <c r="C146">
        <f t="shared" si="12"/>
        <v>9</v>
      </c>
      <c r="E146" t="str">
        <f t="shared" si="13"/>
        <v>new Country { FifaAlphaCode = "</v>
      </c>
      <c r="F146" t="str">
        <f t="shared" si="14"/>
        <v>PLE</v>
      </c>
      <c r="G146" t="str">
        <f t="shared" si="15"/>
        <v>", CountryName = "</v>
      </c>
      <c r="H146" t="str">
        <f t="shared" si="16"/>
        <v>Palestine</v>
      </c>
      <c r="I146" t="str">
        <f t="shared" si="17"/>
        <v>"},</v>
      </c>
    </row>
    <row r="147" spans="1:9" x14ac:dyDescent="0.25">
      <c r="A147" t="s">
        <v>864</v>
      </c>
      <c r="B147" t="s">
        <v>508</v>
      </c>
      <c r="C147">
        <f t="shared" si="12"/>
        <v>6</v>
      </c>
      <c r="E147" t="str">
        <f t="shared" si="13"/>
        <v>new Country { FifaAlphaCode = "</v>
      </c>
      <c r="F147" t="str">
        <f t="shared" si="14"/>
        <v>PAN</v>
      </c>
      <c r="G147" t="str">
        <f t="shared" si="15"/>
        <v>", CountryName = "</v>
      </c>
      <c r="H147" t="str">
        <f t="shared" si="16"/>
        <v>Panama</v>
      </c>
      <c r="I147" t="str">
        <f t="shared" si="17"/>
        <v>"},</v>
      </c>
    </row>
    <row r="148" spans="1:9" x14ac:dyDescent="0.25">
      <c r="A148" t="s">
        <v>865</v>
      </c>
      <c r="B148" t="s">
        <v>511</v>
      </c>
      <c r="C148">
        <f t="shared" si="12"/>
        <v>16</v>
      </c>
      <c r="E148" t="str">
        <f t="shared" si="13"/>
        <v>new Country { FifaAlphaCode = "</v>
      </c>
      <c r="F148" t="str">
        <f t="shared" si="14"/>
        <v>PNG</v>
      </c>
      <c r="G148" t="str">
        <f t="shared" si="15"/>
        <v>", CountryName = "</v>
      </c>
      <c r="H148" t="str">
        <f t="shared" si="16"/>
        <v>Papua New Guinea</v>
      </c>
      <c r="I148" t="str">
        <f t="shared" si="17"/>
        <v>"},</v>
      </c>
    </row>
    <row r="149" spans="1:9" x14ac:dyDescent="0.25">
      <c r="A149" t="s">
        <v>866</v>
      </c>
      <c r="B149" t="s">
        <v>979</v>
      </c>
      <c r="C149">
        <f t="shared" si="12"/>
        <v>8</v>
      </c>
      <c r="E149" t="str">
        <f t="shared" si="13"/>
        <v>new Country { FifaAlphaCode = "</v>
      </c>
      <c r="F149" t="str">
        <f t="shared" si="14"/>
        <v>PAR</v>
      </c>
      <c r="G149" t="str">
        <f t="shared" si="15"/>
        <v>", CountryName = "</v>
      </c>
      <c r="H149" t="str">
        <f t="shared" si="16"/>
        <v>Paraguay</v>
      </c>
      <c r="I149" t="str">
        <f t="shared" si="17"/>
        <v>"},</v>
      </c>
    </row>
    <row r="150" spans="1:9" x14ac:dyDescent="0.25">
      <c r="A150" t="s">
        <v>867</v>
      </c>
      <c r="B150" t="s">
        <v>517</v>
      </c>
      <c r="C150">
        <f t="shared" si="12"/>
        <v>4</v>
      </c>
      <c r="E150" t="str">
        <f t="shared" si="13"/>
        <v>new Country { FifaAlphaCode = "</v>
      </c>
      <c r="F150" t="str">
        <f t="shared" si="14"/>
        <v>PER</v>
      </c>
      <c r="G150" t="str">
        <f t="shared" si="15"/>
        <v>", CountryName = "</v>
      </c>
      <c r="H150" t="str">
        <f t="shared" si="16"/>
        <v>Peru</v>
      </c>
      <c r="I150" t="str">
        <f t="shared" si="17"/>
        <v>"},</v>
      </c>
    </row>
    <row r="151" spans="1:9" x14ac:dyDescent="0.25">
      <c r="A151" t="s">
        <v>1108</v>
      </c>
      <c r="B151" t="s">
        <v>980</v>
      </c>
      <c r="C151">
        <f t="shared" si="12"/>
        <v>11</v>
      </c>
      <c r="E151" t="str">
        <f t="shared" si="13"/>
        <v>new Country { FifaAlphaCode = "</v>
      </c>
      <c r="F151" t="str">
        <f t="shared" si="14"/>
        <v>PHI</v>
      </c>
      <c r="G151" t="str">
        <f t="shared" si="15"/>
        <v>", CountryName = "</v>
      </c>
      <c r="H151" t="str">
        <f t="shared" si="16"/>
        <v>Philippines</v>
      </c>
      <c r="I151" t="str">
        <f t="shared" si="17"/>
        <v>"},</v>
      </c>
    </row>
    <row r="152" spans="1:9" x14ac:dyDescent="0.25">
      <c r="A152" t="s">
        <v>870</v>
      </c>
      <c r="B152" t="s">
        <v>526</v>
      </c>
      <c r="C152">
        <f t="shared" si="12"/>
        <v>6</v>
      </c>
      <c r="E152" t="str">
        <f t="shared" si="13"/>
        <v>new Country { FifaAlphaCode = "</v>
      </c>
      <c r="F152" t="str">
        <f t="shared" si="14"/>
        <v>POL</v>
      </c>
      <c r="G152" t="str">
        <f t="shared" si="15"/>
        <v>", CountryName = "</v>
      </c>
      <c r="H152" t="str">
        <f t="shared" si="16"/>
        <v>Poland</v>
      </c>
      <c r="I152" t="str">
        <f t="shared" si="17"/>
        <v>"},</v>
      </c>
    </row>
    <row r="153" spans="1:9" x14ac:dyDescent="0.25">
      <c r="A153" t="s">
        <v>871</v>
      </c>
      <c r="B153" t="s">
        <v>981</v>
      </c>
      <c r="C153">
        <f t="shared" si="12"/>
        <v>8</v>
      </c>
      <c r="E153" t="str">
        <f t="shared" si="13"/>
        <v>new Country { FifaAlphaCode = "</v>
      </c>
      <c r="F153" t="str">
        <f t="shared" si="14"/>
        <v>POR</v>
      </c>
      <c r="G153" t="str">
        <f t="shared" si="15"/>
        <v>", CountryName = "</v>
      </c>
      <c r="H153" t="str">
        <f t="shared" si="16"/>
        <v>Portugal</v>
      </c>
      <c r="I153" t="str">
        <f t="shared" si="17"/>
        <v>"},</v>
      </c>
    </row>
    <row r="154" spans="1:9" x14ac:dyDescent="0.25">
      <c r="A154" t="s">
        <v>872</v>
      </c>
      <c r="B154" t="s">
        <v>982</v>
      </c>
      <c r="C154">
        <f t="shared" si="12"/>
        <v>11</v>
      </c>
      <c r="E154" t="str">
        <f t="shared" si="13"/>
        <v>new Country { FifaAlphaCode = "</v>
      </c>
      <c r="F154" t="str">
        <f t="shared" si="14"/>
        <v>PUR</v>
      </c>
      <c r="G154" t="str">
        <f t="shared" si="15"/>
        <v>", CountryName = "</v>
      </c>
      <c r="H154" t="str">
        <f t="shared" si="16"/>
        <v>Puerto Rico</v>
      </c>
      <c r="I154" t="str">
        <f t="shared" si="17"/>
        <v>"},</v>
      </c>
    </row>
    <row r="155" spans="1:9" x14ac:dyDescent="0.25">
      <c r="A155" t="s">
        <v>873</v>
      </c>
      <c r="B155" t="s">
        <v>535</v>
      </c>
      <c r="C155">
        <f t="shared" si="12"/>
        <v>5</v>
      </c>
      <c r="E155" t="str">
        <f t="shared" si="13"/>
        <v>new Country { FifaAlphaCode = "</v>
      </c>
      <c r="F155" t="str">
        <f t="shared" si="14"/>
        <v>QAT</v>
      </c>
      <c r="G155" t="str">
        <f t="shared" si="15"/>
        <v>", CountryName = "</v>
      </c>
      <c r="H155" t="str">
        <f t="shared" si="16"/>
        <v>Qatar</v>
      </c>
      <c r="I155" t="str">
        <f t="shared" si="17"/>
        <v>"},</v>
      </c>
    </row>
    <row r="156" spans="1:9" x14ac:dyDescent="0.25">
      <c r="A156" t="s">
        <v>1109</v>
      </c>
      <c r="B156" t="s">
        <v>317</v>
      </c>
      <c r="C156">
        <f t="shared" si="12"/>
        <v>19</v>
      </c>
      <c r="E156" t="str">
        <f t="shared" si="13"/>
        <v>new Country { FifaAlphaCode = "</v>
      </c>
      <c r="F156" t="str">
        <f t="shared" si="14"/>
        <v>IRL</v>
      </c>
      <c r="G156" t="str">
        <f t="shared" si="15"/>
        <v>", CountryName = "</v>
      </c>
      <c r="H156" t="str">
        <f t="shared" si="16"/>
        <v>Republic of Ireland</v>
      </c>
      <c r="I156" t="str">
        <f t="shared" si="17"/>
        <v>"},</v>
      </c>
    </row>
    <row r="157" spans="1:9" x14ac:dyDescent="0.25">
      <c r="A157" t="s">
        <v>539</v>
      </c>
      <c r="B157" t="s">
        <v>541</v>
      </c>
      <c r="C157">
        <f t="shared" si="12"/>
        <v>7</v>
      </c>
      <c r="E157" t="str">
        <f t="shared" si="13"/>
        <v>new Country { FifaAlphaCode = "</v>
      </c>
      <c r="F157" t="str">
        <f t="shared" si="14"/>
        <v>ROU</v>
      </c>
      <c r="G157" t="str">
        <f t="shared" si="15"/>
        <v>", CountryName = "</v>
      </c>
      <c r="H157" t="str">
        <f t="shared" si="16"/>
        <v>Romania</v>
      </c>
      <c r="I157" t="str">
        <f t="shared" si="17"/>
        <v>"},</v>
      </c>
    </row>
    <row r="158" spans="1:9" x14ac:dyDescent="0.25">
      <c r="A158" t="s">
        <v>1041</v>
      </c>
      <c r="B158" t="s">
        <v>544</v>
      </c>
      <c r="C158">
        <f t="shared" si="12"/>
        <v>6</v>
      </c>
      <c r="E158" t="str">
        <f t="shared" si="13"/>
        <v>new Country { FifaAlphaCode = "</v>
      </c>
      <c r="F158" t="str">
        <f t="shared" si="14"/>
        <v>RUS</v>
      </c>
      <c r="G158" t="str">
        <f t="shared" si="15"/>
        <v>", CountryName = "</v>
      </c>
      <c r="H158" t="str">
        <f t="shared" si="16"/>
        <v>Russia</v>
      </c>
      <c r="I158" t="str">
        <f t="shared" si="17"/>
        <v>"},</v>
      </c>
    </row>
    <row r="159" spans="1:9" x14ac:dyDescent="0.25">
      <c r="A159" t="s">
        <v>874</v>
      </c>
      <c r="B159" t="s">
        <v>547</v>
      </c>
      <c r="C159">
        <f t="shared" si="12"/>
        <v>6</v>
      </c>
      <c r="E159" t="str">
        <f t="shared" si="13"/>
        <v>new Country { FifaAlphaCode = "</v>
      </c>
      <c r="F159" t="str">
        <f t="shared" si="14"/>
        <v>RWA</v>
      </c>
      <c r="G159" t="str">
        <f t="shared" si="15"/>
        <v>", CountryName = "</v>
      </c>
      <c r="H159" t="str">
        <f t="shared" si="16"/>
        <v>Rwanda</v>
      </c>
      <c r="I159" t="str">
        <f t="shared" si="17"/>
        <v>"},</v>
      </c>
    </row>
    <row r="160" spans="1:9" x14ac:dyDescent="0.25">
      <c r="A160" t="s">
        <v>554</v>
      </c>
      <c r="B160" t="s">
        <v>983</v>
      </c>
      <c r="C160">
        <f t="shared" si="12"/>
        <v>21</v>
      </c>
      <c r="E160" t="str">
        <f t="shared" si="13"/>
        <v>new Country { FifaAlphaCode = "</v>
      </c>
      <c r="F160" t="str">
        <f t="shared" si="14"/>
        <v>SKN</v>
      </c>
      <c r="G160" t="str">
        <f t="shared" si="15"/>
        <v>", CountryName = "</v>
      </c>
      <c r="H160" t="str">
        <f t="shared" si="16"/>
        <v>Saint Kitts and Nevis</v>
      </c>
      <c r="I160" t="str">
        <f t="shared" si="17"/>
        <v>"},</v>
      </c>
    </row>
    <row r="161" spans="1:9" x14ac:dyDescent="0.25">
      <c r="A161" t="s">
        <v>557</v>
      </c>
      <c r="B161" t="s">
        <v>559</v>
      </c>
      <c r="C161">
        <f t="shared" si="12"/>
        <v>11</v>
      </c>
      <c r="E161" t="str">
        <f t="shared" si="13"/>
        <v>new Country { FifaAlphaCode = "</v>
      </c>
      <c r="F161" t="str">
        <f t="shared" si="14"/>
        <v>LCA</v>
      </c>
      <c r="G161" t="str">
        <f t="shared" si="15"/>
        <v>", CountryName = "</v>
      </c>
      <c r="H161" t="str">
        <f t="shared" si="16"/>
        <v>Saint Lucia</v>
      </c>
      <c r="I161" t="str">
        <f t="shared" si="17"/>
        <v>"},</v>
      </c>
    </row>
    <row r="162" spans="1:9" x14ac:dyDescent="0.25">
      <c r="A162" t="s">
        <v>566</v>
      </c>
      <c r="B162" t="s">
        <v>984</v>
      </c>
      <c r="C162">
        <f t="shared" si="12"/>
        <v>32</v>
      </c>
      <c r="E162" t="str">
        <f t="shared" si="13"/>
        <v>new Country { FifaAlphaCode = "</v>
      </c>
      <c r="F162" t="str">
        <f t="shared" si="14"/>
        <v>VIN</v>
      </c>
      <c r="G162" t="str">
        <f t="shared" si="15"/>
        <v>", CountryName = "</v>
      </c>
      <c r="H162" t="str">
        <f t="shared" si="16"/>
        <v>Saint Vincent and the Grenadines</v>
      </c>
      <c r="I162" t="str">
        <f t="shared" si="17"/>
        <v>"},</v>
      </c>
    </row>
    <row r="163" spans="1:9" x14ac:dyDescent="0.25">
      <c r="A163" t="s">
        <v>879</v>
      </c>
      <c r="B163" t="s">
        <v>985</v>
      </c>
      <c r="C163">
        <f t="shared" si="12"/>
        <v>5</v>
      </c>
      <c r="E163" t="str">
        <f t="shared" si="13"/>
        <v>new Country { FifaAlphaCode = "</v>
      </c>
      <c r="F163" t="str">
        <f t="shared" si="14"/>
        <v>SAM</v>
      </c>
      <c r="G163" t="str">
        <f t="shared" si="15"/>
        <v>", CountryName = "</v>
      </c>
      <c r="H163" t="str">
        <f t="shared" si="16"/>
        <v>Samoa</v>
      </c>
      <c r="I163" t="str">
        <f t="shared" si="17"/>
        <v>"},</v>
      </c>
    </row>
    <row r="164" spans="1:9" x14ac:dyDescent="0.25">
      <c r="A164" t="s">
        <v>880</v>
      </c>
      <c r="B164" t="s">
        <v>574</v>
      </c>
      <c r="C164">
        <f t="shared" si="12"/>
        <v>10</v>
      </c>
      <c r="E164" t="str">
        <f t="shared" si="13"/>
        <v>new Country { FifaAlphaCode = "</v>
      </c>
      <c r="F164" t="str">
        <f t="shared" si="14"/>
        <v>SMR</v>
      </c>
      <c r="G164" t="str">
        <f t="shared" si="15"/>
        <v>", CountryName = "</v>
      </c>
      <c r="H164" t="str">
        <f t="shared" si="16"/>
        <v>San Marino</v>
      </c>
      <c r="I164" t="str">
        <f t="shared" si="17"/>
        <v>"},</v>
      </c>
    </row>
    <row r="165" spans="1:9" x14ac:dyDescent="0.25">
      <c r="A165" t="s">
        <v>1110</v>
      </c>
      <c r="B165" t="s">
        <v>577</v>
      </c>
      <c r="C165">
        <f t="shared" si="12"/>
        <v>21</v>
      </c>
      <c r="E165" t="str">
        <f t="shared" si="13"/>
        <v>new Country { FifaAlphaCode = "</v>
      </c>
      <c r="F165" t="str">
        <f t="shared" si="14"/>
        <v>STP</v>
      </c>
      <c r="G165" t="str">
        <f t="shared" si="15"/>
        <v>", CountryName = "</v>
      </c>
      <c r="H165" t="str">
        <f t="shared" si="16"/>
        <v>São Tomé and Príncipe</v>
      </c>
      <c r="I165" t="str">
        <f t="shared" si="17"/>
        <v>"},</v>
      </c>
    </row>
    <row r="166" spans="1:9" x14ac:dyDescent="0.25">
      <c r="A166" t="s">
        <v>882</v>
      </c>
      <c r="B166" t="s">
        <v>986</v>
      </c>
      <c r="C166">
        <f t="shared" si="12"/>
        <v>12</v>
      </c>
      <c r="E166" t="str">
        <f t="shared" si="13"/>
        <v>new Country { FifaAlphaCode = "</v>
      </c>
      <c r="F166" t="str">
        <f t="shared" si="14"/>
        <v>KSA</v>
      </c>
      <c r="G166" t="str">
        <f t="shared" si="15"/>
        <v>", CountryName = "</v>
      </c>
      <c r="H166" t="str">
        <f t="shared" si="16"/>
        <v>Saudi Arabia</v>
      </c>
      <c r="I166" t="str">
        <f t="shared" si="17"/>
        <v>"},</v>
      </c>
    </row>
    <row r="167" spans="1:9" x14ac:dyDescent="0.25">
      <c r="A167" t="s">
        <v>1026</v>
      </c>
      <c r="B167" t="s">
        <v>987</v>
      </c>
      <c r="C167">
        <f t="shared" si="12"/>
        <v>8</v>
      </c>
      <c r="E167" t="str">
        <f t="shared" si="13"/>
        <v>new Country { FifaAlphaCode = "</v>
      </c>
      <c r="F167" t="str">
        <f t="shared" si="14"/>
        <v>SCO</v>
      </c>
      <c r="G167" t="str">
        <f t="shared" si="15"/>
        <v>", CountryName = "</v>
      </c>
      <c r="H167" t="str">
        <f t="shared" si="16"/>
        <v>Scotland</v>
      </c>
      <c r="I167" t="str">
        <f t="shared" si="17"/>
        <v>"},</v>
      </c>
    </row>
    <row r="168" spans="1:9" x14ac:dyDescent="0.25">
      <c r="A168" t="s">
        <v>883</v>
      </c>
      <c r="B168" t="s">
        <v>583</v>
      </c>
      <c r="C168">
        <f t="shared" si="12"/>
        <v>7</v>
      </c>
      <c r="E168" t="str">
        <f t="shared" si="13"/>
        <v>new Country { FifaAlphaCode = "</v>
      </c>
      <c r="F168" t="str">
        <f t="shared" si="14"/>
        <v>SEN</v>
      </c>
      <c r="G168" t="str">
        <f t="shared" si="15"/>
        <v>", CountryName = "</v>
      </c>
      <c r="H168" t="str">
        <f t="shared" si="16"/>
        <v>Senegal</v>
      </c>
      <c r="I168" t="str">
        <f t="shared" si="17"/>
        <v>"},</v>
      </c>
    </row>
    <row r="169" spans="1:9" x14ac:dyDescent="0.25">
      <c r="A169" t="s">
        <v>884</v>
      </c>
      <c r="B169" t="s">
        <v>586</v>
      </c>
      <c r="C169">
        <f t="shared" si="12"/>
        <v>6</v>
      </c>
      <c r="E169" t="str">
        <f t="shared" si="13"/>
        <v>new Country { FifaAlphaCode = "</v>
      </c>
      <c r="F169" t="str">
        <f t="shared" si="14"/>
        <v>SRB</v>
      </c>
      <c r="G169" t="str">
        <f t="shared" si="15"/>
        <v>", CountryName = "</v>
      </c>
      <c r="H169" t="str">
        <f t="shared" si="16"/>
        <v>Serbia</v>
      </c>
      <c r="I169" t="str">
        <f t="shared" si="17"/>
        <v>"},</v>
      </c>
    </row>
    <row r="170" spans="1:9" x14ac:dyDescent="0.25">
      <c r="A170" t="s">
        <v>885</v>
      </c>
      <c r="B170" t="s">
        <v>988</v>
      </c>
      <c r="C170">
        <f t="shared" si="12"/>
        <v>10</v>
      </c>
      <c r="E170" t="str">
        <f t="shared" si="13"/>
        <v>new Country { FifaAlphaCode = "</v>
      </c>
      <c r="F170" t="str">
        <f t="shared" si="14"/>
        <v>SEY</v>
      </c>
      <c r="G170" t="str">
        <f t="shared" si="15"/>
        <v>", CountryName = "</v>
      </c>
      <c r="H170" t="str">
        <f t="shared" si="16"/>
        <v>Seychelles</v>
      </c>
      <c r="I170" t="str">
        <f t="shared" si="17"/>
        <v>"},</v>
      </c>
    </row>
    <row r="171" spans="1:9" x14ac:dyDescent="0.25">
      <c r="A171" t="s">
        <v>886</v>
      </c>
      <c r="B171" t="s">
        <v>592</v>
      </c>
      <c r="C171">
        <f t="shared" si="12"/>
        <v>12</v>
      </c>
      <c r="E171" t="str">
        <f t="shared" si="13"/>
        <v>new Country { FifaAlphaCode = "</v>
      </c>
      <c r="F171" t="str">
        <f t="shared" si="14"/>
        <v>SLE</v>
      </c>
      <c r="G171" t="str">
        <f t="shared" si="15"/>
        <v>", CountryName = "</v>
      </c>
      <c r="H171" t="str">
        <f t="shared" si="16"/>
        <v>Sierra Leone</v>
      </c>
      <c r="I171" t="str">
        <f t="shared" si="17"/>
        <v>"},</v>
      </c>
    </row>
    <row r="172" spans="1:9" x14ac:dyDescent="0.25">
      <c r="A172" t="s">
        <v>887</v>
      </c>
      <c r="B172" t="s">
        <v>989</v>
      </c>
      <c r="C172">
        <f t="shared" si="12"/>
        <v>9</v>
      </c>
      <c r="E172" t="str">
        <f t="shared" si="13"/>
        <v>new Country { FifaAlphaCode = "</v>
      </c>
      <c r="F172" t="str">
        <f t="shared" si="14"/>
        <v>SIN</v>
      </c>
      <c r="G172" t="str">
        <f t="shared" si="15"/>
        <v>", CountryName = "</v>
      </c>
      <c r="H172" t="str">
        <f t="shared" si="16"/>
        <v>Singapore</v>
      </c>
      <c r="I172" t="str">
        <f t="shared" si="17"/>
        <v>"},</v>
      </c>
    </row>
    <row r="173" spans="1:9" x14ac:dyDescent="0.25">
      <c r="A173" t="s">
        <v>889</v>
      </c>
      <c r="B173" t="s">
        <v>601</v>
      </c>
      <c r="C173">
        <f t="shared" si="12"/>
        <v>8</v>
      </c>
      <c r="E173" t="str">
        <f t="shared" si="13"/>
        <v>new Country { FifaAlphaCode = "</v>
      </c>
      <c r="F173" t="str">
        <f t="shared" si="14"/>
        <v>SVK</v>
      </c>
      <c r="G173" t="str">
        <f t="shared" si="15"/>
        <v>", CountryName = "</v>
      </c>
      <c r="H173" t="str">
        <f t="shared" si="16"/>
        <v>Slovakia</v>
      </c>
      <c r="I173" t="str">
        <f t="shared" si="17"/>
        <v>"},</v>
      </c>
    </row>
    <row r="174" spans="1:9" x14ac:dyDescent="0.25">
      <c r="A174" t="s">
        <v>890</v>
      </c>
      <c r="B174" t="s">
        <v>604</v>
      </c>
      <c r="C174">
        <f t="shared" si="12"/>
        <v>8</v>
      </c>
      <c r="E174" t="str">
        <f t="shared" si="13"/>
        <v>new Country { FifaAlphaCode = "</v>
      </c>
      <c r="F174" t="str">
        <f t="shared" si="14"/>
        <v>SVN</v>
      </c>
      <c r="G174" t="str">
        <f t="shared" si="15"/>
        <v>", CountryName = "</v>
      </c>
      <c r="H174" t="str">
        <f t="shared" si="16"/>
        <v>Slovenia</v>
      </c>
      <c r="I174" t="str">
        <f t="shared" si="17"/>
        <v>"},</v>
      </c>
    </row>
    <row r="175" spans="1:9" x14ac:dyDescent="0.25">
      <c r="A175" t="s">
        <v>891</v>
      </c>
      <c r="B175" t="s">
        <v>990</v>
      </c>
      <c r="C175">
        <f t="shared" si="12"/>
        <v>15</v>
      </c>
      <c r="E175" t="str">
        <f t="shared" si="13"/>
        <v>new Country { FifaAlphaCode = "</v>
      </c>
      <c r="F175" t="str">
        <f t="shared" si="14"/>
        <v>SOL</v>
      </c>
      <c r="G175" t="str">
        <f t="shared" si="15"/>
        <v>", CountryName = "</v>
      </c>
      <c r="H175" t="str">
        <f t="shared" si="16"/>
        <v>Solomon Islands</v>
      </c>
      <c r="I175" t="str">
        <f t="shared" si="17"/>
        <v>"},</v>
      </c>
    </row>
    <row r="176" spans="1:9" x14ac:dyDescent="0.25">
      <c r="A176" t="s">
        <v>892</v>
      </c>
      <c r="B176" t="s">
        <v>610</v>
      </c>
      <c r="C176">
        <f t="shared" si="12"/>
        <v>7</v>
      </c>
      <c r="E176" t="str">
        <f t="shared" si="13"/>
        <v>new Country { FifaAlphaCode = "</v>
      </c>
      <c r="F176" t="str">
        <f t="shared" si="14"/>
        <v>SOM</v>
      </c>
      <c r="G176" t="str">
        <f t="shared" si="15"/>
        <v>", CountryName = "</v>
      </c>
      <c r="H176" t="str">
        <f t="shared" si="16"/>
        <v>Somalia</v>
      </c>
      <c r="I176" t="str">
        <f t="shared" si="17"/>
        <v>"},</v>
      </c>
    </row>
    <row r="177" spans="1:9" x14ac:dyDescent="0.25">
      <c r="A177" t="s">
        <v>893</v>
      </c>
      <c r="B177" t="s">
        <v>991</v>
      </c>
      <c r="C177">
        <f t="shared" si="12"/>
        <v>12</v>
      </c>
      <c r="E177" t="str">
        <f t="shared" si="13"/>
        <v>new Country { FifaAlphaCode = "</v>
      </c>
      <c r="F177" t="str">
        <f t="shared" si="14"/>
        <v>RSA</v>
      </c>
      <c r="G177" t="str">
        <f t="shared" si="15"/>
        <v>", CountryName = "</v>
      </c>
      <c r="H177" t="str">
        <f t="shared" si="16"/>
        <v>South Africa</v>
      </c>
      <c r="I177" t="str">
        <f t="shared" si="17"/>
        <v>"},</v>
      </c>
    </row>
    <row r="178" spans="1:9" x14ac:dyDescent="0.25">
      <c r="A178" t="s">
        <v>1056</v>
      </c>
      <c r="B178" t="s">
        <v>353</v>
      </c>
      <c r="C178">
        <f t="shared" si="12"/>
        <v>11</v>
      </c>
      <c r="E178" t="str">
        <f t="shared" si="13"/>
        <v>new Country { FifaAlphaCode = "</v>
      </c>
      <c r="F178" t="str">
        <f t="shared" si="14"/>
        <v>KOR</v>
      </c>
      <c r="G178" t="str">
        <f t="shared" si="15"/>
        <v>", CountryName = "</v>
      </c>
      <c r="H178" t="str">
        <f t="shared" si="16"/>
        <v>South Korea</v>
      </c>
      <c r="I178" t="str">
        <f t="shared" si="17"/>
        <v>"},</v>
      </c>
    </row>
    <row r="179" spans="1:9" x14ac:dyDescent="0.25">
      <c r="A179" t="s">
        <v>894</v>
      </c>
      <c r="B179" t="s">
        <v>619</v>
      </c>
      <c r="C179">
        <f t="shared" si="12"/>
        <v>11</v>
      </c>
      <c r="E179" t="str">
        <f t="shared" si="13"/>
        <v>new Country { FifaAlphaCode = "</v>
      </c>
      <c r="F179" t="str">
        <f t="shared" si="14"/>
        <v>SSD</v>
      </c>
      <c r="G179" t="str">
        <f t="shared" si="15"/>
        <v>", CountryName = "</v>
      </c>
      <c r="H179" t="str">
        <f t="shared" si="16"/>
        <v>South Sudan</v>
      </c>
      <c r="I179" t="str">
        <f t="shared" si="17"/>
        <v>"},</v>
      </c>
    </row>
    <row r="180" spans="1:9" x14ac:dyDescent="0.25">
      <c r="A180" t="s">
        <v>895</v>
      </c>
      <c r="B180" t="s">
        <v>622</v>
      </c>
      <c r="C180">
        <f t="shared" si="12"/>
        <v>5</v>
      </c>
      <c r="E180" t="str">
        <f t="shared" si="13"/>
        <v>new Country { FifaAlphaCode = "</v>
      </c>
      <c r="F180" t="str">
        <f t="shared" si="14"/>
        <v>ESP</v>
      </c>
      <c r="G180" t="str">
        <f t="shared" si="15"/>
        <v>", CountryName = "</v>
      </c>
      <c r="H180" t="str">
        <f t="shared" si="16"/>
        <v>Spain</v>
      </c>
      <c r="I180" t="str">
        <f t="shared" si="17"/>
        <v>"},</v>
      </c>
    </row>
    <row r="181" spans="1:9" x14ac:dyDescent="0.25">
      <c r="A181" t="s">
        <v>896</v>
      </c>
      <c r="B181" t="s">
        <v>992</v>
      </c>
      <c r="C181">
        <f t="shared" si="12"/>
        <v>9</v>
      </c>
      <c r="E181" t="str">
        <f t="shared" si="13"/>
        <v>new Country { FifaAlphaCode = "</v>
      </c>
      <c r="F181" t="str">
        <f t="shared" si="14"/>
        <v>SRI</v>
      </c>
      <c r="G181" t="str">
        <f t="shared" si="15"/>
        <v>", CountryName = "</v>
      </c>
      <c r="H181" t="str">
        <f t="shared" si="16"/>
        <v>Sri Lanka</v>
      </c>
      <c r="I181" t="str">
        <f t="shared" si="17"/>
        <v>"},</v>
      </c>
    </row>
    <row r="182" spans="1:9" x14ac:dyDescent="0.25">
      <c r="A182" t="s">
        <v>1111</v>
      </c>
      <c r="B182" t="s">
        <v>628</v>
      </c>
      <c r="C182">
        <f t="shared" si="12"/>
        <v>5</v>
      </c>
      <c r="E182" t="str">
        <f t="shared" si="13"/>
        <v>new Country { FifaAlphaCode = "</v>
      </c>
      <c r="F182" t="str">
        <f t="shared" si="14"/>
        <v>SDN</v>
      </c>
      <c r="G182" t="str">
        <f t="shared" si="15"/>
        <v>", CountryName = "</v>
      </c>
      <c r="H182" t="str">
        <f t="shared" si="16"/>
        <v>Sudan</v>
      </c>
      <c r="I182" t="str">
        <f t="shared" si="17"/>
        <v>"},</v>
      </c>
    </row>
    <row r="183" spans="1:9" x14ac:dyDescent="0.25">
      <c r="A183" t="s">
        <v>898</v>
      </c>
      <c r="B183" t="s">
        <v>631</v>
      </c>
      <c r="C183">
        <f t="shared" si="12"/>
        <v>8</v>
      </c>
      <c r="E183" t="str">
        <f t="shared" si="13"/>
        <v>new Country { FifaAlphaCode = "</v>
      </c>
      <c r="F183" t="str">
        <f t="shared" si="14"/>
        <v>SUR</v>
      </c>
      <c r="G183" t="str">
        <f t="shared" si="15"/>
        <v>", CountryName = "</v>
      </c>
      <c r="H183" t="str">
        <f t="shared" si="16"/>
        <v>Suriname</v>
      </c>
      <c r="I183" t="str">
        <f t="shared" si="17"/>
        <v>"},</v>
      </c>
    </row>
    <row r="184" spans="1:9" x14ac:dyDescent="0.25">
      <c r="A184" t="s">
        <v>900</v>
      </c>
      <c r="B184" t="s">
        <v>637</v>
      </c>
      <c r="C184">
        <f t="shared" si="12"/>
        <v>6</v>
      </c>
      <c r="E184" t="str">
        <f t="shared" si="13"/>
        <v>new Country { FifaAlphaCode = "</v>
      </c>
      <c r="F184" t="str">
        <f t="shared" si="14"/>
        <v>SWE</v>
      </c>
      <c r="G184" t="str">
        <f t="shared" si="15"/>
        <v>", CountryName = "</v>
      </c>
      <c r="H184" t="str">
        <f t="shared" si="16"/>
        <v>Sweden</v>
      </c>
      <c r="I184" t="str">
        <f t="shared" si="17"/>
        <v>"},</v>
      </c>
    </row>
    <row r="185" spans="1:9" x14ac:dyDescent="0.25">
      <c r="A185" t="s">
        <v>901</v>
      </c>
      <c r="B185" t="s">
        <v>993</v>
      </c>
      <c r="C185">
        <f t="shared" si="12"/>
        <v>11</v>
      </c>
      <c r="E185" t="str">
        <f t="shared" si="13"/>
        <v>new Country { FifaAlphaCode = "</v>
      </c>
      <c r="F185" t="str">
        <f t="shared" si="14"/>
        <v>SUI</v>
      </c>
      <c r="G185" t="str">
        <f t="shared" si="15"/>
        <v>", CountryName = "</v>
      </c>
      <c r="H185" t="str">
        <f t="shared" si="16"/>
        <v>Switzerland</v>
      </c>
      <c r="I185" t="str">
        <f t="shared" si="17"/>
        <v>"},</v>
      </c>
    </row>
    <row r="186" spans="1:9" x14ac:dyDescent="0.25">
      <c r="A186" t="s">
        <v>1112</v>
      </c>
      <c r="B186" t="s">
        <v>643</v>
      </c>
      <c r="C186">
        <f t="shared" si="12"/>
        <v>5</v>
      </c>
      <c r="E186" t="str">
        <f t="shared" si="13"/>
        <v>new Country { FifaAlphaCode = "</v>
      </c>
      <c r="F186" t="str">
        <f t="shared" si="14"/>
        <v>SYR</v>
      </c>
      <c r="G186" t="str">
        <f t="shared" si="15"/>
        <v>", CountryName = "</v>
      </c>
      <c r="H186" t="str">
        <f t="shared" si="16"/>
        <v>Syria</v>
      </c>
      <c r="I186" t="str">
        <f t="shared" si="17"/>
        <v>"},</v>
      </c>
    </row>
    <row r="187" spans="1:9" x14ac:dyDescent="0.25">
      <c r="A187" t="s">
        <v>1113</v>
      </c>
      <c r="B187" t="s">
        <v>994</v>
      </c>
      <c r="C187">
        <f t="shared" si="12"/>
        <v>6</v>
      </c>
      <c r="E187" t="str">
        <f t="shared" si="13"/>
        <v>new Country { FifaAlphaCode = "</v>
      </c>
      <c r="F187" t="str">
        <f t="shared" si="14"/>
        <v>TAH</v>
      </c>
      <c r="G187" t="str">
        <f t="shared" si="15"/>
        <v>", CountryName = "</v>
      </c>
      <c r="H187" t="str">
        <f t="shared" si="16"/>
        <v>Tahiti</v>
      </c>
      <c r="I187" t="str">
        <f t="shared" si="17"/>
        <v>"},</v>
      </c>
    </row>
    <row r="188" spans="1:9" x14ac:dyDescent="0.25">
      <c r="A188" t="s">
        <v>904</v>
      </c>
      <c r="B188" t="s">
        <v>649</v>
      </c>
      <c r="C188">
        <f t="shared" si="12"/>
        <v>10</v>
      </c>
      <c r="E188" t="str">
        <f t="shared" si="13"/>
        <v>new Country { FifaAlphaCode = "</v>
      </c>
      <c r="F188" t="str">
        <f t="shared" si="14"/>
        <v>TJK</v>
      </c>
      <c r="G188" t="str">
        <f t="shared" si="15"/>
        <v>", CountryName = "</v>
      </c>
      <c r="H188" t="str">
        <f t="shared" si="16"/>
        <v>Tajikistan</v>
      </c>
      <c r="I188" t="str">
        <f t="shared" si="17"/>
        <v>"},</v>
      </c>
    </row>
    <row r="189" spans="1:9" x14ac:dyDescent="0.25">
      <c r="A189" t="s">
        <v>1114</v>
      </c>
      <c r="B189" t="s">
        <v>995</v>
      </c>
      <c r="C189">
        <f t="shared" si="12"/>
        <v>8</v>
      </c>
      <c r="E189" t="str">
        <f t="shared" si="13"/>
        <v>new Country { FifaAlphaCode = "</v>
      </c>
      <c r="F189" t="str">
        <f t="shared" si="14"/>
        <v>TAN</v>
      </c>
      <c r="G189" t="str">
        <f t="shared" si="15"/>
        <v>", CountryName = "</v>
      </c>
      <c r="H189" t="str">
        <f t="shared" si="16"/>
        <v>Tanzania</v>
      </c>
      <c r="I189" t="str">
        <f t="shared" si="17"/>
        <v>"},</v>
      </c>
    </row>
    <row r="190" spans="1:9" x14ac:dyDescent="0.25">
      <c r="A190" t="s">
        <v>906</v>
      </c>
      <c r="B190" t="s">
        <v>655</v>
      </c>
      <c r="C190">
        <f t="shared" si="12"/>
        <v>8</v>
      </c>
      <c r="E190" t="str">
        <f t="shared" si="13"/>
        <v>new Country { FifaAlphaCode = "</v>
      </c>
      <c r="F190" t="str">
        <f t="shared" si="14"/>
        <v>THA</v>
      </c>
      <c r="G190" t="str">
        <f t="shared" si="15"/>
        <v>", CountryName = "</v>
      </c>
      <c r="H190" t="str">
        <f t="shared" si="16"/>
        <v>Thailand</v>
      </c>
      <c r="I190" t="str">
        <f t="shared" si="17"/>
        <v>"},</v>
      </c>
    </row>
    <row r="191" spans="1:9" x14ac:dyDescent="0.25">
      <c r="A191" t="s">
        <v>1115</v>
      </c>
      <c r="B191" t="s">
        <v>658</v>
      </c>
      <c r="C191">
        <f t="shared" si="12"/>
        <v>11</v>
      </c>
      <c r="E191" t="str">
        <f t="shared" si="13"/>
        <v>new Country { FifaAlphaCode = "</v>
      </c>
      <c r="F191" t="str">
        <f t="shared" si="14"/>
        <v>TLS</v>
      </c>
      <c r="G191" t="str">
        <f t="shared" si="15"/>
        <v>", CountryName = "</v>
      </c>
      <c r="H191" t="str">
        <f t="shared" si="16"/>
        <v>Timor-Leste</v>
      </c>
      <c r="I191" t="str">
        <f t="shared" si="17"/>
        <v>"},</v>
      </c>
    </row>
    <row r="192" spans="1:9" x14ac:dyDescent="0.25">
      <c r="A192" t="s">
        <v>908</v>
      </c>
      <c r="B192" t="s">
        <v>996</v>
      </c>
      <c r="C192">
        <f t="shared" si="12"/>
        <v>4</v>
      </c>
      <c r="E192" t="str">
        <f t="shared" si="13"/>
        <v>new Country { FifaAlphaCode = "</v>
      </c>
      <c r="F192" t="str">
        <f t="shared" si="14"/>
        <v>TOG</v>
      </c>
      <c r="G192" t="str">
        <f t="shared" si="15"/>
        <v>", CountryName = "</v>
      </c>
      <c r="H192" t="str">
        <f t="shared" si="16"/>
        <v>Togo</v>
      </c>
      <c r="I192" t="str">
        <f t="shared" si="17"/>
        <v>"},</v>
      </c>
    </row>
    <row r="193" spans="1:9" x14ac:dyDescent="0.25">
      <c r="A193" t="s">
        <v>909</v>
      </c>
      <c r="B193" t="s">
        <v>997</v>
      </c>
      <c r="C193">
        <f t="shared" si="12"/>
        <v>5</v>
      </c>
      <c r="E193" t="str">
        <f t="shared" si="13"/>
        <v>new Country { FifaAlphaCode = "</v>
      </c>
      <c r="F193" t="str">
        <f t="shared" si="14"/>
        <v>TGA</v>
      </c>
      <c r="G193" t="str">
        <f t="shared" si="15"/>
        <v>", CountryName = "</v>
      </c>
      <c r="H193" t="str">
        <f t="shared" si="16"/>
        <v>Tonga</v>
      </c>
      <c r="I193" t="str">
        <f t="shared" si="17"/>
        <v>"},</v>
      </c>
    </row>
    <row r="194" spans="1:9" x14ac:dyDescent="0.25">
      <c r="A194" t="s">
        <v>910</v>
      </c>
      <c r="B194" t="s">
        <v>998</v>
      </c>
      <c r="C194">
        <f t="shared" si="12"/>
        <v>19</v>
      </c>
      <c r="E194" t="str">
        <f t="shared" si="13"/>
        <v>new Country { FifaAlphaCode = "</v>
      </c>
      <c r="F194" t="str">
        <f t="shared" si="14"/>
        <v>TRI</v>
      </c>
      <c r="G194" t="str">
        <f t="shared" si="15"/>
        <v>", CountryName = "</v>
      </c>
      <c r="H194" t="str">
        <f t="shared" si="16"/>
        <v>Trinidad and Tobago</v>
      </c>
      <c r="I194" t="str">
        <f t="shared" si="17"/>
        <v>"},</v>
      </c>
    </row>
    <row r="195" spans="1:9" x14ac:dyDescent="0.25">
      <c r="A195" t="s">
        <v>911</v>
      </c>
      <c r="B195" t="s">
        <v>673</v>
      </c>
      <c r="C195">
        <f t="shared" ref="C195:C220" si="18">LEN(A195)</f>
        <v>7</v>
      </c>
      <c r="E195" t="str">
        <f t="shared" si="13"/>
        <v>new Country { FifaAlphaCode = "</v>
      </c>
      <c r="F195" t="str">
        <f t="shared" si="14"/>
        <v>TUN</v>
      </c>
      <c r="G195" t="str">
        <f t="shared" si="15"/>
        <v>", CountryName = "</v>
      </c>
      <c r="H195" t="str">
        <f t="shared" si="16"/>
        <v>Tunisia</v>
      </c>
      <c r="I195" t="str">
        <f t="shared" si="17"/>
        <v>"},</v>
      </c>
    </row>
    <row r="196" spans="1:9" x14ac:dyDescent="0.25">
      <c r="A196" t="s">
        <v>912</v>
      </c>
      <c r="B196" t="s">
        <v>676</v>
      </c>
      <c r="C196">
        <f t="shared" si="18"/>
        <v>6</v>
      </c>
      <c r="E196" t="str">
        <f t="shared" ref="E196:E220" si="19">E195</f>
        <v>new Country { FifaAlphaCode = "</v>
      </c>
      <c r="F196" t="str">
        <f t="shared" ref="F196:F220" si="20">B196</f>
        <v>TUR</v>
      </c>
      <c r="G196" t="str">
        <f t="shared" ref="G196:G220" si="21">G195</f>
        <v>", CountryName = "</v>
      </c>
      <c r="H196" t="str">
        <f t="shared" ref="H196:H220" si="22">A196</f>
        <v>Turkey</v>
      </c>
      <c r="I196" t="str">
        <f t="shared" ref="I196:I220" si="23">I195</f>
        <v>"},</v>
      </c>
    </row>
    <row r="197" spans="1:9" x14ac:dyDescent="0.25">
      <c r="A197" t="s">
        <v>677</v>
      </c>
      <c r="B197" t="s">
        <v>679</v>
      </c>
      <c r="C197">
        <f t="shared" si="18"/>
        <v>12</v>
      </c>
      <c r="E197" t="str">
        <f t="shared" si="19"/>
        <v>new Country { FifaAlphaCode = "</v>
      </c>
      <c r="F197" t="str">
        <f t="shared" si="20"/>
        <v>TKM</v>
      </c>
      <c r="G197" t="str">
        <f t="shared" si="21"/>
        <v>", CountryName = "</v>
      </c>
      <c r="H197" t="str">
        <f t="shared" si="22"/>
        <v>Turkmenistan</v>
      </c>
      <c r="I197" t="str">
        <f t="shared" si="23"/>
        <v>"},</v>
      </c>
    </row>
    <row r="198" spans="1:9" x14ac:dyDescent="0.25">
      <c r="A198" t="s">
        <v>1116</v>
      </c>
      <c r="B198" t="s">
        <v>682</v>
      </c>
      <c r="C198">
        <f t="shared" si="18"/>
        <v>24</v>
      </c>
      <c r="E198" t="str">
        <f t="shared" si="19"/>
        <v>new Country { FifaAlphaCode = "</v>
      </c>
      <c r="F198" t="str">
        <f t="shared" si="20"/>
        <v>TCA</v>
      </c>
      <c r="G198" t="str">
        <f t="shared" si="21"/>
        <v>", CountryName = "</v>
      </c>
      <c r="H198" t="str">
        <f t="shared" si="22"/>
        <v>Turks and Caicos Islands</v>
      </c>
      <c r="I198" t="str">
        <f t="shared" si="23"/>
        <v>"},</v>
      </c>
    </row>
    <row r="199" spans="1:9" x14ac:dyDescent="0.25">
      <c r="A199" t="s">
        <v>914</v>
      </c>
      <c r="B199" t="s">
        <v>688</v>
      </c>
      <c r="C199">
        <f t="shared" si="18"/>
        <v>6</v>
      </c>
      <c r="E199" t="str">
        <f t="shared" si="19"/>
        <v>new Country { FifaAlphaCode = "</v>
      </c>
      <c r="F199" t="str">
        <f t="shared" si="20"/>
        <v>UGA</v>
      </c>
      <c r="G199" t="str">
        <f t="shared" si="21"/>
        <v>", CountryName = "</v>
      </c>
      <c r="H199" t="str">
        <f t="shared" si="22"/>
        <v>Uganda</v>
      </c>
      <c r="I199" t="str">
        <f t="shared" si="23"/>
        <v>"},</v>
      </c>
    </row>
    <row r="200" spans="1:9" x14ac:dyDescent="0.25">
      <c r="A200" t="s">
        <v>689</v>
      </c>
      <c r="B200" t="s">
        <v>691</v>
      </c>
      <c r="C200">
        <f t="shared" si="18"/>
        <v>7</v>
      </c>
      <c r="E200" t="str">
        <f t="shared" si="19"/>
        <v>new Country { FifaAlphaCode = "</v>
      </c>
      <c r="F200" t="str">
        <f t="shared" si="20"/>
        <v>UKR</v>
      </c>
      <c r="G200" t="str">
        <f t="shared" si="21"/>
        <v>", CountryName = "</v>
      </c>
      <c r="H200" t="str">
        <f t="shared" si="22"/>
        <v>Ukraine</v>
      </c>
      <c r="I200" t="str">
        <f t="shared" si="23"/>
        <v>"},</v>
      </c>
    </row>
    <row r="201" spans="1:9" x14ac:dyDescent="0.25">
      <c r="A201" t="s">
        <v>1079</v>
      </c>
      <c r="B201" t="s">
        <v>999</v>
      </c>
      <c r="C201">
        <f t="shared" si="18"/>
        <v>20</v>
      </c>
      <c r="E201" t="str">
        <f t="shared" si="19"/>
        <v>new Country { FifaAlphaCode = "</v>
      </c>
      <c r="F201" t="str">
        <f t="shared" si="20"/>
        <v>UAE</v>
      </c>
      <c r="G201" t="str">
        <f t="shared" si="21"/>
        <v>", CountryName = "</v>
      </c>
      <c r="H201" t="str">
        <f t="shared" si="22"/>
        <v>United Arab Emirates</v>
      </c>
      <c r="I201" t="str">
        <f t="shared" si="23"/>
        <v>"},</v>
      </c>
    </row>
    <row r="202" spans="1:9" x14ac:dyDescent="0.25">
      <c r="A202" t="s">
        <v>11</v>
      </c>
      <c r="B202" t="s">
        <v>702</v>
      </c>
      <c r="C202">
        <f t="shared" si="18"/>
        <v>13</v>
      </c>
      <c r="E202" t="str">
        <f t="shared" si="19"/>
        <v>new Country { FifaAlphaCode = "</v>
      </c>
      <c r="F202" t="str">
        <f t="shared" si="20"/>
        <v>USA</v>
      </c>
      <c r="G202" t="str">
        <f t="shared" si="21"/>
        <v>", CountryName = "</v>
      </c>
      <c r="H202" t="str">
        <f t="shared" si="22"/>
        <v>United States</v>
      </c>
      <c r="I202" t="str">
        <f t="shared" si="23"/>
        <v>"},</v>
      </c>
    </row>
    <row r="203" spans="1:9" x14ac:dyDescent="0.25">
      <c r="A203" t="s">
        <v>916</v>
      </c>
      <c r="B203" t="s">
        <v>1000</v>
      </c>
      <c r="C203">
        <f t="shared" si="18"/>
        <v>7</v>
      </c>
      <c r="E203" t="str">
        <f t="shared" si="19"/>
        <v>new Country { FifaAlphaCode = "</v>
      </c>
      <c r="F203" t="str">
        <f t="shared" si="20"/>
        <v>URU</v>
      </c>
      <c r="G203" t="str">
        <f t="shared" si="21"/>
        <v>", CountryName = "</v>
      </c>
      <c r="H203" t="str">
        <f t="shared" si="22"/>
        <v>Uruguay</v>
      </c>
      <c r="I203" t="str">
        <f t="shared" si="23"/>
        <v>"},</v>
      </c>
    </row>
    <row r="204" spans="1:9" x14ac:dyDescent="0.25">
      <c r="A204" t="s">
        <v>1117</v>
      </c>
      <c r="B204" t="s">
        <v>723</v>
      </c>
      <c r="C204">
        <f t="shared" si="18"/>
        <v>19</v>
      </c>
      <c r="E204" t="str">
        <f t="shared" si="19"/>
        <v>new Country { FifaAlphaCode = "</v>
      </c>
      <c r="F204" t="str">
        <f t="shared" si="20"/>
        <v>VIR</v>
      </c>
      <c r="G204" t="str">
        <f t="shared" si="21"/>
        <v>", CountryName = "</v>
      </c>
      <c r="H204" t="str">
        <f t="shared" si="22"/>
        <v>U.S. Virgin Islands</v>
      </c>
      <c r="I204" t="str">
        <f t="shared" si="23"/>
        <v>"},</v>
      </c>
    </row>
    <row r="205" spans="1:9" x14ac:dyDescent="0.25">
      <c r="A205" t="s">
        <v>917</v>
      </c>
      <c r="B205" t="s">
        <v>708</v>
      </c>
      <c r="C205">
        <f t="shared" si="18"/>
        <v>10</v>
      </c>
      <c r="E205" t="str">
        <f t="shared" si="19"/>
        <v>new Country { FifaAlphaCode = "</v>
      </c>
      <c r="F205" t="str">
        <f t="shared" si="20"/>
        <v>UZB</v>
      </c>
      <c r="G205" t="str">
        <f t="shared" si="21"/>
        <v>", CountryName = "</v>
      </c>
      <c r="H205" t="str">
        <f t="shared" si="22"/>
        <v>Uzbekistan</v>
      </c>
      <c r="I205" t="str">
        <f t="shared" si="23"/>
        <v>"},</v>
      </c>
    </row>
    <row r="206" spans="1:9" x14ac:dyDescent="0.25">
      <c r="A206" t="s">
        <v>918</v>
      </c>
      <c r="B206" t="s">
        <v>1001</v>
      </c>
      <c r="C206">
        <f t="shared" si="18"/>
        <v>7</v>
      </c>
      <c r="E206" t="str">
        <f t="shared" si="19"/>
        <v>new Country { FifaAlphaCode = "</v>
      </c>
      <c r="F206" t="str">
        <f t="shared" si="20"/>
        <v>VAN</v>
      </c>
      <c r="G206" t="str">
        <f t="shared" si="21"/>
        <v>", CountryName = "</v>
      </c>
      <c r="H206" t="str">
        <f t="shared" si="22"/>
        <v>Vanuatu</v>
      </c>
      <c r="I206" t="str">
        <f t="shared" si="23"/>
        <v>"},</v>
      </c>
    </row>
    <row r="207" spans="1:9" x14ac:dyDescent="0.25">
      <c r="A207" t="s">
        <v>1118</v>
      </c>
      <c r="B207" t="s">
        <v>714</v>
      </c>
      <c r="C207">
        <f t="shared" si="18"/>
        <v>9</v>
      </c>
      <c r="E207" t="str">
        <f t="shared" si="19"/>
        <v>new Country { FifaAlphaCode = "</v>
      </c>
      <c r="F207" t="str">
        <f t="shared" si="20"/>
        <v>VEN</v>
      </c>
      <c r="G207" t="str">
        <f t="shared" si="21"/>
        <v>", CountryName = "</v>
      </c>
      <c r="H207" t="str">
        <f t="shared" si="22"/>
        <v>Venezuela</v>
      </c>
      <c r="I207" t="str">
        <f t="shared" si="23"/>
        <v>"},</v>
      </c>
    </row>
    <row r="208" spans="1:9" x14ac:dyDescent="0.25">
      <c r="A208" t="s">
        <v>1119</v>
      </c>
      <c r="B208" t="s">
        <v>1002</v>
      </c>
      <c r="C208">
        <f t="shared" si="18"/>
        <v>7</v>
      </c>
      <c r="E208" t="str">
        <f t="shared" si="19"/>
        <v>new Country { FifaAlphaCode = "</v>
      </c>
      <c r="F208" t="str">
        <f t="shared" si="20"/>
        <v>VIE</v>
      </c>
      <c r="G208" t="str">
        <f t="shared" si="21"/>
        <v>", CountryName = "</v>
      </c>
      <c r="H208" t="str">
        <f t="shared" si="22"/>
        <v>Vietnam</v>
      </c>
      <c r="I208" t="str">
        <f t="shared" si="23"/>
        <v>"},</v>
      </c>
    </row>
    <row r="209" spans="1:9" x14ac:dyDescent="0.25">
      <c r="A209" t="s">
        <v>1120</v>
      </c>
      <c r="B209" t="s">
        <v>1003</v>
      </c>
      <c r="C209">
        <f t="shared" si="18"/>
        <v>5</v>
      </c>
      <c r="E209" t="str">
        <f t="shared" si="19"/>
        <v>new Country { FifaAlphaCode = "</v>
      </c>
      <c r="F209" t="str">
        <f t="shared" si="20"/>
        <v>WAL</v>
      </c>
      <c r="G209" t="str">
        <f t="shared" si="21"/>
        <v>", CountryName = "</v>
      </c>
      <c r="H209" t="str">
        <f t="shared" si="22"/>
        <v>Wales</v>
      </c>
      <c r="I209" t="str">
        <f t="shared" si="23"/>
        <v>"},</v>
      </c>
    </row>
    <row r="210" spans="1:9" x14ac:dyDescent="0.25">
      <c r="A210" t="s">
        <v>925</v>
      </c>
      <c r="B210" t="s">
        <v>732</v>
      </c>
      <c r="C210">
        <f t="shared" si="18"/>
        <v>5</v>
      </c>
      <c r="E210" t="str">
        <f t="shared" si="19"/>
        <v>new Country { FifaAlphaCode = "</v>
      </c>
      <c r="F210" t="str">
        <f t="shared" si="20"/>
        <v>YEM</v>
      </c>
      <c r="G210" t="str">
        <f t="shared" si="21"/>
        <v>", CountryName = "</v>
      </c>
      <c r="H210" t="str">
        <f t="shared" si="22"/>
        <v>Yemen</v>
      </c>
      <c r="I210" t="str">
        <f t="shared" si="23"/>
        <v>"},</v>
      </c>
    </row>
    <row r="211" spans="1:9" x14ac:dyDescent="0.25">
      <c r="A211" t="s">
        <v>926</v>
      </c>
      <c r="B211" t="s">
        <v>1004</v>
      </c>
      <c r="C211">
        <f t="shared" si="18"/>
        <v>6</v>
      </c>
      <c r="E211" t="str">
        <f t="shared" si="19"/>
        <v>new Country { FifaAlphaCode = "</v>
      </c>
      <c r="F211" t="str">
        <f t="shared" si="20"/>
        <v>ZAM</v>
      </c>
      <c r="G211" t="str">
        <f t="shared" si="21"/>
        <v>", CountryName = "</v>
      </c>
      <c r="H211" t="str">
        <f t="shared" si="22"/>
        <v>Zambia</v>
      </c>
      <c r="I211" t="str">
        <f t="shared" si="23"/>
        <v>"},</v>
      </c>
    </row>
    <row r="212" spans="1:9" x14ac:dyDescent="0.25">
      <c r="A212" t="s">
        <v>927</v>
      </c>
      <c r="B212" t="s">
        <v>1005</v>
      </c>
      <c r="C212">
        <f t="shared" si="18"/>
        <v>8</v>
      </c>
      <c r="E212" t="str">
        <f t="shared" si="19"/>
        <v>new Country { FifaAlphaCode = "</v>
      </c>
      <c r="F212" t="str">
        <f t="shared" si="20"/>
        <v>ZIM</v>
      </c>
      <c r="G212" t="str">
        <f t="shared" si="21"/>
        <v>", CountryName = "</v>
      </c>
      <c r="H212" t="str">
        <f t="shared" si="22"/>
        <v>Zimbabwe</v>
      </c>
      <c r="I212" t="str">
        <f t="shared" si="23"/>
        <v>"},</v>
      </c>
    </row>
    <row r="213" spans="1:9" x14ac:dyDescent="0.25">
      <c r="A213" t="s">
        <v>1037</v>
      </c>
      <c r="B213" t="s">
        <v>1081</v>
      </c>
      <c r="C213">
        <f t="shared" si="18"/>
        <v>14</v>
      </c>
      <c r="E213" t="str">
        <f t="shared" si="19"/>
        <v>new Country { FifaAlphaCode = "</v>
      </c>
      <c r="F213" t="str">
        <f t="shared" si="20"/>
        <v>TCH</v>
      </c>
      <c r="G213" t="str">
        <f t="shared" si="21"/>
        <v>", CountryName = "</v>
      </c>
      <c r="H213" t="str">
        <f t="shared" si="22"/>
        <v>Czechoslovakia</v>
      </c>
      <c r="I213" t="str">
        <f t="shared" si="23"/>
        <v>"},</v>
      </c>
    </row>
    <row r="214" spans="1:9" x14ac:dyDescent="0.25">
      <c r="A214" t="s">
        <v>1052</v>
      </c>
      <c r="B214" t="s">
        <v>1083</v>
      </c>
      <c r="C214">
        <f t="shared" si="18"/>
        <v>12</v>
      </c>
      <c r="E214" t="str">
        <f t="shared" si="19"/>
        <v>new Country { FifaAlphaCode = "</v>
      </c>
      <c r="F214" t="str">
        <f t="shared" si="20"/>
        <v>GDR</v>
      </c>
      <c r="G214" t="str">
        <f t="shared" si="21"/>
        <v>", CountryName = "</v>
      </c>
      <c r="H214" t="str">
        <f t="shared" si="22"/>
        <v>East Germany</v>
      </c>
      <c r="I214" t="str">
        <f t="shared" si="23"/>
        <v>"},</v>
      </c>
    </row>
    <row r="215" spans="1:9" x14ac:dyDescent="0.25">
      <c r="A215" t="s">
        <v>1590</v>
      </c>
      <c r="B215" t="s">
        <v>1752</v>
      </c>
      <c r="C215">
        <f t="shared" si="18"/>
        <v>21</v>
      </c>
      <c r="E215" t="str">
        <f t="shared" si="19"/>
        <v>new Country { FifaAlphaCode = "</v>
      </c>
      <c r="F215" t="str">
        <f t="shared" si="20"/>
        <v>SCG</v>
      </c>
      <c r="G215" t="str">
        <f t="shared" si="21"/>
        <v>", CountryName = "</v>
      </c>
      <c r="H215" t="str">
        <f t="shared" si="22"/>
        <v>Serbia and Montenegro</v>
      </c>
      <c r="I215" t="str">
        <f t="shared" si="23"/>
        <v>"},</v>
      </c>
    </row>
    <row r="216" spans="1:9" x14ac:dyDescent="0.25">
      <c r="A216" t="s">
        <v>1754</v>
      </c>
      <c r="B216" t="s">
        <v>1753</v>
      </c>
      <c r="C216">
        <f t="shared" si="18"/>
        <v>12</v>
      </c>
      <c r="E216" t="str">
        <f t="shared" si="19"/>
        <v>new Country { FifaAlphaCode = "</v>
      </c>
      <c r="F216" t="str">
        <f t="shared" si="20"/>
        <v>URS</v>
      </c>
      <c r="G216" t="str">
        <f t="shared" si="21"/>
        <v>", CountryName = "</v>
      </c>
      <c r="H216" t="str">
        <f t="shared" si="22"/>
        <v>Soviet Union</v>
      </c>
      <c r="I216" t="str">
        <f t="shared" si="23"/>
        <v>"},</v>
      </c>
    </row>
    <row r="217" spans="1:9" x14ac:dyDescent="0.25">
      <c r="A217" t="s">
        <v>1756</v>
      </c>
      <c r="B217" t="s">
        <v>1755</v>
      </c>
      <c r="C217">
        <f t="shared" si="18"/>
        <v>5</v>
      </c>
      <c r="E217" t="str">
        <f t="shared" si="19"/>
        <v>new Country { FifaAlphaCode = "</v>
      </c>
      <c r="F217" t="str">
        <f t="shared" si="20"/>
        <v>ZAI</v>
      </c>
      <c r="G217" t="str">
        <f t="shared" si="21"/>
        <v>", CountryName = "</v>
      </c>
      <c r="H217" t="str">
        <f t="shared" si="22"/>
        <v>Zaire</v>
      </c>
      <c r="I217" t="str">
        <f t="shared" si="23"/>
        <v>"},</v>
      </c>
    </row>
    <row r="218" spans="1:9" x14ac:dyDescent="0.25">
      <c r="A218" t="s">
        <v>1234</v>
      </c>
      <c r="B218" t="s">
        <v>1757</v>
      </c>
      <c r="C218">
        <f t="shared" si="18"/>
        <v>10</v>
      </c>
      <c r="E218" t="str">
        <f t="shared" si="19"/>
        <v>new Country { FifaAlphaCode = "</v>
      </c>
      <c r="F218" t="str">
        <f t="shared" si="20"/>
        <v>YUG</v>
      </c>
      <c r="G218" t="str">
        <f t="shared" si="21"/>
        <v>", CountryName = "</v>
      </c>
      <c r="H218" t="str">
        <f t="shared" si="22"/>
        <v>Yugoslavia</v>
      </c>
      <c r="I218" t="str">
        <f t="shared" si="23"/>
        <v>"},</v>
      </c>
    </row>
    <row r="219" spans="1:9" x14ac:dyDescent="0.25">
      <c r="A219" t="s">
        <v>1076</v>
      </c>
      <c r="B219" t="s">
        <v>1758</v>
      </c>
      <c r="C219">
        <f t="shared" si="18"/>
        <v>17</v>
      </c>
      <c r="E219" t="str">
        <f t="shared" si="19"/>
        <v>new Country { FifaAlphaCode = "</v>
      </c>
      <c r="F219" t="str">
        <f t="shared" si="20"/>
        <v>INH</v>
      </c>
      <c r="G219" t="str">
        <f t="shared" si="21"/>
        <v>", CountryName = "</v>
      </c>
      <c r="H219" t="str">
        <f t="shared" si="22"/>
        <v>Dutch East Indies</v>
      </c>
      <c r="I219" t="str">
        <f t="shared" si="23"/>
        <v>"},</v>
      </c>
    </row>
    <row r="220" spans="1:9" x14ac:dyDescent="0.25">
      <c r="A220" t="s">
        <v>1121</v>
      </c>
      <c r="B220" t="s">
        <v>1787</v>
      </c>
      <c r="C220">
        <f t="shared" si="18"/>
        <v>12</v>
      </c>
      <c r="E220" t="str">
        <f t="shared" si="19"/>
        <v>new Country { FifaAlphaCode = "</v>
      </c>
      <c r="F220" t="str">
        <f t="shared" si="20"/>
        <v>PRG</v>
      </c>
      <c r="G220" t="str">
        <f t="shared" si="21"/>
        <v>", CountryName = "</v>
      </c>
      <c r="H220" t="str">
        <f t="shared" si="22"/>
        <v>West Germany</v>
      </c>
      <c r="I220" t="str">
        <f t="shared" si="23"/>
        <v>"},</v>
      </c>
    </row>
  </sheetData>
  <autoFilter ref="A1:I1" xr:uid="{00000000-0009-0000-0000-000005000000}"/>
  <conditionalFormatting sqref="A1:A1048576">
    <cfRule type="duplicateValues" dxfId="6" priority="4"/>
  </conditionalFormatting>
  <conditionalFormatting sqref="B1:B1048576">
    <cfRule type="duplicateValues" dxfId="5" priority="1"/>
    <cfRule type="duplicateValues" dxfId="4" priority="2"/>
    <cfRule type="duplicateValues" dxfId="3" priority="3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6" sqref="I16"/>
    </sheetView>
  </sheetViews>
  <sheetFormatPr defaultRowHeight="15" x14ac:dyDescent="0.25"/>
  <cols>
    <col min="1" max="1" width="23.140625" bestFit="1" customWidth="1"/>
    <col min="2" max="2" width="5.5703125" bestFit="1" customWidth="1"/>
    <col min="5" max="5" width="25" bestFit="1" customWidth="1"/>
    <col min="6" max="6" width="11.5703125" bestFit="1" customWidth="1"/>
    <col min="7" max="7" width="18.85546875" bestFit="1" customWidth="1"/>
    <col min="9" max="9" width="13.85546875" bestFit="1" customWidth="1"/>
    <col min="11" max="11" width="24.85546875" bestFit="1" customWidth="1"/>
  </cols>
  <sheetData>
    <row r="1" spans="1:11" x14ac:dyDescent="0.25">
      <c r="A1" s="6" t="s">
        <v>1802</v>
      </c>
      <c r="B1" s="6" t="s">
        <v>951</v>
      </c>
    </row>
    <row r="2" spans="1:11" x14ac:dyDescent="0.25">
      <c r="A2" t="s">
        <v>743</v>
      </c>
      <c r="B2" t="s">
        <v>2</v>
      </c>
      <c r="C2" t="str">
        <f>VLOOKUP(B2,FifaCountryCode!B:B,1,FALSE)</f>
        <v>AFG</v>
      </c>
      <c r="E2" t="s">
        <v>1762</v>
      </c>
      <c r="F2" t="str">
        <f>A2</f>
        <v>Afghanistan</v>
      </c>
      <c r="G2" t="s">
        <v>1763</v>
      </c>
      <c r="H2" t="str">
        <f>B2</f>
        <v>AFG</v>
      </c>
      <c r="I2" t="s">
        <v>1764</v>
      </c>
      <c r="J2" t="str">
        <f>B2</f>
        <v>AFG</v>
      </c>
      <c r="K2" t="s">
        <v>1765</v>
      </c>
    </row>
    <row r="3" spans="1:11" x14ac:dyDescent="0.25">
      <c r="A3" t="s">
        <v>744</v>
      </c>
      <c r="B3" t="s">
        <v>6</v>
      </c>
      <c r="C3" t="str">
        <f>VLOOKUP(B3,FifaCountryCode!B:B,1,FALSE)</f>
        <v>ALB</v>
      </c>
      <c r="E3" t="str">
        <f>E2</f>
        <v>new Team { TeamName = "</v>
      </c>
      <c r="F3" t="str">
        <f>A3</f>
        <v>Albania</v>
      </c>
      <c r="G3" t="str">
        <f>G2</f>
        <v>", FifaAlphaCode = "</v>
      </c>
      <c r="H3" t="str">
        <f>B3</f>
        <v>ALB</v>
      </c>
      <c r="I3" t="str">
        <f>I2</f>
        <v>",TeamCode="</v>
      </c>
      <c r="J3" t="str">
        <f t="shared" ref="J3:J66" si="0">B3</f>
        <v>ALB</v>
      </c>
      <c r="K3" t="str">
        <f>K2</f>
        <v>", TeamType= "National" },</v>
      </c>
    </row>
    <row r="4" spans="1:11" x14ac:dyDescent="0.25">
      <c r="A4" t="s">
        <v>745</v>
      </c>
      <c r="B4" t="s">
        <v>930</v>
      </c>
      <c r="C4" t="str">
        <f>VLOOKUP(B4,FifaCountryCode!B:B,1,FALSE)</f>
        <v>ALG</v>
      </c>
      <c r="E4" t="str">
        <f t="shared" ref="E4:E67" si="1">E3</f>
        <v>new Team { TeamName = "</v>
      </c>
      <c r="F4" t="str">
        <f t="shared" ref="F4:F67" si="2">A4</f>
        <v>Algeria</v>
      </c>
      <c r="G4" t="str">
        <f t="shared" ref="G4:G67" si="3">G3</f>
        <v>", FifaAlphaCode = "</v>
      </c>
      <c r="H4" t="str">
        <f t="shared" ref="H4:H67" si="4">B4</f>
        <v>ALG</v>
      </c>
      <c r="I4" t="str">
        <f t="shared" ref="I4:I67" si="5">I3</f>
        <v>",TeamCode="</v>
      </c>
      <c r="J4" t="str">
        <f t="shared" si="0"/>
        <v>ALG</v>
      </c>
      <c r="K4" t="str">
        <f t="shared" ref="K4:K67" si="6">K3</f>
        <v>", TeamType= "National" },</v>
      </c>
    </row>
    <row r="5" spans="1:11" x14ac:dyDescent="0.25">
      <c r="A5" t="s">
        <v>746</v>
      </c>
      <c r="B5" t="s">
        <v>931</v>
      </c>
      <c r="C5" t="str">
        <f>VLOOKUP(B5,FifaCountryCode!B:B,1,FALSE)</f>
        <v>ASA</v>
      </c>
      <c r="E5" t="str">
        <f t="shared" si="1"/>
        <v>new Team { TeamName = "</v>
      </c>
      <c r="F5" t="str">
        <f t="shared" si="2"/>
        <v>American Samoa</v>
      </c>
      <c r="G5" t="str">
        <f t="shared" si="3"/>
        <v>", FifaAlphaCode = "</v>
      </c>
      <c r="H5" t="str">
        <f t="shared" si="4"/>
        <v>ASA</v>
      </c>
      <c r="I5" t="str">
        <f t="shared" si="5"/>
        <v>",TeamCode="</v>
      </c>
      <c r="J5" t="str">
        <f t="shared" si="0"/>
        <v>ASA</v>
      </c>
      <c r="K5" t="str">
        <f t="shared" si="6"/>
        <v>", TeamType= "National" },</v>
      </c>
    </row>
    <row r="6" spans="1:11" x14ac:dyDescent="0.25">
      <c r="A6" t="s">
        <v>747</v>
      </c>
      <c r="B6" t="s">
        <v>16</v>
      </c>
      <c r="C6" t="str">
        <f>VLOOKUP(B6,FifaCountryCode!B:B,1,FALSE)</f>
        <v>AND</v>
      </c>
      <c r="E6" t="str">
        <f t="shared" si="1"/>
        <v>new Team { TeamName = "</v>
      </c>
      <c r="F6" t="str">
        <f t="shared" si="2"/>
        <v>Andorra</v>
      </c>
      <c r="G6" t="str">
        <f t="shared" si="3"/>
        <v>", FifaAlphaCode = "</v>
      </c>
      <c r="H6" t="str">
        <f t="shared" si="4"/>
        <v>AND</v>
      </c>
      <c r="I6" t="str">
        <f t="shared" si="5"/>
        <v>",TeamCode="</v>
      </c>
      <c r="J6" t="str">
        <f t="shared" si="0"/>
        <v>AND</v>
      </c>
      <c r="K6" t="str">
        <f t="shared" si="6"/>
        <v>", TeamType= "National" },</v>
      </c>
    </row>
    <row r="7" spans="1:11" x14ac:dyDescent="0.25">
      <c r="A7" t="s">
        <v>748</v>
      </c>
      <c r="B7" t="s">
        <v>932</v>
      </c>
      <c r="C7" t="str">
        <f>VLOOKUP(B7,FifaCountryCode!B:B,1,FALSE)</f>
        <v>ANG</v>
      </c>
      <c r="E7" t="str">
        <f t="shared" si="1"/>
        <v>new Team { TeamName = "</v>
      </c>
      <c r="F7" t="str">
        <f t="shared" si="2"/>
        <v>Angola</v>
      </c>
      <c r="G7" t="str">
        <f t="shared" si="3"/>
        <v>", FifaAlphaCode = "</v>
      </c>
      <c r="H7" t="str">
        <f t="shared" si="4"/>
        <v>ANG</v>
      </c>
      <c r="I7" t="str">
        <f t="shared" si="5"/>
        <v>",TeamCode="</v>
      </c>
      <c r="J7" t="str">
        <f t="shared" si="0"/>
        <v>ANG</v>
      </c>
      <c r="K7" t="str">
        <f t="shared" si="6"/>
        <v>", TeamType= "National" },</v>
      </c>
    </row>
    <row r="8" spans="1:11" x14ac:dyDescent="0.25">
      <c r="A8" t="s">
        <v>20</v>
      </c>
      <c r="B8" t="s">
        <v>22</v>
      </c>
      <c r="C8" t="str">
        <f>VLOOKUP(B8,FifaCountryCode!B:B,1,FALSE)</f>
        <v>AIA</v>
      </c>
      <c r="E8" t="str">
        <f t="shared" si="1"/>
        <v>new Team { TeamName = "</v>
      </c>
      <c r="F8" t="str">
        <f t="shared" si="2"/>
        <v>Anguilla</v>
      </c>
      <c r="G8" t="str">
        <f t="shared" si="3"/>
        <v>", FifaAlphaCode = "</v>
      </c>
      <c r="H8" t="str">
        <f t="shared" si="4"/>
        <v>AIA</v>
      </c>
      <c r="I8" t="str">
        <f t="shared" si="5"/>
        <v>",TeamCode="</v>
      </c>
      <c r="J8" t="str">
        <f t="shared" si="0"/>
        <v>AIA</v>
      </c>
      <c r="K8" t="str">
        <f t="shared" si="6"/>
        <v>", TeamType= "National" },</v>
      </c>
    </row>
    <row r="9" spans="1:11" x14ac:dyDescent="0.25">
      <c r="A9" t="s">
        <v>23</v>
      </c>
      <c r="B9" t="s">
        <v>25</v>
      </c>
      <c r="C9" t="str">
        <f>VLOOKUP(B9,FifaCountryCode!B:B,1,FALSE)</f>
        <v>ATG</v>
      </c>
      <c r="E9" t="str">
        <f t="shared" si="1"/>
        <v>new Team { TeamName = "</v>
      </c>
      <c r="F9" t="str">
        <f t="shared" si="2"/>
        <v>Antigua and Barbuda</v>
      </c>
      <c r="G9" t="str">
        <f t="shared" si="3"/>
        <v>", FifaAlphaCode = "</v>
      </c>
      <c r="H9" t="str">
        <f t="shared" si="4"/>
        <v>ATG</v>
      </c>
      <c r="I9" t="str">
        <f t="shared" si="5"/>
        <v>",TeamCode="</v>
      </c>
      <c r="J9" t="str">
        <f t="shared" si="0"/>
        <v>ATG</v>
      </c>
      <c r="K9" t="str">
        <f t="shared" si="6"/>
        <v>", TeamType= "National" },</v>
      </c>
    </row>
    <row r="10" spans="1:11" x14ac:dyDescent="0.25">
      <c r="A10" t="s">
        <v>749</v>
      </c>
      <c r="B10" t="s">
        <v>28</v>
      </c>
      <c r="C10" t="str">
        <f>VLOOKUP(B10,FifaCountryCode!B:B,1,FALSE)</f>
        <v>ARG</v>
      </c>
      <c r="E10" t="str">
        <f t="shared" si="1"/>
        <v>new Team { TeamName = "</v>
      </c>
      <c r="F10" t="str">
        <f t="shared" si="2"/>
        <v>Argentina</v>
      </c>
      <c r="G10" t="str">
        <f t="shared" si="3"/>
        <v>", FifaAlphaCode = "</v>
      </c>
      <c r="H10" t="str">
        <f t="shared" si="4"/>
        <v>ARG</v>
      </c>
      <c r="I10" t="str">
        <f t="shared" si="5"/>
        <v>",TeamCode="</v>
      </c>
      <c r="J10" t="str">
        <f t="shared" si="0"/>
        <v>ARG</v>
      </c>
      <c r="K10" t="str">
        <f t="shared" si="6"/>
        <v>", TeamType= "National" },</v>
      </c>
    </row>
    <row r="11" spans="1:11" x14ac:dyDescent="0.25">
      <c r="A11" t="s">
        <v>750</v>
      </c>
      <c r="B11" t="s">
        <v>31</v>
      </c>
      <c r="C11" t="str">
        <f>VLOOKUP(B11,FifaCountryCode!B:B,1,FALSE)</f>
        <v>ARM</v>
      </c>
      <c r="E11" t="str">
        <f t="shared" si="1"/>
        <v>new Team { TeamName = "</v>
      </c>
      <c r="F11" t="str">
        <f t="shared" si="2"/>
        <v>Armenia</v>
      </c>
      <c r="G11" t="str">
        <f t="shared" si="3"/>
        <v>", FifaAlphaCode = "</v>
      </c>
      <c r="H11" t="str">
        <f t="shared" si="4"/>
        <v>ARM</v>
      </c>
      <c r="I11" t="str">
        <f t="shared" si="5"/>
        <v>",TeamCode="</v>
      </c>
      <c r="J11" t="str">
        <f t="shared" si="0"/>
        <v>ARM</v>
      </c>
      <c r="K11" t="str">
        <f t="shared" si="6"/>
        <v>", TeamType= "National" },</v>
      </c>
    </row>
    <row r="12" spans="1:11" x14ac:dyDescent="0.25">
      <c r="A12" t="s">
        <v>32</v>
      </c>
      <c r="B12" t="s">
        <v>933</v>
      </c>
      <c r="C12" t="str">
        <f>VLOOKUP(B12,FifaCountryCode!B:B,1,FALSE)</f>
        <v>ARU</v>
      </c>
      <c r="E12" t="str">
        <f t="shared" si="1"/>
        <v>new Team { TeamName = "</v>
      </c>
      <c r="F12" t="str">
        <f t="shared" si="2"/>
        <v>Aruba</v>
      </c>
      <c r="G12" t="str">
        <f t="shared" si="3"/>
        <v>", FifaAlphaCode = "</v>
      </c>
      <c r="H12" t="str">
        <f t="shared" si="4"/>
        <v>ARU</v>
      </c>
      <c r="I12" t="str">
        <f t="shared" si="5"/>
        <v>",TeamCode="</v>
      </c>
      <c r="J12" t="str">
        <f t="shared" si="0"/>
        <v>ARU</v>
      </c>
      <c r="K12" t="str">
        <f t="shared" si="6"/>
        <v>", TeamType= "National" },</v>
      </c>
    </row>
    <row r="13" spans="1:11" x14ac:dyDescent="0.25">
      <c r="A13" t="s">
        <v>128</v>
      </c>
      <c r="B13" t="s">
        <v>38</v>
      </c>
      <c r="C13" t="str">
        <f>VLOOKUP(B13,FifaCountryCode!B:B,1,FALSE)</f>
        <v>AUS</v>
      </c>
      <c r="E13" t="str">
        <f t="shared" si="1"/>
        <v>new Team { TeamName = "</v>
      </c>
      <c r="F13" t="str">
        <f t="shared" si="2"/>
        <v>Australia</v>
      </c>
      <c r="G13" t="str">
        <f t="shared" si="3"/>
        <v>", FifaAlphaCode = "</v>
      </c>
      <c r="H13" t="str">
        <f t="shared" si="4"/>
        <v>AUS</v>
      </c>
      <c r="I13" t="str">
        <f t="shared" si="5"/>
        <v>",TeamCode="</v>
      </c>
      <c r="J13" t="str">
        <f t="shared" si="0"/>
        <v>AUS</v>
      </c>
      <c r="K13" t="str">
        <f t="shared" si="6"/>
        <v>", TeamType= "National" },</v>
      </c>
    </row>
    <row r="14" spans="1:11" x14ac:dyDescent="0.25">
      <c r="A14" t="s">
        <v>751</v>
      </c>
      <c r="B14" t="s">
        <v>41</v>
      </c>
      <c r="C14" t="str">
        <f>VLOOKUP(B14,FifaCountryCode!B:B,1,FALSE)</f>
        <v>AUT</v>
      </c>
      <c r="E14" t="str">
        <f t="shared" si="1"/>
        <v>new Team { TeamName = "</v>
      </c>
      <c r="F14" t="str">
        <f t="shared" si="2"/>
        <v>Austria</v>
      </c>
      <c r="G14" t="str">
        <f t="shared" si="3"/>
        <v>", FifaAlphaCode = "</v>
      </c>
      <c r="H14" t="str">
        <f t="shared" si="4"/>
        <v>AUT</v>
      </c>
      <c r="I14" t="str">
        <f t="shared" si="5"/>
        <v>",TeamCode="</v>
      </c>
      <c r="J14" t="str">
        <f t="shared" si="0"/>
        <v>AUT</v>
      </c>
      <c r="K14" t="str">
        <f t="shared" si="6"/>
        <v>", TeamType= "National" },</v>
      </c>
    </row>
    <row r="15" spans="1:11" x14ac:dyDescent="0.25">
      <c r="A15" t="s">
        <v>752</v>
      </c>
      <c r="B15" t="s">
        <v>44</v>
      </c>
      <c r="C15" t="str">
        <f>VLOOKUP(B15,FifaCountryCode!B:B,1,FALSE)</f>
        <v>AZE</v>
      </c>
      <c r="E15" t="str">
        <f t="shared" si="1"/>
        <v>new Team { TeamName = "</v>
      </c>
      <c r="F15" t="str">
        <f t="shared" si="2"/>
        <v>Azerbaijan</v>
      </c>
      <c r="G15" t="str">
        <f t="shared" si="3"/>
        <v>", FifaAlphaCode = "</v>
      </c>
      <c r="H15" t="str">
        <f t="shared" si="4"/>
        <v>AZE</v>
      </c>
      <c r="I15" t="str">
        <f t="shared" si="5"/>
        <v>",TeamCode="</v>
      </c>
      <c r="J15" t="str">
        <f t="shared" si="0"/>
        <v>AZE</v>
      </c>
      <c r="K15" t="str">
        <f t="shared" si="6"/>
        <v>", TeamType= "National" },</v>
      </c>
    </row>
    <row r="16" spans="1:11" x14ac:dyDescent="0.25">
      <c r="A16" t="s">
        <v>1007</v>
      </c>
      <c r="B16" t="s">
        <v>934</v>
      </c>
      <c r="C16" t="str">
        <f>VLOOKUP(B16,FifaCountryCode!B:B,1,FALSE)</f>
        <v>BAH</v>
      </c>
      <c r="E16" t="str">
        <f t="shared" si="1"/>
        <v>new Team { TeamName = "</v>
      </c>
      <c r="F16" t="str">
        <f t="shared" si="2"/>
        <v>Bahamas</v>
      </c>
      <c r="G16" t="str">
        <f t="shared" si="3"/>
        <v>", FifaAlphaCode = "</v>
      </c>
      <c r="H16" t="str">
        <f t="shared" si="4"/>
        <v>BAH</v>
      </c>
      <c r="I16" t="str">
        <f t="shared" si="5"/>
        <v>",TeamCode="</v>
      </c>
      <c r="J16" t="str">
        <f t="shared" si="0"/>
        <v>BAH</v>
      </c>
      <c r="K16" t="str">
        <f t="shared" si="6"/>
        <v>", TeamType= "National" },</v>
      </c>
    </row>
    <row r="17" spans="1:11" x14ac:dyDescent="0.25">
      <c r="A17" t="s">
        <v>753</v>
      </c>
      <c r="B17" t="s">
        <v>50</v>
      </c>
      <c r="C17" t="str">
        <f>VLOOKUP(B17,FifaCountryCode!B:B,1,FALSE)</f>
        <v>BHR</v>
      </c>
      <c r="E17" t="str">
        <f t="shared" si="1"/>
        <v>new Team { TeamName = "</v>
      </c>
      <c r="F17" t="str">
        <f t="shared" si="2"/>
        <v>Bahrain</v>
      </c>
      <c r="G17" t="str">
        <f t="shared" si="3"/>
        <v>", FifaAlphaCode = "</v>
      </c>
      <c r="H17" t="str">
        <f t="shared" si="4"/>
        <v>BHR</v>
      </c>
      <c r="I17" t="str">
        <f t="shared" si="5"/>
        <v>",TeamCode="</v>
      </c>
      <c r="J17" t="str">
        <f t="shared" si="0"/>
        <v>BHR</v>
      </c>
      <c r="K17" t="str">
        <f t="shared" si="6"/>
        <v>", TeamType= "National" },</v>
      </c>
    </row>
    <row r="18" spans="1:11" x14ac:dyDescent="0.25">
      <c r="A18" t="s">
        <v>754</v>
      </c>
      <c r="B18" t="s">
        <v>935</v>
      </c>
      <c r="C18" t="str">
        <f>VLOOKUP(B18,FifaCountryCode!B:B,1,FALSE)</f>
        <v>BAN</v>
      </c>
      <c r="E18" t="str">
        <f t="shared" si="1"/>
        <v>new Team { TeamName = "</v>
      </c>
      <c r="F18" t="str">
        <f t="shared" si="2"/>
        <v>Bangladesh</v>
      </c>
      <c r="G18" t="str">
        <f t="shared" si="3"/>
        <v>", FifaAlphaCode = "</v>
      </c>
      <c r="H18" t="str">
        <f t="shared" si="4"/>
        <v>BAN</v>
      </c>
      <c r="I18" t="str">
        <f t="shared" si="5"/>
        <v>",TeamCode="</v>
      </c>
      <c r="J18" t="str">
        <f t="shared" si="0"/>
        <v>BAN</v>
      </c>
      <c r="K18" t="str">
        <f t="shared" si="6"/>
        <v>", TeamType= "National" },</v>
      </c>
    </row>
    <row r="19" spans="1:11" x14ac:dyDescent="0.25">
      <c r="A19" t="s">
        <v>54</v>
      </c>
      <c r="B19" t="s">
        <v>56</v>
      </c>
      <c r="C19" t="str">
        <f>VLOOKUP(B19,FifaCountryCode!B:B,1,FALSE)</f>
        <v>BRB</v>
      </c>
      <c r="E19" t="str">
        <f t="shared" si="1"/>
        <v>new Team { TeamName = "</v>
      </c>
      <c r="F19" t="str">
        <f t="shared" si="2"/>
        <v>Barbados</v>
      </c>
      <c r="G19" t="str">
        <f t="shared" si="3"/>
        <v>", FifaAlphaCode = "</v>
      </c>
      <c r="H19" t="str">
        <f t="shared" si="4"/>
        <v>BRB</v>
      </c>
      <c r="I19" t="str">
        <f t="shared" si="5"/>
        <v>",TeamCode="</v>
      </c>
      <c r="J19" t="str">
        <f t="shared" si="0"/>
        <v>BRB</v>
      </c>
      <c r="K19" t="str">
        <f t="shared" si="6"/>
        <v>", TeamType= "National" },</v>
      </c>
    </row>
    <row r="20" spans="1:11" x14ac:dyDescent="0.25">
      <c r="A20" t="s">
        <v>755</v>
      </c>
      <c r="B20" t="s">
        <v>59</v>
      </c>
      <c r="C20" t="str">
        <f>VLOOKUP(B20,FifaCountryCode!B:B,1,FALSE)</f>
        <v>BLR</v>
      </c>
      <c r="E20" t="str">
        <f t="shared" si="1"/>
        <v>new Team { TeamName = "</v>
      </c>
      <c r="F20" t="str">
        <f t="shared" si="2"/>
        <v>Belarus</v>
      </c>
      <c r="G20" t="str">
        <f t="shared" si="3"/>
        <v>", FifaAlphaCode = "</v>
      </c>
      <c r="H20" t="str">
        <f t="shared" si="4"/>
        <v>BLR</v>
      </c>
      <c r="I20" t="str">
        <f t="shared" si="5"/>
        <v>",TeamCode="</v>
      </c>
      <c r="J20" t="str">
        <f t="shared" si="0"/>
        <v>BLR</v>
      </c>
      <c r="K20" t="str">
        <f t="shared" si="6"/>
        <v>", TeamType= "National" },</v>
      </c>
    </row>
    <row r="21" spans="1:11" x14ac:dyDescent="0.25">
      <c r="A21" t="s">
        <v>756</v>
      </c>
      <c r="B21" t="s">
        <v>62</v>
      </c>
      <c r="C21" t="str">
        <f>VLOOKUP(B21,FifaCountryCode!B:B,1,FALSE)</f>
        <v>BEL</v>
      </c>
      <c r="E21" t="str">
        <f t="shared" si="1"/>
        <v>new Team { TeamName = "</v>
      </c>
      <c r="F21" t="str">
        <f t="shared" si="2"/>
        <v>Belgium</v>
      </c>
      <c r="G21" t="str">
        <f t="shared" si="3"/>
        <v>", FifaAlphaCode = "</v>
      </c>
      <c r="H21" t="str">
        <f t="shared" si="4"/>
        <v>BEL</v>
      </c>
      <c r="I21" t="str">
        <f t="shared" si="5"/>
        <v>",TeamCode="</v>
      </c>
      <c r="J21" t="str">
        <f t="shared" si="0"/>
        <v>BEL</v>
      </c>
      <c r="K21" t="str">
        <f t="shared" si="6"/>
        <v>", TeamType= "National" },</v>
      </c>
    </row>
    <row r="22" spans="1:11" x14ac:dyDescent="0.25">
      <c r="A22" t="s">
        <v>63</v>
      </c>
      <c r="B22" t="s">
        <v>65</v>
      </c>
      <c r="C22" t="str">
        <f>VLOOKUP(B22,FifaCountryCode!B:B,1,FALSE)</f>
        <v>BLZ</v>
      </c>
      <c r="E22" t="str">
        <f t="shared" si="1"/>
        <v>new Team { TeamName = "</v>
      </c>
      <c r="F22" t="str">
        <f t="shared" si="2"/>
        <v>Belize</v>
      </c>
      <c r="G22" t="str">
        <f t="shared" si="3"/>
        <v>", FifaAlphaCode = "</v>
      </c>
      <c r="H22" t="str">
        <f t="shared" si="4"/>
        <v>BLZ</v>
      </c>
      <c r="I22" t="str">
        <f t="shared" si="5"/>
        <v>",TeamCode="</v>
      </c>
      <c r="J22" t="str">
        <f t="shared" si="0"/>
        <v>BLZ</v>
      </c>
      <c r="K22" t="str">
        <f t="shared" si="6"/>
        <v>", TeamType= "National" },</v>
      </c>
    </row>
    <row r="23" spans="1:11" x14ac:dyDescent="0.25">
      <c r="A23" t="s">
        <v>757</v>
      </c>
      <c r="B23" t="s">
        <v>68</v>
      </c>
      <c r="C23" t="str">
        <f>VLOOKUP(B23,FifaCountryCode!B:B,1,FALSE)</f>
        <v>BEN</v>
      </c>
      <c r="E23" t="str">
        <f t="shared" si="1"/>
        <v>new Team { TeamName = "</v>
      </c>
      <c r="F23" t="str">
        <f t="shared" si="2"/>
        <v>Benin</v>
      </c>
      <c r="G23" t="str">
        <f t="shared" si="3"/>
        <v>", FifaAlphaCode = "</v>
      </c>
      <c r="H23" t="str">
        <f t="shared" si="4"/>
        <v>BEN</v>
      </c>
      <c r="I23" t="str">
        <f t="shared" si="5"/>
        <v>",TeamCode="</v>
      </c>
      <c r="J23" t="str">
        <f t="shared" si="0"/>
        <v>BEN</v>
      </c>
      <c r="K23" t="str">
        <f t="shared" si="6"/>
        <v>", TeamType= "National" },</v>
      </c>
    </row>
    <row r="24" spans="1:11" x14ac:dyDescent="0.25">
      <c r="A24" t="s">
        <v>69</v>
      </c>
      <c r="B24" t="s">
        <v>936</v>
      </c>
      <c r="C24" t="str">
        <f>VLOOKUP(B24,FifaCountryCode!B:B,1,FALSE)</f>
        <v>BER</v>
      </c>
      <c r="E24" t="str">
        <f t="shared" si="1"/>
        <v>new Team { TeamName = "</v>
      </c>
      <c r="F24" t="str">
        <f t="shared" si="2"/>
        <v>Bermuda</v>
      </c>
      <c r="G24" t="str">
        <f t="shared" si="3"/>
        <v>", FifaAlphaCode = "</v>
      </c>
      <c r="H24" t="str">
        <f t="shared" si="4"/>
        <v>BER</v>
      </c>
      <c r="I24" t="str">
        <f t="shared" si="5"/>
        <v>",TeamCode="</v>
      </c>
      <c r="J24" t="str">
        <f t="shared" si="0"/>
        <v>BER</v>
      </c>
      <c r="K24" t="str">
        <f t="shared" si="6"/>
        <v>", TeamType= "National" },</v>
      </c>
    </row>
    <row r="25" spans="1:11" x14ac:dyDescent="0.25">
      <c r="A25" t="s">
        <v>758</v>
      </c>
      <c r="B25" t="s">
        <v>937</v>
      </c>
      <c r="C25" t="str">
        <f>VLOOKUP(B25,FifaCountryCode!B:B,1,FALSE)</f>
        <v>BHU</v>
      </c>
      <c r="E25" t="str">
        <f t="shared" si="1"/>
        <v>new Team { TeamName = "</v>
      </c>
      <c r="F25" t="str">
        <f t="shared" si="2"/>
        <v>Bhutan</v>
      </c>
      <c r="G25" t="str">
        <f t="shared" si="3"/>
        <v>", FifaAlphaCode = "</v>
      </c>
      <c r="H25" t="str">
        <f t="shared" si="4"/>
        <v>BHU</v>
      </c>
      <c r="I25" t="str">
        <f t="shared" si="5"/>
        <v>",TeamCode="</v>
      </c>
      <c r="J25" t="str">
        <f t="shared" si="0"/>
        <v>BHU</v>
      </c>
      <c r="K25" t="str">
        <f t="shared" si="6"/>
        <v>", TeamType= "National" },</v>
      </c>
    </row>
    <row r="26" spans="1:11" x14ac:dyDescent="0.25">
      <c r="A26" t="s">
        <v>1075</v>
      </c>
      <c r="B26" t="s">
        <v>77</v>
      </c>
      <c r="C26" t="str">
        <f>VLOOKUP(B26,FifaCountryCode!B:B,1,FALSE)</f>
        <v>BOL</v>
      </c>
      <c r="E26" t="str">
        <f t="shared" si="1"/>
        <v>new Team { TeamName = "</v>
      </c>
      <c r="F26" t="str">
        <f t="shared" si="2"/>
        <v>Bolivia</v>
      </c>
      <c r="G26" t="str">
        <f t="shared" si="3"/>
        <v>", FifaAlphaCode = "</v>
      </c>
      <c r="H26" t="str">
        <f t="shared" si="4"/>
        <v>BOL</v>
      </c>
      <c r="I26" t="str">
        <f t="shared" si="5"/>
        <v>",TeamCode="</v>
      </c>
      <c r="J26" t="str">
        <f t="shared" si="0"/>
        <v>BOL</v>
      </c>
      <c r="K26" t="str">
        <f t="shared" si="6"/>
        <v>", TeamType= "National" },</v>
      </c>
    </row>
    <row r="27" spans="1:11" x14ac:dyDescent="0.25">
      <c r="A27" t="s">
        <v>78</v>
      </c>
      <c r="B27" t="s">
        <v>80</v>
      </c>
      <c r="C27" t="str">
        <f>VLOOKUP(B27,FifaCountryCode!B:B,1,FALSE)</f>
        <v>BIH</v>
      </c>
      <c r="E27" t="str">
        <f t="shared" si="1"/>
        <v>new Team { TeamName = "</v>
      </c>
      <c r="F27" t="str">
        <f t="shared" si="2"/>
        <v>Bosnia and Herzegovina</v>
      </c>
      <c r="G27" t="str">
        <f t="shared" si="3"/>
        <v>", FifaAlphaCode = "</v>
      </c>
      <c r="H27" t="str">
        <f t="shared" si="4"/>
        <v>BIH</v>
      </c>
      <c r="I27" t="str">
        <f t="shared" si="5"/>
        <v>",TeamCode="</v>
      </c>
      <c r="J27" t="str">
        <f t="shared" si="0"/>
        <v>BIH</v>
      </c>
      <c r="K27" t="str">
        <f t="shared" si="6"/>
        <v>", TeamType= "National" },</v>
      </c>
    </row>
    <row r="28" spans="1:11" x14ac:dyDescent="0.25">
      <c r="A28" t="s">
        <v>759</v>
      </c>
      <c r="B28" t="s">
        <v>938</v>
      </c>
      <c r="C28" t="str">
        <f>VLOOKUP(B28,FifaCountryCode!B:B,1,FALSE)</f>
        <v>BOT</v>
      </c>
      <c r="E28" t="str">
        <f t="shared" si="1"/>
        <v>new Team { TeamName = "</v>
      </c>
      <c r="F28" t="str">
        <f t="shared" si="2"/>
        <v>Botswana</v>
      </c>
      <c r="G28" t="str">
        <f t="shared" si="3"/>
        <v>", FifaAlphaCode = "</v>
      </c>
      <c r="H28" t="str">
        <f t="shared" si="4"/>
        <v>BOT</v>
      </c>
      <c r="I28" t="str">
        <f t="shared" si="5"/>
        <v>",TeamCode="</v>
      </c>
      <c r="J28" t="str">
        <f t="shared" si="0"/>
        <v>BOT</v>
      </c>
      <c r="K28" t="str">
        <f t="shared" si="6"/>
        <v>", TeamType= "National" },</v>
      </c>
    </row>
    <row r="29" spans="1:11" x14ac:dyDescent="0.25">
      <c r="A29" t="s">
        <v>760</v>
      </c>
      <c r="B29" t="s">
        <v>87</v>
      </c>
      <c r="C29" t="str">
        <f>VLOOKUP(B29,FifaCountryCode!B:B,1,FALSE)</f>
        <v>BRA</v>
      </c>
      <c r="E29" t="str">
        <f t="shared" si="1"/>
        <v>new Team { TeamName = "</v>
      </c>
      <c r="F29" t="str">
        <f t="shared" si="2"/>
        <v>Brazil</v>
      </c>
      <c r="G29" t="str">
        <f t="shared" si="3"/>
        <v>", FifaAlphaCode = "</v>
      </c>
      <c r="H29" t="str">
        <f t="shared" si="4"/>
        <v>BRA</v>
      </c>
      <c r="I29" t="str">
        <f t="shared" si="5"/>
        <v>",TeamCode="</v>
      </c>
      <c r="J29" t="str">
        <f t="shared" si="0"/>
        <v>BRA</v>
      </c>
      <c r="K29" t="str">
        <f t="shared" si="6"/>
        <v>", TeamType= "National" },</v>
      </c>
    </row>
    <row r="30" spans="1:11" x14ac:dyDescent="0.25">
      <c r="A30" t="s">
        <v>1086</v>
      </c>
      <c r="B30" t="s">
        <v>720</v>
      </c>
      <c r="C30" t="str">
        <f>VLOOKUP(B30,FifaCountryCode!B:B,1,FALSE)</f>
        <v>VGB</v>
      </c>
      <c r="E30" t="str">
        <f t="shared" si="1"/>
        <v>new Team { TeamName = "</v>
      </c>
      <c r="F30" t="str">
        <f t="shared" si="2"/>
        <v>British Virgin Islands</v>
      </c>
      <c r="G30" t="str">
        <f t="shared" si="3"/>
        <v>", FifaAlphaCode = "</v>
      </c>
      <c r="H30" t="str">
        <f t="shared" si="4"/>
        <v>VGB</v>
      </c>
      <c r="I30" t="str">
        <f t="shared" si="5"/>
        <v>",TeamCode="</v>
      </c>
      <c r="J30" t="str">
        <f t="shared" si="0"/>
        <v>VGB</v>
      </c>
      <c r="K30" t="str">
        <f t="shared" si="6"/>
        <v>", TeamType= "National" },</v>
      </c>
    </row>
    <row r="31" spans="1:11" x14ac:dyDescent="0.25">
      <c r="A31" t="s">
        <v>1008</v>
      </c>
      <c r="B31" t="s">
        <v>939</v>
      </c>
      <c r="C31" t="str">
        <f>VLOOKUP(B31,FifaCountryCode!B:B,1,FALSE)</f>
        <v>BRU</v>
      </c>
      <c r="E31" t="str">
        <f t="shared" si="1"/>
        <v>new Team { TeamName = "</v>
      </c>
      <c r="F31" t="str">
        <f t="shared" si="2"/>
        <v>Brunei</v>
      </c>
      <c r="G31" t="str">
        <f t="shared" si="3"/>
        <v>", FifaAlphaCode = "</v>
      </c>
      <c r="H31" t="str">
        <f t="shared" si="4"/>
        <v>BRU</v>
      </c>
      <c r="I31" t="str">
        <f t="shared" si="5"/>
        <v>",TeamCode="</v>
      </c>
      <c r="J31" t="str">
        <f t="shared" si="0"/>
        <v>BRU</v>
      </c>
      <c r="K31" t="str">
        <f t="shared" si="6"/>
        <v>", TeamType= "National" },</v>
      </c>
    </row>
    <row r="32" spans="1:11" x14ac:dyDescent="0.25">
      <c r="A32" t="s">
        <v>761</v>
      </c>
      <c r="B32" t="s">
        <v>940</v>
      </c>
      <c r="C32" t="str">
        <f>VLOOKUP(B32,FifaCountryCode!B:B,1,FALSE)</f>
        <v>BUL</v>
      </c>
      <c r="E32" t="str">
        <f t="shared" si="1"/>
        <v>new Team { TeamName = "</v>
      </c>
      <c r="F32" t="str">
        <f t="shared" si="2"/>
        <v>Bulgaria</v>
      </c>
      <c r="G32" t="str">
        <f t="shared" si="3"/>
        <v>", FifaAlphaCode = "</v>
      </c>
      <c r="H32" t="str">
        <f t="shared" si="4"/>
        <v>BUL</v>
      </c>
      <c r="I32" t="str">
        <f t="shared" si="5"/>
        <v>",TeamCode="</v>
      </c>
      <c r="J32" t="str">
        <f t="shared" si="0"/>
        <v>BUL</v>
      </c>
      <c r="K32" t="str">
        <f t="shared" si="6"/>
        <v>", TeamType= "National" },</v>
      </c>
    </row>
    <row r="33" spans="1:11" x14ac:dyDescent="0.25">
      <c r="A33" t="s">
        <v>94</v>
      </c>
      <c r="B33" t="s">
        <v>96</v>
      </c>
      <c r="C33" t="str">
        <f>VLOOKUP(B33,FifaCountryCode!B:B,1,FALSE)</f>
        <v>BFA</v>
      </c>
      <c r="E33" t="str">
        <f t="shared" si="1"/>
        <v>new Team { TeamName = "</v>
      </c>
      <c r="F33" t="str">
        <f t="shared" si="2"/>
        <v>Burkina Faso</v>
      </c>
      <c r="G33" t="str">
        <f t="shared" si="3"/>
        <v>", FifaAlphaCode = "</v>
      </c>
      <c r="H33" t="str">
        <f t="shared" si="4"/>
        <v>BFA</v>
      </c>
      <c r="I33" t="str">
        <f t="shared" si="5"/>
        <v>",TeamCode="</v>
      </c>
      <c r="J33" t="str">
        <f t="shared" si="0"/>
        <v>BFA</v>
      </c>
      <c r="K33" t="str">
        <f t="shared" si="6"/>
        <v>", TeamType= "National" },</v>
      </c>
    </row>
    <row r="34" spans="1:11" x14ac:dyDescent="0.25">
      <c r="A34" t="s">
        <v>762</v>
      </c>
      <c r="B34" t="s">
        <v>99</v>
      </c>
      <c r="C34" t="str">
        <f>VLOOKUP(B34,FifaCountryCode!B:B,1,FALSE)</f>
        <v>BDI</v>
      </c>
      <c r="E34" t="str">
        <f t="shared" si="1"/>
        <v>new Team { TeamName = "</v>
      </c>
      <c r="F34" t="str">
        <f t="shared" si="2"/>
        <v>Burundi</v>
      </c>
      <c r="G34" t="str">
        <f t="shared" si="3"/>
        <v>", FifaAlphaCode = "</v>
      </c>
      <c r="H34" t="str">
        <f t="shared" si="4"/>
        <v>BDI</v>
      </c>
      <c r="I34" t="str">
        <f t="shared" si="5"/>
        <v>",TeamCode="</v>
      </c>
      <c r="J34" t="str">
        <f t="shared" si="0"/>
        <v>BDI</v>
      </c>
      <c r="K34" t="str">
        <f t="shared" si="6"/>
        <v>", TeamType= "National" },</v>
      </c>
    </row>
    <row r="35" spans="1:11" x14ac:dyDescent="0.25">
      <c r="A35" t="s">
        <v>763</v>
      </c>
      <c r="B35" t="s">
        <v>941</v>
      </c>
      <c r="C35" t="str">
        <f>VLOOKUP(B35,FifaCountryCode!B:B,1,FALSE)</f>
        <v>CAM</v>
      </c>
      <c r="E35" t="str">
        <f t="shared" si="1"/>
        <v>new Team { TeamName = "</v>
      </c>
      <c r="F35" t="str">
        <f t="shared" si="2"/>
        <v>Cambodia</v>
      </c>
      <c r="G35" t="str">
        <f t="shared" si="3"/>
        <v>", FifaAlphaCode = "</v>
      </c>
      <c r="H35" t="str">
        <f t="shared" si="4"/>
        <v>CAM</v>
      </c>
      <c r="I35" t="str">
        <f t="shared" si="5"/>
        <v>",TeamCode="</v>
      </c>
      <c r="J35" t="str">
        <f t="shared" si="0"/>
        <v>CAM</v>
      </c>
      <c r="K35" t="str">
        <f t="shared" si="6"/>
        <v>", TeamType= "National" },</v>
      </c>
    </row>
    <row r="36" spans="1:11" x14ac:dyDescent="0.25">
      <c r="A36" t="s">
        <v>764</v>
      </c>
      <c r="B36" t="s">
        <v>108</v>
      </c>
      <c r="C36" t="str">
        <f>VLOOKUP(B36,FifaCountryCode!B:B,1,FALSE)</f>
        <v>CMR</v>
      </c>
      <c r="E36" t="str">
        <f t="shared" si="1"/>
        <v>new Team { TeamName = "</v>
      </c>
      <c r="F36" t="str">
        <f t="shared" si="2"/>
        <v>Cameroon</v>
      </c>
      <c r="G36" t="str">
        <f t="shared" si="3"/>
        <v>", FifaAlphaCode = "</v>
      </c>
      <c r="H36" t="str">
        <f t="shared" si="4"/>
        <v>CMR</v>
      </c>
      <c r="I36" t="str">
        <f t="shared" si="5"/>
        <v>",TeamCode="</v>
      </c>
      <c r="J36" t="str">
        <f t="shared" si="0"/>
        <v>CMR</v>
      </c>
      <c r="K36" t="str">
        <f t="shared" si="6"/>
        <v>", TeamType= "National" },</v>
      </c>
    </row>
    <row r="37" spans="1:11" x14ac:dyDescent="0.25">
      <c r="A37" t="s">
        <v>109</v>
      </c>
      <c r="B37" t="s">
        <v>111</v>
      </c>
      <c r="C37" t="str">
        <f>VLOOKUP(B37,FifaCountryCode!B:B,1,FALSE)</f>
        <v>CAN</v>
      </c>
      <c r="E37" t="str">
        <f t="shared" si="1"/>
        <v>new Team { TeamName = "</v>
      </c>
      <c r="F37" t="str">
        <f t="shared" si="2"/>
        <v>Canada</v>
      </c>
      <c r="G37" t="str">
        <f t="shared" si="3"/>
        <v>", FifaAlphaCode = "</v>
      </c>
      <c r="H37" t="str">
        <f t="shared" si="4"/>
        <v>CAN</v>
      </c>
      <c r="I37" t="str">
        <f t="shared" si="5"/>
        <v>",TeamCode="</v>
      </c>
      <c r="J37" t="str">
        <f t="shared" si="0"/>
        <v>CAN</v>
      </c>
      <c r="K37" t="str">
        <f t="shared" si="6"/>
        <v>", TeamType= "National" },</v>
      </c>
    </row>
    <row r="38" spans="1:11" x14ac:dyDescent="0.25">
      <c r="A38" t="s">
        <v>1087</v>
      </c>
      <c r="B38" t="s">
        <v>102</v>
      </c>
      <c r="C38" t="str">
        <f>VLOOKUP(B38,FifaCountryCode!B:B,1,FALSE)</f>
        <v>CPV</v>
      </c>
      <c r="E38" t="str">
        <f t="shared" si="1"/>
        <v>new Team { TeamName = "</v>
      </c>
      <c r="F38" t="str">
        <f t="shared" si="2"/>
        <v>Cape Verde</v>
      </c>
      <c r="G38" t="str">
        <f t="shared" si="3"/>
        <v>", FifaAlphaCode = "</v>
      </c>
      <c r="H38" t="str">
        <f t="shared" si="4"/>
        <v>CPV</v>
      </c>
      <c r="I38" t="str">
        <f t="shared" si="5"/>
        <v>",TeamCode="</v>
      </c>
      <c r="J38" t="str">
        <f t="shared" si="0"/>
        <v>CPV</v>
      </c>
      <c r="K38" t="str">
        <f t="shared" si="6"/>
        <v>", TeamType= "National" },</v>
      </c>
    </row>
    <row r="39" spans="1:11" x14ac:dyDescent="0.25">
      <c r="A39" t="s">
        <v>1088</v>
      </c>
      <c r="B39" t="s">
        <v>942</v>
      </c>
      <c r="C39" t="str">
        <f>VLOOKUP(B39,FifaCountryCode!B:B,1,FALSE)</f>
        <v>CAY</v>
      </c>
      <c r="E39" t="str">
        <f t="shared" si="1"/>
        <v>new Team { TeamName = "</v>
      </c>
      <c r="F39" t="str">
        <f t="shared" si="2"/>
        <v>Cayman Islands</v>
      </c>
      <c r="G39" t="str">
        <f t="shared" si="3"/>
        <v>", FifaAlphaCode = "</v>
      </c>
      <c r="H39" t="str">
        <f t="shared" si="4"/>
        <v>CAY</v>
      </c>
      <c r="I39" t="str">
        <f t="shared" si="5"/>
        <v>",TeamCode="</v>
      </c>
      <c r="J39" t="str">
        <f t="shared" si="0"/>
        <v>CAY</v>
      </c>
      <c r="K39" t="str">
        <f t="shared" si="6"/>
        <v>", TeamType= "National" },</v>
      </c>
    </row>
    <row r="40" spans="1:11" x14ac:dyDescent="0.25">
      <c r="A40" t="s">
        <v>1089</v>
      </c>
      <c r="B40" t="s">
        <v>943</v>
      </c>
      <c r="C40" t="str">
        <f>VLOOKUP(B40,FifaCountryCode!B:B,1,FALSE)</f>
        <v>CTA</v>
      </c>
      <c r="E40" t="str">
        <f t="shared" si="1"/>
        <v>new Team { TeamName = "</v>
      </c>
      <c r="F40" t="str">
        <f t="shared" si="2"/>
        <v>Central African Republic</v>
      </c>
      <c r="G40" t="str">
        <f t="shared" si="3"/>
        <v>", FifaAlphaCode = "</v>
      </c>
      <c r="H40" t="str">
        <f t="shared" si="4"/>
        <v>CTA</v>
      </c>
      <c r="I40" t="str">
        <f t="shared" si="5"/>
        <v>",TeamCode="</v>
      </c>
      <c r="J40" t="str">
        <f t="shared" si="0"/>
        <v>CTA</v>
      </c>
      <c r="K40" t="str">
        <f t="shared" si="6"/>
        <v>", TeamType= "National" },</v>
      </c>
    </row>
    <row r="41" spans="1:11" x14ac:dyDescent="0.25">
      <c r="A41" t="s">
        <v>767</v>
      </c>
      <c r="B41" t="s">
        <v>944</v>
      </c>
      <c r="C41" t="str">
        <f>VLOOKUP(B41,FifaCountryCode!B:B,1,FALSE)</f>
        <v>CHA</v>
      </c>
      <c r="E41" t="str">
        <f t="shared" si="1"/>
        <v>new Team { TeamName = "</v>
      </c>
      <c r="F41" t="str">
        <f t="shared" si="2"/>
        <v>Chad</v>
      </c>
      <c r="G41" t="str">
        <f t="shared" si="3"/>
        <v>", FifaAlphaCode = "</v>
      </c>
      <c r="H41" t="str">
        <f t="shared" si="4"/>
        <v>CHA</v>
      </c>
      <c r="I41" t="str">
        <f t="shared" si="5"/>
        <v>",TeamCode="</v>
      </c>
      <c r="J41" t="str">
        <f t="shared" si="0"/>
        <v>CHA</v>
      </c>
      <c r="K41" t="str">
        <f t="shared" si="6"/>
        <v>", TeamType= "National" },</v>
      </c>
    </row>
    <row r="42" spans="1:11" x14ac:dyDescent="0.25">
      <c r="A42" t="s">
        <v>768</v>
      </c>
      <c r="B42" t="s">
        <v>945</v>
      </c>
      <c r="C42" t="str">
        <f>VLOOKUP(B42,FifaCountryCode!B:B,1,FALSE)</f>
        <v>CHI</v>
      </c>
      <c r="E42" t="str">
        <f t="shared" si="1"/>
        <v>new Team { TeamName = "</v>
      </c>
      <c r="F42" t="str">
        <f t="shared" si="2"/>
        <v>Chile</v>
      </c>
      <c r="G42" t="str">
        <f t="shared" si="3"/>
        <v>", FifaAlphaCode = "</v>
      </c>
      <c r="H42" t="str">
        <f t="shared" si="4"/>
        <v>CHI</v>
      </c>
      <c r="I42" t="str">
        <f t="shared" si="5"/>
        <v>",TeamCode="</v>
      </c>
      <c r="J42" t="str">
        <f t="shared" si="0"/>
        <v>CHI</v>
      </c>
      <c r="K42" t="str">
        <f t="shared" si="6"/>
        <v>", TeamType= "National" },</v>
      </c>
    </row>
    <row r="43" spans="1:11" x14ac:dyDescent="0.25">
      <c r="A43" t="s">
        <v>294</v>
      </c>
      <c r="B43" t="s">
        <v>126</v>
      </c>
      <c r="C43" t="str">
        <f>VLOOKUP(B43,FifaCountryCode!B:B,1,FALSE)</f>
        <v>CHN</v>
      </c>
      <c r="E43" t="str">
        <f t="shared" si="1"/>
        <v>new Team { TeamName = "</v>
      </c>
      <c r="F43" t="str">
        <f t="shared" si="2"/>
        <v>China</v>
      </c>
      <c r="G43" t="str">
        <f t="shared" si="3"/>
        <v>", FifaAlphaCode = "</v>
      </c>
      <c r="H43" t="str">
        <f t="shared" si="4"/>
        <v>CHN</v>
      </c>
      <c r="I43" t="str">
        <f t="shared" si="5"/>
        <v>",TeamCode="</v>
      </c>
      <c r="J43" t="str">
        <f t="shared" si="0"/>
        <v>CHN</v>
      </c>
      <c r="K43" t="str">
        <f t="shared" si="6"/>
        <v>", TeamType= "National" },</v>
      </c>
    </row>
    <row r="44" spans="1:11" x14ac:dyDescent="0.25">
      <c r="A44" t="s">
        <v>1091</v>
      </c>
      <c r="B44" t="s">
        <v>946</v>
      </c>
      <c r="C44" t="str">
        <f>VLOOKUP(B44,FifaCountryCode!B:B,1,FALSE)</f>
        <v>TPE</v>
      </c>
      <c r="E44" t="str">
        <f t="shared" si="1"/>
        <v>new Team { TeamName = "</v>
      </c>
      <c r="F44" t="str">
        <f t="shared" si="2"/>
        <v>Chinese Taipei</v>
      </c>
      <c r="G44" t="str">
        <f t="shared" si="3"/>
        <v>", FifaAlphaCode = "</v>
      </c>
      <c r="H44" t="str">
        <f t="shared" si="4"/>
        <v>TPE</v>
      </c>
      <c r="I44" t="str">
        <f t="shared" si="5"/>
        <v>",TeamCode="</v>
      </c>
      <c r="J44" t="str">
        <f t="shared" si="0"/>
        <v>TPE</v>
      </c>
      <c r="K44" t="str">
        <f t="shared" si="6"/>
        <v>", TeamType= "National" },</v>
      </c>
    </row>
    <row r="45" spans="1:11" x14ac:dyDescent="0.25">
      <c r="A45" t="s">
        <v>771</v>
      </c>
      <c r="B45" t="s">
        <v>136</v>
      </c>
      <c r="C45" t="str">
        <f>VLOOKUP(B45,FifaCountryCode!B:B,1,FALSE)</f>
        <v>COL</v>
      </c>
      <c r="E45" t="str">
        <f t="shared" si="1"/>
        <v>new Team { TeamName = "</v>
      </c>
      <c r="F45" t="str">
        <f t="shared" si="2"/>
        <v>Colombia</v>
      </c>
      <c r="G45" t="str">
        <f t="shared" si="3"/>
        <v>", FifaAlphaCode = "</v>
      </c>
      <c r="H45" t="str">
        <f t="shared" si="4"/>
        <v>COL</v>
      </c>
      <c r="I45" t="str">
        <f t="shared" si="5"/>
        <v>",TeamCode="</v>
      </c>
      <c r="J45" t="str">
        <f t="shared" si="0"/>
        <v>COL</v>
      </c>
      <c r="K45" t="str">
        <f t="shared" si="6"/>
        <v>", TeamType= "National" },</v>
      </c>
    </row>
    <row r="46" spans="1:11" x14ac:dyDescent="0.25">
      <c r="A46" t="s">
        <v>1092</v>
      </c>
      <c r="B46" t="s">
        <v>139</v>
      </c>
      <c r="C46" t="str">
        <f>VLOOKUP(B46,FifaCountryCode!B:B,1,FALSE)</f>
        <v>COM</v>
      </c>
      <c r="E46" t="str">
        <f t="shared" si="1"/>
        <v>new Team { TeamName = "</v>
      </c>
      <c r="F46" t="str">
        <f t="shared" si="2"/>
        <v>Comoros</v>
      </c>
      <c r="G46" t="str">
        <f t="shared" si="3"/>
        <v>", FifaAlphaCode = "</v>
      </c>
      <c r="H46" t="str">
        <f t="shared" si="4"/>
        <v>COM</v>
      </c>
      <c r="I46" t="str">
        <f t="shared" si="5"/>
        <v>",TeamCode="</v>
      </c>
      <c r="J46" t="str">
        <f t="shared" si="0"/>
        <v>COM</v>
      </c>
      <c r="K46" t="str">
        <f t="shared" si="6"/>
        <v>", TeamType= "National" },</v>
      </c>
    </row>
    <row r="47" spans="1:11" x14ac:dyDescent="0.25">
      <c r="A47" t="s">
        <v>1084</v>
      </c>
      <c r="B47" t="s">
        <v>947</v>
      </c>
      <c r="C47" t="str">
        <f>VLOOKUP(B47,FifaCountryCode!B:B,1,FALSE)</f>
        <v>CGO</v>
      </c>
      <c r="E47" t="str">
        <f t="shared" si="1"/>
        <v>new Team { TeamName = "</v>
      </c>
      <c r="F47" t="str">
        <f t="shared" si="2"/>
        <v>Congo</v>
      </c>
      <c r="G47" t="str">
        <f t="shared" si="3"/>
        <v>", FifaAlphaCode = "</v>
      </c>
      <c r="H47" t="str">
        <f t="shared" si="4"/>
        <v>CGO</v>
      </c>
      <c r="I47" t="str">
        <f t="shared" si="5"/>
        <v>",TeamCode="</v>
      </c>
      <c r="J47" t="str">
        <f t="shared" si="0"/>
        <v>CGO</v>
      </c>
      <c r="K47" t="str">
        <f t="shared" si="6"/>
        <v>", TeamType= "National" },</v>
      </c>
    </row>
    <row r="48" spans="1:11" x14ac:dyDescent="0.25">
      <c r="A48" t="s">
        <v>1093</v>
      </c>
      <c r="B48" t="s">
        <v>149</v>
      </c>
      <c r="C48" t="str">
        <f>VLOOKUP(B48,FifaCountryCode!B:B,1,FALSE)</f>
        <v>COK</v>
      </c>
      <c r="E48" t="str">
        <f t="shared" si="1"/>
        <v>new Team { TeamName = "</v>
      </c>
      <c r="F48" t="str">
        <f t="shared" si="2"/>
        <v>Cook Islands</v>
      </c>
      <c r="G48" t="str">
        <f t="shared" si="3"/>
        <v>", FifaAlphaCode = "</v>
      </c>
      <c r="H48" t="str">
        <f t="shared" si="4"/>
        <v>COK</v>
      </c>
      <c r="I48" t="str">
        <f t="shared" si="5"/>
        <v>",TeamCode="</v>
      </c>
      <c r="J48" t="str">
        <f t="shared" si="0"/>
        <v>COK</v>
      </c>
      <c r="K48" t="str">
        <f t="shared" si="6"/>
        <v>", TeamType= "National" },</v>
      </c>
    </row>
    <row r="49" spans="1:11" x14ac:dyDescent="0.25">
      <c r="A49" t="s">
        <v>774</v>
      </c>
      <c r="B49" t="s">
        <v>948</v>
      </c>
      <c r="C49" t="str">
        <f>VLOOKUP(B49,FifaCountryCode!B:B,1,FALSE)</f>
        <v>CRC</v>
      </c>
      <c r="E49" t="str">
        <f t="shared" si="1"/>
        <v>new Team { TeamName = "</v>
      </c>
      <c r="F49" t="str">
        <f t="shared" si="2"/>
        <v>Costa Rica</v>
      </c>
      <c r="G49" t="str">
        <f t="shared" si="3"/>
        <v>", FifaAlphaCode = "</v>
      </c>
      <c r="H49" t="str">
        <f t="shared" si="4"/>
        <v>CRC</v>
      </c>
      <c r="I49" t="str">
        <f t="shared" si="5"/>
        <v>",TeamCode="</v>
      </c>
      <c r="J49" t="str">
        <f t="shared" si="0"/>
        <v>CRC</v>
      </c>
      <c r="K49" t="str">
        <f t="shared" si="6"/>
        <v>", TeamType= "National" },</v>
      </c>
    </row>
    <row r="50" spans="1:11" x14ac:dyDescent="0.25">
      <c r="A50" t="s">
        <v>775</v>
      </c>
      <c r="B50" t="s">
        <v>949</v>
      </c>
      <c r="C50" t="str">
        <f>VLOOKUP(B50,FifaCountryCode!B:B,1,FALSE)</f>
        <v>CRO</v>
      </c>
      <c r="E50" t="str">
        <f t="shared" si="1"/>
        <v>new Team { TeamName = "</v>
      </c>
      <c r="F50" t="str">
        <f t="shared" si="2"/>
        <v>Croatia</v>
      </c>
      <c r="G50" t="str">
        <f t="shared" si="3"/>
        <v>", FifaAlphaCode = "</v>
      </c>
      <c r="H50" t="str">
        <f t="shared" si="4"/>
        <v>CRO</v>
      </c>
      <c r="I50" t="str">
        <f t="shared" si="5"/>
        <v>",TeamCode="</v>
      </c>
      <c r="J50" t="str">
        <f t="shared" si="0"/>
        <v>CRO</v>
      </c>
      <c r="K50" t="str">
        <f t="shared" si="6"/>
        <v>", TeamType= "National" },</v>
      </c>
    </row>
    <row r="51" spans="1:11" x14ac:dyDescent="0.25">
      <c r="A51" t="s">
        <v>776</v>
      </c>
      <c r="B51" t="s">
        <v>161</v>
      </c>
      <c r="C51" t="str">
        <f>VLOOKUP(B51,FifaCountryCode!B:B,1,FALSE)</f>
        <v>CUB</v>
      </c>
      <c r="E51" t="str">
        <f t="shared" si="1"/>
        <v>new Team { TeamName = "</v>
      </c>
      <c r="F51" t="str">
        <f t="shared" si="2"/>
        <v>Cuba</v>
      </c>
      <c r="G51" t="str">
        <f t="shared" si="3"/>
        <v>", FifaAlphaCode = "</v>
      </c>
      <c r="H51" t="str">
        <f t="shared" si="4"/>
        <v>CUB</v>
      </c>
      <c r="I51" t="str">
        <f t="shared" si="5"/>
        <v>",TeamCode="</v>
      </c>
      <c r="J51" t="str">
        <f t="shared" si="0"/>
        <v>CUB</v>
      </c>
      <c r="K51" t="str">
        <f t="shared" si="6"/>
        <v>", TeamType= "National" },</v>
      </c>
    </row>
    <row r="52" spans="1:11" x14ac:dyDescent="0.25">
      <c r="A52" t="s">
        <v>777</v>
      </c>
      <c r="B52" t="s">
        <v>164</v>
      </c>
      <c r="C52" t="str">
        <f>VLOOKUP(B52,FifaCountryCode!B:B,1,FALSE)</f>
        <v>CUW</v>
      </c>
      <c r="E52" t="str">
        <f t="shared" si="1"/>
        <v>new Team { TeamName = "</v>
      </c>
      <c r="F52" t="str">
        <f t="shared" si="2"/>
        <v>Curaçao</v>
      </c>
      <c r="G52" t="str">
        <f t="shared" si="3"/>
        <v>", FifaAlphaCode = "</v>
      </c>
      <c r="H52" t="str">
        <f t="shared" si="4"/>
        <v>CUW</v>
      </c>
      <c r="I52" t="str">
        <f t="shared" si="5"/>
        <v>",TeamCode="</v>
      </c>
      <c r="J52" t="str">
        <f t="shared" si="0"/>
        <v>CUW</v>
      </c>
      <c r="K52" t="str">
        <f t="shared" si="6"/>
        <v>", TeamType= "National" },</v>
      </c>
    </row>
    <row r="53" spans="1:11" x14ac:dyDescent="0.25">
      <c r="A53" t="s">
        <v>778</v>
      </c>
      <c r="B53" t="s">
        <v>167</v>
      </c>
      <c r="C53" t="str">
        <f>VLOOKUP(B53,FifaCountryCode!B:B,1,FALSE)</f>
        <v>CYP</v>
      </c>
      <c r="E53" t="str">
        <f t="shared" si="1"/>
        <v>new Team { TeamName = "</v>
      </c>
      <c r="F53" t="str">
        <f t="shared" si="2"/>
        <v>Cyprus</v>
      </c>
      <c r="G53" t="str">
        <f t="shared" si="3"/>
        <v>", FifaAlphaCode = "</v>
      </c>
      <c r="H53" t="str">
        <f t="shared" si="4"/>
        <v>CYP</v>
      </c>
      <c r="I53" t="str">
        <f t="shared" si="5"/>
        <v>",TeamCode="</v>
      </c>
      <c r="J53" t="str">
        <f t="shared" si="0"/>
        <v>CYP</v>
      </c>
      <c r="K53" t="str">
        <f t="shared" si="6"/>
        <v>", TeamType= "National" },</v>
      </c>
    </row>
    <row r="54" spans="1:11" x14ac:dyDescent="0.25">
      <c r="A54" t="s">
        <v>1078</v>
      </c>
      <c r="B54" t="s">
        <v>170</v>
      </c>
      <c r="C54" t="str">
        <f>VLOOKUP(B54,FifaCountryCode!B:B,1,FALSE)</f>
        <v>CZE</v>
      </c>
      <c r="E54" t="str">
        <f t="shared" si="1"/>
        <v>new Team { TeamName = "</v>
      </c>
      <c r="F54" t="str">
        <f t="shared" si="2"/>
        <v>Czech Republic</v>
      </c>
      <c r="G54" t="str">
        <f t="shared" si="3"/>
        <v>", FifaAlphaCode = "</v>
      </c>
      <c r="H54" t="str">
        <f t="shared" si="4"/>
        <v>CZE</v>
      </c>
      <c r="I54" t="str">
        <f t="shared" si="5"/>
        <v>",TeamCode="</v>
      </c>
      <c r="J54" t="str">
        <f t="shared" si="0"/>
        <v>CZE</v>
      </c>
      <c r="K54" t="str">
        <f t="shared" si="6"/>
        <v>", TeamType= "National" },</v>
      </c>
    </row>
    <row r="55" spans="1:11" x14ac:dyDescent="0.25">
      <c r="A55" t="s">
        <v>211</v>
      </c>
      <c r="B55" t="s">
        <v>952</v>
      </c>
      <c r="C55" t="str">
        <f>VLOOKUP(B55,FifaCountryCode!B:B,1,FALSE)</f>
        <v>DEN</v>
      </c>
      <c r="E55" t="str">
        <f t="shared" si="1"/>
        <v>new Team { TeamName = "</v>
      </c>
      <c r="F55" t="str">
        <f t="shared" si="2"/>
        <v>Denmark</v>
      </c>
      <c r="G55" t="str">
        <f t="shared" si="3"/>
        <v>", FifaAlphaCode = "</v>
      </c>
      <c r="H55" t="str">
        <f t="shared" si="4"/>
        <v>DEN</v>
      </c>
      <c r="I55" t="str">
        <f t="shared" si="5"/>
        <v>",TeamCode="</v>
      </c>
      <c r="J55" t="str">
        <f t="shared" si="0"/>
        <v>DEN</v>
      </c>
      <c r="K55" t="str">
        <f t="shared" si="6"/>
        <v>", TeamType= "National" },</v>
      </c>
    </row>
    <row r="56" spans="1:11" x14ac:dyDescent="0.25">
      <c r="A56" t="s">
        <v>779</v>
      </c>
      <c r="B56" t="s">
        <v>176</v>
      </c>
      <c r="C56" t="str">
        <f>VLOOKUP(B56,FifaCountryCode!B:B,1,FALSE)</f>
        <v>DJI</v>
      </c>
      <c r="E56" t="str">
        <f t="shared" si="1"/>
        <v>new Team { TeamName = "</v>
      </c>
      <c r="F56" t="str">
        <f t="shared" si="2"/>
        <v>Djibouti</v>
      </c>
      <c r="G56" t="str">
        <f t="shared" si="3"/>
        <v>", FifaAlphaCode = "</v>
      </c>
      <c r="H56" t="str">
        <f t="shared" si="4"/>
        <v>DJI</v>
      </c>
      <c r="I56" t="str">
        <f t="shared" si="5"/>
        <v>",TeamCode="</v>
      </c>
      <c r="J56" t="str">
        <f t="shared" si="0"/>
        <v>DJI</v>
      </c>
      <c r="K56" t="str">
        <f t="shared" si="6"/>
        <v>", TeamType= "National" },</v>
      </c>
    </row>
    <row r="57" spans="1:11" x14ac:dyDescent="0.25">
      <c r="A57" t="s">
        <v>780</v>
      </c>
      <c r="B57" t="s">
        <v>179</v>
      </c>
      <c r="C57" t="str">
        <f>VLOOKUP(B57,FifaCountryCode!B:B,1,FALSE)</f>
        <v>DMA</v>
      </c>
      <c r="E57" t="str">
        <f t="shared" si="1"/>
        <v>new Team { TeamName = "</v>
      </c>
      <c r="F57" t="str">
        <f t="shared" si="2"/>
        <v>Dominica</v>
      </c>
      <c r="G57" t="str">
        <f t="shared" si="3"/>
        <v>", FifaAlphaCode = "</v>
      </c>
      <c r="H57" t="str">
        <f t="shared" si="4"/>
        <v>DMA</v>
      </c>
      <c r="I57" t="str">
        <f t="shared" si="5"/>
        <v>",TeamCode="</v>
      </c>
      <c r="J57" t="str">
        <f t="shared" si="0"/>
        <v>DMA</v>
      </c>
      <c r="K57" t="str">
        <f t="shared" si="6"/>
        <v>", TeamType= "National" },</v>
      </c>
    </row>
    <row r="58" spans="1:11" x14ac:dyDescent="0.25">
      <c r="A58" t="s">
        <v>1094</v>
      </c>
      <c r="B58" t="s">
        <v>182</v>
      </c>
      <c r="C58" t="str">
        <f>VLOOKUP(B58,FifaCountryCode!B:B,1,FALSE)</f>
        <v>DOM</v>
      </c>
      <c r="E58" t="str">
        <f t="shared" si="1"/>
        <v>new Team { TeamName = "</v>
      </c>
      <c r="F58" t="str">
        <f t="shared" si="2"/>
        <v>Dominican Republic</v>
      </c>
      <c r="G58" t="str">
        <f t="shared" si="3"/>
        <v>", FifaAlphaCode = "</v>
      </c>
      <c r="H58" t="str">
        <f t="shared" si="4"/>
        <v>DOM</v>
      </c>
      <c r="I58" t="str">
        <f t="shared" si="5"/>
        <v>",TeamCode="</v>
      </c>
      <c r="J58" t="str">
        <f t="shared" si="0"/>
        <v>DOM</v>
      </c>
      <c r="K58" t="str">
        <f t="shared" si="6"/>
        <v>", TeamType= "National" },</v>
      </c>
    </row>
    <row r="59" spans="1:11" x14ac:dyDescent="0.25">
      <c r="A59" t="s">
        <v>1095</v>
      </c>
      <c r="B59" t="s">
        <v>142</v>
      </c>
      <c r="C59" t="str">
        <f>VLOOKUP(B59,FifaCountryCode!B:B,1,FALSE)</f>
        <v>COD</v>
      </c>
      <c r="E59" t="str">
        <f t="shared" si="1"/>
        <v>new Team { TeamName = "</v>
      </c>
      <c r="F59" t="str">
        <f t="shared" si="2"/>
        <v>DR Congo</v>
      </c>
      <c r="G59" t="str">
        <f t="shared" si="3"/>
        <v>", FifaAlphaCode = "</v>
      </c>
      <c r="H59" t="str">
        <f t="shared" si="4"/>
        <v>COD</v>
      </c>
      <c r="I59" t="str">
        <f t="shared" si="5"/>
        <v>",TeamCode="</v>
      </c>
      <c r="J59" t="str">
        <f t="shared" si="0"/>
        <v>COD</v>
      </c>
      <c r="K59" t="str">
        <f t="shared" si="6"/>
        <v>", TeamType= "National" },</v>
      </c>
    </row>
    <row r="60" spans="1:11" x14ac:dyDescent="0.25">
      <c r="A60" t="s">
        <v>782</v>
      </c>
      <c r="B60" t="s">
        <v>185</v>
      </c>
      <c r="C60" t="str">
        <f>VLOOKUP(B60,FifaCountryCode!B:B,1,FALSE)</f>
        <v>ECU</v>
      </c>
      <c r="E60" t="str">
        <f t="shared" si="1"/>
        <v>new Team { TeamName = "</v>
      </c>
      <c r="F60" t="str">
        <f t="shared" si="2"/>
        <v>Ecuador</v>
      </c>
      <c r="G60" t="str">
        <f t="shared" si="3"/>
        <v>", FifaAlphaCode = "</v>
      </c>
      <c r="H60" t="str">
        <f t="shared" si="4"/>
        <v>ECU</v>
      </c>
      <c r="I60" t="str">
        <f t="shared" si="5"/>
        <v>",TeamCode="</v>
      </c>
      <c r="J60" t="str">
        <f t="shared" si="0"/>
        <v>ECU</v>
      </c>
      <c r="K60" t="str">
        <f t="shared" si="6"/>
        <v>", TeamType= "National" },</v>
      </c>
    </row>
    <row r="61" spans="1:11" x14ac:dyDescent="0.25">
      <c r="A61" t="s">
        <v>783</v>
      </c>
      <c r="B61" t="s">
        <v>188</v>
      </c>
      <c r="C61" t="str">
        <f>VLOOKUP(B61,FifaCountryCode!B:B,1,FALSE)</f>
        <v>EGY</v>
      </c>
      <c r="E61" t="str">
        <f t="shared" si="1"/>
        <v>new Team { TeamName = "</v>
      </c>
      <c r="F61" t="str">
        <f t="shared" si="2"/>
        <v>Egypt</v>
      </c>
      <c r="G61" t="str">
        <f t="shared" si="3"/>
        <v>", FifaAlphaCode = "</v>
      </c>
      <c r="H61" t="str">
        <f t="shared" si="4"/>
        <v>EGY</v>
      </c>
      <c r="I61" t="str">
        <f t="shared" si="5"/>
        <v>",TeamCode="</v>
      </c>
      <c r="J61" t="str">
        <f t="shared" si="0"/>
        <v>EGY</v>
      </c>
      <c r="K61" t="str">
        <f t="shared" si="6"/>
        <v>", TeamType= "National" },</v>
      </c>
    </row>
    <row r="62" spans="1:11" x14ac:dyDescent="0.25">
      <c r="A62" t="s">
        <v>784</v>
      </c>
      <c r="B62" t="s">
        <v>191</v>
      </c>
      <c r="C62" t="str">
        <f>VLOOKUP(B62,FifaCountryCode!B:B,1,FALSE)</f>
        <v>SLV</v>
      </c>
      <c r="E62" t="str">
        <f t="shared" si="1"/>
        <v>new Team { TeamName = "</v>
      </c>
      <c r="F62" t="str">
        <f t="shared" si="2"/>
        <v>El Salvador</v>
      </c>
      <c r="G62" t="str">
        <f t="shared" si="3"/>
        <v>", FifaAlphaCode = "</v>
      </c>
      <c r="H62" t="str">
        <f t="shared" si="4"/>
        <v>SLV</v>
      </c>
      <c r="I62" t="str">
        <f t="shared" si="5"/>
        <v>",TeamCode="</v>
      </c>
      <c r="J62" t="str">
        <f t="shared" si="0"/>
        <v>SLV</v>
      </c>
      <c r="K62" t="str">
        <f t="shared" si="6"/>
        <v>", TeamType= "National" },</v>
      </c>
    </row>
    <row r="63" spans="1:11" x14ac:dyDescent="0.25">
      <c r="A63" t="s">
        <v>1021</v>
      </c>
      <c r="B63" t="s">
        <v>953</v>
      </c>
      <c r="C63" t="str">
        <f>VLOOKUP(B63,FifaCountryCode!B:B,1,FALSE)</f>
        <v>ENG</v>
      </c>
      <c r="E63" t="str">
        <f t="shared" si="1"/>
        <v>new Team { TeamName = "</v>
      </c>
      <c r="F63" t="str">
        <f t="shared" si="2"/>
        <v>England</v>
      </c>
      <c r="G63" t="str">
        <f t="shared" si="3"/>
        <v>", FifaAlphaCode = "</v>
      </c>
      <c r="H63" t="str">
        <f t="shared" si="4"/>
        <v>ENG</v>
      </c>
      <c r="I63" t="str">
        <f t="shared" si="5"/>
        <v>",TeamCode="</v>
      </c>
      <c r="J63" t="str">
        <f t="shared" si="0"/>
        <v>ENG</v>
      </c>
      <c r="K63" t="str">
        <f t="shared" si="6"/>
        <v>", TeamType= "National" },</v>
      </c>
    </row>
    <row r="64" spans="1:11" x14ac:dyDescent="0.25">
      <c r="A64" t="s">
        <v>785</v>
      </c>
      <c r="B64" t="s">
        <v>954</v>
      </c>
      <c r="C64" t="str">
        <f>VLOOKUP(B64,FifaCountryCode!B:B,1,FALSE)</f>
        <v>EQG</v>
      </c>
      <c r="E64" t="str">
        <f t="shared" si="1"/>
        <v>new Team { TeamName = "</v>
      </c>
      <c r="F64" t="str">
        <f t="shared" si="2"/>
        <v>Equatorial Guinea</v>
      </c>
      <c r="G64" t="str">
        <f t="shared" si="3"/>
        <v>", FifaAlphaCode = "</v>
      </c>
      <c r="H64" t="str">
        <f t="shared" si="4"/>
        <v>EQG</v>
      </c>
      <c r="I64" t="str">
        <f t="shared" si="5"/>
        <v>",TeamCode="</v>
      </c>
      <c r="J64" t="str">
        <f t="shared" si="0"/>
        <v>EQG</v>
      </c>
      <c r="K64" t="str">
        <f t="shared" si="6"/>
        <v>", TeamType= "National" },</v>
      </c>
    </row>
    <row r="65" spans="1:11" x14ac:dyDescent="0.25">
      <c r="A65" t="s">
        <v>786</v>
      </c>
      <c r="B65" t="s">
        <v>197</v>
      </c>
      <c r="C65" t="str">
        <f>VLOOKUP(B65,FifaCountryCode!B:B,1,FALSE)</f>
        <v>ERI</v>
      </c>
      <c r="E65" t="str">
        <f t="shared" si="1"/>
        <v>new Team { TeamName = "</v>
      </c>
      <c r="F65" t="str">
        <f t="shared" si="2"/>
        <v>Eritrea</v>
      </c>
      <c r="G65" t="str">
        <f t="shared" si="3"/>
        <v>", FifaAlphaCode = "</v>
      </c>
      <c r="H65" t="str">
        <f t="shared" si="4"/>
        <v>ERI</v>
      </c>
      <c r="I65" t="str">
        <f t="shared" si="5"/>
        <v>",TeamCode="</v>
      </c>
      <c r="J65" t="str">
        <f t="shared" si="0"/>
        <v>ERI</v>
      </c>
      <c r="K65" t="str">
        <f t="shared" si="6"/>
        <v>", TeamType= "National" },</v>
      </c>
    </row>
    <row r="66" spans="1:11" x14ac:dyDescent="0.25">
      <c r="A66" t="s">
        <v>787</v>
      </c>
      <c r="B66" t="s">
        <v>200</v>
      </c>
      <c r="C66" t="str">
        <f>VLOOKUP(B66,FifaCountryCode!B:B,1,FALSE)</f>
        <v>EST</v>
      </c>
      <c r="E66" t="str">
        <f t="shared" si="1"/>
        <v>new Team { TeamName = "</v>
      </c>
      <c r="F66" t="str">
        <f t="shared" si="2"/>
        <v>Estonia</v>
      </c>
      <c r="G66" t="str">
        <f t="shared" si="3"/>
        <v>", FifaAlphaCode = "</v>
      </c>
      <c r="H66" t="str">
        <f t="shared" si="4"/>
        <v>EST</v>
      </c>
      <c r="I66" t="str">
        <f t="shared" si="5"/>
        <v>",TeamCode="</v>
      </c>
      <c r="J66" t="str">
        <f t="shared" si="0"/>
        <v>EST</v>
      </c>
      <c r="K66" t="str">
        <f t="shared" si="6"/>
        <v>", TeamType= "National" },</v>
      </c>
    </row>
    <row r="67" spans="1:11" x14ac:dyDescent="0.25">
      <c r="A67" t="s">
        <v>1096</v>
      </c>
      <c r="B67" t="s">
        <v>203</v>
      </c>
      <c r="C67" t="str">
        <f>VLOOKUP(B67,FifaCountryCode!B:B,1,FALSE)</f>
        <v>SWZ</v>
      </c>
      <c r="E67" t="str">
        <f t="shared" si="1"/>
        <v>new Team { TeamName = "</v>
      </c>
      <c r="F67" t="str">
        <f t="shared" si="2"/>
        <v>Eswatini</v>
      </c>
      <c r="G67" t="str">
        <f t="shared" si="3"/>
        <v>", FifaAlphaCode = "</v>
      </c>
      <c r="H67" t="str">
        <f t="shared" si="4"/>
        <v>SWZ</v>
      </c>
      <c r="I67" t="str">
        <f t="shared" si="5"/>
        <v>",TeamCode="</v>
      </c>
      <c r="J67" t="str">
        <f t="shared" ref="J67:J130" si="7">B67</f>
        <v>SWZ</v>
      </c>
      <c r="K67" t="str">
        <f t="shared" si="6"/>
        <v>", TeamType= "National" },</v>
      </c>
    </row>
    <row r="68" spans="1:11" x14ac:dyDescent="0.25">
      <c r="A68" t="s">
        <v>789</v>
      </c>
      <c r="B68" t="s">
        <v>206</v>
      </c>
      <c r="C68" t="str">
        <f>VLOOKUP(B68,FifaCountryCode!B:B,1,FALSE)</f>
        <v>ETH</v>
      </c>
      <c r="E68" t="str">
        <f t="shared" ref="E68:E131" si="8">E67</f>
        <v>new Team { TeamName = "</v>
      </c>
      <c r="F68" t="str">
        <f t="shared" ref="F68:F131" si="9">A68</f>
        <v>Ethiopia</v>
      </c>
      <c r="G68" t="str">
        <f t="shared" ref="G68:G131" si="10">G67</f>
        <v>", FifaAlphaCode = "</v>
      </c>
      <c r="H68" t="str">
        <f t="shared" ref="H68:H131" si="11">B68</f>
        <v>ETH</v>
      </c>
      <c r="I68" t="str">
        <f t="shared" ref="I68:I131" si="12">I67</f>
        <v>",TeamCode="</v>
      </c>
      <c r="J68" t="str">
        <f t="shared" si="7"/>
        <v>ETH</v>
      </c>
      <c r="K68" t="str">
        <f t="shared" ref="K68:K131" si="13">K67</f>
        <v>", TeamType= "National" },</v>
      </c>
    </row>
    <row r="69" spans="1:11" x14ac:dyDescent="0.25">
      <c r="A69" t="s">
        <v>1097</v>
      </c>
      <c r="B69" t="s">
        <v>213</v>
      </c>
      <c r="C69" t="str">
        <f>VLOOKUP(B69,FifaCountryCode!B:B,1,FALSE)</f>
        <v>FRO</v>
      </c>
      <c r="E69" t="str">
        <f t="shared" si="8"/>
        <v>new Team { TeamName = "</v>
      </c>
      <c r="F69" t="str">
        <f t="shared" si="9"/>
        <v>Faroe Islands</v>
      </c>
      <c r="G69" t="str">
        <f t="shared" si="10"/>
        <v>", FifaAlphaCode = "</v>
      </c>
      <c r="H69" t="str">
        <f t="shared" si="11"/>
        <v>FRO</v>
      </c>
      <c r="I69" t="str">
        <f t="shared" si="12"/>
        <v>",TeamCode="</v>
      </c>
      <c r="J69" t="str">
        <f t="shared" si="7"/>
        <v>FRO</v>
      </c>
      <c r="K69" t="str">
        <f t="shared" si="13"/>
        <v>", TeamType= "National" },</v>
      </c>
    </row>
    <row r="70" spans="1:11" x14ac:dyDescent="0.25">
      <c r="A70" t="s">
        <v>792</v>
      </c>
      <c r="B70" t="s">
        <v>955</v>
      </c>
      <c r="C70" t="str">
        <f>VLOOKUP(B70,FifaCountryCode!B:B,1,FALSE)</f>
        <v>FIJ</v>
      </c>
      <c r="E70" t="str">
        <f t="shared" si="8"/>
        <v>new Team { TeamName = "</v>
      </c>
      <c r="F70" t="str">
        <f t="shared" si="9"/>
        <v>Fiji</v>
      </c>
      <c r="G70" t="str">
        <f t="shared" si="10"/>
        <v>", FifaAlphaCode = "</v>
      </c>
      <c r="H70" t="str">
        <f t="shared" si="11"/>
        <v>FIJ</v>
      </c>
      <c r="I70" t="str">
        <f t="shared" si="12"/>
        <v>",TeamCode="</v>
      </c>
      <c r="J70" t="str">
        <f t="shared" si="7"/>
        <v>FIJ</v>
      </c>
      <c r="K70" t="str">
        <f t="shared" si="13"/>
        <v>", TeamType= "National" },</v>
      </c>
    </row>
    <row r="71" spans="1:11" x14ac:dyDescent="0.25">
      <c r="A71" t="s">
        <v>3</v>
      </c>
      <c r="B71" t="s">
        <v>219</v>
      </c>
      <c r="C71" t="str">
        <f>VLOOKUP(B71,FifaCountryCode!B:B,1,FALSE)</f>
        <v>FIN</v>
      </c>
      <c r="E71" t="str">
        <f t="shared" si="8"/>
        <v>new Team { TeamName = "</v>
      </c>
      <c r="F71" t="str">
        <f t="shared" si="9"/>
        <v>Finland</v>
      </c>
      <c r="G71" t="str">
        <f t="shared" si="10"/>
        <v>", FifaAlphaCode = "</v>
      </c>
      <c r="H71" t="str">
        <f t="shared" si="11"/>
        <v>FIN</v>
      </c>
      <c r="I71" t="str">
        <f t="shared" si="12"/>
        <v>",TeamCode="</v>
      </c>
      <c r="J71" t="str">
        <f t="shared" si="7"/>
        <v>FIN</v>
      </c>
      <c r="K71" t="str">
        <f t="shared" si="13"/>
        <v>", TeamType= "National" },</v>
      </c>
    </row>
    <row r="72" spans="1:11" x14ac:dyDescent="0.25">
      <c r="A72" t="s">
        <v>224</v>
      </c>
      <c r="B72" t="s">
        <v>222</v>
      </c>
      <c r="C72" t="str">
        <f>VLOOKUP(B72,FifaCountryCode!B:B,1,FALSE)</f>
        <v>FRA</v>
      </c>
      <c r="E72" t="str">
        <f t="shared" si="8"/>
        <v>new Team { TeamName = "</v>
      </c>
      <c r="F72" t="str">
        <f t="shared" si="9"/>
        <v>France</v>
      </c>
      <c r="G72" t="str">
        <f t="shared" si="10"/>
        <v>", FifaAlphaCode = "</v>
      </c>
      <c r="H72" t="str">
        <f t="shared" si="11"/>
        <v>FRA</v>
      </c>
      <c r="I72" t="str">
        <f t="shared" si="12"/>
        <v>",TeamCode="</v>
      </c>
      <c r="J72" t="str">
        <f t="shared" si="7"/>
        <v>FRA</v>
      </c>
      <c r="K72" t="str">
        <f t="shared" si="13"/>
        <v>", TeamType= "National" },</v>
      </c>
    </row>
    <row r="73" spans="1:11" x14ac:dyDescent="0.25">
      <c r="A73" t="s">
        <v>795</v>
      </c>
      <c r="B73" t="s">
        <v>235</v>
      </c>
      <c r="C73" t="str">
        <f>VLOOKUP(B73,FifaCountryCode!B:B,1,FALSE)</f>
        <v>GAB</v>
      </c>
      <c r="E73" t="str">
        <f t="shared" si="8"/>
        <v>new Team { TeamName = "</v>
      </c>
      <c r="F73" t="str">
        <f t="shared" si="9"/>
        <v>Gabon</v>
      </c>
      <c r="G73" t="str">
        <f t="shared" si="10"/>
        <v>", FifaAlphaCode = "</v>
      </c>
      <c r="H73" t="str">
        <f t="shared" si="11"/>
        <v>GAB</v>
      </c>
      <c r="I73" t="str">
        <f t="shared" si="12"/>
        <v>",TeamCode="</v>
      </c>
      <c r="J73" t="str">
        <f t="shared" si="7"/>
        <v>GAB</v>
      </c>
      <c r="K73" t="str">
        <f t="shared" si="13"/>
        <v>", TeamType= "National" },</v>
      </c>
    </row>
    <row r="74" spans="1:11" x14ac:dyDescent="0.25">
      <c r="A74" t="s">
        <v>1098</v>
      </c>
      <c r="B74" t="s">
        <v>956</v>
      </c>
      <c r="C74" t="str">
        <f>VLOOKUP(B74,FifaCountryCode!B:B,1,FALSE)</f>
        <v>GAM</v>
      </c>
      <c r="E74" t="str">
        <f t="shared" si="8"/>
        <v>new Team { TeamName = "</v>
      </c>
      <c r="F74" t="str">
        <f t="shared" si="9"/>
        <v>Gambia</v>
      </c>
      <c r="G74" t="str">
        <f t="shared" si="10"/>
        <v>", FifaAlphaCode = "</v>
      </c>
      <c r="H74" t="str">
        <f t="shared" si="11"/>
        <v>GAM</v>
      </c>
      <c r="I74" t="str">
        <f t="shared" si="12"/>
        <v>",TeamCode="</v>
      </c>
      <c r="J74" t="str">
        <f t="shared" si="7"/>
        <v>GAM</v>
      </c>
      <c r="K74" t="str">
        <f t="shared" si="13"/>
        <v>", TeamType= "National" },</v>
      </c>
    </row>
    <row r="75" spans="1:11" x14ac:dyDescent="0.25">
      <c r="A75" t="s">
        <v>239</v>
      </c>
      <c r="B75" t="s">
        <v>241</v>
      </c>
      <c r="C75" t="str">
        <f>VLOOKUP(B75,FifaCountryCode!B:B,1,FALSE)</f>
        <v>GEO</v>
      </c>
      <c r="E75" t="str">
        <f t="shared" si="8"/>
        <v>new Team { TeamName = "</v>
      </c>
      <c r="F75" t="str">
        <f t="shared" si="9"/>
        <v>Georgia</v>
      </c>
      <c r="G75" t="str">
        <f t="shared" si="10"/>
        <v>", FifaAlphaCode = "</v>
      </c>
      <c r="H75" t="str">
        <f t="shared" si="11"/>
        <v>GEO</v>
      </c>
      <c r="I75" t="str">
        <f t="shared" si="12"/>
        <v>",TeamCode="</v>
      </c>
      <c r="J75" t="str">
        <f t="shared" si="7"/>
        <v>GEO</v>
      </c>
      <c r="K75" t="str">
        <f t="shared" si="13"/>
        <v>", TeamType= "National" },</v>
      </c>
    </row>
    <row r="76" spans="1:11" x14ac:dyDescent="0.25">
      <c r="A76" t="s">
        <v>797</v>
      </c>
      <c r="B76" t="s">
        <v>957</v>
      </c>
      <c r="C76" t="str">
        <f>VLOOKUP(B76,FifaCountryCode!B:B,1,FALSE)</f>
        <v>GER</v>
      </c>
      <c r="E76" t="str">
        <f t="shared" si="8"/>
        <v>new Team { TeamName = "</v>
      </c>
      <c r="F76" t="str">
        <f t="shared" si="9"/>
        <v>Germany</v>
      </c>
      <c r="G76" t="str">
        <f t="shared" si="10"/>
        <v>", FifaAlphaCode = "</v>
      </c>
      <c r="H76" t="str">
        <f t="shared" si="11"/>
        <v>GER</v>
      </c>
      <c r="I76" t="str">
        <f t="shared" si="12"/>
        <v>",TeamCode="</v>
      </c>
      <c r="J76" t="str">
        <f t="shared" si="7"/>
        <v>GER</v>
      </c>
      <c r="K76" t="str">
        <f t="shared" si="13"/>
        <v>", TeamType= "National" },</v>
      </c>
    </row>
    <row r="77" spans="1:11" x14ac:dyDescent="0.25">
      <c r="A77" t="s">
        <v>798</v>
      </c>
      <c r="B77" t="s">
        <v>247</v>
      </c>
      <c r="C77" t="str">
        <f>VLOOKUP(B77,FifaCountryCode!B:B,1,FALSE)</f>
        <v>GHA</v>
      </c>
      <c r="E77" t="str">
        <f t="shared" si="8"/>
        <v>new Team { TeamName = "</v>
      </c>
      <c r="F77" t="str">
        <f t="shared" si="9"/>
        <v>Ghana</v>
      </c>
      <c r="G77" t="str">
        <f t="shared" si="10"/>
        <v>", FifaAlphaCode = "</v>
      </c>
      <c r="H77" t="str">
        <f t="shared" si="11"/>
        <v>GHA</v>
      </c>
      <c r="I77" t="str">
        <f t="shared" si="12"/>
        <v>",TeamCode="</v>
      </c>
      <c r="J77" t="str">
        <f t="shared" si="7"/>
        <v>GHA</v>
      </c>
      <c r="K77" t="str">
        <f t="shared" si="13"/>
        <v>", TeamType= "National" },</v>
      </c>
    </row>
    <row r="78" spans="1:11" x14ac:dyDescent="0.25">
      <c r="A78" t="s">
        <v>248</v>
      </c>
      <c r="B78" t="s">
        <v>250</v>
      </c>
      <c r="C78" t="str">
        <f>VLOOKUP(B78,FifaCountryCode!B:B,1,FALSE)</f>
        <v>GIB</v>
      </c>
      <c r="E78" t="str">
        <f t="shared" si="8"/>
        <v>new Team { TeamName = "</v>
      </c>
      <c r="F78" t="str">
        <f t="shared" si="9"/>
        <v>Gibraltar</v>
      </c>
      <c r="G78" t="str">
        <f t="shared" si="10"/>
        <v>", FifaAlphaCode = "</v>
      </c>
      <c r="H78" t="str">
        <f t="shared" si="11"/>
        <v>GIB</v>
      </c>
      <c r="I78" t="str">
        <f t="shared" si="12"/>
        <v>",TeamCode="</v>
      </c>
      <c r="J78" t="str">
        <f t="shared" si="7"/>
        <v>GIB</v>
      </c>
      <c r="K78" t="str">
        <f t="shared" si="13"/>
        <v>", TeamType= "National" },</v>
      </c>
    </row>
    <row r="79" spans="1:11" x14ac:dyDescent="0.25">
      <c r="A79" t="s">
        <v>799</v>
      </c>
      <c r="B79" t="s">
        <v>958</v>
      </c>
      <c r="C79" t="str">
        <f>VLOOKUP(B79,FifaCountryCode!B:B,1,FALSE)</f>
        <v>GRE</v>
      </c>
      <c r="E79" t="str">
        <f t="shared" si="8"/>
        <v>new Team { TeamName = "</v>
      </c>
      <c r="F79" t="str">
        <f t="shared" si="9"/>
        <v>Greece</v>
      </c>
      <c r="G79" t="str">
        <f t="shared" si="10"/>
        <v>", FifaAlphaCode = "</v>
      </c>
      <c r="H79" t="str">
        <f t="shared" si="11"/>
        <v>GRE</v>
      </c>
      <c r="I79" t="str">
        <f t="shared" si="12"/>
        <v>",TeamCode="</v>
      </c>
      <c r="J79" t="str">
        <f t="shared" si="7"/>
        <v>GRE</v>
      </c>
      <c r="K79" t="str">
        <f t="shared" si="13"/>
        <v>", TeamType= "National" },</v>
      </c>
    </row>
    <row r="80" spans="1:11" x14ac:dyDescent="0.25">
      <c r="A80" t="s">
        <v>257</v>
      </c>
      <c r="B80" t="s">
        <v>959</v>
      </c>
      <c r="C80" t="str">
        <f>VLOOKUP(B80,FifaCountryCode!B:B,1,FALSE)</f>
        <v>GRN</v>
      </c>
      <c r="E80" t="str">
        <f t="shared" si="8"/>
        <v>new Team { TeamName = "</v>
      </c>
      <c r="F80" t="str">
        <f t="shared" si="9"/>
        <v>Grenada</v>
      </c>
      <c r="G80" t="str">
        <f t="shared" si="10"/>
        <v>", FifaAlphaCode = "</v>
      </c>
      <c r="H80" t="str">
        <f t="shared" si="11"/>
        <v>GRN</v>
      </c>
      <c r="I80" t="str">
        <f t="shared" si="12"/>
        <v>",TeamCode="</v>
      </c>
      <c r="J80" t="str">
        <f t="shared" si="7"/>
        <v>GRN</v>
      </c>
      <c r="K80" t="str">
        <f t="shared" si="13"/>
        <v>", TeamType= "National" },</v>
      </c>
    </row>
    <row r="81" spans="1:11" x14ac:dyDescent="0.25">
      <c r="A81" t="s">
        <v>801</v>
      </c>
      <c r="B81" t="s">
        <v>265</v>
      </c>
      <c r="C81" t="str">
        <f>VLOOKUP(B81,FifaCountryCode!B:B,1,FALSE)</f>
        <v>GUM</v>
      </c>
      <c r="E81" t="str">
        <f t="shared" si="8"/>
        <v>new Team { TeamName = "</v>
      </c>
      <c r="F81" t="str">
        <f t="shared" si="9"/>
        <v>Guam</v>
      </c>
      <c r="G81" t="str">
        <f t="shared" si="10"/>
        <v>", FifaAlphaCode = "</v>
      </c>
      <c r="H81" t="str">
        <f t="shared" si="11"/>
        <v>GUM</v>
      </c>
      <c r="I81" t="str">
        <f t="shared" si="12"/>
        <v>",TeamCode="</v>
      </c>
      <c r="J81" t="str">
        <f t="shared" si="7"/>
        <v>GUM</v>
      </c>
      <c r="K81" t="str">
        <f t="shared" si="13"/>
        <v>", TeamType= "National" },</v>
      </c>
    </row>
    <row r="82" spans="1:11" x14ac:dyDescent="0.25">
      <c r="A82" t="s">
        <v>802</v>
      </c>
      <c r="B82" t="s">
        <v>960</v>
      </c>
      <c r="C82" t="str">
        <f>VLOOKUP(B82,FifaCountryCode!B:B,1,FALSE)</f>
        <v>GUA</v>
      </c>
      <c r="E82" t="str">
        <f t="shared" si="8"/>
        <v>new Team { TeamName = "</v>
      </c>
      <c r="F82" t="str">
        <f t="shared" si="9"/>
        <v>Guatemala</v>
      </c>
      <c r="G82" t="str">
        <f t="shared" si="10"/>
        <v>", FifaAlphaCode = "</v>
      </c>
      <c r="H82" t="str">
        <f t="shared" si="11"/>
        <v>GUA</v>
      </c>
      <c r="I82" t="str">
        <f t="shared" si="12"/>
        <v>",TeamCode="</v>
      </c>
      <c r="J82" t="str">
        <f t="shared" si="7"/>
        <v>GUA</v>
      </c>
      <c r="K82" t="str">
        <f t="shared" si="13"/>
        <v>", TeamType= "National" },</v>
      </c>
    </row>
    <row r="83" spans="1:11" x14ac:dyDescent="0.25">
      <c r="A83" t="s">
        <v>804</v>
      </c>
      <c r="B83" t="s">
        <v>961</v>
      </c>
      <c r="C83" t="str">
        <f>VLOOKUP(B83,FifaCountryCode!B:B,1,FALSE)</f>
        <v>GUI</v>
      </c>
      <c r="E83" t="str">
        <f t="shared" si="8"/>
        <v>new Team { TeamName = "</v>
      </c>
      <c r="F83" t="str">
        <f t="shared" si="9"/>
        <v>Guinea</v>
      </c>
      <c r="G83" t="str">
        <f t="shared" si="10"/>
        <v>", FifaAlphaCode = "</v>
      </c>
      <c r="H83" t="str">
        <f t="shared" si="11"/>
        <v>GUI</v>
      </c>
      <c r="I83" t="str">
        <f t="shared" si="12"/>
        <v>",TeamCode="</v>
      </c>
      <c r="J83" t="str">
        <f t="shared" si="7"/>
        <v>GUI</v>
      </c>
      <c r="K83" t="str">
        <f t="shared" si="13"/>
        <v>", TeamType= "National" },</v>
      </c>
    </row>
    <row r="84" spans="1:11" x14ac:dyDescent="0.25">
      <c r="A84" t="s">
        <v>805</v>
      </c>
      <c r="B84" t="s">
        <v>277</v>
      </c>
      <c r="C84" t="str">
        <f>VLOOKUP(B84,FifaCountryCode!B:B,1,FALSE)</f>
        <v>GNB</v>
      </c>
      <c r="E84" t="str">
        <f t="shared" si="8"/>
        <v>new Team { TeamName = "</v>
      </c>
      <c r="F84" t="str">
        <f t="shared" si="9"/>
        <v>Guinea-Bissau</v>
      </c>
      <c r="G84" t="str">
        <f t="shared" si="10"/>
        <v>", FifaAlphaCode = "</v>
      </c>
      <c r="H84" t="str">
        <f t="shared" si="11"/>
        <v>GNB</v>
      </c>
      <c r="I84" t="str">
        <f t="shared" si="12"/>
        <v>",TeamCode="</v>
      </c>
      <c r="J84" t="str">
        <f t="shared" si="7"/>
        <v>GNB</v>
      </c>
      <c r="K84" t="str">
        <f t="shared" si="13"/>
        <v>", TeamType= "National" },</v>
      </c>
    </row>
    <row r="85" spans="1:11" x14ac:dyDescent="0.25">
      <c r="A85" t="s">
        <v>806</v>
      </c>
      <c r="B85" t="s">
        <v>280</v>
      </c>
      <c r="C85" t="str">
        <f>VLOOKUP(B85,FifaCountryCode!B:B,1,FALSE)</f>
        <v>GUY</v>
      </c>
      <c r="E85" t="str">
        <f t="shared" si="8"/>
        <v>new Team { TeamName = "</v>
      </c>
      <c r="F85" t="str">
        <f t="shared" si="9"/>
        <v>Guyana</v>
      </c>
      <c r="G85" t="str">
        <f t="shared" si="10"/>
        <v>", FifaAlphaCode = "</v>
      </c>
      <c r="H85" t="str">
        <f t="shared" si="11"/>
        <v>GUY</v>
      </c>
      <c r="I85" t="str">
        <f t="shared" si="12"/>
        <v>",TeamCode="</v>
      </c>
      <c r="J85" t="str">
        <f t="shared" si="7"/>
        <v>GUY</v>
      </c>
      <c r="K85" t="str">
        <f t="shared" si="13"/>
        <v>", TeamType= "National" },</v>
      </c>
    </row>
    <row r="86" spans="1:11" x14ac:dyDescent="0.25">
      <c r="A86" t="s">
        <v>807</v>
      </c>
      <c r="B86" t="s">
        <v>962</v>
      </c>
      <c r="C86" t="str">
        <f>VLOOKUP(B86,FifaCountryCode!B:B,1,FALSE)</f>
        <v>HAI</v>
      </c>
      <c r="E86" t="str">
        <f t="shared" si="8"/>
        <v>new Team { TeamName = "</v>
      </c>
      <c r="F86" t="str">
        <f t="shared" si="9"/>
        <v>Haiti</v>
      </c>
      <c r="G86" t="str">
        <f t="shared" si="10"/>
        <v>", FifaAlphaCode = "</v>
      </c>
      <c r="H86" t="str">
        <f t="shared" si="11"/>
        <v>HAI</v>
      </c>
      <c r="I86" t="str">
        <f t="shared" si="12"/>
        <v>",TeamCode="</v>
      </c>
      <c r="J86" t="str">
        <f t="shared" si="7"/>
        <v>HAI</v>
      </c>
      <c r="K86" t="str">
        <f t="shared" si="13"/>
        <v>", TeamType= "National" },</v>
      </c>
    </row>
    <row r="87" spans="1:11" x14ac:dyDescent="0.25">
      <c r="A87" t="s">
        <v>810</v>
      </c>
      <c r="B87" t="s">
        <v>963</v>
      </c>
      <c r="C87" t="str">
        <f>VLOOKUP(B87,FifaCountryCode!B:B,1,FALSE)</f>
        <v>HON</v>
      </c>
      <c r="E87" t="str">
        <f t="shared" si="8"/>
        <v>new Team { TeamName = "</v>
      </c>
      <c r="F87" t="str">
        <f t="shared" si="9"/>
        <v>Honduras</v>
      </c>
      <c r="G87" t="str">
        <f t="shared" si="10"/>
        <v>", FifaAlphaCode = "</v>
      </c>
      <c r="H87" t="str">
        <f t="shared" si="11"/>
        <v>HON</v>
      </c>
      <c r="I87" t="str">
        <f t="shared" si="12"/>
        <v>",TeamCode="</v>
      </c>
      <c r="J87" t="str">
        <f t="shared" si="7"/>
        <v>HON</v>
      </c>
      <c r="K87" t="str">
        <f t="shared" si="13"/>
        <v>", TeamType= "National" },</v>
      </c>
    </row>
    <row r="88" spans="1:11" x14ac:dyDescent="0.25">
      <c r="A88" t="s">
        <v>811</v>
      </c>
      <c r="B88" t="s">
        <v>296</v>
      </c>
      <c r="C88" t="str">
        <f>VLOOKUP(B88,FifaCountryCode!B:B,1,FALSE)</f>
        <v>HKG</v>
      </c>
      <c r="E88" t="str">
        <f t="shared" si="8"/>
        <v>new Team { TeamName = "</v>
      </c>
      <c r="F88" t="str">
        <f t="shared" si="9"/>
        <v>Hong Kong</v>
      </c>
      <c r="G88" t="str">
        <f t="shared" si="10"/>
        <v>", FifaAlphaCode = "</v>
      </c>
      <c r="H88" t="str">
        <f t="shared" si="11"/>
        <v>HKG</v>
      </c>
      <c r="I88" t="str">
        <f t="shared" si="12"/>
        <v>",TeamCode="</v>
      </c>
      <c r="J88" t="str">
        <f t="shared" si="7"/>
        <v>HKG</v>
      </c>
      <c r="K88" t="str">
        <f t="shared" si="13"/>
        <v>", TeamType= "National" },</v>
      </c>
    </row>
    <row r="89" spans="1:11" x14ac:dyDescent="0.25">
      <c r="A89" t="s">
        <v>297</v>
      </c>
      <c r="B89" t="s">
        <v>299</v>
      </c>
      <c r="C89" t="str">
        <f>VLOOKUP(B89,FifaCountryCode!B:B,1,FALSE)</f>
        <v>HUN</v>
      </c>
      <c r="E89" t="str">
        <f t="shared" si="8"/>
        <v>new Team { TeamName = "</v>
      </c>
      <c r="F89" t="str">
        <f t="shared" si="9"/>
        <v>Hungary</v>
      </c>
      <c r="G89" t="str">
        <f t="shared" si="10"/>
        <v>", FifaAlphaCode = "</v>
      </c>
      <c r="H89" t="str">
        <f t="shared" si="11"/>
        <v>HUN</v>
      </c>
      <c r="I89" t="str">
        <f t="shared" si="12"/>
        <v>",TeamCode="</v>
      </c>
      <c r="J89" t="str">
        <f t="shared" si="7"/>
        <v>HUN</v>
      </c>
      <c r="K89" t="str">
        <f t="shared" si="13"/>
        <v>", TeamType= "National" },</v>
      </c>
    </row>
    <row r="90" spans="1:11" x14ac:dyDescent="0.25">
      <c r="A90" t="s">
        <v>300</v>
      </c>
      <c r="B90" t="s">
        <v>302</v>
      </c>
      <c r="C90" t="str">
        <f>VLOOKUP(B90,FifaCountryCode!B:B,1,FALSE)</f>
        <v>ISL</v>
      </c>
      <c r="E90" t="str">
        <f t="shared" si="8"/>
        <v>new Team { TeamName = "</v>
      </c>
      <c r="F90" t="str">
        <f t="shared" si="9"/>
        <v>Iceland</v>
      </c>
      <c r="G90" t="str">
        <f t="shared" si="10"/>
        <v>", FifaAlphaCode = "</v>
      </c>
      <c r="H90" t="str">
        <f t="shared" si="11"/>
        <v>ISL</v>
      </c>
      <c r="I90" t="str">
        <f t="shared" si="12"/>
        <v>",TeamCode="</v>
      </c>
      <c r="J90" t="str">
        <f t="shared" si="7"/>
        <v>ISL</v>
      </c>
      <c r="K90" t="str">
        <f t="shared" si="13"/>
        <v>", TeamType= "National" },</v>
      </c>
    </row>
    <row r="91" spans="1:11" x14ac:dyDescent="0.25">
      <c r="A91" t="s">
        <v>812</v>
      </c>
      <c r="B91" t="s">
        <v>305</v>
      </c>
      <c r="C91" t="str">
        <f>VLOOKUP(B91,FifaCountryCode!B:B,1,FALSE)</f>
        <v>IND</v>
      </c>
      <c r="E91" t="str">
        <f t="shared" si="8"/>
        <v>new Team { TeamName = "</v>
      </c>
      <c r="F91" t="str">
        <f t="shared" si="9"/>
        <v>India</v>
      </c>
      <c r="G91" t="str">
        <f t="shared" si="10"/>
        <v>", FifaAlphaCode = "</v>
      </c>
      <c r="H91" t="str">
        <f t="shared" si="11"/>
        <v>IND</v>
      </c>
      <c r="I91" t="str">
        <f t="shared" si="12"/>
        <v>",TeamCode="</v>
      </c>
      <c r="J91" t="str">
        <f t="shared" si="7"/>
        <v>IND</v>
      </c>
      <c r="K91" t="str">
        <f t="shared" si="13"/>
        <v>", TeamType= "National" },</v>
      </c>
    </row>
    <row r="92" spans="1:11" x14ac:dyDescent="0.25">
      <c r="A92" t="s">
        <v>813</v>
      </c>
      <c r="B92" t="s">
        <v>308</v>
      </c>
      <c r="C92" t="str">
        <f>VLOOKUP(B92,FifaCountryCode!B:B,1,FALSE)</f>
        <v>IDN</v>
      </c>
      <c r="E92" t="str">
        <f t="shared" si="8"/>
        <v>new Team { TeamName = "</v>
      </c>
      <c r="F92" t="str">
        <f t="shared" si="9"/>
        <v>Indonesia</v>
      </c>
      <c r="G92" t="str">
        <f t="shared" si="10"/>
        <v>", FifaAlphaCode = "</v>
      </c>
      <c r="H92" t="str">
        <f t="shared" si="11"/>
        <v>IDN</v>
      </c>
      <c r="I92" t="str">
        <f t="shared" si="12"/>
        <v>",TeamCode="</v>
      </c>
      <c r="J92" t="str">
        <f t="shared" si="7"/>
        <v>IDN</v>
      </c>
      <c r="K92" t="str">
        <f t="shared" si="13"/>
        <v>", TeamType= "National" },</v>
      </c>
    </row>
    <row r="93" spans="1:11" x14ac:dyDescent="0.25">
      <c r="A93" t="s">
        <v>1051</v>
      </c>
      <c r="B93" t="s">
        <v>311</v>
      </c>
      <c r="C93" t="str">
        <f>VLOOKUP(B93,FifaCountryCode!B:B,1,FALSE)</f>
        <v>IRN</v>
      </c>
      <c r="E93" t="str">
        <f t="shared" si="8"/>
        <v>new Team { TeamName = "</v>
      </c>
      <c r="F93" t="str">
        <f t="shared" si="9"/>
        <v>Iran</v>
      </c>
      <c r="G93" t="str">
        <f t="shared" si="10"/>
        <v>", FifaAlphaCode = "</v>
      </c>
      <c r="H93" t="str">
        <f t="shared" si="11"/>
        <v>IRN</v>
      </c>
      <c r="I93" t="str">
        <f t="shared" si="12"/>
        <v>",TeamCode="</v>
      </c>
      <c r="J93" t="str">
        <f t="shared" si="7"/>
        <v>IRN</v>
      </c>
      <c r="K93" t="str">
        <f t="shared" si="13"/>
        <v>", TeamType= "National" },</v>
      </c>
    </row>
    <row r="94" spans="1:11" x14ac:dyDescent="0.25">
      <c r="A94" t="s">
        <v>814</v>
      </c>
      <c r="B94" t="s">
        <v>314</v>
      </c>
      <c r="C94" t="str">
        <f>VLOOKUP(B94,FifaCountryCode!B:B,1,FALSE)</f>
        <v>IRQ</v>
      </c>
      <c r="E94" t="str">
        <f t="shared" si="8"/>
        <v>new Team { TeamName = "</v>
      </c>
      <c r="F94" t="str">
        <f t="shared" si="9"/>
        <v>Iraq</v>
      </c>
      <c r="G94" t="str">
        <f t="shared" si="10"/>
        <v>", FifaAlphaCode = "</v>
      </c>
      <c r="H94" t="str">
        <f t="shared" si="11"/>
        <v>IRQ</v>
      </c>
      <c r="I94" t="str">
        <f t="shared" si="12"/>
        <v>",TeamCode="</v>
      </c>
      <c r="J94" t="str">
        <f t="shared" si="7"/>
        <v>IRQ</v>
      </c>
      <c r="K94" t="str">
        <f t="shared" si="13"/>
        <v>", TeamType= "National" },</v>
      </c>
    </row>
    <row r="95" spans="1:11" x14ac:dyDescent="0.25">
      <c r="A95" t="s">
        <v>816</v>
      </c>
      <c r="B95" t="s">
        <v>323</v>
      </c>
      <c r="C95" t="str">
        <f>VLOOKUP(B95,FifaCountryCode!B:B,1,FALSE)</f>
        <v>ISR</v>
      </c>
      <c r="E95" t="str">
        <f t="shared" si="8"/>
        <v>new Team { TeamName = "</v>
      </c>
      <c r="F95" t="str">
        <f t="shared" si="9"/>
        <v>Israel</v>
      </c>
      <c r="G95" t="str">
        <f t="shared" si="10"/>
        <v>", FifaAlphaCode = "</v>
      </c>
      <c r="H95" t="str">
        <f t="shared" si="11"/>
        <v>ISR</v>
      </c>
      <c r="I95" t="str">
        <f t="shared" si="12"/>
        <v>",TeamCode="</v>
      </c>
      <c r="J95" t="str">
        <f t="shared" si="7"/>
        <v>ISR</v>
      </c>
      <c r="K95" t="str">
        <f t="shared" si="13"/>
        <v>", TeamType= "National" },</v>
      </c>
    </row>
    <row r="96" spans="1:11" x14ac:dyDescent="0.25">
      <c r="A96" t="s">
        <v>817</v>
      </c>
      <c r="B96" t="s">
        <v>326</v>
      </c>
      <c r="C96" t="str">
        <f>VLOOKUP(B96,FifaCountryCode!B:B,1,FALSE)</f>
        <v>ITA</v>
      </c>
      <c r="E96" t="str">
        <f t="shared" si="8"/>
        <v>new Team { TeamName = "</v>
      </c>
      <c r="F96" t="str">
        <f t="shared" si="9"/>
        <v>Italy</v>
      </c>
      <c r="G96" t="str">
        <f t="shared" si="10"/>
        <v>", FifaAlphaCode = "</v>
      </c>
      <c r="H96" t="str">
        <f t="shared" si="11"/>
        <v>ITA</v>
      </c>
      <c r="I96" t="str">
        <f t="shared" si="12"/>
        <v>",TeamCode="</v>
      </c>
      <c r="J96" t="str">
        <f t="shared" si="7"/>
        <v>ITA</v>
      </c>
      <c r="K96" t="str">
        <f t="shared" si="13"/>
        <v>", TeamType= "National" },</v>
      </c>
    </row>
    <row r="97" spans="1:11" x14ac:dyDescent="0.25">
      <c r="A97" t="s">
        <v>1099</v>
      </c>
      <c r="B97" t="s">
        <v>155</v>
      </c>
      <c r="C97" t="str">
        <f>VLOOKUP(B97,FifaCountryCode!B:B,1,FALSE)</f>
        <v>CIV</v>
      </c>
      <c r="E97" t="str">
        <f t="shared" si="8"/>
        <v>new Team { TeamName = "</v>
      </c>
      <c r="F97" t="str">
        <f t="shared" si="9"/>
        <v>Ivory Coast</v>
      </c>
      <c r="G97" t="str">
        <f t="shared" si="10"/>
        <v>", FifaAlphaCode = "</v>
      </c>
      <c r="H97" t="str">
        <f t="shared" si="11"/>
        <v>CIV</v>
      </c>
      <c r="I97" t="str">
        <f t="shared" si="12"/>
        <v>",TeamCode="</v>
      </c>
      <c r="J97" t="str">
        <f t="shared" si="7"/>
        <v>CIV</v>
      </c>
      <c r="K97" t="str">
        <f t="shared" si="13"/>
        <v>", TeamType= "National" },</v>
      </c>
    </row>
    <row r="98" spans="1:11" x14ac:dyDescent="0.25">
      <c r="A98" t="s">
        <v>327</v>
      </c>
      <c r="B98" t="s">
        <v>329</v>
      </c>
      <c r="C98" t="str">
        <f>VLOOKUP(B98,FifaCountryCode!B:B,1,FALSE)</f>
        <v>JAM</v>
      </c>
      <c r="E98" t="str">
        <f t="shared" si="8"/>
        <v>new Team { TeamName = "</v>
      </c>
      <c r="F98" t="str">
        <f t="shared" si="9"/>
        <v>Jamaica</v>
      </c>
      <c r="G98" t="str">
        <f t="shared" si="10"/>
        <v>", FifaAlphaCode = "</v>
      </c>
      <c r="H98" t="str">
        <f t="shared" si="11"/>
        <v>JAM</v>
      </c>
      <c r="I98" t="str">
        <f t="shared" si="12"/>
        <v>",TeamCode="</v>
      </c>
      <c r="J98" t="str">
        <f t="shared" si="7"/>
        <v>JAM</v>
      </c>
      <c r="K98" t="str">
        <f t="shared" si="13"/>
        <v>", TeamType= "National" },</v>
      </c>
    </row>
    <row r="99" spans="1:11" x14ac:dyDescent="0.25">
      <c r="A99" t="s">
        <v>330</v>
      </c>
      <c r="B99" t="s">
        <v>332</v>
      </c>
      <c r="C99" t="str">
        <f>VLOOKUP(B99,FifaCountryCode!B:B,1,FALSE)</f>
        <v>JPN</v>
      </c>
      <c r="E99" t="str">
        <f t="shared" si="8"/>
        <v>new Team { TeamName = "</v>
      </c>
      <c r="F99" t="str">
        <f t="shared" si="9"/>
        <v>Japan</v>
      </c>
      <c r="G99" t="str">
        <f t="shared" si="10"/>
        <v>", FifaAlphaCode = "</v>
      </c>
      <c r="H99" t="str">
        <f t="shared" si="11"/>
        <v>JPN</v>
      </c>
      <c r="I99" t="str">
        <f t="shared" si="12"/>
        <v>",TeamCode="</v>
      </c>
      <c r="J99" t="str">
        <f t="shared" si="7"/>
        <v>JPN</v>
      </c>
      <c r="K99" t="str">
        <f t="shared" si="13"/>
        <v>", TeamType= "National" },</v>
      </c>
    </row>
    <row r="100" spans="1:11" x14ac:dyDescent="0.25">
      <c r="A100" t="s">
        <v>819</v>
      </c>
      <c r="B100" t="s">
        <v>338</v>
      </c>
      <c r="C100" t="str">
        <f>VLOOKUP(B100,FifaCountryCode!B:B,1,FALSE)</f>
        <v>JOR</v>
      </c>
      <c r="E100" t="str">
        <f t="shared" si="8"/>
        <v>new Team { TeamName = "</v>
      </c>
      <c r="F100" t="str">
        <f t="shared" si="9"/>
        <v>Jordan</v>
      </c>
      <c r="G100" t="str">
        <f t="shared" si="10"/>
        <v>", FifaAlphaCode = "</v>
      </c>
      <c r="H100" t="str">
        <f t="shared" si="11"/>
        <v>JOR</v>
      </c>
      <c r="I100" t="str">
        <f t="shared" si="12"/>
        <v>",TeamCode="</v>
      </c>
      <c r="J100" t="str">
        <f t="shared" si="7"/>
        <v>JOR</v>
      </c>
      <c r="K100" t="str">
        <f t="shared" si="13"/>
        <v>", TeamType= "National" },</v>
      </c>
    </row>
    <row r="101" spans="1:11" x14ac:dyDescent="0.25">
      <c r="A101" t="s">
        <v>820</v>
      </c>
      <c r="B101" t="s">
        <v>341</v>
      </c>
      <c r="C101" t="str">
        <f>VLOOKUP(B101,FifaCountryCode!B:B,1,FALSE)</f>
        <v>KAZ</v>
      </c>
      <c r="E101" t="str">
        <f t="shared" si="8"/>
        <v>new Team { TeamName = "</v>
      </c>
      <c r="F101" t="str">
        <f t="shared" si="9"/>
        <v>Kazakhstan</v>
      </c>
      <c r="G101" t="str">
        <f t="shared" si="10"/>
        <v>", FifaAlphaCode = "</v>
      </c>
      <c r="H101" t="str">
        <f t="shared" si="11"/>
        <v>KAZ</v>
      </c>
      <c r="I101" t="str">
        <f t="shared" si="12"/>
        <v>",TeamCode="</v>
      </c>
      <c r="J101" t="str">
        <f t="shared" si="7"/>
        <v>KAZ</v>
      </c>
      <c r="K101" t="str">
        <f t="shared" si="13"/>
        <v>", TeamType= "National" },</v>
      </c>
    </row>
    <row r="102" spans="1:11" x14ac:dyDescent="0.25">
      <c r="A102" t="s">
        <v>821</v>
      </c>
      <c r="B102" t="s">
        <v>344</v>
      </c>
      <c r="C102" t="str">
        <f>VLOOKUP(B102,FifaCountryCode!B:B,1,FALSE)</f>
        <v>KEN</v>
      </c>
      <c r="E102" t="str">
        <f t="shared" si="8"/>
        <v>new Team { TeamName = "</v>
      </c>
      <c r="F102" t="str">
        <f t="shared" si="9"/>
        <v>Kenya</v>
      </c>
      <c r="G102" t="str">
        <f t="shared" si="10"/>
        <v>", FifaAlphaCode = "</v>
      </c>
      <c r="H102" t="str">
        <f t="shared" si="11"/>
        <v>KEN</v>
      </c>
      <c r="I102" t="str">
        <f t="shared" si="12"/>
        <v>",TeamCode="</v>
      </c>
      <c r="J102" t="str">
        <f t="shared" si="7"/>
        <v>KEN</v>
      </c>
      <c r="K102" t="str">
        <f t="shared" si="13"/>
        <v>", TeamType= "National" },</v>
      </c>
    </row>
    <row r="103" spans="1:11" x14ac:dyDescent="0.25">
      <c r="A103" t="s">
        <v>1100</v>
      </c>
      <c r="B103" t="s">
        <v>964</v>
      </c>
      <c r="C103" t="str">
        <f>VLOOKUP(B103,FifaCountryCode!B:B,1,FALSE)</f>
        <v>KVX</v>
      </c>
      <c r="E103" t="str">
        <f t="shared" si="8"/>
        <v>new Team { TeamName = "</v>
      </c>
      <c r="F103" t="str">
        <f t="shared" si="9"/>
        <v>Kosovo</v>
      </c>
      <c r="G103" t="str">
        <f t="shared" si="10"/>
        <v>", FifaAlphaCode = "</v>
      </c>
      <c r="H103" t="str">
        <f t="shared" si="11"/>
        <v>KVX</v>
      </c>
      <c r="I103" t="str">
        <f t="shared" si="12"/>
        <v>",TeamCode="</v>
      </c>
      <c r="J103" t="str">
        <f t="shared" si="7"/>
        <v>KVX</v>
      </c>
      <c r="K103" t="str">
        <f t="shared" si="13"/>
        <v>", TeamType= "National" },</v>
      </c>
    </row>
    <row r="104" spans="1:11" x14ac:dyDescent="0.25">
      <c r="A104" t="s">
        <v>823</v>
      </c>
      <c r="B104" t="s">
        <v>965</v>
      </c>
      <c r="C104" t="str">
        <f>VLOOKUP(B104,FifaCountryCode!B:B,1,FALSE)</f>
        <v>KUW</v>
      </c>
      <c r="E104" t="str">
        <f t="shared" si="8"/>
        <v>new Team { TeamName = "</v>
      </c>
      <c r="F104" t="str">
        <f t="shared" si="9"/>
        <v>Kuwait</v>
      </c>
      <c r="G104" t="str">
        <f t="shared" si="10"/>
        <v>", FifaAlphaCode = "</v>
      </c>
      <c r="H104" t="str">
        <f t="shared" si="11"/>
        <v>KUW</v>
      </c>
      <c r="I104" t="str">
        <f t="shared" si="12"/>
        <v>",TeamCode="</v>
      </c>
      <c r="J104" t="str">
        <f t="shared" si="7"/>
        <v>KUW</v>
      </c>
      <c r="K104" t="str">
        <f t="shared" si="13"/>
        <v>", TeamType= "National" },</v>
      </c>
    </row>
    <row r="105" spans="1:11" x14ac:dyDescent="0.25">
      <c r="A105" t="s">
        <v>824</v>
      </c>
      <c r="B105" t="s">
        <v>359</v>
      </c>
      <c r="C105" t="str">
        <f>VLOOKUP(B105,FifaCountryCode!B:B,1,FALSE)</f>
        <v>KGZ</v>
      </c>
      <c r="E105" t="str">
        <f t="shared" si="8"/>
        <v>new Team { TeamName = "</v>
      </c>
      <c r="F105" t="str">
        <f t="shared" si="9"/>
        <v>Kyrgyzstan</v>
      </c>
      <c r="G105" t="str">
        <f t="shared" si="10"/>
        <v>", FifaAlphaCode = "</v>
      </c>
      <c r="H105" t="str">
        <f t="shared" si="11"/>
        <v>KGZ</v>
      </c>
      <c r="I105" t="str">
        <f t="shared" si="12"/>
        <v>",TeamCode="</v>
      </c>
      <c r="J105" t="str">
        <f t="shared" si="7"/>
        <v>KGZ</v>
      </c>
      <c r="K105" t="str">
        <f t="shared" si="13"/>
        <v>", TeamType= "National" },</v>
      </c>
    </row>
    <row r="106" spans="1:11" x14ac:dyDescent="0.25">
      <c r="A106" t="s">
        <v>1101</v>
      </c>
      <c r="B106" t="s">
        <v>362</v>
      </c>
      <c r="C106" t="str">
        <f>VLOOKUP(B106,FifaCountryCode!B:B,1,FALSE)</f>
        <v>LAO</v>
      </c>
      <c r="E106" t="str">
        <f t="shared" si="8"/>
        <v>new Team { TeamName = "</v>
      </c>
      <c r="F106" t="str">
        <f t="shared" si="9"/>
        <v>Laos</v>
      </c>
      <c r="G106" t="str">
        <f t="shared" si="10"/>
        <v>", FifaAlphaCode = "</v>
      </c>
      <c r="H106" t="str">
        <f t="shared" si="11"/>
        <v>LAO</v>
      </c>
      <c r="I106" t="str">
        <f t="shared" si="12"/>
        <v>",TeamCode="</v>
      </c>
      <c r="J106" t="str">
        <f t="shared" si="7"/>
        <v>LAO</v>
      </c>
      <c r="K106" t="str">
        <f t="shared" si="13"/>
        <v>", TeamType= "National" },</v>
      </c>
    </row>
    <row r="107" spans="1:11" x14ac:dyDescent="0.25">
      <c r="A107" t="s">
        <v>826</v>
      </c>
      <c r="B107" t="s">
        <v>365</v>
      </c>
      <c r="C107" t="str">
        <f>VLOOKUP(B107,FifaCountryCode!B:B,1,FALSE)</f>
        <v>LVA</v>
      </c>
      <c r="E107" t="str">
        <f t="shared" si="8"/>
        <v>new Team { TeamName = "</v>
      </c>
      <c r="F107" t="str">
        <f t="shared" si="9"/>
        <v>Latvia</v>
      </c>
      <c r="G107" t="str">
        <f t="shared" si="10"/>
        <v>", FifaAlphaCode = "</v>
      </c>
      <c r="H107" t="str">
        <f t="shared" si="11"/>
        <v>LVA</v>
      </c>
      <c r="I107" t="str">
        <f t="shared" si="12"/>
        <v>",TeamCode="</v>
      </c>
      <c r="J107" t="str">
        <f t="shared" si="7"/>
        <v>LVA</v>
      </c>
      <c r="K107" t="str">
        <f t="shared" si="13"/>
        <v>", TeamType= "National" },</v>
      </c>
    </row>
    <row r="108" spans="1:11" x14ac:dyDescent="0.25">
      <c r="A108" t="s">
        <v>827</v>
      </c>
      <c r="B108" t="s">
        <v>368</v>
      </c>
      <c r="C108" t="str">
        <f>VLOOKUP(B108,FifaCountryCode!B:B,1,FALSE)</f>
        <v>LBN</v>
      </c>
      <c r="E108" t="str">
        <f t="shared" si="8"/>
        <v>new Team { TeamName = "</v>
      </c>
      <c r="F108" t="str">
        <f t="shared" si="9"/>
        <v>Lebanon</v>
      </c>
      <c r="G108" t="str">
        <f t="shared" si="10"/>
        <v>", FifaAlphaCode = "</v>
      </c>
      <c r="H108" t="str">
        <f t="shared" si="11"/>
        <v>LBN</v>
      </c>
      <c r="I108" t="str">
        <f t="shared" si="12"/>
        <v>",TeamCode="</v>
      </c>
      <c r="J108" t="str">
        <f t="shared" si="7"/>
        <v>LBN</v>
      </c>
      <c r="K108" t="str">
        <f t="shared" si="13"/>
        <v>", TeamType= "National" },</v>
      </c>
    </row>
    <row r="109" spans="1:11" x14ac:dyDescent="0.25">
      <c r="A109" t="s">
        <v>828</v>
      </c>
      <c r="B109" t="s">
        <v>966</v>
      </c>
      <c r="C109" t="str">
        <f>VLOOKUP(B109,FifaCountryCode!B:B,1,FALSE)</f>
        <v>LES</v>
      </c>
      <c r="E109" t="str">
        <f t="shared" si="8"/>
        <v>new Team { TeamName = "</v>
      </c>
      <c r="F109" t="str">
        <f t="shared" si="9"/>
        <v>Lesotho</v>
      </c>
      <c r="G109" t="str">
        <f t="shared" si="10"/>
        <v>", FifaAlphaCode = "</v>
      </c>
      <c r="H109" t="str">
        <f t="shared" si="11"/>
        <v>LES</v>
      </c>
      <c r="I109" t="str">
        <f t="shared" si="12"/>
        <v>",TeamCode="</v>
      </c>
      <c r="J109" t="str">
        <f t="shared" si="7"/>
        <v>LES</v>
      </c>
      <c r="K109" t="str">
        <f t="shared" si="13"/>
        <v>", TeamType= "National" },</v>
      </c>
    </row>
    <row r="110" spans="1:11" x14ac:dyDescent="0.25">
      <c r="A110" t="s">
        <v>829</v>
      </c>
      <c r="B110" t="s">
        <v>374</v>
      </c>
      <c r="C110" t="str">
        <f>VLOOKUP(B110,FifaCountryCode!B:B,1,FALSE)</f>
        <v>LBR</v>
      </c>
      <c r="E110" t="str">
        <f t="shared" si="8"/>
        <v>new Team { TeamName = "</v>
      </c>
      <c r="F110" t="str">
        <f t="shared" si="9"/>
        <v>Liberia</v>
      </c>
      <c r="G110" t="str">
        <f t="shared" si="10"/>
        <v>", FifaAlphaCode = "</v>
      </c>
      <c r="H110" t="str">
        <f t="shared" si="11"/>
        <v>LBR</v>
      </c>
      <c r="I110" t="str">
        <f t="shared" si="12"/>
        <v>",TeamCode="</v>
      </c>
      <c r="J110" t="str">
        <f t="shared" si="7"/>
        <v>LBR</v>
      </c>
      <c r="K110" t="str">
        <f t="shared" si="13"/>
        <v>", TeamType= "National" },</v>
      </c>
    </row>
    <row r="111" spans="1:11" x14ac:dyDescent="0.25">
      <c r="A111" t="s">
        <v>830</v>
      </c>
      <c r="B111" t="s">
        <v>377</v>
      </c>
      <c r="C111" t="str">
        <f>VLOOKUP(B111,FifaCountryCode!B:B,1,FALSE)</f>
        <v>LBY</v>
      </c>
      <c r="E111" t="str">
        <f t="shared" si="8"/>
        <v>new Team { TeamName = "</v>
      </c>
      <c r="F111" t="str">
        <f t="shared" si="9"/>
        <v>Libya</v>
      </c>
      <c r="G111" t="str">
        <f t="shared" si="10"/>
        <v>", FifaAlphaCode = "</v>
      </c>
      <c r="H111" t="str">
        <f t="shared" si="11"/>
        <v>LBY</v>
      </c>
      <c r="I111" t="str">
        <f t="shared" si="12"/>
        <v>",TeamCode="</v>
      </c>
      <c r="J111" t="str">
        <f t="shared" si="7"/>
        <v>LBY</v>
      </c>
      <c r="K111" t="str">
        <f t="shared" si="13"/>
        <v>", TeamType= "National" },</v>
      </c>
    </row>
    <row r="112" spans="1:11" x14ac:dyDescent="0.25">
      <c r="A112" t="s">
        <v>831</v>
      </c>
      <c r="B112" t="s">
        <v>380</v>
      </c>
      <c r="C112" t="str">
        <f>VLOOKUP(B112,FifaCountryCode!B:B,1,FALSE)</f>
        <v>LIE</v>
      </c>
      <c r="E112" t="str">
        <f t="shared" si="8"/>
        <v>new Team { TeamName = "</v>
      </c>
      <c r="F112" t="str">
        <f t="shared" si="9"/>
        <v>Liechtenstein</v>
      </c>
      <c r="G112" t="str">
        <f t="shared" si="10"/>
        <v>", FifaAlphaCode = "</v>
      </c>
      <c r="H112" t="str">
        <f t="shared" si="11"/>
        <v>LIE</v>
      </c>
      <c r="I112" t="str">
        <f t="shared" si="12"/>
        <v>",TeamCode="</v>
      </c>
      <c r="J112" t="str">
        <f t="shared" si="7"/>
        <v>LIE</v>
      </c>
      <c r="K112" t="str">
        <f t="shared" si="13"/>
        <v>", TeamType= "National" },</v>
      </c>
    </row>
    <row r="113" spans="1:11" x14ac:dyDescent="0.25">
      <c r="A113" t="s">
        <v>832</v>
      </c>
      <c r="B113" t="s">
        <v>383</v>
      </c>
      <c r="C113" t="str">
        <f>VLOOKUP(B113,FifaCountryCode!B:B,1,FALSE)</f>
        <v>LTU</v>
      </c>
      <c r="E113" t="str">
        <f t="shared" si="8"/>
        <v>new Team { TeamName = "</v>
      </c>
      <c r="F113" t="str">
        <f t="shared" si="9"/>
        <v>Lithuania</v>
      </c>
      <c r="G113" t="str">
        <f t="shared" si="10"/>
        <v>", FifaAlphaCode = "</v>
      </c>
      <c r="H113" t="str">
        <f t="shared" si="11"/>
        <v>LTU</v>
      </c>
      <c r="I113" t="str">
        <f t="shared" si="12"/>
        <v>",TeamCode="</v>
      </c>
      <c r="J113" t="str">
        <f t="shared" si="7"/>
        <v>LTU</v>
      </c>
      <c r="K113" t="str">
        <f t="shared" si="13"/>
        <v>", TeamType= "National" },</v>
      </c>
    </row>
    <row r="114" spans="1:11" x14ac:dyDescent="0.25">
      <c r="A114" t="s">
        <v>833</v>
      </c>
      <c r="B114" t="s">
        <v>386</v>
      </c>
      <c r="C114" t="str">
        <f>VLOOKUP(B114,FifaCountryCode!B:B,1,FALSE)</f>
        <v>LUX</v>
      </c>
      <c r="E114" t="str">
        <f t="shared" si="8"/>
        <v>new Team { TeamName = "</v>
      </c>
      <c r="F114" t="str">
        <f t="shared" si="9"/>
        <v>Luxembourg</v>
      </c>
      <c r="G114" t="str">
        <f t="shared" si="10"/>
        <v>", FifaAlphaCode = "</v>
      </c>
      <c r="H114" t="str">
        <f t="shared" si="11"/>
        <v>LUX</v>
      </c>
      <c r="I114" t="str">
        <f t="shared" si="12"/>
        <v>",TeamCode="</v>
      </c>
      <c r="J114" t="str">
        <f t="shared" si="7"/>
        <v>LUX</v>
      </c>
      <c r="K114" t="str">
        <f t="shared" si="13"/>
        <v>", TeamType= "National" },</v>
      </c>
    </row>
    <row r="115" spans="1:11" x14ac:dyDescent="0.25">
      <c r="A115" t="s">
        <v>1102</v>
      </c>
      <c r="B115" t="s">
        <v>389</v>
      </c>
      <c r="C115" t="str">
        <f>VLOOKUP(B115,FifaCountryCode!B:B,1,FALSE)</f>
        <v>MAC</v>
      </c>
      <c r="E115" t="str">
        <f t="shared" si="8"/>
        <v>new Team { TeamName = "</v>
      </c>
      <c r="F115" t="str">
        <f t="shared" si="9"/>
        <v>Macau</v>
      </c>
      <c r="G115" t="str">
        <f t="shared" si="10"/>
        <v>", FifaAlphaCode = "</v>
      </c>
      <c r="H115" t="str">
        <f t="shared" si="11"/>
        <v>MAC</v>
      </c>
      <c r="I115" t="str">
        <f t="shared" si="12"/>
        <v>",TeamCode="</v>
      </c>
      <c r="J115" t="str">
        <f t="shared" si="7"/>
        <v>MAC</v>
      </c>
      <c r="K115" t="str">
        <f t="shared" si="13"/>
        <v>", TeamType= "National" },</v>
      </c>
    </row>
    <row r="116" spans="1:11" x14ac:dyDescent="0.25">
      <c r="A116" t="s">
        <v>836</v>
      </c>
      <c r="B116" t="s">
        <v>967</v>
      </c>
      <c r="C116" t="str">
        <f>VLOOKUP(B116,FifaCountryCode!B:B,1,FALSE)</f>
        <v>MAD</v>
      </c>
      <c r="E116" t="str">
        <f t="shared" si="8"/>
        <v>new Team { TeamName = "</v>
      </c>
      <c r="F116" t="str">
        <f t="shared" si="9"/>
        <v>Madagascar</v>
      </c>
      <c r="G116" t="str">
        <f t="shared" si="10"/>
        <v>", FifaAlphaCode = "</v>
      </c>
      <c r="H116" t="str">
        <f t="shared" si="11"/>
        <v>MAD</v>
      </c>
      <c r="I116" t="str">
        <f t="shared" si="12"/>
        <v>",TeamCode="</v>
      </c>
      <c r="J116" t="str">
        <f t="shared" si="7"/>
        <v>MAD</v>
      </c>
      <c r="K116" t="str">
        <f t="shared" si="13"/>
        <v>", TeamType= "National" },</v>
      </c>
    </row>
    <row r="117" spans="1:11" x14ac:dyDescent="0.25">
      <c r="A117" t="s">
        <v>837</v>
      </c>
      <c r="B117" t="s">
        <v>398</v>
      </c>
      <c r="C117" t="str">
        <f>VLOOKUP(B117,FifaCountryCode!B:B,1,FALSE)</f>
        <v>MWI</v>
      </c>
      <c r="E117" t="str">
        <f t="shared" si="8"/>
        <v>new Team { TeamName = "</v>
      </c>
      <c r="F117" t="str">
        <f t="shared" si="9"/>
        <v>Malawi</v>
      </c>
      <c r="G117" t="str">
        <f t="shared" si="10"/>
        <v>", FifaAlphaCode = "</v>
      </c>
      <c r="H117" t="str">
        <f t="shared" si="11"/>
        <v>MWI</v>
      </c>
      <c r="I117" t="str">
        <f t="shared" si="12"/>
        <v>",TeamCode="</v>
      </c>
      <c r="J117" t="str">
        <f t="shared" si="7"/>
        <v>MWI</v>
      </c>
      <c r="K117" t="str">
        <f t="shared" si="13"/>
        <v>", TeamType= "National" },</v>
      </c>
    </row>
    <row r="118" spans="1:11" x14ac:dyDescent="0.25">
      <c r="A118" t="s">
        <v>399</v>
      </c>
      <c r="B118" t="s">
        <v>968</v>
      </c>
      <c r="C118" t="str">
        <f>VLOOKUP(B118,FifaCountryCode!B:B,1,FALSE)</f>
        <v>MAS</v>
      </c>
      <c r="E118" t="str">
        <f t="shared" si="8"/>
        <v>new Team { TeamName = "</v>
      </c>
      <c r="F118" t="str">
        <f t="shared" si="9"/>
        <v>Malaysia</v>
      </c>
      <c r="G118" t="str">
        <f t="shared" si="10"/>
        <v>", FifaAlphaCode = "</v>
      </c>
      <c r="H118" t="str">
        <f t="shared" si="11"/>
        <v>MAS</v>
      </c>
      <c r="I118" t="str">
        <f t="shared" si="12"/>
        <v>",TeamCode="</v>
      </c>
      <c r="J118" t="str">
        <f t="shared" si="7"/>
        <v>MAS</v>
      </c>
      <c r="K118" t="str">
        <f t="shared" si="13"/>
        <v>", TeamType= "National" },</v>
      </c>
    </row>
    <row r="119" spans="1:11" x14ac:dyDescent="0.25">
      <c r="A119" t="s">
        <v>838</v>
      </c>
      <c r="B119" t="s">
        <v>404</v>
      </c>
      <c r="C119" t="str">
        <f>VLOOKUP(B119,FifaCountryCode!B:B,1,FALSE)</f>
        <v>MDV</v>
      </c>
      <c r="E119" t="str">
        <f t="shared" si="8"/>
        <v>new Team { TeamName = "</v>
      </c>
      <c r="F119" t="str">
        <f t="shared" si="9"/>
        <v>Maldives</v>
      </c>
      <c r="G119" t="str">
        <f t="shared" si="10"/>
        <v>", FifaAlphaCode = "</v>
      </c>
      <c r="H119" t="str">
        <f t="shared" si="11"/>
        <v>MDV</v>
      </c>
      <c r="I119" t="str">
        <f t="shared" si="12"/>
        <v>",TeamCode="</v>
      </c>
      <c r="J119" t="str">
        <f t="shared" si="7"/>
        <v>MDV</v>
      </c>
      <c r="K119" t="str">
        <f t="shared" si="13"/>
        <v>", TeamType= "National" },</v>
      </c>
    </row>
    <row r="120" spans="1:11" x14ac:dyDescent="0.25">
      <c r="A120" t="s">
        <v>839</v>
      </c>
      <c r="B120" t="s">
        <v>407</v>
      </c>
      <c r="C120" t="str">
        <f>VLOOKUP(B120,FifaCountryCode!B:B,1,FALSE)</f>
        <v>MLI</v>
      </c>
      <c r="E120" t="str">
        <f t="shared" si="8"/>
        <v>new Team { TeamName = "</v>
      </c>
      <c r="F120" t="str">
        <f t="shared" si="9"/>
        <v>Mali</v>
      </c>
      <c r="G120" t="str">
        <f t="shared" si="10"/>
        <v>", FifaAlphaCode = "</v>
      </c>
      <c r="H120" t="str">
        <f t="shared" si="11"/>
        <v>MLI</v>
      </c>
      <c r="I120" t="str">
        <f t="shared" si="12"/>
        <v>",TeamCode="</v>
      </c>
      <c r="J120" t="str">
        <f t="shared" si="7"/>
        <v>MLI</v>
      </c>
      <c r="K120" t="str">
        <f t="shared" si="13"/>
        <v>", TeamType= "National" },</v>
      </c>
    </row>
    <row r="121" spans="1:11" x14ac:dyDescent="0.25">
      <c r="A121" t="s">
        <v>840</v>
      </c>
      <c r="B121" t="s">
        <v>410</v>
      </c>
      <c r="C121" t="str">
        <f>VLOOKUP(B121,FifaCountryCode!B:B,1,FALSE)</f>
        <v>MLT</v>
      </c>
      <c r="E121" t="str">
        <f t="shared" si="8"/>
        <v>new Team { TeamName = "</v>
      </c>
      <c r="F121" t="str">
        <f t="shared" si="9"/>
        <v>Malta</v>
      </c>
      <c r="G121" t="str">
        <f t="shared" si="10"/>
        <v>", FifaAlphaCode = "</v>
      </c>
      <c r="H121" t="str">
        <f t="shared" si="11"/>
        <v>MLT</v>
      </c>
      <c r="I121" t="str">
        <f t="shared" si="12"/>
        <v>",TeamCode="</v>
      </c>
      <c r="J121" t="str">
        <f t="shared" si="7"/>
        <v>MLT</v>
      </c>
      <c r="K121" t="str">
        <f t="shared" si="13"/>
        <v>", TeamType= "National" },</v>
      </c>
    </row>
    <row r="122" spans="1:11" x14ac:dyDescent="0.25">
      <c r="A122" t="s">
        <v>842</v>
      </c>
      <c r="B122" t="s">
        <v>969</v>
      </c>
      <c r="C122" t="str">
        <f>VLOOKUP(B122,FifaCountryCode!B:B,1,FALSE)</f>
        <v>MTN</v>
      </c>
      <c r="E122" t="str">
        <f t="shared" si="8"/>
        <v>new Team { TeamName = "</v>
      </c>
      <c r="F122" t="str">
        <f t="shared" si="9"/>
        <v>Mauritania</v>
      </c>
      <c r="G122" t="str">
        <f t="shared" si="10"/>
        <v>", FifaAlphaCode = "</v>
      </c>
      <c r="H122" t="str">
        <f t="shared" si="11"/>
        <v>MTN</v>
      </c>
      <c r="I122" t="str">
        <f t="shared" si="12"/>
        <v>",TeamCode="</v>
      </c>
      <c r="J122" t="str">
        <f t="shared" si="7"/>
        <v>MTN</v>
      </c>
      <c r="K122" t="str">
        <f t="shared" si="13"/>
        <v>", TeamType= "National" },</v>
      </c>
    </row>
    <row r="123" spans="1:11" x14ac:dyDescent="0.25">
      <c r="A123" t="s">
        <v>843</v>
      </c>
      <c r="B123" t="s">
        <v>970</v>
      </c>
      <c r="C123" t="str">
        <f>VLOOKUP(B123,FifaCountryCode!B:B,1,FALSE)</f>
        <v>MRI</v>
      </c>
      <c r="E123" t="str">
        <f t="shared" si="8"/>
        <v>new Team { TeamName = "</v>
      </c>
      <c r="F123" t="str">
        <f t="shared" si="9"/>
        <v>Mauritius</v>
      </c>
      <c r="G123" t="str">
        <f t="shared" si="10"/>
        <v>", FifaAlphaCode = "</v>
      </c>
      <c r="H123" t="str">
        <f t="shared" si="11"/>
        <v>MRI</v>
      </c>
      <c r="I123" t="str">
        <f t="shared" si="12"/>
        <v>",TeamCode="</v>
      </c>
      <c r="J123" t="str">
        <f t="shared" si="7"/>
        <v>MRI</v>
      </c>
      <c r="K123" t="str">
        <f t="shared" si="13"/>
        <v>", TeamType= "National" },</v>
      </c>
    </row>
    <row r="124" spans="1:11" x14ac:dyDescent="0.25">
      <c r="A124" t="s">
        <v>845</v>
      </c>
      <c r="B124" t="s">
        <v>428</v>
      </c>
      <c r="C124" t="str">
        <f>VLOOKUP(B124,FifaCountryCode!B:B,1,FALSE)</f>
        <v>MEX</v>
      </c>
      <c r="E124" t="str">
        <f t="shared" si="8"/>
        <v>new Team { TeamName = "</v>
      </c>
      <c r="F124" t="str">
        <f t="shared" si="9"/>
        <v>Mexico</v>
      </c>
      <c r="G124" t="str">
        <f t="shared" si="10"/>
        <v>", FifaAlphaCode = "</v>
      </c>
      <c r="H124" t="str">
        <f t="shared" si="11"/>
        <v>MEX</v>
      </c>
      <c r="I124" t="str">
        <f t="shared" si="12"/>
        <v>",TeamCode="</v>
      </c>
      <c r="J124" t="str">
        <f t="shared" si="7"/>
        <v>MEX</v>
      </c>
      <c r="K124" t="str">
        <f t="shared" si="13"/>
        <v>", TeamType= "National" },</v>
      </c>
    </row>
    <row r="125" spans="1:11" x14ac:dyDescent="0.25">
      <c r="A125" t="s">
        <v>1103</v>
      </c>
      <c r="B125" t="s">
        <v>434</v>
      </c>
      <c r="C125" t="str">
        <f>VLOOKUP(B125,FifaCountryCode!B:B,1,FALSE)</f>
        <v>MDA</v>
      </c>
      <c r="E125" t="str">
        <f t="shared" si="8"/>
        <v>new Team { TeamName = "</v>
      </c>
      <c r="F125" t="str">
        <f t="shared" si="9"/>
        <v>Moldova</v>
      </c>
      <c r="G125" t="str">
        <f t="shared" si="10"/>
        <v>", FifaAlphaCode = "</v>
      </c>
      <c r="H125" t="str">
        <f t="shared" si="11"/>
        <v>MDA</v>
      </c>
      <c r="I125" t="str">
        <f t="shared" si="12"/>
        <v>",TeamCode="</v>
      </c>
      <c r="J125" t="str">
        <f t="shared" si="7"/>
        <v>MDA</v>
      </c>
      <c r="K125" t="str">
        <f t="shared" si="13"/>
        <v>", TeamType= "National" },</v>
      </c>
    </row>
    <row r="126" spans="1:11" x14ac:dyDescent="0.25">
      <c r="A126" t="s">
        <v>438</v>
      </c>
      <c r="B126" t="s">
        <v>440</v>
      </c>
      <c r="C126" t="str">
        <f>VLOOKUP(B126,FifaCountryCode!B:B,1,FALSE)</f>
        <v>MNG</v>
      </c>
      <c r="E126" t="str">
        <f t="shared" si="8"/>
        <v>new Team { TeamName = "</v>
      </c>
      <c r="F126" t="str">
        <f t="shared" si="9"/>
        <v>Mongolia</v>
      </c>
      <c r="G126" t="str">
        <f t="shared" si="10"/>
        <v>", FifaAlphaCode = "</v>
      </c>
      <c r="H126" t="str">
        <f t="shared" si="11"/>
        <v>MNG</v>
      </c>
      <c r="I126" t="str">
        <f t="shared" si="12"/>
        <v>",TeamCode="</v>
      </c>
      <c r="J126" t="str">
        <f t="shared" si="7"/>
        <v>MNG</v>
      </c>
      <c r="K126" t="str">
        <f t="shared" si="13"/>
        <v>", TeamType= "National" },</v>
      </c>
    </row>
    <row r="127" spans="1:11" x14ac:dyDescent="0.25">
      <c r="A127" t="s">
        <v>441</v>
      </c>
      <c r="B127" t="s">
        <v>443</v>
      </c>
      <c r="C127" t="str">
        <f>VLOOKUP(B127,FifaCountryCode!B:B,1,FALSE)</f>
        <v>MNE</v>
      </c>
      <c r="E127" t="str">
        <f t="shared" si="8"/>
        <v>new Team { TeamName = "</v>
      </c>
      <c r="F127" t="str">
        <f t="shared" si="9"/>
        <v>Montenegro</v>
      </c>
      <c r="G127" t="str">
        <f t="shared" si="10"/>
        <v>", FifaAlphaCode = "</v>
      </c>
      <c r="H127" t="str">
        <f t="shared" si="11"/>
        <v>MNE</v>
      </c>
      <c r="I127" t="str">
        <f t="shared" si="12"/>
        <v>",TeamCode="</v>
      </c>
      <c r="J127" t="str">
        <f t="shared" si="7"/>
        <v>MNE</v>
      </c>
      <c r="K127" t="str">
        <f t="shared" si="13"/>
        <v>", TeamType= "National" },</v>
      </c>
    </row>
    <row r="128" spans="1:11" x14ac:dyDescent="0.25">
      <c r="A128" t="s">
        <v>444</v>
      </c>
      <c r="B128" t="s">
        <v>446</v>
      </c>
      <c r="C128" t="str">
        <f>VLOOKUP(B128,FifaCountryCode!B:B,1,FALSE)</f>
        <v>MSR</v>
      </c>
      <c r="E128" t="str">
        <f t="shared" si="8"/>
        <v>new Team { TeamName = "</v>
      </c>
      <c r="F128" t="str">
        <f t="shared" si="9"/>
        <v>Montserrat</v>
      </c>
      <c r="G128" t="str">
        <f t="shared" si="10"/>
        <v>", FifaAlphaCode = "</v>
      </c>
      <c r="H128" t="str">
        <f t="shared" si="11"/>
        <v>MSR</v>
      </c>
      <c r="I128" t="str">
        <f t="shared" si="12"/>
        <v>",TeamCode="</v>
      </c>
      <c r="J128" t="str">
        <f t="shared" si="7"/>
        <v>MSR</v>
      </c>
      <c r="K128" t="str">
        <f t="shared" si="13"/>
        <v>", TeamType= "National" },</v>
      </c>
    </row>
    <row r="129" spans="1:11" x14ac:dyDescent="0.25">
      <c r="A129" t="s">
        <v>849</v>
      </c>
      <c r="B129" t="s">
        <v>449</v>
      </c>
      <c r="C129" t="str">
        <f>VLOOKUP(B129,FifaCountryCode!B:B,1,FALSE)</f>
        <v>MAR</v>
      </c>
      <c r="E129" t="str">
        <f t="shared" si="8"/>
        <v>new Team { TeamName = "</v>
      </c>
      <c r="F129" t="str">
        <f t="shared" si="9"/>
        <v>Morocco</v>
      </c>
      <c r="G129" t="str">
        <f t="shared" si="10"/>
        <v>", FifaAlphaCode = "</v>
      </c>
      <c r="H129" t="str">
        <f t="shared" si="11"/>
        <v>MAR</v>
      </c>
      <c r="I129" t="str">
        <f t="shared" si="12"/>
        <v>",TeamCode="</v>
      </c>
      <c r="J129" t="str">
        <f t="shared" si="7"/>
        <v>MAR</v>
      </c>
      <c r="K129" t="str">
        <f t="shared" si="13"/>
        <v>", TeamType= "National" },</v>
      </c>
    </row>
    <row r="130" spans="1:11" x14ac:dyDescent="0.25">
      <c r="A130" t="s">
        <v>850</v>
      </c>
      <c r="B130" t="s">
        <v>452</v>
      </c>
      <c r="C130" t="str">
        <f>VLOOKUP(B130,FifaCountryCode!B:B,1,FALSE)</f>
        <v>MOZ</v>
      </c>
      <c r="E130" t="str">
        <f t="shared" si="8"/>
        <v>new Team { TeamName = "</v>
      </c>
      <c r="F130" t="str">
        <f t="shared" si="9"/>
        <v>Mozambique</v>
      </c>
      <c r="G130" t="str">
        <f t="shared" si="10"/>
        <v>", FifaAlphaCode = "</v>
      </c>
      <c r="H130" t="str">
        <f t="shared" si="11"/>
        <v>MOZ</v>
      </c>
      <c r="I130" t="str">
        <f t="shared" si="12"/>
        <v>",TeamCode="</v>
      </c>
      <c r="J130" t="str">
        <f t="shared" si="7"/>
        <v>MOZ</v>
      </c>
      <c r="K130" t="str">
        <f t="shared" si="13"/>
        <v>", TeamType= "National" },</v>
      </c>
    </row>
    <row r="131" spans="1:11" x14ac:dyDescent="0.25">
      <c r="A131" t="s">
        <v>1104</v>
      </c>
      <c r="B131" t="s">
        <v>971</v>
      </c>
      <c r="C131" t="str">
        <f>VLOOKUP(B131,FifaCountryCode!B:B,1,FALSE)</f>
        <v>MYA</v>
      </c>
      <c r="E131" t="str">
        <f t="shared" si="8"/>
        <v>new Team { TeamName = "</v>
      </c>
      <c r="F131" t="str">
        <f t="shared" si="9"/>
        <v>Myanmar</v>
      </c>
      <c r="G131" t="str">
        <f t="shared" si="10"/>
        <v>", FifaAlphaCode = "</v>
      </c>
      <c r="H131" t="str">
        <f t="shared" si="11"/>
        <v>MYA</v>
      </c>
      <c r="I131" t="str">
        <f t="shared" si="12"/>
        <v>",TeamCode="</v>
      </c>
      <c r="J131" t="str">
        <f t="shared" ref="J131:J194" si="14">B131</f>
        <v>MYA</v>
      </c>
      <c r="K131" t="str">
        <f t="shared" si="13"/>
        <v>", TeamType= "National" },</v>
      </c>
    </row>
    <row r="132" spans="1:11" x14ac:dyDescent="0.25">
      <c r="A132" t="s">
        <v>852</v>
      </c>
      <c r="B132" t="s">
        <v>458</v>
      </c>
      <c r="C132" t="str">
        <f>VLOOKUP(B132,FifaCountryCode!B:B,1,FALSE)</f>
        <v>NAM</v>
      </c>
      <c r="E132" t="str">
        <f t="shared" ref="E132:E195" si="15">E131</f>
        <v>new Team { TeamName = "</v>
      </c>
      <c r="F132" t="str">
        <f t="shared" ref="F132:F195" si="16">A132</f>
        <v>Namibia</v>
      </c>
      <c r="G132" t="str">
        <f t="shared" ref="G132:G195" si="17">G131</f>
        <v>", FifaAlphaCode = "</v>
      </c>
      <c r="H132" t="str">
        <f t="shared" ref="H132:H195" si="18">B132</f>
        <v>NAM</v>
      </c>
      <c r="I132" t="str">
        <f t="shared" ref="I132:I195" si="19">I131</f>
        <v>",TeamCode="</v>
      </c>
      <c r="J132" t="str">
        <f t="shared" si="14"/>
        <v>NAM</v>
      </c>
      <c r="K132" t="str">
        <f t="shared" ref="K132:K195" si="20">K131</f>
        <v>", TeamType= "National" },</v>
      </c>
    </row>
    <row r="133" spans="1:11" x14ac:dyDescent="0.25">
      <c r="A133" t="s">
        <v>854</v>
      </c>
      <c r="B133" t="s">
        <v>972</v>
      </c>
      <c r="C133" t="str">
        <f>VLOOKUP(B133,FifaCountryCode!B:B,1,FALSE)</f>
        <v>NEP</v>
      </c>
      <c r="E133" t="str">
        <f t="shared" si="15"/>
        <v>new Team { TeamName = "</v>
      </c>
      <c r="F133" t="str">
        <f t="shared" si="16"/>
        <v>Nepal</v>
      </c>
      <c r="G133" t="str">
        <f t="shared" si="17"/>
        <v>", FifaAlphaCode = "</v>
      </c>
      <c r="H133" t="str">
        <f t="shared" si="18"/>
        <v>NEP</v>
      </c>
      <c r="I133" t="str">
        <f t="shared" si="19"/>
        <v>",TeamCode="</v>
      </c>
      <c r="J133" t="str">
        <f t="shared" si="14"/>
        <v>NEP</v>
      </c>
      <c r="K133" t="str">
        <f t="shared" si="20"/>
        <v>", TeamType= "National" },</v>
      </c>
    </row>
    <row r="134" spans="1:11" x14ac:dyDescent="0.25">
      <c r="A134" t="s">
        <v>33</v>
      </c>
      <c r="B134" t="s">
        <v>973</v>
      </c>
      <c r="C134" t="str">
        <f>VLOOKUP(B134,FifaCountryCode!B:B,1,FALSE)</f>
        <v>NED</v>
      </c>
      <c r="E134" t="str">
        <f t="shared" si="15"/>
        <v>new Team { TeamName = "</v>
      </c>
      <c r="F134" t="str">
        <f t="shared" si="16"/>
        <v>Netherlands</v>
      </c>
      <c r="G134" t="str">
        <f t="shared" si="17"/>
        <v>", FifaAlphaCode = "</v>
      </c>
      <c r="H134" t="str">
        <f t="shared" si="18"/>
        <v>NED</v>
      </c>
      <c r="I134" t="str">
        <f t="shared" si="19"/>
        <v>",TeamCode="</v>
      </c>
      <c r="J134" t="str">
        <f t="shared" si="14"/>
        <v>NED</v>
      </c>
      <c r="K134" t="str">
        <f t="shared" si="20"/>
        <v>", TeamType= "National" },</v>
      </c>
    </row>
    <row r="135" spans="1:11" x14ac:dyDescent="0.25">
      <c r="A135" t="s">
        <v>468</v>
      </c>
      <c r="B135" t="s">
        <v>470</v>
      </c>
      <c r="C135" t="str">
        <f>VLOOKUP(B135,FifaCountryCode!B:B,1,FALSE)</f>
        <v>NCL</v>
      </c>
      <c r="E135" t="str">
        <f t="shared" si="15"/>
        <v>new Team { TeamName = "</v>
      </c>
      <c r="F135" t="str">
        <f t="shared" si="16"/>
        <v>New Caledonia</v>
      </c>
      <c r="G135" t="str">
        <f t="shared" si="17"/>
        <v>", FifaAlphaCode = "</v>
      </c>
      <c r="H135" t="str">
        <f t="shared" si="18"/>
        <v>NCL</v>
      </c>
      <c r="I135" t="str">
        <f t="shared" si="19"/>
        <v>",TeamCode="</v>
      </c>
      <c r="J135" t="str">
        <f t="shared" si="14"/>
        <v>NCL</v>
      </c>
      <c r="K135" t="str">
        <f t="shared" si="20"/>
        <v>", TeamType= "National" },</v>
      </c>
    </row>
    <row r="136" spans="1:11" x14ac:dyDescent="0.25">
      <c r="A136" t="s">
        <v>147</v>
      </c>
      <c r="B136" t="s">
        <v>472</v>
      </c>
      <c r="C136" t="str">
        <f>VLOOKUP(B136,FifaCountryCode!B:B,1,FALSE)</f>
        <v>NZL</v>
      </c>
      <c r="E136" t="str">
        <f t="shared" si="15"/>
        <v>new Team { TeamName = "</v>
      </c>
      <c r="F136" t="str">
        <f t="shared" si="16"/>
        <v>New Zealand</v>
      </c>
      <c r="G136" t="str">
        <f t="shared" si="17"/>
        <v>", FifaAlphaCode = "</v>
      </c>
      <c r="H136" t="str">
        <f t="shared" si="18"/>
        <v>NZL</v>
      </c>
      <c r="I136" t="str">
        <f t="shared" si="19"/>
        <v>",TeamCode="</v>
      </c>
      <c r="J136" t="str">
        <f t="shared" si="14"/>
        <v>NZL</v>
      </c>
      <c r="K136" t="str">
        <f t="shared" si="20"/>
        <v>", TeamType= "National" },</v>
      </c>
    </row>
    <row r="137" spans="1:11" x14ac:dyDescent="0.25">
      <c r="A137" t="s">
        <v>855</v>
      </c>
      <c r="B137" t="s">
        <v>974</v>
      </c>
      <c r="C137" t="str">
        <f>VLOOKUP(B137,FifaCountryCode!B:B,1,FALSE)</f>
        <v>NCA</v>
      </c>
      <c r="E137" t="str">
        <f t="shared" si="15"/>
        <v>new Team { TeamName = "</v>
      </c>
      <c r="F137" t="str">
        <f t="shared" si="16"/>
        <v>Nicaragua</v>
      </c>
      <c r="G137" t="str">
        <f t="shared" si="17"/>
        <v>", FifaAlphaCode = "</v>
      </c>
      <c r="H137" t="str">
        <f t="shared" si="18"/>
        <v>NCA</v>
      </c>
      <c r="I137" t="str">
        <f t="shared" si="19"/>
        <v>",TeamCode="</v>
      </c>
      <c r="J137" t="str">
        <f t="shared" si="14"/>
        <v>NCA</v>
      </c>
      <c r="K137" t="str">
        <f t="shared" si="20"/>
        <v>", TeamType= "National" },</v>
      </c>
    </row>
    <row r="138" spans="1:11" x14ac:dyDescent="0.25">
      <c r="A138" t="s">
        <v>1105</v>
      </c>
      <c r="B138" t="s">
        <v>975</v>
      </c>
      <c r="C138" t="str">
        <f>VLOOKUP(B138,FifaCountryCode!B:B,1,FALSE)</f>
        <v>NIG</v>
      </c>
      <c r="E138" t="str">
        <f t="shared" si="15"/>
        <v>new Team { TeamName = "</v>
      </c>
      <c r="F138" t="str">
        <f t="shared" si="16"/>
        <v>Niger</v>
      </c>
      <c r="G138" t="str">
        <f t="shared" si="17"/>
        <v>", FifaAlphaCode = "</v>
      </c>
      <c r="H138" t="str">
        <f t="shared" si="18"/>
        <v>NIG</v>
      </c>
      <c r="I138" t="str">
        <f t="shared" si="19"/>
        <v>",TeamCode="</v>
      </c>
      <c r="J138" t="str">
        <f t="shared" si="14"/>
        <v>NIG</v>
      </c>
      <c r="K138" t="str">
        <f t="shared" si="20"/>
        <v>", TeamType= "National" },</v>
      </c>
    </row>
    <row r="139" spans="1:11" x14ac:dyDescent="0.25">
      <c r="A139" t="s">
        <v>857</v>
      </c>
      <c r="B139" t="s">
        <v>481</v>
      </c>
      <c r="C139" t="str">
        <f>VLOOKUP(B139,FifaCountryCode!B:B,1,FALSE)</f>
        <v>NGA</v>
      </c>
      <c r="E139" t="str">
        <f t="shared" si="15"/>
        <v>new Team { TeamName = "</v>
      </c>
      <c r="F139" t="str">
        <f t="shared" si="16"/>
        <v>Nigeria</v>
      </c>
      <c r="G139" t="str">
        <f t="shared" si="17"/>
        <v>", FifaAlphaCode = "</v>
      </c>
      <c r="H139" t="str">
        <f t="shared" si="18"/>
        <v>NGA</v>
      </c>
      <c r="I139" t="str">
        <f t="shared" si="19"/>
        <v>",TeamCode="</v>
      </c>
      <c r="J139" t="str">
        <f t="shared" si="14"/>
        <v>NGA</v>
      </c>
      <c r="K139" t="str">
        <f t="shared" si="20"/>
        <v>", TeamType= "National" },</v>
      </c>
    </row>
    <row r="140" spans="1:11" x14ac:dyDescent="0.25">
      <c r="A140" t="s">
        <v>1055</v>
      </c>
      <c r="B140" t="s">
        <v>350</v>
      </c>
      <c r="C140" t="str">
        <f>VLOOKUP(B140,FifaCountryCode!B:B,1,FALSE)</f>
        <v>PRK</v>
      </c>
      <c r="E140" t="str">
        <f t="shared" si="15"/>
        <v>new Team { TeamName = "</v>
      </c>
      <c r="F140" t="str">
        <f t="shared" si="16"/>
        <v>North Korea</v>
      </c>
      <c r="G140" t="str">
        <f t="shared" si="17"/>
        <v>", FifaAlphaCode = "</v>
      </c>
      <c r="H140" t="str">
        <f t="shared" si="18"/>
        <v>PRK</v>
      </c>
      <c r="I140" t="str">
        <f t="shared" si="19"/>
        <v>",TeamCode="</v>
      </c>
      <c r="J140" t="str">
        <f t="shared" si="14"/>
        <v>PRK</v>
      </c>
      <c r="K140" t="str">
        <f t="shared" si="20"/>
        <v>", TeamType= "National" },</v>
      </c>
    </row>
    <row r="141" spans="1:11" x14ac:dyDescent="0.25">
      <c r="A141" t="s">
        <v>1106</v>
      </c>
      <c r="B141" t="s">
        <v>392</v>
      </c>
      <c r="C141" t="str">
        <f>VLOOKUP(B141,FifaCountryCode!B:B,1,FALSE)</f>
        <v>MKD</v>
      </c>
      <c r="E141" t="str">
        <f t="shared" si="15"/>
        <v>new Team { TeamName = "</v>
      </c>
      <c r="F141" t="str">
        <f t="shared" si="16"/>
        <v>North Macedonia</v>
      </c>
      <c r="G141" t="str">
        <f t="shared" si="17"/>
        <v>", FifaAlphaCode = "</v>
      </c>
      <c r="H141" t="str">
        <f t="shared" si="18"/>
        <v>MKD</v>
      </c>
      <c r="I141" t="str">
        <f t="shared" si="19"/>
        <v>",TeamCode="</v>
      </c>
      <c r="J141" t="str">
        <f t="shared" si="14"/>
        <v>MKD</v>
      </c>
      <c r="K141" t="str">
        <f t="shared" si="20"/>
        <v>", TeamType= "National" },</v>
      </c>
    </row>
    <row r="142" spans="1:11" x14ac:dyDescent="0.25">
      <c r="A142" t="s">
        <v>1033</v>
      </c>
      <c r="B142" t="s">
        <v>976</v>
      </c>
      <c r="C142" t="str">
        <f>VLOOKUP(B142,FifaCountryCode!B:B,1,FALSE)</f>
        <v>NIR</v>
      </c>
      <c r="E142" t="str">
        <f t="shared" si="15"/>
        <v>new Team { TeamName = "</v>
      </c>
      <c r="F142" t="str">
        <f t="shared" si="16"/>
        <v>Northern Ireland</v>
      </c>
      <c r="G142" t="str">
        <f t="shared" si="17"/>
        <v>", FifaAlphaCode = "</v>
      </c>
      <c r="H142" t="str">
        <f t="shared" si="18"/>
        <v>NIR</v>
      </c>
      <c r="I142" t="str">
        <f t="shared" si="19"/>
        <v>",TeamCode="</v>
      </c>
      <c r="J142" t="str">
        <f t="shared" si="14"/>
        <v>NIR</v>
      </c>
      <c r="K142" t="str">
        <f t="shared" si="20"/>
        <v>", TeamType= "National" },</v>
      </c>
    </row>
    <row r="143" spans="1:11" x14ac:dyDescent="0.25">
      <c r="A143" t="s">
        <v>84</v>
      </c>
      <c r="B143" t="s">
        <v>493</v>
      </c>
      <c r="C143" t="str">
        <f>VLOOKUP(B143,FifaCountryCode!B:B,1,FALSE)</f>
        <v>NOR</v>
      </c>
      <c r="E143" t="str">
        <f t="shared" si="15"/>
        <v>new Team { TeamName = "</v>
      </c>
      <c r="F143" t="str">
        <f t="shared" si="16"/>
        <v>Norway</v>
      </c>
      <c r="G143" t="str">
        <f t="shared" si="17"/>
        <v>", FifaAlphaCode = "</v>
      </c>
      <c r="H143" t="str">
        <f t="shared" si="18"/>
        <v>NOR</v>
      </c>
      <c r="I143" t="str">
        <f t="shared" si="19"/>
        <v>",TeamCode="</v>
      </c>
      <c r="J143" t="str">
        <f t="shared" si="14"/>
        <v>NOR</v>
      </c>
      <c r="K143" t="str">
        <f t="shared" si="20"/>
        <v>", TeamType= "National" },</v>
      </c>
    </row>
    <row r="144" spans="1:11" x14ac:dyDescent="0.25">
      <c r="A144" t="s">
        <v>860</v>
      </c>
      <c r="B144" t="s">
        <v>977</v>
      </c>
      <c r="C144" t="str">
        <f>VLOOKUP(B144,FifaCountryCode!B:B,1,FALSE)</f>
        <v>OMA</v>
      </c>
      <c r="E144" t="str">
        <f t="shared" si="15"/>
        <v>new Team { TeamName = "</v>
      </c>
      <c r="F144" t="str">
        <f t="shared" si="16"/>
        <v>Oman</v>
      </c>
      <c r="G144" t="str">
        <f t="shared" si="17"/>
        <v>", FifaAlphaCode = "</v>
      </c>
      <c r="H144" t="str">
        <f t="shared" si="18"/>
        <v>OMA</v>
      </c>
      <c r="I144" t="str">
        <f t="shared" si="19"/>
        <v>",TeamCode="</v>
      </c>
      <c r="J144" t="str">
        <f t="shared" si="14"/>
        <v>OMA</v>
      </c>
      <c r="K144" t="str">
        <f t="shared" si="20"/>
        <v>", TeamType= "National" },</v>
      </c>
    </row>
    <row r="145" spans="1:11" x14ac:dyDescent="0.25">
      <c r="A145" t="s">
        <v>861</v>
      </c>
      <c r="B145" t="s">
        <v>499</v>
      </c>
      <c r="C145" t="str">
        <f>VLOOKUP(B145,FifaCountryCode!B:B,1,FALSE)</f>
        <v>PAK</v>
      </c>
      <c r="E145" t="str">
        <f t="shared" si="15"/>
        <v>new Team { TeamName = "</v>
      </c>
      <c r="F145" t="str">
        <f t="shared" si="16"/>
        <v>Pakistan</v>
      </c>
      <c r="G145" t="str">
        <f t="shared" si="17"/>
        <v>", FifaAlphaCode = "</v>
      </c>
      <c r="H145" t="str">
        <f t="shared" si="18"/>
        <v>PAK</v>
      </c>
      <c r="I145" t="str">
        <f t="shared" si="19"/>
        <v>",TeamCode="</v>
      </c>
      <c r="J145" t="str">
        <f t="shared" si="14"/>
        <v>PAK</v>
      </c>
      <c r="K145" t="str">
        <f t="shared" si="20"/>
        <v>", TeamType= "National" },</v>
      </c>
    </row>
    <row r="146" spans="1:11" x14ac:dyDescent="0.25">
      <c r="A146" t="s">
        <v>1107</v>
      </c>
      <c r="B146" t="s">
        <v>978</v>
      </c>
      <c r="C146" t="str">
        <f>VLOOKUP(B146,FifaCountryCode!B:B,1,FALSE)</f>
        <v>PLE</v>
      </c>
      <c r="E146" t="str">
        <f t="shared" si="15"/>
        <v>new Team { TeamName = "</v>
      </c>
      <c r="F146" t="str">
        <f t="shared" si="16"/>
        <v>Palestine</v>
      </c>
      <c r="G146" t="str">
        <f t="shared" si="17"/>
        <v>", FifaAlphaCode = "</v>
      </c>
      <c r="H146" t="str">
        <f t="shared" si="18"/>
        <v>PLE</v>
      </c>
      <c r="I146" t="str">
        <f t="shared" si="19"/>
        <v>",TeamCode="</v>
      </c>
      <c r="J146" t="str">
        <f t="shared" si="14"/>
        <v>PLE</v>
      </c>
      <c r="K146" t="str">
        <f t="shared" si="20"/>
        <v>", TeamType= "National" },</v>
      </c>
    </row>
    <row r="147" spans="1:11" x14ac:dyDescent="0.25">
      <c r="A147" t="s">
        <v>864</v>
      </c>
      <c r="B147" t="s">
        <v>508</v>
      </c>
      <c r="C147" t="str">
        <f>VLOOKUP(B147,FifaCountryCode!B:B,1,FALSE)</f>
        <v>PAN</v>
      </c>
      <c r="E147" t="str">
        <f t="shared" si="15"/>
        <v>new Team { TeamName = "</v>
      </c>
      <c r="F147" t="str">
        <f t="shared" si="16"/>
        <v>Panama</v>
      </c>
      <c r="G147" t="str">
        <f t="shared" si="17"/>
        <v>", FifaAlphaCode = "</v>
      </c>
      <c r="H147" t="str">
        <f t="shared" si="18"/>
        <v>PAN</v>
      </c>
      <c r="I147" t="str">
        <f t="shared" si="19"/>
        <v>",TeamCode="</v>
      </c>
      <c r="J147" t="str">
        <f t="shared" si="14"/>
        <v>PAN</v>
      </c>
      <c r="K147" t="str">
        <f t="shared" si="20"/>
        <v>", TeamType= "National" },</v>
      </c>
    </row>
    <row r="148" spans="1:11" x14ac:dyDescent="0.25">
      <c r="A148" t="s">
        <v>865</v>
      </c>
      <c r="B148" t="s">
        <v>511</v>
      </c>
      <c r="C148" t="str">
        <f>VLOOKUP(B148,FifaCountryCode!B:B,1,FALSE)</f>
        <v>PNG</v>
      </c>
      <c r="E148" t="str">
        <f t="shared" si="15"/>
        <v>new Team { TeamName = "</v>
      </c>
      <c r="F148" t="str">
        <f t="shared" si="16"/>
        <v>Papua New Guinea</v>
      </c>
      <c r="G148" t="str">
        <f t="shared" si="17"/>
        <v>", FifaAlphaCode = "</v>
      </c>
      <c r="H148" t="str">
        <f t="shared" si="18"/>
        <v>PNG</v>
      </c>
      <c r="I148" t="str">
        <f t="shared" si="19"/>
        <v>",TeamCode="</v>
      </c>
      <c r="J148" t="str">
        <f t="shared" si="14"/>
        <v>PNG</v>
      </c>
      <c r="K148" t="str">
        <f t="shared" si="20"/>
        <v>", TeamType= "National" },</v>
      </c>
    </row>
    <row r="149" spans="1:11" x14ac:dyDescent="0.25">
      <c r="A149" t="s">
        <v>866</v>
      </c>
      <c r="B149" t="s">
        <v>979</v>
      </c>
      <c r="C149" t="str">
        <f>VLOOKUP(B149,FifaCountryCode!B:B,1,FALSE)</f>
        <v>PAR</v>
      </c>
      <c r="E149" t="str">
        <f t="shared" si="15"/>
        <v>new Team { TeamName = "</v>
      </c>
      <c r="F149" t="str">
        <f t="shared" si="16"/>
        <v>Paraguay</v>
      </c>
      <c r="G149" t="str">
        <f t="shared" si="17"/>
        <v>", FifaAlphaCode = "</v>
      </c>
      <c r="H149" t="str">
        <f t="shared" si="18"/>
        <v>PAR</v>
      </c>
      <c r="I149" t="str">
        <f t="shared" si="19"/>
        <v>",TeamCode="</v>
      </c>
      <c r="J149" t="str">
        <f t="shared" si="14"/>
        <v>PAR</v>
      </c>
      <c r="K149" t="str">
        <f t="shared" si="20"/>
        <v>", TeamType= "National" },</v>
      </c>
    </row>
    <row r="150" spans="1:11" x14ac:dyDescent="0.25">
      <c r="A150" t="s">
        <v>867</v>
      </c>
      <c r="B150" t="s">
        <v>517</v>
      </c>
      <c r="C150" t="str">
        <f>VLOOKUP(B150,FifaCountryCode!B:B,1,FALSE)</f>
        <v>PER</v>
      </c>
      <c r="E150" t="str">
        <f t="shared" si="15"/>
        <v>new Team { TeamName = "</v>
      </c>
      <c r="F150" t="str">
        <f t="shared" si="16"/>
        <v>Peru</v>
      </c>
      <c r="G150" t="str">
        <f t="shared" si="17"/>
        <v>", FifaAlphaCode = "</v>
      </c>
      <c r="H150" t="str">
        <f t="shared" si="18"/>
        <v>PER</v>
      </c>
      <c r="I150" t="str">
        <f t="shared" si="19"/>
        <v>",TeamCode="</v>
      </c>
      <c r="J150" t="str">
        <f t="shared" si="14"/>
        <v>PER</v>
      </c>
      <c r="K150" t="str">
        <f t="shared" si="20"/>
        <v>", TeamType= "National" },</v>
      </c>
    </row>
    <row r="151" spans="1:11" x14ac:dyDescent="0.25">
      <c r="A151" t="s">
        <v>1108</v>
      </c>
      <c r="B151" t="s">
        <v>980</v>
      </c>
      <c r="C151" t="str">
        <f>VLOOKUP(B151,FifaCountryCode!B:B,1,FALSE)</f>
        <v>PHI</v>
      </c>
      <c r="E151" t="str">
        <f t="shared" si="15"/>
        <v>new Team { TeamName = "</v>
      </c>
      <c r="F151" t="str">
        <f t="shared" si="16"/>
        <v>Philippines</v>
      </c>
      <c r="G151" t="str">
        <f t="shared" si="17"/>
        <v>", FifaAlphaCode = "</v>
      </c>
      <c r="H151" t="str">
        <f t="shared" si="18"/>
        <v>PHI</v>
      </c>
      <c r="I151" t="str">
        <f t="shared" si="19"/>
        <v>",TeamCode="</v>
      </c>
      <c r="J151" t="str">
        <f t="shared" si="14"/>
        <v>PHI</v>
      </c>
      <c r="K151" t="str">
        <f t="shared" si="20"/>
        <v>", TeamType= "National" },</v>
      </c>
    </row>
    <row r="152" spans="1:11" x14ac:dyDescent="0.25">
      <c r="A152" t="s">
        <v>870</v>
      </c>
      <c r="B152" t="s">
        <v>526</v>
      </c>
      <c r="C152" t="str">
        <f>VLOOKUP(B152,FifaCountryCode!B:B,1,FALSE)</f>
        <v>POL</v>
      </c>
      <c r="E152" t="str">
        <f t="shared" si="15"/>
        <v>new Team { TeamName = "</v>
      </c>
      <c r="F152" t="str">
        <f t="shared" si="16"/>
        <v>Poland</v>
      </c>
      <c r="G152" t="str">
        <f t="shared" si="17"/>
        <v>", FifaAlphaCode = "</v>
      </c>
      <c r="H152" t="str">
        <f t="shared" si="18"/>
        <v>POL</v>
      </c>
      <c r="I152" t="str">
        <f t="shared" si="19"/>
        <v>",TeamCode="</v>
      </c>
      <c r="J152" t="str">
        <f t="shared" si="14"/>
        <v>POL</v>
      </c>
      <c r="K152" t="str">
        <f t="shared" si="20"/>
        <v>", TeamType= "National" },</v>
      </c>
    </row>
    <row r="153" spans="1:11" x14ac:dyDescent="0.25">
      <c r="A153" t="s">
        <v>871</v>
      </c>
      <c r="B153" t="s">
        <v>981</v>
      </c>
      <c r="C153" t="str">
        <f>VLOOKUP(B153,FifaCountryCode!B:B,1,FALSE)</f>
        <v>POR</v>
      </c>
      <c r="E153" t="str">
        <f t="shared" si="15"/>
        <v>new Team { TeamName = "</v>
      </c>
      <c r="F153" t="str">
        <f t="shared" si="16"/>
        <v>Portugal</v>
      </c>
      <c r="G153" t="str">
        <f t="shared" si="17"/>
        <v>", FifaAlphaCode = "</v>
      </c>
      <c r="H153" t="str">
        <f t="shared" si="18"/>
        <v>POR</v>
      </c>
      <c r="I153" t="str">
        <f t="shared" si="19"/>
        <v>",TeamCode="</v>
      </c>
      <c r="J153" t="str">
        <f t="shared" si="14"/>
        <v>POR</v>
      </c>
      <c r="K153" t="str">
        <f t="shared" si="20"/>
        <v>", TeamType= "National" },</v>
      </c>
    </row>
    <row r="154" spans="1:11" x14ac:dyDescent="0.25">
      <c r="A154" t="s">
        <v>872</v>
      </c>
      <c r="B154" t="s">
        <v>982</v>
      </c>
      <c r="C154" t="str">
        <f>VLOOKUP(B154,FifaCountryCode!B:B,1,FALSE)</f>
        <v>PUR</v>
      </c>
      <c r="E154" t="str">
        <f t="shared" si="15"/>
        <v>new Team { TeamName = "</v>
      </c>
      <c r="F154" t="str">
        <f t="shared" si="16"/>
        <v>Puerto Rico</v>
      </c>
      <c r="G154" t="str">
        <f t="shared" si="17"/>
        <v>", FifaAlphaCode = "</v>
      </c>
      <c r="H154" t="str">
        <f t="shared" si="18"/>
        <v>PUR</v>
      </c>
      <c r="I154" t="str">
        <f t="shared" si="19"/>
        <v>",TeamCode="</v>
      </c>
      <c r="J154" t="str">
        <f t="shared" si="14"/>
        <v>PUR</v>
      </c>
      <c r="K154" t="str">
        <f t="shared" si="20"/>
        <v>", TeamType= "National" },</v>
      </c>
    </row>
    <row r="155" spans="1:11" x14ac:dyDescent="0.25">
      <c r="A155" t="s">
        <v>873</v>
      </c>
      <c r="B155" t="s">
        <v>535</v>
      </c>
      <c r="C155" t="str">
        <f>VLOOKUP(B155,FifaCountryCode!B:B,1,FALSE)</f>
        <v>QAT</v>
      </c>
      <c r="E155" t="str">
        <f t="shared" si="15"/>
        <v>new Team { TeamName = "</v>
      </c>
      <c r="F155" t="str">
        <f t="shared" si="16"/>
        <v>Qatar</v>
      </c>
      <c r="G155" t="str">
        <f t="shared" si="17"/>
        <v>", FifaAlphaCode = "</v>
      </c>
      <c r="H155" t="str">
        <f t="shared" si="18"/>
        <v>QAT</v>
      </c>
      <c r="I155" t="str">
        <f t="shared" si="19"/>
        <v>",TeamCode="</v>
      </c>
      <c r="J155" t="str">
        <f t="shared" si="14"/>
        <v>QAT</v>
      </c>
      <c r="K155" t="str">
        <f t="shared" si="20"/>
        <v>", TeamType= "National" },</v>
      </c>
    </row>
    <row r="156" spans="1:11" x14ac:dyDescent="0.25">
      <c r="A156" t="s">
        <v>1109</v>
      </c>
      <c r="B156" t="s">
        <v>317</v>
      </c>
      <c r="C156" t="str">
        <f>VLOOKUP(B156,FifaCountryCode!B:B,1,FALSE)</f>
        <v>IRL</v>
      </c>
      <c r="E156" t="str">
        <f t="shared" si="15"/>
        <v>new Team { TeamName = "</v>
      </c>
      <c r="F156" t="str">
        <f t="shared" si="16"/>
        <v>Republic of Ireland</v>
      </c>
      <c r="G156" t="str">
        <f t="shared" si="17"/>
        <v>", FifaAlphaCode = "</v>
      </c>
      <c r="H156" t="str">
        <f t="shared" si="18"/>
        <v>IRL</v>
      </c>
      <c r="I156" t="str">
        <f t="shared" si="19"/>
        <v>",TeamCode="</v>
      </c>
      <c r="J156" t="str">
        <f t="shared" si="14"/>
        <v>IRL</v>
      </c>
      <c r="K156" t="str">
        <f t="shared" si="20"/>
        <v>", TeamType= "National" },</v>
      </c>
    </row>
    <row r="157" spans="1:11" x14ac:dyDescent="0.25">
      <c r="A157" t="s">
        <v>539</v>
      </c>
      <c r="B157" t="s">
        <v>541</v>
      </c>
      <c r="C157" t="str">
        <f>VLOOKUP(B157,FifaCountryCode!B:B,1,FALSE)</f>
        <v>ROU</v>
      </c>
      <c r="E157" t="str">
        <f t="shared" si="15"/>
        <v>new Team { TeamName = "</v>
      </c>
      <c r="F157" t="str">
        <f t="shared" si="16"/>
        <v>Romania</v>
      </c>
      <c r="G157" t="str">
        <f t="shared" si="17"/>
        <v>", FifaAlphaCode = "</v>
      </c>
      <c r="H157" t="str">
        <f t="shared" si="18"/>
        <v>ROU</v>
      </c>
      <c r="I157" t="str">
        <f t="shared" si="19"/>
        <v>",TeamCode="</v>
      </c>
      <c r="J157" t="str">
        <f t="shared" si="14"/>
        <v>ROU</v>
      </c>
      <c r="K157" t="str">
        <f t="shared" si="20"/>
        <v>", TeamType= "National" },</v>
      </c>
    </row>
    <row r="158" spans="1:11" x14ac:dyDescent="0.25">
      <c r="A158" t="s">
        <v>1041</v>
      </c>
      <c r="B158" t="s">
        <v>544</v>
      </c>
      <c r="C158" t="str">
        <f>VLOOKUP(B158,FifaCountryCode!B:B,1,FALSE)</f>
        <v>RUS</v>
      </c>
      <c r="E158" t="str">
        <f t="shared" si="15"/>
        <v>new Team { TeamName = "</v>
      </c>
      <c r="F158" t="str">
        <f t="shared" si="16"/>
        <v>Russia</v>
      </c>
      <c r="G158" t="str">
        <f t="shared" si="17"/>
        <v>", FifaAlphaCode = "</v>
      </c>
      <c r="H158" t="str">
        <f t="shared" si="18"/>
        <v>RUS</v>
      </c>
      <c r="I158" t="str">
        <f t="shared" si="19"/>
        <v>",TeamCode="</v>
      </c>
      <c r="J158" t="str">
        <f t="shared" si="14"/>
        <v>RUS</v>
      </c>
      <c r="K158" t="str">
        <f t="shared" si="20"/>
        <v>", TeamType= "National" },</v>
      </c>
    </row>
    <row r="159" spans="1:11" x14ac:dyDescent="0.25">
      <c r="A159" t="s">
        <v>874</v>
      </c>
      <c r="B159" t="s">
        <v>547</v>
      </c>
      <c r="C159" t="str">
        <f>VLOOKUP(B159,FifaCountryCode!B:B,1,FALSE)</f>
        <v>RWA</v>
      </c>
      <c r="E159" t="str">
        <f t="shared" si="15"/>
        <v>new Team { TeamName = "</v>
      </c>
      <c r="F159" t="str">
        <f t="shared" si="16"/>
        <v>Rwanda</v>
      </c>
      <c r="G159" t="str">
        <f t="shared" si="17"/>
        <v>", FifaAlphaCode = "</v>
      </c>
      <c r="H159" t="str">
        <f t="shared" si="18"/>
        <v>RWA</v>
      </c>
      <c r="I159" t="str">
        <f t="shared" si="19"/>
        <v>",TeamCode="</v>
      </c>
      <c r="J159" t="str">
        <f t="shared" si="14"/>
        <v>RWA</v>
      </c>
      <c r="K159" t="str">
        <f t="shared" si="20"/>
        <v>", TeamType= "National" },</v>
      </c>
    </row>
    <row r="160" spans="1:11" x14ac:dyDescent="0.25">
      <c r="A160" t="s">
        <v>554</v>
      </c>
      <c r="B160" t="s">
        <v>983</v>
      </c>
      <c r="C160" t="str">
        <f>VLOOKUP(B160,FifaCountryCode!B:B,1,FALSE)</f>
        <v>SKN</v>
      </c>
      <c r="E160" t="str">
        <f t="shared" si="15"/>
        <v>new Team { TeamName = "</v>
      </c>
      <c r="F160" t="str">
        <f t="shared" si="16"/>
        <v>Saint Kitts and Nevis</v>
      </c>
      <c r="G160" t="str">
        <f t="shared" si="17"/>
        <v>", FifaAlphaCode = "</v>
      </c>
      <c r="H160" t="str">
        <f t="shared" si="18"/>
        <v>SKN</v>
      </c>
      <c r="I160" t="str">
        <f t="shared" si="19"/>
        <v>",TeamCode="</v>
      </c>
      <c r="J160" t="str">
        <f t="shared" si="14"/>
        <v>SKN</v>
      </c>
      <c r="K160" t="str">
        <f t="shared" si="20"/>
        <v>", TeamType= "National" },</v>
      </c>
    </row>
    <row r="161" spans="1:11" x14ac:dyDescent="0.25">
      <c r="A161" t="s">
        <v>557</v>
      </c>
      <c r="B161" t="s">
        <v>559</v>
      </c>
      <c r="C161" t="str">
        <f>VLOOKUP(B161,FifaCountryCode!B:B,1,FALSE)</f>
        <v>LCA</v>
      </c>
      <c r="E161" t="str">
        <f t="shared" si="15"/>
        <v>new Team { TeamName = "</v>
      </c>
      <c r="F161" t="str">
        <f t="shared" si="16"/>
        <v>Saint Lucia</v>
      </c>
      <c r="G161" t="str">
        <f t="shared" si="17"/>
        <v>", FifaAlphaCode = "</v>
      </c>
      <c r="H161" t="str">
        <f t="shared" si="18"/>
        <v>LCA</v>
      </c>
      <c r="I161" t="str">
        <f t="shared" si="19"/>
        <v>",TeamCode="</v>
      </c>
      <c r="J161" t="str">
        <f t="shared" si="14"/>
        <v>LCA</v>
      </c>
      <c r="K161" t="str">
        <f t="shared" si="20"/>
        <v>", TeamType= "National" },</v>
      </c>
    </row>
    <row r="162" spans="1:11" x14ac:dyDescent="0.25">
      <c r="A162" t="s">
        <v>566</v>
      </c>
      <c r="B162" t="s">
        <v>984</v>
      </c>
      <c r="C162" t="str">
        <f>VLOOKUP(B162,FifaCountryCode!B:B,1,FALSE)</f>
        <v>VIN</v>
      </c>
      <c r="E162" t="str">
        <f t="shared" si="15"/>
        <v>new Team { TeamName = "</v>
      </c>
      <c r="F162" t="str">
        <f t="shared" si="16"/>
        <v>Saint Vincent and the Grenadines</v>
      </c>
      <c r="G162" t="str">
        <f t="shared" si="17"/>
        <v>", FifaAlphaCode = "</v>
      </c>
      <c r="H162" t="str">
        <f t="shared" si="18"/>
        <v>VIN</v>
      </c>
      <c r="I162" t="str">
        <f t="shared" si="19"/>
        <v>",TeamCode="</v>
      </c>
      <c r="J162" t="str">
        <f t="shared" si="14"/>
        <v>VIN</v>
      </c>
      <c r="K162" t="str">
        <f t="shared" si="20"/>
        <v>", TeamType= "National" },</v>
      </c>
    </row>
    <row r="163" spans="1:11" x14ac:dyDescent="0.25">
      <c r="A163" t="s">
        <v>879</v>
      </c>
      <c r="B163" t="s">
        <v>985</v>
      </c>
      <c r="C163" t="str">
        <f>VLOOKUP(B163,FifaCountryCode!B:B,1,FALSE)</f>
        <v>SAM</v>
      </c>
      <c r="E163" t="str">
        <f t="shared" si="15"/>
        <v>new Team { TeamName = "</v>
      </c>
      <c r="F163" t="str">
        <f t="shared" si="16"/>
        <v>Samoa</v>
      </c>
      <c r="G163" t="str">
        <f t="shared" si="17"/>
        <v>", FifaAlphaCode = "</v>
      </c>
      <c r="H163" t="str">
        <f t="shared" si="18"/>
        <v>SAM</v>
      </c>
      <c r="I163" t="str">
        <f t="shared" si="19"/>
        <v>",TeamCode="</v>
      </c>
      <c r="J163" t="str">
        <f t="shared" si="14"/>
        <v>SAM</v>
      </c>
      <c r="K163" t="str">
        <f t="shared" si="20"/>
        <v>", TeamType= "National" },</v>
      </c>
    </row>
    <row r="164" spans="1:11" x14ac:dyDescent="0.25">
      <c r="A164" t="s">
        <v>880</v>
      </c>
      <c r="B164" t="s">
        <v>574</v>
      </c>
      <c r="C164" t="str">
        <f>VLOOKUP(B164,FifaCountryCode!B:B,1,FALSE)</f>
        <v>SMR</v>
      </c>
      <c r="E164" t="str">
        <f t="shared" si="15"/>
        <v>new Team { TeamName = "</v>
      </c>
      <c r="F164" t="str">
        <f t="shared" si="16"/>
        <v>San Marino</v>
      </c>
      <c r="G164" t="str">
        <f t="shared" si="17"/>
        <v>", FifaAlphaCode = "</v>
      </c>
      <c r="H164" t="str">
        <f t="shared" si="18"/>
        <v>SMR</v>
      </c>
      <c r="I164" t="str">
        <f t="shared" si="19"/>
        <v>",TeamCode="</v>
      </c>
      <c r="J164" t="str">
        <f t="shared" si="14"/>
        <v>SMR</v>
      </c>
      <c r="K164" t="str">
        <f t="shared" si="20"/>
        <v>", TeamType= "National" },</v>
      </c>
    </row>
    <row r="165" spans="1:11" x14ac:dyDescent="0.25">
      <c r="A165" t="s">
        <v>1110</v>
      </c>
      <c r="B165" t="s">
        <v>577</v>
      </c>
      <c r="C165" t="str">
        <f>VLOOKUP(B165,FifaCountryCode!B:B,1,FALSE)</f>
        <v>STP</v>
      </c>
      <c r="E165" t="str">
        <f t="shared" si="15"/>
        <v>new Team { TeamName = "</v>
      </c>
      <c r="F165" t="str">
        <f t="shared" si="16"/>
        <v>São Tomé and Príncipe</v>
      </c>
      <c r="G165" t="str">
        <f t="shared" si="17"/>
        <v>", FifaAlphaCode = "</v>
      </c>
      <c r="H165" t="str">
        <f t="shared" si="18"/>
        <v>STP</v>
      </c>
      <c r="I165" t="str">
        <f t="shared" si="19"/>
        <v>",TeamCode="</v>
      </c>
      <c r="J165" t="str">
        <f t="shared" si="14"/>
        <v>STP</v>
      </c>
      <c r="K165" t="str">
        <f t="shared" si="20"/>
        <v>", TeamType= "National" },</v>
      </c>
    </row>
    <row r="166" spans="1:11" x14ac:dyDescent="0.25">
      <c r="A166" t="s">
        <v>882</v>
      </c>
      <c r="B166" t="s">
        <v>986</v>
      </c>
      <c r="C166" t="str">
        <f>VLOOKUP(B166,FifaCountryCode!B:B,1,FALSE)</f>
        <v>KSA</v>
      </c>
      <c r="E166" t="str">
        <f t="shared" si="15"/>
        <v>new Team { TeamName = "</v>
      </c>
      <c r="F166" t="str">
        <f t="shared" si="16"/>
        <v>Saudi Arabia</v>
      </c>
      <c r="G166" t="str">
        <f t="shared" si="17"/>
        <v>", FifaAlphaCode = "</v>
      </c>
      <c r="H166" t="str">
        <f t="shared" si="18"/>
        <v>KSA</v>
      </c>
      <c r="I166" t="str">
        <f t="shared" si="19"/>
        <v>",TeamCode="</v>
      </c>
      <c r="J166" t="str">
        <f t="shared" si="14"/>
        <v>KSA</v>
      </c>
      <c r="K166" t="str">
        <f t="shared" si="20"/>
        <v>", TeamType= "National" },</v>
      </c>
    </row>
    <row r="167" spans="1:11" x14ac:dyDescent="0.25">
      <c r="A167" t="s">
        <v>1026</v>
      </c>
      <c r="B167" t="s">
        <v>987</v>
      </c>
      <c r="C167" t="str">
        <f>VLOOKUP(B167,FifaCountryCode!B:B,1,FALSE)</f>
        <v>SCO</v>
      </c>
      <c r="E167" t="str">
        <f t="shared" si="15"/>
        <v>new Team { TeamName = "</v>
      </c>
      <c r="F167" t="str">
        <f t="shared" si="16"/>
        <v>Scotland</v>
      </c>
      <c r="G167" t="str">
        <f t="shared" si="17"/>
        <v>", FifaAlphaCode = "</v>
      </c>
      <c r="H167" t="str">
        <f t="shared" si="18"/>
        <v>SCO</v>
      </c>
      <c r="I167" t="str">
        <f t="shared" si="19"/>
        <v>",TeamCode="</v>
      </c>
      <c r="J167" t="str">
        <f t="shared" si="14"/>
        <v>SCO</v>
      </c>
      <c r="K167" t="str">
        <f t="shared" si="20"/>
        <v>", TeamType= "National" },</v>
      </c>
    </row>
    <row r="168" spans="1:11" x14ac:dyDescent="0.25">
      <c r="A168" t="s">
        <v>883</v>
      </c>
      <c r="B168" t="s">
        <v>583</v>
      </c>
      <c r="C168" t="str">
        <f>VLOOKUP(B168,FifaCountryCode!B:B,1,FALSE)</f>
        <v>SEN</v>
      </c>
      <c r="E168" t="str">
        <f t="shared" si="15"/>
        <v>new Team { TeamName = "</v>
      </c>
      <c r="F168" t="str">
        <f t="shared" si="16"/>
        <v>Senegal</v>
      </c>
      <c r="G168" t="str">
        <f t="shared" si="17"/>
        <v>", FifaAlphaCode = "</v>
      </c>
      <c r="H168" t="str">
        <f t="shared" si="18"/>
        <v>SEN</v>
      </c>
      <c r="I168" t="str">
        <f t="shared" si="19"/>
        <v>",TeamCode="</v>
      </c>
      <c r="J168" t="str">
        <f t="shared" si="14"/>
        <v>SEN</v>
      </c>
      <c r="K168" t="str">
        <f t="shared" si="20"/>
        <v>", TeamType= "National" },</v>
      </c>
    </row>
    <row r="169" spans="1:11" x14ac:dyDescent="0.25">
      <c r="A169" t="s">
        <v>884</v>
      </c>
      <c r="B169" t="s">
        <v>586</v>
      </c>
      <c r="C169" t="str">
        <f>VLOOKUP(B169,FifaCountryCode!B:B,1,FALSE)</f>
        <v>SRB</v>
      </c>
      <c r="E169" t="str">
        <f t="shared" si="15"/>
        <v>new Team { TeamName = "</v>
      </c>
      <c r="F169" t="str">
        <f t="shared" si="16"/>
        <v>Serbia</v>
      </c>
      <c r="G169" t="str">
        <f t="shared" si="17"/>
        <v>", FifaAlphaCode = "</v>
      </c>
      <c r="H169" t="str">
        <f t="shared" si="18"/>
        <v>SRB</v>
      </c>
      <c r="I169" t="str">
        <f t="shared" si="19"/>
        <v>",TeamCode="</v>
      </c>
      <c r="J169" t="str">
        <f t="shared" si="14"/>
        <v>SRB</v>
      </c>
      <c r="K169" t="str">
        <f t="shared" si="20"/>
        <v>", TeamType= "National" },</v>
      </c>
    </row>
    <row r="170" spans="1:11" x14ac:dyDescent="0.25">
      <c r="A170" t="s">
        <v>885</v>
      </c>
      <c r="B170" t="s">
        <v>988</v>
      </c>
      <c r="C170" t="str">
        <f>VLOOKUP(B170,FifaCountryCode!B:B,1,FALSE)</f>
        <v>SEY</v>
      </c>
      <c r="E170" t="str">
        <f t="shared" si="15"/>
        <v>new Team { TeamName = "</v>
      </c>
      <c r="F170" t="str">
        <f t="shared" si="16"/>
        <v>Seychelles</v>
      </c>
      <c r="G170" t="str">
        <f t="shared" si="17"/>
        <v>", FifaAlphaCode = "</v>
      </c>
      <c r="H170" t="str">
        <f t="shared" si="18"/>
        <v>SEY</v>
      </c>
      <c r="I170" t="str">
        <f t="shared" si="19"/>
        <v>",TeamCode="</v>
      </c>
      <c r="J170" t="str">
        <f t="shared" si="14"/>
        <v>SEY</v>
      </c>
      <c r="K170" t="str">
        <f t="shared" si="20"/>
        <v>", TeamType= "National" },</v>
      </c>
    </row>
    <row r="171" spans="1:11" x14ac:dyDescent="0.25">
      <c r="A171" t="s">
        <v>886</v>
      </c>
      <c r="B171" t="s">
        <v>592</v>
      </c>
      <c r="C171" t="str">
        <f>VLOOKUP(B171,FifaCountryCode!B:B,1,FALSE)</f>
        <v>SLE</v>
      </c>
      <c r="E171" t="str">
        <f t="shared" si="15"/>
        <v>new Team { TeamName = "</v>
      </c>
      <c r="F171" t="str">
        <f t="shared" si="16"/>
        <v>Sierra Leone</v>
      </c>
      <c r="G171" t="str">
        <f t="shared" si="17"/>
        <v>", FifaAlphaCode = "</v>
      </c>
      <c r="H171" t="str">
        <f t="shared" si="18"/>
        <v>SLE</v>
      </c>
      <c r="I171" t="str">
        <f t="shared" si="19"/>
        <v>",TeamCode="</v>
      </c>
      <c r="J171" t="str">
        <f t="shared" si="14"/>
        <v>SLE</v>
      </c>
      <c r="K171" t="str">
        <f t="shared" si="20"/>
        <v>", TeamType= "National" },</v>
      </c>
    </row>
    <row r="172" spans="1:11" x14ac:dyDescent="0.25">
      <c r="A172" t="s">
        <v>887</v>
      </c>
      <c r="B172" t="s">
        <v>989</v>
      </c>
      <c r="C172" t="str">
        <f>VLOOKUP(B172,FifaCountryCode!B:B,1,FALSE)</f>
        <v>SIN</v>
      </c>
      <c r="E172" t="str">
        <f t="shared" si="15"/>
        <v>new Team { TeamName = "</v>
      </c>
      <c r="F172" t="str">
        <f t="shared" si="16"/>
        <v>Singapore</v>
      </c>
      <c r="G172" t="str">
        <f t="shared" si="17"/>
        <v>", FifaAlphaCode = "</v>
      </c>
      <c r="H172" t="str">
        <f t="shared" si="18"/>
        <v>SIN</v>
      </c>
      <c r="I172" t="str">
        <f t="shared" si="19"/>
        <v>",TeamCode="</v>
      </c>
      <c r="J172" t="str">
        <f t="shared" si="14"/>
        <v>SIN</v>
      </c>
      <c r="K172" t="str">
        <f t="shared" si="20"/>
        <v>", TeamType= "National" },</v>
      </c>
    </row>
    <row r="173" spans="1:11" x14ac:dyDescent="0.25">
      <c r="A173" t="s">
        <v>889</v>
      </c>
      <c r="B173" t="s">
        <v>601</v>
      </c>
      <c r="C173" t="str">
        <f>VLOOKUP(B173,FifaCountryCode!B:B,1,FALSE)</f>
        <v>SVK</v>
      </c>
      <c r="E173" t="str">
        <f t="shared" si="15"/>
        <v>new Team { TeamName = "</v>
      </c>
      <c r="F173" t="str">
        <f t="shared" si="16"/>
        <v>Slovakia</v>
      </c>
      <c r="G173" t="str">
        <f t="shared" si="17"/>
        <v>", FifaAlphaCode = "</v>
      </c>
      <c r="H173" t="str">
        <f t="shared" si="18"/>
        <v>SVK</v>
      </c>
      <c r="I173" t="str">
        <f t="shared" si="19"/>
        <v>",TeamCode="</v>
      </c>
      <c r="J173" t="str">
        <f t="shared" si="14"/>
        <v>SVK</v>
      </c>
      <c r="K173" t="str">
        <f t="shared" si="20"/>
        <v>", TeamType= "National" },</v>
      </c>
    </row>
    <row r="174" spans="1:11" x14ac:dyDescent="0.25">
      <c r="A174" t="s">
        <v>890</v>
      </c>
      <c r="B174" t="s">
        <v>604</v>
      </c>
      <c r="C174" t="str">
        <f>VLOOKUP(B174,FifaCountryCode!B:B,1,FALSE)</f>
        <v>SVN</v>
      </c>
      <c r="E174" t="str">
        <f t="shared" si="15"/>
        <v>new Team { TeamName = "</v>
      </c>
      <c r="F174" t="str">
        <f t="shared" si="16"/>
        <v>Slovenia</v>
      </c>
      <c r="G174" t="str">
        <f t="shared" si="17"/>
        <v>", FifaAlphaCode = "</v>
      </c>
      <c r="H174" t="str">
        <f t="shared" si="18"/>
        <v>SVN</v>
      </c>
      <c r="I174" t="str">
        <f t="shared" si="19"/>
        <v>",TeamCode="</v>
      </c>
      <c r="J174" t="str">
        <f t="shared" si="14"/>
        <v>SVN</v>
      </c>
      <c r="K174" t="str">
        <f t="shared" si="20"/>
        <v>", TeamType= "National" },</v>
      </c>
    </row>
    <row r="175" spans="1:11" x14ac:dyDescent="0.25">
      <c r="A175" t="s">
        <v>891</v>
      </c>
      <c r="B175" t="s">
        <v>990</v>
      </c>
      <c r="C175" t="str">
        <f>VLOOKUP(B175,FifaCountryCode!B:B,1,FALSE)</f>
        <v>SOL</v>
      </c>
      <c r="E175" t="str">
        <f t="shared" si="15"/>
        <v>new Team { TeamName = "</v>
      </c>
      <c r="F175" t="str">
        <f t="shared" si="16"/>
        <v>Solomon Islands</v>
      </c>
      <c r="G175" t="str">
        <f t="shared" si="17"/>
        <v>", FifaAlphaCode = "</v>
      </c>
      <c r="H175" t="str">
        <f t="shared" si="18"/>
        <v>SOL</v>
      </c>
      <c r="I175" t="str">
        <f t="shared" si="19"/>
        <v>",TeamCode="</v>
      </c>
      <c r="J175" t="str">
        <f t="shared" si="14"/>
        <v>SOL</v>
      </c>
      <c r="K175" t="str">
        <f t="shared" si="20"/>
        <v>", TeamType= "National" },</v>
      </c>
    </row>
    <row r="176" spans="1:11" x14ac:dyDescent="0.25">
      <c r="A176" t="s">
        <v>892</v>
      </c>
      <c r="B176" t="s">
        <v>610</v>
      </c>
      <c r="C176" t="str">
        <f>VLOOKUP(B176,FifaCountryCode!B:B,1,FALSE)</f>
        <v>SOM</v>
      </c>
      <c r="E176" t="str">
        <f t="shared" si="15"/>
        <v>new Team { TeamName = "</v>
      </c>
      <c r="F176" t="str">
        <f t="shared" si="16"/>
        <v>Somalia</v>
      </c>
      <c r="G176" t="str">
        <f t="shared" si="17"/>
        <v>", FifaAlphaCode = "</v>
      </c>
      <c r="H176" t="str">
        <f t="shared" si="18"/>
        <v>SOM</v>
      </c>
      <c r="I176" t="str">
        <f t="shared" si="19"/>
        <v>",TeamCode="</v>
      </c>
      <c r="J176" t="str">
        <f t="shared" si="14"/>
        <v>SOM</v>
      </c>
      <c r="K176" t="str">
        <f t="shared" si="20"/>
        <v>", TeamType= "National" },</v>
      </c>
    </row>
    <row r="177" spans="1:11" x14ac:dyDescent="0.25">
      <c r="A177" t="s">
        <v>893</v>
      </c>
      <c r="B177" t="s">
        <v>991</v>
      </c>
      <c r="C177" t="str">
        <f>VLOOKUP(B177,FifaCountryCode!B:B,1,FALSE)</f>
        <v>RSA</v>
      </c>
      <c r="E177" t="str">
        <f t="shared" si="15"/>
        <v>new Team { TeamName = "</v>
      </c>
      <c r="F177" t="str">
        <f t="shared" si="16"/>
        <v>South Africa</v>
      </c>
      <c r="G177" t="str">
        <f t="shared" si="17"/>
        <v>", FifaAlphaCode = "</v>
      </c>
      <c r="H177" t="str">
        <f t="shared" si="18"/>
        <v>RSA</v>
      </c>
      <c r="I177" t="str">
        <f t="shared" si="19"/>
        <v>",TeamCode="</v>
      </c>
      <c r="J177" t="str">
        <f t="shared" si="14"/>
        <v>RSA</v>
      </c>
      <c r="K177" t="str">
        <f t="shared" si="20"/>
        <v>", TeamType= "National" },</v>
      </c>
    </row>
    <row r="178" spans="1:11" x14ac:dyDescent="0.25">
      <c r="A178" t="s">
        <v>1056</v>
      </c>
      <c r="B178" t="s">
        <v>353</v>
      </c>
      <c r="C178" t="str">
        <f>VLOOKUP(B178,FifaCountryCode!B:B,1,FALSE)</f>
        <v>KOR</v>
      </c>
      <c r="E178" t="str">
        <f t="shared" si="15"/>
        <v>new Team { TeamName = "</v>
      </c>
      <c r="F178" t="str">
        <f t="shared" si="16"/>
        <v>South Korea</v>
      </c>
      <c r="G178" t="str">
        <f t="shared" si="17"/>
        <v>", FifaAlphaCode = "</v>
      </c>
      <c r="H178" t="str">
        <f t="shared" si="18"/>
        <v>KOR</v>
      </c>
      <c r="I178" t="str">
        <f t="shared" si="19"/>
        <v>",TeamCode="</v>
      </c>
      <c r="J178" t="str">
        <f t="shared" si="14"/>
        <v>KOR</v>
      </c>
      <c r="K178" t="str">
        <f t="shared" si="20"/>
        <v>", TeamType= "National" },</v>
      </c>
    </row>
    <row r="179" spans="1:11" x14ac:dyDescent="0.25">
      <c r="A179" t="s">
        <v>894</v>
      </c>
      <c r="B179" t="s">
        <v>619</v>
      </c>
      <c r="C179" t="str">
        <f>VLOOKUP(B179,FifaCountryCode!B:B,1,FALSE)</f>
        <v>SSD</v>
      </c>
      <c r="E179" t="str">
        <f t="shared" si="15"/>
        <v>new Team { TeamName = "</v>
      </c>
      <c r="F179" t="str">
        <f t="shared" si="16"/>
        <v>South Sudan</v>
      </c>
      <c r="G179" t="str">
        <f t="shared" si="17"/>
        <v>", FifaAlphaCode = "</v>
      </c>
      <c r="H179" t="str">
        <f t="shared" si="18"/>
        <v>SSD</v>
      </c>
      <c r="I179" t="str">
        <f t="shared" si="19"/>
        <v>",TeamCode="</v>
      </c>
      <c r="J179" t="str">
        <f t="shared" si="14"/>
        <v>SSD</v>
      </c>
      <c r="K179" t="str">
        <f t="shared" si="20"/>
        <v>", TeamType= "National" },</v>
      </c>
    </row>
    <row r="180" spans="1:11" x14ac:dyDescent="0.25">
      <c r="A180" t="s">
        <v>895</v>
      </c>
      <c r="B180" t="s">
        <v>622</v>
      </c>
      <c r="C180" t="str">
        <f>VLOOKUP(B180,FifaCountryCode!B:B,1,FALSE)</f>
        <v>ESP</v>
      </c>
      <c r="E180" t="str">
        <f t="shared" si="15"/>
        <v>new Team { TeamName = "</v>
      </c>
      <c r="F180" t="str">
        <f t="shared" si="16"/>
        <v>Spain</v>
      </c>
      <c r="G180" t="str">
        <f t="shared" si="17"/>
        <v>", FifaAlphaCode = "</v>
      </c>
      <c r="H180" t="str">
        <f t="shared" si="18"/>
        <v>ESP</v>
      </c>
      <c r="I180" t="str">
        <f t="shared" si="19"/>
        <v>",TeamCode="</v>
      </c>
      <c r="J180" t="str">
        <f t="shared" si="14"/>
        <v>ESP</v>
      </c>
      <c r="K180" t="str">
        <f t="shared" si="20"/>
        <v>", TeamType= "National" },</v>
      </c>
    </row>
    <row r="181" spans="1:11" x14ac:dyDescent="0.25">
      <c r="A181" t="s">
        <v>896</v>
      </c>
      <c r="B181" t="s">
        <v>992</v>
      </c>
      <c r="C181" t="str">
        <f>VLOOKUP(B181,FifaCountryCode!B:B,1,FALSE)</f>
        <v>SRI</v>
      </c>
      <c r="E181" t="str">
        <f t="shared" si="15"/>
        <v>new Team { TeamName = "</v>
      </c>
      <c r="F181" t="str">
        <f t="shared" si="16"/>
        <v>Sri Lanka</v>
      </c>
      <c r="G181" t="str">
        <f t="shared" si="17"/>
        <v>", FifaAlphaCode = "</v>
      </c>
      <c r="H181" t="str">
        <f t="shared" si="18"/>
        <v>SRI</v>
      </c>
      <c r="I181" t="str">
        <f t="shared" si="19"/>
        <v>",TeamCode="</v>
      </c>
      <c r="J181" t="str">
        <f t="shared" si="14"/>
        <v>SRI</v>
      </c>
      <c r="K181" t="str">
        <f t="shared" si="20"/>
        <v>", TeamType= "National" },</v>
      </c>
    </row>
    <row r="182" spans="1:11" x14ac:dyDescent="0.25">
      <c r="A182" t="s">
        <v>1111</v>
      </c>
      <c r="B182" t="s">
        <v>628</v>
      </c>
      <c r="C182" t="str">
        <f>VLOOKUP(B182,FifaCountryCode!B:B,1,FALSE)</f>
        <v>SDN</v>
      </c>
      <c r="E182" t="str">
        <f t="shared" si="15"/>
        <v>new Team { TeamName = "</v>
      </c>
      <c r="F182" t="str">
        <f t="shared" si="16"/>
        <v>Sudan</v>
      </c>
      <c r="G182" t="str">
        <f t="shared" si="17"/>
        <v>", FifaAlphaCode = "</v>
      </c>
      <c r="H182" t="str">
        <f t="shared" si="18"/>
        <v>SDN</v>
      </c>
      <c r="I182" t="str">
        <f t="shared" si="19"/>
        <v>",TeamCode="</v>
      </c>
      <c r="J182" t="str">
        <f t="shared" si="14"/>
        <v>SDN</v>
      </c>
      <c r="K182" t="str">
        <f t="shared" si="20"/>
        <v>", TeamType= "National" },</v>
      </c>
    </row>
    <row r="183" spans="1:11" x14ac:dyDescent="0.25">
      <c r="A183" t="s">
        <v>898</v>
      </c>
      <c r="B183" t="s">
        <v>631</v>
      </c>
      <c r="C183" t="str">
        <f>VLOOKUP(B183,FifaCountryCode!B:B,1,FALSE)</f>
        <v>SUR</v>
      </c>
      <c r="E183" t="str">
        <f t="shared" si="15"/>
        <v>new Team { TeamName = "</v>
      </c>
      <c r="F183" t="str">
        <f t="shared" si="16"/>
        <v>Suriname</v>
      </c>
      <c r="G183" t="str">
        <f t="shared" si="17"/>
        <v>", FifaAlphaCode = "</v>
      </c>
      <c r="H183" t="str">
        <f t="shared" si="18"/>
        <v>SUR</v>
      </c>
      <c r="I183" t="str">
        <f t="shared" si="19"/>
        <v>",TeamCode="</v>
      </c>
      <c r="J183" t="str">
        <f t="shared" si="14"/>
        <v>SUR</v>
      </c>
      <c r="K183" t="str">
        <f t="shared" si="20"/>
        <v>", TeamType= "National" },</v>
      </c>
    </row>
    <row r="184" spans="1:11" x14ac:dyDescent="0.25">
      <c r="A184" t="s">
        <v>900</v>
      </c>
      <c r="B184" t="s">
        <v>637</v>
      </c>
      <c r="C184" t="str">
        <f>VLOOKUP(B184,FifaCountryCode!B:B,1,FALSE)</f>
        <v>SWE</v>
      </c>
      <c r="E184" t="str">
        <f t="shared" si="15"/>
        <v>new Team { TeamName = "</v>
      </c>
      <c r="F184" t="str">
        <f t="shared" si="16"/>
        <v>Sweden</v>
      </c>
      <c r="G184" t="str">
        <f t="shared" si="17"/>
        <v>", FifaAlphaCode = "</v>
      </c>
      <c r="H184" t="str">
        <f t="shared" si="18"/>
        <v>SWE</v>
      </c>
      <c r="I184" t="str">
        <f t="shared" si="19"/>
        <v>",TeamCode="</v>
      </c>
      <c r="J184" t="str">
        <f t="shared" si="14"/>
        <v>SWE</v>
      </c>
      <c r="K184" t="str">
        <f t="shared" si="20"/>
        <v>", TeamType= "National" },</v>
      </c>
    </row>
    <row r="185" spans="1:11" x14ac:dyDescent="0.25">
      <c r="A185" t="s">
        <v>901</v>
      </c>
      <c r="B185" t="s">
        <v>993</v>
      </c>
      <c r="C185" t="str">
        <f>VLOOKUP(B185,FifaCountryCode!B:B,1,FALSE)</f>
        <v>SUI</v>
      </c>
      <c r="E185" t="str">
        <f t="shared" si="15"/>
        <v>new Team { TeamName = "</v>
      </c>
      <c r="F185" t="str">
        <f t="shared" si="16"/>
        <v>Switzerland</v>
      </c>
      <c r="G185" t="str">
        <f t="shared" si="17"/>
        <v>", FifaAlphaCode = "</v>
      </c>
      <c r="H185" t="str">
        <f t="shared" si="18"/>
        <v>SUI</v>
      </c>
      <c r="I185" t="str">
        <f t="shared" si="19"/>
        <v>",TeamCode="</v>
      </c>
      <c r="J185" t="str">
        <f t="shared" si="14"/>
        <v>SUI</v>
      </c>
      <c r="K185" t="str">
        <f t="shared" si="20"/>
        <v>", TeamType= "National" },</v>
      </c>
    </row>
    <row r="186" spans="1:11" x14ac:dyDescent="0.25">
      <c r="A186" t="s">
        <v>1112</v>
      </c>
      <c r="B186" t="s">
        <v>643</v>
      </c>
      <c r="C186" t="str">
        <f>VLOOKUP(B186,FifaCountryCode!B:B,1,FALSE)</f>
        <v>SYR</v>
      </c>
      <c r="E186" t="str">
        <f t="shared" si="15"/>
        <v>new Team { TeamName = "</v>
      </c>
      <c r="F186" t="str">
        <f t="shared" si="16"/>
        <v>Syria</v>
      </c>
      <c r="G186" t="str">
        <f t="shared" si="17"/>
        <v>", FifaAlphaCode = "</v>
      </c>
      <c r="H186" t="str">
        <f t="shared" si="18"/>
        <v>SYR</v>
      </c>
      <c r="I186" t="str">
        <f t="shared" si="19"/>
        <v>",TeamCode="</v>
      </c>
      <c r="J186" t="str">
        <f t="shared" si="14"/>
        <v>SYR</v>
      </c>
      <c r="K186" t="str">
        <f t="shared" si="20"/>
        <v>", TeamType= "National" },</v>
      </c>
    </row>
    <row r="187" spans="1:11" x14ac:dyDescent="0.25">
      <c r="A187" t="s">
        <v>1113</v>
      </c>
      <c r="B187" t="s">
        <v>994</v>
      </c>
      <c r="C187" t="str">
        <f>VLOOKUP(B187,FifaCountryCode!B:B,1,FALSE)</f>
        <v>TAH</v>
      </c>
      <c r="E187" t="str">
        <f t="shared" si="15"/>
        <v>new Team { TeamName = "</v>
      </c>
      <c r="F187" t="str">
        <f t="shared" si="16"/>
        <v>Tahiti</v>
      </c>
      <c r="G187" t="str">
        <f t="shared" si="17"/>
        <v>", FifaAlphaCode = "</v>
      </c>
      <c r="H187" t="str">
        <f t="shared" si="18"/>
        <v>TAH</v>
      </c>
      <c r="I187" t="str">
        <f t="shared" si="19"/>
        <v>",TeamCode="</v>
      </c>
      <c r="J187" t="str">
        <f t="shared" si="14"/>
        <v>TAH</v>
      </c>
      <c r="K187" t="str">
        <f t="shared" si="20"/>
        <v>", TeamType= "National" },</v>
      </c>
    </row>
    <row r="188" spans="1:11" x14ac:dyDescent="0.25">
      <c r="A188" t="s">
        <v>904</v>
      </c>
      <c r="B188" t="s">
        <v>649</v>
      </c>
      <c r="C188" t="str">
        <f>VLOOKUP(B188,FifaCountryCode!B:B,1,FALSE)</f>
        <v>TJK</v>
      </c>
      <c r="E188" t="str">
        <f t="shared" si="15"/>
        <v>new Team { TeamName = "</v>
      </c>
      <c r="F188" t="str">
        <f t="shared" si="16"/>
        <v>Tajikistan</v>
      </c>
      <c r="G188" t="str">
        <f t="shared" si="17"/>
        <v>", FifaAlphaCode = "</v>
      </c>
      <c r="H188" t="str">
        <f t="shared" si="18"/>
        <v>TJK</v>
      </c>
      <c r="I188" t="str">
        <f t="shared" si="19"/>
        <v>",TeamCode="</v>
      </c>
      <c r="J188" t="str">
        <f t="shared" si="14"/>
        <v>TJK</v>
      </c>
      <c r="K188" t="str">
        <f t="shared" si="20"/>
        <v>", TeamType= "National" },</v>
      </c>
    </row>
    <row r="189" spans="1:11" x14ac:dyDescent="0.25">
      <c r="A189" t="s">
        <v>1114</v>
      </c>
      <c r="B189" t="s">
        <v>995</v>
      </c>
      <c r="C189" t="str">
        <f>VLOOKUP(B189,FifaCountryCode!B:B,1,FALSE)</f>
        <v>TAN</v>
      </c>
      <c r="E189" t="str">
        <f t="shared" si="15"/>
        <v>new Team { TeamName = "</v>
      </c>
      <c r="F189" t="str">
        <f t="shared" si="16"/>
        <v>Tanzania</v>
      </c>
      <c r="G189" t="str">
        <f t="shared" si="17"/>
        <v>", FifaAlphaCode = "</v>
      </c>
      <c r="H189" t="str">
        <f t="shared" si="18"/>
        <v>TAN</v>
      </c>
      <c r="I189" t="str">
        <f t="shared" si="19"/>
        <v>",TeamCode="</v>
      </c>
      <c r="J189" t="str">
        <f t="shared" si="14"/>
        <v>TAN</v>
      </c>
      <c r="K189" t="str">
        <f t="shared" si="20"/>
        <v>", TeamType= "National" },</v>
      </c>
    </row>
    <row r="190" spans="1:11" x14ac:dyDescent="0.25">
      <c r="A190" t="s">
        <v>906</v>
      </c>
      <c r="B190" t="s">
        <v>655</v>
      </c>
      <c r="C190" t="str">
        <f>VLOOKUP(B190,FifaCountryCode!B:B,1,FALSE)</f>
        <v>THA</v>
      </c>
      <c r="E190" t="str">
        <f t="shared" si="15"/>
        <v>new Team { TeamName = "</v>
      </c>
      <c r="F190" t="str">
        <f t="shared" si="16"/>
        <v>Thailand</v>
      </c>
      <c r="G190" t="str">
        <f t="shared" si="17"/>
        <v>", FifaAlphaCode = "</v>
      </c>
      <c r="H190" t="str">
        <f t="shared" si="18"/>
        <v>THA</v>
      </c>
      <c r="I190" t="str">
        <f t="shared" si="19"/>
        <v>",TeamCode="</v>
      </c>
      <c r="J190" t="str">
        <f t="shared" si="14"/>
        <v>THA</v>
      </c>
      <c r="K190" t="str">
        <f t="shared" si="20"/>
        <v>", TeamType= "National" },</v>
      </c>
    </row>
    <row r="191" spans="1:11" x14ac:dyDescent="0.25">
      <c r="A191" t="s">
        <v>1115</v>
      </c>
      <c r="B191" t="s">
        <v>658</v>
      </c>
      <c r="C191" t="str">
        <f>VLOOKUP(B191,FifaCountryCode!B:B,1,FALSE)</f>
        <v>TLS</v>
      </c>
      <c r="E191" t="str">
        <f t="shared" si="15"/>
        <v>new Team { TeamName = "</v>
      </c>
      <c r="F191" t="str">
        <f t="shared" si="16"/>
        <v>Timor-Leste</v>
      </c>
      <c r="G191" t="str">
        <f t="shared" si="17"/>
        <v>", FifaAlphaCode = "</v>
      </c>
      <c r="H191" t="str">
        <f t="shared" si="18"/>
        <v>TLS</v>
      </c>
      <c r="I191" t="str">
        <f t="shared" si="19"/>
        <v>",TeamCode="</v>
      </c>
      <c r="J191" t="str">
        <f t="shared" si="14"/>
        <v>TLS</v>
      </c>
      <c r="K191" t="str">
        <f t="shared" si="20"/>
        <v>", TeamType= "National" },</v>
      </c>
    </row>
    <row r="192" spans="1:11" x14ac:dyDescent="0.25">
      <c r="A192" t="s">
        <v>908</v>
      </c>
      <c r="B192" t="s">
        <v>996</v>
      </c>
      <c r="C192" t="str">
        <f>VLOOKUP(B192,FifaCountryCode!B:B,1,FALSE)</f>
        <v>TOG</v>
      </c>
      <c r="E192" t="str">
        <f t="shared" si="15"/>
        <v>new Team { TeamName = "</v>
      </c>
      <c r="F192" t="str">
        <f t="shared" si="16"/>
        <v>Togo</v>
      </c>
      <c r="G192" t="str">
        <f t="shared" si="17"/>
        <v>", FifaAlphaCode = "</v>
      </c>
      <c r="H192" t="str">
        <f t="shared" si="18"/>
        <v>TOG</v>
      </c>
      <c r="I192" t="str">
        <f t="shared" si="19"/>
        <v>",TeamCode="</v>
      </c>
      <c r="J192" t="str">
        <f t="shared" si="14"/>
        <v>TOG</v>
      </c>
      <c r="K192" t="str">
        <f t="shared" si="20"/>
        <v>", TeamType= "National" },</v>
      </c>
    </row>
    <row r="193" spans="1:11" x14ac:dyDescent="0.25">
      <c r="A193" t="s">
        <v>909</v>
      </c>
      <c r="B193" t="s">
        <v>997</v>
      </c>
      <c r="C193" t="str">
        <f>VLOOKUP(B193,FifaCountryCode!B:B,1,FALSE)</f>
        <v>TGA</v>
      </c>
      <c r="E193" t="str">
        <f t="shared" si="15"/>
        <v>new Team { TeamName = "</v>
      </c>
      <c r="F193" t="str">
        <f t="shared" si="16"/>
        <v>Tonga</v>
      </c>
      <c r="G193" t="str">
        <f t="shared" si="17"/>
        <v>", FifaAlphaCode = "</v>
      </c>
      <c r="H193" t="str">
        <f t="shared" si="18"/>
        <v>TGA</v>
      </c>
      <c r="I193" t="str">
        <f t="shared" si="19"/>
        <v>",TeamCode="</v>
      </c>
      <c r="J193" t="str">
        <f t="shared" si="14"/>
        <v>TGA</v>
      </c>
      <c r="K193" t="str">
        <f t="shared" si="20"/>
        <v>", TeamType= "National" },</v>
      </c>
    </row>
    <row r="194" spans="1:11" x14ac:dyDescent="0.25">
      <c r="A194" t="s">
        <v>910</v>
      </c>
      <c r="B194" t="s">
        <v>998</v>
      </c>
      <c r="C194" t="str">
        <f>VLOOKUP(B194,FifaCountryCode!B:B,1,FALSE)</f>
        <v>TRI</v>
      </c>
      <c r="E194" t="str">
        <f t="shared" si="15"/>
        <v>new Team { TeamName = "</v>
      </c>
      <c r="F194" t="str">
        <f t="shared" si="16"/>
        <v>Trinidad and Tobago</v>
      </c>
      <c r="G194" t="str">
        <f t="shared" si="17"/>
        <v>", FifaAlphaCode = "</v>
      </c>
      <c r="H194" t="str">
        <f t="shared" si="18"/>
        <v>TRI</v>
      </c>
      <c r="I194" t="str">
        <f t="shared" si="19"/>
        <v>",TeamCode="</v>
      </c>
      <c r="J194" t="str">
        <f t="shared" si="14"/>
        <v>TRI</v>
      </c>
      <c r="K194" t="str">
        <f t="shared" si="20"/>
        <v>", TeamType= "National" },</v>
      </c>
    </row>
    <row r="195" spans="1:11" x14ac:dyDescent="0.25">
      <c r="A195" t="s">
        <v>911</v>
      </c>
      <c r="B195" t="s">
        <v>673</v>
      </c>
      <c r="C195" t="str">
        <f>VLOOKUP(B195,FifaCountryCode!B:B,1,FALSE)</f>
        <v>TUN</v>
      </c>
      <c r="E195" t="str">
        <f t="shared" si="15"/>
        <v>new Team { TeamName = "</v>
      </c>
      <c r="F195" t="str">
        <f t="shared" si="16"/>
        <v>Tunisia</v>
      </c>
      <c r="G195" t="str">
        <f t="shared" si="17"/>
        <v>", FifaAlphaCode = "</v>
      </c>
      <c r="H195" t="str">
        <f t="shared" si="18"/>
        <v>TUN</v>
      </c>
      <c r="I195" t="str">
        <f t="shared" si="19"/>
        <v>",TeamCode="</v>
      </c>
      <c r="J195" t="str">
        <f t="shared" ref="J195:J223" si="21">B195</f>
        <v>TUN</v>
      </c>
      <c r="K195" t="str">
        <f t="shared" si="20"/>
        <v>", TeamType= "National" },</v>
      </c>
    </row>
    <row r="196" spans="1:11" x14ac:dyDescent="0.25">
      <c r="A196" t="s">
        <v>912</v>
      </c>
      <c r="B196" t="s">
        <v>676</v>
      </c>
      <c r="C196" t="str">
        <f>VLOOKUP(B196,FifaCountryCode!B:B,1,FALSE)</f>
        <v>TUR</v>
      </c>
      <c r="E196" t="str">
        <f t="shared" ref="E196:E223" si="22">E195</f>
        <v>new Team { TeamName = "</v>
      </c>
      <c r="F196" t="str">
        <f t="shared" ref="F196:F223" si="23">A196</f>
        <v>Turkey</v>
      </c>
      <c r="G196" t="str">
        <f t="shared" ref="G196:G223" si="24">G195</f>
        <v>", FifaAlphaCode = "</v>
      </c>
      <c r="H196" t="str">
        <f t="shared" ref="H196:H223" si="25">B196</f>
        <v>TUR</v>
      </c>
      <c r="I196" t="str">
        <f t="shared" ref="I196:I223" si="26">I195</f>
        <v>",TeamCode="</v>
      </c>
      <c r="J196" t="str">
        <f t="shared" si="21"/>
        <v>TUR</v>
      </c>
      <c r="K196" t="str">
        <f t="shared" ref="K196:K223" si="27">K195</f>
        <v>", TeamType= "National" },</v>
      </c>
    </row>
    <row r="197" spans="1:11" x14ac:dyDescent="0.25">
      <c r="A197" t="s">
        <v>677</v>
      </c>
      <c r="B197" t="s">
        <v>679</v>
      </c>
      <c r="C197" t="str">
        <f>VLOOKUP(B197,FifaCountryCode!B:B,1,FALSE)</f>
        <v>TKM</v>
      </c>
      <c r="E197" t="str">
        <f t="shared" si="22"/>
        <v>new Team { TeamName = "</v>
      </c>
      <c r="F197" t="str">
        <f t="shared" si="23"/>
        <v>Turkmenistan</v>
      </c>
      <c r="G197" t="str">
        <f t="shared" si="24"/>
        <v>", FifaAlphaCode = "</v>
      </c>
      <c r="H197" t="str">
        <f t="shared" si="25"/>
        <v>TKM</v>
      </c>
      <c r="I197" t="str">
        <f t="shared" si="26"/>
        <v>",TeamCode="</v>
      </c>
      <c r="J197" t="str">
        <f t="shared" si="21"/>
        <v>TKM</v>
      </c>
      <c r="K197" t="str">
        <f t="shared" si="27"/>
        <v>", TeamType= "National" },</v>
      </c>
    </row>
    <row r="198" spans="1:11" x14ac:dyDescent="0.25">
      <c r="A198" t="s">
        <v>1116</v>
      </c>
      <c r="B198" t="s">
        <v>682</v>
      </c>
      <c r="C198" t="str">
        <f>VLOOKUP(B198,FifaCountryCode!B:B,1,FALSE)</f>
        <v>TCA</v>
      </c>
      <c r="E198" t="str">
        <f t="shared" si="22"/>
        <v>new Team { TeamName = "</v>
      </c>
      <c r="F198" t="str">
        <f t="shared" si="23"/>
        <v>Turks and Caicos Islands</v>
      </c>
      <c r="G198" t="str">
        <f t="shared" si="24"/>
        <v>", FifaAlphaCode = "</v>
      </c>
      <c r="H198" t="str">
        <f t="shared" si="25"/>
        <v>TCA</v>
      </c>
      <c r="I198" t="str">
        <f t="shared" si="26"/>
        <v>",TeamCode="</v>
      </c>
      <c r="J198" t="str">
        <f t="shared" si="21"/>
        <v>TCA</v>
      </c>
      <c r="K198" t="str">
        <f t="shared" si="27"/>
        <v>", TeamType= "National" },</v>
      </c>
    </row>
    <row r="199" spans="1:11" x14ac:dyDescent="0.25">
      <c r="A199" t="s">
        <v>914</v>
      </c>
      <c r="B199" t="s">
        <v>688</v>
      </c>
      <c r="C199" t="str">
        <f>VLOOKUP(B199,FifaCountryCode!B:B,1,FALSE)</f>
        <v>UGA</v>
      </c>
      <c r="E199" t="str">
        <f t="shared" si="22"/>
        <v>new Team { TeamName = "</v>
      </c>
      <c r="F199" t="str">
        <f t="shared" si="23"/>
        <v>Uganda</v>
      </c>
      <c r="G199" t="str">
        <f t="shared" si="24"/>
        <v>", FifaAlphaCode = "</v>
      </c>
      <c r="H199" t="str">
        <f t="shared" si="25"/>
        <v>UGA</v>
      </c>
      <c r="I199" t="str">
        <f t="shared" si="26"/>
        <v>",TeamCode="</v>
      </c>
      <c r="J199" t="str">
        <f t="shared" si="21"/>
        <v>UGA</v>
      </c>
      <c r="K199" t="str">
        <f t="shared" si="27"/>
        <v>", TeamType= "National" },</v>
      </c>
    </row>
    <row r="200" spans="1:11" x14ac:dyDescent="0.25">
      <c r="A200" t="s">
        <v>689</v>
      </c>
      <c r="B200" t="s">
        <v>691</v>
      </c>
      <c r="C200" t="str">
        <f>VLOOKUP(B200,FifaCountryCode!B:B,1,FALSE)</f>
        <v>UKR</v>
      </c>
      <c r="E200" t="str">
        <f t="shared" si="22"/>
        <v>new Team { TeamName = "</v>
      </c>
      <c r="F200" t="str">
        <f t="shared" si="23"/>
        <v>Ukraine</v>
      </c>
      <c r="G200" t="str">
        <f t="shared" si="24"/>
        <v>", FifaAlphaCode = "</v>
      </c>
      <c r="H200" t="str">
        <f t="shared" si="25"/>
        <v>UKR</v>
      </c>
      <c r="I200" t="str">
        <f t="shared" si="26"/>
        <v>",TeamCode="</v>
      </c>
      <c r="J200" t="str">
        <f t="shared" si="21"/>
        <v>UKR</v>
      </c>
      <c r="K200" t="str">
        <f t="shared" si="27"/>
        <v>", TeamType= "National" },</v>
      </c>
    </row>
    <row r="201" spans="1:11" x14ac:dyDescent="0.25">
      <c r="A201" t="s">
        <v>1079</v>
      </c>
      <c r="B201" t="s">
        <v>999</v>
      </c>
      <c r="C201" t="str">
        <f>VLOOKUP(B201,FifaCountryCode!B:B,1,FALSE)</f>
        <v>UAE</v>
      </c>
      <c r="E201" t="str">
        <f t="shared" si="22"/>
        <v>new Team { TeamName = "</v>
      </c>
      <c r="F201" t="str">
        <f t="shared" si="23"/>
        <v>United Arab Emirates</v>
      </c>
      <c r="G201" t="str">
        <f t="shared" si="24"/>
        <v>", FifaAlphaCode = "</v>
      </c>
      <c r="H201" t="str">
        <f t="shared" si="25"/>
        <v>UAE</v>
      </c>
      <c r="I201" t="str">
        <f t="shared" si="26"/>
        <v>",TeamCode="</v>
      </c>
      <c r="J201" t="str">
        <f t="shared" si="21"/>
        <v>UAE</v>
      </c>
      <c r="K201" t="str">
        <f t="shared" si="27"/>
        <v>", TeamType= "National" },</v>
      </c>
    </row>
    <row r="202" spans="1:11" x14ac:dyDescent="0.25">
      <c r="A202" t="s">
        <v>11</v>
      </c>
      <c r="B202" t="s">
        <v>702</v>
      </c>
      <c r="C202" t="str">
        <f>VLOOKUP(B202,FifaCountryCode!B:B,1,FALSE)</f>
        <v>USA</v>
      </c>
      <c r="E202" t="str">
        <f t="shared" si="22"/>
        <v>new Team { TeamName = "</v>
      </c>
      <c r="F202" t="str">
        <f t="shared" si="23"/>
        <v>United States</v>
      </c>
      <c r="G202" t="str">
        <f t="shared" si="24"/>
        <v>", FifaAlphaCode = "</v>
      </c>
      <c r="H202" t="str">
        <f t="shared" si="25"/>
        <v>USA</v>
      </c>
      <c r="I202" t="str">
        <f t="shared" si="26"/>
        <v>",TeamCode="</v>
      </c>
      <c r="J202" t="str">
        <f t="shared" si="21"/>
        <v>USA</v>
      </c>
      <c r="K202" t="str">
        <f t="shared" si="27"/>
        <v>", TeamType= "National" },</v>
      </c>
    </row>
    <row r="203" spans="1:11" x14ac:dyDescent="0.25">
      <c r="A203" t="s">
        <v>916</v>
      </c>
      <c r="B203" t="s">
        <v>1000</v>
      </c>
      <c r="C203" t="str">
        <f>VLOOKUP(B203,FifaCountryCode!B:B,1,FALSE)</f>
        <v>URU</v>
      </c>
      <c r="E203" t="str">
        <f t="shared" si="22"/>
        <v>new Team { TeamName = "</v>
      </c>
      <c r="F203" t="str">
        <f t="shared" si="23"/>
        <v>Uruguay</v>
      </c>
      <c r="G203" t="str">
        <f t="shared" si="24"/>
        <v>", FifaAlphaCode = "</v>
      </c>
      <c r="H203" t="str">
        <f t="shared" si="25"/>
        <v>URU</v>
      </c>
      <c r="I203" t="str">
        <f t="shared" si="26"/>
        <v>",TeamCode="</v>
      </c>
      <c r="J203" t="str">
        <f t="shared" si="21"/>
        <v>URU</v>
      </c>
      <c r="K203" t="str">
        <f t="shared" si="27"/>
        <v>", TeamType= "National" },</v>
      </c>
    </row>
    <row r="204" spans="1:11" x14ac:dyDescent="0.25">
      <c r="A204" t="s">
        <v>1117</v>
      </c>
      <c r="B204" t="s">
        <v>723</v>
      </c>
      <c r="C204" t="str">
        <f>VLOOKUP(B204,FifaCountryCode!B:B,1,FALSE)</f>
        <v>VIR</v>
      </c>
      <c r="E204" t="str">
        <f t="shared" si="22"/>
        <v>new Team { TeamName = "</v>
      </c>
      <c r="F204" t="str">
        <f t="shared" si="23"/>
        <v>U.S. Virgin Islands</v>
      </c>
      <c r="G204" t="str">
        <f t="shared" si="24"/>
        <v>", FifaAlphaCode = "</v>
      </c>
      <c r="H204" t="str">
        <f t="shared" si="25"/>
        <v>VIR</v>
      </c>
      <c r="I204" t="str">
        <f t="shared" si="26"/>
        <v>",TeamCode="</v>
      </c>
      <c r="J204" t="str">
        <f t="shared" si="21"/>
        <v>VIR</v>
      </c>
      <c r="K204" t="str">
        <f t="shared" si="27"/>
        <v>", TeamType= "National" },</v>
      </c>
    </row>
    <row r="205" spans="1:11" x14ac:dyDescent="0.25">
      <c r="A205" t="s">
        <v>917</v>
      </c>
      <c r="B205" t="s">
        <v>708</v>
      </c>
      <c r="C205" t="str">
        <f>VLOOKUP(B205,FifaCountryCode!B:B,1,FALSE)</f>
        <v>UZB</v>
      </c>
      <c r="E205" t="str">
        <f t="shared" si="22"/>
        <v>new Team { TeamName = "</v>
      </c>
      <c r="F205" t="str">
        <f t="shared" si="23"/>
        <v>Uzbekistan</v>
      </c>
      <c r="G205" t="str">
        <f t="shared" si="24"/>
        <v>", FifaAlphaCode = "</v>
      </c>
      <c r="H205" t="str">
        <f t="shared" si="25"/>
        <v>UZB</v>
      </c>
      <c r="I205" t="str">
        <f t="shared" si="26"/>
        <v>",TeamCode="</v>
      </c>
      <c r="J205" t="str">
        <f t="shared" si="21"/>
        <v>UZB</v>
      </c>
      <c r="K205" t="str">
        <f t="shared" si="27"/>
        <v>", TeamType= "National" },</v>
      </c>
    </row>
    <row r="206" spans="1:11" x14ac:dyDescent="0.25">
      <c r="A206" t="s">
        <v>918</v>
      </c>
      <c r="B206" t="s">
        <v>1001</v>
      </c>
      <c r="C206" t="str">
        <f>VLOOKUP(B206,FifaCountryCode!B:B,1,FALSE)</f>
        <v>VAN</v>
      </c>
      <c r="E206" t="str">
        <f t="shared" si="22"/>
        <v>new Team { TeamName = "</v>
      </c>
      <c r="F206" t="str">
        <f t="shared" si="23"/>
        <v>Vanuatu</v>
      </c>
      <c r="G206" t="str">
        <f t="shared" si="24"/>
        <v>", FifaAlphaCode = "</v>
      </c>
      <c r="H206" t="str">
        <f t="shared" si="25"/>
        <v>VAN</v>
      </c>
      <c r="I206" t="str">
        <f t="shared" si="26"/>
        <v>",TeamCode="</v>
      </c>
      <c r="J206" t="str">
        <f t="shared" si="21"/>
        <v>VAN</v>
      </c>
      <c r="K206" t="str">
        <f t="shared" si="27"/>
        <v>", TeamType= "National" },</v>
      </c>
    </row>
    <row r="207" spans="1:11" x14ac:dyDescent="0.25">
      <c r="A207" t="s">
        <v>1118</v>
      </c>
      <c r="B207" t="s">
        <v>714</v>
      </c>
      <c r="C207" t="str">
        <f>VLOOKUP(B207,FifaCountryCode!B:B,1,FALSE)</f>
        <v>VEN</v>
      </c>
      <c r="E207" t="str">
        <f t="shared" si="22"/>
        <v>new Team { TeamName = "</v>
      </c>
      <c r="F207" t="str">
        <f t="shared" si="23"/>
        <v>Venezuela</v>
      </c>
      <c r="G207" t="str">
        <f t="shared" si="24"/>
        <v>", FifaAlphaCode = "</v>
      </c>
      <c r="H207" t="str">
        <f t="shared" si="25"/>
        <v>VEN</v>
      </c>
      <c r="I207" t="str">
        <f t="shared" si="26"/>
        <v>",TeamCode="</v>
      </c>
      <c r="J207" t="str">
        <f t="shared" si="21"/>
        <v>VEN</v>
      </c>
      <c r="K207" t="str">
        <f t="shared" si="27"/>
        <v>", TeamType= "National" },</v>
      </c>
    </row>
    <row r="208" spans="1:11" x14ac:dyDescent="0.25">
      <c r="A208" t="s">
        <v>1119</v>
      </c>
      <c r="B208" t="s">
        <v>1002</v>
      </c>
      <c r="C208" t="str">
        <f>VLOOKUP(B208,FifaCountryCode!B:B,1,FALSE)</f>
        <v>VIE</v>
      </c>
      <c r="E208" t="str">
        <f t="shared" si="22"/>
        <v>new Team { TeamName = "</v>
      </c>
      <c r="F208" t="str">
        <f t="shared" si="23"/>
        <v>Vietnam</v>
      </c>
      <c r="G208" t="str">
        <f t="shared" si="24"/>
        <v>", FifaAlphaCode = "</v>
      </c>
      <c r="H208" t="str">
        <f t="shared" si="25"/>
        <v>VIE</v>
      </c>
      <c r="I208" t="str">
        <f t="shared" si="26"/>
        <v>",TeamCode="</v>
      </c>
      <c r="J208" t="str">
        <f t="shared" si="21"/>
        <v>VIE</v>
      </c>
      <c r="K208" t="str">
        <f t="shared" si="27"/>
        <v>", TeamType= "National" },</v>
      </c>
    </row>
    <row r="209" spans="1:11" x14ac:dyDescent="0.25">
      <c r="A209" t="s">
        <v>1120</v>
      </c>
      <c r="B209" t="s">
        <v>1003</v>
      </c>
      <c r="C209" t="str">
        <f>VLOOKUP(B209,FifaCountryCode!B:B,1,FALSE)</f>
        <v>WAL</v>
      </c>
      <c r="E209" t="str">
        <f t="shared" si="22"/>
        <v>new Team { TeamName = "</v>
      </c>
      <c r="F209" t="str">
        <f t="shared" si="23"/>
        <v>Wales</v>
      </c>
      <c r="G209" t="str">
        <f t="shared" si="24"/>
        <v>", FifaAlphaCode = "</v>
      </c>
      <c r="H209" t="str">
        <f t="shared" si="25"/>
        <v>WAL</v>
      </c>
      <c r="I209" t="str">
        <f t="shared" si="26"/>
        <v>",TeamCode="</v>
      </c>
      <c r="J209" t="str">
        <f t="shared" si="21"/>
        <v>WAL</v>
      </c>
      <c r="K209" t="str">
        <f t="shared" si="27"/>
        <v>", TeamType= "National" },</v>
      </c>
    </row>
    <row r="210" spans="1:11" x14ac:dyDescent="0.25">
      <c r="A210" t="s">
        <v>925</v>
      </c>
      <c r="B210" t="s">
        <v>732</v>
      </c>
      <c r="C210" t="str">
        <f>VLOOKUP(B210,FifaCountryCode!B:B,1,FALSE)</f>
        <v>YEM</v>
      </c>
      <c r="E210" t="str">
        <f t="shared" si="22"/>
        <v>new Team { TeamName = "</v>
      </c>
      <c r="F210" t="str">
        <f t="shared" si="23"/>
        <v>Yemen</v>
      </c>
      <c r="G210" t="str">
        <f t="shared" si="24"/>
        <v>", FifaAlphaCode = "</v>
      </c>
      <c r="H210" t="str">
        <f t="shared" si="25"/>
        <v>YEM</v>
      </c>
      <c r="I210" t="str">
        <f t="shared" si="26"/>
        <v>",TeamCode="</v>
      </c>
      <c r="J210" t="str">
        <f t="shared" si="21"/>
        <v>YEM</v>
      </c>
      <c r="K210" t="str">
        <f t="shared" si="27"/>
        <v>", TeamType= "National" },</v>
      </c>
    </row>
    <row r="211" spans="1:11" x14ac:dyDescent="0.25">
      <c r="A211" t="s">
        <v>926</v>
      </c>
      <c r="B211" t="s">
        <v>1004</v>
      </c>
      <c r="C211" t="str">
        <f>VLOOKUP(B211,FifaCountryCode!B:B,1,FALSE)</f>
        <v>ZAM</v>
      </c>
      <c r="E211" t="str">
        <f t="shared" si="22"/>
        <v>new Team { TeamName = "</v>
      </c>
      <c r="F211" t="str">
        <f t="shared" si="23"/>
        <v>Zambia</v>
      </c>
      <c r="G211" t="str">
        <f t="shared" si="24"/>
        <v>", FifaAlphaCode = "</v>
      </c>
      <c r="H211" t="str">
        <f t="shared" si="25"/>
        <v>ZAM</v>
      </c>
      <c r="I211" t="str">
        <f t="shared" si="26"/>
        <v>",TeamCode="</v>
      </c>
      <c r="J211" t="str">
        <f t="shared" si="21"/>
        <v>ZAM</v>
      </c>
      <c r="K211" t="str">
        <f t="shared" si="27"/>
        <v>", TeamType= "National" },</v>
      </c>
    </row>
    <row r="212" spans="1:11" x14ac:dyDescent="0.25">
      <c r="A212" t="s">
        <v>927</v>
      </c>
      <c r="B212" t="s">
        <v>1005</v>
      </c>
      <c r="C212" t="str">
        <f>VLOOKUP(B212,FifaCountryCode!B:B,1,FALSE)</f>
        <v>ZIM</v>
      </c>
      <c r="E212" t="str">
        <f t="shared" si="22"/>
        <v>new Team { TeamName = "</v>
      </c>
      <c r="F212" t="str">
        <f t="shared" si="23"/>
        <v>Zimbabwe</v>
      </c>
      <c r="G212" t="str">
        <f t="shared" si="24"/>
        <v>", FifaAlphaCode = "</v>
      </c>
      <c r="H212" t="str">
        <f t="shared" si="25"/>
        <v>ZIM</v>
      </c>
      <c r="I212" t="str">
        <f t="shared" si="26"/>
        <v>",TeamCode="</v>
      </c>
      <c r="J212" t="str">
        <f t="shared" si="21"/>
        <v>ZIM</v>
      </c>
      <c r="K212" t="str">
        <f t="shared" si="27"/>
        <v>", TeamType= "National" },</v>
      </c>
    </row>
    <row r="213" spans="1:11" x14ac:dyDescent="0.25">
      <c r="A213" t="s">
        <v>1037</v>
      </c>
      <c r="B213" t="s">
        <v>1081</v>
      </c>
      <c r="C213" t="str">
        <f>VLOOKUP(B213,FifaCountryCode!B:B,1,FALSE)</f>
        <v>TCH</v>
      </c>
      <c r="E213" t="str">
        <f t="shared" si="22"/>
        <v>new Team { TeamName = "</v>
      </c>
      <c r="F213" t="str">
        <f t="shared" si="23"/>
        <v>Czechoslovakia</v>
      </c>
      <c r="G213" t="str">
        <f t="shared" si="24"/>
        <v>", FifaAlphaCode = "</v>
      </c>
      <c r="H213" t="str">
        <f t="shared" si="25"/>
        <v>TCH</v>
      </c>
      <c r="I213" t="str">
        <f t="shared" si="26"/>
        <v>",TeamCode="</v>
      </c>
      <c r="J213" t="str">
        <f t="shared" si="21"/>
        <v>TCH</v>
      </c>
      <c r="K213" t="str">
        <f t="shared" si="27"/>
        <v>", TeamType= "National" },</v>
      </c>
    </row>
    <row r="214" spans="1:11" x14ac:dyDescent="0.25">
      <c r="A214" t="s">
        <v>1052</v>
      </c>
      <c r="B214" t="s">
        <v>1083</v>
      </c>
      <c r="C214" t="str">
        <f>VLOOKUP(B214,FifaCountryCode!B:B,1,FALSE)</f>
        <v>GDR</v>
      </c>
      <c r="E214" t="str">
        <f t="shared" si="22"/>
        <v>new Team { TeamName = "</v>
      </c>
      <c r="F214" t="str">
        <f t="shared" si="23"/>
        <v>East Germany</v>
      </c>
      <c r="G214" t="str">
        <f t="shared" si="24"/>
        <v>", FifaAlphaCode = "</v>
      </c>
      <c r="H214" t="str">
        <f t="shared" si="25"/>
        <v>GDR</v>
      </c>
      <c r="I214" t="str">
        <f t="shared" si="26"/>
        <v>",TeamCode="</v>
      </c>
      <c r="J214" t="str">
        <f t="shared" si="21"/>
        <v>GDR</v>
      </c>
      <c r="K214" t="str">
        <f t="shared" si="27"/>
        <v>", TeamType= "National" },</v>
      </c>
    </row>
    <row r="215" spans="1:11" x14ac:dyDescent="0.25">
      <c r="A215" t="s">
        <v>1072</v>
      </c>
      <c r="B215" t="s">
        <v>353</v>
      </c>
      <c r="C215" t="str">
        <f>VLOOKUP(B215,FifaCountryCode!B:B,1,FALSE)</f>
        <v>KOR</v>
      </c>
      <c r="E215" t="str">
        <f t="shared" si="22"/>
        <v>new Team { TeamName = "</v>
      </c>
      <c r="F215" t="str">
        <f t="shared" si="23"/>
        <v>Korea Republic</v>
      </c>
      <c r="G215" t="str">
        <f t="shared" si="24"/>
        <v>", FifaAlphaCode = "</v>
      </c>
      <c r="H215" t="str">
        <f t="shared" si="25"/>
        <v>KOR</v>
      </c>
      <c r="I215" t="str">
        <f t="shared" si="26"/>
        <v>",TeamCode="</v>
      </c>
      <c r="J215" t="str">
        <f t="shared" si="21"/>
        <v>KOR</v>
      </c>
      <c r="K215" t="str">
        <f t="shared" si="27"/>
        <v>", TeamType= "National" },</v>
      </c>
    </row>
    <row r="216" spans="1:11" x14ac:dyDescent="0.25">
      <c r="A216" t="s">
        <v>1751</v>
      </c>
      <c r="B216" t="s">
        <v>155</v>
      </c>
      <c r="C216" t="str">
        <f>VLOOKUP(B216,FifaCountryCode!B:B,1,FALSE)</f>
        <v>CIV</v>
      </c>
      <c r="E216" t="str">
        <f t="shared" si="22"/>
        <v>new Team { TeamName = "</v>
      </c>
      <c r="F216" t="str">
        <f t="shared" si="23"/>
        <v>Cote D'Ivoire</v>
      </c>
      <c r="G216" t="str">
        <f t="shared" si="24"/>
        <v>", FifaAlphaCode = "</v>
      </c>
      <c r="H216" t="str">
        <f t="shared" si="25"/>
        <v>CIV</v>
      </c>
      <c r="I216" t="str">
        <f t="shared" si="26"/>
        <v>",TeamCode="</v>
      </c>
      <c r="J216" t="str">
        <f t="shared" si="21"/>
        <v>CIV</v>
      </c>
      <c r="K216" t="str">
        <f t="shared" si="27"/>
        <v>", TeamType= "National" },</v>
      </c>
    </row>
    <row r="217" spans="1:11" x14ac:dyDescent="0.25">
      <c r="A217" t="s">
        <v>1590</v>
      </c>
      <c r="B217" t="s">
        <v>1752</v>
      </c>
      <c r="C217" t="str">
        <f>VLOOKUP(B217,FifaCountryCode!B:B,1,FALSE)</f>
        <v>SCG</v>
      </c>
      <c r="E217" t="str">
        <f t="shared" si="22"/>
        <v>new Team { TeamName = "</v>
      </c>
      <c r="F217" t="str">
        <f t="shared" si="23"/>
        <v>Serbia and Montenegro</v>
      </c>
      <c r="G217" t="str">
        <f t="shared" si="24"/>
        <v>", FifaAlphaCode = "</v>
      </c>
      <c r="H217" t="str">
        <f t="shared" si="25"/>
        <v>SCG</v>
      </c>
      <c r="I217" t="str">
        <f t="shared" si="26"/>
        <v>",TeamCode="</v>
      </c>
      <c r="J217" t="str">
        <f t="shared" si="21"/>
        <v>SCG</v>
      </c>
      <c r="K217" t="str">
        <f t="shared" si="27"/>
        <v>", TeamType= "National" },</v>
      </c>
    </row>
    <row r="218" spans="1:11" x14ac:dyDescent="0.25">
      <c r="A218" t="s">
        <v>1754</v>
      </c>
      <c r="B218" t="s">
        <v>1753</v>
      </c>
      <c r="C218" t="str">
        <f>VLOOKUP(B218,FifaCountryCode!B:B,1,FALSE)</f>
        <v>URS</v>
      </c>
      <c r="E218" t="str">
        <f t="shared" si="22"/>
        <v>new Team { TeamName = "</v>
      </c>
      <c r="F218" t="str">
        <f t="shared" si="23"/>
        <v>Soviet Union</v>
      </c>
      <c r="G218" t="str">
        <f t="shared" si="24"/>
        <v>", FifaAlphaCode = "</v>
      </c>
      <c r="H218" t="str">
        <f t="shared" si="25"/>
        <v>URS</v>
      </c>
      <c r="I218" t="str">
        <f t="shared" si="26"/>
        <v>",TeamCode="</v>
      </c>
      <c r="J218" t="str">
        <f t="shared" si="21"/>
        <v>URS</v>
      </c>
      <c r="K218" t="str">
        <f t="shared" si="27"/>
        <v>", TeamType= "National" },</v>
      </c>
    </row>
    <row r="219" spans="1:11" x14ac:dyDescent="0.25">
      <c r="A219" t="s">
        <v>1756</v>
      </c>
      <c r="B219" t="s">
        <v>1755</v>
      </c>
      <c r="C219" t="str">
        <f>VLOOKUP(B219,FifaCountryCode!B:B,1,FALSE)</f>
        <v>ZAI</v>
      </c>
      <c r="E219" t="str">
        <f t="shared" si="22"/>
        <v>new Team { TeamName = "</v>
      </c>
      <c r="F219" t="str">
        <f t="shared" si="23"/>
        <v>Zaire</v>
      </c>
      <c r="G219" t="str">
        <f t="shared" si="24"/>
        <v>", FifaAlphaCode = "</v>
      </c>
      <c r="H219" t="str">
        <f t="shared" si="25"/>
        <v>ZAI</v>
      </c>
      <c r="I219" t="str">
        <f t="shared" si="26"/>
        <v>",TeamCode="</v>
      </c>
      <c r="J219" t="str">
        <f t="shared" si="21"/>
        <v>ZAI</v>
      </c>
      <c r="K219" t="str">
        <f t="shared" si="27"/>
        <v>", TeamType= "National" },</v>
      </c>
    </row>
    <row r="220" spans="1:11" x14ac:dyDescent="0.25">
      <c r="A220" t="s">
        <v>1234</v>
      </c>
      <c r="B220" t="s">
        <v>1757</v>
      </c>
      <c r="C220" t="str">
        <f>VLOOKUP(B220,FifaCountryCode!B:B,1,FALSE)</f>
        <v>YUG</v>
      </c>
      <c r="E220" t="str">
        <f t="shared" si="22"/>
        <v>new Team { TeamName = "</v>
      </c>
      <c r="F220" t="str">
        <f t="shared" si="23"/>
        <v>Yugoslavia</v>
      </c>
      <c r="G220" t="str">
        <f t="shared" si="24"/>
        <v>", FifaAlphaCode = "</v>
      </c>
      <c r="H220" t="str">
        <f t="shared" si="25"/>
        <v>YUG</v>
      </c>
      <c r="I220" t="str">
        <f t="shared" si="26"/>
        <v>",TeamCode="</v>
      </c>
      <c r="J220" t="str">
        <f t="shared" si="21"/>
        <v>YUG</v>
      </c>
      <c r="K220" t="str">
        <f t="shared" si="27"/>
        <v>", TeamType= "National" },</v>
      </c>
    </row>
    <row r="221" spans="1:11" x14ac:dyDescent="0.25">
      <c r="A221" t="s">
        <v>1076</v>
      </c>
      <c r="B221" t="s">
        <v>1758</v>
      </c>
      <c r="C221" t="str">
        <f>VLOOKUP(B221,FifaCountryCode!B:B,1,FALSE)</f>
        <v>INH</v>
      </c>
      <c r="E221" t="str">
        <f t="shared" si="22"/>
        <v>new Team { TeamName = "</v>
      </c>
      <c r="F221" t="str">
        <f t="shared" si="23"/>
        <v>Dutch East Indies</v>
      </c>
      <c r="G221" t="str">
        <f t="shared" si="24"/>
        <v>", FifaAlphaCode = "</v>
      </c>
      <c r="H221" t="str">
        <f t="shared" si="25"/>
        <v>INH</v>
      </c>
      <c r="I221" t="str">
        <f t="shared" si="26"/>
        <v>",TeamCode="</v>
      </c>
      <c r="J221" t="str">
        <f t="shared" si="21"/>
        <v>INH</v>
      </c>
      <c r="K221" t="str">
        <f t="shared" si="27"/>
        <v>", TeamType= "National" },</v>
      </c>
    </row>
    <row r="222" spans="1:11" x14ac:dyDescent="0.25">
      <c r="A222" t="s">
        <v>702</v>
      </c>
      <c r="B222" t="s">
        <v>702</v>
      </c>
      <c r="C222" t="str">
        <f>VLOOKUP(B222,FifaCountryCode!B:B,1,FALSE)</f>
        <v>USA</v>
      </c>
      <c r="E222" t="str">
        <f t="shared" si="22"/>
        <v>new Team { TeamName = "</v>
      </c>
      <c r="F222" t="str">
        <f t="shared" si="23"/>
        <v>USA</v>
      </c>
      <c r="G222" t="str">
        <f t="shared" si="24"/>
        <v>", FifaAlphaCode = "</v>
      </c>
      <c r="H222" t="str">
        <f t="shared" si="25"/>
        <v>USA</v>
      </c>
      <c r="I222" t="str">
        <f t="shared" si="26"/>
        <v>",TeamCode="</v>
      </c>
      <c r="J222" t="str">
        <f t="shared" si="21"/>
        <v>USA</v>
      </c>
      <c r="K222" t="str">
        <f t="shared" si="27"/>
        <v>", TeamType= "National" },</v>
      </c>
    </row>
    <row r="223" spans="1:11" x14ac:dyDescent="0.25">
      <c r="A223" t="s">
        <v>1121</v>
      </c>
      <c r="B223" t="s">
        <v>1787</v>
      </c>
      <c r="C223" t="str">
        <f>VLOOKUP(B223,FifaCountryCode!B:B,1,FALSE)</f>
        <v>PRG</v>
      </c>
      <c r="E223" t="str">
        <f t="shared" si="22"/>
        <v>new Team { TeamName = "</v>
      </c>
      <c r="F223" t="str">
        <f t="shared" si="23"/>
        <v>West Germany</v>
      </c>
      <c r="G223" t="str">
        <f t="shared" si="24"/>
        <v>", FifaAlphaCode = "</v>
      </c>
      <c r="H223" t="str">
        <f t="shared" si="25"/>
        <v>PRG</v>
      </c>
      <c r="I223" t="str">
        <f t="shared" si="26"/>
        <v>",TeamCode="</v>
      </c>
      <c r="J223" t="str">
        <f t="shared" si="21"/>
        <v>PRG</v>
      </c>
      <c r="K223" t="str">
        <f t="shared" si="27"/>
        <v>", TeamType= "National" },</v>
      </c>
    </row>
  </sheetData>
  <autoFilter ref="A1:K1" xr:uid="{00000000-0009-0000-0000-000006000000}"/>
  <conditionalFormatting sqref="A1:A1048576">
    <cfRule type="duplicateValues" dxfId="2" priority="1"/>
    <cfRule type="duplicateValues" dxfId="1" priority="3"/>
  </conditionalFormatting>
  <conditionalFormatting sqref="B1:B1048576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Country</vt:lpstr>
      <vt:lpstr>Codematchs</vt:lpstr>
      <vt:lpstr>Matchs</vt:lpstr>
      <vt:lpstr>SeedMatches</vt:lpstr>
      <vt:lpstr>Stages</vt:lpstr>
      <vt:lpstr>FifaCountryCode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2021-10-11T13:56:33Z</dcterms:created>
  <dcterms:modified xsi:type="dcterms:W3CDTF">2021-10-20T05:04:49Z</dcterms:modified>
</cp:coreProperties>
</file>